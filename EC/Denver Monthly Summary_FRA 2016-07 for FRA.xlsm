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235" activeTab="1"/>
    <workbookView xWindow="0" yWindow="0" windowWidth="28800" windowHeight="14220" activeTab="1"/>
  </bookViews>
  <sheets>
    <sheet name="Summary" sheetId="1" r:id="rId1"/>
    <sheet name="Issue Resolution" sheetId="3" r:id="rId2"/>
    <sheet name="Cutout Runs" sheetId="4" r:id="rId3"/>
    <sheet name="Runs without Initialization" sheetId="8" r:id="rId4"/>
    <sheet name="Enforcements" sheetId="9" r:id="rId5"/>
    <sheet name="MacroDriver" sheetId="11" state="hidden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2" hidden="1">'Cutout Runs'!$A$1:$P$310</definedName>
    <definedName name="_xlnm._FilterDatabase" localSheetId="4" hidden="1">Enforcements!$A$1:$P$1</definedName>
    <definedName name="astrogrep_path">[1]Variables!$M$18</definedName>
    <definedName name="search_path">[1]Variables!$M$19</definedName>
    <definedName name="search_regexp">[1]Variables!$M$20</definedName>
    <definedName name="utc_offset">[1]Variables!$M$23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4" l="1"/>
  <c r="P4" i="4"/>
  <c r="P170" i="4"/>
  <c r="P6" i="4"/>
  <c r="P7" i="4"/>
  <c r="P8" i="4"/>
  <c r="P9" i="4"/>
  <c r="P10" i="4"/>
  <c r="P186" i="4"/>
  <c r="P190" i="4"/>
  <c r="P13" i="4"/>
  <c r="P14" i="4"/>
  <c r="P15" i="4"/>
  <c r="P16" i="4"/>
  <c r="P17" i="4"/>
  <c r="P18" i="4"/>
  <c r="P19" i="4"/>
  <c r="P20" i="4"/>
  <c r="P299" i="4"/>
  <c r="P298" i="4"/>
  <c r="P23" i="4"/>
  <c r="P24" i="4"/>
  <c r="P25" i="4"/>
  <c r="P26" i="4"/>
  <c r="P27" i="4"/>
  <c r="P28" i="4"/>
  <c r="P29" i="4"/>
  <c r="P30" i="4"/>
  <c r="P197" i="4"/>
  <c r="P32" i="4"/>
  <c r="P33" i="4"/>
  <c r="P34" i="4"/>
  <c r="P221" i="4"/>
  <c r="P225" i="4"/>
  <c r="P226" i="4"/>
  <c r="P185" i="4"/>
  <c r="P227" i="4"/>
  <c r="P229" i="4"/>
  <c r="P78" i="4"/>
  <c r="P230" i="4"/>
  <c r="P231" i="4"/>
  <c r="P233" i="4"/>
  <c r="P234" i="4"/>
  <c r="P236" i="4"/>
  <c r="P163" i="4"/>
  <c r="P238" i="4"/>
  <c r="P63" i="4"/>
  <c r="P164" i="4"/>
  <c r="P165" i="4"/>
  <c r="P167" i="4"/>
  <c r="P168" i="4"/>
  <c r="P213" i="4"/>
  <c r="P55" i="4"/>
  <c r="P46" i="4"/>
  <c r="P153" i="4"/>
  <c r="P244" i="4"/>
  <c r="P35" i="4"/>
  <c r="P36" i="4"/>
  <c r="P37" i="4"/>
  <c r="P38" i="4"/>
  <c r="P39" i="4"/>
  <c r="P40" i="4"/>
  <c r="P41" i="4"/>
  <c r="P42" i="4"/>
  <c r="P43" i="4"/>
  <c r="P193" i="4"/>
  <c r="P180" i="4"/>
  <c r="P70" i="4"/>
  <c r="P214" i="4"/>
  <c r="P181" i="4"/>
  <c r="P184" i="4"/>
  <c r="P200" i="4"/>
  <c r="P201" i="4"/>
  <c r="P203" i="4"/>
  <c r="P77" i="4"/>
  <c r="P47" i="4"/>
  <c r="P79" i="4"/>
  <c r="P80" i="4"/>
  <c r="P110" i="4"/>
  <c r="P82" i="4"/>
  <c r="P187" i="4"/>
  <c r="P84" i="4"/>
  <c r="P85" i="4"/>
  <c r="P86" i="4"/>
  <c r="P87" i="4"/>
  <c r="P88" i="4"/>
  <c r="P89" i="4"/>
  <c r="P90" i="4"/>
  <c r="P91" i="4"/>
  <c r="P92" i="4"/>
  <c r="P48" i="4"/>
  <c r="P94" i="4"/>
  <c r="P95" i="4"/>
  <c r="P96" i="4"/>
  <c r="P97" i="4"/>
  <c r="P304" i="4"/>
  <c r="P99" i="4"/>
  <c r="P100" i="4"/>
  <c r="P248" i="4"/>
  <c r="P102" i="4"/>
  <c r="P103" i="4"/>
  <c r="P104" i="4"/>
  <c r="P105" i="4"/>
  <c r="P106" i="4"/>
  <c r="P107" i="4"/>
  <c r="P169" i="4"/>
  <c r="P156" i="4"/>
  <c r="P158" i="4"/>
  <c r="P159" i="4"/>
  <c r="P160" i="4"/>
  <c r="P157" i="4"/>
  <c r="P114" i="4"/>
  <c r="P115" i="4"/>
  <c r="P116" i="4"/>
  <c r="P117" i="4"/>
  <c r="P125" i="4"/>
  <c r="P126" i="4"/>
  <c r="P127" i="4"/>
  <c r="P128" i="4"/>
  <c r="P131" i="4"/>
  <c r="P133" i="4"/>
  <c r="P137" i="4"/>
  <c r="P139" i="4"/>
  <c r="P141" i="4"/>
  <c r="P142" i="4"/>
  <c r="P147" i="4"/>
  <c r="P129" i="4"/>
  <c r="P130" i="4"/>
  <c r="P301" i="4"/>
  <c r="P132" i="4"/>
  <c r="P45" i="4"/>
  <c r="P134" i="4"/>
  <c r="P135" i="4"/>
  <c r="P136" i="4"/>
  <c r="P49" i="4"/>
  <c r="P138" i="4"/>
  <c r="P277" i="4"/>
  <c r="P140" i="4"/>
  <c r="P274" i="4"/>
  <c r="P275" i="4"/>
  <c r="P143" i="4"/>
  <c r="P144" i="4"/>
  <c r="P145" i="4"/>
  <c r="P146" i="4"/>
  <c r="P124" i="4"/>
  <c r="P123" i="4"/>
  <c r="P149" i="4"/>
  <c r="P150" i="4"/>
  <c r="P56" i="4"/>
  <c r="P152" i="4"/>
  <c r="P192" i="4"/>
  <c r="P154" i="4"/>
  <c r="P155" i="4"/>
  <c r="P174" i="4"/>
  <c r="P175" i="4"/>
  <c r="P151" i="4"/>
  <c r="P176" i="4"/>
  <c r="P177" i="4"/>
  <c r="P161" i="4"/>
  <c r="P199" i="4"/>
  <c r="P281" i="4"/>
  <c r="P172" i="4"/>
  <c r="P83" i="4"/>
  <c r="P166" i="4"/>
  <c r="P178" i="4"/>
  <c r="P93" i="4"/>
  <c r="P179" i="4"/>
  <c r="P12" i="4"/>
  <c r="P296" i="4"/>
  <c r="P71" i="4"/>
  <c r="P173" i="4"/>
  <c r="P21" i="4"/>
  <c r="P22" i="4"/>
  <c r="P44" i="4"/>
  <c r="P276" i="4"/>
  <c r="P251" i="4"/>
  <c r="P252" i="4"/>
  <c r="P310" i="4"/>
  <c r="P253" i="4"/>
  <c r="P182" i="4"/>
  <c r="P183" i="4"/>
  <c r="P50" i="4"/>
  <c r="P51" i="4"/>
  <c r="P52" i="4"/>
  <c r="P246" i="4"/>
  <c r="P62" i="4"/>
  <c r="P267" i="4"/>
  <c r="P268" i="4"/>
  <c r="P269" i="4"/>
  <c r="P270" i="4"/>
  <c r="P254" i="4"/>
  <c r="P271" i="4"/>
  <c r="P255" i="4"/>
  <c r="P273" i="4"/>
  <c r="P256" i="4"/>
  <c r="P257" i="4"/>
  <c r="P258" i="4"/>
  <c r="P261" i="4"/>
  <c r="P266" i="4"/>
  <c r="P202" i="4"/>
  <c r="P64" i="4"/>
  <c r="P204" i="4"/>
  <c r="P205" i="4"/>
  <c r="P206" i="4"/>
  <c r="P207" i="4"/>
  <c r="P208" i="4"/>
  <c r="P209" i="4"/>
  <c r="P210" i="4"/>
  <c r="P211" i="4"/>
  <c r="P212" i="4"/>
  <c r="P11" i="4"/>
  <c r="P162" i="4"/>
  <c r="P245" i="4"/>
  <c r="P216" i="4"/>
  <c r="P217" i="4"/>
  <c r="P215" i="4"/>
  <c r="P57" i="4"/>
  <c r="P65" i="4"/>
  <c r="P188" i="4"/>
  <c r="P222" i="4"/>
  <c r="P223" i="4"/>
  <c r="P224" i="4"/>
  <c r="P218" i="4"/>
  <c r="P219" i="4"/>
  <c r="P220" i="4"/>
  <c r="P228" i="4"/>
  <c r="P283" i="4"/>
  <c r="P286" i="4"/>
  <c r="P287" i="4"/>
  <c r="P232" i="4"/>
  <c r="P171" i="4"/>
  <c r="P81" i="4"/>
  <c r="P235" i="4"/>
  <c r="P60" i="4"/>
  <c r="P237" i="4"/>
  <c r="P61" i="4"/>
  <c r="P239" i="4"/>
  <c r="P240" i="4"/>
  <c r="P288" i="4"/>
  <c r="P243" i="4"/>
  <c r="P294" i="4"/>
  <c r="P53" i="4"/>
  <c r="P66" i="4"/>
  <c r="P247" i="4"/>
  <c r="P148" i="4"/>
  <c r="P249" i="4"/>
  <c r="P250" i="4"/>
  <c r="P189" i="4"/>
  <c r="P198" i="4"/>
  <c r="P113" i="4"/>
  <c r="P118" i="4"/>
  <c r="P191" i="4"/>
  <c r="P309" i="4"/>
  <c r="P307" i="4"/>
  <c r="P111" i="4"/>
  <c r="P259" i="4"/>
  <c r="P260" i="4"/>
  <c r="P58" i="4"/>
  <c r="P262" i="4"/>
  <c r="P263" i="4"/>
  <c r="P264" i="4"/>
  <c r="P265" i="4"/>
  <c r="P305" i="4"/>
  <c r="P98" i="4"/>
  <c r="P300" i="4"/>
  <c r="P101" i="4"/>
  <c r="P121" i="4"/>
  <c r="P122" i="4"/>
  <c r="P272" i="4"/>
  <c r="P194" i="4"/>
  <c r="P195" i="4"/>
  <c r="P196" i="4"/>
  <c r="P297" i="4"/>
  <c r="P108" i="4"/>
  <c r="P109" i="4"/>
  <c r="P278" i="4"/>
  <c r="P279" i="4"/>
  <c r="P280" i="4"/>
  <c r="P120" i="4"/>
  <c r="P282" i="4"/>
  <c r="P54" i="4"/>
  <c r="P284" i="4"/>
  <c r="P285" i="4"/>
  <c r="P112" i="4"/>
  <c r="P242" i="4"/>
  <c r="P119" i="4"/>
  <c r="P289" i="4"/>
  <c r="P290" i="4"/>
  <c r="P291" i="4"/>
  <c r="P292" i="4"/>
  <c r="P293" i="4"/>
  <c r="P59" i="4"/>
  <c r="P295" i="4"/>
  <c r="P72" i="4"/>
  <c r="P241" i="4"/>
  <c r="P67" i="4"/>
  <c r="P31" i="4"/>
  <c r="P68" i="4"/>
  <c r="P73" i="4"/>
  <c r="P302" i="4"/>
  <c r="P303" i="4"/>
  <c r="P74" i="4"/>
  <c r="P75" i="4"/>
  <c r="P306" i="4"/>
  <c r="P69" i="4"/>
  <c r="P308" i="4"/>
  <c r="P76" i="4"/>
  <c r="P5" i="4"/>
  <c r="P2" i="4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2" i="1"/>
  <c r="P3" i="9"/>
  <c r="P4" i="9"/>
  <c r="P5" i="9"/>
  <c r="G6" i="1" s="1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P456" i="9"/>
  <c r="P457" i="9"/>
  <c r="P458" i="9"/>
  <c r="P459" i="9"/>
  <c r="P460" i="9"/>
  <c r="P461" i="9"/>
  <c r="P462" i="9"/>
  <c r="P463" i="9"/>
  <c r="P464" i="9"/>
  <c r="P465" i="9"/>
  <c r="P466" i="9"/>
  <c r="P467" i="9"/>
  <c r="P468" i="9"/>
  <c r="P469" i="9"/>
  <c r="P470" i="9"/>
  <c r="P471" i="9"/>
  <c r="P472" i="9"/>
  <c r="P473" i="9"/>
  <c r="P474" i="9"/>
  <c r="P475" i="9"/>
  <c r="P476" i="9"/>
  <c r="P477" i="9"/>
  <c r="P478" i="9"/>
  <c r="P479" i="9"/>
  <c r="P480" i="9"/>
  <c r="P481" i="9"/>
  <c r="P482" i="9"/>
  <c r="P483" i="9"/>
  <c r="P484" i="9"/>
  <c r="P485" i="9"/>
  <c r="P486" i="9"/>
  <c r="P487" i="9"/>
  <c r="P488" i="9"/>
  <c r="P489" i="9"/>
  <c r="P490" i="9"/>
  <c r="P491" i="9"/>
  <c r="P492" i="9"/>
  <c r="P493" i="9"/>
  <c r="P494" i="9"/>
  <c r="P495" i="9"/>
  <c r="P496" i="9"/>
  <c r="P497" i="9"/>
  <c r="P498" i="9"/>
  <c r="P499" i="9"/>
  <c r="P500" i="9"/>
  <c r="P501" i="9"/>
  <c r="P502" i="9"/>
  <c r="P503" i="9"/>
  <c r="P504" i="9"/>
  <c r="P505" i="9"/>
  <c r="P506" i="9"/>
  <c r="P507" i="9"/>
  <c r="P508" i="9"/>
  <c r="P509" i="9"/>
  <c r="P510" i="9"/>
  <c r="P511" i="9"/>
  <c r="P512" i="9"/>
  <c r="P513" i="9"/>
  <c r="P514" i="9"/>
  <c r="P515" i="9"/>
  <c r="P516" i="9"/>
  <c r="P517" i="9"/>
  <c r="P518" i="9"/>
  <c r="P519" i="9"/>
  <c r="P520" i="9"/>
  <c r="P521" i="9"/>
  <c r="P522" i="9"/>
  <c r="P523" i="9"/>
  <c r="P524" i="9"/>
  <c r="P525" i="9"/>
  <c r="P526" i="9"/>
  <c r="P527" i="9"/>
  <c r="P528" i="9"/>
  <c r="P529" i="9"/>
  <c r="P530" i="9"/>
  <c r="P531" i="9"/>
  <c r="P532" i="9"/>
  <c r="P533" i="9"/>
  <c r="P534" i="9"/>
  <c r="P535" i="9"/>
  <c r="P536" i="9"/>
  <c r="P537" i="9"/>
  <c r="P538" i="9"/>
  <c r="P539" i="9"/>
  <c r="P540" i="9"/>
  <c r="P541" i="9"/>
  <c r="P542" i="9"/>
  <c r="P543" i="9"/>
  <c r="P544" i="9"/>
  <c r="P545" i="9"/>
  <c r="P546" i="9"/>
  <c r="P547" i="9"/>
  <c r="P548" i="9"/>
  <c r="P549" i="9"/>
  <c r="P550" i="9"/>
  <c r="P551" i="9"/>
  <c r="P552" i="9"/>
  <c r="P553" i="9"/>
  <c r="P554" i="9"/>
  <c r="P555" i="9"/>
  <c r="P556" i="9"/>
  <c r="P557" i="9"/>
  <c r="P558" i="9"/>
  <c r="P559" i="9"/>
  <c r="P560" i="9"/>
  <c r="P561" i="9"/>
  <c r="P562" i="9"/>
  <c r="P563" i="9"/>
  <c r="P564" i="9"/>
  <c r="P565" i="9"/>
  <c r="P566" i="9"/>
  <c r="P567" i="9"/>
  <c r="P568" i="9"/>
  <c r="P569" i="9"/>
  <c r="P570" i="9"/>
  <c r="P571" i="9"/>
  <c r="P572" i="9"/>
  <c r="P573" i="9"/>
  <c r="P574" i="9"/>
  <c r="P575" i="9"/>
  <c r="P576" i="9"/>
  <c r="P577" i="9"/>
  <c r="P578" i="9"/>
  <c r="P579" i="9"/>
  <c r="P580" i="9"/>
  <c r="P581" i="9"/>
  <c r="P582" i="9"/>
  <c r="P583" i="9"/>
  <c r="P584" i="9"/>
  <c r="P585" i="9"/>
  <c r="P586" i="9"/>
  <c r="P587" i="9"/>
  <c r="P588" i="9"/>
  <c r="P589" i="9"/>
  <c r="P590" i="9"/>
  <c r="P591" i="9"/>
  <c r="P592" i="9"/>
  <c r="P593" i="9"/>
  <c r="P594" i="9"/>
  <c r="P595" i="9"/>
  <c r="P596" i="9"/>
  <c r="P597" i="9"/>
  <c r="P598" i="9"/>
  <c r="P599" i="9"/>
  <c r="P600" i="9"/>
  <c r="P601" i="9"/>
  <c r="P602" i="9"/>
  <c r="P603" i="9"/>
  <c r="P604" i="9"/>
  <c r="P605" i="9"/>
  <c r="P606" i="9"/>
  <c r="P607" i="9"/>
  <c r="P608" i="9"/>
  <c r="P609" i="9"/>
  <c r="P610" i="9"/>
  <c r="P611" i="9"/>
  <c r="P612" i="9"/>
  <c r="P613" i="9"/>
  <c r="P614" i="9"/>
  <c r="P615" i="9"/>
  <c r="P616" i="9"/>
  <c r="P617" i="9"/>
  <c r="P618" i="9"/>
  <c r="P619" i="9"/>
  <c r="P620" i="9"/>
  <c r="P621" i="9"/>
  <c r="P622" i="9"/>
  <c r="P623" i="9"/>
  <c r="P624" i="9"/>
  <c r="P625" i="9"/>
  <c r="P626" i="9"/>
  <c r="P627" i="9"/>
  <c r="P628" i="9"/>
  <c r="P629" i="9"/>
  <c r="P630" i="9"/>
  <c r="P631" i="9"/>
  <c r="P632" i="9"/>
  <c r="P633" i="9"/>
  <c r="P634" i="9"/>
  <c r="P635" i="9"/>
  <c r="P636" i="9"/>
  <c r="P637" i="9"/>
  <c r="P638" i="9"/>
  <c r="P639" i="9"/>
  <c r="P640" i="9"/>
  <c r="P641" i="9"/>
  <c r="P642" i="9"/>
  <c r="P643" i="9"/>
  <c r="P644" i="9"/>
  <c r="P645" i="9"/>
  <c r="P646" i="9"/>
  <c r="P647" i="9"/>
  <c r="P648" i="9"/>
  <c r="P649" i="9"/>
  <c r="P650" i="9"/>
  <c r="P651" i="9"/>
  <c r="P652" i="9"/>
  <c r="P653" i="9"/>
  <c r="P654" i="9"/>
  <c r="P655" i="9"/>
  <c r="P656" i="9"/>
  <c r="P657" i="9"/>
  <c r="P658" i="9"/>
  <c r="P659" i="9"/>
  <c r="P660" i="9"/>
  <c r="P661" i="9"/>
  <c r="P662" i="9"/>
  <c r="P663" i="9"/>
  <c r="P664" i="9"/>
  <c r="P665" i="9"/>
  <c r="P666" i="9"/>
  <c r="P667" i="9"/>
  <c r="P668" i="9"/>
  <c r="P669" i="9"/>
  <c r="P670" i="9"/>
  <c r="P671" i="9"/>
  <c r="P672" i="9"/>
  <c r="P673" i="9"/>
  <c r="P674" i="9"/>
  <c r="P675" i="9"/>
  <c r="P676" i="9"/>
  <c r="P677" i="9"/>
  <c r="P678" i="9"/>
  <c r="P679" i="9"/>
  <c r="P680" i="9"/>
  <c r="P681" i="9"/>
  <c r="P682" i="9"/>
  <c r="P683" i="9"/>
  <c r="P684" i="9"/>
  <c r="P685" i="9"/>
  <c r="P686" i="9"/>
  <c r="P687" i="9"/>
  <c r="P688" i="9"/>
  <c r="P689" i="9"/>
  <c r="P690" i="9"/>
  <c r="P691" i="9"/>
  <c r="P692" i="9"/>
  <c r="P693" i="9"/>
  <c r="P694" i="9"/>
  <c r="P695" i="9"/>
  <c r="P696" i="9"/>
  <c r="P697" i="9"/>
  <c r="P698" i="9"/>
  <c r="P699" i="9"/>
  <c r="P700" i="9"/>
  <c r="P701" i="9"/>
  <c r="P702" i="9"/>
  <c r="P703" i="9"/>
  <c r="P704" i="9"/>
  <c r="P705" i="9"/>
  <c r="P706" i="9"/>
  <c r="P707" i="9"/>
  <c r="P708" i="9"/>
  <c r="P709" i="9"/>
  <c r="P710" i="9"/>
  <c r="P711" i="9"/>
  <c r="P712" i="9"/>
  <c r="P713" i="9"/>
  <c r="P714" i="9"/>
  <c r="P715" i="9"/>
  <c r="P716" i="9"/>
  <c r="P717" i="9"/>
  <c r="P718" i="9"/>
  <c r="P719" i="9"/>
  <c r="P720" i="9"/>
  <c r="P721" i="9"/>
  <c r="P722" i="9"/>
  <c r="P723" i="9"/>
  <c r="P724" i="9"/>
  <c r="P725" i="9"/>
  <c r="P726" i="9"/>
  <c r="P727" i="9"/>
  <c r="P728" i="9"/>
  <c r="P729" i="9"/>
  <c r="P730" i="9"/>
  <c r="P731" i="9"/>
  <c r="P732" i="9"/>
  <c r="P733" i="9"/>
  <c r="P734" i="9"/>
  <c r="P735" i="9"/>
  <c r="P736" i="9"/>
  <c r="P737" i="9"/>
  <c r="P738" i="9"/>
  <c r="P739" i="9"/>
  <c r="P740" i="9"/>
  <c r="P741" i="9"/>
  <c r="P742" i="9"/>
  <c r="P743" i="9"/>
  <c r="P744" i="9"/>
  <c r="P745" i="9"/>
  <c r="P746" i="9"/>
  <c r="P747" i="9"/>
  <c r="P748" i="9"/>
  <c r="P749" i="9"/>
  <c r="P750" i="9"/>
  <c r="P751" i="9"/>
  <c r="P752" i="9"/>
  <c r="P753" i="9"/>
  <c r="P754" i="9"/>
  <c r="P755" i="9"/>
  <c r="P756" i="9"/>
  <c r="P757" i="9"/>
  <c r="P758" i="9"/>
  <c r="P759" i="9"/>
  <c r="P760" i="9"/>
  <c r="P761" i="9"/>
  <c r="P762" i="9"/>
  <c r="P763" i="9"/>
  <c r="P764" i="9"/>
  <c r="P765" i="9"/>
  <c r="P766" i="9"/>
  <c r="P767" i="9"/>
  <c r="P768" i="9"/>
  <c r="P769" i="9"/>
  <c r="P770" i="9"/>
  <c r="P771" i="9"/>
  <c r="P772" i="9"/>
  <c r="P773" i="9"/>
  <c r="P774" i="9"/>
  <c r="P775" i="9"/>
  <c r="P776" i="9"/>
  <c r="P777" i="9"/>
  <c r="P778" i="9"/>
  <c r="P779" i="9"/>
  <c r="P780" i="9"/>
  <c r="P781" i="9"/>
  <c r="P782" i="9"/>
  <c r="P783" i="9"/>
  <c r="P784" i="9"/>
  <c r="P785" i="9"/>
  <c r="P786" i="9"/>
  <c r="P787" i="9"/>
  <c r="P788" i="9"/>
  <c r="P789" i="9"/>
  <c r="P790" i="9"/>
  <c r="P791" i="9"/>
  <c r="P792" i="9"/>
  <c r="P793" i="9"/>
  <c r="P794" i="9"/>
  <c r="P795" i="9"/>
  <c r="P796" i="9"/>
  <c r="P797" i="9"/>
  <c r="P798" i="9"/>
  <c r="P799" i="9"/>
  <c r="P800" i="9"/>
  <c r="P801" i="9"/>
  <c r="P802" i="9"/>
  <c r="P803" i="9"/>
  <c r="P804" i="9"/>
  <c r="P805" i="9"/>
  <c r="P806" i="9"/>
  <c r="P807" i="9"/>
  <c r="P808" i="9"/>
  <c r="P809" i="9"/>
  <c r="P810" i="9"/>
  <c r="P811" i="9"/>
  <c r="P812" i="9"/>
  <c r="P813" i="9"/>
  <c r="P814" i="9"/>
  <c r="P815" i="9"/>
  <c r="P816" i="9"/>
  <c r="P817" i="9"/>
  <c r="P818" i="9"/>
  <c r="P819" i="9"/>
  <c r="P820" i="9"/>
  <c r="P821" i="9"/>
  <c r="P822" i="9"/>
  <c r="P823" i="9"/>
  <c r="P824" i="9"/>
  <c r="P825" i="9"/>
  <c r="P826" i="9"/>
  <c r="P827" i="9"/>
  <c r="P828" i="9"/>
  <c r="P829" i="9"/>
  <c r="P830" i="9"/>
  <c r="P831" i="9"/>
  <c r="P832" i="9"/>
  <c r="P833" i="9"/>
  <c r="P834" i="9"/>
  <c r="P835" i="9"/>
  <c r="P836" i="9"/>
  <c r="P837" i="9"/>
  <c r="P838" i="9"/>
  <c r="P839" i="9"/>
  <c r="P840" i="9"/>
  <c r="P841" i="9"/>
  <c r="P842" i="9"/>
  <c r="P843" i="9"/>
  <c r="P844" i="9"/>
  <c r="P845" i="9"/>
  <c r="P846" i="9"/>
  <c r="P847" i="9"/>
  <c r="P848" i="9"/>
  <c r="P849" i="9"/>
  <c r="P850" i="9"/>
  <c r="P851" i="9"/>
  <c r="P852" i="9"/>
  <c r="P853" i="9"/>
  <c r="P854" i="9"/>
  <c r="P855" i="9"/>
  <c r="P856" i="9"/>
  <c r="P857" i="9"/>
  <c r="P858" i="9"/>
  <c r="P859" i="9"/>
  <c r="P860" i="9"/>
  <c r="P861" i="9"/>
  <c r="P862" i="9"/>
  <c r="P863" i="9"/>
  <c r="P864" i="9"/>
  <c r="P865" i="9"/>
  <c r="P866" i="9"/>
  <c r="P867" i="9"/>
  <c r="P868" i="9"/>
  <c r="P869" i="9"/>
  <c r="P870" i="9"/>
  <c r="P871" i="9"/>
  <c r="P872" i="9"/>
  <c r="P873" i="9"/>
  <c r="P874" i="9"/>
  <c r="P875" i="9"/>
  <c r="P876" i="9"/>
  <c r="P877" i="9"/>
  <c r="P878" i="9"/>
  <c r="P879" i="9"/>
  <c r="P880" i="9"/>
  <c r="P881" i="9"/>
  <c r="P882" i="9"/>
  <c r="P883" i="9"/>
  <c r="P884" i="9"/>
  <c r="P885" i="9"/>
  <c r="P886" i="9"/>
  <c r="P887" i="9"/>
  <c r="P888" i="9"/>
  <c r="P889" i="9"/>
  <c r="P890" i="9"/>
  <c r="P891" i="9"/>
  <c r="P892" i="9"/>
  <c r="P893" i="9"/>
  <c r="P894" i="9"/>
  <c r="P895" i="9"/>
  <c r="P896" i="9"/>
  <c r="P897" i="9"/>
  <c r="P898" i="9"/>
  <c r="P899" i="9"/>
  <c r="P900" i="9"/>
  <c r="P901" i="9"/>
  <c r="P902" i="9"/>
  <c r="P903" i="9"/>
  <c r="P904" i="9"/>
  <c r="P905" i="9"/>
  <c r="P906" i="9"/>
  <c r="P907" i="9"/>
  <c r="P908" i="9"/>
  <c r="P909" i="9"/>
  <c r="P910" i="9"/>
  <c r="P911" i="9"/>
  <c r="P912" i="9"/>
  <c r="P913" i="9"/>
  <c r="P914" i="9"/>
  <c r="P915" i="9"/>
  <c r="P916" i="9"/>
  <c r="P917" i="9"/>
  <c r="P918" i="9"/>
  <c r="G9" i="1" s="1"/>
  <c r="P919" i="9"/>
  <c r="P920" i="9"/>
  <c r="P921" i="9"/>
  <c r="P922" i="9"/>
  <c r="P923" i="9"/>
  <c r="P924" i="9"/>
  <c r="P925" i="9"/>
  <c r="P926" i="9"/>
  <c r="P927" i="9"/>
  <c r="P928" i="9"/>
  <c r="P929" i="9"/>
  <c r="P930" i="9"/>
  <c r="P931" i="9"/>
  <c r="P932" i="9"/>
  <c r="P933" i="9"/>
  <c r="P934" i="9"/>
  <c r="P935" i="9"/>
  <c r="P936" i="9"/>
  <c r="P937" i="9"/>
  <c r="P938" i="9"/>
  <c r="P939" i="9"/>
  <c r="P940" i="9"/>
  <c r="P941" i="9"/>
  <c r="P942" i="9"/>
  <c r="P943" i="9"/>
  <c r="P944" i="9"/>
  <c r="P945" i="9"/>
  <c r="P946" i="9"/>
  <c r="P947" i="9"/>
  <c r="P948" i="9"/>
  <c r="P949" i="9"/>
  <c r="P950" i="9"/>
  <c r="P951" i="9"/>
  <c r="P952" i="9"/>
  <c r="P953" i="9"/>
  <c r="P954" i="9"/>
  <c r="P955" i="9"/>
  <c r="P956" i="9"/>
  <c r="P957" i="9"/>
  <c r="P958" i="9"/>
  <c r="P959" i="9"/>
  <c r="P960" i="9"/>
  <c r="P961" i="9"/>
  <c r="P962" i="9"/>
  <c r="P963" i="9"/>
  <c r="P964" i="9"/>
  <c r="P965" i="9"/>
  <c r="P966" i="9"/>
  <c r="P967" i="9"/>
  <c r="P968" i="9"/>
  <c r="P969" i="9"/>
  <c r="P970" i="9"/>
  <c r="P971" i="9"/>
  <c r="P972" i="9"/>
  <c r="P973" i="9"/>
  <c r="P974" i="9"/>
  <c r="P975" i="9"/>
  <c r="P976" i="9"/>
  <c r="P977" i="9"/>
  <c r="P978" i="9"/>
  <c r="P979" i="9"/>
  <c r="P980" i="9"/>
  <c r="P981" i="9"/>
  <c r="P982" i="9"/>
  <c r="P983" i="9"/>
  <c r="P984" i="9"/>
  <c r="P985" i="9"/>
  <c r="P986" i="9"/>
  <c r="P987" i="9"/>
  <c r="P988" i="9"/>
  <c r="P989" i="9"/>
  <c r="P990" i="9"/>
  <c r="P991" i="9"/>
  <c r="P992" i="9"/>
  <c r="P993" i="9"/>
  <c r="P994" i="9"/>
  <c r="P995" i="9"/>
  <c r="P996" i="9"/>
  <c r="P997" i="9"/>
  <c r="P998" i="9"/>
  <c r="P999" i="9"/>
  <c r="P1000" i="9"/>
  <c r="P1001" i="9"/>
  <c r="P1002" i="9"/>
  <c r="P1003" i="9"/>
  <c r="P1004" i="9"/>
  <c r="P1005" i="9"/>
  <c r="P1006" i="9"/>
  <c r="P1007" i="9"/>
  <c r="P1008" i="9"/>
  <c r="P1009" i="9"/>
  <c r="P1010" i="9"/>
  <c r="P1011" i="9"/>
  <c r="P1012" i="9"/>
  <c r="P1013" i="9"/>
  <c r="P1014" i="9"/>
  <c r="P1015" i="9"/>
  <c r="P1016" i="9"/>
  <c r="P1017" i="9"/>
  <c r="P1018" i="9"/>
  <c r="P1019" i="9"/>
  <c r="P1020" i="9"/>
  <c r="P1021" i="9"/>
  <c r="P1022" i="9"/>
  <c r="P1023" i="9"/>
  <c r="P1024" i="9"/>
  <c r="P1025" i="9"/>
  <c r="P1026" i="9"/>
  <c r="P1027" i="9"/>
  <c r="P1028" i="9"/>
  <c r="P1029" i="9"/>
  <c r="P1030" i="9"/>
  <c r="P1031" i="9"/>
  <c r="P1032" i="9"/>
  <c r="P1033" i="9"/>
  <c r="P1034" i="9"/>
  <c r="P1035" i="9"/>
  <c r="P1036" i="9"/>
  <c r="P1037" i="9"/>
  <c r="P1038" i="9"/>
  <c r="P1039" i="9"/>
  <c r="P1040" i="9"/>
  <c r="P1041" i="9"/>
  <c r="P1042" i="9"/>
  <c r="P1043" i="9"/>
  <c r="P1044" i="9"/>
  <c r="P1045" i="9"/>
  <c r="P1046" i="9"/>
  <c r="P1047" i="9"/>
  <c r="P1048" i="9"/>
  <c r="P1049" i="9"/>
  <c r="P1050" i="9"/>
  <c r="P1051" i="9"/>
  <c r="P1052" i="9"/>
  <c r="P1053" i="9"/>
  <c r="P1054" i="9"/>
  <c r="P1055" i="9"/>
  <c r="P1056" i="9"/>
  <c r="P1057" i="9"/>
  <c r="P1058" i="9"/>
  <c r="P1059" i="9"/>
  <c r="P1060" i="9"/>
  <c r="P1061" i="9"/>
  <c r="P1062" i="9"/>
  <c r="P1063" i="9"/>
  <c r="P1064" i="9"/>
  <c r="P1065" i="9"/>
  <c r="P1066" i="9"/>
  <c r="P1067" i="9"/>
  <c r="P1068" i="9"/>
  <c r="P1069" i="9"/>
  <c r="P1070" i="9"/>
  <c r="P1071" i="9"/>
  <c r="P1072" i="9"/>
  <c r="P1073" i="9"/>
  <c r="P1074" i="9"/>
  <c r="P1075" i="9"/>
  <c r="P1076" i="9"/>
  <c r="P1077" i="9"/>
  <c r="P1078" i="9"/>
  <c r="P1079" i="9"/>
  <c r="P1080" i="9"/>
  <c r="P1081" i="9"/>
  <c r="P1082" i="9"/>
  <c r="P1083" i="9"/>
  <c r="P1084" i="9"/>
  <c r="P1085" i="9"/>
  <c r="P1086" i="9"/>
  <c r="P1087" i="9"/>
  <c r="P1088" i="9"/>
  <c r="P1089" i="9"/>
  <c r="P1090" i="9"/>
  <c r="P1091" i="9"/>
  <c r="P1092" i="9"/>
  <c r="P1093" i="9"/>
  <c r="P1094" i="9"/>
  <c r="P1095" i="9"/>
  <c r="P1096" i="9"/>
  <c r="P1097" i="9"/>
  <c r="P1098" i="9"/>
  <c r="P1099" i="9"/>
  <c r="P1100" i="9"/>
  <c r="P1101" i="9"/>
  <c r="P1102" i="9"/>
  <c r="P1103" i="9"/>
  <c r="P1104" i="9"/>
  <c r="P1105" i="9"/>
  <c r="P1106" i="9"/>
  <c r="P1107" i="9"/>
  <c r="P1108" i="9"/>
  <c r="P1109" i="9"/>
  <c r="P1110" i="9"/>
  <c r="P1111" i="9"/>
  <c r="P1112" i="9"/>
  <c r="P1113" i="9"/>
  <c r="P1114" i="9"/>
  <c r="P1115" i="9"/>
  <c r="P1116" i="9"/>
  <c r="P1117" i="9"/>
  <c r="P1118" i="9"/>
  <c r="P1119" i="9"/>
  <c r="P1120" i="9"/>
  <c r="P1121" i="9"/>
  <c r="P1122" i="9"/>
  <c r="P1123" i="9"/>
  <c r="P1124" i="9"/>
  <c r="P1125" i="9"/>
  <c r="P1126" i="9"/>
  <c r="P1127" i="9"/>
  <c r="P1128" i="9"/>
  <c r="P1129" i="9"/>
  <c r="P1130" i="9"/>
  <c r="P1131" i="9"/>
  <c r="P1132" i="9"/>
  <c r="P1133" i="9"/>
  <c r="P1134" i="9"/>
  <c r="P1135" i="9"/>
  <c r="P1136" i="9"/>
  <c r="P1137" i="9"/>
  <c r="P1138" i="9"/>
  <c r="P1139" i="9"/>
  <c r="P1140" i="9"/>
  <c r="P1141" i="9"/>
  <c r="P1142" i="9"/>
  <c r="P1143" i="9"/>
  <c r="P1144" i="9"/>
  <c r="P1145" i="9"/>
  <c r="P1146" i="9"/>
  <c r="P1147" i="9"/>
  <c r="P1148" i="9"/>
  <c r="P1149" i="9"/>
  <c r="P1150" i="9"/>
  <c r="P1151" i="9"/>
  <c r="P1152" i="9"/>
  <c r="P1153" i="9"/>
  <c r="P1154" i="9"/>
  <c r="P1155" i="9"/>
  <c r="P1156" i="9"/>
  <c r="P1157" i="9"/>
  <c r="P1158" i="9"/>
  <c r="P1159" i="9"/>
  <c r="P1160" i="9"/>
  <c r="P1161" i="9"/>
  <c r="P1162" i="9"/>
  <c r="P1163" i="9"/>
  <c r="P1164" i="9"/>
  <c r="P1165" i="9"/>
  <c r="P1166" i="9"/>
  <c r="P1167" i="9"/>
  <c r="P1168" i="9"/>
  <c r="P1169" i="9"/>
  <c r="P1170" i="9"/>
  <c r="P1171" i="9"/>
  <c r="P1172" i="9"/>
  <c r="P1173" i="9"/>
  <c r="P1174" i="9"/>
  <c r="P1175" i="9"/>
  <c r="P1176" i="9"/>
  <c r="P1177" i="9"/>
  <c r="P1178" i="9"/>
  <c r="P1179" i="9"/>
  <c r="P1180" i="9"/>
  <c r="P1181" i="9"/>
  <c r="P1182" i="9"/>
  <c r="P1183" i="9"/>
  <c r="P1184" i="9"/>
  <c r="P1185" i="9"/>
  <c r="P1186" i="9"/>
  <c r="P1187" i="9"/>
  <c r="P1188" i="9"/>
  <c r="P1189" i="9"/>
  <c r="P1190" i="9"/>
  <c r="P1191" i="9"/>
  <c r="P1192" i="9"/>
  <c r="P1193" i="9"/>
  <c r="P1194" i="9"/>
  <c r="P1195" i="9"/>
  <c r="P1196" i="9"/>
  <c r="P1197" i="9"/>
  <c r="P1198" i="9"/>
  <c r="P1199" i="9"/>
  <c r="P1200" i="9"/>
  <c r="P1201" i="9"/>
  <c r="P1202" i="9"/>
  <c r="P1203" i="9"/>
  <c r="P1204" i="9"/>
  <c r="P1205" i="9"/>
  <c r="P1206" i="9"/>
  <c r="P1207" i="9"/>
  <c r="P1208" i="9"/>
  <c r="P1209" i="9"/>
  <c r="P1210" i="9"/>
  <c r="P1211" i="9"/>
  <c r="P1212" i="9"/>
  <c r="P1213" i="9"/>
  <c r="P1214" i="9"/>
  <c r="P1215" i="9"/>
  <c r="P1216" i="9"/>
  <c r="P1217" i="9"/>
  <c r="P1218" i="9"/>
  <c r="P1219" i="9"/>
  <c r="P1220" i="9"/>
  <c r="P1221" i="9"/>
  <c r="P1222" i="9"/>
  <c r="P1223" i="9"/>
  <c r="P1224" i="9"/>
  <c r="P1225" i="9"/>
  <c r="P1226" i="9"/>
  <c r="P1227" i="9"/>
  <c r="P1228" i="9"/>
  <c r="P1229" i="9"/>
  <c r="P1230" i="9"/>
  <c r="P1231" i="9"/>
  <c r="P1232" i="9"/>
  <c r="P1233" i="9"/>
  <c r="P1234" i="9"/>
  <c r="P1235" i="9"/>
  <c r="P1236" i="9"/>
  <c r="P1237" i="9"/>
  <c r="P1238" i="9"/>
  <c r="P1239" i="9"/>
  <c r="P1240" i="9"/>
  <c r="P1241" i="9"/>
  <c r="P1242" i="9"/>
  <c r="P1243" i="9"/>
  <c r="P1244" i="9"/>
  <c r="P1245" i="9"/>
  <c r="P1246" i="9"/>
  <c r="P1247" i="9"/>
  <c r="P1248" i="9"/>
  <c r="P1249" i="9"/>
  <c r="P1250" i="9"/>
  <c r="P1251" i="9"/>
  <c r="P1252" i="9"/>
  <c r="P1253" i="9"/>
  <c r="P1254" i="9"/>
  <c r="P1255" i="9"/>
  <c r="P1256" i="9"/>
  <c r="P1257" i="9"/>
  <c r="P1258" i="9"/>
  <c r="P1259" i="9"/>
  <c r="P1260" i="9"/>
  <c r="P1261" i="9"/>
  <c r="P1262" i="9"/>
  <c r="P1263" i="9"/>
  <c r="P1264" i="9"/>
  <c r="P1265" i="9"/>
  <c r="P1266" i="9"/>
  <c r="P1267" i="9"/>
  <c r="P1268" i="9"/>
  <c r="P1269" i="9"/>
  <c r="P1270" i="9"/>
  <c r="P1271" i="9"/>
  <c r="P1272" i="9"/>
  <c r="P1273" i="9"/>
  <c r="P1274" i="9"/>
  <c r="P1275" i="9"/>
  <c r="P1276" i="9"/>
  <c r="P1277" i="9"/>
  <c r="P1278" i="9"/>
  <c r="P1279" i="9"/>
  <c r="P1280" i="9"/>
  <c r="P1281" i="9"/>
  <c r="P1282" i="9"/>
  <c r="P1283" i="9"/>
  <c r="P1284" i="9"/>
  <c r="P1285" i="9"/>
  <c r="P1286" i="9"/>
  <c r="P1287" i="9"/>
  <c r="P1288" i="9"/>
  <c r="P1289" i="9"/>
  <c r="P1290" i="9"/>
  <c r="P1291" i="9"/>
  <c r="P1292" i="9"/>
  <c r="P1293" i="9"/>
  <c r="P1294" i="9"/>
  <c r="P1295" i="9"/>
  <c r="P1296" i="9"/>
  <c r="P1297" i="9"/>
  <c r="P1298" i="9"/>
  <c r="P1299" i="9"/>
  <c r="P1300" i="9"/>
  <c r="P1301" i="9"/>
  <c r="P1302" i="9"/>
  <c r="P1303" i="9"/>
  <c r="P1304" i="9"/>
  <c r="P1305" i="9"/>
  <c r="P1306" i="9"/>
  <c r="P1307" i="9"/>
  <c r="P1308" i="9"/>
  <c r="P1309" i="9"/>
  <c r="P1310" i="9"/>
  <c r="P1311" i="9"/>
  <c r="P1312" i="9"/>
  <c r="P1313" i="9"/>
  <c r="P1314" i="9"/>
  <c r="P1315" i="9"/>
  <c r="P1316" i="9"/>
  <c r="P1317" i="9"/>
  <c r="P1318" i="9"/>
  <c r="P1319" i="9"/>
  <c r="P1320" i="9"/>
  <c r="P1321" i="9"/>
  <c r="P1322" i="9"/>
  <c r="P1323" i="9"/>
  <c r="P1324" i="9"/>
  <c r="P1325" i="9"/>
  <c r="P1326" i="9"/>
  <c r="P1327" i="9"/>
  <c r="P1328" i="9"/>
  <c r="P1329" i="9"/>
  <c r="P1330" i="9"/>
  <c r="P1331" i="9"/>
  <c r="P1332" i="9"/>
  <c r="P1333" i="9"/>
  <c r="P1334" i="9"/>
  <c r="P1335" i="9"/>
  <c r="P1336" i="9"/>
  <c r="P1337" i="9"/>
  <c r="P1338" i="9"/>
  <c r="P1339" i="9"/>
  <c r="P1340" i="9"/>
  <c r="P1341" i="9"/>
  <c r="P1342" i="9"/>
  <c r="P1343" i="9"/>
  <c r="P1344" i="9"/>
  <c r="P1345" i="9"/>
  <c r="P1346" i="9"/>
  <c r="P1347" i="9"/>
  <c r="P1348" i="9"/>
  <c r="P1349" i="9"/>
  <c r="P1350" i="9"/>
  <c r="P1351" i="9"/>
  <c r="P1352" i="9"/>
  <c r="P1353" i="9"/>
  <c r="P1354" i="9"/>
  <c r="P1355" i="9"/>
  <c r="P1356" i="9"/>
  <c r="P1357" i="9"/>
  <c r="P1358" i="9"/>
  <c r="P1359" i="9"/>
  <c r="P1360" i="9"/>
  <c r="P1361" i="9"/>
  <c r="P1362" i="9"/>
  <c r="P1363" i="9"/>
  <c r="P1364" i="9"/>
  <c r="P1365" i="9"/>
  <c r="P1366" i="9"/>
  <c r="P1367" i="9"/>
  <c r="P1368" i="9"/>
  <c r="P1369" i="9"/>
  <c r="P1370" i="9"/>
  <c r="P1371" i="9"/>
  <c r="P1372" i="9"/>
  <c r="P1373" i="9"/>
  <c r="P1374" i="9"/>
  <c r="P1375" i="9"/>
  <c r="P1376" i="9"/>
  <c r="P1377" i="9"/>
  <c r="P1378" i="9"/>
  <c r="P1379" i="9"/>
  <c r="P1380" i="9"/>
  <c r="P1381" i="9"/>
  <c r="P1382" i="9"/>
  <c r="P1383" i="9"/>
  <c r="P1384" i="9"/>
  <c r="P1385" i="9"/>
  <c r="P1386" i="9"/>
  <c r="P1387" i="9"/>
  <c r="P1388" i="9"/>
  <c r="P1389" i="9"/>
  <c r="P1390" i="9"/>
  <c r="P1391" i="9"/>
  <c r="P1392" i="9"/>
  <c r="P1393" i="9"/>
  <c r="P1394" i="9"/>
  <c r="P1395" i="9"/>
  <c r="P1396" i="9"/>
  <c r="P1397" i="9"/>
  <c r="P1398" i="9"/>
  <c r="P1399" i="9"/>
  <c r="P1400" i="9"/>
  <c r="P1401" i="9"/>
  <c r="P1402" i="9"/>
  <c r="P1403" i="9"/>
  <c r="P1404" i="9"/>
  <c r="P1405" i="9"/>
  <c r="P1406" i="9"/>
  <c r="P1407" i="9"/>
  <c r="P1408" i="9"/>
  <c r="P1409" i="9"/>
  <c r="P1410" i="9"/>
  <c r="P1411" i="9"/>
  <c r="P1412" i="9"/>
  <c r="P1413" i="9"/>
  <c r="P1414" i="9"/>
  <c r="P1415" i="9"/>
  <c r="P1416" i="9"/>
  <c r="P1417" i="9"/>
  <c r="P1418" i="9"/>
  <c r="P1419" i="9"/>
  <c r="P1420" i="9"/>
  <c r="P1421" i="9"/>
  <c r="P1422" i="9"/>
  <c r="P1423" i="9"/>
  <c r="P1424" i="9"/>
  <c r="P1425" i="9"/>
  <c r="P1426" i="9"/>
  <c r="P1427" i="9"/>
  <c r="P1428" i="9"/>
  <c r="P1429" i="9"/>
  <c r="P1430" i="9"/>
  <c r="P1431" i="9"/>
  <c r="P1432" i="9"/>
  <c r="P1433" i="9"/>
  <c r="P1434" i="9"/>
  <c r="P1435" i="9"/>
  <c r="P1436" i="9"/>
  <c r="P1437" i="9"/>
  <c r="P1438" i="9"/>
  <c r="P1439" i="9"/>
  <c r="P1440" i="9"/>
  <c r="P1441" i="9"/>
  <c r="P1442" i="9"/>
  <c r="P1443" i="9"/>
  <c r="P1444" i="9"/>
  <c r="P1445" i="9"/>
  <c r="P1446" i="9"/>
  <c r="P1447" i="9"/>
  <c r="P1448" i="9"/>
  <c r="P1449" i="9"/>
  <c r="P1450" i="9"/>
  <c r="P1451" i="9"/>
  <c r="P1452" i="9"/>
  <c r="P1453" i="9"/>
  <c r="P1454" i="9"/>
  <c r="P1455" i="9"/>
  <c r="P1456" i="9"/>
  <c r="P1457" i="9"/>
  <c r="P1458" i="9"/>
  <c r="P1459" i="9"/>
  <c r="P1460" i="9"/>
  <c r="P1461" i="9"/>
  <c r="P1462" i="9"/>
  <c r="P1463" i="9"/>
  <c r="P1464" i="9"/>
  <c r="P1465" i="9"/>
  <c r="P1466" i="9"/>
  <c r="P1467" i="9"/>
  <c r="P1468" i="9"/>
  <c r="P1469" i="9"/>
  <c r="P1470" i="9"/>
  <c r="P1471" i="9"/>
  <c r="P1472" i="9"/>
  <c r="P1473" i="9"/>
  <c r="P1474" i="9"/>
  <c r="P1475" i="9"/>
  <c r="P1476" i="9"/>
  <c r="P1477" i="9"/>
  <c r="P1478" i="9"/>
  <c r="P1479" i="9"/>
  <c r="P1480" i="9"/>
  <c r="P1481" i="9"/>
  <c r="P1482" i="9"/>
  <c r="P1483" i="9"/>
  <c r="P1484" i="9"/>
  <c r="P1485" i="9"/>
  <c r="P1486" i="9"/>
  <c r="P1487" i="9"/>
  <c r="P1488" i="9"/>
  <c r="P1489" i="9"/>
  <c r="P1490" i="9"/>
  <c r="P1491" i="9"/>
  <c r="P1492" i="9"/>
  <c r="P1493" i="9"/>
  <c r="P1494" i="9"/>
  <c r="P1495" i="9"/>
  <c r="P1496" i="9"/>
  <c r="P1497" i="9"/>
  <c r="P1498" i="9"/>
  <c r="P1499" i="9"/>
  <c r="P1500" i="9"/>
  <c r="P1501" i="9"/>
  <c r="P1502" i="9"/>
  <c r="P1503" i="9"/>
  <c r="P1504" i="9"/>
  <c r="P1505" i="9"/>
  <c r="P1506" i="9"/>
  <c r="P1507" i="9"/>
  <c r="P1508" i="9"/>
  <c r="P1509" i="9"/>
  <c r="P1510" i="9"/>
  <c r="P1511" i="9"/>
  <c r="P1512" i="9"/>
  <c r="P1513" i="9"/>
  <c r="P1514" i="9"/>
  <c r="P1515" i="9"/>
  <c r="P1516" i="9"/>
  <c r="P1517" i="9"/>
  <c r="P1518" i="9"/>
  <c r="P1519" i="9"/>
  <c r="P1520" i="9"/>
  <c r="P1521" i="9"/>
  <c r="P1522" i="9"/>
  <c r="P1523" i="9"/>
  <c r="P1524" i="9"/>
  <c r="P1525" i="9"/>
  <c r="P1526" i="9"/>
  <c r="P1527" i="9"/>
  <c r="P1528" i="9"/>
  <c r="P1529" i="9"/>
  <c r="P1530" i="9"/>
  <c r="P1531" i="9"/>
  <c r="P1532" i="9"/>
  <c r="P1533" i="9"/>
  <c r="P1534" i="9"/>
  <c r="P1535" i="9"/>
  <c r="P1536" i="9"/>
  <c r="P1537" i="9"/>
  <c r="P1538" i="9"/>
  <c r="P1539" i="9"/>
  <c r="P1540" i="9"/>
  <c r="P1541" i="9"/>
  <c r="P1542" i="9"/>
  <c r="P1543" i="9"/>
  <c r="P1544" i="9"/>
  <c r="P1545" i="9"/>
  <c r="P1546" i="9"/>
  <c r="P1547" i="9"/>
  <c r="P1548" i="9"/>
  <c r="P1549" i="9"/>
  <c r="P1550" i="9"/>
  <c r="P1551" i="9"/>
  <c r="P1552" i="9"/>
  <c r="P1553" i="9"/>
  <c r="P1554" i="9"/>
  <c r="P1555" i="9"/>
  <c r="P1556" i="9"/>
  <c r="P1557" i="9"/>
  <c r="P1558" i="9"/>
  <c r="P1559" i="9"/>
  <c r="P1560" i="9"/>
  <c r="P1561" i="9"/>
  <c r="P1562" i="9"/>
  <c r="P1563" i="9"/>
  <c r="P1564" i="9"/>
  <c r="P1565" i="9"/>
  <c r="P1566" i="9"/>
  <c r="P1567" i="9"/>
  <c r="P1568" i="9"/>
  <c r="P1569" i="9"/>
  <c r="P1570" i="9"/>
  <c r="P1571" i="9"/>
  <c r="P1572" i="9"/>
  <c r="P1573" i="9"/>
  <c r="P1574" i="9"/>
  <c r="P1575" i="9"/>
  <c r="P1576" i="9"/>
  <c r="P1577" i="9"/>
  <c r="P1578" i="9"/>
  <c r="P1579" i="9"/>
  <c r="P1580" i="9"/>
  <c r="P1581" i="9"/>
  <c r="P1582" i="9"/>
  <c r="P1583" i="9"/>
  <c r="P1584" i="9"/>
  <c r="P1585" i="9"/>
  <c r="P1586" i="9"/>
  <c r="P1587" i="9"/>
  <c r="P1588" i="9"/>
  <c r="P1589" i="9"/>
  <c r="P1590" i="9"/>
  <c r="P1591" i="9"/>
  <c r="P1592" i="9"/>
  <c r="P1593" i="9"/>
  <c r="P1594" i="9"/>
  <c r="P1595" i="9"/>
  <c r="P1596" i="9"/>
  <c r="P1597" i="9"/>
  <c r="P1598" i="9"/>
  <c r="P1599" i="9"/>
  <c r="P1600" i="9"/>
  <c r="P1601" i="9"/>
  <c r="P1602" i="9"/>
  <c r="P1603" i="9"/>
  <c r="P1604" i="9"/>
  <c r="P1605" i="9"/>
  <c r="P1606" i="9"/>
  <c r="P1607" i="9"/>
  <c r="P1608" i="9"/>
  <c r="P1609" i="9"/>
  <c r="P1610" i="9"/>
  <c r="P1611" i="9"/>
  <c r="P1612" i="9"/>
  <c r="P1613" i="9"/>
  <c r="P1614" i="9"/>
  <c r="P1615" i="9"/>
  <c r="P1616" i="9"/>
  <c r="P1617" i="9"/>
  <c r="P1618" i="9"/>
  <c r="P1619" i="9"/>
  <c r="P1620" i="9"/>
  <c r="P1621" i="9"/>
  <c r="P1622" i="9"/>
  <c r="P1623" i="9"/>
  <c r="P1624" i="9"/>
  <c r="P1625" i="9"/>
  <c r="P1626" i="9"/>
  <c r="P1627" i="9"/>
  <c r="P1628" i="9"/>
  <c r="P1629" i="9"/>
  <c r="P1630" i="9"/>
  <c r="P1631" i="9"/>
  <c r="P1632" i="9"/>
  <c r="P1633" i="9"/>
  <c r="P1634" i="9"/>
  <c r="P1635" i="9"/>
  <c r="P1636" i="9"/>
  <c r="P1637" i="9"/>
  <c r="P1638" i="9"/>
  <c r="P1639" i="9"/>
  <c r="P1640" i="9"/>
  <c r="P1641" i="9"/>
  <c r="P1642" i="9"/>
  <c r="P1643" i="9"/>
  <c r="P1644" i="9"/>
  <c r="P1645" i="9"/>
  <c r="P1646" i="9"/>
  <c r="P1647" i="9"/>
  <c r="P1648" i="9"/>
  <c r="P1649" i="9"/>
  <c r="P1650" i="9"/>
  <c r="P1651" i="9"/>
  <c r="P1652" i="9"/>
  <c r="P1653" i="9"/>
  <c r="P1654" i="9"/>
  <c r="P1655" i="9"/>
  <c r="P2" i="9"/>
  <c r="O1193" i="9"/>
  <c r="O1253" i="9"/>
  <c r="O1254" i="9"/>
  <c r="O1322" i="9"/>
  <c r="O1323" i="9"/>
  <c r="O1382" i="9"/>
  <c r="O1383" i="9"/>
  <c r="O1384" i="9"/>
  <c r="O1385" i="9"/>
  <c r="O1386" i="9"/>
  <c r="O1194" i="9"/>
  <c r="O1387" i="9"/>
  <c r="O1599" i="9"/>
  <c r="O1255" i="9"/>
  <c r="O1324" i="9"/>
  <c r="O1538" i="9"/>
  <c r="O1600" i="9"/>
  <c r="O1195" i="9"/>
  <c r="O1539" i="9"/>
  <c r="O1196" i="9"/>
  <c r="O1256" i="9"/>
  <c r="O1388" i="9"/>
  <c r="O1389" i="9"/>
  <c r="O1442" i="9"/>
  <c r="O1390" i="9"/>
  <c r="O1257" i="9"/>
  <c r="O1540" i="9"/>
  <c r="O1391" i="9"/>
  <c r="O1392" i="9"/>
  <c r="O1197" i="9"/>
  <c r="O1198" i="9"/>
  <c r="O1258" i="9"/>
  <c r="O1259" i="9"/>
  <c r="O1601" i="9"/>
  <c r="O1325" i="9"/>
  <c r="O1326" i="9"/>
  <c r="O1482" i="9"/>
  <c r="O1199" i="9"/>
  <c r="O1200" i="9"/>
  <c r="O1260" i="9"/>
  <c r="O1327" i="9"/>
  <c r="O1328" i="9"/>
  <c r="O1443" i="9"/>
  <c r="O1483" i="9"/>
  <c r="O1201" i="9"/>
  <c r="O1602" i="9"/>
  <c r="O1603" i="9"/>
  <c r="O1393" i="9"/>
  <c r="O1604" i="9"/>
  <c r="O1605" i="9"/>
  <c r="O1606" i="9"/>
  <c r="O1607" i="9"/>
  <c r="O1329" i="9"/>
  <c r="O1541" i="9"/>
  <c r="O1444" i="9"/>
  <c r="O1484" i="9"/>
  <c r="O1394" i="9"/>
  <c r="O1261" i="9"/>
  <c r="O1608" i="9"/>
  <c r="O1445" i="9"/>
  <c r="O1262" i="9"/>
  <c r="O1202" i="9"/>
  <c r="O1485" i="9"/>
  <c r="O1486" i="9"/>
  <c r="O1146" i="9"/>
  <c r="O1147" i="9"/>
  <c r="O1203" i="9"/>
  <c r="O1609" i="9"/>
  <c r="O1610" i="9"/>
  <c r="O1148" i="9"/>
  <c r="O1263" i="9"/>
  <c r="O1149" i="9"/>
  <c r="O1204" i="9"/>
  <c r="O1264" i="9"/>
  <c r="O1542" i="9"/>
  <c r="O1543" i="9"/>
  <c r="O1611" i="9"/>
  <c r="O1150" i="9"/>
  <c r="O1487" i="9"/>
  <c r="O1395" i="9"/>
  <c r="O1446" i="9"/>
  <c r="O1153" i="9"/>
  <c r="O1154" i="9"/>
  <c r="O1205" i="9"/>
  <c r="O1265" i="9"/>
  <c r="O1396" i="9"/>
  <c r="O1397" i="9"/>
  <c r="O1544" i="9"/>
  <c r="O1545" i="9"/>
  <c r="O1546" i="9"/>
  <c r="O1206" i="9"/>
  <c r="O1447" i="9"/>
  <c r="O1488" i="9"/>
  <c r="O1547" i="9"/>
  <c r="O1548" i="9"/>
  <c r="O1207" i="9"/>
  <c r="O1489" i="9"/>
  <c r="O1549" i="9"/>
  <c r="O1157" i="9"/>
  <c r="O1158" i="9"/>
  <c r="O1266" i="9"/>
  <c r="O1398" i="9"/>
  <c r="O1159" i="9"/>
  <c r="O1612" i="9"/>
  <c r="O1160" i="9"/>
  <c r="O1208" i="9"/>
  <c r="O1330" i="9"/>
  <c r="O1331" i="9"/>
  <c r="O1399" i="9"/>
  <c r="O1613" i="9"/>
  <c r="O1161" i="9"/>
  <c r="O1209" i="9"/>
  <c r="O1210" i="9"/>
  <c r="O1267" i="9"/>
  <c r="O1268" i="9"/>
  <c r="O1332" i="9"/>
  <c r="O1333" i="9"/>
  <c r="O1334" i="9"/>
  <c r="O1400" i="9"/>
  <c r="O1401" i="9"/>
  <c r="O1402" i="9"/>
  <c r="O1448" i="9"/>
  <c r="O1490" i="9"/>
  <c r="O1550" i="9"/>
  <c r="O1614" i="9"/>
  <c r="O1335" i="9"/>
  <c r="O1403" i="9"/>
  <c r="O1491" i="9"/>
  <c r="O1211" i="9"/>
  <c r="O1449" i="9"/>
  <c r="O1492" i="9"/>
  <c r="O1615" i="9"/>
  <c r="O1616" i="9"/>
  <c r="O1336" i="9"/>
  <c r="O1212" i="9"/>
  <c r="O1404" i="9"/>
  <c r="O1450" i="9"/>
  <c r="O1405" i="9"/>
  <c r="O1406" i="9"/>
  <c r="O1617" i="9"/>
  <c r="O1337" i="9"/>
  <c r="O1269" i="9"/>
  <c r="O1451" i="9"/>
  <c r="O1618" i="9"/>
  <c r="O1270" i="9"/>
  <c r="O1407" i="9"/>
  <c r="O1452" i="9"/>
  <c r="O1619" i="9"/>
  <c r="O1493" i="9"/>
  <c r="O1271" i="9"/>
  <c r="O1494" i="9"/>
  <c r="O1620" i="9"/>
  <c r="O1272" i="9"/>
  <c r="O1338" i="9"/>
  <c r="O1408" i="9"/>
  <c r="O1453" i="9"/>
  <c r="O1495" i="9"/>
  <c r="O1409" i="9"/>
  <c r="O1454" i="9"/>
  <c r="O1496" i="9"/>
  <c r="O1497" i="9"/>
  <c r="O1551" i="9"/>
  <c r="O1621" i="9"/>
  <c r="O1622" i="9"/>
  <c r="O1623" i="9"/>
  <c r="O1552" i="9"/>
  <c r="O1213" i="9"/>
  <c r="O1624" i="9"/>
  <c r="O1625" i="9"/>
  <c r="O1273" i="9"/>
  <c r="O1410" i="9"/>
  <c r="O1411" i="9"/>
  <c r="O1498" i="9"/>
  <c r="O1499" i="9"/>
  <c r="O1626" i="9"/>
  <c r="O1274" i="9"/>
  <c r="O1275" i="9"/>
  <c r="O1276" i="9"/>
  <c r="O1339" i="9"/>
  <c r="O1277" i="9"/>
  <c r="O1412" i="9"/>
  <c r="O1172" i="9"/>
  <c r="O1173" i="9"/>
  <c r="O1174" i="9"/>
  <c r="O1175" i="9"/>
  <c r="O1500" i="9"/>
  <c r="O1278" i="9"/>
  <c r="O1413" i="9"/>
  <c r="O1414" i="9"/>
  <c r="O1553" i="9"/>
  <c r="O1279" i="9"/>
  <c r="O1415" i="9"/>
  <c r="O1501" i="9"/>
  <c r="O1214" i="9"/>
  <c r="O1627" i="9"/>
  <c r="O1628" i="9"/>
  <c r="O1554" i="9"/>
  <c r="O1555" i="9"/>
  <c r="O1556" i="9"/>
  <c r="O1557" i="9"/>
  <c r="O1455" i="9"/>
  <c r="O1558" i="9"/>
  <c r="O1215" i="9"/>
  <c r="O1280" i="9"/>
  <c r="O1559" i="9"/>
  <c r="O1176" i="9"/>
  <c r="O1502" i="9"/>
  <c r="O1503" i="9"/>
  <c r="O1216" i="9"/>
  <c r="O1629" i="9"/>
  <c r="O1340" i="9"/>
  <c r="O1416" i="9"/>
  <c r="O1177" i="9"/>
  <c r="O1217" i="9"/>
  <c r="O1281" i="9"/>
  <c r="O1218" i="9"/>
  <c r="O1630" i="9"/>
  <c r="O1282" i="9"/>
  <c r="O1283" i="9"/>
  <c r="O1341" i="9"/>
  <c r="O1342" i="9"/>
  <c r="O1343" i="9"/>
  <c r="O1417" i="9"/>
  <c r="O1504" i="9"/>
  <c r="O1505" i="9"/>
  <c r="O1631" i="9"/>
  <c r="O1456" i="9"/>
  <c r="O1560" i="9"/>
  <c r="O1457" i="9"/>
  <c r="O1458" i="9"/>
  <c r="O1418" i="9"/>
  <c r="O1419" i="9"/>
  <c r="O1284" i="9"/>
  <c r="O1344" i="9"/>
  <c r="O1285" i="9"/>
  <c r="O1459" i="9"/>
  <c r="O1219" i="9"/>
  <c r="O1286" i="9"/>
  <c r="O1345" i="9"/>
  <c r="O1346" i="9"/>
  <c r="O1347" i="9"/>
  <c r="O1420" i="9"/>
  <c r="O1460" i="9"/>
  <c r="O1461" i="9"/>
  <c r="O1462" i="9"/>
  <c r="O1561" i="9"/>
  <c r="O1562" i="9"/>
  <c r="O1463" i="9"/>
  <c r="O1421" i="9"/>
  <c r="O1464" i="9"/>
  <c r="O1632" i="9"/>
  <c r="O1506" i="9"/>
  <c r="O1287" i="9"/>
  <c r="O1348" i="9"/>
  <c r="O1633" i="9"/>
  <c r="O1288" i="9"/>
  <c r="O1289" i="9"/>
  <c r="O1563" i="9"/>
  <c r="O1465" i="9"/>
  <c r="O1180" i="9"/>
  <c r="O1181" i="9"/>
  <c r="O1220" i="9"/>
  <c r="O1466" i="9"/>
  <c r="O1507" i="9"/>
  <c r="O1564" i="9"/>
  <c r="O1634" i="9"/>
  <c r="O1221" i="9"/>
  <c r="O1222" i="9"/>
  <c r="O1223" i="9"/>
  <c r="O1224" i="9"/>
  <c r="O1290" i="9"/>
  <c r="O1291" i="9"/>
  <c r="O1292" i="9"/>
  <c r="O1349" i="9"/>
  <c r="O1350" i="9"/>
  <c r="O1351" i="9"/>
  <c r="O1352" i="9"/>
  <c r="O1565" i="9"/>
  <c r="O1566" i="9"/>
  <c r="O1567" i="9"/>
  <c r="O1635" i="9"/>
  <c r="O1636" i="9"/>
  <c r="O1182" i="9"/>
  <c r="O1183" i="9"/>
  <c r="O1184" i="9"/>
  <c r="O1185" i="9"/>
  <c r="O1186" i="9"/>
  <c r="O1225" i="9"/>
  <c r="O1226" i="9"/>
  <c r="O1227" i="9"/>
  <c r="O1228" i="9"/>
  <c r="O1229" i="9"/>
  <c r="O1230" i="9"/>
  <c r="O1231" i="9"/>
  <c r="O1232" i="9"/>
  <c r="O1293" i="9"/>
  <c r="O1294" i="9"/>
  <c r="O1353" i="9"/>
  <c r="O1354" i="9"/>
  <c r="O1355" i="9"/>
  <c r="O1356" i="9"/>
  <c r="O1357" i="9"/>
  <c r="O1358" i="9"/>
  <c r="O1359" i="9"/>
  <c r="O1360" i="9"/>
  <c r="O1361" i="9"/>
  <c r="O1362" i="9"/>
  <c r="O1363" i="9"/>
  <c r="O1364" i="9"/>
  <c r="O1365" i="9"/>
  <c r="O1366" i="9"/>
  <c r="O1367" i="9"/>
  <c r="O1422" i="9"/>
  <c r="O1423" i="9"/>
  <c r="O1424" i="9"/>
  <c r="O1425" i="9"/>
  <c r="O1426" i="9"/>
  <c r="O1467" i="9"/>
  <c r="O1468" i="9"/>
  <c r="O1469" i="9"/>
  <c r="O1470" i="9"/>
  <c r="O1471" i="9"/>
  <c r="O1472" i="9"/>
  <c r="O1508" i="9"/>
  <c r="O1509" i="9"/>
  <c r="O1510" i="9"/>
  <c r="O1511" i="9"/>
  <c r="O1512" i="9"/>
  <c r="O1513" i="9"/>
  <c r="O1568" i="9"/>
  <c r="O1569" i="9"/>
  <c r="O1570" i="9"/>
  <c r="O1571" i="9"/>
  <c r="O1572" i="9"/>
  <c r="O1573" i="9"/>
  <c r="O1574" i="9"/>
  <c r="O1575" i="9"/>
  <c r="O1576" i="9"/>
  <c r="O1577" i="9"/>
  <c r="O1578" i="9"/>
  <c r="O1579" i="9"/>
  <c r="O1580" i="9"/>
  <c r="O1637" i="9"/>
  <c r="O1638" i="9"/>
  <c r="O1639" i="9"/>
  <c r="O1640" i="9"/>
  <c r="O1641" i="9"/>
  <c r="O1642" i="9"/>
  <c r="O1643" i="9"/>
  <c r="O1644" i="9"/>
  <c r="O1645" i="9"/>
  <c r="O1646" i="9"/>
  <c r="O1187" i="9"/>
  <c r="O1233" i="9"/>
  <c r="O1234" i="9"/>
  <c r="O1235" i="9"/>
  <c r="O1236" i="9"/>
  <c r="O1237" i="9"/>
  <c r="O1238" i="9"/>
  <c r="O1239" i="9"/>
  <c r="O1240" i="9"/>
  <c r="O1241" i="9"/>
  <c r="O1295" i="9"/>
  <c r="O1296" i="9"/>
  <c r="O1297" i="9"/>
  <c r="O1298" i="9"/>
  <c r="O1299" i="9"/>
  <c r="O1300" i="9"/>
  <c r="O1301" i="9"/>
  <c r="O1302" i="9"/>
  <c r="O1303" i="9"/>
  <c r="O1368" i="9"/>
  <c r="O1369" i="9"/>
  <c r="O1370" i="9"/>
  <c r="O1371" i="9"/>
  <c r="O1427" i="9"/>
  <c r="O1428" i="9"/>
  <c r="O1429" i="9"/>
  <c r="O1430" i="9"/>
  <c r="O1431" i="9"/>
  <c r="O1432" i="9"/>
  <c r="O1433" i="9"/>
  <c r="O1473" i="9"/>
  <c r="O1474" i="9"/>
  <c r="O1475" i="9"/>
  <c r="O1476" i="9"/>
  <c r="O1477" i="9"/>
  <c r="O1478" i="9"/>
  <c r="O1514" i="9"/>
  <c r="O1515" i="9"/>
  <c r="O1516" i="9"/>
  <c r="O1517" i="9"/>
  <c r="O1518" i="9"/>
  <c r="O1519" i="9"/>
  <c r="O1520" i="9"/>
  <c r="O1521" i="9"/>
  <c r="O1522" i="9"/>
  <c r="O1523" i="9"/>
  <c r="O1524" i="9"/>
  <c r="O1525" i="9"/>
  <c r="O1581" i="9"/>
  <c r="O1582" i="9"/>
  <c r="O1583" i="9"/>
  <c r="O1584" i="9"/>
  <c r="O1647" i="9"/>
  <c r="O1648" i="9"/>
  <c r="O1649" i="9"/>
  <c r="O1650" i="9"/>
  <c r="O1651" i="9"/>
  <c r="O1652" i="9"/>
  <c r="O1188" i="9"/>
  <c r="O1189" i="9"/>
  <c r="O1190" i="9"/>
  <c r="O1242" i="9"/>
  <c r="O1243" i="9"/>
  <c r="O1244" i="9"/>
  <c r="O1245" i="9"/>
  <c r="O1304" i="9"/>
  <c r="O1305" i="9"/>
  <c r="O1306" i="9"/>
  <c r="O1307" i="9"/>
  <c r="O1308" i="9"/>
  <c r="O1372" i="9"/>
  <c r="O1373" i="9"/>
  <c r="O1374" i="9"/>
  <c r="O1375" i="9"/>
  <c r="O1434" i="9"/>
  <c r="O1435" i="9"/>
  <c r="O1436" i="9"/>
  <c r="O1437" i="9"/>
  <c r="O1438" i="9"/>
  <c r="O1439" i="9"/>
  <c r="O1440" i="9"/>
  <c r="O1479" i="9"/>
  <c r="O1526" i="9"/>
  <c r="O1527" i="9"/>
  <c r="O1528" i="9"/>
  <c r="O1529" i="9"/>
  <c r="O1530" i="9"/>
  <c r="O1531" i="9"/>
  <c r="O1532" i="9"/>
  <c r="O1533" i="9"/>
  <c r="O1585" i="9"/>
  <c r="O1586" i="9"/>
  <c r="O1587" i="9"/>
  <c r="O1588" i="9"/>
  <c r="O1589" i="9"/>
  <c r="O1653" i="9"/>
  <c r="O1246" i="9"/>
  <c r="O1247" i="9"/>
  <c r="O1309" i="9"/>
  <c r="O1310" i="9"/>
  <c r="O1311" i="9"/>
  <c r="O1312" i="9"/>
  <c r="O1313" i="9"/>
  <c r="O1314" i="9"/>
  <c r="O1315" i="9"/>
  <c r="O1316" i="9"/>
  <c r="O1317" i="9"/>
  <c r="O1318" i="9"/>
  <c r="O1590" i="9"/>
  <c r="O1591" i="9"/>
  <c r="O1592" i="9"/>
  <c r="O1593" i="9"/>
  <c r="O1654" i="9"/>
  <c r="O1191" i="9"/>
  <c r="O1192" i="9"/>
  <c r="O1248" i="9"/>
  <c r="O1249" i="9"/>
  <c r="O1250" i="9"/>
  <c r="O1251" i="9"/>
  <c r="O1252" i="9"/>
  <c r="O1319" i="9"/>
  <c r="O1320" i="9"/>
  <c r="O1321" i="9"/>
  <c r="O1376" i="9"/>
  <c r="O1377" i="9"/>
  <c r="O1378" i="9"/>
  <c r="O1379" i="9"/>
  <c r="O1380" i="9"/>
  <c r="O1381" i="9"/>
  <c r="O1441" i="9"/>
  <c r="O1480" i="9"/>
  <c r="O1481" i="9"/>
  <c r="O1534" i="9"/>
  <c r="O1535" i="9"/>
  <c r="O1536" i="9"/>
  <c r="O1537" i="9"/>
  <c r="O1594" i="9"/>
  <c r="O1595" i="9"/>
  <c r="O1596" i="9"/>
  <c r="O1597" i="9"/>
  <c r="O1598" i="9"/>
  <c r="O1655" i="9"/>
  <c r="S3" i="9"/>
  <c r="S2" i="9"/>
  <c r="L1654" i="9"/>
  <c r="L1653" i="9"/>
  <c r="L1651" i="9"/>
  <c r="L1650" i="9"/>
  <c r="L1649" i="9"/>
  <c r="L1648" i="9"/>
  <c r="L1647" i="9"/>
  <c r="L1636" i="9"/>
  <c r="L1635" i="9"/>
  <c r="L1634" i="9"/>
  <c r="L1614" i="9"/>
  <c r="L1613" i="9"/>
  <c r="L1612" i="9"/>
  <c r="L1611" i="9"/>
  <c r="L1609" i="9"/>
  <c r="L1628" i="9"/>
  <c r="L1627" i="9"/>
  <c r="L1608" i="9"/>
  <c r="L1655" i="9"/>
  <c r="L1652" i="9"/>
  <c r="L1646" i="9"/>
  <c r="L1645" i="9"/>
  <c r="L1644" i="9"/>
  <c r="L1643" i="9"/>
  <c r="L1642" i="9"/>
  <c r="L1641" i="9"/>
  <c r="L1640" i="9"/>
  <c r="L1639" i="9"/>
  <c r="L1638" i="9"/>
  <c r="L1637" i="9"/>
  <c r="L1633" i="9"/>
  <c r="L1632" i="9"/>
  <c r="L1631" i="9"/>
  <c r="L1630" i="9"/>
  <c r="L1629" i="9"/>
  <c r="L1626" i="9"/>
  <c r="L1625" i="9"/>
  <c r="L1624" i="9"/>
  <c r="L1623" i="9"/>
  <c r="L1622" i="9"/>
  <c r="L1621" i="9"/>
  <c r="L1620" i="9"/>
  <c r="L1619" i="9"/>
  <c r="L1618" i="9"/>
  <c r="L1617" i="9"/>
  <c r="L1616" i="9"/>
  <c r="L1615" i="9"/>
  <c r="L1610" i="9"/>
  <c r="L1606" i="9"/>
  <c r="L1605" i="9"/>
  <c r="L1607" i="9"/>
  <c r="L1604" i="9"/>
  <c r="L1603" i="9"/>
  <c r="L1602" i="9"/>
  <c r="L1601" i="9"/>
  <c r="L1600" i="9"/>
  <c r="L1599" i="9"/>
  <c r="G2" i="1" l="1"/>
  <c r="G29" i="1"/>
  <c r="G17" i="1"/>
  <c r="G5" i="1"/>
  <c r="G21" i="1"/>
  <c r="G13" i="1"/>
  <c r="G4" i="1"/>
  <c r="G25" i="1"/>
  <c r="G32" i="1"/>
  <c r="G28" i="1"/>
  <c r="G24" i="1"/>
  <c r="G20" i="1"/>
  <c r="G16" i="1"/>
  <c r="G12" i="1"/>
  <c r="G8" i="1"/>
  <c r="G31" i="1"/>
  <c r="G27" i="1"/>
  <c r="G23" i="1"/>
  <c r="G19" i="1"/>
  <c r="G15" i="1"/>
  <c r="G11" i="1"/>
  <c r="G7" i="1"/>
  <c r="G3" i="1"/>
  <c r="G30" i="1"/>
  <c r="G26" i="1"/>
  <c r="G22" i="1"/>
  <c r="G18" i="1"/>
  <c r="G14" i="1"/>
  <c r="G10" i="1"/>
  <c r="L1592" i="9"/>
  <c r="L1591" i="9"/>
  <c r="L1590" i="9"/>
  <c r="L1587" i="9"/>
  <c r="L1586" i="9"/>
  <c r="L1585" i="9"/>
  <c r="L1583" i="9"/>
  <c r="L1582" i="9"/>
  <c r="L1581" i="9"/>
  <c r="L1566" i="9"/>
  <c r="L1565" i="9"/>
  <c r="L1563" i="9"/>
  <c r="L1559" i="9"/>
  <c r="L1558" i="9"/>
  <c r="L1557" i="9"/>
  <c r="L1556" i="9"/>
  <c r="L1550" i="9"/>
  <c r="L1546" i="9"/>
  <c r="L1545" i="9"/>
  <c r="L1544" i="9"/>
  <c r="L1543" i="9"/>
  <c r="L1542" i="9"/>
  <c r="L1593" i="9"/>
  <c r="L1589" i="9"/>
  <c r="L1588" i="9"/>
  <c r="L1584" i="9"/>
  <c r="L1567" i="9"/>
  <c r="L1564" i="9"/>
  <c r="L1555" i="9"/>
  <c r="L1554" i="9"/>
  <c r="L1553" i="9"/>
  <c r="L1598" i="9"/>
  <c r="L1597" i="9"/>
  <c r="L1596" i="9"/>
  <c r="L1595" i="9"/>
  <c r="L1594" i="9"/>
  <c r="L1580" i="9"/>
  <c r="L1579" i="9"/>
  <c r="L1578" i="9"/>
  <c r="L1577" i="9"/>
  <c r="L1576" i="9"/>
  <c r="L1575" i="9"/>
  <c r="L1574" i="9"/>
  <c r="L1573" i="9"/>
  <c r="L1572" i="9"/>
  <c r="L1571" i="9"/>
  <c r="L1570" i="9"/>
  <c r="L1569" i="9"/>
  <c r="L1568" i="9"/>
  <c r="L1562" i="9"/>
  <c r="L1561" i="9"/>
  <c r="L1560" i="9"/>
  <c r="L1552" i="9"/>
  <c r="L1551" i="9"/>
  <c r="L1549" i="9"/>
  <c r="L1548" i="9"/>
  <c r="L1547" i="9"/>
  <c r="L1541" i="9"/>
  <c r="L1540" i="9"/>
  <c r="L1539" i="9"/>
  <c r="L1538" i="9"/>
  <c r="L1533" i="9" l="1"/>
  <c r="L1532" i="9"/>
  <c r="L1531" i="9"/>
  <c r="L1530" i="9"/>
  <c r="L1529" i="9"/>
  <c r="L1528" i="9"/>
  <c r="L1527" i="9"/>
  <c r="L1526" i="9"/>
  <c r="L1525" i="9"/>
  <c r="L1524" i="9"/>
  <c r="L1523" i="9"/>
  <c r="L1522" i="9"/>
  <c r="L1521" i="9"/>
  <c r="L1520" i="9"/>
  <c r="L1519" i="9"/>
  <c r="L1518" i="9"/>
  <c r="L1517" i="9"/>
  <c r="L1516" i="9"/>
  <c r="L1515" i="9"/>
  <c r="L1514" i="9"/>
  <c r="L1507" i="9"/>
  <c r="L1491" i="9"/>
  <c r="L1490" i="9"/>
  <c r="L1486" i="9"/>
  <c r="L1485" i="9"/>
  <c r="L1508" i="9"/>
  <c r="L1501" i="9"/>
  <c r="L1500" i="9"/>
  <c r="L1499" i="9"/>
  <c r="L1537" i="9"/>
  <c r="L1536" i="9"/>
  <c r="L1535" i="9"/>
  <c r="L1534" i="9"/>
  <c r="L1513" i="9"/>
  <c r="L1512" i="9"/>
  <c r="L1511" i="9"/>
  <c r="L1510" i="9"/>
  <c r="L1509" i="9"/>
  <c r="L1506" i="9"/>
  <c r="L1505" i="9"/>
  <c r="L1504" i="9"/>
  <c r="L1503" i="9"/>
  <c r="L1502" i="9"/>
  <c r="L1498" i="9"/>
  <c r="L1497" i="9"/>
  <c r="L1496" i="9"/>
  <c r="L1495" i="9"/>
  <c r="L1493" i="9"/>
  <c r="L1494" i="9"/>
  <c r="L1492" i="9"/>
  <c r="L1489" i="9"/>
  <c r="L1488" i="9"/>
  <c r="L1487" i="9"/>
  <c r="L1484" i="9"/>
  <c r="L1483" i="9"/>
  <c r="L1482" i="9"/>
  <c r="L1479" i="9" l="1"/>
  <c r="L1478" i="9"/>
  <c r="L1477" i="9"/>
  <c r="L1476" i="9"/>
  <c r="L1475" i="9"/>
  <c r="L1474" i="9"/>
  <c r="L1473" i="9"/>
  <c r="L1466" i="9"/>
  <c r="L1455" i="9"/>
  <c r="L1448" i="9"/>
  <c r="L1481" i="9"/>
  <c r="L1480" i="9"/>
  <c r="L1472" i="9"/>
  <c r="L1471" i="9"/>
  <c r="L1470" i="9"/>
  <c r="L1469" i="9"/>
  <c r="L1468" i="9"/>
  <c r="L1467" i="9"/>
  <c r="L1465" i="9"/>
  <c r="L1464" i="9"/>
  <c r="L1463" i="9"/>
  <c r="L1462" i="9"/>
  <c r="L1461" i="9"/>
  <c r="L1460" i="9"/>
  <c r="L1459" i="9"/>
  <c r="L1458" i="9"/>
  <c r="L1457" i="9"/>
  <c r="L1456" i="9"/>
  <c r="L1454" i="9"/>
  <c r="L1453" i="9"/>
  <c r="L1452" i="9"/>
  <c r="L1451" i="9"/>
  <c r="L1450" i="9"/>
  <c r="L1449" i="9"/>
  <c r="L1447" i="9"/>
  <c r="L1446" i="9"/>
  <c r="L1445" i="9"/>
  <c r="L1444" i="9"/>
  <c r="L1443" i="9"/>
  <c r="L1442" i="9"/>
  <c r="L1440" i="9" l="1"/>
  <c r="L1439" i="9"/>
  <c r="L1438" i="9"/>
  <c r="L1437" i="9"/>
  <c r="L1436" i="9"/>
  <c r="L1435" i="9"/>
  <c r="L1434" i="9"/>
  <c r="L1433" i="9"/>
  <c r="L1432" i="9"/>
  <c r="L1431" i="9"/>
  <c r="L1430" i="9"/>
  <c r="L1428" i="9"/>
  <c r="L1427" i="9"/>
  <c r="L1413" i="9"/>
  <c r="L1403" i="9"/>
  <c r="L1402" i="9"/>
  <c r="L1401" i="9"/>
  <c r="L1400" i="9"/>
  <c r="L1399" i="9"/>
  <c r="L1398" i="9"/>
  <c r="L1397" i="9"/>
  <c r="L1396" i="9"/>
  <c r="L1429" i="9"/>
  <c r="L1415" i="9"/>
  <c r="L1414" i="9"/>
  <c r="L1412" i="9"/>
  <c r="L1441" i="9"/>
  <c r="L1426" i="9"/>
  <c r="L1425" i="9"/>
  <c r="L1424" i="9"/>
  <c r="L1423" i="9"/>
  <c r="L1422" i="9"/>
  <c r="L1421" i="9"/>
  <c r="L1420" i="9"/>
  <c r="L1419" i="9"/>
  <c r="L1418" i="9"/>
  <c r="L1417" i="9"/>
  <c r="L1416" i="9"/>
  <c r="L1411" i="9"/>
  <c r="L1410" i="9"/>
  <c r="L1409" i="9"/>
  <c r="L1408" i="9"/>
  <c r="L1407" i="9"/>
  <c r="L1406" i="9"/>
  <c r="L1405" i="9"/>
  <c r="L1404" i="9"/>
  <c r="L1395" i="9"/>
  <c r="L1394" i="9"/>
  <c r="L1393" i="9"/>
  <c r="L1391" i="9"/>
  <c r="L1392" i="9"/>
  <c r="L1390" i="9"/>
  <c r="L1389" i="9"/>
  <c r="L1388" i="9"/>
  <c r="L1385" i="9"/>
  <c r="L1384" i="9"/>
  <c r="L1383" i="9"/>
  <c r="L1386" i="9"/>
  <c r="L1387" i="9"/>
  <c r="L1382" i="9"/>
  <c r="L1375" i="9" l="1"/>
  <c r="L1374" i="9"/>
  <c r="L1373" i="9"/>
  <c r="L1372" i="9"/>
  <c r="L1371" i="9"/>
  <c r="L1370" i="9"/>
  <c r="L1369" i="9"/>
  <c r="L1368" i="9"/>
  <c r="L1352" i="9"/>
  <c r="L1351" i="9"/>
  <c r="L1350" i="9"/>
  <c r="L1349" i="9"/>
  <c r="L1335" i="9"/>
  <c r="L1334" i="9"/>
  <c r="L1333" i="9"/>
  <c r="L1332" i="9"/>
  <c r="L1331" i="9"/>
  <c r="L1330" i="9"/>
  <c r="L1381" i="9"/>
  <c r="L1380" i="9"/>
  <c r="L1379" i="9"/>
  <c r="L1378" i="9"/>
  <c r="L1377" i="9"/>
  <c r="L1376" i="9"/>
  <c r="L1367" i="9"/>
  <c r="L1366" i="9"/>
  <c r="L1365" i="9"/>
  <c r="L1364" i="9"/>
  <c r="L1363" i="9"/>
  <c r="L1362" i="9"/>
  <c r="L1361" i="9"/>
  <c r="L1360" i="9"/>
  <c r="L1359" i="9"/>
  <c r="L1358" i="9"/>
  <c r="L1357" i="9"/>
  <c r="L1356" i="9"/>
  <c r="L1355" i="9"/>
  <c r="L1354" i="9"/>
  <c r="L1353" i="9"/>
  <c r="L1348" i="9"/>
  <c r="L1347" i="9"/>
  <c r="L1346" i="9"/>
  <c r="L1345" i="9"/>
  <c r="L1344" i="9"/>
  <c r="L1343" i="9"/>
  <c r="L1342" i="9"/>
  <c r="L1341" i="9"/>
  <c r="L1340" i="9"/>
  <c r="L1339" i="9"/>
  <c r="L1338" i="9"/>
  <c r="L1337" i="9"/>
  <c r="L1336" i="9"/>
  <c r="L1329" i="9"/>
  <c r="L1328" i="9"/>
  <c r="L1327" i="9"/>
  <c r="L1326" i="9"/>
  <c r="L1325" i="9"/>
  <c r="L1324" i="9"/>
  <c r="L1323" i="9"/>
  <c r="L1322" i="9"/>
  <c r="L1318" i="9" l="1"/>
  <c r="L1317" i="9"/>
  <c r="L1316" i="9"/>
  <c r="L1315" i="9"/>
  <c r="L1314" i="9"/>
  <c r="L1313" i="9"/>
  <c r="L1312" i="9"/>
  <c r="L1311" i="9"/>
  <c r="L1310" i="9"/>
  <c r="L1309" i="9"/>
  <c r="L1308" i="9"/>
  <c r="L1307" i="9"/>
  <c r="L1306" i="9"/>
  <c r="L1305" i="9"/>
  <c r="L1304" i="9"/>
  <c r="L1303" i="9"/>
  <c r="L1302" i="9"/>
  <c r="L1301" i="9"/>
  <c r="L1300" i="9"/>
  <c r="L1299" i="9"/>
  <c r="L1298" i="9"/>
  <c r="L1297" i="9"/>
  <c r="L1296" i="9"/>
  <c r="L1295" i="9"/>
  <c r="L1292" i="9"/>
  <c r="L1291" i="9"/>
  <c r="L1290" i="9"/>
  <c r="L1289" i="9"/>
  <c r="L1288" i="9"/>
  <c r="L1287" i="9"/>
  <c r="L1280" i="9"/>
  <c r="L1279" i="9"/>
  <c r="L1278" i="9"/>
  <c r="L1277" i="9"/>
  <c r="L1276" i="9"/>
  <c r="L1275" i="9"/>
  <c r="L1274" i="9"/>
  <c r="L1268" i="9"/>
  <c r="L1267" i="9"/>
  <c r="L1266" i="9"/>
  <c r="L1265" i="9"/>
  <c r="L1264" i="9"/>
  <c r="L1263" i="9"/>
  <c r="L1261" i="9"/>
  <c r="L1321" i="9"/>
  <c r="L1320" i="9"/>
  <c r="L1319" i="9"/>
  <c r="L1294" i="9"/>
  <c r="L1293" i="9"/>
  <c r="L1286" i="9"/>
  <c r="L1285" i="9"/>
  <c r="L1284" i="9"/>
  <c r="L1283" i="9"/>
  <c r="L1282" i="9"/>
  <c r="L1281" i="9"/>
  <c r="L1273" i="9"/>
  <c r="L1272" i="9"/>
  <c r="L1271" i="9"/>
  <c r="L1270" i="9"/>
  <c r="L1269" i="9"/>
  <c r="L1262" i="9"/>
  <c r="L1260" i="9"/>
  <c r="L1258" i="9"/>
  <c r="L1259" i="9"/>
  <c r="L1257" i="9"/>
  <c r="L1256" i="9"/>
  <c r="L1255" i="9"/>
  <c r="L1254" i="9"/>
  <c r="L1253" i="9"/>
  <c r="L1247" i="9" l="1"/>
  <c r="L1246" i="9"/>
  <c r="L1245" i="9"/>
  <c r="L1244" i="9"/>
  <c r="L1243" i="9"/>
  <c r="L1242" i="9"/>
  <c r="L1241" i="9"/>
  <c r="L1240" i="9"/>
  <c r="L1239" i="9"/>
  <c r="L1238" i="9"/>
  <c r="L1237" i="9"/>
  <c r="L1236" i="9"/>
  <c r="L1235" i="9"/>
  <c r="L1234" i="9"/>
  <c r="L1233" i="9"/>
  <c r="L1224" i="9"/>
  <c r="L1223" i="9"/>
  <c r="L1222" i="9"/>
  <c r="L1221" i="9"/>
  <c r="L1220" i="9"/>
  <c r="L1217" i="9"/>
  <c r="L1214" i="9"/>
  <c r="L1210" i="9"/>
  <c r="L1209" i="9"/>
  <c r="L1208" i="9"/>
  <c r="L1205" i="9"/>
  <c r="L1204" i="9"/>
  <c r="L1203" i="9"/>
  <c r="L1202" i="9"/>
  <c r="L1252" i="9"/>
  <c r="L1251" i="9"/>
  <c r="L1250" i="9"/>
  <c r="L1249" i="9"/>
  <c r="L1248" i="9"/>
  <c r="L1232" i="9"/>
  <c r="L1231" i="9"/>
  <c r="L1230" i="9"/>
  <c r="L1229" i="9"/>
  <c r="L1228" i="9"/>
  <c r="L1227" i="9"/>
  <c r="L1226" i="9"/>
  <c r="L1225" i="9"/>
  <c r="L1219" i="9"/>
  <c r="L1218" i="9"/>
  <c r="L1216" i="9"/>
  <c r="L1215" i="9"/>
  <c r="L1213" i="9"/>
  <c r="L1212" i="9"/>
  <c r="L1211" i="9"/>
  <c r="L1207" i="9"/>
  <c r="L1206" i="9"/>
  <c r="L1201" i="9"/>
  <c r="L1200" i="9"/>
  <c r="L1199" i="9"/>
  <c r="L1198" i="9"/>
  <c r="L1197" i="9"/>
  <c r="L1196" i="9"/>
  <c r="L1195" i="9"/>
  <c r="L1194" i="9"/>
  <c r="L1193" i="9"/>
  <c r="L612" i="9" l="1"/>
  <c r="L611" i="9"/>
  <c r="L610" i="9"/>
  <c r="L609" i="9"/>
  <c r="L608" i="9"/>
  <c r="L607" i="9"/>
  <c r="L606" i="9"/>
  <c r="L605" i="9"/>
  <c r="L604" i="9"/>
  <c r="L603" i="9"/>
  <c r="L602" i="9"/>
  <c r="L601" i="9"/>
  <c r="L591" i="9"/>
  <c r="L600" i="9"/>
  <c r="L599" i="9"/>
  <c r="L598" i="9"/>
  <c r="L597" i="9"/>
  <c r="L596" i="9"/>
  <c r="L595" i="9"/>
  <c r="L594" i="9"/>
  <c r="L593" i="9"/>
  <c r="L592" i="9"/>
  <c r="L590" i="9"/>
  <c r="L589" i="9"/>
  <c r="L588" i="9"/>
  <c r="L587" i="9"/>
  <c r="L586" i="9"/>
  <c r="L585" i="9"/>
  <c r="L584" i="9"/>
  <c r="L583" i="9"/>
  <c r="L582" i="9"/>
  <c r="L581" i="9"/>
  <c r="L580" i="9"/>
  <c r="L579" i="9"/>
  <c r="L578" i="9"/>
  <c r="L577" i="9"/>
  <c r="L576" i="9"/>
  <c r="L575" i="9"/>
  <c r="L574" i="9"/>
  <c r="L573" i="9"/>
  <c r="L572" i="9"/>
  <c r="L571" i="9"/>
  <c r="L570" i="9"/>
  <c r="L569" i="9"/>
  <c r="L568" i="9"/>
  <c r="L567" i="9"/>
  <c r="L566" i="9"/>
  <c r="L565" i="9"/>
  <c r="L564" i="9"/>
  <c r="L563" i="9"/>
  <c r="L562" i="9"/>
  <c r="L561" i="9"/>
  <c r="L560" i="9"/>
  <c r="L559" i="9"/>
  <c r="L558" i="9"/>
  <c r="L557" i="9"/>
  <c r="L556" i="9"/>
  <c r="L555" i="9"/>
  <c r="L554" i="9"/>
  <c r="L553" i="9"/>
  <c r="L552" i="9"/>
  <c r="L551" i="9"/>
  <c r="L550" i="9"/>
  <c r="L549" i="9"/>
  <c r="L548" i="9"/>
  <c r="L547" i="9"/>
  <c r="L546" i="9"/>
  <c r="L545" i="9"/>
  <c r="L543" i="9"/>
  <c r="L544" i="9"/>
  <c r="L542" i="9"/>
  <c r="L541" i="9"/>
  <c r="L540" i="9"/>
  <c r="L539" i="9"/>
  <c r="L538" i="9"/>
  <c r="L537" i="9"/>
  <c r="L536" i="9"/>
  <c r="L535" i="9"/>
  <c r="L534" i="9"/>
  <c r="L533" i="9"/>
  <c r="L532" i="9"/>
  <c r="L531" i="9"/>
  <c r="L530" i="9"/>
  <c r="L529" i="9"/>
  <c r="L528" i="9"/>
  <c r="L526" i="9"/>
  <c r="L527" i="9"/>
  <c r="L525" i="9"/>
  <c r="L523" i="9"/>
  <c r="L524" i="9"/>
  <c r="L522" i="9"/>
  <c r="L521" i="9"/>
  <c r="L520" i="9"/>
  <c r="L516" i="9" l="1"/>
  <c r="L515" i="9"/>
  <c r="L514" i="9"/>
  <c r="L513" i="9"/>
  <c r="L512" i="9"/>
  <c r="L511" i="9"/>
  <c r="L510" i="9"/>
  <c r="L509" i="9"/>
  <c r="L508" i="9"/>
  <c r="L507" i="9"/>
  <c r="L506" i="9"/>
  <c r="L505" i="9"/>
  <c r="L504" i="9"/>
  <c r="L503" i="9"/>
  <c r="L502" i="9"/>
  <c r="L501" i="9"/>
  <c r="L500" i="9"/>
  <c r="L499" i="9"/>
  <c r="L498" i="9"/>
  <c r="L497" i="9"/>
  <c r="L496" i="9"/>
  <c r="L495" i="9"/>
  <c r="L494" i="9"/>
  <c r="L493" i="9"/>
  <c r="L492" i="9"/>
  <c r="L491" i="9"/>
  <c r="L490" i="9"/>
  <c r="L489" i="9"/>
  <c r="L488" i="9"/>
  <c r="L487" i="9"/>
  <c r="L486" i="9"/>
  <c r="L485" i="9"/>
  <c r="L484" i="9"/>
  <c r="L483" i="9"/>
  <c r="L482" i="9"/>
  <c r="L481" i="9"/>
  <c r="L480" i="9"/>
  <c r="L479" i="9"/>
  <c r="L478" i="9"/>
  <c r="L477" i="9"/>
  <c r="L476" i="9"/>
  <c r="L475" i="9"/>
  <c r="L474" i="9"/>
  <c r="L473" i="9"/>
  <c r="L472" i="9"/>
  <c r="L471" i="9"/>
  <c r="L470" i="9"/>
  <c r="L469" i="9"/>
  <c r="L468" i="9"/>
  <c r="L467" i="9"/>
  <c r="L466" i="9"/>
  <c r="L465" i="9"/>
  <c r="L464" i="9"/>
  <c r="L463" i="9"/>
  <c r="L462" i="9"/>
  <c r="L461" i="9"/>
  <c r="L460" i="9"/>
  <c r="L459" i="9"/>
  <c r="L519" i="9"/>
  <c r="L518" i="9"/>
  <c r="L517" i="9"/>
  <c r="L458" i="9"/>
  <c r="L457" i="9"/>
  <c r="L456" i="9"/>
  <c r="L455" i="9"/>
  <c r="L454" i="9"/>
  <c r="L453" i="9"/>
  <c r="L452" i="9"/>
  <c r="L451" i="9"/>
  <c r="L450" i="9"/>
  <c r="L449" i="9"/>
  <c r="L448" i="9"/>
  <c r="L447" i="9"/>
  <c r="L446" i="9"/>
  <c r="L445" i="9"/>
  <c r="L444" i="9"/>
  <c r="L443" i="9"/>
  <c r="L442" i="9"/>
  <c r="L441" i="9"/>
  <c r="L440" i="9"/>
  <c r="L439" i="9"/>
  <c r="L438" i="9"/>
  <c r="L437" i="9"/>
  <c r="L436" i="9"/>
  <c r="L435" i="9"/>
  <c r="L434" i="9"/>
  <c r="L433" i="9"/>
  <c r="L432" i="9"/>
  <c r="L431" i="9"/>
  <c r="L430" i="9"/>
  <c r="L429" i="9"/>
  <c r="L428" i="9"/>
  <c r="L427" i="9"/>
  <c r="L426" i="9"/>
  <c r="L425" i="9"/>
  <c r="L424" i="9"/>
  <c r="L423" i="9"/>
  <c r="L422" i="9"/>
  <c r="L421" i="9"/>
  <c r="L420" i="9"/>
  <c r="L419" i="9"/>
  <c r="L418" i="9"/>
  <c r="L417" i="9"/>
  <c r="L416" i="9" l="1"/>
  <c r="L415" i="9"/>
  <c r="L414" i="9"/>
  <c r="L413" i="9"/>
  <c r="L412" i="9"/>
  <c r="L411" i="9"/>
  <c r="L410" i="9"/>
  <c r="L409" i="9"/>
  <c r="L408" i="9"/>
  <c r="L407" i="9"/>
  <c r="L406" i="9"/>
  <c r="L405" i="9"/>
  <c r="L404" i="9"/>
  <c r="L403" i="9"/>
  <c r="L402" i="9"/>
  <c r="L401" i="9"/>
  <c r="L400" i="9"/>
  <c r="L399" i="9"/>
  <c r="L398" i="9"/>
  <c r="L397" i="9"/>
  <c r="L396" i="9"/>
  <c r="L395" i="9"/>
  <c r="L394" i="9"/>
  <c r="L393" i="9"/>
  <c r="L392" i="9"/>
  <c r="L391" i="9"/>
  <c r="L390" i="9"/>
  <c r="L389" i="9"/>
  <c r="L388" i="9"/>
  <c r="L387" i="9"/>
  <c r="L386" i="9"/>
  <c r="L385" i="9"/>
  <c r="L384" i="9"/>
  <c r="L383" i="9"/>
  <c r="L382" i="9"/>
  <c r="L381" i="9"/>
  <c r="L380" i="9"/>
  <c r="L379" i="9"/>
  <c r="L378" i="9"/>
  <c r="L377" i="9"/>
  <c r="L376" i="9"/>
  <c r="L375" i="9"/>
  <c r="L374" i="9"/>
  <c r="L373" i="9"/>
  <c r="L372" i="9"/>
  <c r="L371" i="9"/>
  <c r="L370" i="9"/>
  <c r="L369" i="9"/>
  <c r="L368" i="9"/>
  <c r="L367" i="9"/>
  <c r="L366" i="9"/>
  <c r="L365" i="9"/>
  <c r="L364" i="9"/>
  <c r="L363" i="9"/>
  <c r="L362" i="9"/>
  <c r="L361" i="9"/>
  <c r="L360" i="9"/>
  <c r="L359" i="9"/>
  <c r="L358" i="9"/>
  <c r="L357" i="9"/>
  <c r="L356" i="9"/>
  <c r="L355" i="9"/>
  <c r="L354" i="9"/>
  <c r="L353" i="9"/>
  <c r="L352" i="9"/>
  <c r="L351" i="9"/>
  <c r="L350" i="9"/>
  <c r="L349" i="9"/>
  <c r="L348" i="9"/>
  <c r="L347" i="9"/>
  <c r="L346" i="9"/>
  <c r="L345" i="9"/>
  <c r="L344" i="9"/>
  <c r="L343" i="9"/>
  <c r="L342" i="9"/>
  <c r="L341" i="9"/>
  <c r="L340" i="9"/>
  <c r="L339" i="9"/>
  <c r="L338" i="9"/>
  <c r="L337" i="9"/>
  <c r="L336" i="9"/>
  <c r="L335" i="9"/>
  <c r="L334" i="9"/>
  <c r="L333" i="9"/>
  <c r="L306" i="9" l="1"/>
  <c r="L305" i="9"/>
  <c r="L304" i="9"/>
  <c r="L303" i="9"/>
  <c r="L297" i="9"/>
  <c r="L302" i="9"/>
  <c r="L301" i="9"/>
  <c r="L311" i="9"/>
  <c r="L296" i="9"/>
  <c r="L309" i="9"/>
  <c r="L310" i="9"/>
  <c r="L295" i="9"/>
  <c r="L308" i="9"/>
  <c r="L294" i="9"/>
  <c r="L307" i="9"/>
  <c r="L300" i="9"/>
  <c r="L293" i="9"/>
  <c r="L292" i="9"/>
  <c r="L299" i="9"/>
  <c r="L291" i="9"/>
  <c r="L327" i="9"/>
  <c r="L290" i="9"/>
  <c r="L326" i="9"/>
  <c r="L298" i="9"/>
  <c r="L289" i="9"/>
  <c r="L325" i="9"/>
  <c r="L288" i="9"/>
  <c r="L287" i="9"/>
  <c r="L324" i="9"/>
  <c r="L286" i="9"/>
  <c r="L285" i="9"/>
  <c r="L284" i="9"/>
  <c r="L323" i="9"/>
  <c r="L322" i="9"/>
  <c r="L283" i="9"/>
  <c r="L282" i="9"/>
  <c r="L321" i="9"/>
  <c r="L281" i="9"/>
  <c r="L280" i="9"/>
  <c r="L320" i="9"/>
  <c r="L279" i="9"/>
  <c r="L278" i="9"/>
  <c r="L277" i="9"/>
  <c r="L319" i="9"/>
  <c r="L318" i="9"/>
  <c r="L317" i="9"/>
  <c r="L316" i="9"/>
  <c r="L276" i="9"/>
  <c r="L275" i="9"/>
  <c r="L315" i="9"/>
  <c r="L314" i="9"/>
  <c r="L313" i="9"/>
  <c r="L312" i="9"/>
  <c r="L332" i="9"/>
  <c r="L331" i="9"/>
  <c r="L330" i="9"/>
  <c r="L329" i="9"/>
  <c r="L328" i="9"/>
  <c r="L270" i="9"/>
  <c r="L269" i="9"/>
  <c r="L274" i="9"/>
  <c r="L271" i="9"/>
  <c r="L273" i="9"/>
  <c r="L272" i="9"/>
  <c r="L267" i="9"/>
  <c r="L266" i="9"/>
  <c r="L263" i="9"/>
  <c r="L265" i="9"/>
  <c r="L264" i="9"/>
  <c r="L268" i="9"/>
  <c r="L255" i="9"/>
  <c r="L244" i="9"/>
  <c r="L254" i="9"/>
  <c r="L253" i="9"/>
  <c r="L250" i="9"/>
  <c r="L224" i="9"/>
  <c r="L251" i="9"/>
  <c r="L249" i="9"/>
  <c r="L237" i="9"/>
  <c r="L223" i="9"/>
  <c r="L248" i="9"/>
  <c r="L229" i="9"/>
  <c r="L228" i="9"/>
  <c r="L247" i="9"/>
  <c r="L246" i="9"/>
  <c r="L227" i="9"/>
  <c r="L226" i="9"/>
  <c r="L245" i="9"/>
  <c r="L241" i="9"/>
  <c r="L236" i="9"/>
  <c r="L234" i="9"/>
  <c r="L243" i="9"/>
  <c r="L240" i="9"/>
  <c r="L235" i="9"/>
  <c r="L225" i="9"/>
  <c r="L242" i="9"/>
  <c r="L233" i="9"/>
  <c r="L252" i="9"/>
  <c r="L239" i="9"/>
  <c r="L232" i="9"/>
  <c r="L260" i="9"/>
  <c r="L238" i="9"/>
  <c r="L231" i="9"/>
  <c r="L222" i="9"/>
  <c r="L257" i="9"/>
  <c r="L230" i="9"/>
  <c r="L256" i="9"/>
  <c r="L261" i="9"/>
  <c r="L258" i="9"/>
  <c r="L262" i="9"/>
  <c r="L259" i="9"/>
  <c r="L220" i="9"/>
  <c r="L219" i="9"/>
  <c r="L221" i="9"/>
  <c r="L218" i="9"/>
  <c r="L217" i="9"/>
  <c r="L216" i="9"/>
  <c r="L215" i="9"/>
  <c r="L192" i="9" l="1"/>
  <c r="L214" i="9"/>
  <c r="L191" i="9"/>
  <c r="L190" i="9"/>
  <c r="L213" i="9"/>
  <c r="L189" i="9"/>
  <c r="L188" i="9"/>
  <c r="L187" i="9"/>
  <c r="L212" i="9"/>
  <c r="L211" i="9"/>
  <c r="L210" i="9"/>
  <c r="L186" i="9"/>
  <c r="L193" i="9"/>
  <c r="L209" i="9"/>
  <c r="L199" i="9"/>
  <c r="L185" i="9"/>
  <c r="L198" i="9"/>
  <c r="L197" i="9"/>
  <c r="L208" i="9"/>
  <c r="L196" i="9"/>
  <c r="L195" i="9"/>
  <c r="L194" i="9"/>
  <c r="L184" i="9"/>
  <c r="L207" i="9"/>
  <c r="L183" i="9"/>
  <c r="L182" i="9"/>
  <c r="L206" i="9"/>
  <c r="L181" i="9"/>
  <c r="L205" i="9"/>
  <c r="L180" i="9"/>
  <c r="L179" i="9"/>
  <c r="L204" i="9"/>
  <c r="L178" i="9"/>
  <c r="L177" i="9"/>
  <c r="L176" i="9"/>
  <c r="L203" i="9"/>
  <c r="L175" i="9"/>
  <c r="L202" i="9"/>
  <c r="L174" i="9"/>
  <c r="L173" i="9"/>
  <c r="L201" i="9"/>
  <c r="L172" i="9"/>
  <c r="L171" i="9"/>
  <c r="L200" i="9"/>
  <c r="L170" i="9"/>
  <c r="L161" i="9"/>
  <c r="L167" i="9"/>
  <c r="L166" i="9"/>
  <c r="L160" i="9"/>
  <c r="L162" i="9"/>
  <c r="L169" i="9"/>
  <c r="L165" i="9"/>
  <c r="L168" i="9"/>
  <c r="L164" i="9"/>
  <c r="L163" i="9"/>
  <c r="L157" i="9"/>
  <c r="L158" i="9"/>
  <c r="L155" i="9"/>
  <c r="L152" i="9"/>
  <c r="L154" i="9"/>
  <c r="L156" i="9"/>
  <c r="L153" i="9"/>
  <c r="L150" i="9"/>
  <c r="L159" i="9"/>
  <c r="L151" i="9"/>
  <c r="L148" i="9"/>
  <c r="L149" i="9"/>
  <c r="L147" i="9"/>
  <c r="L143" i="9"/>
  <c r="L142" i="9"/>
  <c r="L146" i="9"/>
  <c r="L144" i="9"/>
  <c r="L145" i="9"/>
  <c r="L141" i="9"/>
  <c r="L139" i="9"/>
  <c r="L140" i="9"/>
  <c r="L136" i="9"/>
  <c r="L137" i="9"/>
  <c r="L138" i="9"/>
  <c r="L135" i="9" l="1"/>
  <c r="L134" i="9"/>
  <c r="L133" i="9"/>
  <c r="L107" i="9"/>
  <c r="L106" i="9"/>
  <c r="L105" i="9"/>
  <c r="L104" i="9"/>
  <c r="L103" i="9"/>
  <c r="L132" i="9"/>
  <c r="L131" i="9"/>
  <c r="L115" i="9"/>
  <c r="L114" i="9"/>
  <c r="L113" i="9"/>
  <c r="L112" i="9"/>
  <c r="L111" i="9"/>
  <c r="L121" i="9"/>
  <c r="L120" i="9"/>
  <c r="L119" i="9"/>
  <c r="L110" i="9"/>
  <c r="L109" i="9"/>
  <c r="L118" i="9"/>
  <c r="L108" i="9"/>
  <c r="L117" i="9"/>
  <c r="L116" i="9"/>
  <c r="L130" i="9"/>
  <c r="L129" i="9"/>
  <c r="L102" i="9"/>
  <c r="L128" i="9"/>
  <c r="L127" i="9"/>
  <c r="L126" i="9"/>
  <c r="L101" i="9"/>
  <c r="L100" i="9"/>
  <c r="L99" i="9"/>
  <c r="L125" i="9"/>
  <c r="L124" i="9"/>
  <c r="L123" i="9"/>
  <c r="L122" i="9"/>
  <c r="L97" i="9"/>
  <c r="L98" i="9"/>
  <c r="L95" i="9"/>
  <c r="L94" i="9"/>
  <c r="L91" i="9"/>
  <c r="L88" i="9"/>
  <c r="L96" i="9"/>
  <c r="L90" i="9"/>
  <c r="L89" i="9"/>
  <c r="L92" i="9"/>
  <c r="L93" i="9"/>
  <c r="L78" i="9"/>
  <c r="L83" i="9"/>
  <c r="L82" i="9"/>
  <c r="L85" i="9"/>
  <c r="L81" i="9"/>
  <c r="L79" i="9"/>
  <c r="L76" i="9"/>
  <c r="L80" i="9"/>
  <c r="L77" i="9"/>
  <c r="L84" i="9"/>
  <c r="L86" i="9"/>
  <c r="L87" i="9"/>
  <c r="L73" i="9"/>
  <c r="L74" i="9"/>
  <c r="L71" i="9"/>
  <c r="L75" i="9"/>
  <c r="L72" i="9"/>
  <c r="L57" i="9" l="1"/>
  <c r="L56" i="9"/>
  <c r="L55" i="9"/>
  <c r="L53" i="9"/>
  <c r="L52" i="9"/>
  <c r="L58" i="9"/>
  <c r="L51" i="9"/>
  <c r="L54" i="9"/>
  <c r="L50" i="9"/>
  <c r="L49" i="9"/>
  <c r="L70" i="9"/>
  <c r="L48" i="9"/>
  <c r="L69" i="9"/>
  <c r="L47" i="9"/>
  <c r="L46" i="9"/>
  <c r="L68" i="9"/>
  <c r="L67" i="9"/>
  <c r="L66" i="9"/>
  <c r="L65" i="9"/>
  <c r="L64" i="9"/>
  <c r="L63" i="9"/>
  <c r="L62" i="9"/>
  <c r="L45" i="9"/>
  <c r="L44" i="9"/>
  <c r="L43" i="9"/>
  <c r="L42" i="9"/>
  <c r="L61" i="9"/>
  <c r="L41" i="9"/>
  <c r="L60" i="9"/>
  <c r="L40" i="9"/>
  <c r="L59" i="9"/>
  <c r="L39" i="9"/>
  <c r="L38" i="9"/>
  <c r="L36" i="9"/>
  <c r="L37" i="9"/>
  <c r="L35" i="9"/>
  <c r="L24" i="9"/>
  <c r="L32" i="9"/>
  <c r="L27" i="9"/>
  <c r="L26" i="9"/>
  <c r="L25" i="9"/>
  <c r="L31" i="9"/>
  <c r="L30" i="9"/>
  <c r="L29" i="9"/>
  <c r="L34" i="9"/>
  <c r="L28" i="9"/>
  <c r="L33" i="9"/>
  <c r="L20" i="9"/>
  <c r="L19" i="9"/>
  <c r="L18" i="9"/>
  <c r="L17" i="9"/>
  <c r="L15" i="9"/>
  <c r="L13" i="9"/>
  <c r="L16" i="9"/>
  <c r="L14" i="9"/>
  <c r="L11" i="9"/>
  <c r="L23" i="9"/>
  <c r="L22" i="9"/>
  <c r="L9" i="9"/>
  <c r="L10" i="9"/>
  <c r="L21" i="9"/>
  <c r="L8" i="9"/>
  <c r="L7" i="9"/>
  <c r="L12" i="9"/>
  <c r="L5" i="9"/>
  <c r="L6" i="9"/>
  <c r="L4" i="9"/>
  <c r="L3" i="9"/>
  <c r="L2" i="9"/>
  <c r="H2" i="8" l="1"/>
  <c r="I2" i="8" s="1"/>
  <c r="H3" i="8"/>
  <c r="I3" i="8" s="1"/>
  <c r="H4" i="8"/>
  <c r="I4" i="8" s="1"/>
  <c r="H5" i="8"/>
  <c r="I5" i="8" s="1"/>
  <c r="H6" i="8"/>
  <c r="I6" i="8" s="1"/>
  <c r="H7" i="8"/>
  <c r="I7" i="8" s="1"/>
  <c r="H9" i="8"/>
  <c r="I9" i="8" s="1"/>
  <c r="H8" i="8"/>
  <c r="I8" i="8" s="1"/>
  <c r="H10" i="8"/>
  <c r="I10" i="8" s="1"/>
  <c r="H11" i="8"/>
  <c r="I11" i="8" s="1"/>
  <c r="H12" i="8"/>
  <c r="I12" i="8" s="1"/>
  <c r="H26" i="8"/>
  <c r="I26" i="8" s="1"/>
  <c r="H27" i="8"/>
  <c r="I27" i="8" s="1"/>
  <c r="H48" i="8"/>
  <c r="I48" i="8" s="1"/>
  <c r="H15" i="8"/>
  <c r="I15" i="8" s="1"/>
  <c r="H54" i="8"/>
  <c r="I54" i="8" s="1"/>
  <c r="H56" i="8"/>
  <c r="I56" i="8" s="1"/>
  <c r="H25" i="8"/>
  <c r="I25" i="8" s="1"/>
  <c r="H57" i="8"/>
  <c r="I57" i="8" s="1"/>
  <c r="H58" i="8"/>
  <c r="I58" i="8" s="1"/>
  <c r="H59" i="8"/>
  <c r="I59" i="8" s="1"/>
  <c r="H60" i="8"/>
  <c r="I60" i="8" s="1"/>
  <c r="H61" i="8"/>
  <c r="I61" i="8" s="1"/>
  <c r="H16" i="8"/>
  <c r="I16" i="8" s="1"/>
  <c r="H17" i="8"/>
  <c r="I17" i="8" s="1"/>
  <c r="H19" i="8"/>
  <c r="I19" i="8" s="1"/>
  <c r="H20" i="8"/>
  <c r="I20" i="8" s="1"/>
  <c r="H36" i="8"/>
  <c r="I36" i="8" s="1"/>
  <c r="H49" i="8"/>
  <c r="I49" i="8" s="1"/>
  <c r="H21" i="8"/>
  <c r="I21" i="8" s="1"/>
  <c r="H22" i="8"/>
  <c r="I22" i="8" s="1"/>
  <c r="H23" i="8"/>
  <c r="I23" i="8" s="1"/>
  <c r="H14" i="8"/>
  <c r="I14" i="8" s="1"/>
  <c r="H24" i="8"/>
  <c r="I24" i="8" s="1"/>
  <c r="H13" i="8"/>
  <c r="I13" i="8" s="1"/>
  <c r="H35" i="8"/>
  <c r="I35" i="8" s="1"/>
  <c r="H45" i="8"/>
  <c r="I45" i="8" s="1"/>
  <c r="H46" i="8"/>
  <c r="I46" i="8" s="1"/>
  <c r="H47" i="8"/>
  <c r="I47" i="8" s="1"/>
  <c r="H28" i="8"/>
  <c r="I28" i="8" s="1"/>
  <c r="H29" i="8"/>
  <c r="I29" i="8" s="1"/>
  <c r="H30" i="8"/>
  <c r="I30" i="8" s="1"/>
  <c r="H31" i="8"/>
  <c r="I31" i="8" s="1"/>
  <c r="H32" i="8"/>
  <c r="I32" i="8" s="1"/>
  <c r="H53" i="8"/>
  <c r="I53" i="8" s="1"/>
  <c r="H50" i="8"/>
  <c r="I50" i="8" s="1"/>
  <c r="H33" i="8"/>
  <c r="I33" i="8" s="1"/>
  <c r="H34" i="8"/>
  <c r="I34" i="8" s="1"/>
  <c r="H37" i="8"/>
  <c r="I37" i="8" s="1"/>
  <c r="H39" i="8"/>
  <c r="I39" i="8" s="1"/>
  <c r="H38" i="8"/>
  <c r="I38" i="8" s="1"/>
  <c r="H40" i="8"/>
  <c r="I40" i="8" s="1"/>
  <c r="H43" i="8"/>
  <c r="I43" i="8" s="1"/>
  <c r="H44" i="8"/>
  <c r="I44" i="8" s="1"/>
  <c r="H51" i="8"/>
  <c r="I51" i="8" s="1"/>
  <c r="H52" i="8"/>
  <c r="I52" i="8" s="1"/>
  <c r="H42" i="8"/>
  <c r="I42" i="8" s="1"/>
  <c r="H55" i="8"/>
  <c r="I55" i="8" s="1"/>
  <c r="H18" i="8"/>
  <c r="I18" i="8" s="1"/>
  <c r="H41" i="8"/>
  <c r="I41" i="8" s="1"/>
  <c r="I4" i="1" l="1"/>
  <c r="I7" i="1"/>
  <c r="I23" i="1"/>
  <c r="I31" i="1"/>
  <c r="I11" i="1"/>
  <c r="I27" i="1"/>
  <c r="I15" i="1"/>
  <c r="I3" i="1"/>
  <c r="I19" i="1"/>
  <c r="I30" i="1"/>
  <c r="I14" i="1"/>
  <c r="I29" i="1"/>
  <c r="I13" i="1"/>
  <c r="I28" i="1"/>
  <c r="I12" i="1"/>
  <c r="I32" i="1"/>
  <c r="I26" i="1"/>
  <c r="I10" i="1"/>
  <c r="I25" i="1"/>
  <c r="I9" i="1"/>
  <c r="I24" i="1"/>
  <c r="I8" i="1"/>
  <c r="I22" i="1"/>
  <c r="I6" i="1"/>
  <c r="I21" i="1"/>
  <c r="I5" i="1"/>
  <c r="I20" i="1"/>
  <c r="I18" i="1"/>
  <c r="I2" i="1"/>
  <c r="I17" i="1"/>
  <c r="I16" i="1"/>
  <c r="E23" i="1"/>
  <c r="E24" i="1"/>
  <c r="E25" i="1"/>
  <c r="E26" i="1"/>
  <c r="E27" i="1"/>
  <c r="B24" i="1"/>
  <c r="B25" i="1"/>
  <c r="O224" i="4" l="1"/>
  <c r="O225" i="4"/>
  <c r="O226" i="4"/>
  <c r="O227" i="4"/>
  <c r="O228" i="4"/>
  <c r="O229" i="4"/>
  <c r="O231" i="4"/>
  <c r="O230" i="4"/>
  <c r="O232" i="4"/>
  <c r="O233" i="4"/>
  <c r="O235" i="4"/>
  <c r="O234" i="4"/>
  <c r="O237" i="4"/>
  <c r="O236" i="4"/>
  <c r="O238" i="4"/>
  <c r="O239" i="4"/>
  <c r="O240" i="4"/>
  <c r="O241" i="4"/>
  <c r="O243" i="4"/>
  <c r="O242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62" i="4"/>
  <c r="O259" i="4"/>
  <c r="O260" i="4"/>
  <c r="O261" i="4"/>
  <c r="O263" i="4"/>
  <c r="O264" i="4"/>
  <c r="O265" i="4"/>
  <c r="O266" i="4"/>
  <c r="O267" i="4"/>
  <c r="O268" i="4"/>
  <c r="O269" i="4"/>
  <c r="O270" i="4"/>
  <c r="O271" i="4"/>
  <c r="O276" i="4"/>
  <c r="O275" i="4"/>
  <c r="O277" i="4"/>
  <c r="O282" i="4"/>
  <c r="O278" i="4"/>
  <c r="O279" i="4"/>
  <c r="O280" i="4"/>
  <c r="O281" i="4"/>
  <c r="O283" i="4"/>
  <c r="O286" i="4"/>
  <c r="O285" i="4"/>
  <c r="O284" i="4"/>
  <c r="O288" i="4"/>
  <c r="O287" i="4"/>
  <c r="O290" i="4"/>
  <c r="O289" i="4"/>
  <c r="O293" i="4"/>
  <c r="O294" i="4"/>
  <c r="O292" i="4"/>
  <c r="O291" i="4"/>
  <c r="O295" i="4"/>
  <c r="O297" i="4"/>
  <c r="O298" i="4"/>
  <c r="O299" i="4"/>
  <c r="O300" i="4"/>
  <c r="O302" i="4"/>
  <c r="O303" i="4"/>
  <c r="O306" i="4"/>
  <c r="O307" i="4"/>
  <c r="O308" i="4"/>
  <c r="O310" i="4"/>
  <c r="O272" i="4"/>
  <c r="O273" i="4"/>
  <c r="O274" i="4"/>
  <c r="O296" i="4"/>
  <c r="O301" i="4"/>
  <c r="O304" i="4"/>
  <c r="O305" i="4"/>
  <c r="O309" i="4"/>
  <c r="O209" i="4" l="1"/>
  <c r="O210" i="4"/>
  <c r="O211" i="4"/>
  <c r="O214" i="4"/>
  <c r="O212" i="4"/>
  <c r="O213" i="4"/>
  <c r="O216" i="4"/>
  <c r="O215" i="4"/>
  <c r="O217" i="4"/>
  <c r="O218" i="4"/>
  <c r="O219" i="4"/>
  <c r="O220" i="4"/>
  <c r="O221" i="4"/>
  <c r="O222" i="4"/>
  <c r="O223" i="4"/>
  <c r="N106" i="4" l="1"/>
  <c r="N107" i="4"/>
  <c r="N108" i="4"/>
  <c r="N109" i="4"/>
  <c r="N110" i="4"/>
  <c r="N111" i="4"/>
  <c r="N112" i="4"/>
  <c r="N113" i="4"/>
  <c r="O2" i="4"/>
  <c r="O3" i="4"/>
  <c r="O4" i="4"/>
  <c r="O5" i="4"/>
  <c r="O6" i="4"/>
  <c r="O8" i="4"/>
  <c r="O7" i="4"/>
  <c r="O9" i="4"/>
  <c r="O11" i="4" l="1"/>
  <c r="O12" i="4"/>
  <c r="O13" i="4"/>
  <c r="O10" i="4"/>
  <c r="O14" i="4"/>
  <c r="O15" i="4"/>
  <c r="O16" i="4"/>
  <c r="O17" i="4"/>
  <c r="O18" i="4"/>
  <c r="O19" i="4"/>
  <c r="O20" i="4"/>
  <c r="O21" i="4"/>
  <c r="O22" i="4"/>
  <c r="O24" i="4"/>
  <c r="O23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40" i="4"/>
  <c r="O39" i="4"/>
  <c r="O42" i="4"/>
  <c r="O43" i="4"/>
  <c r="O44" i="4"/>
  <c r="O45" i="4"/>
  <c r="O46" i="4"/>
  <c r="O41" i="4"/>
  <c r="O48" i="4"/>
  <c r="O50" i="4"/>
  <c r="O47" i="4"/>
  <c r="O53" i="4"/>
  <c r="O54" i="4"/>
  <c r="O49" i="4"/>
  <c r="O51" i="4"/>
  <c r="O52" i="4"/>
  <c r="O55" i="4"/>
  <c r="O56" i="4"/>
  <c r="O57" i="4"/>
  <c r="O58" i="4"/>
  <c r="O62" i="4"/>
  <c r="O59" i="4"/>
  <c r="O63" i="4"/>
  <c r="O61" i="4"/>
  <c r="O65" i="4"/>
  <c r="O60" i="4"/>
  <c r="O64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1" i="4"/>
  <c r="O80" i="4"/>
  <c r="O83" i="4"/>
  <c r="O84" i="4"/>
  <c r="O82" i="4"/>
  <c r="O85" i="4"/>
  <c r="O86" i="4"/>
  <c r="O88" i="4"/>
  <c r="O89" i="4"/>
  <c r="O87" i="4"/>
  <c r="O90" i="4"/>
  <c r="O91" i="4"/>
  <c r="O92" i="4"/>
  <c r="O93" i="4"/>
  <c r="O94" i="4"/>
  <c r="O95" i="4"/>
  <c r="O96" i="4"/>
  <c r="O97" i="4"/>
  <c r="O98" i="4"/>
  <c r="O99" i="4"/>
  <c r="O100" i="4"/>
  <c r="O102" i="4"/>
  <c r="O101" i="4"/>
  <c r="O103" i="4"/>
  <c r="O104" i="4"/>
  <c r="O105" i="4"/>
  <c r="O107" i="4"/>
  <c r="O106" i="4"/>
  <c r="O108" i="4"/>
  <c r="O109" i="4"/>
  <c r="O110" i="4"/>
  <c r="O111" i="4"/>
  <c r="O112" i="4"/>
  <c r="O113" i="4"/>
  <c r="O114" i="4"/>
  <c r="O115" i="4"/>
  <c r="O117" i="4"/>
  <c r="O116" i="4"/>
  <c r="O118" i="4"/>
  <c r="O119" i="4"/>
  <c r="O120" i="4"/>
  <c r="O121" i="4"/>
  <c r="O124" i="4"/>
  <c r="O122" i="4"/>
  <c r="O123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1" i="4"/>
  <c r="O140" i="4"/>
  <c r="O142" i="4"/>
  <c r="O143" i="4"/>
  <c r="O144" i="4"/>
  <c r="O145" i="4"/>
  <c r="O146" i="4"/>
  <c r="O147" i="4"/>
  <c r="O148" i="4"/>
  <c r="O149" i="4"/>
  <c r="O151" i="4"/>
  <c r="O150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8" i="4"/>
  <c r="O167" i="4"/>
  <c r="O169" i="4"/>
  <c r="O172" i="4"/>
  <c r="O170" i="4"/>
  <c r="O171" i="4"/>
  <c r="O173" i="4"/>
  <c r="O174" i="4"/>
  <c r="O175" i="4"/>
  <c r="O176" i="4"/>
  <c r="O178" i="4"/>
  <c r="O177" i="4"/>
  <c r="O179" i="4"/>
  <c r="O180" i="4"/>
  <c r="O181" i="4"/>
  <c r="O183" i="4"/>
  <c r="O182" i="4"/>
  <c r="O184" i="4"/>
  <c r="O186" i="4"/>
  <c r="O185" i="4"/>
  <c r="O187" i="4"/>
  <c r="O188" i="4"/>
  <c r="O189" i="4"/>
  <c r="O193" i="4"/>
  <c r="O190" i="4"/>
  <c r="O195" i="4"/>
  <c r="O191" i="4"/>
  <c r="O197" i="4"/>
  <c r="O198" i="4"/>
  <c r="O194" i="4"/>
  <c r="O196" i="4"/>
  <c r="O199" i="4"/>
  <c r="O192" i="4"/>
  <c r="O200" i="4"/>
  <c r="O201" i="4"/>
  <c r="O202" i="4"/>
  <c r="O203" i="4"/>
  <c r="O204" i="4"/>
  <c r="O205" i="4"/>
  <c r="O206" i="4"/>
  <c r="O207" i="4"/>
  <c r="O208" i="4"/>
  <c r="O2" i="9"/>
  <c r="O3" i="9"/>
  <c r="O4" i="9"/>
  <c r="O6" i="9"/>
  <c r="O5" i="9"/>
  <c r="O12" i="9"/>
  <c r="O7" i="9"/>
  <c r="O8" i="9"/>
  <c r="O21" i="9"/>
  <c r="O10" i="9"/>
  <c r="O9" i="9"/>
  <c r="O22" i="9"/>
  <c r="O23" i="9"/>
  <c r="O11" i="9"/>
  <c r="O14" i="9"/>
  <c r="O16" i="9"/>
  <c r="O13" i="9"/>
  <c r="O15" i="9"/>
  <c r="O17" i="9"/>
  <c r="O18" i="9"/>
  <c r="O19" i="9"/>
  <c r="O20" i="9"/>
  <c r="O33" i="9"/>
  <c r="O28" i="9"/>
  <c r="O34" i="9"/>
  <c r="O29" i="9"/>
  <c r="O30" i="9"/>
  <c r="O31" i="9"/>
  <c r="O25" i="9"/>
  <c r="O26" i="9"/>
  <c r="O27" i="9"/>
  <c r="O32" i="9"/>
  <c r="O24" i="9"/>
  <c r="O35" i="9"/>
  <c r="O37" i="9"/>
  <c r="O36" i="9"/>
  <c r="O38" i="9"/>
  <c r="O39" i="9"/>
  <c r="O59" i="9"/>
  <c r="O40" i="9"/>
  <c r="O60" i="9"/>
  <c r="O41" i="9"/>
  <c r="O61" i="9"/>
  <c r="O42" i="9"/>
  <c r="O43" i="9"/>
  <c r="O44" i="9"/>
  <c r="O45" i="9"/>
  <c r="O62" i="9"/>
  <c r="O63" i="9"/>
  <c r="O64" i="9"/>
  <c r="O65" i="9"/>
  <c r="O66" i="9"/>
  <c r="O67" i="9"/>
  <c r="O68" i="9"/>
  <c r="O46" i="9"/>
  <c r="O47" i="9"/>
  <c r="O69" i="9"/>
  <c r="O48" i="9"/>
  <c r="O70" i="9"/>
  <c r="O49" i="9"/>
  <c r="O50" i="9"/>
  <c r="O54" i="9"/>
  <c r="O51" i="9"/>
  <c r="O58" i="9"/>
  <c r="O52" i="9"/>
  <c r="O53" i="9"/>
  <c r="O55" i="9"/>
  <c r="O56" i="9"/>
  <c r="O57" i="9"/>
  <c r="O72" i="9"/>
  <c r="O75" i="9"/>
  <c r="O71" i="9"/>
  <c r="O74" i="9"/>
  <c r="O73" i="9"/>
  <c r="O87" i="9"/>
  <c r="O86" i="9"/>
  <c r="O84" i="9"/>
  <c r="O77" i="9"/>
  <c r="O80" i="9"/>
  <c r="O76" i="9"/>
  <c r="O79" i="9"/>
  <c r="O81" i="9"/>
  <c r="O85" i="9"/>
  <c r="O82" i="9"/>
  <c r="O83" i="9"/>
  <c r="O78" i="9"/>
  <c r="O93" i="9"/>
  <c r="O92" i="9"/>
  <c r="O89" i="9"/>
  <c r="O90" i="9"/>
  <c r="O96" i="9"/>
  <c r="O88" i="9"/>
  <c r="O91" i="9"/>
  <c r="O94" i="9"/>
  <c r="O95" i="9"/>
  <c r="O98" i="9"/>
  <c r="O97" i="9"/>
  <c r="O122" i="9"/>
  <c r="O123" i="9"/>
  <c r="O124" i="9"/>
  <c r="O125" i="9"/>
  <c r="O99" i="9"/>
  <c r="O100" i="9"/>
  <c r="O101" i="9"/>
  <c r="O126" i="9"/>
  <c r="O127" i="9"/>
  <c r="O128" i="9"/>
  <c r="O102" i="9"/>
  <c r="O129" i="9"/>
  <c r="O130" i="9"/>
  <c r="O116" i="9"/>
  <c r="O117" i="9"/>
  <c r="O108" i="9"/>
  <c r="O118" i="9"/>
  <c r="O109" i="9"/>
  <c r="O110" i="9"/>
  <c r="O119" i="9"/>
  <c r="O120" i="9"/>
  <c r="O121" i="9"/>
  <c r="O111" i="9"/>
  <c r="O112" i="9"/>
  <c r="O113" i="9"/>
  <c r="O114" i="9"/>
  <c r="O115" i="9"/>
  <c r="O131" i="9"/>
  <c r="O132" i="9"/>
  <c r="O103" i="9"/>
  <c r="O104" i="9"/>
  <c r="O105" i="9"/>
  <c r="O106" i="9"/>
  <c r="O107" i="9"/>
  <c r="O133" i="9"/>
  <c r="O134" i="9"/>
  <c r="O135" i="9"/>
  <c r="O138" i="9"/>
  <c r="O137" i="9"/>
  <c r="O136" i="9"/>
  <c r="O140" i="9"/>
  <c r="O139" i="9"/>
  <c r="O141" i="9"/>
  <c r="O145" i="9"/>
  <c r="O144" i="9"/>
  <c r="O146" i="9"/>
  <c r="O142" i="9"/>
  <c r="O143" i="9"/>
  <c r="O147" i="9"/>
  <c r="O149" i="9"/>
  <c r="O148" i="9"/>
  <c r="O151" i="9"/>
  <c r="O159" i="9"/>
  <c r="O150" i="9"/>
  <c r="O153" i="9"/>
  <c r="O156" i="9"/>
  <c r="O154" i="9"/>
  <c r="O152" i="9"/>
  <c r="O155" i="9"/>
  <c r="O158" i="9"/>
  <c r="O157" i="9"/>
  <c r="O163" i="9"/>
  <c r="O164" i="9"/>
  <c r="O168" i="9"/>
  <c r="O165" i="9"/>
  <c r="O169" i="9"/>
  <c r="O162" i="9"/>
  <c r="O160" i="9"/>
  <c r="O166" i="9"/>
  <c r="O167" i="9"/>
  <c r="O161" i="9"/>
  <c r="O170" i="9"/>
  <c r="O200" i="9"/>
  <c r="O171" i="9"/>
  <c r="O172" i="9"/>
  <c r="O201" i="9"/>
  <c r="O173" i="9"/>
  <c r="O174" i="9"/>
  <c r="O202" i="9"/>
  <c r="O175" i="9"/>
  <c r="O203" i="9"/>
  <c r="O176" i="9"/>
  <c r="O177" i="9"/>
  <c r="O178" i="9"/>
  <c r="O204" i="9"/>
  <c r="O179" i="9"/>
  <c r="O180" i="9"/>
  <c r="O205" i="9"/>
  <c r="O181" i="9"/>
  <c r="O206" i="9"/>
  <c r="O182" i="9"/>
  <c r="O183" i="9"/>
  <c r="O207" i="9"/>
  <c r="O184" i="9"/>
  <c r="O194" i="9"/>
  <c r="O195" i="9"/>
  <c r="O196" i="9"/>
  <c r="O208" i="9"/>
  <c r="O197" i="9"/>
  <c r="O198" i="9"/>
  <c r="O185" i="9"/>
  <c r="O199" i="9"/>
  <c r="O209" i="9"/>
  <c r="O193" i="9"/>
  <c r="O186" i="9"/>
  <c r="O210" i="9"/>
  <c r="O211" i="9"/>
  <c r="O212" i="9"/>
  <c r="O187" i="9"/>
  <c r="O188" i="9"/>
  <c r="O189" i="9"/>
  <c r="O213" i="9"/>
  <c r="O190" i="9"/>
  <c r="O191" i="9"/>
  <c r="O214" i="9"/>
  <c r="O192" i="9"/>
  <c r="O215" i="9"/>
  <c r="O216" i="9"/>
  <c r="O217" i="9"/>
  <c r="O218" i="9"/>
  <c r="O221" i="9"/>
  <c r="O219" i="9"/>
  <c r="O220" i="9"/>
  <c r="O259" i="9"/>
  <c r="O262" i="9"/>
  <c r="O258" i="9"/>
  <c r="O261" i="9"/>
  <c r="O256" i="9"/>
  <c r="O230" i="9"/>
  <c r="O257" i="9"/>
  <c r="O222" i="9"/>
  <c r="O231" i="9"/>
  <c r="O238" i="9"/>
  <c r="O260" i="9"/>
  <c r="O232" i="9"/>
  <c r="O239" i="9"/>
  <c r="O252" i="9"/>
  <c r="O233" i="9"/>
  <c r="O242" i="9"/>
  <c r="O225" i="9"/>
  <c r="O235" i="9"/>
  <c r="O240" i="9"/>
  <c r="O243" i="9"/>
  <c r="O234" i="9"/>
  <c r="O236" i="9"/>
  <c r="O241" i="9"/>
  <c r="O245" i="9"/>
  <c r="O226" i="9"/>
  <c r="O227" i="9"/>
  <c r="O246" i="9"/>
  <c r="O247" i="9"/>
  <c r="O228" i="9"/>
  <c r="O229" i="9"/>
  <c r="O248" i="9"/>
  <c r="O223" i="9"/>
  <c r="O237" i="9"/>
  <c r="O249" i="9"/>
  <c r="O251" i="9"/>
  <c r="O224" i="9"/>
  <c r="O250" i="9"/>
  <c r="O253" i="9"/>
  <c r="O254" i="9"/>
  <c r="O244" i="9"/>
  <c r="O255" i="9"/>
  <c r="O268" i="9"/>
  <c r="O264" i="9"/>
  <c r="O265" i="9"/>
  <c r="O263" i="9"/>
  <c r="O266" i="9"/>
  <c r="O267" i="9"/>
  <c r="O272" i="9"/>
  <c r="O273" i="9"/>
  <c r="O271" i="9"/>
  <c r="O274" i="9"/>
  <c r="O269" i="9"/>
  <c r="O270" i="9"/>
  <c r="O328" i="9"/>
  <c r="O329" i="9"/>
  <c r="O330" i="9"/>
  <c r="O331" i="9"/>
  <c r="O332" i="9"/>
  <c r="O312" i="9"/>
  <c r="O313" i="9"/>
  <c r="O314" i="9"/>
  <c r="O315" i="9"/>
  <c r="O275" i="9"/>
  <c r="O276" i="9"/>
  <c r="O316" i="9"/>
  <c r="O317" i="9"/>
  <c r="O318" i="9"/>
  <c r="O319" i="9"/>
  <c r="O277" i="9"/>
  <c r="O278" i="9"/>
  <c r="O279" i="9"/>
  <c r="O320" i="9"/>
  <c r="O280" i="9"/>
  <c r="O281" i="9"/>
  <c r="O321" i="9"/>
  <c r="O282" i="9"/>
  <c r="O283" i="9"/>
  <c r="O322" i="9"/>
  <c r="O323" i="9"/>
  <c r="O284" i="9"/>
  <c r="O285" i="9"/>
  <c r="O286" i="9"/>
  <c r="O324" i="9"/>
  <c r="O287" i="9"/>
  <c r="O288" i="9"/>
  <c r="O325" i="9"/>
  <c r="O289" i="9"/>
  <c r="O298" i="9"/>
  <c r="O326" i="9"/>
  <c r="O290" i="9"/>
  <c r="O327" i="9"/>
  <c r="O291" i="9"/>
  <c r="O299" i="9"/>
  <c r="O292" i="9"/>
  <c r="O293" i="9"/>
  <c r="O300" i="9"/>
  <c r="O307" i="9"/>
  <c r="O294" i="9"/>
  <c r="O308" i="9"/>
  <c r="O295" i="9"/>
  <c r="O310" i="9"/>
  <c r="O309" i="9"/>
  <c r="O296" i="9"/>
  <c r="O311" i="9"/>
  <c r="O301" i="9"/>
  <c r="O302" i="9"/>
  <c r="O297" i="9"/>
  <c r="O303" i="9"/>
  <c r="O304" i="9"/>
  <c r="O305" i="9"/>
  <c r="O306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O456" i="9"/>
  <c r="O457" i="9"/>
  <c r="O458" i="9"/>
  <c r="O517" i="9"/>
  <c r="O518" i="9"/>
  <c r="O519" i="9"/>
  <c r="O459" i="9"/>
  <c r="O460" i="9"/>
  <c r="O461" i="9"/>
  <c r="O462" i="9"/>
  <c r="O463" i="9"/>
  <c r="O464" i="9"/>
  <c r="O465" i="9"/>
  <c r="O466" i="9"/>
  <c r="O467" i="9"/>
  <c r="O468" i="9"/>
  <c r="O469" i="9"/>
  <c r="O470" i="9"/>
  <c r="O471" i="9"/>
  <c r="O472" i="9"/>
  <c r="O473" i="9"/>
  <c r="O474" i="9"/>
  <c r="O475" i="9"/>
  <c r="O476" i="9"/>
  <c r="O477" i="9"/>
  <c r="O478" i="9"/>
  <c r="O479" i="9"/>
  <c r="O480" i="9"/>
  <c r="O481" i="9"/>
  <c r="O482" i="9"/>
  <c r="O483" i="9"/>
  <c r="O484" i="9"/>
  <c r="O485" i="9"/>
  <c r="O486" i="9"/>
  <c r="O487" i="9"/>
  <c r="O488" i="9"/>
  <c r="O489" i="9"/>
  <c r="O490" i="9"/>
  <c r="O491" i="9"/>
  <c r="O492" i="9"/>
  <c r="O493" i="9"/>
  <c r="O494" i="9"/>
  <c r="O495" i="9"/>
  <c r="O496" i="9"/>
  <c r="O497" i="9"/>
  <c r="O498" i="9"/>
  <c r="O499" i="9"/>
  <c r="O500" i="9"/>
  <c r="O501" i="9"/>
  <c r="O502" i="9"/>
  <c r="O503" i="9"/>
  <c r="O504" i="9"/>
  <c r="O505" i="9"/>
  <c r="O506" i="9"/>
  <c r="O507" i="9"/>
  <c r="O508" i="9"/>
  <c r="O509" i="9"/>
  <c r="O510" i="9"/>
  <c r="O511" i="9"/>
  <c r="O512" i="9"/>
  <c r="O513" i="9"/>
  <c r="O514" i="9"/>
  <c r="O515" i="9"/>
  <c r="O516" i="9"/>
  <c r="O520" i="9"/>
  <c r="O521" i="9"/>
  <c r="O522" i="9"/>
  <c r="O524" i="9"/>
  <c r="O523" i="9"/>
  <c r="O525" i="9"/>
  <c r="O527" i="9"/>
  <c r="O526" i="9"/>
  <c r="O528" i="9"/>
  <c r="O529" i="9"/>
  <c r="O530" i="9"/>
  <c r="O531" i="9"/>
  <c r="O532" i="9"/>
  <c r="O533" i="9"/>
  <c r="O534" i="9"/>
  <c r="O535" i="9"/>
  <c r="O536" i="9"/>
  <c r="O537" i="9"/>
  <c r="O538" i="9"/>
  <c r="O539" i="9"/>
  <c r="O540" i="9"/>
  <c r="O541" i="9"/>
  <c r="O542" i="9"/>
  <c r="O544" i="9"/>
  <c r="O543" i="9"/>
  <c r="O545" i="9"/>
  <c r="O546" i="9"/>
  <c r="O547" i="9"/>
  <c r="O548" i="9"/>
  <c r="O549" i="9"/>
  <c r="O550" i="9"/>
  <c r="O551" i="9"/>
  <c r="O552" i="9"/>
  <c r="O553" i="9"/>
  <c r="O554" i="9"/>
  <c r="O555" i="9"/>
  <c r="O556" i="9"/>
  <c r="O557" i="9"/>
  <c r="O558" i="9"/>
  <c r="O559" i="9"/>
  <c r="O560" i="9"/>
  <c r="O561" i="9"/>
  <c r="O562" i="9"/>
  <c r="O563" i="9"/>
  <c r="O564" i="9"/>
  <c r="O565" i="9"/>
  <c r="O566" i="9"/>
  <c r="O567" i="9"/>
  <c r="O568" i="9"/>
  <c r="O569" i="9"/>
  <c r="O570" i="9"/>
  <c r="O571" i="9"/>
  <c r="O572" i="9"/>
  <c r="O573" i="9"/>
  <c r="O574" i="9"/>
  <c r="O575" i="9"/>
  <c r="O576" i="9"/>
  <c r="O577" i="9"/>
  <c r="O578" i="9"/>
  <c r="O579" i="9"/>
  <c r="O580" i="9"/>
  <c r="O581" i="9"/>
  <c r="O582" i="9"/>
  <c r="O583" i="9"/>
  <c r="O584" i="9"/>
  <c r="O585" i="9"/>
  <c r="O586" i="9"/>
  <c r="O587" i="9"/>
  <c r="O588" i="9"/>
  <c r="O589" i="9"/>
  <c r="O590" i="9"/>
  <c r="O592" i="9"/>
  <c r="O593" i="9"/>
  <c r="O594" i="9"/>
  <c r="O595" i="9"/>
  <c r="O596" i="9"/>
  <c r="O597" i="9"/>
  <c r="O598" i="9"/>
  <c r="O599" i="9"/>
  <c r="O600" i="9"/>
  <c r="O591" i="9"/>
  <c r="O601" i="9"/>
  <c r="O602" i="9"/>
  <c r="O603" i="9"/>
  <c r="O604" i="9"/>
  <c r="O605" i="9"/>
  <c r="O606" i="9"/>
  <c r="O607" i="9"/>
  <c r="O608" i="9"/>
  <c r="O609" i="9"/>
  <c r="O610" i="9"/>
  <c r="O611" i="9"/>
  <c r="O612" i="9"/>
  <c r="O613" i="9"/>
  <c r="O614" i="9"/>
  <c r="O615" i="9"/>
  <c r="O616" i="9"/>
  <c r="O617" i="9"/>
  <c r="O618" i="9"/>
  <c r="O619" i="9"/>
  <c r="O620" i="9"/>
  <c r="O621" i="9"/>
  <c r="O622" i="9"/>
  <c r="O623" i="9"/>
  <c r="O624" i="9"/>
  <c r="O625" i="9"/>
  <c r="O626" i="9"/>
  <c r="O627" i="9"/>
  <c r="O628" i="9"/>
  <c r="O629" i="9"/>
  <c r="O630" i="9"/>
  <c r="O631" i="9"/>
  <c r="O632" i="9"/>
  <c r="O633" i="9"/>
  <c r="O634" i="9"/>
  <c r="O635" i="9"/>
  <c r="O636" i="9"/>
  <c r="O637" i="9"/>
  <c r="O638" i="9"/>
  <c r="O639" i="9"/>
  <c r="O640" i="9"/>
  <c r="O641" i="9"/>
  <c r="O642" i="9"/>
  <c r="O643" i="9"/>
  <c r="O644" i="9"/>
  <c r="O645" i="9"/>
  <c r="O646" i="9"/>
  <c r="O647" i="9"/>
  <c r="O648" i="9"/>
  <c r="O649" i="9"/>
  <c r="O652" i="9"/>
  <c r="O650" i="9"/>
  <c r="O651" i="9"/>
  <c r="O653" i="9"/>
  <c r="O655" i="9"/>
  <c r="O654" i="9"/>
  <c r="O656" i="9"/>
  <c r="O657" i="9"/>
  <c r="O658" i="9"/>
  <c r="O659" i="9"/>
  <c r="O660" i="9"/>
  <c r="O661" i="9"/>
  <c r="O662" i="9"/>
  <c r="O663" i="9"/>
  <c r="O664" i="9"/>
  <c r="O668" i="9"/>
  <c r="O666" i="9"/>
  <c r="O667" i="9"/>
  <c r="O665" i="9"/>
  <c r="O669" i="9"/>
  <c r="O671" i="9"/>
  <c r="O670" i="9"/>
  <c r="O672" i="9"/>
  <c r="O673" i="9"/>
  <c r="O674" i="9"/>
  <c r="O675" i="9"/>
  <c r="O676" i="9"/>
  <c r="O677" i="9"/>
  <c r="O678" i="9"/>
  <c r="O679" i="9"/>
  <c r="O680" i="9"/>
  <c r="O681" i="9"/>
  <c r="O682" i="9"/>
  <c r="O683" i="9"/>
  <c r="O684" i="9"/>
  <c r="O685" i="9"/>
  <c r="O686" i="9"/>
  <c r="O687" i="9"/>
  <c r="O688" i="9"/>
  <c r="O689" i="9"/>
  <c r="O690" i="9"/>
  <c r="O691" i="9"/>
  <c r="O692" i="9"/>
  <c r="O693" i="9"/>
  <c r="O694" i="9"/>
  <c r="O695" i="9"/>
  <c r="O696" i="9"/>
  <c r="O697" i="9"/>
  <c r="O698" i="9"/>
  <c r="O699" i="9"/>
  <c r="O700" i="9"/>
  <c r="O701" i="9"/>
  <c r="O702" i="9"/>
  <c r="O703" i="9"/>
  <c r="O704" i="9"/>
  <c r="O705" i="9"/>
  <c r="O706" i="9"/>
  <c r="O707" i="9"/>
  <c r="O708" i="9"/>
  <c r="O709" i="9"/>
  <c r="O710" i="9"/>
  <c r="O711" i="9"/>
  <c r="O712" i="9"/>
  <c r="O713" i="9"/>
  <c r="O714" i="9"/>
  <c r="O715" i="9"/>
  <c r="O716" i="9"/>
  <c r="O717" i="9"/>
  <c r="O718" i="9"/>
  <c r="O719" i="9"/>
  <c r="O720" i="9"/>
  <c r="O721" i="9"/>
  <c r="O722" i="9"/>
  <c r="O723" i="9"/>
  <c r="O724" i="9"/>
  <c r="O725" i="9"/>
  <c r="O726" i="9"/>
  <c r="O727" i="9"/>
  <c r="O728" i="9"/>
  <c r="O729" i="9"/>
  <c r="O730" i="9"/>
  <c r="O731" i="9"/>
  <c r="O732" i="9"/>
  <c r="O733" i="9"/>
  <c r="O734" i="9"/>
  <c r="O735" i="9"/>
  <c r="O736" i="9"/>
  <c r="O737" i="9"/>
  <c r="O738" i="9"/>
  <c r="O739" i="9"/>
  <c r="O740" i="9"/>
  <c r="O741" i="9"/>
  <c r="O742" i="9"/>
  <c r="O743" i="9"/>
  <c r="O744" i="9"/>
  <c r="O745" i="9"/>
  <c r="O746" i="9"/>
  <c r="O747" i="9"/>
  <c r="O748" i="9"/>
  <c r="O749" i="9"/>
  <c r="O750" i="9"/>
  <c r="O751" i="9"/>
  <c r="O752" i="9"/>
  <c r="O753" i="9"/>
  <c r="O754" i="9"/>
  <c r="O755" i="9"/>
  <c r="O756" i="9"/>
  <c r="O757" i="9"/>
  <c r="O758" i="9"/>
  <c r="O759" i="9"/>
  <c r="O760" i="9"/>
  <c r="O761" i="9"/>
  <c r="O762" i="9"/>
  <c r="O763" i="9"/>
  <c r="O764" i="9"/>
  <c r="O765" i="9"/>
  <c r="O766" i="9"/>
  <c r="O767" i="9"/>
  <c r="O768" i="9"/>
  <c r="O769" i="9"/>
  <c r="O770" i="9"/>
  <c r="O771" i="9"/>
  <c r="O772" i="9"/>
  <c r="O773" i="9"/>
  <c r="O774" i="9"/>
  <c r="O775" i="9"/>
  <c r="O776" i="9"/>
  <c r="O778" i="9"/>
  <c r="O777" i="9"/>
  <c r="O779" i="9"/>
  <c r="O780" i="9"/>
  <c r="O781" i="9"/>
  <c r="O782" i="9"/>
  <c r="O783" i="9"/>
  <c r="O784" i="9"/>
  <c r="O785" i="9"/>
  <c r="O786" i="9"/>
  <c r="O787" i="9"/>
  <c r="O788" i="9"/>
  <c r="O789" i="9"/>
  <c r="O790" i="9"/>
  <c r="O791" i="9"/>
  <c r="O792" i="9"/>
  <c r="O793" i="9"/>
  <c r="O794" i="9"/>
  <c r="O795" i="9"/>
  <c r="O796" i="9"/>
  <c r="O797" i="9"/>
  <c r="O798" i="9"/>
  <c r="O799" i="9"/>
  <c r="O800" i="9"/>
  <c r="O801" i="9"/>
  <c r="O802" i="9"/>
  <c r="O803" i="9"/>
  <c r="O804" i="9"/>
  <c r="O805" i="9"/>
  <c r="O806" i="9"/>
  <c r="O807" i="9"/>
  <c r="O808" i="9"/>
  <c r="O809" i="9"/>
  <c r="O810" i="9"/>
  <c r="O811" i="9"/>
  <c r="O812" i="9"/>
  <c r="O813" i="9"/>
  <c r="O814" i="9"/>
  <c r="O815" i="9"/>
  <c r="O816" i="9"/>
  <c r="O817" i="9"/>
  <c r="O818" i="9"/>
  <c r="O819" i="9"/>
  <c r="O820" i="9"/>
  <c r="O821" i="9"/>
  <c r="O822" i="9"/>
  <c r="O823" i="9"/>
  <c r="O824" i="9"/>
  <c r="O825" i="9"/>
  <c r="O826" i="9"/>
  <c r="O827" i="9"/>
  <c r="O828" i="9"/>
  <c r="O829" i="9"/>
  <c r="O830" i="9"/>
  <c r="O831" i="9"/>
  <c r="O832" i="9"/>
  <c r="O833" i="9"/>
  <c r="O834" i="9"/>
  <c r="O835" i="9"/>
  <c r="O836" i="9"/>
  <c r="O837" i="9"/>
  <c r="O838" i="9"/>
  <c r="O839" i="9"/>
  <c r="O840" i="9"/>
  <c r="O841" i="9"/>
  <c r="O842" i="9"/>
  <c r="O843" i="9"/>
  <c r="O844" i="9"/>
  <c r="O845" i="9"/>
  <c r="O846" i="9"/>
  <c r="O847" i="9"/>
  <c r="O848" i="9"/>
  <c r="O849" i="9"/>
  <c r="O850" i="9"/>
  <c r="O851" i="9"/>
  <c r="O852" i="9"/>
  <c r="O853" i="9"/>
  <c r="O854" i="9"/>
  <c r="O855" i="9"/>
  <c r="O856" i="9"/>
  <c r="O857" i="9"/>
  <c r="O858" i="9"/>
  <c r="O859" i="9"/>
  <c r="O860" i="9"/>
  <c r="O861" i="9"/>
  <c r="O862" i="9"/>
  <c r="O863" i="9"/>
  <c r="O864" i="9"/>
  <c r="O865" i="9"/>
  <c r="O866" i="9"/>
  <c r="O867" i="9"/>
  <c r="O868" i="9"/>
  <c r="O869" i="9"/>
  <c r="O870" i="9"/>
  <c r="O871" i="9"/>
  <c r="O872" i="9"/>
  <c r="O873" i="9"/>
  <c r="O874" i="9"/>
  <c r="O875" i="9"/>
  <c r="O876" i="9"/>
  <c r="O877" i="9"/>
  <c r="O878" i="9"/>
  <c r="O879" i="9"/>
  <c r="O880" i="9"/>
  <c r="O881" i="9"/>
  <c r="O882" i="9"/>
  <c r="O883" i="9"/>
  <c r="O884" i="9"/>
  <c r="O885" i="9"/>
  <c r="O886" i="9"/>
  <c r="O887" i="9"/>
  <c r="O888" i="9"/>
  <c r="O889" i="9"/>
  <c r="O890" i="9"/>
  <c r="O891" i="9"/>
  <c r="O892" i="9"/>
  <c r="O893" i="9"/>
  <c r="O894" i="9"/>
  <c r="O895" i="9"/>
  <c r="O896" i="9"/>
  <c r="O897" i="9"/>
  <c r="O899" i="9"/>
  <c r="O898" i="9"/>
  <c r="O900" i="9"/>
  <c r="O901" i="9"/>
  <c r="O902" i="9"/>
  <c r="O903" i="9"/>
  <c r="O904" i="9"/>
  <c r="O905" i="9"/>
  <c r="O906" i="9"/>
  <c r="O907" i="9"/>
  <c r="O908" i="9"/>
  <c r="O909" i="9"/>
  <c r="O910" i="9"/>
  <c r="O911" i="9"/>
  <c r="O912" i="9"/>
  <c r="O913" i="9"/>
  <c r="O914" i="9"/>
  <c r="O925" i="9"/>
  <c r="O915" i="9"/>
  <c r="O916" i="9"/>
  <c r="O917" i="9"/>
  <c r="O918" i="9"/>
  <c r="O919" i="9"/>
  <c r="O920" i="9"/>
  <c r="O921" i="9"/>
  <c r="O922" i="9"/>
  <c r="O923" i="9"/>
  <c r="O924" i="9"/>
  <c r="O926" i="9"/>
  <c r="O927" i="9"/>
  <c r="O928" i="9"/>
  <c r="O929" i="9"/>
  <c r="O930" i="9"/>
  <c r="O931" i="9"/>
  <c r="O932" i="9"/>
  <c r="O933" i="9"/>
  <c r="O934" i="9"/>
  <c r="O935" i="9"/>
  <c r="O936" i="9"/>
  <c r="O937" i="9"/>
  <c r="O938" i="9"/>
  <c r="O939" i="9"/>
  <c r="O940" i="9"/>
  <c r="O941" i="9"/>
  <c r="O942" i="9"/>
  <c r="O943" i="9"/>
  <c r="O944" i="9"/>
  <c r="O945" i="9"/>
  <c r="O946" i="9"/>
  <c r="O947" i="9"/>
  <c r="O948" i="9"/>
  <c r="O949" i="9"/>
  <c r="O950" i="9"/>
  <c r="O951" i="9"/>
  <c r="O952" i="9"/>
  <c r="O953" i="9"/>
  <c r="O954" i="9"/>
  <c r="O955" i="9"/>
  <c r="O956" i="9"/>
  <c r="O957" i="9"/>
  <c r="O958" i="9"/>
  <c r="O959" i="9"/>
  <c r="O960" i="9"/>
  <c r="O961" i="9"/>
  <c r="O962" i="9"/>
  <c r="O963" i="9"/>
  <c r="O964" i="9"/>
  <c r="O965" i="9"/>
  <c r="O966" i="9"/>
  <c r="O967" i="9"/>
  <c r="O968" i="9"/>
  <c r="O969" i="9"/>
  <c r="O970" i="9"/>
  <c r="O971" i="9"/>
  <c r="O972" i="9"/>
  <c r="O973" i="9"/>
  <c r="O974" i="9"/>
  <c r="O975" i="9"/>
  <c r="O976" i="9"/>
  <c r="O977" i="9"/>
  <c r="O978" i="9"/>
  <c r="O979" i="9"/>
  <c r="O980" i="9"/>
  <c r="O981" i="9"/>
  <c r="O982" i="9"/>
  <c r="O983" i="9"/>
  <c r="O984" i="9"/>
  <c r="O985" i="9"/>
  <c r="O986" i="9"/>
  <c r="O987" i="9"/>
  <c r="O988" i="9"/>
  <c r="O989" i="9"/>
  <c r="O990" i="9"/>
  <c r="O1010" i="9"/>
  <c r="O991" i="9"/>
  <c r="O992" i="9"/>
  <c r="O993" i="9"/>
  <c r="O994" i="9"/>
  <c r="O995" i="9"/>
  <c r="O996" i="9"/>
  <c r="O997" i="9"/>
  <c r="O998" i="9"/>
  <c r="O999" i="9"/>
  <c r="O1000" i="9"/>
  <c r="O1001" i="9"/>
  <c r="O1002" i="9"/>
  <c r="O1003" i="9"/>
  <c r="O1004" i="9"/>
  <c r="O1005" i="9"/>
  <c r="O1006" i="9"/>
  <c r="O1007" i="9"/>
  <c r="O1008" i="9"/>
  <c r="O1009" i="9"/>
  <c r="O1011" i="9"/>
  <c r="O1012" i="9"/>
  <c r="O1013" i="9"/>
  <c r="O1014" i="9"/>
  <c r="O1015" i="9"/>
  <c r="O1016" i="9"/>
  <c r="O1017" i="9"/>
  <c r="O1018" i="9"/>
  <c r="O1019" i="9"/>
  <c r="O1020" i="9"/>
  <c r="O1021" i="9"/>
  <c r="O1022" i="9"/>
  <c r="O1023" i="9"/>
  <c r="O1024" i="9"/>
  <c r="O1025" i="9"/>
  <c r="O1026" i="9"/>
  <c r="O1027" i="9"/>
  <c r="O1028" i="9"/>
  <c r="O1029" i="9"/>
  <c r="O1030" i="9"/>
  <c r="O1031" i="9"/>
  <c r="O1032" i="9"/>
  <c r="O1033" i="9"/>
  <c r="O1034" i="9"/>
  <c r="O1035" i="9"/>
  <c r="O1036" i="9"/>
  <c r="O1037" i="9"/>
  <c r="O1038" i="9"/>
  <c r="O1039" i="9"/>
  <c r="O1040" i="9"/>
  <c r="O1041" i="9"/>
  <c r="O1042" i="9"/>
  <c r="O1043" i="9"/>
  <c r="O1044" i="9"/>
  <c r="O1045" i="9"/>
  <c r="O1046" i="9"/>
  <c r="O1047" i="9"/>
  <c r="O1048" i="9"/>
  <c r="O1049" i="9"/>
  <c r="O1050" i="9"/>
  <c r="O1051" i="9"/>
  <c r="O1052" i="9"/>
  <c r="O1053" i="9"/>
  <c r="O1061" i="9"/>
  <c r="O1054" i="9"/>
  <c r="O1055" i="9"/>
  <c r="O1056" i="9"/>
  <c r="O1057" i="9"/>
  <c r="O1058" i="9"/>
  <c r="O1059" i="9"/>
  <c r="O1060" i="9"/>
  <c r="O1062" i="9"/>
  <c r="O1063" i="9"/>
  <c r="O1064" i="9"/>
  <c r="O1065" i="9"/>
  <c r="O1066" i="9"/>
  <c r="O1067" i="9"/>
  <c r="O1068" i="9"/>
  <c r="O1069" i="9"/>
  <c r="O1070" i="9"/>
  <c r="O1071" i="9"/>
  <c r="O1072" i="9"/>
  <c r="O1073" i="9"/>
  <c r="O1074" i="9"/>
  <c r="O1075" i="9"/>
  <c r="O1076" i="9"/>
  <c r="O1077" i="9"/>
  <c r="O1078" i="9"/>
  <c r="O1079" i="9"/>
  <c r="O1083" i="9"/>
  <c r="O1085" i="9"/>
  <c r="O1088" i="9"/>
  <c r="O1089" i="9"/>
  <c r="O1090" i="9"/>
  <c r="O1091" i="9"/>
  <c r="O1092" i="9"/>
  <c r="O1093" i="9"/>
  <c r="O1094" i="9"/>
  <c r="O1095" i="9"/>
  <c r="O1096" i="9"/>
  <c r="O1097" i="9"/>
  <c r="O1098" i="9"/>
  <c r="O1099" i="9"/>
  <c r="O1100" i="9"/>
  <c r="O1101" i="9"/>
  <c r="O1102" i="9"/>
  <c r="O1103" i="9"/>
  <c r="O1104" i="9"/>
  <c r="O1105" i="9"/>
  <c r="O1106" i="9"/>
  <c r="O1107" i="9"/>
  <c r="O1108" i="9"/>
  <c r="O1109" i="9"/>
  <c r="O1110" i="9"/>
  <c r="O1111" i="9"/>
  <c r="O1113" i="9"/>
  <c r="O1080" i="9"/>
  <c r="O1081" i="9"/>
  <c r="O1082" i="9"/>
  <c r="O1084" i="9"/>
  <c r="O1087" i="9"/>
  <c r="O1086" i="9"/>
  <c r="O1112" i="9"/>
  <c r="O1114" i="9"/>
  <c r="O1115" i="9"/>
  <c r="O1116" i="9"/>
  <c r="O1117" i="9"/>
  <c r="O1118" i="9"/>
  <c r="O1119" i="9"/>
  <c r="O1120" i="9"/>
  <c r="O1121" i="9"/>
  <c r="O1122" i="9"/>
  <c r="O1123" i="9"/>
  <c r="O1124" i="9"/>
  <c r="O1125" i="9"/>
  <c r="O1126" i="9"/>
  <c r="O1127" i="9"/>
  <c r="O1128" i="9"/>
  <c r="O1129" i="9"/>
  <c r="O1130" i="9"/>
  <c r="O1131" i="9"/>
  <c r="O1132" i="9"/>
  <c r="O1133" i="9"/>
  <c r="O1134" i="9"/>
  <c r="O1135" i="9"/>
  <c r="O1136" i="9"/>
  <c r="O1137" i="9"/>
  <c r="O1138" i="9"/>
  <c r="O1139" i="9"/>
  <c r="O1140" i="9"/>
  <c r="O1141" i="9"/>
  <c r="O1142" i="9"/>
  <c r="O1143" i="9"/>
  <c r="O1144" i="9"/>
  <c r="O1145" i="9"/>
  <c r="O1151" i="9"/>
  <c r="O1152" i="9"/>
  <c r="O1155" i="9"/>
  <c r="O1156" i="9"/>
  <c r="O1162" i="9"/>
  <c r="O1163" i="9"/>
  <c r="O1164" i="9"/>
  <c r="O1165" i="9"/>
  <c r="O1166" i="9"/>
  <c r="O1167" i="9"/>
  <c r="O1168" i="9"/>
  <c r="O1169" i="9"/>
  <c r="O1171" i="9"/>
  <c r="O1170" i="9"/>
  <c r="O1178" i="9"/>
  <c r="O1179" i="9"/>
  <c r="N174" i="4" l="1"/>
  <c r="N183" i="4"/>
  <c r="N181" i="4"/>
  <c r="N180" i="4"/>
  <c r="N184" i="4"/>
  <c r="N178" i="4"/>
  <c r="N182" i="4"/>
  <c r="N177" i="4"/>
  <c r="N163" i="4"/>
  <c r="N179" i="4"/>
  <c r="N279" i="4"/>
  <c r="N274" i="4"/>
  <c r="N277" i="4"/>
  <c r="N278" i="4"/>
  <c r="N275" i="4"/>
  <c r="N276" i="4"/>
  <c r="N273" i="4"/>
  <c r="N272" i="4"/>
  <c r="N271" i="4"/>
  <c r="N225" i="4"/>
  <c r="N224" i="4"/>
  <c r="N223" i="4"/>
  <c r="N222" i="4"/>
  <c r="N266" i="4"/>
  <c r="N267" i="4"/>
  <c r="N265" i="4"/>
  <c r="N263" i="4"/>
  <c r="N262" i="4"/>
  <c r="N261" i="4"/>
  <c r="N264" i="4"/>
  <c r="N260" i="4"/>
  <c r="N269" i="4"/>
  <c r="N252" i="4"/>
  <c r="N228" i="4"/>
  <c r="N227" i="4"/>
  <c r="N212" i="4"/>
  <c r="N196" i="4"/>
  <c r="N191" i="4"/>
  <c r="N190" i="4"/>
  <c r="N170" i="4"/>
  <c r="N233" i="4"/>
  <c r="N238" i="4"/>
  <c r="N240" i="4"/>
  <c r="N236" i="4"/>
  <c r="N239" i="4"/>
  <c r="N235" i="4"/>
  <c r="N237" i="4"/>
  <c r="N234" i="4"/>
  <c r="N231" i="4"/>
  <c r="N232" i="4"/>
  <c r="N229" i="4"/>
  <c r="N230" i="4"/>
  <c r="N149" i="4"/>
  <c r="N148" i="4"/>
  <c r="N147" i="4"/>
  <c r="N146" i="4"/>
  <c r="N145" i="4"/>
  <c r="N144" i="4"/>
  <c r="N284" i="4"/>
  <c r="N282" i="4"/>
  <c r="N283" i="4"/>
  <c r="N280" i="4"/>
  <c r="N281" i="4"/>
  <c r="N270" i="4"/>
  <c r="N268" i="4"/>
  <c r="N258" i="4"/>
  <c r="N259" i="4"/>
  <c r="N256" i="4"/>
  <c r="N255" i="4"/>
  <c r="N254" i="4"/>
  <c r="N253" i="4"/>
  <c r="N250" i="4"/>
  <c r="N248" i="4"/>
  <c r="N245" i="4"/>
  <c r="N244" i="4"/>
  <c r="N243" i="4"/>
  <c r="N241" i="4"/>
  <c r="N219" i="4"/>
  <c r="N217" i="4"/>
  <c r="N218" i="4"/>
  <c r="N215" i="4"/>
  <c r="N213" i="4"/>
  <c r="N209" i="4"/>
  <c r="N204" i="4"/>
  <c r="N203" i="4"/>
  <c r="N200" i="4"/>
  <c r="N199" i="4"/>
  <c r="N198" i="4"/>
  <c r="N194" i="4"/>
  <c r="N187" i="4"/>
  <c r="N186" i="4"/>
  <c r="N173" i="4"/>
  <c r="N172" i="4"/>
  <c r="N171" i="4"/>
  <c r="N167" i="4"/>
  <c r="N164" i="4"/>
  <c r="N165" i="4"/>
  <c r="N143" i="4"/>
  <c r="N138" i="4"/>
  <c r="N132" i="4"/>
  <c r="N129" i="4"/>
  <c r="N131" i="4"/>
  <c r="N135" i="4"/>
  <c r="N130" i="4"/>
  <c r="N134" i="4"/>
  <c r="N139" i="4"/>
  <c r="N137" i="4"/>
  <c r="N133" i="4"/>
  <c r="N127" i="4"/>
  <c r="N126" i="4"/>
  <c r="N125" i="4"/>
  <c r="N124" i="4"/>
  <c r="N122" i="4"/>
  <c r="N123" i="4"/>
  <c r="N121" i="4"/>
  <c r="N119" i="4"/>
  <c r="N118" i="4"/>
  <c r="N117" i="4"/>
  <c r="N115" i="4"/>
  <c r="N104" i="4"/>
  <c r="N114" i="4"/>
  <c r="N310" i="4"/>
  <c r="N307" i="4"/>
  <c r="N309" i="4"/>
  <c r="N308" i="4"/>
  <c r="N306" i="4"/>
  <c r="N304" i="4"/>
  <c r="N305" i="4"/>
  <c r="N303" i="4"/>
  <c r="N300" i="4"/>
  <c r="N302" i="4"/>
  <c r="N298" i="4"/>
  <c r="N301" i="4"/>
  <c r="N296" i="4"/>
  <c r="N299" i="4"/>
  <c r="N297" i="4"/>
  <c r="N293" i="4"/>
  <c r="N295" i="4"/>
  <c r="N294" i="4"/>
  <c r="N289" i="4"/>
  <c r="N292" i="4"/>
  <c r="N291" i="4"/>
  <c r="N290" i="4"/>
  <c r="N288" i="4"/>
  <c r="N287" i="4"/>
  <c r="N286" i="4"/>
  <c r="N285" i="4"/>
  <c r="N116" i="4"/>
  <c r="N120" i="4"/>
  <c r="N128" i="4"/>
  <c r="N136" i="4"/>
  <c r="N140" i="4"/>
  <c r="N141" i="4"/>
  <c r="N142" i="4"/>
  <c r="N150" i="4"/>
  <c r="N151" i="4"/>
  <c r="N166" i="4"/>
  <c r="N168" i="4"/>
  <c r="N169" i="4"/>
  <c r="N175" i="4"/>
  <c r="N176" i="4"/>
  <c r="N185" i="4"/>
  <c r="N188" i="4"/>
  <c r="N189" i="4"/>
  <c r="N192" i="4"/>
  <c r="N193" i="4"/>
  <c r="N195" i="4"/>
  <c r="N197" i="4"/>
  <c r="N201" i="4"/>
  <c r="N202" i="4"/>
  <c r="N206" i="4"/>
  <c r="N205" i="4"/>
  <c r="N207" i="4"/>
  <c r="N208" i="4"/>
  <c r="N210" i="4"/>
  <c r="N211" i="4"/>
  <c r="N214" i="4"/>
  <c r="N216" i="4"/>
  <c r="N220" i="4"/>
  <c r="N221" i="4"/>
  <c r="N226" i="4"/>
  <c r="N242" i="4"/>
  <c r="N246" i="4"/>
  <c r="N247" i="4"/>
  <c r="N249" i="4"/>
  <c r="N251" i="4"/>
  <c r="N257" i="4"/>
  <c r="I33" i="1" l="1"/>
  <c r="G33" i="1"/>
  <c r="H33" i="1"/>
  <c r="B3" i="1"/>
  <c r="E3" i="1" s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B26" i="1"/>
  <c r="B27" i="1"/>
  <c r="B28" i="1"/>
  <c r="E28" i="1" s="1"/>
  <c r="B29" i="1"/>
  <c r="E29" i="1" s="1"/>
  <c r="B30" i="1"/>
  <c r="E30" i="1" s="1"/>
  <c r="B31" i="1"/>
  <c r="E31" i="1" s="1"/>
  <c r="B32" i="1"/>
  <c r="E32" i="1" s="1"/>
  <c r="B2" i="1"/>
  <c r="B33" i="1" l="1"/>
  <c r="E2" i="1"/>
  <c r="C33" i="1" l="1"/>
  <c r="D33" i="1"/>
  <c r="E33" i="1" s="1"/>
  <c r="F33" i="1"/>
</calcChain>
</file>

<file path=xl/sharedStrings.xml><?xml version="1.0" encoding="utf-8"?>
<sst xmlns="http://schemas.openxmlformats.org/spreadsheetml/2006/main" count="14237" uniqueCount="1773">
  <si>
    <t>Date</t>
  </si>
  <si>
    <t>Wireless Crossing Completion %age</t>
  </si>
  <si>
    <t>Complete PTC Runs</t>
  </si>
  <si>
    <t>Cut Out Runs</t>
  </si>
  <si>
    <t>Complete Percentage</t>
  </si>
  <si>
    <t>Issue Name</t>
  </si>
  <si>
    <t>Description</t>
  </si>
  <si>
    <t>Resolution</t>
  </si>
  <si>
    <t>Inefficient dispatching</t>
  </si>
  <si>
    <t>Improper execution of bulletins</t>
  </si>
  <si>
    <t>Dispatcher error preventing initialization at terminals</t>
  </si>
  <si>
    <t>Link failures in wayside equipment</t>
  </si>
  <si>
    <t>Wi-MAX data drops</t>
  </si>
  <si>
    <t>Onboard software encounters a condition where it concludes that it's unable to safely enforce the brakes, enters a failed state.</t>
  </si>
  <si>
    <t>Trains encounter and/or are enforced by red signals due to inefficient dispatching. Trains are subsequently cut out to ensure run time requirements are met.</t>
  </si>
  <si>
    <t>Dispatcher training</t>
  </si>
  <si>
    <t>A few times a day, Wi-MAX connection drops for certain trains, causing unknown statuses for upcoming locations. Onboard software safely assumes STOP targets, and enforces the train.</t>
  </si>
  <si>
    <t>Sporadic occurrences are expected due to the nature of wireless links. Continuous monitoring ensures no repeated incidents due to equipment failures.</t>
  </si>
  <si>
    <t>Failures in communication links between wayside controllers results in STOP signal aspects</t>
  </si>
  <si>
    <t>Continuous monitoring and rapid response when issues are encountered</t>
  </si>
  <si>
    <t>Dispatcher and operator training</t>
  </si>
  <si>
    <t>Trains do not pull up to the required 500 feet within a crossing and follow the "2 stop" procedure.</t>
  </si>
  <si>
    <t>Equipment or crews not associated with trips result in failed inits.</t>
  </si>
  <si>
    <t>On rare occasions, poor GPS signal due to canopies at terminals prevents the PTC map from loading.</t>
  </si>
  <si>
    <t>Train ID</t>
  </si>
  <si>
    <t>Loco ID</t>
  </si>
  <si>
    <t>Departure Date/Time (US/Mountain)</t>
  </si>
  <si>
    <t>Arrival Date/Time (US/Mountain)</t>
  </si>
  <si>
    <t>Married Pair</t>
  </si>
  <si>
    <t>Trip Length</t>
  </si>
  <si>
    <t>Comments</t>
  </si>
  <si>
    <t>111-01</t>
  </si>
  <si>
    <t>4019/4020</t>
  </si>
  <si>
    <t>4029/4030</t>
  </si>
  <si>
    <t>4007/4008</t>
  </si>
  <si>
    <t>4037/4038</t>
  </si>
  <si>
    <t>4027/4028</t>
  </si>
  <si>
    <t>4025/4026</t>
  </si>
  <si>
    <t>4031/4032</t>
  </si>
  <si>
    <t>4013/4014</t>
  </si>
  <si>
    <t>4011/4012</t>
  </si>
  <si>
    <t>4017/4018</t>
  </si>
  <si>
    <t>4043/4044</t>
  </si>
  <si>
    <t>124-07</t>
  </si>
  <si>
    <t>4039/4040</t>
  </si>
  <si>
    <t>4009/4010</t>
  </si>
  <si>
    <t>4015/4016</t>
  </si>
  <si>
    <t>Onboard in-route failure</t>
  </si>
  <si>
    <t>192-12</t>
  </si>
  <si>
    <t>4041/4042</t>
  </si>
  <si>
    <t>170-19</t>
  </si>
  <si>
    <t>153-18</t>
  </si>
  <si>
    <t>Wi-MAX outage</t>
  </si>
  <si>
    <t>163-17</t>
  </si>
  <si>
    <t>124-15</t>
  </si>
  <si>
    <t>160-24</t>
  </si>
  <si>
    <t>166-25</t>
  </si>
  <si>
    <t>185-28</t>
  </si>
  <si>
    <t>198-28</t>
  </si>
  <si>
    <t>187-30</t>
  </si>
  <si>
    <t>Total/Averages</t>
  </si>
  <si>
    <t>GPS signal at terminals</t>
  </si>
  <si>
    <t>109-14</t>
  </si>
  <si>
    <t>175-15</t>
  </si>
  <si>
    <t>195-16</t>
  </si>
  <si>
    <t>205-16</t>
  </si>
  <si>
    <t>183-19</t>
  </si>
  <si>
    <t>197-19</t>
  </si>
  <si>
    <t>127-02</t>
  </si>
  <si>
    <t>225-02</t>
  </si>
  <si>
    <t>129-03</t>
  </si>
  <si>
    <t>151-03</t>
  </si>
  <si>
    <t>111-05</t>
  </si>
  <si>
    <t>203-05</t>
  </si>
  <si>
    <t>169-07</t>
  </si>
  <si>
    <t>185-17</t>
  </si>
  <si>
    <t>187-17</t>
  </si>
  <si>
    <t>189-17</t>
  </si>
  <si>
    <t>191-17</t>
  </si>
  <si>
    <t>205-17</t>
  </si>
  <si>
    <t>219-17</t>
  </si>
  <si>
    <t>184-10</t>
  </si>
  <si>
    <t>166-12</t>
  </si>
  <si>
    <t>222-12</t>
  </si>
  <si>
    <t>116-13</t>
  </si>
  <si>
    <t>214-15</t>
  </si>
  <si>
    <t>220-15</t>
  </si>
  <si>
    <t>182-16</t>
  </si>
  <si>
    <t>186-16</t>
  </si>
  <si>
    <t>190-16</t>
  </si>
  <si>
    <t>192-16</t>
  </si>
  <si>
    <t>194-16</t>
  </si>
  <si>
    <t>214-16</t>
  </si>
  <si>
    <t>102-18</t>
  </si>
  <si>
    <t>110-03</t>
  </si>
  <si>
    <t>200-04</t>
  </si>
  <si>
    <t>158-05</t>
  </si>
  <si>
    <t>156-07</t>
  </si>
  <si>
    <t>206-07</t>
  </si>
  <si>
    <t>182-08</t>
  </si>
  <si>
    <t>156-09</t>
  </si>
  <si>
    <t>Wireless Crossing Completion Percentage</t>
  </si>
  <si>
    <t>rtdc.l.rtdc.4030:itc</t>
  </si>
  <si>
    <t>Predictive Enforcement (2)</t>
  </si>
  <si>
    <t>EQUIPMENT RESTRICTION</t>
  </si>
  <si>
    <t>Speed (6)</t>
  </si>
  <si>
    <t>Decreasing Mileposts (2)</t>
  </si>
  <si>
    <t>Y</t>
  </si>
  <si>
    <t>rtdc.l.rtdc.4018:itc</t>
  </si>
  <si>
    <t>GRADE CROSSING</t>
  </si>
  <si>
    <t>Bulletin (2)</t>
  </si>
  <si>
    <t>Increasing Mileposts (1)</t>
  </si>
  <si>
    <t>N</t>
  </si>
  <si>
    <t>Early Arrival</t>
  </si>
  <si>
    <t>rtdc.l.rtdc.4029:itc</t>
  </si>
  <si>
    <t>PERMANENT SPEED RESTRICTION</t>
  </si>
  <si>
    <t>Reactive Enforcement (3)</t>
  </si>
  <si>
    <t>rtdc.l.rtdc.4019:itc</t>
  </si>
  <si>
    <t>rtdc.l.rtdc.4008:itc</t>
  </si>
  <si>
    <t>rtdc.l.rtdc.4043:itc</t>
  </si>
  <si>
    <t>rtdc.l.rtdc.4027:itc</t>
  </si>
  <si>
    <t>rtdc.l.rtdc.4016:itc</t>
  </si>
  <si>
    <t>SIGNAL</t>
  </si>
  <si>
    <t>Signal based authority (5)</t>
  </si>
  <si>
    <t>rtdc.l.rtdc.4039:itc</t>
  </si>
  <si>
    <t>rtdc.l.rtdc.4007:itc</t>
  </si>
  <si>
    <t>rtdc.l.rtdc.4020:itc</t>
  </si>
  <si>
    <t>SWITCH UNKNOWN</t>
  </si>
  <si>
    <t>Track device (7)</t>
  </si>
  <si>
    <t>TRACK WARRANT AUTHORITY</t>
  </si>
  <si>
    <t>Form based authority (4)</t>
  </si>
  <si>
    <t>rtdc.l.rtdc.4028:itc</t>
  </si>
  <si>
    <t>rtdc.l.rtdc.4015:itc</t>
  </si>
  <si>
    <t>rtdc.l.rtdc.4044:itc</t>
  </si>
  <si>
    <t>rtdc.l.rtdc.4017:itc</t>
  </si>
  <si>
    <t>rtdc.l.rtdc.4025:itc</t>
  </si>
  <si>
    <t>rtdc.l.rtdc.4037:itc</t>
  </si>
  <si>
    <t>rtdc.l.rtdc.4014:itc</t>
  </si>
  <si>
    <t>rtdc.l.rtdc.4038:itc</t>
  </si>
  <si>
    <t>rtdc.l.rtdc.4013:itc</t>
  </si>
  <si>
    <t>187-02</t>
  </si>
  <si>
    <t>rtdc.l.rtdc.4041:itc</t>
  </si>
  <si>
    <t>rtdc.l.rtdc.4042:itc</t>
  </si>
  <si>
    <t>rtdc.l.rtdc.4026:itc</t>
  </si>
  <si>
    <t>166-02</t>
  </si>
  <si>
    <t>rtdc.l.rtdc.4032:itc</t>
  </si>
  <si>
    <t>rtdc.l.rtdc.4031:itc</t>
  </si>
  <si>
    <t>rtdc.l.rtdc.4012:itc</t>
  </si>
  <si>
    <t>rtdc.l.rtdc.4011:itc</t>
  </si>
  <si>
    <t>193-03</t>
  </si>
  <si>
    <t>136-03</t>
  </si>
  <si>
    <t>170-03</t>
  </si>
  <si>
    <t>176-03</t>
  </si>
  <si>
    <t>170-04</t>
  </si>
  <si>
    <t>129-04</t>
  </si>
  <si>
    <t>212-04</t>
  </si>
  <si>
    <t>127-05</t>
  </si>
  <si>
    <t>193-05</t>
  </si>
  <si>
    <t>200-05</t>
  </si>
  <si>
    <t>114-06</t>
  </si>
  <si>
    <t>158-07</t>
  </si>
  <si>
    <t>164-07</t>
  </si>
  <si>
    <t>168-07</t>
  </si>
  <si>
    <t>rtdc.l.rtdc.4040:itc</t>
  </si>
  <si>
    <t>rtdc.l.rtdc.4010:itc</t>
  </si>
  <si>
    <t>rtdc.l.rtdc.4009:itc</t>
  </si>
  <si>
    <t>126-10</t>
  </si>
  <si>
    <t>170-10</t>
  </si>
  <si>
    <t>110-10</t>
  </si>
  <si>
    <t>191-10</t>
  </si>
  <si>
    <t>205-10</t>
  </si>
  <si>
    <t>208-10</t>
  </si>
  <si>
    <t>Other (9)</t>
  </si>
  <si>
    <t>180-11</t>
  </si>
  <si>
    <t>212-11</t>
  </si>
  <si>
    <t>Overspeed</t>
  </si>
  <si>
    <t>180-13</t>
  </si>
  <si>
    <t>232-13</t>
  </si>
  <si>
    <t>122-13</t>
  </si>
  <si>
    <t>171-13</t>
  </si>
  <si>
    <t>199-13</t>
  </si>
  <si>
    <t>218-14</t>
  </si>
  <si>
    <t>170-16</t>
  </si>
  <si>
    <t>208-16</t>
  </si>
  <si>
    <t>TEMPORARY SPEED RESTRICTION</t>
  </si>
  <si>
    <t>196-16</t>
  </si>
  <si>
    <t>Form C</t>
  </si>
  <si>
    <t>118-17</t>
  </si>
  <si>
    <t>180-17</t>
  </si>
  <si>
    <t>140-17</t>
  </si>
  <si>
    <t>178-18</t>
  </si>
  <si>
    <t>UNHEALTHY CROSSING</t>
  </si>
  <si>
    <t>133-19</t>
  </si>
  <si>
    <t>104-19</t>
  </si>
  <si>
    <t>149-20</t>
  </si>
  <si>
    <t>157-20</t>
  </si>
  <si>
    <t>218-21</t>
  </si>
  <si>
    <t>114-22</t>
  </si>
  <si>
    <t>208-22</t>
  </si>
  <si>
    <t>Premature downgrade at EC1981RH 191-1T 1N</t>
  </si>
  <si>
    <t>180-22</t>
  </si>
  <si>
    <t>228-23</t>
  </si>
  <si>
    <t>190-23</t>
  </si>
  <si>
    <t>172-23</t>
  </si>
  <si>
    <t>130-24</t>
  </si>
  <si>
    <t>178-24</t>
  </si>
  <si>
    <t>232-24</t>
  </si>
  <si>
    <t>106-25</t>
  </si>
  <si>
    <t>168-25</t>
  </si>
  <si>
    <t>192-26</t>
  </si>
  <si>
    <t>159-26</t>
  </si>
  <si>
    <t>110-27</t>
  </si>
  <si>
    <t>186-27</t>
  </si>
  <si>
    <t>194-27</t>
  </si>
  <si>
    <t>158-28</t>
  </si>
  <si>
    <t>206-29</t>
  </si>
  <si>
    <t>210-29</t>
  </si>
  <si>
    <t>179-30</t>
  </si>
  <si>
    <t>148-30</t>
  </si>
  <si>
    <t>233-30</t>
  </si>
  <si>
    <t xml:space="preserve">Source </t>
  </si>
  <si>
    <t xml:space="preserve">Data.Train ID </t>
  </si>
  <si>
    <t xml:space="preserve">Data.Warning/Enforcement Type </t>
  </si>
  <si>
    <t xml:space="preserve">Data.Target Description </t>
  </si>
  <si>
    <t xml:space="preserve">Data.Target Speed </t>
  </si>
  <si>
    <t xml:space="preserve">Data.Enforcement Train Speed </t>
  </si>
  <si>
    <t xml:space="preserve">Data.Enforcement Start Milepost </t>
  </si>
  <si>
    <t xml:space="preserve">Data.Target Type </t>
  </si>
  <si>
    <t xml:space="preserve">Data.Target Start Milepost </t>
  </si>
  <si>
    <t xml:space="preserve">Data.Enforcement Direction of Travel </t>
  </si>
  <si>
    <t>Operator Name</t>
  </si>
  <si>
    <t>System Enforcement Y/N</t>
  </si>
  <si>
    <t>Time (Local Time)</t>
  </si>
  <si>
    <t>Enforcements caused by training issues</t>
  </si>
  <si>
    <t>Office System Issue</t>
  </si>
  <si>
    <t>156-17</t>
  </si>
  <si>
    <t>165-17</t>
  </si>
  <si>
    <t>166-17</t>
  </si>
  <si>
    <t>226-17</t>
  </si>
  <si>
    <t>232-17</t>
  </si>
  <si>
    <t>234-17</t>
  </si>
  <si>
    <t>179-20</t>
  </si>
  <si>
    <t>102-21</t>
  </si>
  <si>
    <t>168-21</t>
  </si>
  <si>
    <t>181-21</t>
  </si>
  <si>
    <t>217-21</t>
  </si>
  <si>
    <t>186-22</t>
  </si>
  <si>
    <t>142-25</t>
  </si>
  <si>
    <t>149-26</t>
  </si>
  <si>
    <t>226-27</t>
  </si>
  <si>
    <t>131-29</t>
  </si>
  <si>
    <t>Inefficient dispatching @ DUS 2N</t>
  </si>
  <si>
    <t>102-01</t>
  </si>
  <si>
    <t>125-01</t>
  </si>
  <si>
    <t>142-01</t>
  </si>
  <si>
    <t>223-01</t>
  </si>
  <si>
    <t>242-01</t>
  </si>
  <si>
    <t>179-01</t>
  </si>
  <si>
    <t>193-01</t>
  </si>
  <si>
    <t>115-01</t>
  </si>
  <si>
    <t>165-01</t>
  </si>
  <si>
    <t>224-01</t>
  </si>
  <si>
    <t>136-02</t>
  </si>
  <si>
    <t>173-03</t>
  </si>
  <si>
    <t>183-03</t>
  </si>
  <si>
    <t>122-03</t>
  </si>
  <si>
    <t>242-03</t>
  </si>
  <si>
    <t>150-03</t>
  </si>
  <si>
    <t>124-04</t>
  </si>
  <si>
    <t>138-04</t>
  </si>
  <si>
    <t>152-04</t>
  </si>
  <si>
    <t>160-04</t>
  </si>
  <si>
    <t>122-04</t>
  </si>
  <si>
    <t>142-04</t>
  </si>
  <si>
    <t>168-04</t>
  </si>
  <si>
    <t>207-04</t>
  </si>
  <si>
    <t>101-05</t>
  </si>
  <si>
    <t>109-05</t>
  </si>
  <si>
    <t>208-05</t>
  </si>
  <si>
    <t>106-05</t>
  </si>
  <si>
    <t>182-05</t>
  </si>
  <si>
    <t>198-05</t>
  </si>
  <si>
    <t>207-05</t>
  </si>
  <si>
    <t>116-06</t>
  </si>
  <si>
    <t>188-06</t>
  </si>
  <si>
    <t>189-06</t>
  </si>
  <si>
    <t>142-06</t>
  </si>
  <si>
    <t>177-06</t>
  </si>
  <si>
    <t>202-06</t>
  </si>
  <si>
    <t>166-07</t>
  </si>
  <si>
    <t>131-07</t>
  </si>
  <si>
    <t>145-07</t>
  </si>
  <si>
    <t>144-07</t>
  </si>
  <si>
    <t>156-08</t>
  </si>
  <si>
    <t>197-08</t>
  </si>
  <si>
    <t>146-08</t>
  </si>
  <si>
    <t>194-08</t>
  </si>
  <si>
    <t>110-08</t>
  </si>
  <si>
    <t>116-08</t>
  </si>
  <si>
    <t>165-08</t>
  </si>
  <si>
    <t>162-09</t>
  </si>
  <si>
    <t>180-09</t>
  </si>
  <si>
    <t>170-09</t>
  </si>
  <si>
    <t>150-10</t>
  </si>
  <si>
    <t>193-10</t>
  </si>
  <si>
    <t>194-10</t>
  </si>
  <si>
    <t>179-11</t>
  </si>
  <si>
    <t>211-11</t>
  </si>
  <si>
    <t>207-11</t>
  </si>
  <si>
    <t>199-12</t>
  </si>
  <si>
    <t>128-12</t>
  </si>
  <si>
    <t>157-13</t>
  </si>
  <si>
    <t>205-13</t>
  </si>
  <si>
    <t>242-13</t>
  </si>
  <si>
    <t>128-13</t>
  </si>
  <si>
    <t>129-13</t>
  </si>
  <si>
    <t>159-14</t>
  </si>
  <si>
    <t>170-14</t>
  </si>
  <si>
    <t>135-14</t>
  </si>
  <si>
    <t>188-14</t>
  </si>
  <si>
    <t>188-15</t>
  </si>
  <si>
    <t>106-15</t>
  </si>
  <si>
    <t>192-15</t>
  </si>
  <si>
    <t>209-16</t>
  </si>
  <si>
    <t>179-16</t>
  </si>
  <si>
    <t>185-16</t>
  </si>
  <si>
    <t>223-16</t>
  </si>
  <si>
    <t>242-16</t>
  </si>
  <si>
    <t>140-16</t>
  </si>
  <si>
    <t>207-18</t>
  </si>
  <si>
    <t>124-18</t>
  </si>
  <si>
    <t>140-18</t>
  </si>
  <si>
    <t>108-18</t>
  </si>
  <si>
    <t>212-18</t>
  </si>
  <si>
    <t>144-20</t>
  </si>
  <si>
    <t>160-20</t>
  </si>
  <si>
    <t>191-20</t>
  </si>
  <si>
    <t>190-20</t>
  </si>
  <si>
    <t>198-20</t>
  </si>
  <si>
    <t>174-21</t>
  </si>
  <si>
    <t>199-21</t>
  </si>
  <si>
    <t>212-21</t>
  </si>
  <si>
    <t>214-21</t>
  </si>
  <si>
    <t>132-21</t>
  </si>
  <si>
    <t>145-21</t>
  </si>
  <si>
    <t>216-21</t>
  </si>
  <si>
    <t>228-21</t>
  </si>
  <si>
    <t>130-21</t>
  </si>
  <si>
    <t>192-21</t>
  </si>
  <si>
    <t>221-22</t>
  </si>
  <si>
    <t>190-22</t>
  </si>
  <si>
    <t>170-23</t>
  </si>
  <si>
    <t>146-23</t>
  </si>
  <si>
    <t>156-23</t>
  </si>
  <si>
    <t>203-23</t>
  </si>
  <si>
    <t>151-24</t>
  </si>
  <si>
    <t>192-24</t>
  </si>
  <si>
    <t>151-26</t>
  </si>
  <si>
    <t>116-26</t>
  </si>
  <si>
    <t>185-27</t>
  </si>
  <si>
    <t>220-27</t>
  </si>
  <si>
    <t>166-27</t>
  </si>
  <si>
    <t>156-27</t>
  </si>
  <si>
    <t>209-27</t>
  </si>
  <si>
    <t>235-28</t>
  </si>
  <si>
    <t>803-28</t>
  </si>
  <si>
    <t>828-28</t>
  </si>
  <si>
    <t>832-28</t>
  </si>
  <si>
    <t>829-28</t>
  </si>
  <si>
    <t>107-29</t>
  </si>
  <si>
    <t>140-29</t>
  </si>
  <si>
    <t>803-29</t>
  </si>
  <si>
    <t>821-29</t>
  </si>
  <si>
    <t>822-29</t>
  </si>
  <si>
    <t>106-29</t>
  </si>
  <si>
    <t>196-29</t>
  </si>
  <si>
    <t>Inefficient dispatching @ 40th 4S</t>
  </si>
  <si>
    <t>802-29</t>
  </si>
  <si>
    <t>808-29</t>
  </si>
  <si>
    <t>168-29</t>
  </si>
  <si>
    <t>843-29</t>
  </si>
  <si>
    <t>156-30</t>
  </si>
  <si>
    <t>131-30</t>
  </si>
  <si>
    <t>208-30</t>
  </si>
  <si>
    <t>Operators must be trained to pull forward past the obstruction to initialize</t>
  </si>
  <si>
    <t>Total Runs</t>
  </si>
  <si>
    <t>Operational Issue</t>
  </si>
  <si>
    <t>Planned maintenance</t>
  </si>
  <si>
    <t>Planned maintenance of PTC system component (e.g. Wayside, Wi-MAX tower, or Back Office software) resulted in trains running in ATC-only during the maintenance window</t>
  </si>
  <si>
    <t>PTC resumes operation when maintenance is finished</t>
  </si>
  <si>
    <t>A train is cut out for special operational reasons. Or any situation where the train operator encounters a confusing stop target, cuts out PTC, and runs in ATC-only in order to maintain schedule.</t>
  </si>
  <si>
    <t>In the case of operator confusion, more operator training to reduce confusion</t>
  </si>
  <si>
    <t>Enforcements caused by PTC system (failsafe)</t>
  </si>
  <si>
    <t>Operating Day</t>
  </si>
  <si>
    <t>Operating Day Suffix</t>
  </si>
  <si>
    <t>Trains not initialized</t>
  </si>
  <si>
    <t>MALAVE</t>
  </si>
  <si>
    <t>115-10</t>
  </si>
  <si>
    <t>YORK</t>
  </si>
  <si>
    <t>131-10</t>
  </si>
  <si>
    <t>ACKERMAN</t>
  </si>
  <si>
    <t>160-10</t>
  </si>
  <si>
    <t>PELLITIER</t>
  </si>
  <si>
    <t>168-10</t>
  </si>
  <si>
    <t>YOUNG</t>
  </si>
  <si>
    <t>MAYBERRY</t>
  </si>
  <si>
    <t>172-10</t>
  </si>
  <si>
    <t>ARNOLD</t>
  </si>
  <si>
    <t>174-10</t>
  </si>
  <si>
    <t>STEWART</t>
  </si>
  <si>
    <t>234-10</t>
  </si>
  <si>
    <t>NEWELL</t>
  </si>
  <si>
    <t>246-09</t>
  </si>
  <si>
    <t>ADANE</t>
  </si>
  <si>
    <t>111-11</t>
  </si>
  <si>
    <t>STARKS</t>
  </si>
  <si>
    <t>146-11</t>
  </si>
  <si>
    <t>148-11</t>
  </si>
  <si>
    <t>BRANNON</t>
  </si>
  <si>
    <t>200-11</t>
  </si>
  <si>
    <t>REBOLETTI</t>
  </si>
  <si>
    <t>202-11</t>
  </si>
  <si>
    <t>204-11</t>
  </si>
  <si>
    <t>BARTLETT</t>
  </si>
  <si>
    <t>206-11</t>
  </si>
  <si>
    <t>SHOOK</t>
  </si>
  <si>
    <t>208-11</t>
  </si>
  <si>
    <t>210-11</t>
  </si>
  <si>
    <t>MAELZER</t>
  </si>
  <si>
    <t>213-11</t>
  </si>
  <si>
    <t>215-11</t>
  </si>
  <si>
    <t>217-11</t>
  </si>
  <si>
    <t>CHANDLER</t>
  </si>
  <si>
    <t>219-11</t>
  </si>
  <si>
    <t>KILLION</t>
  </si>
  <si>
    <t>184-12</t>
  </si>
  <si>
    <t>STORY</t>
  </si>
  <si>
    <t>212-12</t>
  </si>
  <si>
    <t>225-12</t>
  </si>
  <si>
    <t>186-12</t>
  </si>
  <si>
    <t>STAMBAUGH</t>
  </si>
  <si>
    <t>178-12</t>
  </si>
  <si>
    <t>LOCKLEAR</t>
  </si>
  <si>
    <t>150-12</t>
  </si>
  <si>
    <t>SPECTOR</t>
  </si>
  <si>
    <t>180-12</t>
  </si>
  <si>
    <t>205-12</t>
  </si>
  <si>
    <t>182-13</t>
  </si>
  <si>
    <t>Wi-MAX outage (DIA)</t>
  </si>
  <si>
    <t>184-13</t>
  </si>
  <si>
    <t>BRUDER</t>
  </si>
  <si>
    <t>191-13</t>
  </si>
  <si>
    <t>213-13</t>
  </si>
  <si>
    <t>ROCHA</t>
  </si>
  <si>
    <t>139-14</t>
  </si>
  <si>
    <t>173-14</t>
  </si>
  <si>
    <t>183-14</t>
  </si>
  <si>
    <t>190-14</t>
  </si>
  <si>
    <t>220-14</t>
  </si>
  <si>
    <t>STURGEON</t>
  </si>
  <si>
    <t>221-14</t>
  </si>
  <si>
    <t>Operating Day of July</t>
  </si>
  <si>
    <t>104-15</t>
  </si>
  <si>
    <t>BEAM</t>
  </si>
  <si>
    <t>115-15</t>
  </si>
  <si>
    <t>207-15</t>
  </si>
  <si>
    <t>210-15</t>
  </si>
  <si>
    <t>212-15</t>
  </si>
  <si>
    <t>HELVIE</t>
  </si>
  <si>
    <t>YANAI</t>
  </si>
  <si>
    <t>218-15</t>
  </si>
  <si>
    <t>226-15</t>
  </si>
  <si>
    <t>246-15</t>
  </si>
  <si>
    <t>MOSES</t>
  </si>
  <si>
    <t>106-16</t>
  </si>
  <si>
    <t>GEBRETEKLE</t>
  </si>
  <si>
    <t>173-16</t>
  </si>
  <si>
    <t>174-16</t>
  </si>
  <si>
    <t>175-16</t>
  </si>
  <si>
    <t>184-16</t>
  </si>
  <si>
    <t>WEBSTER</t>
  </si>
  <si>
    <t>187-16</t>
  </si>
  <si>
    <t>82-2T 2S was STOP &amp; PROCEED</t>
  </si>
  <si>
    <t>96-2T 2S was STOP &amp; PROCEED</t>
  </si>
  <si>
    <t>200-16</t>
  </si>
  <si>
    <t>Quebec 2N was STOP</t>
  </si>
  <si>
    <t>207-16</t>
  </si>
  <si>
    <t>213-16</t>
  </si>
  <si>
    <t>104-17</t>
  </si>
  <si>
    <t>105-17</t>
  </si>
  <si>
    <t>NELSON</t>
  </si>
  <si>
    <t>Comm outage caused by comparator issue</t>
  </si>
  <si>
    <t>161-17</t>
  </si>
  <si>
    <t>RIVERA</t>
  </si>
  <si>
    <t>Premature downgrade at EC1086XH (CP CHAMBERS) Signal 2N</t>
  </si>
  <si>
    <t>176-17</t>
  </si>
  <si>
    <t>178-17</t>
  </si>
  <si>
    <t>182-17</t>
  </si>
  <si>
    <t>184-17</t>
  </si>
  <si>
    <t>186-17</t>
  </si>
  <si>
    <t>188-17</t>
  </si>
  <si>
    <t>193-17</t>
  </si>
  <si>
    <t>195-17</t>
  </si>
  <si>
    <t>210-17</t>
  </si>
  <si>
    <t>LEVERE</t>
  </si>
  <si>
    <t>217-17</t>
  </si>
  <si>
    <t>COOLAHAN</t>
  </si>
  <si>
    <t>236-17</t>
  </si>
  <si>
    <t>238-17</t>
  </si>
  <si>
    <t>240-17</t>
  </si>
  <si>
    <t>242-17</t>
  </si>
  <si>
    <t>244-17</t>
  </si>
  <si>
    <t>104-18</t>
  </si>
  <si>
    <t>106-18</t>
  </si>
  <si>
    <t>111-18</t>
  </si>
  <si>
    <t>113-18</t>
  </si>
  <si>
    <t>176-18</t>
  </si>
  <si>
    <t>Premature downgrade at EC0365RH 37-1T 1S</t>
  </si>
  <si>
    <t>183-18</t>
  </si>
  <si>
    <t>203-18</t>
  </si>
  <si>
    <t>112-19</t>
  </si>
  <si>
    <t>114-19</t>
  </si>
  <si>
    <t>131-19</t>
  </si>
  <si>
    <t>Departure from Main 3</t>
  </si>
  <si>
    <t>134-19</t>
  </si>
  <si>
    <t>213-19</t>
  </si>
  <si>
    <t>214-19</t>
  </si>
  <si>
    <t>216-19</t>
  </si>
  <si>
    <t>218-19</t>
  </si>
  <si>
    <t>236-19</t>
  </si>
  <si>
    <t>151-20</t>
  </si>
  <si>
    <t>153-20</t>
  </si>
  <si>
    <t>197-20</t>
  </si>
  <si>
    <t>205-20</t>
  </si>
  <si>
    <t>236-20</t>
  </si>
  <si>
    <t>237-20</t>
  </si>
  <si>
    <t>244-20</t>
  </si>
  <si>
    <t>220-21</t>
  </si>
  <si>
    <t>LEVIN</t>
  </si>
  <si>
    <t>147-22</t>
  </si>
  <si>
    <t>217-22</t>
  </si>
  <si>
    <t>236-22</t>
  </si>
  <si>
    <t>141-23</t>
  </si>
  <si>
    <t>Early arrival</t>
  </si>
  <si>
    <t>152-23</t>
  </si>
  <si>
    <t>199-23</t>
  </si>
  <si>
    <t>207-23</t>
  </si>
  <si>
    <t>235-23</t>
  </si>
  <si>
    <t>119-24</t>
  </si>
  <si>
    <t>101-25</t>
  </si>
  <si>
    <t>120-25</t>
  </si>
  <si>
    <t>GRASTON</t>
  </si>
  <si>
    <t>BONDS</t>
  </si>
  <si>
    <t>181-25</t>
  </si>
  <si>
    <t>216-25</t>
  </si>
  <si>
    <t>810-25</t>
  </si>
  <si>
    <t>863-25</t>
  </si>
  <si>
    <t>120-26</t>
  </si>
  <si>
    <t>DAVIS</t>
  </si>
  <si>
    <t>132-26</t>
  </si>
  <si>
    <t>157-26</t>
  </si>
  <si>
    <t>171-26</t>
  </si>
  <si>
    <t>179-26</t>
  </si>
  <si>
    <t>113-27</t>
  </si>
  <si>
    <t>114-27</t>
  </si>
  <si>
    <t>122-27</t>
  </si>
  <si>
    <t>125-27</t>
  </si>
  <si>
    <t>129-27</t>
  </si>
  <si>
    <t>140-27</t>
  </si>
  <si>
    <t>233-27</t>
  </si>
  <si>
    <t>808-27</t>
  </si>
  <si>
    <t>-</t>
  </si>
  <si>
    <t>110-28</t>
  </si>
  <si>
    <t>156-28</t>
  </si>
  <si>
    <t>159-28</t>
  </si>
  <si>
    <t>ROBINSON</t>
  </si>
  <si>
    <t>DUS 2N was STOP, dispatcher did not clear signal until 5 minutes after cut out</t>
  </si>
  <si>
    <t>133-29</t>
  </si>
  <si>
    <t>143-30</t>
  </si>
  <si>
    <t>145-30</t>
  </si>
  <si>
    <t>1817-30</t>
  </si>
  <si>
    <t>1823-30</t>
  </si>
  <si>
    <t>CRMFN 2N cleared 2 minutes after cutting out</t>
  </si>
  <si>
    <t>1849-30</t>
  </si>
  <si>
    <t>DE LA ROSA</t>
  </si>
  <si>
    <t>105-31</t>
  </si>
  <si>
    <t>112-31</t>
  </si>
  <si>
    <t>STRICKLAND</t>
  </si>
  <si>
    <t>119-31</t>
  </si>
  <si>
    <t>156-31</t>
  </si>
  <si>
    <t>169-31</t>
  </si>
  <si>
    <t>170-31</t>
  </si>
  <si>
    <t>176-31</t>
  </si>
  <si>
    <t>178-31</t>
  </si>
  <si>
    <t>186-31</t>
  </si>
  <si>
    <t>190-31</t>
  </si>
  <si>
    <t>193-31</t>
  </si>
  <si>
    <t>204-31</t>
  </si>
  <si>
    <t>217-31</t>
  </si>
  <si>
    <t>218-31</t>
  </si>
  <si>
    <t>237-31</t>
  </si>
  <si>
    <t>40th 2N premature downgrade</t>
  </si>
  <si>
    <t>127-01</t>
  </si>
  <si>
    <t>129-01</t>
  </si>
  <si>
    <t>178-02</t>
  </si>
  <si>
    <t>HAUSER</t>
  </si>
  <si>
    <t>134-01</t>
  </si>
  <si>
    <t>185-01</t>
  </si>
  <si>
    <t>188-01</t>
  </si>
  <si>
    <t>196-01</t>
  </si>
  <si>
    <t>208-01</t>
  </si>
  <si>
    <t>209-01</t>
  </si>
  <si>
    <t>Inefficient dispatching @ DUS 4N</t>
  </si>
  <si>
    <t>215-01</t>
  </si>
  <si>
    <t>217-01</t>
  </si>
  <si>
    <t>222-01</t>
  </si>
  <si>
    <t>236-01</t>
  </si>
  <si>
    <t>137-02</t>
  </si>
  <si>
    <t>204-02</t>
  </si>
  <si>
    <t>244-02</t>
  </si>
  <si>
    <t>104-03</t>
  </si>
  <si>
    <t>117-03</t>
  </si>
  <si>
    <t>177-03</t>
  </si>
  <si>
    <t>204-03</t>
  </si>
  <si>
    <t>208-03</t>
  </si>
  <si>
    <t>234-03</t>
  </si>
  <si>
    <t>117-04</t>
  </si>
  <si>
    <t>140-04</t>
  </si>
  <si>
    <t>144-04</t>
  </si>
  <si>
    <t>221-04</t>
  </si>
  <si>
    <t>103-05</t>
  </si>
  <si>
    <t>105-05</t>
  </si>
  <si>
    <t>107-05</t>
  </si>
  <si>
    <t>110-05</t>
  </si>
  <si>
    <t>113-05</t>
  </si>
  <si>
    <t>115-05</t>
  </si>
  <si>
    <t>117-05</t>
  </si>
  <si>
    <t>119-05</t>
  </si>
  <si>
    <t>120-05</t>
  </si>
  <si>
    <t>121-05</t>
  </si>
  <si>
    <t>122-05</t>
  </si>
  <si>
    <t>123-05</t>
  </si>
  <si>
    <t>124-05</t>
  </si>
  <si>
    <t>126-05</t>
  </si>
  <si>
    <t>129-05</t>
  </si>
  <si>
    <t>132-05</t>
  </si>
  <si>
    <t>154-05</t>
  </si>
  <si>
    <t>Comm failure induced by onboard comparator issue</t>
  </si>
  <si>
    <t>186-05</t>
  </si>
  <si>
    <t>Premature downgrade at EC0365RH 27-1T 1N</t>
  </si>
  <si>
    <t>196-05</t>
  </si>
  <si>
    <t>201-05</t>
  </si>
  <si>
    <t>204-05</t>
  </si>
  <si>
    <t>205-05</t>
  </si>
  <si>
    <t>209-05</t>
  </si>
  <si>
    <t>211-05</t>
  </si>
  <si>
    <t>221-05</t>
  </si>
  <si>
    <t>223-05</t>
  </si>
  <si>
    <t>235-05</t>
  </si>
  <si>
    <t>107-06</t>
  </si>
  <si>
    <t>115-06</t>
  </si>
  <si>
    <t>167-06</t>
  </si>
  <si>
    <t>CUSHING</t>
  </si>
  <si>
    <t>194-06</t>
  </si>
  <si>
    <t>214-06</t>
  </si>
  <si>
    <t>221-06</t>
  </si>
  <si>
    <t>102-07</t>
  </si>
  <si>
    <t>CANFIELD</t>
  </si>
  <si>
    <t>103-07</t>
  </si>
  <si>
    <t>105-07</t>
  </si>
  <si>
    <t>160-07</t>
  </si>
  <si>
    <t>162-07</t>
  </si>
  <si>
    <t>167-07</t>
  </si>
  <si>
    <t>180-07</t>
  </si>
  <si>
    <t>196-07</t>
  </si>
  <si>
    <t>213-07</t>
  </si>
  <si>
    <t>101-08</t>
  </si>
  <si>
    <t>102-08</t>
  </si>
  <si>
    <t>109-08</t>
  </si>
  <si>
    <t>190-08</t>
  </si>
  <si>
    <t>205-08</t>
  </si>
  <si>
    <t>123-09</t>
  </si>
  <si>
    <t>148-09</t>
  </si>
  <si>
    <t>153-09</t>
  </si>
  <si>
    <t>Premature downgrade at EC1267RH (CP 40TH AVENUE) Signal 2N</t>
  </si>
  <si>
    <t>157-09</t>
  </si>
  <si>
    <t>231-09</t>
  </si>
  <si>
    <t>Next Onboard software release (DE.1.0.8.0) includes logic to improve this</t>
  </si>
  <si>
    <t>C:\Users\stu\Documents\GitHub\eaglep3-reporting\EC\Train Runs and Enforcements 2016-07-01.xlsx</t>
  </si>
  <si>
    <t>C:\Users\stu\Documents\GitHub\eaglep3-reporting\EC\Train Runs and Enforcements 2016-07-02.xlsx</t>
  </si>
  <si>
    <t>C:\Users\stu\Documents\GitHub\eaglep3-reporting\EC\Train Runs and Enforcements 2016-07-03.xlsx</t>
  </si>
  <si>
    <t>C:\Users\stu\Documents\GitHub\eaglep3-reporting\EC\Train Runs and Enforcements 2016-07-04.xlsx</t>
  </si>
  <si>
    <t>C:\Users\stu\Documents\GitHub\eaglep3-reporting\EC\Train Runs and Enforcements 2016-07-05.xlsx</t>
  </si>
  <si>
    <t>C:\Users\stu\Documents\GitHub\eaglep3-reporting\EC\Train Runs and Enforcements 2016-07-06.xlsx</t>
  </si>
  <si>
    <t>C:\Users\stu\Documents\GitHub\eaglep3-reporting\EC\Train Runs and Enforcements 2016-07-07.xlsx</t>
  </si>
  <si>
    <t>C:\Users\stu\Documents\GitHub\eaglep3-reporting\EC\Train Runs and Enforcements 2016-07-08.xlsx</t>
  </si>
  <si>
    <t>C:\Users\stu\Documents\GitHub\eaglep3-reporting\EC\Train Runs and Enforcements 2016-07-09.xlsx</t>
  </si>
  <si>
    <t>C:\Users\stu\Documents\GitHub\eaglep3-reporting\EC\Train Runs and Enforcements 2016-07-10.xlsx</t>
  </si>
  <si>
    <t>C:\Users\stu\Documents\GitHub\eaglep3-reporting\EC\Train Runs and Enforcements 2016-07-11.xlsx</t>
  </si>
  <si>
    <t>C:\Users\stu\Documents\GitHub\eaglep3-reporting\EC\Train Runs and Enforcements 2016-07-12.xlsx</t>
  </si>
  <si>
    <t>C:\Users\stu\Documents\GitHub\eaglep3-reporting\EC\Train Runs and Enforcements 2016-07-13.xlsx</t>
  </si>
  <si>
    <t>C:\Users\stu\Documents\GitHub\eaglep3-reporting\EC\Train Runs and Enforcements 2016-07-14.xlsx</t>
  </si>
  <si>
    <t>C:\Users\stu\Documents\GitHub\eaglep3-reporting\EC\Train Runs and Enforcements 2016-07-15.xlsx</t>
  </si>
  <si>
    <t>C:\Users\stu\Documents\GitHub\eaglep3-reporting\EC\Train Runs and Enforcements 2016-07-16.xlsx</t>
  </si>
  <si>
    <t>C:\Users\stu\Documents\GitHub\eaglep3-reporting\EC\Train Runs and Enforcements 2016-07-17.xlsx</t>
  </si>
  <si>
    <t>C:\Users\stu\Documents\GitHub\eaglep3-reporting\EC\Train Runs and Enforcements 2016-07-18.xlsx</t>
  </si>
  <si>
    <t>C:\Users\stu\Documents\GitHub\eaglep3-reporting\EC\Train Runs and Enforcements 2016-07-19.xlsx</t>
  </si>
  <si>
    <t>C:\Users\stu\Documents\GitHub\eaglep3-reporting\EC\Train Runs and Enforcements 2016-07-20.xlsx</t>
  </si>
  <si>
    <t>C:\Users\stu\Documents\GitHub\eaglep3-reporting\EC\Train Runs and Enforcements 2016-07-21.xlsx</t>
  </si>
  <si>
    <t>C:\Users\stu\Documents\GitHub\eaglep3-reporting\EC\Train Runs and Enforcements 2016-07-22.xlsx</t>
  </si>
  <si>
    <t>C:\Users\stu\Documents\GitHub\eaglep3-reporting\EC\Train Runs and Enforcements 2016-07-23.xlsx</t>
  </si>
  <si>
    <t>C:\Users\stu\Documents\GitHub\eaglep3-reporting\EC\Train Runs and Enforcements 2016-07-24.xlsx</t>
  </si>
  <si>
    <t>C:\Users\stu\Documents\GitHub\eaglep3-reporting\EC\Train Runs and Enforcements 2016-07-25.xlsx</t>
  </si>
  <si>
    <t>C:\Users\stu\Documents\GitHub\eaglep3-reporting\EC\Train Runs and Enforcements 2016-07-26.xlsx</t>
  </si>
  <si>
    <t>C:\Users\stu\Documents\GitHub\eaglep3-reporting\EC\Train Runs and Enforcements 2016-07-27.xlsx</t>
  </si>
  <si>
    <t>C:\Users\stu\Documents\GitHub\eaglep3-reporting\EC\Train Runs and Enforcements 2016-07-28.xlsx</t>
  </si>
  <si>
    <t>C:\Users\stu\Documents\GitHub\eaglep3-reporting\EC\Train Runs and Enforcements 2016-07-29.xlsx</t>
  </si>
  <si>
    <t>C:\Users\stu\Documents\GitHub\eaglep3-reporting\EC\Train Runs and Enforcements 2016-07-30.xlsx</t>
  </si>
  <si>
    <t>C:\Users\stu\Documents\GitHub\eaglep3-reporting\EC\Train Runs and Enforcements 2016-07-31.xlsx</t>
  </si>
  <si>
    <t>112-01</t>
  </si>
  <si>
    <t>203-01</t>
  </si>
  <si>
    <t>139-01</t>
  </si>
  <si>
    <t>211-01</t>
  </si>
  <si>
    <t>213-01</t>
  </si>
  <si>
    <t>238-01</t>
  </si>
  <si>
    <t>240-01</t>
  </si>
  <si>
    <t>801-01</t>
  </si>
  <si>
    <t>827-01</t>
  </si>
  <si>
    <t>837-01</t>
  </si>
  <si>
    <t>841-01</t>
  </si>
  <si>
    <t>906-01</t>
  </si>
  <si>
    <t>107-01</t>
  </si>
  <si>
    <t>Traffic ahead</t>
  </si>
  <si>
    <t>140-01</t>
  </si>
  <si>
    <t>144-01</t>
  </si>
  <si>
    <t>Inefficient dispatching @ Pena 4S</t>
  </si>
  <si>
    <t>148-01</t>
  </si>
  <si>
    <t>166-01</t>
  </si>
  <si>
    <t>176-01</t>
  </si>
  <si>
    <t>Premature downgrade at EC0286RH 21-1T 1N</t>
  </si>
  <si>
    <t>204-01</t>
  </si>
  <si>
    <t>214-01</t>
  </si>
  <si>
    <t>126-01</t>
  </si>
  <si>
    <t>128-01</t>
  </si>
  <si>
    <t>136-01</t>
  </si>
  <si>
    <t>138-01</t>
  </si>
  <si>
    <t>145-01</t>
  </si>
  <si>
    <t>147-01</t>
  </si>
  <si>
    <t>167-01</t>
  </si>
  <si>
    <t>183-01</t>
  </si>
  <si>
    <t>191-01</t>
  </si>
  <si>
    <t>201-01</t>
  </si>
  <si>
    <t>216-01</t>
  </si>
  <si>
    <t>228-01</t>
  </si>
  <si>
    <t>229-01</t>
  </si>
  <si>
    <t>800-01</t>
  </si>
  <si>
    <t>812-01</t>
  </si>
  <si>
    <t>819-01</t>
  </si>
  <si>
    <t>828-01</t>
  </si>
  <si>
    <t>836-01</t>
  </si>
  <si>
    <t>839-01</t>
  </si>
  <si>
    <t>129-02</t>
  </si>
  <si>
    <t>133-02</t>
  </si>
  <si>
    <t>151-02</t>
  </si>
  <si>
    <t>116-02</t>
  </si>
  <si>
    <t>164-02</t>
  </si>
  <si>
    <t>176-02</t>
  </si>
  <si>
    <t>1818-02</t>
  </si>
  <si>
    <t>1819-02</t>
  </si>
  <si>
    <t>1824-02</t>
  </si>
  <si>
    <t>1827-02</t>
  </si>
  <si>
    <t>1829-02</t>
  </si>
  <si>
    <t>186-02</t>
  </si>
  <si>
    <t>1902-02</t>
  </si>
  <si>
    <t>200-02</t>
  </si>
  <si>
    <t>207-02</t>
  </si>
  <si>
    <t>165-02</t>
  </si>
  <si>
    <t>1811-02</t>
  </si>
  <si>
    <t>190-02</t>
  </si>
  <si>
    <t>211-02</t>
  </si>
  <si>
    <t>212-02</t>
  </si>
  <si>
    <t>101-02</t>
  </si>
  <si>
    <t>103-02</t>
  </si>
  <si>
    <t>105-02</t>
  </si>
  <si>
    <t>109-02</t>
  </si>
  <si>
    <t>110-02</t>
  </si>
  <si>
    <t>122-02</t>
  </si>
  <si>
    <t>157-02</t>
  </si>
  <si>
    <t>168-02</t>
  </si>
  <si>
    <t>169-02</t>
  </si>
  <si>
    <t>173-02</t>
  </si>
  <si>
    <t>1817-02</t>
  </si>
  <si>
    <t>1820-02</t>
  </si>
  <si>
    <t>1821-02</t>
  </si>
  <si>
    <t>1822-02</t>
  </si>
  <si>
    <t>1826-02</t>
  </si>
  <si>
    <t>1830-02</t>
  </si>
  <si>
    <t>1832-02</t>
  </si>
  <si>
    <t>197-02</t>
  </si>
  <si>
    <t>206-02</t>
  </si>
  <si>
    <t>210-02</t>
  </si>
  <si>
    <t>218-02</t>
  </si>
  <si>
    <t>224-02</t>
  </si>
  <si>
    <t>237-02</t>
  </si>
  <si>
    <t>241-02</t>
  </si>
  <si>
    <t>1825-02</t>
  </si>
  <si>
    <t>152-03</t>
  </si>
  <si>
    <t>135-03</t>
  </si>
  <si>
    <t>154-03</t>
  </si>
  <si>
    <t>157-03</t>
  </si>
  <si>
    <t>158-03</t>
  </si>
  <si>
    <t>220-03</t>
  </si>
  <si>
    <t>222-03</t>
  </si>
  <si>
    <t>144-03</t>
  </si>
  <si>
    <t>160-03</t>
  </si>
  <si>
    <t>1805-03</t>
  </si>
  <si>
    <t>1809-03</t>
  </si>
  <si>
    <t>1810-03</t>
  </si>
  <si>
    <t>1826-03</t>
  </si>
  <si>
    <t>1833-03</t>
  </si>
  <si>
    <t>121-03</t>
  </si>
  <si>
    <t>148-03</t>
  </si>
  <si>
    <t>162-03</t>
  </si>
  <si>
    <t>178-03</t>
  </si>
  <si>
    <t>Inefficient dispatching @ NW0226RH (CRMF MAIN) Signal 4S</t>
  </si>
  <si>
    <t>1823-03</t>
  </si>
  <si>
    <t>200-03</t>
  </si>
  <si>
    <t>206-03</t>
  </si>
  <si>
    <t>219-03</t>
  </si>
  <si>
    <t>103-03</t>
  </si>
  <si>
    <t>106-03</t>
  </si>
  <si>
    <t>128-03</t>
  </si>
  <si>
    <t>132-03</t>
  </si>
  <si>
    <t>133-03</t>
  </si>
  <si>
    <t>138-03</t>
  </si>
  <si>
    <t>142-03</t>
  </si>
  <si>
    <t>153-03</t>
  </si>
  <si>
    <t>156-03</t>
  </si>
  <si>
    <t>166-03</t>
  </si>
  <si>
    <t>167-03</t>
  </si>
  <si>
    <t>172-03</t>
  </si>
  <si>
    <t>1801-03</t>
  </si>
  <si>
    <t>181-03</t>
  </si>
  <si>
    <t>1815-03</t>
  </si>
  <si>
    <t>1819-03</t>
  </si>
  <si>
    <t>182-03</t>
  </si>
  <si>
    <t>1825-03</t>
  </si>
  <si>
    <t>1832-03</t>
  </si>
  <si>
    <t>184-03</t>
  </si>
  <si>
    <t>195-03</t>
  </si>
  <si>
    <t>197-03</t>
  </si>
  <si>
    <t>212-03</t>
  </si>
  <si>
    <t>216-03</t>
  </si>
  <si>
    <t>218-03</t>
  </si>
  <si>
    <t>225-03</t>
  </si>
  <si>
    <t>226-03</t>
  </si>
  <si>
    <t>230-03</t>
  </si>
  <si>
    <t>241-03</t>
  </si>
  <si>
    <t>148-04</t>
  </si>
  <si>
    <t>163-04</t>
  </si>
  <si>
    <t>191-04</t>
  </si>
  <si>
    <t>120-04</t>
  </si>
  <si>
    <t>134-04</t>
  </si>
  <si>
    <t>143-04</t>
  </si>
  <si>
    <t>150-04</t>
  </si>
  <si>
    <t>155-04</t>
  </si>
  <si>
    <t>159-04</t>
  </si>
  <si>
    <t>166-04</t>
  </si>
  <si>
    <t>232-04</t>
  </si>
  <si>
    <t>801-04</t>
  </si>
  <si>
    <t>816-04</t>
  </si>
  <si>
    <t>823-04</t>
  </si>
  <si>
    <t>824-04</t>
  </si>
  <si>
    <t>825-04</t>
  </si>
  <si>
    <t>826-04</t>
  </si>
  <si>
    <t>829-04</t>
  </si>
  <si>
    <t>830-04</t>
  </si>
  <si>
    <t>833-04</t>
  </si>
  <si>
    <t>834-04</t>
  </si>
  <si>
    <t>837-04</t>
  </si>
  <si>
    <t>842-04</t>
  </si>
  <si>
    <t>844-04</t>
  </si>
  <si>
    <t>847-04</t>
  </si>
  <si>
    <t>908-04</t>
  </si>
  <si>
    <t>229-04</t>
  </si>
  <si>
    <t>238-04</t>
  </si>
  <si>
    <t>154-04</t>
  </si>
  <si>
    <t>176-04</t>
  </si>
  <si>
    <t>800-04</t>
  </si>
  <si>
    <t>802-04</t>
  </si>
  <si>
    <t>827-04</t>
  </si>
  <si>
    <t>103-04</t>
  </si>
  <si>
    <t>105-04</t>
  </si>
  <si>
    <t>125-04</t>
  </si>
  <si>
    <t>145-04</t>
  </si>
  <si>
    <t>153-04</t>
  </si>
  <si>
    <t>162-04</t>
  </si>
  <si>
    <t>169-04</t>
  </si>
  <si>
    <t>172-04</t>
  </si>
  <si>
    <t>173-04</t>
  </si>
  <si>
    <t>178-04</t>
  </si>
  <si>
    <t>180-04</t>
  </si>
  <si>
    <t>181-04</t>
  </si>
  <si>
    <t>187-04</t>
  </si>
  <si>
    <t>190-04</t>
  </si>
  <si>
    <t>192-04</t>
  </si>
  <si>
    <t>196-04</t>
  </si>
  <si>
    <t>199-04</t>
  </si>
  <si>
    <t>202-04</t>
  </si>
  <si>
    <t>203-04</t>
  </si>
  <si>
    <t>206-04</t>
  </si>
  <si>
    <t>217-04</t>
  </si>
  <si>
    <t>226-04</t>
  </si>
  <si>
    <t>233-04</t>
  </si>
  <si>
    <t>242-04</t>
  </si>
  <si>
    <t>810-04</t>
  </si>
  <si>
    <t>817-04</t>
  </si>
  <si>
    <t>835-04</t>
  </si>
  <si>
    <t>841-04</t>
  </si>
  <si>
    <t>843-04</t>
  </si>
  <si>
    <t>845-04</t>
  </si>
  <si>
    <t>192-05</t>
  </si>
  <si>
    <t>218-05</t>
  </si>
  <si>
    <t>172-05</t>
  </si>
  <si>
    <t>202-05</t>
  </si>
  <si>
    <t>226-05</t>
  </si>
  <si>
    <t>153-05</t>
  </si>
  <si>
    <t>136-05</t>
  </si>
  <si>
    <t>146-05</t>
  </si>
  <si>
    <t>137-05</t>
  </si>
  <si>
    <t>116-05</t>
  </si>
  <si>
    <t>168-05</t>
  </si>
  <si>
    <t>195-05</t>
  </si>
  <si>
    <t>819-05</t>
  </si>
  <si>
    <t>841-05</t>
  </si>
  <si>
    <t>847-05</t>
  </si>
  <si>
    <t>817-05</t>
  </si>
  <si>
    <t>811-05</t>
  </si>
  <si>
    <t>825-05</t>
  </si>
  <si>
    <t>839-05</t>
  </si>
  <si>
    <t>824-05</t>
  </si>
  <si>
    <t>167-05</t>
  </si>
  <si>
    <t>187-05</t>
  </si>
  <si>
    <t>242-05</t>
  </si>
  <si>
    <t>222-05</t>
  </si>
  <si>
    <t>150-05</t>
  </si>
  <si>
    <t>Legitimate STOP aspect</t>
  </si>
  <si>
    <t>224-05</t>
  </si>
  <si>
    <t>183-05</t>
  </si>
  <si>
    <t>837-05</t>
  </si>
  <si>
    <t>174-05</t>
  </si>
  <si>
    <t>240-05</t>
  </si>
  <si>
    <t>804-05</t>
  </si>
  <si>
    <t>808-05</t>
  </si>
  <si>
    <t>812-05</t>
  </si>
  <si>
    <t>816-05</t>
  </si>
  <si>
    <t>818-05</t>
  </si>
  <si>
    <t>826-05</t>
  </si>
  <si>
    <t>838-05</t>
  </si>
  <si>
    <t>813-05</t>
  </si>
  <si>
    <t>815-05</t>
  </si>
  <si>
    <t>823-05</t>
  </si>
  <si>
    <t>843-05</t>
  </si>
  <si>
    <t>131-05</t>
  </si>
  <si>
    <t>179-05</t>
  </si>
  <si>
    <t>181-05</t>
  </si>
  <si>
    <t>225-05</t>
  </si>
  <si>
    <t>818-06</t>
  </si>
  <si>
    <t>225-06</t>
  </si>
  <si>
    <t>155-06</t>
  </si>
  <si>
    <t>817-06</t>
  </si>
  <si>
    <t>803-06</t>
  </si>
  <si>
    <t>815-06</t>
  </si>
  <si>
    <t>847-06</t>
  </si>
  <si>
    <t>217-06</t>
  </si>
  <si>
    <t>126-06</t>
  </si>
  <si>
    <t>835-06</t>
  </si>
  <si>
    <t>843-06</t>
  </si>
  <si>
    <t>823-06</t>
  </si>
  <si>
    <t>807-06</t>
  </si>
  <si>
    <t>825-06</t>
  </si>
  <si>
    <t>829-06</t>
  </si>
  <si>
    <t>828-06</t>
  </si>
  <si>
    <t>906-06</t>
  </si>
  <si>
    <t>152-06</t>
  </si>
  <si>
    <t>166-06</t>
  </si>
  <si>
    <t>232-06</t>
  </si>
  <si>
    <t>111-06</t>
  </si>
  <si>
    <t>901-06</t>
  </si>
  <si>
    <t>154-06</t>
  </si>
  <si>
    <t>186-06</t>
  </si>
  <si>
    <t>151-06</t>
  </si>
  <si>
    <t>801-06</t>
  </si>
  <si>
    <t>809-06</t>
  </si>
  <si>
    <t>812-06</t>
  </si>
  <si>
    <t>110-06</t>
  </si>
  <si>
    <t>210-06</t>
  </si>
  <si>
    <t>200-06</t>
  </si>
  <si>
    <t>811-06</t>
  </si>
  <si>
    <t>104-06</t>
  </si>
  <si>
    <t>118-06</t>
  </si>
  <si>
    <t>122-06</t>
  </si>
  <si>
    <t>134-06</t>
  </si>
  <si>
    <t>148-06</t>
  </si>
  <si>
    <t>162-06</t>
  </si>
  <si>
    <t>184-06</t>
  </si>
  <si>
    <t>212-06</t>
  </si>
  <si>
    <t>216-06</t>
  </si>
  <si>
    <t>224-06</t>
  </si>
  <si>
    <t>242-06</t>
  </si>
  <si>
    <t>824-06</t>
  </si>
  <si>
    <t>830-06</t>
  </si>
  <si>
    <t>840-06</t>
  </si>
  <si>
    <t>842-06</t>
  </si>
  <si>
    <t>844-06</t>
  </si>
  <si>
    <t>826-06</t>
  </si>
  <si>
    <t>813-06</t>
  </si>
  <si>
    <t>819-06</t>
  </si>
  <si>
    <t>821-06</t>
  </si>
  <si>
    <t>827-06</t>
  </si>
  <si>
    <t>837-06</t>
  </si>
  <si>
    <t>839-06</t>
  </si>
  <si>
    <t>123-06</t>
  </si>
  <si>
    <t>125-06</t>
  </si>
  <si>
    <t>129-06</t>
  </si>
  <si>
    <t>137-06</t>
  </si>
  <si>
    <t>139-06</t>
  </si>
  <si>
    <t>173-06</t>
  </si>
  <si>
    <t>175-06</t>
  </si>
  <si>
    <t>185-06</t>
  </si>
  <si>
    <t>195-06</t>
  </si>
  <si>
    <t>211-06</t>
  </si>
  <si>
    <t>227-06</t>
  </si>
  <si>
    <t>231-06</t>
  </si>
  <si>
    <t>233-06</t>
  </si>
  <si>
    <t>123-07</t>
  </si>
  <si>
    <t>134-07</t>
  </si>
  <si>
    <t>190-07</t>
  </si>
  <si>
    <t>197-07</t>
  </si>
  <si>
    <t>182-07</t>
  </si>
  <si>
    <t>845-07</t>
  </si>
  <si>
    <t>903-07</t>
  </si>
  <si>
    <t>198-07</t>
  </si>
  <si>
    <t>841-07</t>
  </si>
  <si>
    <t>826-07</t>
  </si>
  <si>
    <t>132-07</t>
  </si>
  <si>
    <t>208-07</t>
  </si>
  <si>
    <t>218-07</t>
  </si>
  <si>
    <t>825-07</t>
  </si>
  <si>
    <t>811-07</t>
  </si>
  <si>
    <t>837-07</t>
  </si>
  <si>
    <t>901-07</t>
  </si>
  <si>
    <t>802-07</t>
  </si>
  <si>
    <t>838-07</t>
  </si>
  <si>
    <t>188-07</t>
  </si>
  <si>
    <t>143-07</t>
  </si>
  <si>
    <t>159-07</t>
  </si>
  <si>
    <t>809-07</t>
  </si>
  <si>
    <t>151-07</t>
  </si>
  <si>
    <t>819-07</t>
  </si>
  <si>
    <t>810-07</t>
  </si>
  <si>
    <t>104-07</t>
  </si>
  <si>
    <t>108-07</t>
  </si>
  <si>
    <t>116-07</t>
  </si>
  <si>
    <t>140-07</t>
  </si>
  <si>
    <t>170-07</t>
  </si>
  <si>
    <t>172-07</t>
  </si>
  <si>
    <t>212-07</t>
  </si>
  <si>
    <t>232-07</t>
  </si>
  <si>
    <t>242-07</t>
  </si>
  <si>
    <t>800-07</t>
  </si>
  <si>
    <t>801-07</t>
  </si>
  <si>
    <t>807-07</t>
  </si>
  <si>
    <t>829-07</t>
  </si>
  <si>
    <t>839-07</t>
  </si>
  <si>
    <t>115-07</t>
  </si>
  <si>
    <t>125-07</t>
  </si>
  <si>
    <t>133-07</t>
  </si>
  <si>
    <t>153-07</t>
  </si>
  <si>
    <t>165-07</t>
  </si>
  <si>
    <t>189-07</t>
  </si>
  <si>
    <t>193-07</t>
  </si>
  <si>
    <t>195-07</t>
  </si>
  <si>
    <t>235-07</t>
  </si>
  <si>
    <t>169-08</t>
  </si>
  <si>
    <t>123-08</t>
  </si>
  <si>
    <t>149-08</t>
  </si>
  <si>
    <t>150-08</t>
  </si>
  <si>
    <t>152-08</t>
  </si>
  <si>
    <t>137-08</t>
  </si>
  <si>
    <t>204-08</t>
  </si>
  <si>
    <t>223-08</t>
  </si>
  <si>
    <t>121-08</t>
  </si>
  <si>
    <t>122-08</t>
  </si>
  <si>
    <t>Inefficient dispatching @ Chambers 2N (signal went to CLEAR 2 min after enforcement)</t>
  </si>
  <si>
    <t>40th 4S was not cleared, switch was not aligned</t>
  </si>
  <si>
    <t>151-08</t>
  </si>
  <si>
    <t>Pena 4S was not cleared, switch not aligned</t>
  </si>
  <si>
    <t>Wi-MAX outage, http://stevetu21.github.io/eaglep3/load_kml.html?kml=http://rtdc.gmaps-snips.s3.amazonaws.com/39b44aa3-d1a2-4110-b249-888e6a1e0fb5.kml</t>
  </si>
  <si>
    <t>218-08</t>
  </si>
  <si>
    <t>130-08</t>
  </si>
  <si>
    <t>166-08</t>
  </si>
  <si>
    <t>200-08</t>
  </si>
  <si>
    <t>159-08</t>
  </si>
  <si>
    <t>245-08</t>
  </si>
  <si>
    <t>189-09</t>
  </si>
  <si>
    <t>229-09</t>
  </si>
  <si>
    <t>136-09</t>
  </si>
  <si>
    <t>SANTIZO</t>
  </si>
  <si>
    <t>160-09</t>
  </si>
  <si>
    <t>209-09</t>
  </si>
  <si>
    <t>198-09</t>
  </si>
  <si>
    <t>208-09</t>
  </si>
  <si>
    <t>230-09</t>
  </si>
  <si>
    <t>Premature downgrade at EC0112RH (CP BRIGHT) Signal 2S</t>
  </si>
  <si>
    <t>124-09</t>
  </si>
  <si>
    <t>Pena 4S was at STOP, switch wasn't aligned</t>
  </si>
  <si>
    <t>138-09</t>
  </si>
  <si>
    <t>176-09</t>
  </si>
  <si>
    <t>143-09</t>
  </si>
  <si>
    <t>245-09</t>
  </si>
  <si>
    <t>161-09</t>
  </si>
  <si>
    <t>155-10</t>
  </si>
  <si>
    <t>181-10</t>
  </si>
  <si>
    <t>241-10</t>
  </si>
  <si>
    <t>SNYDER</t>
  </si>
  <si>
    <t>123-10</t>
  </si>
  <si>
    <t>192-10</t>
  </si>
  <si>
    <t>177-10</t>
  </si>
  <si>
    <t>167-10</t>
  </si>
  <si>
    <t>198-10</t>
  </si>
  <si>
    <t>145-10</t>
  </si>
  <si>
    <t>108-10</t>
  </si>
  <si>
    <t>Cut out button not pressed from previous run</t>
  </si>
  <si>
    <t>109-10</t>
  </si>
  <si>
    <t>40th Signal 2N was at STOP</t>
  </si>
  <si>
    <t>40th 4S was at STOP, switch wasn't aligned</t>
  </si>
  <si>
    <t>61st 2N was at STOP, switch wasn't aligned</t>
  </si>
  <si>
    <t>Premature downgrade at EC2241RH 219-1T 1N</t>
  </si>
  <si>
    <t>188-10</t>
  </si>
  <si>
    <t>Premature downgrade at EC2241RH 225-1T 1S</t>
  </si>
  <si>
    <t>132-10</t>
  </si>
  <si>
    <t>MADLOM</t>
  </si>
  <si>
    <t>202-10</t>
  </si>
  <si>
    <t>103-10</t>
  </si>
  <si>
    <t>192-11</t>
  </si>
  <si>
    <t>196-11</t>
  </si>
  <si>
    <t>198-11</t>
  </si>
  <si>
    <t>214-11</t>
  </si>
  <si>
    <t>133-11</t>
  </si>
  <si>
    <t>112-11</t>
  </si>
  <si>
    <t>166-11</t>
  </si>
  <si>
    <t>183-11</t>
  </si>
  <si>
    <t>Premature downgrade at EC0508RH 43-1T 1N</t>
  </si>
  <si>
    <t>167-11</t>
  </si>
  <si>
    <t>194-11</t>
  </si>
  <si>
    <t>40th 4S STOP, switch normal</t>
  </si>
  <si>
    <t>168-11</t>
  </si>
  <si>
    <t>Pena 4S STOP, switch normal</t>
  </si>
  <si>
    <t>Pena 4S STOP</t>
  </si>
  <si>
    <t>158-11</t>
  </si>
  <si>
    <t>118-11</t>
  </si>
  <si>
    <t>134-11</t>
  </si>
  <si>
    <t>164-11</t>
  </si>
  <si>
    <t>176-11</t>
  </si>
  <si>
    <t>188-11</t>
  </si>
  <si>
    <t>103-11</t>
  </si>
  <si>
    <t>139-11</t>
  </si>
  <si>
    <t>153-11</t>
  </si>
  <si>
    <t>187-11</t>
  </si>
  <si>
    <t>193-11</t>
  </si>
  <si>
    <t>204-12</t>
  </si>
  <si>
    <t>191-12</t>
  </si>
  <si>
    <t>169-12</t>
  </si>
  <si>
    <t>145-12</t>
  </si>
  <si>
    <t>198-12</t>
  </si>
  <si>
    <t>240-12</t>
  </si>
  <si>
    <t>140-12</t>
  </si>
  <si>
    <t>196-12</t>
  </si>
  <si>
    <t>232-12</t>
  </si>
  <si>
    <t>155-12</t>
  </si>
  <si>
    <t>185-12</t>
  </si>
  <si>
    <t>40th 4S was STOP, switch was against</t>
  </si>
  <si>
    <t>153-12</t>
  </si>
  <si>
    <t>197-12</t>
  </si>
  <si>
    <t>61st 2N was STOP, switch was against</t>
  </si>
  <si>
    <t>152-12</t>
  </si>
  <si>
    <t>208-12</t>
  </si>
  <si>
    <t>Pena 4S was STOP, switch was against</t>
  </si>
  <si>
    <t>144-12</t>
  </si>
  <si>
    <t>194-12</t>
  </si>
  <si>
    <t>210-12</t>
  </si>
  <si>
    <t>104-12</t>
  </si>
  <si>
    <t>146-12</t>
  </si>
  <si>
    <t>174-13</t>
  </si>
  <si>
    <t>154-13</t>
  </si>
  <si>
    <t>160-13</t>
  </si>
  <si>
    <t>214-13</t>
  </si>
  <si>
    <t>196-13</t>
  </si>
  <si>
    <t>185-13</t>
  </si>
  <si>
    <t>170-13</t>
  </si>
  <si>
    <t>140-13</t>
  </si>
  <si>
    <t>206-13</t>
  </si>
  <si>
    <t>218-13</t>
  </si>
  <si>
    <t>147-13</t>
  </si>
  <si>
    <t>183-13</t>
  </si>
  <si>
    <t>Signal aspect was STOP &amp; PROCEED</t>
  </si>
  <si>
    <t>176-13</t>
  </si>
  <si>
    <t>208-13</t>
  </si>
  <si>
    <t>Pena 4S cycled back and forth between STOP and PROCEED CAB</t>
  </si>
  <si>
    <t>150-13</t>
  </si>
  <si>
    <t>178-13</t>
  </si>
  <si>
    <t>202-13</t>
  </si>
  <si>
    <t>112-13</t>
  </si>
  <si>
    <t>148-13</t>
  </si>
  <si>
    <t>104-13</t>
  </si>
  <si>
    <t>118-13</t>
  </si>
  <si>
    <t>134-13</t>
  </si>
  <si>
    <t>152-13</t>
  </si>
  <si>
    <t>224-13</t>
  </si>
  <si>
    <t>115-13</t>
  </si>
  <si>
    <t>187-14</t>
  </si>
  <si>
    <t>184-14</t>
  </si>
  <si>
    <t>198-14</t>
  </si>
  <si>
    <t>144-14</t>
  </si>
  <si>
    <t>214-14</t>
  </si>
  <si>
    <t>131-14</t>
  </si>
  <si>
    <t>110-14</t>
  </si>
  <si>
    <t>130-14</t>
  </si>
  <si>
    <t>224-14</t>
  </si>
  <si>
    <t>141-14</t>
  </si>
  <si>
    <t>138-14</t>
  </si>
  <si>
    <t>174-14</t>
  </si>
  <si>
    <t>231-14</t>
  </si>
  <si>
    <t>119-14</t>
  </si>
  <si>
    <t>202-14</t>
  </si>
  <si>
    <t>178-14</t>
  </si>
  <si>
    <t>210-14</t>
  </si>
  <si>
    <t>116-14</t>
  </si>
  <si>
    <t>154-14</t>
  </si>
  <si>
    <t>206-14</t>
  </si>
  <si>
    <t>240-14</t>
  </si>
  <si>
    <t>121-14</t>
  </si>
  <si>
    <t>149-14</t>
  </si>
  <si>
    <t>172-15</t>
  </si>
  <si>
    <t>138-15</t>
  </si>
  <si>
    <t>222-15</t>
  </si>
  <si>
    <t>234-15</t>
  </si>
  <si>
    <t>122-15</t>
  </si>
  <si>
    <t>225-15</t>
  </si>
  <si>
    <t>221-15</t>
  </si>
  <si>
    <t>167-15</t>
  </si>
  <si>
    <t>185-15</t>
  </si>
  <si>
    <t>202-15</t>
  </si>
  <si>
    <t>198-15</t>
  </si>
  <si>
    <t>SWITCH ALIGNMENT</t>
  </si>
  <si>
    <t>217-15</t>
  </si>
  <si>
    <t>134-15</t>
  </si>
  <si>
    <t>164-15</t>
  </si>
  <si>
    <t>174-15</t>
  </si>
  <si>
    <t>182-15</t>
  </si>
  <si>
    <t>129-15</t>
  </si>
  <si>
    <t>217-16</t>
  </si>
  <si>
    <t>222-16</t>
  </si>
  <si>
    <t>102-16</t>
  </si>
  <si>
    <t>124-16</t>
  </si>
  <si>
    <t>180-16</t>
  </si>
  <si>
    <t>203-16</t>
  </si>
  <si>
    <t>162-16</t>
  </si>
  <si>
    <t>216-16</t>
  </si>
  <si>
    <t>88-2T 2S was STOP &amp; PROCEED</t>
  </si>
  <si>
    <t>118-16</t>
  </si>
  <si>
    <t>104-2T 2S was STOP &amp; PROCEED</t>
  </si>
  <si>
    <t>Sable 2N was STOP</t>
  </si>
  <si>
    <t>Chambers 2N was STOP</t>
  </si>
  <si>
    <t>183-16</t>
  </si>
  <si>
    <t>247-16</t>
  </si>
  <si>
    <t>Pena 4S was STOP</t>
  </si>
  <si>
    <t>239-16</t>
  </si>
  <si>
    <t>EC2241RH 219-1T 1N was STOP &amp; PROCEED</t>
  </si>
  <si>
    <t>DIA 2N was STOP</t>
  </si>
  <si>
    <t>169-16</t>
  </si>
  <si>
    <t>114-16</t>
  </si>
  <si>
    <t>142-16</t>
  </si>
  <si>
    <t>220-16</t>
  </si>
  <si>
    <t>226-16</t>
  </si>
  <si>
    <t>147-16</t>
  </si>
  <si>
    <t>102-17</t>
  </si>
  <si>
    <t>160-17</t>
  </si>
  <si>
    <t>114-17</t>
  </si>
  <si>
    <t>198-17</t>
  </si>
  <si>
    <t>183-17</t>
  </si>
  <si>
    <t>230-17</t>
  </si>
  <si>
    <t>190-17</t>
  </si>
  <si>
    <t>203-17</t>
  </si>
  <si>
    <t>194-17</t>
  </si>
  <si>
    <t>181-17</t>
  </si>
  <si>
    <t>61st 2S was STOP, switch was against</t>
  </si>
  <si>
    <t>220-17</t>
  </si>
  <si>
    <t>222-17</t>
  </si>
  <si>
    <t>207-17</t>
  </si>
  <si>
    <t>206-17</t>
  </si>
  <si>
    <t>128-17</t>
  </si>
  <si>
    <t>132-17</t>
  </si>
  <si>
    <t>204-17</t>
  </si>
  <si>
    <t>208-17</t>
  </si>
  <si>
    <t>214-17</t>
  </si>
  <si>
    <t>179-17</t>
  </si>
  <si>
    <t>139-18</t>
  </si>
  <si>
    <t>179-18</t>
  </si>
  <si>
    <t>193-18</t>
  </si>
  <si>
    <t>168-18</t>
  </si>
  <si>
    <t>154-18</t>
  </si>
  <si>
    <t>159-18</t>
  </si>
  <si>
    <t>235-18</t>
  </si>
  <si>
    <t>Premature downgrade at EC0756RH 69-1T 1N</t>
  </si>
  <si>
    <t>141-18</t>
  </si>
  <si>
    <t>UNKNOWN DIRECTION</t>
  </si>
  <si>
    <t>118-18</t>
  </si>
  <si>
    <t>130-18</t>
  </si>
  <si>
    <t>158-18</t>
  </si>
  <si>
    <t>164-18</t>
  </si>
  <si>
    <t>166-18</t>
  </si>
  <si>
    <t>174-18</t>
  </si>
  <si>
    <t>204-18</t>
  </si>
  <si>
    <t>220-18</t>
  </si>
  <si>
    <t>ALONZO</t>
  </si>
  <si>
    <t>224-18</t>
  </si>
  <si>
    <t>103-18</t>
  </si>
  <si>
    <t>169-18</t>
  </si>
  <si>
    <t>197-18</t>
  </si>
  <si>
    <t>239-18</t>
  </si>
  <si>
    <t>177-19</t>
  </si>
  <si>
    <t>160-19</t>
  </si>
  <si>
    <t>108-19</t>
  </si>
  <si>
    <t>169-19</t>
  </si>
  <si>
    <t>194-19</t>
  </si>
  <si>
    <t>192-19</t>
  </si>
  <si>
    <t>187-19</t>
  </si>
  <si>
    <t>159-19</t>
  </si>
  <si>
    <t>61st 2N was STOP, was cleared after enforcement</t>
  </si>
  <si>
    <t>166-19</t>
  </si>
  <si>
    <t>212-19</t>
  </si>
  <si>
    <t>173-19</t>
  </si>
  <si>
    <t>218-20</t>
  </si>
  <si>
    <t>225-20</t>
  </si>
  <si>
    <t>176-20</t>
  </si>
  <si>
    <t>137-20</t>
  </si>
  <si>
    <t>126-20</t>
  </si>
  <si>
    <t>201-20</t>
  </si>
  <si>
    <t>183-20</t>
  </si>
  <si>
    <t>127-20</t>
  </si>
  <si>
    <t>118-20</t>
  </si>
  <si>
    <t>103-20</t>
  </si>
  <si>
    <t>109-20</t>
  </si>
  <si>
    <t>181-20</t>
  </si>
  <si>
    <t>176-21</t>
  </si>
  <si>
    <t>184-21</t>
  </si>
  <si>
    <t>186-21</t>
  </si>
  <si>
    <t>188-21</t>
  </si>
  <si>
    <t>198-21</t>
  </si>
  <si>
    <t>210-21</t>
  </si>
  <si>
    <t>234-21</t>
  </si>
  <si>
    <t>177-21</t>
  </si>
  <si>
    <t>114-21</t>
  </si>
  <si>
    <t>143-21</t>
  </si>
  <si>
    <t>233-21</t>
  </si>
  <si>
    <t>243-21</t>
  </si>
  <si>
    <t>Sand Creek 4S was STOP</t>
  </si>
  <si>
    <t>178-21</t>
  </si>
  <si>
    <t>40th 4S STOP, switch against</t>
  </si>
  <si>
    <t>POLLOCK</t>
  </si>
  <si>
    <t>61st 2N STOP, switch against</t>
  </si>
  <si>
    <t>195-21</t>
  </si>
  <si>
    <t>110-21</t>
  </si>
  <si>
    <t>Pena 4S STOP, switch against</t>
  </si>
  <si>
    <t>147-21</t>
  </si>
  <si>
    <t>Premature downgrade at EC1981RH 191-1T 1N, likely vital link failure</t>
  </si>
  <si>
    <t>103-21</t>
  </si>
  <si>
    <t>118-21</t>
  </si>
  <si>
    <t>236-21</t>
  </si>
  <si>
    <t>812-21</t>
  </si>
  <si>
    <t>824-21</t>
  </si>
  <si>
    <t>BALTHROP</t>
  </si>
  <si>
    <t>821-21</t>
  </si>
  <si>
    <t>825-21</t>
  </si>
  <si>
    <t>813-21</t>
  </si>
  <si>
    <t>148-22</t>
  </si>
  <si>
    <t>170-22</t>
  </si>
  <si>
    <t>113-22</t>
  </si>
  <si>
    <t>183-22</t>
  </si>
  <si>
    <t>185-22</t>
  </si>
  <si>
    <t>201-22</t>
  </si>
  <si>
    <t>226-22</t>
  </si>
  <si>
    <t>194-22</t>
  </si>
  <si>
    <t>164-22</t>
  </si>
  <si>
    <t>175-22</t>
  </si>
  <si>
    <t>EC0206RH 15-1T 1N was STOP &amp; PROCEED</t>
  </si>
  <si>
    <t>231-22</t>
  </si>
  <si>
    <t>116-22</t>
  </si>
  <si>
    <t>SPEED RESTRICTION</t>
  </si>
  <si>
    <t>102-22</t>
  </si>
  <si>
    <t>126-22</t>
  </si>
  <si>
    <t>212-22</t>
  </si>
  <si>
    <t>234-22</t>
  </si>
  <si>
    <t>159-22</t>
  </si>
  <si>
    <t>169-23</t>
  </si>
  <si>
    <t>197-23</t>
  </si>
  <si>
    <t>150-23</t>
  </si>
  <si>
    <t>241-23</t>
  </si>
  <si>
    <t>162-23</t>
  </si>
  <si>
    <t>204-23</t>
  </si>
  <si>
    <t>223-23</t>
  </si>
  <si>
    <t>236-23</t>
  </si>
  <si>
    <t>163-23</t>
  </si>
  <si>
    <t>129-23</t>
  </si>
  <si>
    <t>198-23</t>
  </si>
  <si>
    <t>154-23</t>
  </si>
  <si>
    <t>188-23</t>
  </si>
  <si>
    <t>226-23</t>
  </si>
  <si>
    <t>161-23</t>
  </si>
  <si>
    <t>165-23</t>
  </si>
  <si>
    <t>1812-23</t>
  </si>
  <si>
    <t>1822-23</t>
  </si>
  <si>
    <t>1814-23</t>
  </si>
  <si>
    <t>1810-23</t>
  </si>
  <si>
    <t>1805-23</t>
  </si>
  <si>
    <t>1817-23</t>
  </si>
  <si>
    <t>1821-23</t>
  </si>
  <si>
    <t>1833-23</t>
  </si>
  <si>
    <t>1819-23</t>
  </si>
  <si>
    <t>1816-23</t>
  </si>
  <si>
    <t>1820-23</t>
  </si>
  <si>
    <t>1826-23</t>
  </si>
  <si>
    <t>1818-23</t>
  </si>
  <si>
    <t>1809-23</t>
  </si>
  <si>
    <t>1811-23</t>
  </si>
  <si>
    <t>108-24</t>
  </si>
  <si>
    <t>106-24</t>
  </si>
  <si>
    <t>138-24</t>
  </si>
  <si>
    <t>134-24</t>
  </si>
  <si>
    <t>202-24</t>
  </si>
  <si>
    <t>156-24</t>
  </si>
  <si>
    <t>169-24</t>
  </si>
  <si>
    <t>120-24</t>
  </si>
  <si>
    <t>222-24</t>
  </si>
  <si>
    <t>190-24</t>
  </si>
  <si>
    <t>Pena 2S was STOP, cleared right after enforcement</t>
  </si>
  <si>
    <t>146-24</t>
  </si>
  <si>
    <t>158-24</t>
  </si>
  <si>
    <t>166-24</t>
  </si>
  <si>
    <t>174-24</t>
  </si>
  <si>
    <t>214-24</t>
  </si>
  <si>
    <t>240-24</t>
  </si>
  <si>
    <t>123-24</t>
  </si>
  <si>
    <t>197-24</t>
  </si>
  <si>
    <t>219-24</t>
  </si>
  <si>
    <t>243-24</t>
  </si>
  <si>
    <t>1831-24</t>
  </si>
  <si>
    <t>1820-24</t>
  </si>
  <si>
    <t>1825-24</t>
  </si>
  <si>
    <t>1801-24</t>
  </si>
  <si>
    <t>1821-24</t>
  </si>
  <si>
    <t>1835-24</t>
  </si>
  <si>
    <t>809-24</t>
  </si>
  <si>
    <t>812-24</t>
  </si>
  <si>
    <t>1814-24</t>
  </si>
  <si>
    <t>1824-24</t>
  </si>
  <si>
    <t>1802-24</t>
  </si>
  <si>
    <t>1806-24</t>
  </si>
  <si>
    <t>1810-24</t>
  </si>
  <si>
    <t>1812-24</t>
  </si>
  <si>
    <t>1818-24</t>
  </si>
  <si>
    <t>1830-24</t>
  </si>
  <si>
    <t>1803-24</t>
  </si>
  <si>
    <t>1811-24</t>
  </si>
  <si>
    <t>1823-24</t>
  </si>
  <si>
    <t>1809-24</t>
  </si>
  <si>
    <t>1817-24</t>
  </si>
  <si>
    <t>156-25</t>
  </si>
  <si>
    <t>176-25</t>
  </si>
  <si>
    <t>115-25</t>
  </si>
  <si>
    <t>126-25</t>
  </si>
  <si>
    <t>130-25</t>
  </si>
  <si>
    <t>230-25</t>
  </si>
  <si>
    <t>237-25</t>
  </si>
  <si>
    <t>167-25</t>
  </si>
  <si>
    <t>125-25</t>
  </si>
  <si>
    <t>222-25</t>
  </si>
  <si>
    <t>219-25</t>
  </si>
  <si>
    <t>197-25</t>
  </si>
  <si>
    <t>40th 4S was STOP</t>
  </si>
  <si>
    <t>182-25</t>
  </si>
  <si>
    <t>240-25</t>
  </si>
  <si>
    <t>161-25</t>
  </si>
  <si>
    <t>203-25</t>
  </si>
  <si>
    <t>807-25</t>
  </si>
  <si>
    <t>850-25</t>
  </si>
  <si>
    <t>837-25</t>
  </si>
  <si>
    <t>839-25</t>
  </si>
  <si>
    <t>804-25</t>
  </si>
  <si>
    <t>815-25</t>
  </si>
  <si>
    <t>823-25</t>
  </si>
  <si>
    <t>801-25</t>
  </si>
  <si>
    <t>821-25</t>
  </si>
  <si>
    <t>829-25</t>
  </si>
  <si>
    <t>806-25</t>
  </si>
  <si>
    <t>825-25</t>
  </si>
  <si>
    <t>808-25</t>
  </si>
  <si>
    <t>828-25</t>
  </si>
  <si>
    <t>838-25</t>
  </si>
  <si>
    <t>824-25</t>
  </si>
  <si>
    <t>832-25</t>
  </si>
  <si>
    <t>844-25</t>
  </si>
  <si>
    <t>846-25</t>
  </si>
  <si>
    <t>856-25</t>
  </si>
  <si>
    <t>855-25</t>
  </si>
  <si>
    <t>859-25</t>
  </si>
  <si>
    <t>867-25</t>
  </si>
  <si>
    <t>871-25</t>
  </si>
  <si>
    <t>805-25</t>
  </si>
  <si>
    <t>817-25</t>
  </si>
  <si>
    <t>841-25</t>
  </si>
  <si>
    <t>853-25</t>
  </si>
  <si>
    <t>861-25</t>
  </si>
  <si>
    <t>865-25</t>
  </si>
  <si>
    <t>108-26</t>
  </si>
  <si>
    <t>178-26</t>
  </si>
  <si>
    <t>134-26</t>
  </si>
  <si>
    <t>172-26</t>
  </si>
  <si>
    <t>162-26</t>
  </si>
  <si>
    <t>186-26</t>
  </si>
  <si>
    <t>205-26</t>
  </si>
  <si>
    <t>128-26</t>
  </si>
  <si>
    <t>200-26</t>
  </si>
  <si>
    <t>237-26</t>
  </si>
  <si>
    <t>158-26</t>
  </si>
  <si>
    <t>204-26</t>
  </si>
  <si>
    <t>206-26</t>
  </si>
  <si>
    <t>114-26</t>
  </si>
  <si>
    <t>170-26</t>
  </si>
  <si>
    <t>208-26</t>
  </si>
  <si>
    <t>102-26</t>
  </si>
  <si>
    <t>104-26</t>
  </si>
  <si>
    <t>118-26</t>
  </si>
  <si>
    <t>126-26</t>
  </si>
  <si>
    <t>136-26</t>
  </si>
  <si>
    <t>146-26</t>
  </si>
  <si>
    <t>154-26</t>
  </si>
  <si>
    <t>160-26</t>
  </si>
  <si>
    <t>180-26</t>
  </si>
  <si>
    <t>216-26</t>
  </si>
  <si>
    <t>228-26</t>
  </si>
  <si>
    <t>131-26</t>
  </si>
  <si>
    <t>189-26</t>
  </si>
  <si>
    <t>203-26</t>
  </si>
  <si>
    <t>229-26</t>
  </si>
  <si>
    <t>233-26</t>
  </si>
  <si>
    <t>804-26</t>
  </si>
  <si>
    <t>817-26</t>
  </si>
  <si>
    <t>803-26</t>
  </si>
  <si>
    <t>811-26</t>
  </si>
  <si>
    <t>825-26</t>
  </si>
  <si>
    <t>810-26</t>
  </si>
  <si>
    <t>800-26</t>
  </si>
  <si>
    <t>806-26</t>
  </si>
  <si>
    <t>812-26</t>
  </si>
  <si>
    <t>816-26</t>
  </si>
  <si>
    <t>802-26</t>
  </si>
  <si>
    <t>822-26</t>
  </si>
  <si>
    <t>805-26</t>
  </si>
  <si>
    <t>821-26</t>
  </si>
  <si>
    <t>823-26</t>
  </si>
  <si>
    <t>839-26</t>
  </si>
  <si>
    <t>126-27</t>
  </si>
  <si>
    <t>180-27</t>
  </si>
  <si>
    <t>198-27</t>
  </si>
  <si>
    <t>218-27</t>
  </si>
  <si>
    <t>228-27</t>
  </si>
  <si>
    <t>215-27</t>
  </si>
  <si>
    <t>204-27</t>
  </si>
  <si>
    <t>208-27</t>
  </si>
  <si>
    <t>171-27</t>
  </si>
  <si>
    <t>Inefficient dispatching at DUS 2N</t>
  </si>
  <si>
    <t>159-27</t>
  </si>
  <si>
    <t>40th 4S was STOP, operator didn't stop</t>
  </si>
  <si>
    <t>61st 2N was STOP, operator didn't stop</t>
  </si>
  <si>
    <t>Pena 4S was STOP, operator didn't stop</t>
  </si>
  <si>
    <t>203-27</t>
  </si>
  <si>
    <t>128-27</t>
  </si>
  <si>
    <t>214-27</t>
  </si>
  <si>
    <t>234-27</t>
  </si>
  <si>
    <t>135-27</t>
  </si>
  <si>
    <t>903-27</t>
  </si>
  <si>
    <t>311-27</t>
  </si>
  <si>
    <t>302-27</t>
  </si>
  <si>
    <t>904-27</t>
  </si>
  <si>
    <t>823-27</t>
  </si>
  <si>
    <t>827-27</t>
  </si>
  <si>
    <t>832-27</t>
  </si>
  <si>
    <t>813-27</t>
  </si>
  <si>
    <t>803-27</t>
  </si>
  <si>
    <t>809-27</t>
  </si>
  <si>
    <t>847-27</t>
  </si>
  <si>
    <t>800-27</t>
  </si>
  <si>
    <t>Premature downgrade at NW0109XH (BNSF FUEL CROSSING) 14-2T 2S</t>
  </si>
  <si>
    <t>824-27</t>
  </si>
  <si>
    <t>830-27</t>
  </si>
  <si>
    <t>840-27</t>
  </si>
  <si>
    <t>844-27</t>
  </si>
  <si>
    <t>811-27</t>
  </si>
  <si>
    <t>825-27</t>
  </si>
  <si>
    <t>831-27</t>
  </si>
  <si>
    <t>204-28</t>
  </si>
  <si>
    <t>206-28</t>
  </si>
  <si>
    <t>215-28</t>
  </si>
  <si>
    <t>178-28</t>
  </si>
  <si>
    <t>221-28</t>
  </si>
  <si>
    <t>144-28</t>
  </si>
  <si>
    <t>153-28</t>
  </si>
  <si>
    <t>186-28</t>
  </si>
  <si>
    <t>223-28</t>
  </si>
  <si>
    <t>169-28</t>
  </si>
  <si>
    <t>140-28</t>
  </si>
  <si>
    <t>160-28</t>
  </si>
  <si>
    <t>Pena 4S was STOP, eventually cleared</t>
  </si>
  <si>
    <t>188-28</t>
  </si>
  <si>
    <t>208-28</t>
  </si>
  <si>
    <t>117-28</t>
  </si>
  <si>
    <t>Premature downgrade at EC1981RH 191-1T 1N, track circuit issue</t>
  </si>
  <si>
    <t>157-28</t>
  </si>
  <si>
    <t>132-28</t>
  </si>
  <si>
    <t>142-28</t>
  </si>
  <si>
    <t>166-28</t>
  </si>
  <si>
    <t>192-28</t>
  </si>
  <si>
    <t>240-28</t>
  </si>
  <si>
    <t>173-28</t>
  </si>
  <si>
    <t>819-28</t>
  </si>
  <si>
    <t>813-28</t>
  </si>
  <si>
    <t>814-28</t>
  </si>
  <si>
    <t>820-28</t>
  </si>
  <si>
    <t>822-28</t>
  </si>
  <si>
    <t>815-28</t>
  </si>
  <si>
    <t>124-29</t>
  </si>
  <si>
    <t>181-29</t>
  </si>
  <si>
    <t>160-29</t>
  </si>
  <si>
    <t>203-29</t>
  </si>
  <si>
    <t>129-29</t>
  </si>
  <si>
    <t>233-29</t>
  </si>
  <si>
    <t>115-29</t>
  </si>
  <si>
    <t>145-29</t>
  </si>
  <si>
    <t>195-29</t>
  </si>
  <si>
    <t>Went active too close to 40th 2S</t>
  </si>
  <si>
    <t>204-29</t>
  </si>
  <si>
    <t>134-29</t>
  </si>
  <si>
    <t>158-29</t>
  </si>
  <si>
    <t>176-29</t>
  </si>
  <si>
    <t>212-29</t>
  </si>
  <si>
    <t>159-29</t>
  </si>
  <si>
    <t>173-29</t>
  </si>
  <si>
    <t>305-29</t>
  </si>
  <si>
    <t>306-29</t>
  </si>
  <si>
    <t>904-29</t>
  </si>
  <si>
    <t>308-29</t>
  </si>
  <si>
    <t>809-29</t>
  </si>
  <si>
    <t>835-29</t>
  </si>
  <si>
    <t>810-29</t>
  </si>
  <si>
    <t>826-29</t>
  </si>
  <si>
    <t>828-29</t>
  </si>
  <si>
    <t>840-29</t>
  </si>
  <si>
    <t>842-29</t>
  </si>
  <si>
    <t>844-29</t>
  </si>
  <si>
    <t>805-29</t>
  </si>
  <si>
    <t>823-29</t>
  </si>
  <si>
    <t>198-30</t>
  </si>
  <si>
    <t>132-30</t>
  </si>
  <si>
    <t>192-30</t>
  </si>
  <si>
    <t>212-30</t>
  </si>
  <si>
    <t>184-30</t>
  </si>
  <si>
    <t>191-30</t>
  </si>
  <si>
    <t>129-30</t>
  </si>
  <si>
    <t>176-30</t>
  </si>
  <si>
    <t>Comm failure caused by triplex issue</t>
  </si>
  <si>
    <t>Pena 4S was STOP, cleared ~2 minutes later</t>
  </si>
  <si>
    <t>186-30</t>
  </si>
  <si>
    <t>Pena 4S was STOP, cleared less than a minute later</t>
  </si>
  <si>
    <t>116-30</t>
  </si>
  <si>
    <t>134-30</t>
  </si>
  <si>
    <t>170-30</t>
  </si>
  <si>
    <t>188-30</t>
  </si>
  <si>
    <t>206-30</t>
  </si>
  <si>
    <t>218-30</t>
  </si>
  <si>
    <t>135-30</t>
  </si>
  <si>
    <t>173-30</t>
  </si>
  <si>
    <t>201-30</t>
  </si>
  <si>
    <t>307-30</t>
  </si>
  <si>
    <t>2001-30</t>
  </si>
  <si>
    <t>2005-30</t>
  </si>
  <si>
    <t>305-30</t>
  </si>
  <si>
    <t>1900-30</t>
  </si>
  <si>
    <t>1906-30</t>
  </si>
  <si>
    <t>1903-30</t>
  </si>
  <si>
    <t>1911-30</t>
  </si>
  <si>
    <t>1905-30</t>
  </si>
  <si>
    <t>1803-30</t>
  </si>
  <si>
    <t>1877-30</t>
  </si>
  <si>
    <t>1809-30</t>
  </si>
  <si>
    <t>1815-30</t>
  </si>
  <si>
    <t>1863-30</t>
  </si>
  <si>
    <t>1819-30</t>
  </si>
  <si>
    <t>1895-30</t>
  </si>
  <si>
    <t>1831-30</t>
  </si>
  <si>
    <t>1873-30</t>
  </si>
  <si>
    <t>1836-30</t>
  </si>
  <si>
    <t>1864-30</t>
  </si>
  <si>
    <t>1862-30</t>
  </si>
  <si>
    <t>1870-30</t>
  </si>
  <si>
    <t>1888-30</t>
  </si>
  <si>
    <t>1869-30</t>
  </si>
  <si>
    <t>1893-30</t>
  </si>
  <si>
    <t>1835-30</t>
  </si>
  <si>
    <t>151-31</t>
  </si>
  <si>
    <t>134-31</t>
  </si>
  <si>
    <t>188-31</t>
  </si>
  <si>
    <t>177-31</t>
  </si>
  <si>
    <t>154-31</t>
  </si>
  <si>
    <t>164-31</t>
  </si>
  <si>
    <t>166-31</t>
  </si>
  <si>
    <t>172-31</t>
  </si>
  <si>
    <t>139-31</t>
  </si>
  <si>
    <t>201-31</t>
  </si>
  <si>
    <t>187-31</t>
  </si>
  <si>
    <t>127-31</t>
  </si>
  <si>
    <t>111-31</t>
  </si>
  <si>
    <t>157-31</t>
  </si>
  <si>
    <t>199-31</t>
  </si>
  <si>
    <t>158-31</t>
  </si>
  <si>
    <t>224-31</t>
  </si>
  <si>
    <t>Departure from DUS Main 3 (happens every time a train departs from Main 3 due to short track length)</t>
  </si>
  <si>
    <t>168-31</t>
  </si>
  <si>
    <t>40th 4S was STOP, cleared shortly after enforcement</t>
  </si>
  <si>
    <t>114-31</t>
  </si>
  <si>
    <t>118-31</t>
  </si>
  <si>
    <t>146-31</t>
  </si>
  <si>
    <t>174-31</t>
  </si>
  <si>
    <t>184-31</t>
  </si>
  <si>
    <t>192-31</t>
  </si>
  <si>
    <t>202-31</t>
  </si>
  <si>
    <t>216-31</t>
  </si>
  <si>
    <t>106-31</t>
  </si>
  <si>
    <t>183-31</t>
  </si>
  <si>
    <t>311-31</t>
  </si>
  <si>
    <t>1901-31</t>
  </si>
  <si>
    <t>1806-31</t>
  </si>
  <si>
    <t>1801-31</t>
  </si>
  <si>
    <t>1807-31</t>
  </si>
  <si>
    <t>1814-31</t>
  </si>
  <si>
    <t>1805-31</t>
  </si>
  <si>
    <t>1815-31</t>
  </si>
  <si>
    <t>1800-31</t>
  </si>
  <si>
    <t>1802-31</t>
  </si>
  <si>
    <t>1804-31</t>
  </si>
  <si>
    <t>1810-31</t>
  </si>
  <si>
    <t>1812-31</t>
  </si>
  <si>
    <t>1809-31</t>
  </si>
  <si>
    <t>1817-31</t>
  </si>
  <si>
    <t>Terminal</t>
  </si>
  <si>
    <t>Signaling system failures</t>
  </si>
  <si>
    <t>Power or similar failures in wayside equipment. PTC runs must be talked past signals in cut out until signal system repair personnel finish their work</t>
  </si>
  <si>
    <t>PTC resumes operation when repairs are finished</t>
  </si>
  <si>
    <t>Operational issue</t>
  </si>
  <si>
    <t>Intermittent data issues within dispatch software system</t>
  </si>
  <si>
    <t>The team responsible for maintaining the dispatch system is informed and they resolve the data disparity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</si>
</sst>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yyyy\-mm\-dd"/>
    <numFmt numFmtId="165" formatCode="yyyy\-mm\-dd\ hh:mm:ss"/>
    <numFmt numFmtId="166" formatCode="h:mm:ss;@"/>
    <numFmt numFmtId="167" formatCode="0.0"/>
    <numFmt numFmtId="173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6">
    <xf numFmtId="0" fontId="0" fillId="0" borderId="0" xfId="0"/>
    <xf numFmtId="9" fontId="0" fillId="0" borderId="0" xfId="1" applyFont="1"/>
    <xf numFmtId="164" fontId="0" fillId="0" borderId="1" xfId="0" applyNumberFormat="1" applyBorder="1"/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0" fontId="2" fillId="0" borderId="1" xfId="0" applyFont="1" applyBorder="1" applyAlignment="1">
      <alignment wrapText="1"/>
    </xf>
    <xf numFmtId="9" fontId="2" fillId="0" borderId="1" xfId="1" applyFont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/>
    </xf>
    <xf numFmtId="0" fontId="0" fillId="0" borderId="0" xfId="0" applyAlignment="1"/>
    <xf numFmtId="1" fontId="0" fillId="0" borderId="1" xfId="0" applyNumberForma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165" fontId="2" fillId="0" borderId="1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165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/>
    <xf numFmtId="165" fontId="2" fillId="0" borderId="1" xfId="0" applyNumberFormat="1" applyFon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9" fontId="2" fillId="0" borderId="1" xfId="0" applyNumberFormat="1" applyFont="1" applyFill="1" applyBorder="1" applyAlignment="1">
      <alignment horizontal="left" wrapText="1"/>
    </xf>
    <xf numFmtId="0" fontId="0" fillId="2" borderId="1" xfId="0" applyFill="1" applyBorder="1" applyAlignment="1">
      <alignment vertical="center"/>
    </xf>
    <xf numFmtId="165" fontId="0" fillId="0" borderId="1" xfId="0" applyNumberFormat="1" applyBorder="1"/>
    <xf numFmtId="0" fontId="2" fillId="0" borderId="1" xfId="0" applyFont="1" applyFill="1" applyBorder="1" applyAlignment="1">
      <alignment horizontal="left" vertical="center" wrapText="1"/>
    </xf>
    <xf numFmtId="165" fontId="2" fillId="0" borderId="1" xfId="0" applyNumberFormat="1" applyFont="1" applyFill="1" applyBorder="1" applyAlignment="1">
      <alignment horizontal="left" vertical="center" wrapText="1"/>
    </xf>
    <xf numFmtId="20" fontId="2" fillId="0" borderId="1" xfId="0" applyNumberFormat="1" applyFont="1" applyFill="1" applyBorder="1" applyAlignment="1">
      <alignment horizontal="left" vertical="center" wrapText="1"/>
    </xf>
    <xf numFmtId="1" fontId="2" fillId="0" borderId="1" xfId="0" applyNumberFormat="1" applyFont="1" applyBorder="1"/>
    <xf numFmtId="0" fontId="2" fillId="0" borderId="1" xfId="0" applyFont="1" applyBorder="1"/>
    <xf numFmtId="9" fontId="2" fillId="0" borderId="1" xfId="1" applyFont="1" applyBorder="1"/>
    <xf numFmtId="0" fontId="0" fillId="0" borderId="1" xfId="0" applyFill="1" applyBorder="1" applyAlignment="1">
      <alignment horizontal="left" vertical="center" wrapText="1"/>
    </xf>
    <xf numFmtId="1" fontId="0" fillId="0" borderId="1" xfId="0" applyNumberFormat="1" applyFill="1" applyBorder="1" applyAlignment="1">
      <alignment horizontal="left"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2" fillId="0" borderId="1" xfId="0" applyFont="1" applyFill="1" applyBorder="1" applyAlignment="1">
      <alignment wrapText="1"/>
    </xf>
    <xf numFmtId="167" fontId="2" fillId="0" borderId="1" xfId="0" applyNumberFormat="1" applyFont="1" applyBorder="1"/>
    <xf numFmtId="14" fontId="0" fillId="0" borderId="0" xfId="0" applyNumberFormat="1" applyAlignment="1"/>
    <xf numFmtId="1" fontId="0" fillId="0" borderId="1" xfId="0" applyNumberFormat="1" applyFill="1" applyBorder="1"/>
    <xf numFmtId="9" fontId="0" fillId="0" borderId="1" xfId="0" applyNumberFormat="1" applyFill="1" applyBorder="1"/>
    <xf numFmtId="165" fontId="0" fillId="0" borderId="1" xfId="0" applyNumberFormat="1" applyBorder="1" applyAlignment="1">
      <alignment horizontal="left"/>
    </xf>
    <xf numFmtId="0" fontId="0" fillId="0" borderId="0" xfId="0" applyFill="1"/>
    <xf numFmtId="165" fontId="0" fillId="0" borderId="1" xfId="0" quotePrefix="1" applyNumberFormat="1" applyFill="1" applyBorder="1" applyAlignment="1">
      <alignment horizontal="left"/>
    </xf>
    <xf numFmtId="0" fontId="0" fillId="0" borderId="0" xfId="0" applyFill="1" applyAlignment="1">
      <alignment horizontal="left" wrapText="1"/>
    </xf>
    <xf numFmtId="9" fontId="0" fillId="0" borderId="0" xfId="0" applyNumberFormat="1" applyFill="1" applyBorder="1" applyAlignment="1">
      <alignment horizontal="left"/>
    </xf>
    <xf numFmtId="0" fontId="0" fillId="0" borderId="1" xfId="0" applyFill="1" applyBorder="1"/>
    <xf numFmtId="0" fontId="0" fillId="0" borderId="1" xfId="0" applyBorder="1" applyAlignment="1">
      <alignment horizontal="left"/>
    </xf>
    <xf numFmtId="22" fontId="0" fillId="0" borderId="1" xfId="0" applyNumberFormat="1" applyBorder="1" applyAlignment="1">
      <alignment horizontal="left"/>
    </xf>
    <xf numFmtId="0" fontId="0" fillId="0" borderId="0" xfId="0" applyFill="1" applyBorder="1"/>
    <xf numFmtId="22" fontId="0" fillId="0" borderId="1" xfId="0" applyNumberFormat="1" applyBorder="1"/>
    <xf numFmtId="2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165" fontId="0" fillId="0" borderId="0" xfId="0" applyNumberFormat="1" applyBorder="1"/>
    <xf numFmtId="0" fontId="0" fillId="0" borderId="0" xfId="0" applyBorder="1"/>
    <xf numFmtId="0" fontId="0" fillId="0" borderId="1" xfId="0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14" fontId="0" fillId="0" borderId="0" xfId="0" applyNumberFormat="1" applyBorder="1"/>
    <xf numFmtId="0" fontId="3" fillId="0" borderId="0" xfId="0" applyFont="1" applyBorder="1"/>
    <xf numFmtId="0" fontId="3" fillId="0" borderId="0" xfId="0" applyFont="1" applyFill="1" applyBorder="1" applyAlignment="1"/>
    <xf numFmtId="0" fontId="3" fillId="0" borderId="0" xfId="0" applyFont="1" applyFill="1" applyBorder="1"/>
    <xf numFmtId="0" fontId="0" fillId="0" borderId="0" xfId="0" applyFill="1" applyBorder="1" applyAlignment="1"/>
    <xf numFmtId="14" fontId="2" fillId="0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/>
    <xf numFmtId="14" fontId="2" fillId="0" borderId="0" xfId="0" applyNumberFormat="1" applyFont="1" applyFill="1" applyBorder="1" applyAlignment="1">
      <alignment horizontal="center" vertical="center" wrapText="1"/>
    </xf>
    <xf numFmtId="0" fontId="0" fillId="2" borderId="1" xfId="0" applyFill="1" applyBorder="1"/>
    <xf numFmtId="14" fontId="0" fillId="0" borderId="2" xfId="0" applyNumberFormat="1" applyBorder="1"/>
    <xf numFmtId="173" fontId="2" fillId="0" borderId="1" xfId="0" applyNumberFormat="1" applyFont="1" applyFill="1" applyBorder="1" applyAlignment="1">
      <alignment horizontal="left" vertical="center"/>
    </xf>
    <xf numFmtId="173" fontId="0" fillId="0" borderId="1" xfId="0" applyNumberFormat="1" applyFill="1" applyBorder="1" applyAlignment="1">
      <alignment horizontal="left"/>
    </xf>
    <xf numFmtId="173" fontId="0" fillId="0" borderId="1" xfId="0" quotePrefix="1" applyNumberFormat="1" applyFill="1" applyBorder="1" applyAlignment="1">
      <alignment horizontal="left"/>
    </xf>
    <xf numFmtId="173" fontId="0" fillId="0" borderId="0" xfId="0" applyNumberFormat="1" applyFill="1" applyAlignment="1">
      <alignment horizontal="left"/>
    </xf>
    <xf numFmtId="0" fontId="2" fillId="0" borderId="1" xfId="0" applyNumberFormat="1" applyFon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0" fillId="0" borderId="0" xfId="0" applyNumberFormat="1" applyFill="1" applyAlignment="1">
      <alignment horizontal="left"/>
    </xf>
  </cellXfs>
  <cellStyles count="2">
    <cellStyle name="Normal" xfId="0" builtinId="0"/>
    <cellStyle name="Percent" xfId="1" builtinId="5"/>
  </cellStyles>
  <dxfs count="69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5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6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7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5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7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8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9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30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101-26</v>
          </cell>
        </row>
      </sheetData>
      <sheetData sheetId="1"/>
      <sheetData sheetId="2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227-25</v>
          </cell>
          <cell r="D81">
            <v>1230000</v>
          </cell>
          <cell r="E81" t="str">
            <v>YANAI</v>
          </cell>
        </row>
        <row r="82">
          <cell r="C82" t="str">
            <v>131-26</v>
          </cell>
          <cell r="D82">
            <v>1260000</v>
          </cell>
          <cell r="E82" t="str">
            <v>ACKERMAN</v>
          </cell>
        </row>
        <row r="83">
          <cell r="C83" t="str">
            <v>142-26</v>
          </cell>
          <cell r="D83">
            <v>1540000</v>
          </cell>
          <cell r="E83" t="str">
            <v>HELVIE</v>
          </cell>
        </row>
        <row r="84">
          <cell r="C84" t="str">
            <v>156-26</v>
          </cell>
          <cell r="D84">
            <v>1110000</v>
          </cell>
          <cell r="E84" t="str">
            <v>STARKS</v>
          </cell>
        </row>
        <row r="85">
          <cell r="C85" t="str">
            <v>118-26</v>
          </cell>
          <cell r="D85">
            <v>1260000</v>
          </cell>
          <cell r="E85" t="str">
            <v>ACKERMAN</v>
          </cell>
        </row>
        <row r="86">
          <cell r="C86" t="str">
            <v>164-26</v>
          </cell>
          <cell r="D86">
            <v>1120000</v>
          </cell>
          <cell r="E86" t="str">
            <v>LOCKLEAR</v>
          </cell>
        </row>
        <row r="87">
          <cell r="C87" t="str">
            <v>166-26</v>
          </cell>
          <cell r="D87">
            <v>940000</v>
          </cell>
          <cell r="E87" t="str">
            <v>BONDS</v>
          </cell>
        </row>
        <row r="88">
          <cell r="C88" t="str">
            <v>185-26</v>
          </cell>
          <cell r="D88">
            <v>950000</v>
          </cell>
          <cell r="E88" t="str">
            <v>WEBSTER</v>
          </cell>
        </row>
        <row r="89">
          <cell r="C89" t="str">
            <v>189-26</v>
          </cell>
          <cell r="D89">
            <v>880000</v>
          </cell>
          <cell r="E89" t="str">
            <v>STEWART</v>
          </cell>
        </row>
        <row r="90">
          <cell r="C90" t="str">
            <v>184-26</v>
          </cell>
          <cell r="D90">
            <v>1520000</v>
          </cell>
          <cell r="E90" t="str">
            <v>MAYBERRY</v>
          </cell>
        </row>
        <row r="91">
          <cell r="C91" t="str">
            <v>803-26</v>
          </cell>
          <cell r="D91">
            <v>1300000</v>
          </cell>
          <cell r="E91" t="str">
            <v>LEVIN</v>
          </cell>
        </row>
        <row r="92">
          <cell r="C92" t="str">
            <v>193-26</v>
          </cell>
          <cell r="D92">
            <v>940000</v>
          </cell>
          <cell r="E92" t="str">
            <v>BONDS</v>
          </cell>
        </row>
        <row r="93">
          <cell r="C93" t="str">
            <v>102-26</v>
          </cell>
          <cell r="D93">
            <v>1540000</v>
          </cell>
          <cell r="E93" t="str">
            <v>HELVIE</v>
          </cell>
        </row>
        <row r="94">
          <cell r="C94" t="str">
            <v>204-26</v>
          </cell>
          <cell r="D94">
            <v>880000</v>
          </cell>
          <cell r="E94" t="str">
            <v>STEWART</v>
          </cell>
        </row>
        <row r="95">
          <cell r="C95" t="str">
            <v>101-26</v>
          </cell>
          <cell r="D95">
            <v>1540000</v>
          </cell>
          <cell r="E95" t="str">
            <v>HELVIE</v>
          </cell>
        </row>
        <row r="96">
          <cell r="C96" t="str">
            <v>221-26</v>
          </cell>
          <cell r="D96">
            <v>1180000</v>
          </cell>
          <cell r="E96" t="str">
            <v>LEVERE</v>
          </cell>
        </row>
        <row r="97">
          <cell r="C97" t="str">
            <v>240-25</v>
          </cell>
          <cell r="D97">
            <v>1810000</v>
          </cell>
          <cell r="E97" t="str">
            <v>NEWELL</v>
          </cell>
        </row>
        <row r="98">
          <cell r="C98" t="str">
            <v>810-26</v>
          </cell>
          <cell r="D98">
            <v>1110000</v>
          </cell>
          <cell r="E98" t="str">
            <v>STARKS</v>
          </cell>
        </row>
        <row r="99">
          <cell r="C99" t="str">
            <v>238-25</v>
          </cell>
          <cell r="D99">
            <v>1180000</v>
          </cell>
          <cell r="E99" t="str">
            <v>LEVERE</v>
          </cell>
        </row>
        <row r="100">
          <cell r="C100" t="str">
            <v>147-26</v>
          </cell>
          <cell r="D100">
            <v>1990000</v>
          </cell>
          <cell r="E100" t="str">
            <v>DAVIS</v>
          </cell>
        </row>
        <row r="101">
          <cell r="C101" t="str">
            <v>239-25</v>
          </cell>
          <cell r="D101">
            <v>1810000</v>
          </cell>
          <cell r="E101" t="str">
            <v>NEWELL</v>
          </cell>
        </row>
        <row r="102">
          <cell r="C102" t="str">
            <v>148-26</v>
          </cell>
          <cell r="D102">
            <v>1990000</v>
          </cell>
          <cell r="E102" t="str">
            <v>DAVIS</v>
          </cell>
        </row>
        <row r="103">
          <cell r="C103" t="str">
            <v>237-25</v>
          </cell>
          <cell r="D103">
            <v>1180000</v>
          </cell>
          <cell r="E103" t="str">
            <v>LEVERE</v>
          </cell>
        </row>
        <row r="104">
          <cell r="C104" t="str">
            <v>817-26</v>
          </cell>
          <cell r="D104">
            <v>1300000</v>
          </cell>
          <cell r="E104" t="str">
            <v>LEVIN</v>
          </cell>
        </row>
        <row r="105">
          <cell r="C105" t="str">
            <v>871-25</v>
          </cell>
          <cell r="D105">
            <v>1740000</v>
          </cell>
          <cell r="E105" t="str">
            <v>STORY</v>
          </cell>
        </row>
        <row r="106">
          <cell r="C106" t="str">
            <v>161-26</v>
          </cell>
          <cell r="D106">
            <v>880000</v>
          </cell>
          <cell r="E106" t="str">
            <v>STEWART</v>
          </cell>
        </row>
        <row r="107">
          <cell r="C107" t="str">
            <v>235-25</v>
          </cell>
          <cell r="D107">
            <v>1230000</v>
          </cell>
          <cell r="E107" t="str">
            <v>YANAI</v>
          </cell>
        </row>
        <row r="108">
          <cell r="C108" t="str">
            <v>167-26</v>
          </cell>
          <cell r="D108">
            <v>1140000</v>
          </cell>
          <cell r="E108" t="str">
            <v>YOUNG</v>
          </cell>
        </row>
        <row r="109">
          <cell r="C109" t="str">
            <v>867-25</v>
          </cell>
          <cell r="D109">
            <v>1290000</v>
          </cell>
          <cell r="E109" t="str">
            <v>COOLAHAN</v>
          </cell>
        </row>
        <row r="110">
          <cell r="C110" t="str">
            <v>823-26</v>
          </cell>
          <cell r="D110">
            <v>1770000</v>
          </cell>
          <cell r="E110" t="str">
            <v>BRUDER</v>
          </cell>
        </row>
        <row r="111">
          <cell r="C111" t="str">
            <v>231-25</v>
          </cell>
          <cell r="D111">
            <v>1810000</v>
          </cell>
          <cell r="E111" t="str">
            <v>NEWELL</v>
          </cell>
        </row>
        <row r="112">
          <cell r="C112" t="str">
            <v>835-26</v>
          </cell>
          <cell r="D112">
            <v>1480000</v>
          </cell>
          <cell r="E112" t="str">
            <v>STURGEON</v>
          </cell>
        </row>
        <row r="113">
          <cell r="C113" t="str">
            <v>228-25</v>
          </cell>
          <cell r="D113">
            <v>1230000</v>
          </cell>
          <cell r="E113" t="str">
            <v>YANAI</v>
          </cell>
        </row>
        <row r="114">
          <cell r="C114" t="str">
            <v>213-26</v>
          </cell>
          <cell r="D114">
            <v>1290000</v>
          </cell>
          <cell r="E114" t="str">
            <v>COOLAHAN</v>
          </cell>
        </row>
        <row r="115">
          <cell r="C115" t="str">
            <v>863-25</v>
          </cell>
          <cell r="D115">
            <v>1770000</v>
          </cell>
          <cell r="E115" t="str">
            <v>BRUDER</v>
          </cell>
        </row>
        <row r="116">
          <cell r="C116" t="str">
            <v>906-26</v>
          </cell>
          <cell r="D116">
            <v>1480000</v>
          </cell>
          <cell r="E116" t="str">
            <v>STURGEON</v>
          </cell>
        </row>
        <row r="117">
          <cell r="C117" t="str">
            <v>862-25</v>
          </cell>
          <cell r="D117">
            <v>1740000</v>
          </cell>
          <cell r="E117" t="str">
            <v>STORY</v>
          </cell>
        </row>
        <row r="118">
          <cell r="C118" t="str">
            <v>222-26</v>
          </cell>
          <cell r="D118">
            <v>1180000</v>
          </cell>
          <cell r="E118" t="str">
            <v>LEVERE</v>
          </cell>
        </row>
        <row r="119">
          <cell r="C119" t="str">
            <v>131-27</v>
          </cell>
          <cell r="D119">
            <v>1260000</v>
          </cell>
          <cell r="E119" t="str">
            <v>ACKERMAN</v>
          </cell>
        </row>
        <row r="120">
          <cell r="C120" t="str">
            <v>222-26</v>
          </cell>
          <cell r="D120">
            <v>1180000</v>
          </cell>
          <cell r="E120" t="str">
            <v>LEVERE</v>
          </cell>
        </row>
        <row r="121">
          <cell r="C121" t="str">
            <v>807-27</v>
          </cell>
          <cell r="D121">
            <v>1100000</v>
          </cell>
          <cell r="E121" t="str">
            <v>GEBRETEKLE</v>
          </cell>
        </row>
        <row r="122">
          <cell r="C122" t="str">
            <v>227-26</v>
          </cell>
          <cell r="D122">
            <v>1800000</v>
          </cell>
          <cell r="E122" t="str">
            <v>CHANDLER</v>
          </cell>
        </row>
        <row r="123">
          <cell r="C123" t="str">
            <v>805-27</v>
          </cell>
          <cell r="D123">
            <v>1110000</v>
          </cell>
          <cell r="E123" t="str">
            <v>STARKS</v>
          </cell>
        </row>
        <row r="124">
          <cell r="C124" t="str">
            <v>228-26</v>
          </cell>
          <cell r="D124">
            <v>1800000</v>
          </cell>
          <cell r="E124" t="str">
            <v>CHANDLER</v>
          </cell>
        </row>
        <row r="125">
          <cell r="C125" t="str">
            <v>119-27</v>
          </cell>
          <cell r="D125">
            <v>1360000</v>
          </cell>
          <cell r="E125" t="str">
            <v>SANTIZO</v>
          </cell>
        </row>
        <row r="126">
          <cell r="C126" t="str">
            <v>231-26</v>
          </cell>
          <cell r="D126">
            <v>1290000</v>
          </cell>
          <cell r="E126" t="str">
            <v>COOLAHAN</v>
          </cell>
        </row>
        <row r="127">
          <cell r="C127" t="str">
            <v>311-26</v>
          </cell>
          <cell r="D127">
            <v>1290000</v>
          </cell>
          <cell r="E127" t="str">
            <v>COOLAHAN</v>
          </cell>
        </row>
        <row r="128">
          <cell r="C128" t="str">
            <v>233-26</v>
          </cell>
          <cell r="D128">
            <v>1230000</v>
          </cell>
          <cell r="E128" t="str">
            <v>YANAI</v>
          </cell>
        </row>
        <row r="129">
          <cell r="C129" t="str">
            <v>242-26</v>
          </cell>
          <cell r="D129">
            <v>1230000</v>
          </cell>
          <cell r="E129" t="str">
            <v>YANAI</v>
          </cell>
        </row>
        <row r="130">
          <cell r="C130" t="str">
            <v>847-26</v>
          </cell>
          <cell r="D130">
            <v>1480000</v>
          </cell>
          <cell r="E130" t="str">
            <v>STURGEON</v>
          </cell>
        </row>
        <row r="131">
          <cell r="C131" t="str">
            <v>244-26</v>
          </cell>
          <cell r="D131">
            <v>1800000</v>
          </cell>
          <cell r="E131" t="str">
            <v>CHANDLER</v>
          </cell>
        </row>
        <row r="132">
          <cell r="C132" t="str">
            <v>232-26</v>
          </cell>
          <cell r="D132">
            <v>1290000</v>
          </cell>
          <cell r="E132" t="str">
            <v>COOLAHAN</v>
          </cell>
        </row>
        <row r="133">
          <cell r="C133" t="str">
            <v>803-27</v>
          </cell>
          <cell r="D133">
            <v>1100000</v>
          </cell>
          <cell r="E133" t="str">
            <v>GEBRETEKLE</v>
          </cell>
        </row>
        <row r="134">
          <cell r="C134" t="str">
            <v>234-26</v>
          </cell>
          <cell r="D134">
            <v>1230000</v>
          </cell>
          <cell r="E134" t="str">
            <v>YANAI</v>
          </cell>
        </row>
        <row r="135">
          <cell r="C135" t="str">
            <v>800-27</v>
          </cell>
          <cell r="D135">
            <v>1110000</v>
          </cell>
          <cell r="E135" t="str">
            <v>STARKS</v>
          </cell>
        </row>
        <row r="136">
          <cell r="C136" t="str">
            <v>236-26</v>
          </cell>
          <cell r="D136">
            <v>1800000</v>
          </cell>
          <cell r="E136" t="str">
            <v>CHANDLER</v>
          </cell>
        </row>
        <row r="137">
          <cell r="C137" t="str">
            <v>104-27</v>
          </cell>
          <cell r="D137">
            <v>1260000</v>
          </cell>
          <cell r="E137" t="str">
            <v>ACKERMAN</v>
          </cell>
        </row>
        <row r="138">
          <cell r="C138" t="str">
            <v>240-26</v>
          </cell>
          <cell r="D138">
            <v>1290000</v>
          </cell>
          <cell r="E138" t="str">
            <v>COOLAHAN</v>
          </cell>
        </row>
        <row r="139">
          <cell r="C139" t="str">
            <v>302-27</v>
          </cell>
          <cell r="D139">
            <v>2010000</v>
          </cell>
          <cell r="E139" t="str">
            <v>MAELZER</v>
          </cell>
        </row>
        <row r="140">
          <cell r="C140" t="str">
            <v>243-26</v>
          </cell>
          <cell r="D140">
            <v>1800000</v>
          </cell>
          <cell r="E140" t="str">
            <v>CHANDLER</v>
          </cell>
        </row>
        <row r="141">
          <cell r="C141" t="str">
            <v>313-26</v>
          </cell>
          <cell r="D141">
            <v>1230000</v>
          </cell>
          <cell r="E141" t="str">
            <v>YANAI</v>
          </cell>
        </row>
        <row r="142">
          <cell r="C142" t="str">
            <v>309-26</v>
          </cell>
          <cell r="D142">
            <v>1180000</v>
          </cell>
          <cell r="E142" t="str">
            <v>LEVERE</v>
          </cell>
        </row>
        <row r="143">
          <cell r="C143" t="str">
            <v>129-27</v>
          </cell>
          <cell r="D143">
            <v>1190000</v>
          </cell>
          <cell r="E143" t="str">
            <v>BRANNON</v>
          </cell>
        </row>
        <row r="144">
          <cell r="C144" t="str">
            <v>304-27</v>
          </cell>
          <cell r="D144">
            <v>1260000</v>
          </cell>
          <cell r="E144" t="str">
            <v>ACKERMAN</v>
          </cell>
        </row>
        <row r="145">
          <cell r="C145" t="str">
            <v>129-27</v>
          </cell>
          <cell r="D145">
            <v>1190000</v>
          </cell>
          <cell r="E145" t="str">
            <v>BRANNON</v>
          </cell>
        </row>
        <row r="146">
          <cell r="C146" t="str">
            <v>103-27</v>
          </cell>
          <cell r="D146">
            <v>1260000</v>
          </cell>
          <cell r="E146" t="str">
            <v>ACKERMAN</v>
          </cell>
        </row>
        <row r="147">
          <cell r="C147" t="str">
            <v>120-27</v>
          </cell>
          <cell r="D147">
            <v>1360000</v>
          </cell>
          <cell r="E147" t="str">
            <v>SANTIZO</v>
          </cell>
        </row>
        <row r="148">
          <cell r="C148" t="str">
            <v>105-27</v>
          </cell>
          <cell r="D148">
            <v>1360000</v>
          </cell>
          <cell r="E148" t="str">
            <v>SANTIZO</v>
          </cell>
        </row>
        <row r="149">
          <cell r="C149" t="str">
            <v>121-27</v>
          </cell>
          <cell r="D149">
            <v>1090000</v>
          </cell>
          <cell r="E149" t="str">
            <v>SPECTOR</v>
          </cell>
        </row>
        <row r="150">
          <cell r="C150" t="str">
            <v>111-27</v>
          </cell>
          <cell r="D150">
            <v>900000</v>
          </cell>
          <cell r="E150" t="str">
            <v>ROCHA</v>
          </cell>
        </row>
        <row r="151">
          <cell r="C151" t="str">
            <v>115-27</v>
          </cell>
          <cell r="D151">
            <v>1190000</v>
          </cell>
          <cell r="E151" t="str">
            <v>BRANNON</v>
          </cell>
        </row>
        <row r="152">
          <cell r="C152" t="str">
            <v>116-27</v>
          </cell>
          <cell r="D152">
            <v>1190000</v>
          </cell>
          <cell r="E152" t="str">
            <v>BRANNON</v>
          </cell>
        </row>
        <row r="153">
          <cell r="C153" t="str">
            <v>237-26</v>
          </cell>
          <cell r="D153">
            <v>1180000</v>
          </cell>
          <cell r="E153" t="str">
            <v>LEVERE</v>
          </cell>
        </row>
        <row r="154">
          <cell r="C154" t="str">
            <v>123-27</v>
          </cell>
          <cell r="D154">
            <v>1460000</v>
          </cell>
          <cell r="E154" t="str">
            <v>NELSON</v>
          </cell>
        </row>
        <row r="155">
          <cell r="C155" t="str">
            <v>235-26</v>
          </cell>
          <cell r="D155">
            <v>1800000</v>
          </cell>
          <cell r="E155" t="str">
            <v>CHANDLER</v>
          </cell>
        </row>
        <row r="156">
          <cell r="C156" t="str">
            <v>131-27</v>
          </cell>
          <cell r="D156">
            <v>1260000</v>
          </cell>
          <cell r="E156" t="str">
            <v>ACKERMAN</v>
          </cell>
        </row>
        <row r="157">
          <cell r="C157" t="str">
            <v>226-26</v>
          </cell>
          <cell r="D157">
            <v>1230000</v>
          </cell>
          <cell r="E157" t="str">
            <v>YANAI</v>
          </cell>
        </row>
        <row r="158">
          <cell r="C158" t="str">
            <v>809-27</v>
          </cell>
          <cell r="D158">
            <v>1110000</v>
          </cell>
          <cell r="E158" t="str">
            <v>STARKS</v>
          </cell>
        </row>
        <row r="159">
          <cell r="C159" t="str">
            <v>224-26</v>
          </cell>
          <cell r="D159">
            <v>1290000</v>
          </cell>
          <cell r="E159" t="str">
            <v>COOLAHAN</v>
          </cell>
        </row>
        <row r="160">
          <cell r="C160" t="str">
            <v>225-25</v>
          </cell>
          <cell r="D160">
            <v>1800000</v>
          </cell>
          <cell r="E160" t="str">
            <v>CHANDLER</v>
          </cell>
        </row>
        <row r="161">
          <cell r="C161" t="str">
            <v>225-26</v>
          </cell>
          <cell r="D161">
            <v>1230000</v>
          </cell>
          <cell r="E161" t="str">
            <v>YANAI</v>
          </cell>
        </row>
        <row r="162">
          <cell r="C162" t="str">
            <v>857-25</v>
          </cell>
          <cell r="D162">
            <v>1770000</v>
          </cell>
          <cell r="E162" t="str">
            <v>BRUDER</v>
          </cell>
        </row>
        <row r="163">
          <cell r="C163" t="str">
            <v>220-26</v>
          </cell>
          <cell r="D163">
            <v>1800000</v>
          </cell>
          <cell r="E163" t="str">
            <v>CHANDLER</v>
          </cell>
        </row>
        <row r="164">
          <cell r="C164" t="str">
            <v>858-25</v>
          </cell>
          <cell r="D164">
            <v>1290000</v>
          </cell>
          <cell r="E164" t="str">
            <v>COOLAHAN</v>
          </cell>
        </row>
        <row r="165">
          <cell r="C165" t="str">
            <v>223-26</v>
          </cell>
          <cell r="D165">
            <v>1290000</v>
          </cell>
          <cell r="E165" t="str">
            <v>COOLAHAN</v>
          </cell>
        </row>
        <row r="166">
          <cell r="C166" t="str">
            <v>859-25</v>
          </cell>
          <cell r="D166">
            <v>1740000</v>
          </cell>
          <cell r="E166" t="str">
            <v>STORY</v>
          </cell>
        </row>
        <row r="167">
          <cell r="C167" t="str">
            <v>218-26</v>
          </cell>
          <cell r="D167">
            <v>1780000</v>
          </cell>
          <cell r="E167" t="str">
            <v>DE LA ROSA</v>
          </cell>
        </row>
        <row r="168">
          <cell r="C168" t="str">
            <v>860-25</v>
          </cell>
          <cell r="D168">
            <v>1770000</v>
          </cell>
          <cell r="E168" t="str">
            <v>BRUDER</v>
          </cell>
        </row>
        <row r="169">
          <cell r="C169" t="str">
            <v>216-26</v>
          </cell>
          <cell r="D169">
            <v>950000</v>
          </cell>
          <cell r="E169" t="str">
            <v>WEBSTER</v>
          </cell>
        </row>
        <row r="170">
          <cell r="C170" t="str">
            <v>866-25</v>
          </cell>
          <cell r="D170">
            <v>1770000</v>
          </cell>
          <cell r="E170" t="str">
            <v>BRUDER</v>
          </cell>
        </row>
        <row r="171">
          <cell r="C171" t="str">
            <v>214-26</v>
          </cell>
          <cell r="D171">
            <v>1290000</v>
          </cell>
          <cell r="E171" t="str">
            <v>COOLAHAN</v>
          </cell>
        </row>
        <row r="172">
          <cell r="C172" t="str">
            <v>870-25</v>
          </cell>
          <cell r="D172">
            <v>1290000</v>
          </cell>
          <cell r="E172" t="str">
            <v>COOLAHAN</v>
          </cell>
        </row>
        <row r="173">
          <cell r="C173" t="str">
            <v>839-26</v>
          </cell>
          <cell r="D173">
            <v>1770000</v>
          </cell>
          <cell r="E173" t="str">
            <v>BRUDER</v>
          </cell>
        </row>
        <row r="174">
          <cell r="C174" t="str">
            <v>905-25</v>
          </cell>
          <cell r="D174">
            <v>1290000</v>
          </cell>
          <cell r="E174" t="str">
            <v>COOLAHAN</v>
          </cell>
        </row>
        <row r="175">
          <cell r="C175" t="str">
            <v>210-26</v>
          </cell>
          <cell r="D175">
            <v>1180000</v>
          </cell>
          <cell r="E175" t="str">
            <v>LEVERE</v>
          </cell>
        </row>
        <row r="176">
          <cell r="C176" t="str">
            <v>243-25</v>
          </cell>
          <cell r="D176">
            <v>1230000</v>
          </cell>
          <cell r="E176" t="str">
            <v>YANAI</v>
          </cell>
        </row>
        <row r="177">
          <cell r="C177" t="str">
            <v>210-26</v>
          </cell>
          <cell r="D177">
            <v>1180000</v>
          </cell>
          <cell r="E177" t="str">
            <v>LEVERE</v>
          </cell>
        </row>
        <row r="178">
          <cell r="C178" t="str">
            <v>103-26</v>
          </cell>
          <cell r="D178">
            <v>1260000</v>
          </cell>
          <cell r="E178" t="str">
            <v>ACKERMAN</v>
          </cell>
        </row>
        <row r="179">
          <cell r="C179" t="str">
            <v>215-26</v>
          </cell>
          <cell r="D179">
            <v>950000</v>
          </cell>
          <cell r="E179" t="str">
            <v>WEBSTER</v>
          </cell>
        </row>
        <row r="180">
          <cell r="C180" t="str">
            <v>109-26</v>
          </cell>
          <cell r="D180">
            <v>1750000</v>
          </cell>
          <cell r="E180" t="str">
            <v>REBOLETTI</v>
          </cell>
        </row>
        <row r="181">
          <cell r="C181" t="str">
            <v>215-26</v>
          </cell>
          <cell r="D181">
            <v>950000</v>
          </cell>
          <cell r="E181" t="str">
            <v>WEBSTER</v>
          </cell>
        </row>
        <row r="182">
          <cell r="C182" t="str">
            <v>111-26</v>
          </cell>
          <cell r="D182">
            <v>1100000</v>
          </cell>
          <cell r="E182" t="str">
            <v>GEBRETEKLE</v>
          </cell>
        </row>
        <row r="183">
          <cell r="C183" t="str">
            <v>208-26</v>
          </cell>
          <cell r="D183">
            <v>940000</v>
          </cell>
          <cell r="E183" t="str">
            <v>BONDS</v>
          </cell>
        </row>
        <row r="184">
          <cell r="C184" t="str">
            <v>115-26</v>
          </cell>
          <cell r="D184">
            <v>1240000</v>
          </cell>
          <cell r="E184" t="str">
            <v>GRASTON</v>
          </cell>
        </row>
        <row r="185">
          <cell r="C185" t="str">
            <v>832-26</v>
          </cell>
          <cell r="D185">
            <v>1480000</v>
          </cell>
          <cell r="E185" t="str">
            <v>STURGEON</v>
          </cell>
        </row>
        <row r="186">
          <cell r="C186" t="str">
            <v>112-26</v>
          </cell>
          <cell r="D186">
            <v>1100000</v>
          </cell>
          <cell r="E186" t="str">
            <v>GEBRETEKLE</v>
          </cell>
        </row>
        <row r="187">
          <cell r="C187" t="str">
            <v>202-26</v>
          </cell>
          <cell r="D187">
            <v>1280000</v>
          </cell>
          <cell r="E187" t="str">
            <v>BARTLETT</v>
          </cell>
        </row>
        <row r="188">
          <cell r="C188" t="str">
            <v>121-26</v>
          </cell>
          <cell r="D188">
            <v>1090000</v>
          </cell>
          <cell r="E188" t="str">
            <v>SPECTOR</v>
          </cell>
        </row>
        <row r="189">
          <cell r="C189" t="str">
            <v>205-26</v>
          </cell>
          <cell r="D189">
            <v>1120000</v>
          </cell>
          <cell r="E189" t="str">
            <v>LOCKLEAR</v>
          </cell>
        </row>
        <row r="190">
          <cell r="C190" t="str">
            <v>118-26</v>
          </cell>
          <cell r="D190">
            <v>1260000</v>
          </cell>
          <cell r="E190" t="str">
            <v>ACKERMAN</v>
          </cell>
        </row>
        <row r="191">
          <cell r="C191" t="str">
            <v>196-26</v>
          </cell>
          <cell r="D191">
            <v>1140000</v>
          </cell>
          <cell r="E191" t="str">
            <v>YOUNG</v>
          </cell>
        </row>
        <row r="192">
          <cell r="C192" t="str">
            <v>118-26</v>
          </cell>
          <cell r="D192">
            <v>1260000</v>
          </cell>
          <cell r="E192" t="str">
            <v>ACKERMAN</v>
          </cell>
        </row>
        <row r="193">
          <cell r="C193" t="str">
            <v>192-26</v>
          </cell>
          <cell r="D193">
            <v>1120000</v>
          </cell>
          <cell r="E193" t="str">
            <v>LOCKLEAR</v>
          </cell>
        </row>
        <row r="194">
          <cell r="C194" t="str">
            <v>122-26</v>
          </cell>
          <cell r="D194">
            <v>1090000</v>
          </cell>
          <cell r="E194" t="str">
            <v>SPECTOR</v>
          </cell>
        </row>
        <row r="195">
          <cell r="C195" t="str">
            <v>201-26</v>
          </cell>
          <cell r="D195">
            <v>1280000</v>
          </cell>
          <cell r="E195" t="str">
            <v>BARTLETT</v>
          </cell>
        </row>
        <row r="196">
          <cell r="C196" t="str">
            <v>132-26</v>
          </cell>
          <cell r="D196">
            <v>1260000</v>
          </cell>
          <cell r="E196" t="str">
            <v>ACKERMAN</v>
          </cell>
        </row>
        <row r="197">
          <cell r="C197" t="str">
            <v>194-26</v>
          </cell>
          <cell r="D197">
            <v>940000</v>
          </cell>
          <cell r="E197" t="str">
            <v>BONDS</v>
          </cell>
        </row>
        <row r="198">
          <cell r="C198" t="str">
            <v>132-26</v>
          </cell>
          <cell r="D198">
            <v>1260000</v>
          </cell>
          <cell r="E198" t="str">
            <v>ACKERMAN</v>
          </cell>
        </row>
        <row r="199">
          <cell r="C199" t="str">
            <v>192-26</v>
          </cell>
          <cell r="D199">
            <v>1120000</v>
          </cell>
          <cell r="E199" t="str">
            <v>LOCKLEAR</v>
          </cell>
        </row>
        <row r="200">
          <cell r="C200" t="str">
            <v>139-26</v>
          </cell>
          <cell r="D200">
            <v>1100000</v>
          </cell>
          <cell r="E200" t="str">
            <v>GEBRETEKLE</v>
          </cell>
        </row>
        <row r="201">
          <cell r="C201" t="str">
            <v>827-26</v>
          </cell>
          <cell r="D201">
            <v>1480000</v>
          </cell>
          <cell r="E201" t="str">
            <v>STURGEON</v>
          </cell>
        </row>
        <row r="202">
          <cell r="C202" t="str">
            <v>903-26</v>
          </cell>
          <cell r="D202">
            <v>1110000</v>
          </cell>
          <cell r="E202" t="str">
            <v>STARKS</v>
          </cell>
        </row>
        <row r="203">
          <cell r="C203" t="str">
            <v>825-26</v>
          </cell>
          <cell r="D203">
            <v>1770000</v>
          </cell>
          <cell r="E203" t="str">
            <v>BRUDER</v>
          </cell>
        </row>
        <row r="204">
          <cell r="C204" t="str">
            <v>143-26</v>
          </cell>
          <cell r="D204">
            <v>1240000</v>
          </cell>
          <cell r="E204" t="str">
            <v>GRASTON</v>
          </cell>
        </row>
        <row r="205">
          <cell r="C205" t="str">
            <v>191-26</v>
          </cell>
          <cell r="D205">
            <v>1120000</v>
          </cell>
          <cell r="E205" t="str">
            <v>LOCKLEAR</v>
          </cell>
        </row>
        <row r="206">
          <cell r="C206" t="str">
            <v>147-26</v>
          </cell>
          <cell r="D206">
            <v>1990000</v>
          </cell>
          <cell r="E206" t="str">
            <v>DAVIS</v>
          </cell>
        </row>
        <row r="207">
          <cell r="C207" t="str">
            <v>824-26</v>
          </cell>
          <cell r="D207">
            <v>1770000</v>
          </cell>
          <cell r="E207" t="str">
            <v>BRUDER</v>
          </cell>
        </row>
        <row r="208">
          <cell r="C208" t="str">
            <v>155-26</v>
          </cell>
          <cell r="D208">
            <v>1110000</v>
          </cell>
          <cell r="E208" t="str">
            <v>STARKS</v>
          </cell>
        </row>
        <row r="209">
          <cell r="C209" t="str">
            <v>179-26</v>
          </cell>
          <cell r="D209">
            <v>940000</v>
          </cell>
          <cell r="E209" t="str">
            <v>BONDS</v>
          </cell>
        </row>
        <row r="210">
          <cell r="C210" t="str">
            <v>159-26</v>
          </cell>
          <cell r="D210">
            <v>1280000</v>
          </cell>
          <cell r="E210" t="str">
            <v>BARTLETT</v>
          </cell>
        </row>
        <row r="211">
          <cell r="C211" t="str">
            <v>172-26</v>
          </cell>
          <cell r="D211">
            <v>950000</v>
          </cell>
          <cell r="E211" t="str">
            <v>WEBSTER</v>
          </cell>
        </row>
        <row r="212">
          <cell r="C212" t="str">
            <v>154-26</v>
          </cell>
          <cell r="D212">
            <v>1100000</v>
          </cell>
          <cell r="E212" t="str">
            <v>GEBRETEKLE</v>
          </cell>
        </row>
        <row r="213">
          <cell r="C213" t="str">
            <v>820-26</v>
          </cell>
          <cell r="D213">
            <v>1300000</v>
          </cell>
          <cell r="E213" t="str">
            <v>LEVIN</v>
          </cell>
        </row>
        <row r="214">
          <cell r="C214" t="str">
            <v>159-26</v>
          </cell>
          <cell r="D214">
            <v>1280000</v>
          </cell>
          <cell r="E214" t="str">
            <v>BARTLETT</v>
          </cell>
        </row>
        <row r="215">
          <cell r="C215" t="str">
            <v>171-26</v>
          </cell>
          <cell r="D215">
            <v>950000</v>
          </cell>
          <cell r="E215" t="str">
            <v>WEBSTER</v>
          </cell>
        </row>
        <row r="216">
          <cell r="C216" t="str">
            <v>818-26</v>
          </cell>
          <cell r="D216">
            <v>1300000</v>
          </cell>
          <cell r="E216" t="str">
            <v>LEVIN</v>
          </cell>
        </row>
        <row r="217">
          <cell r="C217" t="str">
            <v>169-26</v>
          </cell>
          <cell r="D217">
            <v>1520000</v>
          </cell>
          <cell r="E217" t="str">
            <v>MAYBERRY</v>
          </cell>
        </row>
        <row r="218">
          <cell r="C218" t="str">
            <v>168-26</v>
          </cell>
          <cell r="D218">
            <v>1140000</v>
          </cell>
          <cell r="E218" t="str">
            <v>YOUNG</v>
          </cell>
        </row>
        <row r="219">
          <cell r="C219" t="str">
            <v>165-26</v>
          </cell>
          <cell r="D219">
            <v>940000</v>
          </cell>
          <cell r="E219" t="str">
            <v>BONDS</v>
          </cell>
        </row>
        <row r="220">
          <cell r="C220" t="str">
            <v>179-26</v>
          </cell>
          <cell r="D220">
            <v>940000</v>
          </cell>
          <cell r="E220" t="str">
            <v>BONDS</v>
          </cell>
        </row>
        <row r="221">
          <cell r="C221" t="str">
            <v>154-26</v>
          </cell>
          <cell r="D221">
            <v>1100000</v>
          </cell>
          <cell r="E221" t="str">
            <v>GEBRETEKLE</v>
          </cell>
        </row>
        <row r="222">
          <cell r="C222" t="str">
            <v>174-26</v>
          </cell>
          <cell r="D222">
            <v>1280000</v>
          </cell>
          <cell r="E222" t="str">
            <v>BARTLETT</v>
          </cell>
        </row>
        <row r="223">
          <cell r="C223" t="str">
            <v>150-26</v>
          </cell>
          <cell r="D223">
            <v>1090000</v>
          </cell>
          <cell r="E223" t="str">
            <v>SPECTOR</v>
          </cell>
        </row>
        <row r="224">
          <cell r="C224" t="str">
            <v>182-26</v>
          </cell>
          <cell r="D224">
            <v>1140000</v>
          </cell>
          <cell r="E224" t="str">
            <v>YOUNG</v>
          </cell>
        </row>
        <row r="225">
          <cell r="C225" t="str">
            <v>155-26</v>
          </cell>
          <cell r="D225">
            <v>1110000</v>
          </cell>
          <cell r="E225" t="str">
            <v>STARKS</v>
          </cell>
        </row>
        <row r="226">
          <cell r="C226" t="str">
            <v>186-26</v>
          </cell>
          <cell r="D226">
            <v>950000</v>
          </cell>
          <cell r="E226" t="str">
            <v>WEBSTER</v>
          </cell>
        </row>
        <row r="227">
          <cell r="C227" t="str">
            <v>153-26</v>
          </cell>
          <cell r="D227">
            <v>1100000</v>
          </cell>
          <cell r="E227" t="str">
            <v>GEBRETEKLE</v>
          </cell>
        </row>
        <row r="228">
          <cell r="C228" t="str">
            <v>190-26</v>
          </cell>
          <cell r="D228">
            <v>880000</v>
          </cell>
          <cell r="E228" t="str">
            <v>STEWART</v>
          </cell>
        </row>
        <row r="229">
          <cell r="C229" t="str">
            <v>146-26</v>
          </cell>
          <cell r="D229">
            <v>1260000</v>
          </cell>
          <cell r="E229" t="str">
            <v>ACKERMAN</v>
          </cell>
        </row>
        <row r="230">
          <cell r="C230" t="str">
            <v>826-26</v>
          </cell>
          <cell r="D230">
            <v>1770000</v>
          </cell>
          <cell r="E230" t="str">
            <v>BRUDER</v>
          </cell>
        </row>
        <row r="231">
          <cell r="C231" t="str">
            <v>145-26</v>
          </cell>
          <cell r="D231">
            <v>1260000</v>
          </cell>
          <cell r="E231" t="str">
            <v>ACKERMAN</v>
          </cell>
        </row>
        <row r="232">
          <cell r="C232" t="str">
            <v>829-26</v>
          </cell>
          <cell r="D232">
            <v>1770000</v>
          </cell>
          <cell r="E232" t="str">
            <v>BRUDER</v>
          </cell>
        </row>
        <row r="233">
          <cell r="C233" t="str">
            <v>138-26</v>
          </cell>
          <cell r="D233">
            <v>1750000</v>
          </cell>
          <cell r="E233" t="str">
            <v>REBOLETTI</v>
          </cell>
        </row>
        <row r="234">
          <cell r="C234" t="str">
            <v>828-26</v>
          </cell>
          <cell r="D234">
            <v>1480000</v>
          </cell>
          <cell r="E234" t="str">
            <v>STURGEON</v>
          </cell>
        </row>
        <row r="235">
          <cell r="C235" t="str">
            <v>136-26</v>
          </cell>
          <cell r="D235">
            <v>1090000</v>
          </cell>
          <cell r="E235" t="str">
            <v>SPECTOR</v>
          </cell>
        </row>
        <row r="236">
          <cell r="C236" t="str">
            <v>831-26</v>
          </cell>
          <cell r="D236">
            <v>1480000</v>
          </cell>
          <cell r="E236" t="str">
            <v>STURGEON</v>
          </cell>
        </row>
        <row r="237">
          <cell r="C237" t="str">
            <v>132-26</v>
          </cell>
          <cell r="D237">
            <v>1260000</v>
          </cell>
          <cell r="E237" t="str">
            <v>ACKERMAN</v>
          </cell>
        </row>
        <row r="238">
          <cell r="C238" t="str">
            <v>200-26</v>
          </cell>
          <cell r="D238">
            <v>950000</v>
          </cell>
          <cell r="E238" t="str">
            <v>WEBSTER</v>
          </cell>
        </row>
        <row r="239">
          <cell r="C239" t="str">
            <v>132-26</v>
          </cell>
          <cell r="D239">
            <v>1260000</v>
          </cell>
          <cell r="E239" t="str">
            <v>ACKERMAN</v>
          </cell>
        </row>
        <row r="240">
          <cell r="C240" t="str">
            <v>209-26</v>
          </cell>
          <cell r="D240">
            <v>1180000</v>
          </cell>
          <cell r="E240" t="str">
            <v>LEVERE</v>
          </cell>
        </row>
        <row r="241">
          <cell r="C241" t="str">
            <v>811-26</v>
          </cell>
          <cell r="D241">
            <v>1300000</v>
          </cell>
          <cell r="E241" t="str">
            <v>LEVIN</v>
          </cell>
        </row>
        <row r="242">
          <cell r="C242" t="str">
            <v>211-26</v>
          </cell>
          <cell r="D242">
            <v>1140000</v>
          </cell>
          <cell r="E242" t="str">
            <v>YOUNG</v>
          </cell>
        </row>
        <row r="243">
          <cell r="C243" t="str">
            <v>130-26</v>
          </cell>
          <cell r="D243">
            <v>1240000</v>
          </cell>
          <cell r="E243" t="str">
            <v>GRASTON</v>
          </cell>
        </row>
        <row r="244">
          <cell r="C244" t="str">
            <v>834-26</v>
          </cell>
          <cell r="D244">
            <v>1770000</v>
          </cell>
          <cell r="E244" t="str">
            <v>BRUDER</v>
          </cell>
        </row>
        <row r="245">
          <cell r="C245" t="str">
            <v>135-26</v>
          </cell>
          <cell r="D245">
            <v>1090000</v>
          </cell>
          <cell r="E245" t="str">
            <v>SPECTOR</v>
          </cell>
        </row>
        <row r="246">
          <cell r="C246" t="str">
            <v>206-26</v>
          </cell>
          <cell r="D246">
            <v>1120000</v>
          </cell>
          <cell r="E246" t="str">
            <v>LOCKLEAR</v>
          </cell>
        </row>
        <row r="247">
          <cell r="C247" t="str">
            <v>128-26</v>
          </cell>
          <cell r="D247">
            <v>1540000</v>
          </cell>
          <cell r="E247" t="str">
            <v>HELVIE</v>
          </cell>
        </row>
        <row r="248">
          <cell r="C248" t="str">
            <v>212-26</v>
          </cell>
          <cell r="D248">
            <v>1140000</v>
          </cell>
          <cell r="E248" t="str">
            <v>YOUNG</v>
          </cell>
        </row>
        <row r="249">
          <cell r="C249" t="str">
            <v>133-26</v>
          </cell>
          <cell r="D249">
            <v>1990000</v>
          </cell>
          <cell r="E249" t="str">
            <v>DAVIS</v>
          </cell>
        </row>
        <row r="250">
          <cell r="C250" t="str">
            <v>219-26</v>
          </cell>
          <cell r="D250">
            <v>1800000</v>
          </cell>
          <cell r="E250" t="str">
            <v>CHANDLER</v>
          </cell>
        </row>
        <row r="251">
          <cell r="C251" t="str">
            <v>808-26</v>
          </cell>
          <cell r="D251">
            <v>1300000</v>
          </cell>
          <cell r="E251" t="str">
            <v>LEVIN</v>
          </cell>
        </row>
        <row r="252">
          <cell r="C252" t="str">
            <v>838-26</v>
          </cell>
          <cell r="D252">
            <v>1480000</v>
          </cell>
          <cell r="E252" t="str">
            <v>STURGEON</v>
          </cell>
        </row>
        <row r="253">
          <cell r="C253" t="str">
            <v>806-26</v>
          </cell>
          <cell r="D253">
            <v>1110000</v>
          </cell>
          <cell r="E253" t="str">
            <v>STARKS</v>
          </cell>
        </row>
        <row r="254">
          <cell r="C254" t="str">
            <v>840-26</v>
          </cell>
          <cell r="D254">
            <v>1770000</v>
          </cell>
          <cell r="E254" t="str">
            <v>BRUDER</v>
          </cell>
        </row>
        <row r="255">
          <cell r="C255" t="str">
            <v>120-26</v>
          </cell>
          <cell r="D255">
            <v>1990000</v>
          </cell>
          <cell r="E255" t="str">
            <v>DAVIS</v>
          </cell>
        </row>
        <row r="256">
          <cell r="C256" t="str">
            <v>229-26</v>
          </cell>
          <cell r="D256">
            <v>1180000</v>
          </cell>
          <cell r="E256" t="str">
            <v>LEVERE</v>
          </cell>
        </row>
        <row r="257">
          <cell r="C257" t="str">
            <v>805-26</v>
          </cell>
          <cell r="D257">
            <v>1110000</v>
          </cell>
          <cell r="E257" t="str">
            <v>STARKS</v>
          </cell>
        </row>
        <row r="258">
          <cell r="C258" t="str">
            <v>239-26</v>
          </cell>
          <cell r="D258">
            <v>1290000</v>
          </cell>
          <cell r="E258" t="str">
            <v>COOLAHAN</v>
          </cell>
        </row>
        <row r="259">
          <cell r="C259" t="str">
            <v>123-26</v>
          </cell>
          <cell r="D259">
            <v>1750000</v>
          </cell>
          <cell r="E259" t="str">
            <v>REBOLETTI</v>
          </cell>
        </row>
        <row r="260">
          <cell r="C260" t="str">
            <v>238-26</v>
          </cell>
          <cell r="D260">
            <v>1180000</v>
          </cell>
          <cell r="E260" t="str">
            <v>LEVERE</v>
          </cell>
        </row>
        <row r="261">
          <cell r="C261" t="str">
            <v>116-26</v>
          </cell>
          <cell r="D261">
            <v>1240000</v>
          </cell>
          <cell r="E261" t="str">
            <v>GRASTON</v>
          </cell>
        </row>
        <row r="262">
          <cell r="C262" t="str">
            <v>101-27</v>
          </cell>
          <cell r="D262">
            <v>2010000</v>
          </cell>
          <cell r="E262" t="str">
            <v>MAELZER</v>
          </cell>
        </row>
        <row r="263">
          <cell r="C263" t="str">
            <v>802-26</v>
          </cell>
          <cell r="D263">
            <v>1110000</v>
          </cell>
          <cell r="E263" t="str">
            <v>STARKS</v>
          </cell>
        </row>
        <row r="264">
          <cell r="C264" t="str">
            <v>107-27</v>
          </cell>
          <cell r="D264">
            <v>1090000</v>
          </cell>
          <cell r="E264" t="str">
            <v>SPECTOR</v>
          </cell>
        </row>
        <row r="265">
          <cell r="C265" t="str">
            <v>114-26</v>
          </cell>
          <cell r="D265">
            <v>1540000</v>
          </cell>
          <cell r="E265" t="str">
            <v>HELVIE</v>
          </cell>
        </row>
        <row r="266">
          <cell r="C266" t="str">
            <v>109-27</v>
          </cell>
          <cell r="D266">
            <v>1460000</v>
          </cell>
          <cell r="E266" t="str">
            <v>NELSON</v>
          </cell>
        </row>
        <row r="267">
          <cell r="C267" t="str">
            <v>119-26</v>
          </cell>
          <cell r="D267">
            <v>1990000</v>
          </cell>
          <cell r="E267" t="str">
            <v>DAVIS</v>
          </cell>
        </row>
        <row r="268">
          <cell r="C268" t="str">
            <v>108-27</v>
          </cell>
          <cell r="D268">
            <v>1090000</v>
          </cell>
          <cell r="E268" t="str">
            <v>SPECTOR</v>
          </cell>
        </row>
        <row r="269">
          <cell r="C269" t="str">
            <v>801-26</v>
          </cell>
          <cell r="D269">
            <v>1110000</v>
          </cell>
          <cell r="E269" t="str">
            <v>STARKS</v>
          </cell>
        </row>
        <row r="270">
          <cell r="C270" t="str">
            <v>117-27</v>
          </cell>
          <cell r="D270">
            <v>1260000</v>
          </cell>
          <cell r="E270" t="str">
            <v>ACKERMAN</v>
          </cell>
        </row>
        <row r="271">
          <cell r="C271" t="str">
            <v>117-26</v>
          </cell>
          <cell r="D271">
            <v>1260000</v>
          </cell>
          <cell r="E271" t="str">
            <v>ACKERMAN</v>
          </cell>
        </row>
        <row r="272">
          <cell r="C272" t="str">
            <v>117-27</v>
          </cell>
          <cell r="D272">
            <v>1260000</v>
          </cell>
          <cell r="E272" t="str">
            <v>ACKERMAN</v>
          </cell>
        </row>
        <row r="273">
          <cell r="C273" t="str">
            <v>110-26</v>
          </cell>
          <cell r="D273">
            <v>1750000</v>
          </cell>
          <cell r="E273" t="str">
            <v>REBOLETTI</v>
          </cell>
        </row>
        <row r="274">
          <cell r="C274" t="str">
            <v>801-27</v>
          </cell>
          <cell r="D274">
            <v>1110000</v>
          </cell>
          <cell r="E274" t="str">
            <v>STARKS</v>
          </cell>
        </row>
        <row r="275">
          <cell r="C275" t="str">
            <v>108-26</v>
          </cell>
          <cell r="D275">
            <v>1090000</v>
          </cell>
          <cell r="E275" t="str">
            <v>SPECTOR</v>
          </cell>
        </row>
        <row r="276">
          <cell r="C276" t="str">
            <v>112-27</v>
          </cell>
          <cell r="D276">
            <v>900000</v>
          </cell>
          <cell r="E276" t="str">
            <v>ROCHA</v>
          </cell>
        </row>
        <row r="277">
          <cell r="C277" t="str">
            <v>108-26</v>
          </cell>
          <cell r="D277">
            <v>1090000</v>
          </cell>
          <cell r="E277" t="str">
            <v>SPECTOR</v>
          </cell>
        </row>
        <row r="278">
          <cell r="C278" t="str">
            <v>118-27</v>
          </cell>
          <cell r="D278">
            <v>1260000</v>
          </cell>
          <cell r="E278" t="str">
            <v>ACKERMAN</v>
          </cell>
        </row>
        <row r="279">
          <cell r="C279" t="str">
            <v>800-26</v>
          </cell>
          <cell r="D279">
            <v>1110000</v>
          </cell>
          <cell r="E279" t="str">
            <v>STARKS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800-26</v>
          </cell>
          <cell r="D281">
            <v>1110000</v>
          </cell>
          <cell r="E281" t="str">
            <v>STARKS</v>
          </cell>
        </row>
        <row r="282">
          <cell r="C282" t="str">
            <v>128-27</v>
          </cell>
          <cell r="D282">
            <v>2010000</v>
          </cell>
          <cell r="E282" t="str">
            <v>MAELZER</v>
          </cell>
        </row>
        <row r="283">
          <cell r="C283" t="str">
            <v>104-26</v>
          </cell>
          <cell r="D283">
            <v>1260000</v>
          </cell>
          <cell r="E283" t="str">
            <v>ACKERMAN</v>
          </cell>
        </row>
        <row r="284">
          <cell r="C284" t="str">
            <v>122-27</v>
          </cell>
          <cell r="D284">
            <v>1090000</v>
          </cell>
          <cell r="E284" t="str">
            <v>SPECTOR</v>
          </cell>
        </row>
        <row r="285">
          <cell r="C285" t="str">
            <v>244-25</v>
          </cell>
          <cell r="D285">
            <v>1230000</v>
          </cell>
          <cell r="E285" t="str">
            <v>YANAI</v>
          </cell>
        </row>
        <row r="286">
          <cell r="C286" t="str">
            <v>861-25</v>
          </cell>
          <cell r="D286">
            <v>1290000</v>
          </cell>
          <cell r="E286" t="str">
            <v>COOLAHAN</v>
          </cell>
        </row>
        <row r="287">
          <cell r="C287" t="str">
            <v>236-25</v>
          </cell>
          <cell r="D287">
            <v>1230000</v>
          </cell>
          <cell r="E287" t="str">
            <v>YANAI</v>
          </cell>
        </row>
        <row r="288">
          <cell r="C288" t="str">
            <v>226-25</v>
          </cell>
          <cell r="D288">
            <v>1800000</v>
          </cell>
          <cell r="E288" t="str">
            <v>CHANDLER</v>
          </cell>
        </row>
        <row r="289">
          <cell r="C289" t="str">
            <v>237-25</v>
          </cell>
          <cell r="D289">
            <v>1180000</v>
          </cell>
          <cell r="E289" t="str">
            <v>LEVERE</v>
          </cell>
        </row>
        <row r="290">
          <cell r="C290" t="str">
            <v>233-25</v>
          </cell>
          <cell r="D290">
            <v>1800000</v>
          </cell>
          <cell r="E290" t="str">
            <v>CHANDLER</v>
          </cell>
        </row>
        <row r="291">
          <cell r="C291" t="str">
            <v>232-25</v>
          </cell>
          <cell r="D291">
            <v>1810000</v>
          </cell>
          <cell r="E291" t="str">
            <v>NEWELL</v>
          </cell>
        </row>
        <row r="292">
          <cell r="C292" t="str">
            <v>869-25</v>
          </cell>
          <cell r="D292">
            <v>1770000</v>
          </cell>
          <cell r="E292" t="str">
            <v>BRUDER</v>
          </cell>
        </row>
        <row r="293">
          <cell r="C293" t="str">
            <v>902-25</v>
          </cell>
          <cell r="D293">
            <v>1770000</v>
          </cell>
          <cell r="E293" t="str">
            <v>BRUDER</v>
          </cell>
        </row>
        <row r="294">
          <cell r="C294" t="str">
            <v>904-25</v>
          </cell>
          <cell r="D294">
            <v>1740000</v>
          </cell>
          <cell r="E294" t="str">
            <v>STORY</v>
          </cell>
        </row>
        <row r="295">
          <cell r="C295" t="str">
            <v>868-25</v>
          </cell>
          <cell r="D295">
            <v>1740000</v>
          </cell>
          <cell r="E295" t="str">
            <v>STORY</v>
          </cell>
        </row>
        <row r="296">
          <cell r="C296" t="str">
            <v>239-25</v>
          </cell>
          <cell r="D296">
            <v>1810000</v>
          </cell>
          <cell r="E296" t="str">
            <v>NEWELL</v>
          </cell>
        </row>
        <row r="297">
          <cell r="C297" t="str">
            <v>865-25</v>
          </cell>
          <cell r="D297">
            <v>1740000</v>
          </cell>
          <cell r="E297" t="str">
            <v>STORY</v>
          </cell>
        </row>
        <row r="298">
          <cell r="C298" t="str">
            <v>241-25</v>
          </cell>
          <cell r="D298">
            <v>1800000</v>
          </cell>
          <cell r="E298" t="str">
            <v>CHANDLER</v>
          </cell>
        </row>
        <row r="299">
          <cell r="C299" t="str">
            <v>229-25</v>
          </cell>
          <cell r="D299">
            <v>1180000</v>
          </cell>
          <cell r="E299" t="str">
            <v>LEVERE</v>
          </cell>
        </row>
        <row r="300">
          <cell r="C300" t="str">
            <v>243-25</v>
          </cell>
          <cell r="D300">
            <v>1230000</v>
          </cell>
          <cell r="E300" t="str">
            <v>YANAI</v>
          </cell>
        </row>
        <row r="301">
          <cell r="C301" t="str">
            <v>800-27</v>
          </cell>
          <cell r="D301">
            <v>1110000</v>
          </cell>
          <cell r="E301" t="str">
            <v>STARKS</v>
          </cell>
        </row>
        <row r="302">
          <cell r="C302" t="str">
            <v>242-25</v>
          </cell>
          <cell r="D302">
            <v>1800000</v>
          </cell>
          <cell r="E302" t="str">
            <v>CHANDLER</v>
          </cell>
        </row>
        <row r="303">
          <cell r="C303" t="str">
            <v>125-27</v>
          </cell>
          <cell r="D303">
            <v>900000</v>
          </cell>
          <cell r="E303" t="str">
            <v>ROCHA</v>
          </cell>
        </row>
        <row r="304">
          <cell r="C304" t="str">
            <v>105-26</v>
          </cell>
          <cell r="D304">
            <v>1990000</v>
          </cell>
          <cell r="E304" t="str">
            <v>DAVIS</v>
          </cell>
        </row>
        <row r="305">
          <cell r="C305" t="str">
            <v>127-27</v>
          </cell>
          <cell r="D305">
            <v>2010000</v>
          </cell>
          <cell r="E305" t="str">
            <v>MAELZER</v>
          </cell>
        </row>
        <row r="306">
          <cell r="C306" t="str">
            <v>107-26</v>
          </cell>
          <cell r="D306">
            <v>1090000</v>
          </cell>
          <cell r="E306" t="str">
            <v>SPECTOR</v>
          </cell>
        </row>
        <row r="307">
          <cell r="C307" t="str">
            <v>800-27</v>
          </cell>
          <cell r="D307">
            <v>1110000</v>
          </cell>
          <cell r="E307" t="str">
            <v>STARKS</v>
          </cell>
        </row>
        <row r="308">
          <cell r="C308" t="str">
            <v>106-26</v>
          </cell>
          <cell r="D308">
            <v>1990000</v>
          </cell>
          <cell r="E308" t="str">
            <v>DAVIS</v>
          </cell>
        </row>
        <row r="309">
          <cell r="C309" t="str">
            <v>122-27</v>
          </cell>
          <cell r="D309">
            <v>1090000</v>
          </cell>
          <cell r="E309" t="str">
            <v>SPECTOR</v>
          </cell>
        </row>
        <row r="310">
          <cell r="C310" t="str">
            <v>113-26</v>
          </cell>
          <cell r="D310">
            <v>1540000</v>
          </cell>
          <cell r="E310" t="str">
            <v>HELVIE</v>
          </cell>
        </row>
        <row r="311">
          <cell r="C311" t="str">
            <v>124-27</v>
          </cell>
          <cell r="D311">
            <v>1460000</v>
          </cell>
          <cell r="E311" t="str">
            <v>NELSON</v>
          </cell>
        </row>
        <row r="312">
          <cell r="C312" t="str">
            <v>125-26</v>
          </cell>
          <cell r="D312">
            <v>1100000</v>
          </cell>
          <cell r="E312" t="str">
            <v>GEBRETEKLE</v>
          </cell>
        </row>
        <row r="313">
          <cell r="C313" t="str">
            <v>125-27</v>
          </cell>
          <cell r="D313">
            <v>900000</v>
          </cell>
          <cell r="E313" t="str">
            <v>ROCHA</v>
          </cell>
        </row>
        <row r="314">
          <cell r="C314" t="str">
            <v>127-26</v>
          </cell>
          <cell r="D314">
            <v>1540000</v>
          </cell>
          <cell r="E314" t="str">
            <v>HELVIE</v>
          </cell>
        </row>
        <row r="315">
          <cell r="C315" t="str">
            <v>901-27</v>
          </cell>
          <cell r="D315">
            <v>1110000</v>
          </cell>
          <cell r="E315" t="str">
            <v>STARKS</v>
          </cell>
        </row>
        <row r="316">
          <cell r="C316" t="str">
            <v>120-26</v>
          </cell>
          <cell r="D316">
            <v>1990000</v>
          </cell>
          <cell r="E316" t="str">
            <v>DAVIS</v>
          </cell>
        </row>
        <row r="317">
          <cell r="C317" t="str">
            <v>808-27</v>
          </cell>
          <cell r="D317">
            <v>1100000</v>
          </cell>
          <cell r="E317" t="str">
            <v>GEBRETEKLE</v>
          </cell>
        </row>
        <row r="318">
          <cell r="C318" t="str">
            <v>129-26</v>
          </cell>
          <cell r="D318">
            <v>1240000</v>
          </cell>
          <cell r="E318" t="str">
            <v>GRASTON</v>
          </cell>
        </row>
        <row r="319">
          <cell r="C319" t="str">
            <v>106-27</v>
          </cell>
          <cell r="D319">
            <v>1360000</v>
          </cell>
          <cell r="E319" t="str">
            <v>SANTIZO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>
        <row r="18">
          <cell r="M18" t="str">
            <v>"C:\Program Files (x86)\AstroGrep\AstroGrep.exe"</v>
          </cell>
        </row>
        <row r="19">
          <cell r="M19" t="str">
            <v>"C:\Users\stu\Documents\Analysis\2016-02-23 RTDC Observations"</v>
          </cell>
        </row>
        <row r="20">
          <cell r="M20" t="str">
            <v>:.+((SYSTEM_STATE.+slice.+state.+changed )|(ment ac)|(system.+state.+changed )|(\|lc)|(penalty)|(\[timeout)|(PRM\|1\|D))</v>
          </cell>
        </row>
        <row r="23">
          <cell r="M23">
            <v>-6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139-01</v>
          </cell>
          <cell r="D2">
            <v>1110000</v>
          </cell>
          <cell r="E2" t="str">
            <v>STARKS</v>
          </cell>
        </row>
        <row r="3">
          <cell r="C3" t="str">
            <v>812-01</v>
          </cell>
          <cell r="D3">
            <v>1810000</v>
          </cell>
          <cell r="E3" t="str">
            <v>NEWELL</v>
          </cell>
        </row>
        <row r="4">
          <cell r="C4" t="str">
            <v>140-01</v>
          </cell>
          <cell r="D4">
            <v>1110000</v>
          </cell>
          <cell r="E4" t="str">
            <v>STARKS</v>
          </cell>
        </row>
        <row r="5">
          <cell r="C5" t="str">
            <v>814-01</v>
          </cell>
          <cell r="D5">
            <v>1460000</v>
          </cell>
          <cell r="E5" t="str">
            <v>NELSON</v>
          </cell>
        </row>
        <row r="6">
          <cell r="C6" t="str">
            <v>135-01</v>
          </cell>
          <cell r="D6">
            <v>1480000</v>
          </cell>
          <cell r="E6" t="str">
            <v>STURGEON</v>
          </cell>
        </row>
        <row r="7">
          <cell r="C7" t="str">
            <v>160-01</v>
          </cell>
          <cell r="D7">
            <v>900000</v>
          </cell>
          <cell r="E7" t="str">
            <v>ROCHA</v>
          </cell>
        </row>
        <row r="8">
          <cell r="C8" t="str">
            <v>162-01</v>
          </cell>
          <cell r="D8">
            <v>2000000</v>
          </cell>
          <cell r="E8" t="str">
            <v>STAMBAUGH</v>
          </cell>
        </row>
        <row r="9">
          <cell r="C9" t="str">
            <v>170-01</v>
          </cell>
          <cell r="D9">
            <v>2030000</v>
          </cell>
          <cell r="E9" t="str">
            <v>KILLION</v>
          </cell>
        </row>
        <row r="10">
          <cell r="C10" t="str">
            <v>172-01</v>
          </cell>
          <cell r="D10">
            <v>880000</v>
          </cell>
          <cell r="E10" t="str">
            <v>STEWART</v>
          </cell>
        </row>
        <row r="11">
          <cell r="C11" t="str">
            <v>189-01</v>
          </cell>
          <cell r="D11">
            <v>1520000</v>
          </cell>
          <cell r="E11" t="str">
            <v>MAYBERRY</v>
          </cell>
        </row>
        <row r="12">
          <cell r="C12" t="str">
            <v>805-01</v>
          </cell>
          <cell r="D12">
            <v>1340000</v>
          </cell>
          <cell r="E12" t="str">
            <v>BEAM</v>
          </cell>
        </row>
        <row r="13">
          <cell r="C13" t="str">
            <v>193-01</v>
          </cell>
          <cell r="D13">
            <v>2020000</v>
          </cell>
          <cell r="E13" t="str">
            <v>SHOOK</v>
          </cell>
        </row>
        <row r="14">
          <cell r="C14" t="str">
            <v>116-01</v>
          </cell>
          <cell r="D14">
            <v>1830000</v>
          </cell>
          <cell r="E14" t="str">
            <v>YORK</v>
          </cell>
        </row>
        <row r="15">
          <cell r="C15" t="str">
            <v>188-01</v>
          </cell>
          <cell r="D15">
            <v>900000</v>
          </cell>
          <cell r="E15" t="str">
            <v>ROCHA</v>
          </cell>
        </row>
        <row r="16">
          <cell r="C16" t="str">
            <v>105-01</v>
          </cell>
          <cell r="D16">
            <v>1840000</v>
          </cell>
          <cell r="E16" t="str">
            <v>CANFIELD</v>
          </cell>
        </row>
        <row r="17">
          <cell r="C17" t="str">
            <v>196-01</v>
          </cell>
          <cell r="D17">
            <v>1120000</v>
          </cell>
          <cell r="E17" t="str">
            <v>LOCKLEAR</v>
          </cell>
        </row>
        <row r="18">
          <cell r="C18" t="str">
            <v>825-01</v>
          </cell>
          <cell r="D18">
            <v>1540000</v>
          </cell>
          <cell r="E18" t="str">
            <v>HELVIE</v>
          </cell>
        </row>
        <row r="19">
          <cell r="C19" t="str">
            <v>829-01</v>
          </cell>
          <cell r="D19">
            <v>1540000</v>
          </cell>
          <cell r="E19" t="str">
            <v>HELVIE</v>
          </cell>
        </row>
        <row r="20">
          <cell r="C20" t="str">
            <v>184-01</v>
          </cell>
          <cell r="D20">
            <v>2030000</v>
          </cell>
          <cell r="E20" t="str">
            <v>KILLION</v>
          </cell>
        </row>
        <row r="21">
          <cell r="C21" t="str">
            <v>831-01</v>
          </cell>
          <cell r="D21">
            <v>530000</v>
          </cell>
          <cell r="E21" t="str">
            <v>POLLOCK</v>
          </cell>
        </row>
        <row r="22">
          <cell r="C22" t="str">
            <v>179-01</v>
          </cell>
          <cell r="D22">
            <v>2020000</v>
          </cell>
          <cell r="E22" t="str">
            <v>SHOOK</v>
          </cell>
        </row>
        <row r="23">
          <cell r="C23" t="str">
            <v>210-01</v>
          </cell>
          <cell r="D23">
            <v>1120000</v>
          </cell>
          <cell r="E23" t="str">
            <v>LOCKLEAR</v>
          </cell>
        </row>
        <row r="24">
          <cell r="C24" t="str">
            <v>821-01</v>
          </cell>
          <cell r="D24">
            <v>1460000</v>
          </cell>
          <cell r="E24" t="str">
            <v>NELSON</v>
          </cell>
        </row>
        <row r="25">
          <cell r="C25" t="str">
            <v>220-01</v>
          </cell>
          <cell r="D25">
            <v>1990000</v>
          </cell>
          <cell r="E25" t="str">
            <v>DAVIS</v>
          </cell>
        </row>
        <row r="26">
          <cell r="C26" t="str">
            <v>165-01</v>
          </cell>
          <cell r="D26">
            <v>2020000</v>
          </cell>
          <cell r="E26" t="str">
            <v>SHOOK</v>
          </cell>
        </row>
        <row r="27">
          <cell r="C27" t="str">
            <v>229-01</v>
          </cell>
          <cell r="D27">
            <v>1820000</v>
          </cell>
          <cell r="E27" t="str">
            <v>ADANE</v>
          </cell>
        </row>
        <row r="28">
          <cell r="C28" t="str">
            <v>160-01</v>
          </cell>
          <cell r="D28">
            <v>900000</v>
          </cell>
          <cell r="E28" t="str">
            <v>ROCHA</v>
          </cell>
        </row>
        <row r="29">
          <cell r="C29" t="str">
            <v>228-01</v>
          </cell>
          <cell r="D29">
            <v>1990000</v>
          </cell>
          <cell r="E29" t="str">
            <v>DAVIS</v>
          </cell>
        </row>
        <row r="30">
          <cell r="C30" t="str">
            <v>141-01</v>
          </cell>
          <cell r="D30">
            <v>1310000</v>
          </cell>
          <cell r="E30" t="str">
            <v>MALAVE</v>
          </cell>
        </row>
        <row r="31">
          <cell r="C31" t="str">
            <v>230-01</v>
          </cell>
          <cell r="D31">
            <v>1820000</v>
          </cell>
          <cell r="E31" t="str">
            <v>ADANE</v>
          </cell>
        </row>
        <row r="32">
          <cell r="C32" t="str">
            <v>901-01</v>
          </cell>
          <cell r="D32">
            <v>1340000</v>
          </cell>
          <cell r="E32" t="str">
            <v>BEAM</v>
          </cell>
        </row>
        <row r="33">
          <cell r="C33" t="str">
            <v>235-01</v>
          </cell>
          <cell r="D33">
            <v>1990000</v>
          </cell>
          <cell r="E33" t="str">
            <v>DAVIS</v>
          </cell>
        </row>
        <row r="34">
          <cell r="C34" t="str">
            <v>101-01</v>
          </cell>
          <cell r="D34">
            <v>1830000</v>
          </cell>
          <cell r="E34" t="str">
            <v>YORK</v>
          </cell>
        </row>
        <row r="35">
          <cell r="C35" t="str">
            <v>245-01</v>
          </cell>
          <cell r="D35">
            <v>1820000</v>
          </cell>
          <cell r="E35" t="str">
            <v>ADANE</v>
          </cell>
        </row>
        <row r="36">
          <cell r="C36" t="str">
            <v>101-01</v>
          </cell>
          <cell r="D36">
            <v>1830000</v>
          </cell>
          <cell r="E36" t="str">
            <v>YORK</v>
          </cell>
        </row>
        <row r="37">
          <cell r="C37" t="str">
            <v>837-01</v>
          </cell>
          <cell r="D37">
            <v>1540000</v>
          </cell>
          <cell r="E37" t="str">
            <v>HELVIE</v>
          </cell>
        </row>
        <row r="38">
          <cell r="C38" t="str">
            <v>823-01</v>
          </cell>
          <cell r="D38">
            <v>1540000</v>
          </cell>
          <cell r="E38" t="str">
            <v>HELVIE</v>
          </cell>
        </row>
        <row r="39">
          <cell r="C39" t="str">
            <v>211-01</v>
          </cell>
          <cell r="D39">
            <v>2030000</v>
          </cell>
          <cell r="E39" t="str">
            <v>KILLION</v>
          </cell>
        </row>
        <row r="40">
          <cell r="C40" t="str">
            <v>183-01</v>
          </cell>
          <cell r="D40">
            <v>2030000</v>
          </cell>
          <cell r="E40" t="str">
            <v>KILLION</v>
          </cell>
        </row>
        <row r="41">
          <cell r="C41" t="str">
            <v>839-01</v>
          </cell>
          <cell r="D41">
            <v>530000</v>
          </cell>
          <cell r="E41" t="str">
            <v>POLLOCK</v>
          </cell>
        </row>
        <row r="42">
          <cell r="C42" t="str">
            <v>177-01</v>
          </cell>
          <cell r="D42">
            <v>1090000</v>
          </cell>
          <cell r="E42" t="str">
            <v>SPECTOR</v>
          </cell>
        </row>
        <row r="43">
          <cell r="C43" t="str">
            <v>218-01</v>
          </cell>
          <cell r="D43">
            <v>1770000</v>
          </cell>
          <cell r="E43" t="str">
            <v>BRUDER</v>
          </cell>
        </row>
        <row r="44">
          <cell r="C44" t="str">
            <v>158-01</v>
          </cell>
          <cell r="D44">
            <v>1310000</v>
          </cell>
          <cell r="E44" t="str">
            <v>MALAVE</v>
          </cell>
        </row>
        <row r="45">
          <cell r="C45" t="str">
            <v>222-01</v>
          </cell>
          <cell r="D45">
            <v>1820000</v>
          </cell>
          <cell r="E45" t="str">
            <v>ADANE</v>
          </cell>
        </row>
        <row r="46">
          <cell r="C46" t="str">
            <v>150-01</v>
          </cell>
          <cell r="D46">
            <v>1480000</v>
          </cell>
          <cell r="E46" t="str">
            <v>STURGEON</v>
          </cell>
        </row>
        <row r="47">
          <cell r="C47" t="str">
            <v>231-01</v>
          </cell>
          <cell r="D47">
            <v>2040000</v>
          </cell>
          <cell r="E47" t="str">
            <v>MOSES</v>
          </cell>
        </row>
        <row r="48">
          <cell r="C48" t="str">
            <v>153-01</v>
          </cell>
          <cell r="D48">
            <v>1110000</v>
          </cell>
          <cell r="E48" t="str">
            <v>STARKS</v>
          </cell>
        </row>
        <row r="49">
          <cell r="C49" t="str">
            <v>239-01</v>
          </cell>
          <cell r="D49">
            <v>2040000</v>
          </cell>
          <cell r="E49" t="str">
            <v>MOSES</v>
          </cell>
        </row>
        <row r="50">
          <cell r="C50" t="str">
            <v>149-01</v>
          </cell>
          <cell r="D50">
            <v>1480000</v>
          </cell>
          <cell r="E50" t="str">
            <v>STURGEON</v>
          </cell>
        </row>
        <row r="51">
          <cell r="C51" t="str">
            <v>103-02</v>
          </cell>
          <cell r="D51">
            <v>1480000</v>
          </cell>
          <cell r="E51" t="str">
            <v>STURGEON</v>
          </cell>
        </row>
        <row r="52">
          <cell r="C52" t="str">
            <v>149-01</v>
          </cell>
          <cell r="D52">
            <v>1480000</v>
          </cell>
          <cell r="E52" t="str">
            <v>STURGEON</v>
          </cell>
        </row>
        <row r="53">
          <cell r="C53" t="str">
            <v>106-02</v>
          </cell>
          <cell r="D53">
            <v>1830000</v>
          </cell>
          <cell r="E53" t="str">
            <v>YORK</v>
          </cell>
        </row>
        <row r="54">
          <cell r="C54" t="str">
            <v>133-01</v>
          </cell>
          <cell r="D54">
            <v>2000000</v>
          </cell>
          <cell r="E54" t="str">
            <v>STAMBAUGH</v>
          </cell>
        </row>
        <row r="55">
          <cell r="C55" t="str">
            <v>113-02</v>
          </cell>
          <cell r="D55">
            <v>1840000</v>
          </cell>
          <cell r="E55" t="str">
            <v>CANFIELD</v>
          </cell>
        </row>
        <row r="56">
          <cell r="C56" t="str">
            <v>807-01</v>
          </cell>
          <cell r="D56">
            <v>1460000</v>
          </cell>
          <cell r="E56" t="str">
            <v>NELSON</v>
          </cell>
        </row>
        <row r="57">
          <cell r="C57" t="str">
            <v>117-02</v>
          </cell>
          <cell r="D57">
            <v>1480000</v>
          </cell>
          <cell r="E57" t="str">
            <v>STURGEON</v>
          </cell>
        </row>
        <row r="58">
          <cell r="C58" t="str">
            <v>120-01</v>
          </cell>
          <cell r="D58">
            <v>1480000</v>
          </cell>
          <cell r="E58" t="str">
            <v>STURGEON</v>
          </cell>
        </row>
        <row r="59">
          <cell r="C59" t="str">
            <v>112-02</v>
          </cell>
          <cell r="D59">
            <v>1100000</v>
          </cell>
          <cell r="E59" t="str">
            <v>GEBRETEKLE</v>
          </cell>
        </row>
        <row r="60">
          <cell r="C60" t="str">
            <v>116-01</v>
          </cell>
          <cell r="D60">
            <v>1830000</v>
          </cell>
          <cell r="E60" t="str">
            <v>YORK</v>
          </cell>
        </row>
        <row r="61">
          <cell r="C61" t="str">
            <v>114-02</v>
          </cell>
          <cell r="D61">
            <v>1840000</v>
          </cell>
          <cell r="E61" t="str">
            <v>CANFIELD</v>
          </cell>
        </row>
        <row r="62">
          <cell r="C62" t="str">
            <v>116-01</v>
          </cell>
          <cell r="D62">
            <v>1830000</v>
          </cell>
          <cell r="E62" t="str">
            <v>YORK</v>
          </cell>
        </row>
        <row r="63">
          <cell r="C63" t="str">
            <v>121-02</v>
          </cell>
          <cell r="D63">
            <v>1360000</v>
          </cell>
          <cell r="E63" t="str">
            <v>SANTIZO</v>
          </cell>
        </row>
        <row r="64">
          <cell r="C64" t="str">
            <v>800-01</v>
          </cell>
          <cell r="D64">
            <v>1340000</v>
          </cell>
          <cell r="E64" t="str">
            <v>BEAM</v>
          </cell>
        </row>
        <row r="65">
          <cell r="C65" t="str">
            <v>125-02</v>
          </cell>
          <cell r="D65">
            <v>1100000</v>
          </cell>
          <cell r="E65" t="str">
            <v>GEBRETEKLE</v>
          </cell>
        </row>
        <row r="66">
          <cell r="C66" t="str">
            <v>111-01</v>
          </cell>
          <cell r="D66">
            <v>2010000</v>
          </cell>
          <cell r="E66" t="str">
            <v>MAELZER</v>
          </cell>
        </row>
        <row r="67">
          <cell r="C67" t="str">
            <v>116-01</v>
          </cell>
          <cell r="D67">
            <v>1830000</v>
          </cell>
          <cell r="E67" t="str">
            <v>YORK</v>
          </cell>
        </row>
        <row r="68">
          <cell r="C68" t="str">
            <v>107-01</v>
          </cell>
          <cell r="D68">
            <v>1110000</v>
          </cell>
          <cell r="E68" t="str">
            <v>STARKS</v>
          </cell>
        </row>
        <row r="69">
          <cell r="C69" t="str">
            <v>134-01</v>
          </cell>
          <cell r="D69">
            <v>2000000</v>
          </cell>
          <cell r="E69" t="str">
            <v>STAMBAUGH</v>
          </cell>
        </row>
        <row r="70">
          <cell r="C70" t="str">
            <v>243-30</v>
          </cell>
          <cell r="D70">
            <v>1990000</v>
          </cell>
          <cell r="E70" t="str">
            <v>DAVIS</v>
          </cell>
        </row>
        <row r="71">
          <cell r="C71" t="str">
            <v>154-01</v>
          </cell>
          <cell r="D71">
            <v>1110000</v>
          </cell>
          <cell r="E71" t="str">
            <v>STARKS</v>
          </cell>
        </row>
        <row r="72">
          <cell r="C72" t="str">
            <v>GOLIGHTLY-30</v>
          </cell>
          <cell r="D72">
            <v>1410000</v>
          </cell>
          <cell r="E72" t="str">
            <v>GOLIGHTLY</v>
          </cell>
        </row>
        <row r="73">
          <cell r="C73" t="str">
            <v>171-01</v>
          </cell>
          <cell r="D73">
            <v>880000</v>
          </cell>
          <cell r="E73" t="str">
            <v>STEWART</v>
          </cell>
        </row>
        <row r="74">
          <cell r="C74" t="str">
            <v>241-01</v>
          </cell>
          <cell r="D74">
            <v>1770000</v>
          </cell>
          <cell r="E74" t="str">
            <v>BRUDER</v>
          </cell>
        </row>
        <row r="75">
          <cell r="C75" t="str">
            <v>180-01</v>
          </cell>
          <cell r="D75">
            <v>2020000</v>
          </cell>
          <cell r="E75" t="str">
            <v>SHOOK</v>
          </cell>
        </row>
        <row r="76">
          <cell r="C76" t="str">
            <v>233-01</v>
          </cell>
          <cell r="D76">
            <v>1770000</v>
          </cell>
          <cell r="E76" t="str">
            <v>BRUDER</v>
          </cell>
        </row>
        <row r="77">
          <cell r="C77" t="str">
            <v>191-01</v>
          </cell>
          <cell r="D77">
            <v>1090000</v>
          </cell>
          <cell r="E77" t="str">
            <v>SPECTOR</v>
          </cell>
        </row>
        <row r="78">
          <cell r="C78" t="str">
            <v>196-01</v>
          </cell>
          <cell r="D78">
            <v>1120000</v>
          </cell>
          <cell r="E78" t="str">
            <v>LOCKLEAR</v>
          </cell>
        </row>
        <row r="79">
          <cell r="C79" t="str">
            <v>201-01</v>
          </cell>
          <cell r="D79">
            <v>900000</v>
          </cell>
          <cell r="E79" t="str">
            <v>ROCHA</v>
          </cell>
        </row>
        <row r="80">
          <cell r="C80" t="str">
            <v>185-01</v>
          </cell>
          <cell r="D80">
            <v>880000</v>
          </cell>
          <cell r="E80" t="str">
            <v>STEWART</v>
          </cell>
        </row>
        <row r="81">
          <cell r="C81" t="str">
            <v>211-01</v>
          </cell>
          <cell r="D81">
            <v>2030000</v>
          </cell>
          <cell r="E81" t="str">
            <v>KILLION</v>
          </cell>
        </row>
        <row r="82">
          <cell r="C82" t="str">
            <v>105-02</v>
          </cell>
          <cell r="D82">
            <v>1830000</v>
          </cell>
          <cell r="E82" t="str">
            <v>YORK</v>
          </cell>
        </row>
        <row r="83">
          <cell r="C83" t="str">
            <v>212-01</v>
          </cell>
          <cell r="D83">
            <v>2030000</v>
          </cell>
          <cell r="E83" t="str">
            <v>KILLION</v>
          </cell>
        </row>
        <row r="84">
          <cell r="C84" t="str">
            <v>102-02</v>
          </cell>
          <cell r="D84">
            <v>1840000</v>
          </cell>
          <cell r="E84" t="str">
            <v>CANFIELD</v>
          </cell>
        </row>
        <row r="85">
          <cell r="C85" t="str">
            <v>840-01</v>
          </cell>
          <cell r="D85">
            <v>1540000</v>
          </cell>
          <cell r="E85" t="str">
            <v>HELVIE</v>
          </cell>
        </row>
        <row r="86">
          <cell r="C86" t="str">
            <v>GOLIGHTLY-01</v>
          </cell>
          <cell r="D86">
            <v>1410000</v>
          </cell>
          <cell r="E86" t="str">
            <v>GOLIGHTLY</v>
          </cell>
        </row>
        <row r="87">
          <cell r="C87" t="str">
            <v>169-01</v>
          </cell>
          <cell r="D87">
            <v>2030000</v>
          </cell>
          <cell r="E87" t="str">
            <v>KILLION</v>
          </cell>
        </row>
        <row r="88">
          <cell r="C88" t="str">
            <v>240-01</v>
          </cell>
          <cell r="D88">
            <v>2040000</v>
          </cell>
          <cell r="E88" t="str">
            <v>MOSES</v>
          </cell>
        </row>
        <row r="89">
          <cell r="C89" t="str">
            <v>166-01</v>
          </cell>
          <cell r="D89">
            <v>2020000</v>
          </cell>
          <cell r="E89" t="str">
            <v>SHOOK</v>
          </cell>
        </row>
        <row r="90">
          <cell r="C90" t="str">
            <v>230-01</v>
          </cell>
          <cell r="D90">
            <v>1820000</v>
          </cell>
          <cell r="E90" t="str">
            <v>ADANE</v>
          </cell>
        </row>
        <row r="91">
          <cell r="C91" t="str">
            <v>117-01</v>
          </cell>
          <cell r="D91">
            <v>1480000</v>
          </cell>
          <cell r="E91" t="str">
            <v>STURGEON</v>
          </cell>
        </row>
        <row r="92">
          <cell r="C92" t="str">
            <v>833-01</v>
          </cell>
          <cell r="D92">
            <v>1540000</v>
          </cell>
          <cell r="E92" t="str">
            <v>HELVIE</v>
          </cell>
        </row>
        <row r="93">
          <cell r="C93" t="str">
            <v>809-01</v>
          </cell>
          <cell r="D93">
            <v>1340000</v>
          </cell>
          <cell r="E93" t="str">
            <v>BEAM</v>
          </cell>
        </row>
        <row r="94">
          <cell r="C94" t="str">
            <v>194-01</v>
          </cell>
          <cell r="D94">
            <v>2020000</v>
          </cell>
          <cell r="E94" t="str">
            <v>SHOOK</v>
          </cell>
        </row>
        <row r="95">
          <cell r="C95" t="str">
            <v>212-01</v>
          </cell>
          <cell r="D95">
            <v>2030000</v>
          </cell>
          <cell r="E95" t="str">
            <v>KILLION</v>
          </cell>
        </row>
        <row r="96">
          <cell r="C96" t="str">
            <v>199-01</v>
          </cell>
          <cell r="D96">
            <v>880000</v>
          </cell>
          <cell r="E96" t="str">
            <v>STEWART</v>
          </cell>
        </row>
        <row r="97">
          <cell r="C97" t="str">
            <v>838-01</v>
          </cell>
          <cell r="D97">
            <v>1540000</v>
          </cell>
          <cell r="E97" t="str">
            <v>HELVIE</v>
          </cell>
        </row>
        <row r="98">
          <cell r="C98" t="str">
            <v>174-01</v>
          </cell>
          <cell r="D98">
            <v>900000</v>
          </cell>
          <cell r="E98" t="str">
            <v>ROCHA</v>
          </cell>
        </row>
        <row r="99">
          <cell r="C99" t="str">
            <v>115-01</v>
          </cell>
          <cell r="D99">
            <v>2000000</v>
          </cell>
          <cell r="E99" t="str">
            <v>STAMBAUGH</v>
          </cell>
        </row>
        <row r="100">
          <cell r="C100" t="str">
            <v>104-02</v>
          </cell>
          <cell r="D100">
            <v>1480000</v>
          </cell>
          <cell r="E100" t="str">
            <v>STURGEON</v>
          </cell>
        </row>
        <row r="101">
          <cell r="C101" t="str">
            <v>806-01</v>
          </cell>
          <cell r="D101">
            <v>1340000</v>
          </cell>
          <cell r="E101" t="str">
            <v>BEAM</v>
          </cell>
        </row>
        <row r="102">
          <cell r="C102" t="str">
            <v>224-01</v>
          </cell>
          <cell r="D102">
            <v>2040000</v>
          </cell>
          <cell r="E102" t="str">
            <v>MOSES</v>
          </cell>
        </row>
        <row r="103">
          <cell r="C103" t="str">
            <v>808-01</v>
          </cell>
          <cell r="D103">
            <v>1460000</v>
          </cell>
          <cell r="E103" t="str">
            <v>NELSON</v>
          </cell>
        </row>
        <row r="104">
          <cell r="C104" t="str">
            <v>225-01</v>
          </cell>
          <cell r="D104">
            <v>1770000</v>
          </cell>
          <cell r="E104" t="str">
            <v>BRUDER</v>
          </cell>
        </row>
        <row r="105">
          <cell r="C105" t="str">
            <v>142-01</v>
          </cell>
          <cell r="D105">
            <v>1310000</v>
          </cell>
          <cell r="E105" t="str">
            <v>MALAVE</v>
          </cell>
        </row>
        <row r="106">
          <cell r="C106" t="str">
            <v>186-01</v>
          </cell>
          <cell r="D106">
            <v>880000</v>
          </cell>
          <cell r="E106" t="str">
            <v>STEWART</v>
          </cell>
        </row>
        <row r="107">
          <cell r="C107" t="str">
            <v>144-01</v>
          </cell>
          <cell r="D107">
            <v>2010000</v>
          </cell>
          <cell r="E107" t="str">
            <v>MAELZER</v>
          </cell>
        </row>
        <row r="108">
          <cell r="C108" t="str">
            <v>182-01</v>
          </cell>
          <cell r="D108">
            <v>1120000</v>
          </cell>
          <cell r="E108" t="str">
            <v>LOCKLEAR</v>
          </cell>
        </row>
        <row r="109">
          <cell r="C109" t="str">
            <v>152-01</v>
          </cell>
          <cell r="D109">
            <v>1200000</v>
          </cell>
          <cell r="E109" t="str">
            <v>CUSHING</v>
          </cell>
        </row>
        <row r="110">
          <cell r="C110" t="str">
            <v>842-01</v>
          </cell>
          <cell r="D110">
            <v>1540000</v>
          </cell>
          <cell r="E110" t="str">
            <v>HELVIE</v>
          </cell>
        </row>
        <row r="111">
          <cell r="C111" t="str">
            <v>152-01</v>
          </cell>
          <cell r="D111">
            <v>1200000</v>
          </cell>
          <cell r="E111" t="str">
            <v>CUSHING</v>
          </cell>
        </row>
        <row r="112">
          <cell r="C112" t="str">
            <v>827-01</v>
          </cell>
          <cell r="D112">
            <v>530000</v>
          </cell>
          <cell r="E112" t="str">
            <v>POLLOCK</v>
          </cell>
        </row>
        <row r="113">
          <cell r="C113" t="str">
            <v>198-01</v>
          </cell>
          <cell r="D113">
            <v>2030000</v>
          </cell>
          <cell r="E113" t="str">
            <v>KILLION</v>
          </cell>
        </row>
        <row r="114">
          <cell r="C114" t="str">
            <v>116-02</v>
          </cell>
          <cell r="D114">
            <v>1110000</v>
          </cell>
          <cell r="E114" t="str">
            <v>STARKS</v>
          </cell>
        </row>
        <row r="115">
          <cell r="C115" t="str">
            <v>214-01</v>
          </cell>
          <cell r="D115">
            <v>2040000</v>
          </cell>
          <cell r="E115" t="str">
            <v>MOSES</v>
          </cell>
        </row>
        <row r="116">
          <cell r="C116" t="str">
            <v>101-02</v>
          </cell>
          <cell r="D116">
            <v>1840000</v>
          </cell>
          <cell r="E116" t="str">
            <v>CANFIELD</v>
          </cell>
        </row>
        <row r="117">
          <cell r="C117" t="str">
            <v>221-01</v>
          </cell>
          <cell r="D117">
            <v>1820000</v>
          </cell>
          <cell r="E117" t="str">
            <v>ADANE</v>
          </cell>
        </row>
        <row r="118">
          <cell r="C118" t="str">
            <v>216-01</v>
          </cell>
          <cell r="D118">
            <v>1800000</v>
          </cell>
          <cell r="E118" t="str">
            <v>CHANDLER</v>
          </cell>
        </row>
        <row r="119">
          <cell r="C119" t="str">
            <v>810-01</v>
          </cell>
          <cell r="D119">
            <v>1340000</v>
          </cell>
          <cell r="E119" t="str">
            <v>BEAM</v>
          </cell>
        </row>
        <row r="120">
          <cell r="C120" t="str">
            <v>213-01</v>
          </cell>
          <cell r="D120">
            <v>2040000</v>
          </cell>
          <cell r="E120" t="str">
            <v>MOSES</v>
          </cell>
        </row>
        <row r="121">
          <cell r="C121" t="str">
            <v>137-01</v>
          </cell>
          <cell r="D121">
            <v>1200000</v>
          </cell>
          <cell r="E121" t="str">
            <v>CUSHING</v>
          </cell>
        </row>
        <row r="122">
          <cell r="C122" t="str">
            <v>207-01</v>
          </cell>
          <cell r="D122">
            <v>2020000</v>
          </cell>
          <cell r="E122" t="str">
            <v>SHOOK</v>
          </cell>
        </row>
        <row r="123">
          <cell r="C123" t="str">
            <v>815-01</v>
          </cell>
          <cell r="D123">
            <v>1460000</v>
          </cell>
          <cell r="E123" t="str">
            <v>NELSON</v>
          </cell>
        </row>
        <row r="124">
          <cell r="C124" t="str">
            <v>172-01</v>
          </cell>
          <cell r="D124">
            <v>880000</v>
          </cell>
          <cell r="E124" t="str">
            <v>STEWART</v>
          </cell>
        </row>
        <row r="125">
          <cell r="C125" t="str">
            <v>159-01</v>
          </cell>
          <cell r="D125">
            <v>900000</v>
          </cell>
          <cell r="E125" t="str">
            <v>ROCHA</v>
          </cell>
        </row>
        <row r="126">
          <cell r="C126" t="str">
            <v>115-02</v>
          </cell>
          <cell r="D126">
            <v>1110000</v>
          </cell>
          <cell r="E126" t="str">
            <v>STARKS</v>
          </cell>
        </row>
        <row r="127">
          <cell r="C127" t="str">
            <v>167-01</v>
          </cell>
          <cell r="D127">
            <v>1120000</v>
          </cell>
          <cell r="E127" t="str">
            <v>LOCKLEAR</v>
          </cell>
        </row>
        <row r="128">
          <cell r="C128" t="str">
            <v>108-02</v>
          </cell>
          <cell r="D128">
            <v>1360000</v>
          </cell>
          <cell r="E128" t="str">
            <v>SANTIZO</v>
          </cell>
        </row>
        <row r="129">
          <cell r="C129" t="str">
            <v>181-01</v>
          </cell>
          <cell r="D129">
            <v>1120000</v>
          </cell>
          <cell r="E129" t="str">
            <v>LOCKLEAR</v>
          </cell>
        </row>
        <row r="130">
          <cell r="C130" t="str">
            <v>835-01</v>
          </cell>
          <cell r="D130">
            <v>530000</v>
          </cell>
          <cell r="E130" t="str">
            <v>POLLOCK</v>
          </cell>
        </row>
        <row r="131">
          <cell r="C131" t="str">
            <v>206-01</v>
          </cell>
          <cell r="D131">
            <v>1090000</v>
          </cell>
          <cell r="E131" t="str">
            <v>SPECTOR</v>
          </cell>
        </row>
        <row r="132">
          <cell r="C132" t="str">
            <v>200-01</v>
          </cell>
          <cell r="D132">
            <v>880000</v>
          </cell>
          <cell r="E132" t="str">
            <v>STEWART</v>
          </cell>
        </row>
        <row r="133">
          <cell r="C133" t="str">
            <v>226-01</v>
          </cell>
          <cell r="D133">
            <v>1770000</v>
          </cell>
          <cell r="E133" t="str">
            <v>BRUDER</v>
          </cell>
        </row>
        <row r="134">
          <cell r="C134" t="str">
            <v>111-02</v>
          </cell>
          <cell r="D134">
            <v>1100000</v>
          </cell>
          <cell r="E134" t="str">
            <v>GEBRETEKLE</v>
          </cell>
        </row>
        <row r="135">
          <cell r="C135" t="str">
            <v>237-01</v>
          </cell>
          <cell r="D135">
            <v>1820000</v>
          </cell>
          <cell r="E135" t="str">
            <v>ADANE</v>
          </cell>
        </row>
        <row r="136">
          <cell r="C136" t="str">
            <v>208-01</v>
          </cell>
          <cell r="D136">
            <v>2020000</v>
          </cell>
          <cell r="E136" t="str">
            <v>SHOOK</v>
          </cell>
        </row>
        <row r="137">
          <cell r="C137" t="str">
            <v>107-02</v>
          </cell>
          <cell r="D137">
            <v>1360000</v>
          </cell>
          <cell r="E137" t="str">
            <v>SANTIZO</v>
          </cell>
        </row>
        <row r="138">
          <cell r="C138" t="str">
            <v>164-01</v>
          </cell>
          <cell r="D138">
            <v>1090000</v>
          </cell>
          <cell r="E138" t="str">
            <v>SPECTOR</v>
          </cell>
        </row>
        <row r="139">
          <cell r="C139" t="str">
            <v>232-01</v>
          </cell>
          <cell r="D139">
            <v>2040000</v>
          </cell>
          <cell r="E139" t="str">
            <v>MOSES</v>
          </cell>
        </row>
        <row r="140">
          <cell r="C140" t="str">
            <v>165-01</v>
          </cell>
          <cell r="D140">
            <v>2020000</v>
          </cell>
          <cell r="E140" t="str">
            <v>SHOOK</v>
          </cell>
        </row>
        <row r="141">
          <cell r="C141" t="str">
            <v>119-02</v>
          </cell>
          <cell r="D141">
            <v>1830000</v>
          </cell>
          <cell r="E141" t="str">
            <v>YORK</v>
          </cell>
        </row>
        <row r="142">
          <cell r="C142" t="str">
            <v>819-01</v>
          </cell>
          <cell r="D142">
            <v>1460000</v>
          </cell>
          <cell r="E142" t="str">
            <v>NELSON</v>
          </cell>
        </row>
        <row r="143">
          <cell r="C143" t="str">
            <v>127-02</v>
          </cell>
          <cell r="D143">
            <v>1840000</v>
          </cell>
          <cell r="E143" t="str">
            <v>CANFIELD</v>
          </cell>
        </row>
        <row r="144">
          <cell r="C144" t="str">
            <v>163-01</v>
          </cell>
          <cell r="D144">
            <v>1090000</v>
          </cell>
          <cell r="E144" t="str">
            <v>SPECTOR</v>
          </cell>
        </row>
        <row r="145">
          <cell r="C145" t="str">
            <v>222-01</v>
          </cell>
          <cell r="D145">
            <v>1820000</v>
          </cell>
          <cell r="E145" t="str">
            <v>ADANE</v>
          </cell>
        </row>
        <row r="146">
          <cell r="C146" t="str">
            <v>817-01</v>
          </cell>
          <cell r="D146">
            <v>1460000</v>
          </cell>
          <cell r="E146" t="str">
            <v>NELSON</v>
          </cell>
        </row>
        <row r="147">
          <cell r="C147" t="str">
            <v>237-01</v>
          </cell>
          <cell r="D147">
            <v>1820000</v>
          </cell>
          <cell r="E147" t="str">
            <v>ADANE</v>
          </cell>
        </row>
        <row r="148">
          <cell r="C148" t="str">
            <v>161-01</v>
          </cell>
          <cell r="D148">
            <v>2000000</v>
          </cell>
          <cell r="E148" t="str">
            <v>STAMBAUGH</v>
          </cell>
        </row>
        <row r="149">
          <cell r="C149" t="str">
            <v>109-02</v>
          </cell>
          <cell r="D149">
            <v>1310000</v>
          </cell>
          <cell r="E149" t="str">
            <v>MALAVE</v>
          </cell>
        </row>
        <row r="150">
          <cell r="C150" t="str">
            <v>148-01</v>
          </cell>
          <cell r="D150">
            <v>2000000</v>
          </cell>
          <cell r="E150" t="str">
            <v>STAMBAUGH</v>
          </cell>
        </row>
        <row r="151">
          <cell r="C151" t="str">
            <v>119-02</v>
          </cell>
          <cell r="D151">
            <v>1830000</v>
          </cell>
          <cell r="E151" t="str">
            <v>YORK</v>
          </cell>
        </row>
        <row r="152">
          <cell r="C152" t="str">
            <v>144-01</v>
          </cell>
          <cell r="D152">
            <v>2010000</v>
          </cell>
          <cell r="E152" t="str">
            <v>MAELZER</v>
          </cell>
        </row>
        <row r="153">
          <cell r="C153" t="str">
            <v>120-02</v>
          </cell>
          <cell r="D153">
            <v>1830000</v>
          </cell>
          <cell r="E153" t="str">
            <v>YORK</v>
          </cell>
        </row>
        <row r="154">
          <cell r="C154" t="str">
            <v>143-01</v>
          </cell>
          <cell r="D154">
            <v>2010000</v>
          </cell>
          <cell r="E154" t="str">
            <v>MAELZER</v>
          </cell>
        </row>
        <row r="155">
          <cell r="C155" t="str">
            <v>102-01</v>
          </cell>
          <cell r="D155">
            <v>1830000</v>
          </cell>
          <cell r="E155" t="str">
            <v>YORK</v>
          </cell>
        </row>
        <row r="156">
          <cell r="C156" t="str">
            <v>903-01</v>
          </cell>
          <cell r="D156">
            <v>1340000</v>
          </cell>
          <cell r="E156" t="str">
            <v>BEAM</v>
          </cell>
        </row>
        <row r="157">
          <cell r="C157" t="str">
            <v>129-01</v>
          </cell>
          <cell r="D157">
            <v>2010000</v>
          </cell>
          <cell r="E157" t="str">
            <v>MAELZER</v>
          </cell>
        </row>
        <row r="158">
          <cell r="C158" t="str">
            <v>132-01</v>
          </cell>
          <cell r="D158">
            <v>1830000</v>
          </cell>
          <cell r="E158" t="str">
            <v>YORK</v>
          </cell>
        </row>
        <row r="159">
          <cell r="C159" t="str">
            <v>131-01</v>
          </cell>
          <cell r="D159">
            <v>1830000</v>
          </cell>
          <cell r="E159" t="str">
            <v>YORK</v>
          </cell>
        </row>
        <row r="160">
          <cell r="C160" t="str">
            <v>132-01</v>
          </cell>
          <cell r="D160">
            <v>1830000</v>
          </cell>
          <cell r="E160" t="str">
            <v>YORK</v>
          </cell>
        </row>
        <row r="161">
          <cell r="C161" t="str">
            <v>128-01</v>
          </cell>
          <cell r="D161">
            <v>1310000</v>
          </cell>
          <cell r="E161" t="str">
            <v>MALAVE</v>
          </cell>
        </row>
        <row r="162">
          <cell r="C162" t="str">
            <v>116-01</v>
          </cell>
          <cell r="D162">
            <v>1830000</v>
          </cell>
          <cell r="E162" t="str">
            <v>YORK</v>
          </cell>
        </row>
        <row r="163">
          <cell r="C163" t="str">
            <v>811-01</v>
          </cell>
          <cell r="D163">
            <v>1810000</v>
          </cell>
          <cell r="E163" t="str">
            <v>NEWELL</v>
          </cell>
        </row>
        <row r="164">
          <cell r="C164" t="str">
            <v>125-01</v>
          </cell>
          <cell r="D164">
            <v>1110000</v>
          </cell>
          <cell r="E164" t="str">
            <v>STARKS</v>
          </cell>
        </row>
        <row r="165">
          <cell r="C165" t="str">
            <v>149-01</v>
          </cell>
          <cell r="D165">
            <v>1480000</v>
          </cell>
          <cell r="E165" t="str">
            <v>STURGEON</v>
          </cell>
        </row>
        <row r="166">
          <cell r="C166" t="str">
            <v>802-01</v>
          </cell>
          <cell r="D166">
            <v>1340000</v>
          </cell>
          <cell r="E166" t="str">
            <v>BEAM</v>
          </cell>
        </row>
        <row r="167">
          <cell r="C167" t="str">
            <v>822-01</v>
          </cell>
          <cell r="D167">
            <v>1460000</v>
          </cell>
          <cell r="E167" t="str">
            <v>NELSON</v>
          </cell>
        </row>
        <row r="168">
          <cell r="C168" t="str">
            <v>115-01</v>
          </cell>
          <cell r="D168">
            <v>2000000</v>
          </cell>
          <cell r="E168" t="str">
            <v>STAMBAUGH</v>
          </cell>
        </row>
        <row r="169">
          <cell r="C169" t="str">
            <v>176-01</v>
          </cell>
          <cell r="D169">
            <v>1520000</v>
          </cell>
          <cell r="E169" t="str">
            <v>MAYBERRY</v>
          </cell>
        </row>
        <row r="170">
          <cell r="C170" t="str">
            <v>115-01</v>
          </cell>
          <cell r="D170">
            <v>2000000</v>
          </cell>
          <cell r="E170" t="str">
            <v>STAMBAUGH</v>
          </cell>
        </row>
        <row r="171">
          <cell r="C171" t="str">
            <v>205-01</v>
          </cell>
          <cell r="D171">
            <v>1090000</v>
          </cell>
          <cell r="E171" t="str">
            <v>SPECTOR</v>
          </cell>
        </row>
        <row r="172">
          <cell r="C172" t="str">
            <v>108-01</v>
          </cell>
          <cell r="D172">
            <v>1840000</v>
          </cell>
          <cell r="E172" t="str">
            <v>CANFIELD</v>
          </cell>
        </row>
        <row r="173">
          <cell r="C173" t="str">
            <v>841-01</v>
          </cell>
          <cell r="D173">
            <v>1540000</v>
          </cell>
          <cell r="E173" t="str">
            <v>HELVIE</v>
          </cell>
        </row>
        <row r="174">
          <cell r="C174" t="str">
            <v>242-30</v>
          </cell>
          <cell r="D174">
            <v>1820000</v>
          </cell>
          <cell r="E174" t="str">
            <v>ADANE</v>
          </cell>
        </row>
        <row r="175">
          <cell r="C175" t="str">
            <v>246-01</v>
          </cell>
          <cell r="D175">
            <v>1820000</v>
          </cell>
          <cell r="E175" t="str">
            <v>ADANE</v>
          </cell>
        </row>
        <row r="176">
          <cell r="C176" t="str">
            <v>125-01</v>
          </cell>
          <cell r="D176">
            <v>1110000</v>
          </cell>
          <cell r="E176" t="str">
            <v>STARKS</v>
          </cell>
        </row>
        <row r="177">
          <cell r="C177" t="str">
            <v>240-30</v>
          </cell>
          <cell r="D177">
            <v>2040000</v>
          </cell>
          <cell r="E177" t="str">
            <v>MOSES</v>
          </cell>
        </row>
        <row r="178">
          <cell r="C178" t="str">
            <v>804-01</v>
          </cell>
          <cell r="D178">
            <v>1460000</v>
          </cell>
          <cell r="E178" t="str">
            <v>NELSON</v>
          </cell>
        </row>
        <row r="179">
          <cell r="C179" t="str">
            <v>242-30</v>
          </cell>
          <cell r="D179">
            <v>1820000</v>
          </cell>
          <cell r="E179" t="str">
            <v>ADANE</v>
          </cell>
        </row>
        <row r="180">
          <cell r="C180" t="str">
            <v>112-01</v>
          </cell>
          <cell r="D180">
            <v>1310000</v>
          </cell>
          <cell r="E180" t="str">
            <v>MALAVE</v>
          </cell>
        </row>
        <row r="181">
          <cell r="C181" t="str">
            <v>130-01</v>
          </cell>
          <cell r="D181">
            <v>2010000</v>
          </cell>
          <cell r="E181" t="str">
            <v>MAELZER</v>
          </cell>
        </row>
        <row r="182">
          <cell r="C182" t="str">
            <v>111-01</v>
          </cell>
          <cell r="D182">
            <v>2010000</v>
          </cell>
          <cell r="E182" t="str">
            <v>MAELZER</v>
          </cell>
        </row>
        <row r="183">
          <cell r="C183" t="str">
            <v>151-01</v>
          </cell>
          <cell r="D183">
            <v>1200000</v>
          </cell>
          <cell r="E183" t="str">
            <v>CUSHING</v>
          </cell>
        </row>
        <row r="184">
          <cell r="C184" t="str">
            <v>109-01</v>
          </cell>
          <cell r="D184">
            <v>1310000</v>
          </cell>
          <cell r="E184" t="str">
            <v>MALAVE</v>
          </cell>
        </row>
        <row r="185">
          <cell r="C185" t="str">
            <v>169-01</v>
          </cell>
          <cell r="D185">
            <v>2030000</v>
          </cell>
          <cell r="E185" t="str">
            <v>KILLION</v>
          </cell>
        </row>
        <row r="186">
          <cell r="C186" t="str">
            <v>130-01</v>
          </cell>
          <cell r="D186">
            <v>2010000</v>
          </cell>
          <cell r="E186" t="str">
            <v>MAELZER</v>
          </cell>
        </row>
        <row r="187">
          <cell r="C187" t="str">
            <v>190-01</v>
          </cell>
          <cell r="D187">
            <v>1520000</v>
          </cell>
          <cell r="E187" t="str">
            <v>MAYBERRY</v>
          </cell>
        </row>
        <row r="188">
          <cell r="C188" t="str">
            <v>132-01</v>
          </cell>
          <cell r="D188">
            <v>1830000</v>
          </cell>
          <cell r="E188" t="str">
            <v>YORK</v>
          </cell>
        </row>
        <row r="189">
          <cell r="C189" t="str">
            <v>217-01</v>
          </cell>
          <cell r="D189">
            <v>1770000</v>
          </cell>
          <cell r="E189" t="str">
            <v>BRUDER</v>
          </cell>
        </row>
        <row r="190">
          <cell r="C190" t="str">
            <v>133-01</v>
          </cell>
          <cell r="D190">
            <v>2000000</v>
          </cell>
          <cell r="E190" t="str">
            <v>STAMBAUGH</v>
          </cell>
        </row>
        <row r="191">
          <cell r="C191" t="str">
            <v>230-01</v>
          </cell>
          <cell r="D191">
            <v>1820000</v>
          </cell>
          <cell r="E191" t="str">
            <v>ADANE</v>
          </cell>
        </row>
        <row r="192">
          <cell r="C192" t="str">
            <v>131-01</v>
          </cell>
          <cell r="D192">
            <v>1830000</v>
          </cell>
          <cell r="E192" t="str">
            <v>YORK</v>
          </cell>
        </row>
        <row r="193">
          <cell r="C193" t="str">
            <v>240-30</v>
          </cell>
          <cell r="D193">
            <v>2040000</v>
          </cell>
          <cell r="E193" t="str">
            <v>MOSES</v>
          </cell>
        </row>
        <row r="194">
          <cell r="C194" t="str">
            <v>244-30</v>
          </cell>
          <cell r="D194">
            <v>1990000</v>
          </cell>
          <cell r="E194" t="str">
            <v>DAVIS</v>
          </cell>
        </row>
        <row r="195">
          <cell r="C195" t="str">
            <v>104-01</v>
          </cell>
          <cell r="D195">
            <v>1480000</v>
          </cell>
          <cell r="E195" t="str">
            <v>STURGEON</v>
          </cell>
        </row>
        <row r="196">
          <cell r="C196" t="str">
            <v>113-01</v>
          </cell>
          <cell r="D196">
            <v>1830000</v>
          </cell>
          <cell r="E196" t="str">
            <v>YORK</v>
          </cell>
        </row>
        <row r="197">
          <cell r="C197" t="str">
            <v>129-01</v>
          </cell>
          <cell r="D197">
            <v>2010000</v>
          </cell>
          <cell r="E197" t="str">
            <v>MAELZER</v>
          </cell>
        </row>
        <row r="198">
          <cell r="C198" t="str">
            <v>845-01</v>
          </cell>
          <cell r="D198">
            <v>1540000</v>
          </cell>
          <cell r="E198" t="str">
            <v>HELVIE</v>
          </cell>
        </row>
        <row r="199">
          <cell r="C199" t="str">
            <v>813-01</v>
          </cell>
          <cell r="D199">
            <v>1460000</v>
          </cell>
          <cell r="E199" t="str">
            <v>NELSON</v>
          </cell>
        </row>
        <row r="200">
          <cell r="C200" t="str">
            <v>832-01</v>
          </cell>
          <cell r="D200">
            <v>530000</v>
          </cell>
          <cell r="E200" t="str">
            <v>POLLOCK</v>
          </cell>
        </row>
        <row r="201">
          <cell r="C201" t="str">
            <v>147-01</v>
          </cell>
          <cell r="D201">
            <v>2000000</v>
          </cell>
          <cell r="E201" t="str">
            <v>STAMBAUGH</v>
          </cell>
        </row>
        <row r="202">
          <cell r="C202" t="str">
            <v>830-01</v>
          </cell>
          <cell r="D202">
            <v>1540000</v>
          </cell>
          <cell r="E202" t="str">
            <v>HELVIE</v>
          </cell>
        </row>
        <row r="203">
          <cell r="C203" t="str">
            <v>161-01</v>
          </cell>
          <cell r="D203">
            <v>2000000</v>
          </cell>
          <cell r="E203" t="str">
            <v>STAMBAUGH</v>
          </cell>
        </row>
        <row r="204">
          <cell r="C204" t="str">
            <v>829-01</v>
          </cell>
          <cell r="D204">
            <v>1540000</v>
          </cell>
          <cell r="E204" t="str">
            <v>HELVIE</v>
          </cell>
        </row>
        <row r="205">
          <cell r="C205" t="str">
            <v>166-01</v>
          </cell>
          <cell r="D205">
            <v>2020000</v>
          </cell>
          <cell r="E205" t="str">
            <v>SHOOK</v>
          </cell>
        </row>
        <row r="206">
          <cell r="C206" t="str">
            <v>193-01</v>
          </cell>
          <cell r="D206">
            <v>2020000</v>
          </cell>
          <cell r="E206" t="str">
            <v>SHOOK</v>
          </cell>
        </row>
        <row r="207">
          <cell r="C207" t="str">
            <v>209-01</v>
          </cell>
          <cell r="D207">
            <v>1120000</v>
          </cell>
          <cell r="E207" t="str">
            <v>LOCKLEAR</v>
          </cell>
        </row>
        <row r="208">
          <cell r="C208" t="str">
            <v>156-01</v>
          </cell>
          <cell r="D208">
            <v>2030000</v>
          </cell>
          <cell r="E208" t="str">
            <v>KILLION</v>
          </cell>
        </row>
        <row r="209">
          <cell r="C209" t="str">
            <v>214-01</v>
          </cell>
          <cell r="D209">
            <v>2040000</v>
          </cell>
          <cell r="E209" t="str">
            <v>MOSES</v>
          </cell>
        </row>
        <row r="210">
          <cell r="C210" t="str">
            <v>146-01</v>
          </cell>
          <cell r="D210">
            <v>1830000</v>
          </cell>
          <cell r="E210" t="str">
            <v>YORK</v>
          </cell>
        </row>
        <row r="211">
          <cell r="C211" t="str">
            <v>233-01</v>
          </cell>
          <cell r="D211">
            <v>1770000</v>
          </cell>
          <cell r="E211" t="str">
            <v>BRUDER</v>
          </cell>
        </row>
        <row r="212">
          <cell r="C212" t="str">
            <v>122-02</v>
          </cell>
          <cell r="D212">
            <v>1360000</v>
          </cell>
          <cell r="E212" t="str">
            <v>SANTIZO</v>
          </cell>
        </row>
        <row r="213">
          <cell r="C213" t="str">
            <v>236-01</v>
          </cell>
          <cell r="D213">
            <v>1990000</v>
          </cell>
          <cell r="E213" t="str">
            <v>DAVIS</v>
          </cell>
        </row>
        <row r="214">
          <cell r="C214" t="str">
            <v>243-01</v>
          </cell>
          <cell r="D214">
            <v>1990000</v>
          </cell>
          <cell r="E214" t="str">
            <v>DAVIS</v>
          </cell>
        </row>
        <row r="215">
          <cell r="C215" t="str">
            <v>136-01</v>
          </cell>
          <cell r="D215">
            <v>1480000</v>
          </cell>
          <cell r="E215" t="str">
            <v>STURGEON</v>
          </cell>
        </row>
        <row r="216">
          <cell r="C216" t="str">
            <v>233-01</v>
          </cell>
          <cell r="D216">
            <v>1770000</v>
          </cell>
          <cell r="E216" t="str">
            <v>BRUDER</v>
          </cell>
        </row>
        <row r="217">
          <cell r="C217" t="str">
            <v>153-01</v>
          </cell>
          <cell r="D217">
            <v>1110000</v>
          </cell>
          <cell r="E217" t="str">
            <v>STARKS</v>
          </cell>
        </row>
        <row r="218">
          <cell r="C218" t="str">
            <v>227-01</v>
          </cell>
          <cell r="D218">
            <v>1990000</v>
          </cell>
          <cell r="E218" t="str">
            <v>DAVIS</v>
          </cell>
        </row>
        <row r="219">
          <cell r="C219" t="str">
            <v>820-01</v>
          </cell>
          <cell r="D219">
            <v>1460000</v>
          </cell>
          <cell r="E219" t="str">
            <v>NELSON</v>
          </cell>
        </row>
        <row r="220">
          <cell r="C220" t="str">
            <v>843-01</v>
          </cell>
          <cell r="D220">
            <v>1540000</v>
          </cell>
          <cell r="E220" t="str">
            <v>HELVIE</v>
          </cell>
        </row>
        <row r="221">
          <cell r="C221" t="str">
            <v>209-01</v>
          </cell>
          <cell r="D221">
            <v>1120000</v>
          </cell>
          <cell r="E221" t="str">
            <v>LOCKLEAR</v>
          </cell>
        </row>
        <row r="222">
          <cell r="C222" t="str">
            <v>826-01</v>
          </cell>
          <cell r="D222">
            <v>1540000</v>
          </cell>
          <cell r="E222" t="str">
            <v>HELVIE</v>
          </cell>
        </row>
        <row r="223">
          <cell r="C223" t="str">
            <v>906-01</v>
          </cell>
          <cell r="D223">
            <v>530000</v>
          </cell>
          <cell r="E223" t="str">
            <v>POLLOCK</v>
          </cell>
        </row>
        <row r="224">
          <cell r="C224" t="str">
            <v>195-01</v>
          </cell>
          <cell r="D224">
            <v>1120000</v>
          </cell>
          <cell r="E224" t="str">
            <v>LOCKLEAR</v>
          </cell>
        </row>
        <row r="225">
          <cell r="C225" t="str">
            <v>236-01</v>
          </cell>
          <cell r="D225">
            <v>1990000</v>
          </cell>
          <cell r="E225" t="str">
            <v>DAVIS</v>
          </cell>
        </row>
        <row r="226">
          <cell r="C226" t="str">
            <v>187-01</v>
          </cell>
          <cell r="D226">
            <v>900000</v>
          </cell>
          <cell r="E226" t="str">
            <v>ROCHA</v>
          </cell>
        </row>
        <row r="227">
          <cell r="C227" t="str">
            <v>108-01</v>
          </cell>
          <cell r="D227">
            <v>1840000</v>
          </cell>
          <cell r="E227" t="str">
            <v>CANFIELD</v>
          </cell>
        </row>
        <row r="228">
          <cell r="C228" t="str">
            <v>185-01</v>
          </cell>
          <cell r="D228">
            <v>880000</v>
          </cell>
          <cell r="E228" t="str">
            <v>STEWART</v>
          </cell>
        </row>
        <row r="229">
          <cell r="C229" t="str">
            <v>801-01</v>
          </cell>
          <cell r="D229">
            <v>1340000</v>
          </cell>
          <cell r="E229" t="str">
            <v>BEAM</v>
          </cell>
        </row>
        <row r="230">
          <cell r="C230" t="str">
            <v>185-01</v>
          </cell>
          <cell r="D230">
            <v>880000</v>
          </cell>
          <cell r="E230" t="str">
            <v>STEWART</v>
          </cell>
        </row>
        <row r="231">
          <cell r="C231" t="str">
            <v>127-01</v>
          </cell>
          <cell r="D231">
            <v>1310000</v>
          </cell>
          <cell r="E231" t="str">
            <v>MALAVE</v>
          </cell>
        </row>
        <row r="232">
          <cell r="C232" t="str">
            <v>816-01</v>
          </cell>
          <cell r="D232">
            <v>1460000</v>
          </cell>
          <cell r="E232" t="str">
            <v>NELSON</v>
          </cell>
        </row>
        <row r="233">
          <cell r="C233" t="str">
            <v>145-01</v>
          </cell>
          <cell r="D233">
            <v>1830000</v>
          </cell>
          <cell r="E233" t="str">
            <v>YORK</v>
          </cell>
        </row>
        <row r="234">
          <cell r="C234" t="str">
            <v>1802-02</v>
          </cell>
          <cell r="D234">
            <v>1460000</v>
          </cell>
          <cell r="E234" t="str">
            <v>NELSON</v>
          </cell>
        </row>
        <row r="235">
          <cell r="C235" t="str">
            <v>155-01</v>
          </cell>
          <cell r="D235">
            <v>2030000</v>
          </cell>
          <cell r="E235" t="str">
            <v>KILLION</v>
          </cell>
        </row>
        <row r="236">
          <cell r="C236" t="str">
            <v>224-01</v>
          </cell>
          <cell r="D236">
            <v>2040000</v>
          </cell>
          <cell r="E236" t="str">
            <v>MOSES</v>
          </cell>
        </row>
        <row r="237">
          <cell r="C237" t="str">
            <v>215-01</v>
          </cell>
          <cell r="D237">
            <v>1800000</v>
          </cell>
          <cell r="E237" t="str">
            <v>CHANDLER</v>
          </cell>
        </row>
        <row r="238">
          <cell r="C238" t="str">
            <v>223-01</v>
          </cell>
          <cell r="D238">
            <v>2040000</v>
          </cell>
          <cell r="E238" t="str">
            <v>MOSES</v>
          </cell>
        </row>
        <row r="239">
          <cell r="C239" t="str">
            <v>217-01</v>
          </cell>
          <cell r="D239">
            <v>1770000</v>
          </cell>
          <cell r="E239" t="str">
            <v>BRUDER</v>
          </cell>
        </row>
        <row r="240">
          <cell r="C240" t="str">
            <v>836-01</v>
          </cell>
          <cell r="D240">
            <v>530000</v>
          </cell>
          <cell r="E240" t="str">
            <v>POLLOCK</v>
          </cell>
        </row>
        <row r="241">
          <cell r="C241" t="str">
            <v>219-01</v>
          </cell>
          <cell r="D241">
            <v>1990000</v>
          </cell>
          <cell r="E241" t="str">
            <v>DAVIS</v>
          </cell>
        </row>
        <row r="242">
          <cell r="C242" t="str">
            <v>202-01</v>
          </cell>
          <cell r="D242">
            <v>900000</v>
          </cell>
          <cell r="E242" t="str">
            <v>ROCHA</v>
          </cell>
        </row>
        <row r="243">
          <cell r="C243" t="str">
            <v>222-01</v>
          </cell>
          <cell r="D243">
            <v>1820000</v>
          </cell>
          <cell r="E243" t="str">
            <v>ADANE</v>
          </cell>
        </row>
        <row r="244">
          <cell r="C244" t="str">
            <v>192-01</v>
          </cell>
          <cell r="D244">
            <v>1090000</v>
          </cell>
          <cell r="E244" t="str">
            <v>SPECTOR</v>
          </cell>
        </row>
        <row r="245">
          <cell r="C245" t="str">
            <v>238-01</v>
          </cell>
          <cell r="D245">
            <v>1820000</v>
          </cell>
          <cell r="E245" t="str">
            <v>ADANE</v>
          </cell>
        </row>
        <row r="246">
          <cell r="C246" t="str">
            <v>179-01</v>
          </cell>
          <cell r="D246">
            <v>2020000</v>
          </cell>
          <cell r="E246" t="str">
            <v>SHOOK</v>
          </cell>
        </row>
        <row r="247">
          <cell r="C247" t="str">
            <v>240-01</v>
          </cell>
          <cell r="D247">
            <v>2040000</v>
          </cell>
          <cell r="E247" t="str">
            <v>MOSES</v>
          </cell>
        </row>
        <row r="248">
          <cell r="C248" t="str">
            <v>173-01</v>
          </cell>
          <cell r="D248">
            <v>900000</v>
          </cell>
          <cell r="E248" t="str">
            <v>ROCHA</v>
          </cell>
        </row>
        <row r="249">
          <cell r="C249" t="str">
            <v>103-01</v>
          </cell>
          <cell r="D249">
            <v>1480000</v>
          </cell>
          <cell r="E249" t="str">
            <v>STURGEON</v>
          </cell>
        </row>
        <row r="250">
          <cell r="C250" t="str">
            <v>818-01</v>
          </cell>
          <cell r="D250">
            <v>1460000</v>
          </cell>
          <cell r="E250" t="str">
            <v>NELSON</v>
          </cell>
        </row>
        <row r="251">
          <cell r="C251" t="str">
            <v>113-01</v>
          </cell>
          <cell r="D251">
            <v>1830000</v>
          </cell>
          <cell r="E251" t="str">
            <v>YORK</v>
          </cell>
        </row>
        <row r="252">
          <cell r="C252" t="str">
            <v>244-01</v>
          </cell>
          <cell r="D252">
            <v>1990000</v>
          </cell>
          <cell r="E252" t="str">
            <v>DAVIS</v>
          </cell>
        </row>
        <row r="253">
          <cell r="C253" t="str">
            <v>114-01</v>
          </cell>
          <cell r="D253">
            <v>2010000</v>
          </cell>
          <cell r="E253" t="str">
            <v>MAELZER</v>
          </cell>
        </row>
        <row r="254">
          <cell r="C254" t="str">
            <v>242-01</v>
          </cell>
          <cell r="D254">
            <v>1770000</v>
          </cell>
          <cell r="E254" t="str">
            <v>BRUDER</v>
          </cell>
        </row>
        <row r="255">
          <cell r="C255" t="str">
            <v>803-01</v>
          </cell>
          <cell r="D255">
            <v>1460000</v>
          </cell>
          <cell r="E255" t="str">
            <v>NELSON</v>
          </cell>
        </row>
        <row r="256">
          <cell r="C256" t="str">
            <v>234-01</v>
          </cell>
          <cell r="D256">
            <v>1770000</v>
          </cell>
          <cell r="E256" t="str">
            <v>BRUDER</v>
          </cell>
        </row>
        <row r="257">
          <cell r="C257" t="str">
            <v>118-01</v>
          </cell>
          <cell r="D257">
            <v>2000000</v>
          </cell>
          <cell r="E257" t="str">
            <v>STAMBAUGH</v>
          </cell>
        </row>
        <row r="258">
          <cell r="C258" t="str">
            <v>844-01</v>
          </cell>
          <cell r="D258">
            <v>1540000</v>
          </cell>
          <cell r="E258" t="str">
            <v>HELVIE</v>
          </cell>
        </row>
        <row r="259">
          <cell r="C259" t="str">
            <v>127-01</v>
          </cell>
          <cell r="D259">
            <v>1310000</v>
          </cell>
          <cell r="E259" t="str">
            <v>MALAVE</v>
          </cell>
        </row>
        <row r="260">
          <cell r="C260" t="str">
            <v>212-01</v>
          </cell>
          <cell r="D260">
            <v>2030000</v>
          </cell>
          <cell r="E260" t="str">
            <v>KILLION</v>
          </cell>
        </row>
        <row r="261">
          <cell r="C261" t="str">
            <v>158-01</v>
          </cell>
          <cell r="D261">
            <v>1310000</v>
          </cell>
          <cell r="E261" t="str">
            <v>MALAVE</v>
          </cell>
        </row>
        <row r="262">
          <cell r="C262" t="str">
            <v>835-01</v>
          </cell>
          <cell r="D262">
            <v>530000</v>
          </cell>
          <cell r="E262" t="str">
            <v>POLLOCK</v>
          </cell>
        </row>
        <row r="263">
          <cell r="C263" t="str">
            <v>181-01</v>
          </cell>
          <cell r="D263">
            <v>1120000</v>
          </cell>
          <cell r="E263" t="str">
            <v>LOCKLEAR</v>
          </cell>
        </row>
        <row r="264">
          <cell r="C264" t="str">
            <v>834-01</v>
          </cell>
          <cell r="D264">
            <v>1540000</v>
          </cell>
          <cell r="E264" t="str">
            <v>HELVIE</v>
          </cell>
        </row>
        <row r="265">
          <cell r="C265" t="str">
            <v>174-01</v>
          </cell>
          <cell r="D265">
            <v>900000</v>
          </cell>
          <cell r="E265" t="str">
            <v>ROCHA</v>
          </cell>
        </row>
        <row r="266">
          <cell r="C266" t="str">
            <v>168-01</v>
          </cell>
          <cell r="D266">
            <v>1120000</v>
          </cell>
          <cell r="E266" t="str">
            <v>LOCKLEAR</v>
          </cell>
        </row>
        <row r="267">
          <cell r="C267" t="str">
            <v>824-01</v>
          </cell>
          <cell r="D267">
            <v>1540000</v>
          </cell>
          <cell r="E267" t="str">
            <v>HELVIE</v>
          </cell>
        </row>
        <row r="268">
          <cell r="C268" t="str">
            <v>110-02</v>
          </cell>
          <cell r="D268">
            <v>1310000</v>
          </cell>
          <cell r="E268" t="str">
            <v>MALAVE</v>
          </cell>
        </row>
        <row r="269">
          <cell r="C269" t="str">
            <v>828-01</v>
          </cell>
          <cell r="D269">
            <v>530000</v>
          </cell>
          <cell r="E269" t="str">
            <v>POLLOCK</v>
          </cell>
        </row>
        <row r="270">
          <cell r="C270" t="str">
            <v>GOLIGHTLY-01</v>
          </cell>
          <cell r="D270">
            <v>1410000</v>
          </cell>
          <cell r="E270" t="str">
            <v>GOLIGHTLY</v>
          </cell>
        </row>
        <row r="271">
          <cell r="C271" t="str">
            <v>217-01</v>
          </cell>
          <cell r="D271">
            <v>1770000</v>
          </cell>
          <cell r="E271" t="str">
            <v>BRUDER</v>
          </cell>
        </row>
        <row r="272">
          <cell r="C272" t="str">
            <v>847-01</v>
          </cell>
          <cell r="D272">
            <v>1540000</v>
          </cell>
          <cell r="E272" t="str">
            <v>HELVIE</v>
          </cell>
        </row>
        <row r="273">
          <cell r="C273" t="str">
            <v>GOLIGHTLY-30</v>
          </cell>
          <cell r="D273">
            <v>1410000</v>
          </cell>
          <cell r="E273" t="str">
            <v>GOLIGHTLY</v>
          </cell>
        </row>
        <row r="274">
          <cell r="C274" t="str">
            <v>216-01</v>
          </cell>
          <cell r="D274">
            <v>1800000</v>
          </cell>
          <cell r="E274" t="str">
            <v>CHANDLER</v>
          </cell>
        </row>
        <row r="275">
          <cell r="C275" t="str">
            <v>126-01</v>
          </cell>
          <cell r="D275">
            <v>1110000</v>
          </cell>
          <cell r="E275" t="str">
            <v>STARKS</v>
          </cell>
        </row>
        <row r="276">
          <cell r="C276" t="str">
            <v>208-01</v>
          </cell>
          <cell r="D276">
            <v>2020000</v>
          </cell>
          <cell r="E276" t="str">
            <v>SHOOK</v>
          </cell>
        </row>
        <row r="277">
          <cell r="C277" t="str">
            <v>811-01</v>
          </cell>
          <cell r="D277">
            <v>1460000</v>
          </cell>
          <cell r="E277" t="str">
            <v>NELSON</v>
          </cell>
        </row>
        <row r="278">
          <cell r="C278" t="str">
            <v>204-01</v>
          </cell>
          <cell r="D278">
            <v>1520000</v>
          </cell>
          <cell r="E278" t="str">
            <v>MAYBERRY</v>
          </cell>
        </row>
        <row r="279">
          <cell r="C279" t="str">
            <v>138-01</v>
          </cell>
          <cell r="D279">
            <v>1200000</v>
          </cell>
          <cell r="E279" t="str">
            <v>CUSHING</v>
          </cell>
        </row>
        <row r="280">
          <cell r="C280" t="str">
            <v>203-01</v>
          </cell>
          <cell r="D280">
            <v>1520000</v>
          </cell>
          <cell r="E280" t="str">
            <v>MAYBERRY</v>
          </cell>
        </row>
        <row r="281">
          <cell r="C281" t="str">
            <v>1800-02</v>
          </cell>
          <cell r="D281">
            <v>1460000</v>
          </cell>
          <cell r="E281" t="str">
            <v>NELSON</v>
          </cell>
        </row>
        <row r="282">
          <cell r="C282" t="str">
            <v>197-01</v>
          </cell>
          <cell r="D282">
            <v>2030000</v>
          </cell>
          <cell r="E282" t="str">
            <v>KILLION</v>
          </cell>
        </row>
        <row r="283">
          <cell r="C283" t="str">
            <v>123-02</v>
          </cell>
          <cell r="D283">
            <v>1310000</v>
          </cell>
          <cell r="E283" t="str">
            <v>MALAVE</v>
          </cell>
        </row>
        <row r="284">
          <cell r="C284" t="str">
            <v>178-01</v>
          </cell>
          <cell r="D284">
            <v>1090000</v>
          </cell>
          <cell r="E284" t="str">
            <v>SPECTOR</v>
          </cell>
        </row>
        <row r="285">
          <cell r="C285" t="str">
            <v>1803-02</v>
          </cell>
          <cell r="D285">
            <v>1460000</v>
          </cell>
          <cell r="E285" t="str">
            <v>NELSON</v>
          </cell>
        </row>
        <row r="286">
          <cell r="C286" t="str">
            <v>183-01</v>
          </cell>
          <cell r="D286">
            <v>2030000</v>
          </cell>
          <cell r="E286" t="str">
            <v>KILLION</v>
          </cell>
        </row>
        <row r="287">
          <cell r="C287" t="str">
            <v>1801-02</v>
          </cell>
          <cell r="D287">
            <v>1460000</v>
          </cell>
          <cell r="E287" t="str">
            <v>NELSON</v>
          </cell>
        </row>
        <row r="288">
          <cell r="C288" t="str">
            <v>175-01</v>
          </cell>
          <cell r="D288">
            <v>1520000</v>
          </cell>
          <cell r="E288" t="str">
            <v>MAYBERRY</v>
          </cell>
        </row>
        <row r="289">
          <cell r="C289" t="str">
            <v>118-02</v>
          </cell>
          <cell r="D289">
            <v>1480000</v>
          </cell>
          <cell r="E289" t="str">
            <v>STURGEON</v>
          </cell>
        </row>
        <row r="290">
          <cell r="C290" t="str">
            <v>157-01</v>
          </cell>
          <cell r="D290">
            <v>1310000</v>
          </cell>
          <cell r="E290" t="str">
            <v>MALAVE</v>
          </cell>
        </row>
        <row r="291">
          <cell r="C291" t="str">
            <v>129-02</v>
          </cell>
          <cell r="D291">
            <v>1110000</v>
          </cell>
          <cell r="E291" t="str">
            <v>STARKS</v>
          </cell>
        </row>
        <row r="292">
          <cell r="C292" t="str">
            <v>155-01</v>
          </cell>
          <cell r="D292">
            <v>2030000</v>
          </cell>
          <cell r="E292" t="str">
            <v>KILLION</v>
          </cell>
        </row>
        <row r="294">
          <cell r="C294" t="str">
            <v>121-30</v>
          </cell>
          <cell r="D294">
            <v>2000000</v>
          </cell>
          <cell r="E294" t="str">
            <v>STAMBAUGH</v>
          </cell>
        </row>
        <row r="295">
          <cell r="C295" t="str">
            <v>242-28</v>
          </cell>
          <cell r="D295">
            <v>1820000</v>
          </cell>
          <cell r="E295" t="str">
            <v>ADANE</v>
          </cell>
        </row>
        <row r="296">
          <cell r="C296" t="str">
            <v>120-30</v>
          </cell>
          <cell r="D296">
            <v>1830000</v>
          </cell>
          <cell r="E296" t="str">
            <v>YORK</v>
          </cell>
        </row>
        <row r="297">
          <cell r="C297" t="str">
            <v>155-29</v>
          </cell>
          <cell r="D297">
            <v>1360000</v>
          </cell>
          <cell r="E297" t="str">
            <v>SANTIZO</v>
          </cell>
        </row>
        <row r="298">
          <cell r="C298" t="str">
            <v>133-30</v>
          </cell>
          <cell r="D298">
            <v>1830000</v>
          </cell>
          <cell r="E298" t="str">
            <v>YORK</v>
          </cell>
        </row>
        <row r="299">
          <cell r="C299" t="str">
            <v>142-29</v>
          </cell>
          <cell r="D299">
            <v>1830000</v>
          </cell>
          <cell r="E299" t="str">
            <v>YORK</v>
          </cell>
        </row>
        <row r="300">
          <cell r="C300" t="str">
            <v>121-30</v>
          </cell>
          <cell r="D300">
            <v>2000000</v>
          </cell>
          <cell r="E300" t="str">
            <v>STAMBAUGH</v>
          </cell>
        </row>
        <row r="301">
          <cell r="C301" t="str">
            <v>143-29</v>
          </cell>
          <cell r="D301">
            <v>900000</v>
          </cell>
          <cell r="E301" t="str">
            <v>ROCHA</v>
          </cell>
        </row>
        <row r="302">
          <cell r="C302" t="str">
            <v>106-30</v>
          </cell>
          <cell r="D302">
            <v>1830000</v>
          </cell>
          <cell r="E302" t="str">
            <v>YORK</v>
          </cell>
        </row>
        <row r="303">
          <cell r="C303" t="str">
            <v>235-28</v>
          </cell>
          <cell r="D303">
            <v>1280000</v>
          </cell>
          <cell r="E303" t="str">
            <v>BARTLETT</v>
          </cell>
        </row>
        <row r="304">
          <cell r="C304" t="str">
            <v>106-30</v>
          </cell>
          <cell r="D304">
            <v>1830000</v>
          </cell>
          <cell r="E304" t="str">
            <v>YORK</v>
          </cell>
        </row>
        <row r="305">
          <cell r="C305" t="str">
            <v>232-28</v>
          </cell>
          <cell r="D305">
            <v>2040000</v>
          </cell>
          <cell r="E305" t="str">
            <v>MOSES</v>
          </cell>
        </row>
        <row r="306">
          <cell r="C306" t="str">
            <v>804-30</v>
          </cell>
          <cell r="D306">
            <v>1340000</v>
          </cell>
          <cell r="E306" t="str">
            <v>BEAM</v>
          </cell>
        </row>
        <row r="307">
          <cell r="C307" t="str">
            <v>104-29</v>
          </cell>
          <cell r="D307">
            <v>1110000</v>
          </cell>
          <cell r="E307" t="str">
            <v>STARKS</v>
          </cell>
        </row>
        <row r="308">
          <cell r="C308" t="str">
            <v>806-30</v>
          </cell>
          <cell r="D308">
            <v>1460000</v>
          </cell>
          <cell r="E308" t="str">
            <v>NELSON</v>
          </cell>
        </row>
        <row r="309">
          <cell r="C309" t="str">
            <v>187-29</v>
          </cell>
          <cell r="D309">
            <v>1140000</v>
          </cell>
          <cell r="E309" t="str">
            <v>YOUNG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131-02</v>
          </cell>
          <cell r="D2">
            <v>1480000</v>
          </cell>
          <cell r="E2" t="str">
            <v>STURGEON</v>
          </cell>
        </row>
        <row r="3">
          <cell r="C3" t="str">
            <v>132-02</v>
          </cell>
          <cell r="D3">
            <v>1480000</v>
          </cell>
          <cell r="E3" t="str">
            <v>STURGEON</v>
          </cell>
        </row>
        <row r="4">
          <cell r="C4" t="str">
            <v>230-02</v>
          </cell>
          <cell r="D4">
            <v>1820000</v>
          </cell>
          <cell r="E4" t="str">
            <v>ADANE</v>
          </cell>
        </row>
        <row r="5">
          <cell r="C5" t="str">
            <v>125-02</v>
          </cell>
          <cell r="D5">
            <v>1100000</v>
          </cell>
          <cell r="E5" t="str">
            <v>GEBRETEKLE</v>
          </cell>
        </row>
        <row r="6">
          <cell r="C6" t="str">
            <v>161-02</v>
          </cell>
          <cell r="D6">
            <v>1540000</v>
          </cell>
          <cell r="E6" t="str">
            <v>HELVIE</v>
          </cell>
        </row>
        <row r="7">
          <cell r="C7" t="str">
            <v>170-02</v>
          </cell>
          <cell r="D7">
            <v>880000</v>
          </cell>
          <cell r="E7" t="str">
            <v>STEWART</v>
          </cell>
        </row>
        <row r="8">
          <cell r="C8" t="str">
            <v>1824-02</v>
          </cell>
          <cell r="D8">
            <v>1740000</v>
          </cell>
          <cell r="E8" t="str">
            <v>STORY</v>
          </cell>
        </row>
        <row r="9">
          <cell r="C9" t="str">
            <v>139-02</v>
          </cell>
          <cell r="D9">
            <v>1100000</v>
          </cell>
          <cell r="E9" t="str">
            <v>GEBRETEKLE</v>
          </cell>
        </row>
        <row r="10">
          <cell r="C10" t="str">
            <v>104-03</v>
          </cell>
          <cell r="D10">
            <v>1480000</v>
          </cell>
          <cell r="E10" t="str">
            <v>STURGEON</v>
          </cell>
        </row>
        <row r="11">
          <cell r="C11" t="str">
            <v>121-02</v>
          </cell>
          <cell r="D11">
            <v>1360000</v>
          </cell>
          <cell r="E11" t="str">
            <v>SANTIZO</v>
          </cell>
        </row>
        <row r="12">
          <cell r="C12" t="str">
            <v>HELVIE-02</v>
          </cell>
          <cell r="D12">
            <v>1540000</v>
          </cell>
          <cell r="E12" t="str">
            <v>HELVIE</v>
          </cell>
        </row>
        <row r="13">
          <cell r="C13" t="str">
            <v>114-02</v>
          </cell>
          <cell r="D13">
            <v>1840000</v>
          </cell>
          <cell r="E13" t="str">
            <v>CANFIELD</v>
          </cell>
        </row>
        <row r="14">
          <cell r="C14" t="str">
            <v>175-02</v>
          </cell>
          <cell r="D14">
            <v>1540000</v>
          </cell>
          <cell r="E14" t="str">
            <v>HELVIE</v>
          </cell>
        </row>
        <row r="15">
          <cell r="C15" t="str">
            <v>112-02</v>
          </cell>
          <cell r="D15">
            <v>1100000</v>
          </cell>
          <cell r="E15" t="str">
            <v>GEBRETEKLE</v>
          </cell>
        </row>
        <row r="16">
          <cell r="C16" t="str">
            <v>204-02</v>
          </cell>
          <cell r="D16">
            <v>1540000</v>
          </cell>
          <cell r="E16" t="str">
            <v>HELVIE</v>
          </cell>
        </row>
        <row r="17">
          <cell r="C17" t="str">
            <v>117-02</v>
          </cell>
          <cell r="D17">
            <v>1480000</v>
          </cell>
          <cell r="E17" t="str">
            <v>STURGEON</v>
          </cell>
        </row>
        <row r="18">
          <cell r="C18" t="str">
            <v>242-02</v>
          </cell>
          <cell r="D18">
            <v>1770000</v>
          </cell>
          <cell r="E18" t="str">
            <v>BRUDER</v>
          </cell>
        </row>
        <row r="19">
          <cell r="C19" t="str">
            <v>113-02</v>
          </cell>
          <cell r="D19">
            <v>1840000</v>
          </cell>
          <cell r="E19" t="str">
            <v>CANFIELD</v>
          </cell>
        </row>
        <row r="20">
          <cell r="C20" t="str">
            <v>148-02</v>
          </cell>
          <cell r="D20">
            <v>1830000</v>
          </cell>
          <cell r="E20" t="str">
            <v>YORK</v>
          </cell>
        </row>
        <row r="21">
          <cell r="C21" t="str">
            <v>106-02</v>
          </cell>
          <cell r="D21">
            <v>1830000</v>
          </cell>
          <cell r="E21" t="str">
            <v>YORK</v>
          </cell>
        </row>
        <row r="22">
          <cell r="C22" t="str">
            <v>154-02</v>
          </cell>
          <cell r="D22">
            <v>1260000</v>
          </cell>
          <cell r="E22" t="str">
            <v>ACKERMAN</v>
          </cell>
        </row>
        <row r="23">
          <cell r="C23" t="str">
            <v>103-02</v>
          </cell>
          <cell r="D23">
            <v>1480000</v>
          </cell>
          <cell r="E23" t="str">
            <v>STURGEON</v>
          </cell>
        </row>
        <row r="24">
          <cell r="C24" t="str">
            <v>174-02</v>
          </cell>
          <cell r="D24">
            <v>950000</v>
          </cell>
          <cell r="E24" t="str">
            <v>WEBSTER</v>
          </cell>
        </row>
        <row r="25">
          <cell r="C25" t="str">
            <v>245-01</v>
          </cell>
          <cell r="D25">
            <v>1820000</v>
          </cell>
          <cell r="E25" t="str">
            <v>ADANE</v>
          </cell>
        </row>
        <row r="26">
          <cell r="C26" t="str">
            <v>194-02</v>
          </cell>
          <cell r="D26">
            <v>1120000</v>
          </cell>
          <cell r="E26" t="str">
            <v>LOCKLEAR</v>
          </cell>
        </row>
        <row r="27">
          <cell r="C27" t="str">
            <v>243-02</v>
          </cell>
          <cell r="D27">
            <v>1240000</v>
          </cell>
          <cell r="E27" t="str">
            <v>GRASTON</v>
          </cell>
        </row>
        <row r="28">
          <cell r="C28" t="str">
            <v>1821-02</v>
          </cell>
          <cell r="D28">
            <v>1740000</v>
          </cell>
          <cell r="E28" t="str">
            <v>STORY</v>
          </cell>
        </row>
        <row r="29">
          <cell r="C29" t="str">
            <v>232-02</v>
          </cell>
          <cell r="D29">
            <v>1180000</v>
          </cell>
          <cell r="E29" t="str">
            <v>LEVERE</v>
          </cell>
        </row>
        <row r="30">
          <cell r="C30" t="str">
            <v>207-02</v>
          </cell>
          <cell r="D30">
            <v>1120000</v>
          </cell>
          <cell r="E30" t="str">
            <v>LOCKLEAR</v>
          </cell>
        </row>
        <row r="31">
          <cell r="C31" t="str">
            <v>101-03</v>
          </cell>
          <cell r="D31">
            <v>1840000</v>
          </cell>
          <cell r="E31" t="str">
            <v>CANFIELD</v>
          </cell>
        </row>
        <row r="32">
          <cell r="C32" t="str">
            <v>217-02</v>
          </cell>
          <cell r="D32">
            <v>1770000</v>
          </cell>
          <cell r="E32" t="str">
            <v>BRUDER</v>
          </cell>
        </row>
        <row r="33">
          <cell r="C33" t="str">
            <v>106-03</v>
          </cell>
          <cell r="D33">
            <v>1830000</v>
          </cell>
          <cell r="E33" t="str">
            <v>YORK</v>
          </cell>
        </row>
        <row r="34">
          <cell r="C34" t="str">
            <v>244-02</v>
          </cell>
          <cell r="D34">
            <v>1240000</v>
          </cell>
          <cell r="E34" t="str">
            <v>GRASTON</v>
          </cell>
        </row>
        <row r="35">
          <cell r="C35" t="str">
            <v>111-03</v>
          </cell>
          <cell r="D35">
            <v>1100000</v>
          </cell>
          <cell r="E35" t="str">
            <v>GEBRETEKLE</v>
          </cell>
        </row>
        <row r="36">
          <cell r="C36" t="str">
            <v>216-02</v>
          </cell>
          <cell r="D36">
            <v>950000</v>
          </cell>
          <cell r="E36" t="str">
            <v>WEBSTER</v>
          </cell>
        </row>
        <row r="37">
          <cell r="C37" t="str">
            <v>107-03</v>
          </cell>
          <cell r="D37">
            <v>1760000</v>
          </cell>
          <cell r="E37" t="str">
            <v>STRICKLAND</v>
          </cell>
        </row>
        <row r="38">
          <cell r="C38" t="str">
            <v>1829-02</v>
          </cell>
          <cell r="D38">
            <v>1740000</v>
          </cell>
          <cell r="E38" t="str">
            <v>STORY</v>
          </cell>
        </row>
        <row r="39">
          <cell r="C39" t="str">
            <v>241-02</v>
          </cell>
          <cell r="D39">
            <v>1770000</v>
          </cell>
          <cell r="E39" t="str">
            <v>BRUDER</v>
          </cell>
        </row>
        <row r="40">
          <cell r="C40" t="str">
            <v>239-02</v>
          </cell>
          <cell r="D40">
            <v>1180000</v>
          </cell>
          <cell r="E40" t="str">
            <v>LEVERE</v>
          </cell>
        </row>
        <row r="41">
          <cell r="C41" t="str">
            <v>220-02</v>
          </cell>
          <cell r="D41">
            <v>1240000</v>
          </cell>
          <cell r="E41" t="str">
            <v>GRASTON</v>
          </cell>
        </row>
        <row r="42">
          <cell r="C42" t="str">
            <v>152-02</v>
          </cell>
          <cell r="D42">
            <v>1310000</v>
          </cell>
          <cell r="E42" t="str">
            <v>MALAVE</v>
          </cell>
        </row>
        <row r="43">
          <cell r="C43" t="str">
            <v>193-02</v>
          </cell>
          <cell r="D43">
            <v>1120000</v>
          </cell>
          <cell r="E43" t="str">
            <v>LOCKLEAR</v>
          </cell>
        </row>
        <row r="44">
          <cell r="C44" t="str">
            <v>163-02</v>
          </cell>
          <cell r="D44">
            <v>940000</v>
          </cell>
          <cell r="E44" t="str">
            <v>BONDS</v>
          </cell>
        </row>
        <row r="45">
          <cell r="C45" t="str">
            <v>NATION-02</v>
          </cell>
          <cell r="D45">
            <v>750000</v>
          </cell>
          <cell r="E45" t="str">
            <v>NATION</v>
          </cell>
        </row>
        <row r="46">
          <cell r="C46" t="str">
            <v>213-02</v>
          </cell>
          <cell r="D46">
            <v>1180000</v>
          </cell>
          <cell r="E46" t="str">
            <v>LEVERE</v>
          </cell>
        </row>
        <row r="47">
          <cell r="C47" t="str">
            <v>214-02</v>
          </cell>
          <cell r="D47">
            <v>1180000</v>
          </cell>
          <cell r="E47" t="str">
            <v>LEVERE</v>
          </cell>
        </row>
        <row r="48">
          <cell r="C48" t="str">
            <v>141-02</v>
          </cell>
          <cell r="D48">
            <v>1840000</v>
          </cell>
          <cell r="E48" t="str">
            <v>CANFIELD</v>
          </cell>
        </row>
        <row r="49">
          <cell r="C49" t="str">
            <v>138-02</v>
          </cell>
          <cell r="D49">
            <v>1310000</v>
          </cell>
          <cell r="E49" t="str">
            <v>MALAVE</v>
          </cell>
        </row>
        <row r="50">
          <cell r="C50" t="str">
            <v>147-02</v>
          </cell>
          <cell r="D50">
            <v>1830000</v>
          </cell>
          <cell r="E50" t="str">
            <v>YORK</v>
          </cell>
        </row>
        <row r="51">
          <cell r="C51" t="str">
            <v>105-02</v>
          </cell>
          <cell r="D51">
            <v>1830000</v>
          </cell>
          <cell r="E51" t="str">
            <v>YORK</v>
          </cell>
        </row>
        <row r="52">
          <cell r="C52" t="str">
            <v>188-02</v>
          </cell>
          <cell r="D52">
            <v>950000</v>
          </cell>
          <cell r="E52" t="str">
            <v>WEBSTER</v>
          </cell>
        </row>
        <row r="53">
          <cell r="C53" t="str">
            <v>102-02</v>
          </cell>
          <cell r="D53">
            <v>1840000</v>
          </cell>
          <cell r="E53" t="str">
            <v>CANFIELD</v>
          </cell>
        </row>
        <row r="54">
          <cell r="C54" t="str">
            <v>202-02</v>
          </cell>
          <cell r="D54">
            <v>950000</v>
          </cell>
          <cell r="E54" t="str">
            <v>WEBSTER</v>
          </cell>
        </row>
        <row r="55">
          <cell r="C55" t="str">
            <v>GOLIGHTLY-01</v>
          </cell>
          <cell r="D55">
            <v>1410000</v>
          </cell>
          <cell r="E55" t="str">
            <v>GOLIGHTLY</v>
          </cell>
        </row>
        <row r="56">
          <cell r="C56" t="str">
            <v>209-02</v>
          </cell>
          <cell r="D56">
            <v>1260000</v>
          </cell>
          <cell r="E56" t="str">
            <v>ACKERMAN</v>
          </cell>
        </row>
        <row r="57">
          <cell r="C57" t="str">
            <v>240-01</v>
          </cell>
          <cell r="D57">
            <v>2040000</v>
          </cell>
          <cell r="E57" t="str">
            <v>MOSES</v>
          </cell>
        </row>
        <row r="58">
          <cell r="C58" t="str">
            <v>108-03</v>
          </cell>
          <cell r="D58">
            <v>1760000</v>
          </cell>
          <cell r="E58" t="str">
            <v>STRICKLAND</v>
          </cell>
        </row>
        <row r="59">
          <cell r="C59" t="str">
            <v>192-02</v>
          </cell>
          <cell r="D59">
            <v>1780000</v>
          </cell>
          <cell r="E59" t="str">
            <v>DE LA ROSA</v>
          </cell>
        </row>
        <row r="60">
          <cell r="C60" t="str">
            <v>1812-02</v>
          </cell>
          <cell r="D60">
            <v>1460000</v>
          </cell>
          <cell r="E60" t="str">
            <v>NELSON</v>
          </cell>
        </row>
        <row r="61">
          <cell r="C61" t="str">
            <v>175-02</v>
          </cell>
          <cell r="D61">
            <v>1540000</v>
          </cell>
          <cell r="E61" t="str">
            <v>HELVIE</v>
          </cell>
        </row>
        <row r="62">
          <cell r="C62" t="str">
            <v>109-02</v>
          </cell>
          <cell r="D62">
            <v>1310000</v>
          </cell>
          <cell r="E62" t="str">
            <v>MALAVE</v>
          </cell>
        </row>
        <row r="63">
          <cell r="C63" t="str">
            <v>104-02</v>
          </cell>
          <cell r="D63">
            <v>1480000</v>
          </cell>
          <cell r="E63" t="str">
            <v>STURGEON</v>
          </cell>
        </row>
        <row r="64">
          <cell r="C64" t="str">
            <v>1806-02</v>
          </cell>
          <cell r="D64">
            <v>1460000</v>
          </cell>
          <cell r="E64" t="str">
            <v>NELSON</v>
          </cell>
        </row>
        <row r="65">
          <cell r="C65" t="str">
            <v>222-02</v>
          </cell>
          <cell r="D65">
            <v>1820000</v>
          </cell>
          <cell r="E65" t="str">
            <v>ADANE</v>
          </cell>
        </row>
        <row r="66">
          <cell r="C66" t="str">
            <v>143-02</v>
          </cell>
          <cell r="D66">
            <v>1110000</v>
          </cell>
          <cell r="E66" t="str">
            <v>STARKS</v>
          </cell>
        </row>
        <row r="67">
          <cell r="C67" t="str">
            <v>218-02</v>
          </cell>
          <cell r="D67">
            <v>1770000</v>
          </cell>
          <cell r="E67" t="str">
            <v>BRUDER</v>
          </cell>
        </row>
        <row r="68">
          <cell r="C68" t="str">
            <v>140-02</v>
          </cell>
          <cell r="D68">
            <v>1100000</v>
          </cell>
          <cell r="E68" t="str">
            <v>GEBRETEKLE</v>
          </cell>
        </row>
        <row r="69">
          <cell r="C69" t="str">
            <v>211-02</v>
          </cell>
          <cell r="D69">
            <v>880000</v>
          </cell>
          <cell r="E69" t="str">
            <v>STEWART</v>
          </cell>
        </row>
        <row r="70">
          <cell r="C70" t="str">
            <v>144-02</v>
          </cell>
          <cell r="D70">
            <v>1110000</v>
          </cell>
          <cell r="E70" t="str">
            <v>STARKS</v>
          </cell>
        </row>
        <row r="71">
          <cell r="C71" t="str">
            <v>200-02</v>
          </cell>
          <cell r="D71">
            <v>1520000</v>
          </cell>
          <cell r="E71" t="str">
            <v>MAYBERRY</v>
          </cell>
        </row>
        <row r="72">
          <cell r="C72" t="str">
            <v>1811-02</v>
          </cell>
          <cell r="D72">
            <v>1460000</v>
          </cell>
          <cell r="E72" t="str">
            <v>NELSON</v>
          </cell>
        </row>
        <row r="73">
          <cell r="C73" t="str">
            <v>196-02</v>
          </cell>
          <cell r="D73">
            <v>1260000</v>
          </cell>
          <cell r="E73" t="str">
            <v>ACKERMAN</v>
          </cell>
        </row>
        <row r="74">
          <cell r="C74" t="str">
            <v>158-02</v>
          </cell>
          <cell r="D74">
            <v>1340000</v>
          </cell>
          <cell r="E74" t="str">
            <v>BEAM</v>
          </cell>
        </row>
        <row r="75">
          <cell r="C75" t="str">
            <v>201-02</v>
          </cell>
          <cell r="D75">
            <v>950000</v>
          </cell>
          <cell r="E75" t="str">
            <v>WEBSTER</v>
          </cell>
        </row>
        <row r="76">
          <cell r="C76" t="str">
            <v>119-02</v>
          </cell>
          <cell r="D76">
            <v>1830000</v>
          </cell>
          <cell r="E76" t="str">
            <v>YORK</v>
          </cell>
        </row>
        <row r="77">
          <cell r="C77" t="str">
            <v>150-02</v>
          </cell>
          <cell r="D77">
            <v>1360000</v>
          </cell>
          <cell r="E77" t="str">
            <v>SANTIZO</v>
          </cell>
        </row>
        <row r="78">
          <cell r="C78" t="str">
            <v>151-02</v>
          </cell>
          <cell r="D78">
            <v>1310000</v>
          </cell>
          <cell r="E78" t="str">
            <v>MALAVE</v>
          </cell>
        </row>
        <row r="79">
          <cell r="C79" t="str">
            <v>133-02</v>
          </cell>
          <cell r="D79">
            <v>1830000</v>
          </cell>
          <cell r="E79" t="str">
            <v>YORK</v>
          </cell>
        </row>
        <row r="80">
          <cell r="C80" t="str">
            <v>1813-02</v>
          </cell>
          <cell r="D80">
            <v>1460000</v>
          </cell>
          <cell r="E80" t="str">
            <v>NELSON</v>
          </cell>
        </row>
        <row r="81">
          <cell r="C81" t="str">
            <v>1826-02</v>
          </cell>
          <cell r="D81">
            <v>1740000</v>
          </cell>
          <cell r="E81" t="str">
            <v>STORY</v>
          </cell>
        </row>
        <row r="82">
          <cell r="C82" t="str">
            <v>177-02</v>
          </cell>
          <cell r="D82">
            <v>940000</v>
          </cell>
          <cell r="E82" t="str">
            <v>BONDS</v>
          </cell>
        </row>
        <row r="83">
          <cell r="C83" t="str">
            <v>1810-02</v>
          </cell>
          <cell r="D83">
            <v>1460000</v>
          </cell>
          <cell r="E83" t="str">
            <v>NELSON</v>
          </cell>
        </row>
        <row r="84">
          <cell r="C84" t="str">
            <v>181-02</v>
          </cell>
          <cell r="D84">
            <v>1260000</v>
          </cell>
          <cell r="E84" t="str">
            <v>ACKERMAN</v>
          </cell>
        </row>
        <row r="85">
          <cell r="C85" t="str">
            <v>1808-02</v>
          </cell>
          <cell r="D85">
            <v>750000</v>
          </cell>
          <cell r="E85" t="str">
            <v>NATION</v>
          </cell>
        </row>
        <row r="86">
          <cell r="C86" t="str">
            <v>119-02</v>
          </cell>
          <cell r="D86">
            <v>1830000</v>
          </cell>
          <cell r="E86" t="str">
            <v>YORK</v>
          </cell>
        </row>
        <row r="87">
          <cell r="C87" t="str">
            <v>147-02</v>
          </cell>
          <cell r="D87">
            <v>1830000</v>
          </cell>
          <cell r="E87" t="str">
            <v>YORK</v>
          </cell>
        </row>
        <row r="88">
          <cell r="C88" t="str">
            <v>120-02</v>
          </cell>
          <cell r="D88">
            <v>1830000</v>
          </cell>
          <cell r="E88" t="str">
            <v>YORK</v>
          </cell>
        </row>
        <row r="89">
          <cell r="C89" t="str">
            <v>210-02</v>
          </cell>
          <cell r="D89">
            <v>1260000</v>
          </cell>
          <cell r="E89" t="str">
            <v>ACKERMAN</v>
          </cell>
        </row>
        <row r="90">
          <cell r="C90" t="str">
            <v>127-02</v>
          </cell>
          <cell r="D90">
            <v>1840000</v>
          </cell>
          <cell r="E90" t="str">
            <v>CANFIELD</v>
          </cell>
        </row>
        <row r="91">
          <cell r="C91" t="str">
            <v>191-02</v>
          </cell>
          <cell r="D91">
            <v>1780000</v>
          </cell>
          <cell r="E91" t="str">
            <v>DE LA ROSA</v>
          </cell>
        </row>
        <row r="92">
          <cell r="C92" t="str">
            <v>126-02</v>
          </cell>
          <cell r="D92">
            <v>1100000</v>
          </cell>
          <cell r="E92" t="str">
            <v>GEBRETEKLE</v>
          </cell>
        </row>
        <row r="93">
          <cell r="C93" t="str">
            <v>185-02</v>
          </cell>
          <cell r="D93">
            <v>1520000</v>
          </cell>
          <cell r="E93" t="str">
            <v>MAYBERRY</v>
          </cell>
        </row>
        <row r="94">
          <cell r="C94" t="str">
            <v>142-02</v>
          </cell>
          <cell r="D94">
            <v>1840000</v>
          </cell>
          <cell r="E94" t="str">
            <v>CANFIELD</v>
          </cell>
        </row>
        <row r="95">
          <cell r="C95" t="str">
            <v>116-02</v>
          </cell>
          <cell r="D95">
            <v>1110000</v>
          </cell>
          <cell r="E95" t="str">
            <v>STARKS</v>
          </cell>
        </row>
        <row r="96">
          <cell r="C96" t="str">
            <v>161-02</v>
          </cell>
          <cell r="D96">
            <v>1540000</v>
          </cell>
          <cell r="E96" t="str">
            <v>HELVIE</v>
          </cell>
        </row>
        <row r="97">
          <cell r="C97" t="str">
            <v>101-02</v>
          </cell>
          <cell r="D97">
            <v>1840000</v>
          </cell>
          <cell r="E97" t="str">
            <v>CANFIELD</v>
          </cell>
        </row>
        <row r="98">
          <cell r="C98" t="str">
            <v>165-02</v>
          </cell>
          <cell r="D98">
            <v>1120000</v>
          </cell>
          <cell r="E98" t="str">
            <v>LOCKLEAR</v>
          </cell>
        </row>
        <row r="99">
          <cell r="C99" t="str">
            <v>1831-02</v>
          </cell>
          <cell r="D99">
            <v>1740000</v>
          </cell>
          <cell r="E99" t="str">
            <v>STORY</v>
          </cell>
        </row>
        <row r="100">
          <cell r="C100" t="str">
            <v>107-02</v>
          </cell>
          <cell r="D100">
            <v>1360000</v>
          </cell>
          <cell r="E100" t="str">
            <v>SANTIZO</v>
          </cell>
        </row>
        <row r="101">
          <cell r="C101" t="str">
            <v>223-02</v>
          </cell>
          <cell r="D101">
            <v>1180000</v>
          </cell>
          <cell r="E101" t="str">
            <v>LEVERE</v>
          </cell>
        </row>
        <row r="102">
          <cell r="C102" t="str">
            <v>133-02</v>
          </cell>
          <cell r="D102">
            <v>1830000</v>
          </cell>
          <cell r="E102" t="str">
            <v>YORK</v>
          </cell>
        </row>
        <row r="103">
          <cell r="C103" t="str">
            <v>1827-02</v>
          </cell>
          <cell r="D103">
            <v>1740000</v>
          </cell>
          <cell r="E103" t="str">
            <v>STORY</v>
          </cell>
        </row>
        <row r="104">
          <cell r="C104" t="str">
            <v>187-02</v>
          </cell>
          <cell r="D104">
            <v>950000</v>
          </cell>
          <cell r="E104" t="str">
            <v>WEBSTER</v>
          </cell>
        </row>
        <row r="105">
          <cell r="C105" t="str">
            <v>1820-02</v>
          </cell>
          <cell r="D105">
            <v>1740000</v>
          </cell>
          <cell r="E105" t="str">
            <v>STORY</v>
          </cell>
        </row>
        <row r="106">
          <cell r="C106" t="str">
            <v>189-02</v>
          </cell>
          <cell r="D106">
            <v>1540000</v>
          </cell>
          <cell r="E106" t="str">
            <v>HELVIE</v>
          </cell>
        </row>
        <row r="107">
          <cell r="C107" t="str">
            <v>189-02</v>
          </cell>
          <cell r="D107">
            <v>1540000</v>
          </cell>
          <cell r="E107" t="str">
            <v>HELVIE</v>
          </cell>
        </row>
        <row r="108">
          <cell r="C108" t="str">
            <v>1830-02</v>
          </cell>
          <cell r="D108">
            <v>1740000</v>
          </cell>
          <cell r="E108" t="str">
            <v>STORY</v>
          </cell>
        </row>
        <row r="109">
          <cell r="C109" t="str">
            <v>1818-02</v>
          </cell>
          <cell r="D109">
            <v>1740000</v>
          </cell>
          <cell r="E109" t="str">
            <v>STORY</v>
          </cell>
        </row>
        <row r="110">
          <cell r="C110" t="str">
            <v>1832-02</v>
          </cell>
          <cell r="D110">
            <v>1740000</v>
          </cell>
          <cell r="E110" t="str">
            <v>STORY</v>
          </cell>
        </row>
        <row r="111">
          <cell r="C111" t="str">
            <v>169-02</v>
          </cell>
          <cell r="D111">
            <v>880000</v>
          </cell>
          <cell r="E111" t="str">
            <v>STEWART</v>
          </cell>
        </row>
        <row r="112">
          <cell r="C112" t="str">
            <v>204-02</v>
          </cell>
          <cell r="D112">
            <v>1540000</v>
          </cell>
          <cell r="E112" t="str">
            <v>HELVIE</v>
          </cell>
        </row>
        <row r="113">
          <cell r="C113" t="str">
            <v>147-02</v>
          </cell>
          <cell r="D113">
            <v>1830000</v>
          </cell>
          <cell r="E113" t="str">
            <v>YORK</v>
          </cell>
        </row>
        <row r="114">
          <cell r="C114" t="str">
            <v>246-02</v>
          </cell>
          <cell r="D114">
            <v>1820000</v>
          </cell>
          <cell r="E114" t="str">
            <v>ADANE</v>
          </cell>
        </row>
        <row r="115">
          <cell r="C115" t="str">
            <v>134-02</v>
          </cell>
          <cell r="D115">
            <v>1830000</v>
          </cell>
          <cell r="E115" t="str">
            <v>YORK</v>
          </cell>
        </row>
        <row r="116">
          <cell r="C116" t="str">
            <v>103-03</v>
          </cell>
          <cell r="D116">
            <v>1480000</v>
          </cell>
          <cell r="E116" t="str">
            <v>STURGEON</v>
          </cell>
        </row>
        <row r="117">
          <cell r="C117" t="str">
            <v>115-02</v>
          </cell>
          <cell r="D117">
            <v>1110000</v>
          </cell>
          <cell r="E117" t="str">
            <v>STARKS</v>
          </cell>
        </row>
        <row r="118">
          <cell r="C118" t="str">
            <v>176-02</v>
          </cell>
          <cell r="D118">
            <v>1540000</v>
          </cell>
          <cell r="E118" t="str">
            <v>HELVIE</v>
          </cell>
        </row>
        <row r="119">
          <cell r="C119" t="str">
            <v>108-02</v>
          </cell>
          <cell r="D119">
            <v>1360000</v>
          </cell>
          <cell r="E119" t="str">
            <v>SANTIZO</v>
          </cell>
        </row>
        <row r="120">
          <cell r="C120" t="str">
            <v>180-02</v>
          </cell>
          <cell r="D120">
            <v>1120000</v>
          </cell>
          <cell r="E120" t="str">
            <v>LOCKLEAR</v>
          </cell>
        </row>
        <row r="121">
          <cell r="C121" t="str">
            <v>221-02</v>
          </cell>
          <cell r="D121">
            <v>1820000</v>
          </cell>
          <cell r="E121" t="str">
            <v>ADANE</v>
          </cell>
        </row>
        <row r="122">
          <cell r="C122" t="str">
            <v>197-02</v>
          </cell>
          <cell r="D122">
            <v>880000</v>
          </cell>
          <cell r="E122" t="str">
            <v>STEWART</v>
          </cell>
        </row>
        <row r="123">
          <cell r="C123" t="str">
            <v>203-02</v>
          </cell>
          <cell r="D123">
            <v>1540000</v>
          </cell>
          <cell r="E123" t="str">
            <v>HELVIE</v>
          </cell>
        </row>
        <row r="124">
          <cell r="C124" t="str">
            <v>236-02</v>
          </cell>
          <cell r="D124">
            <v>1240000</v>
          </cell>
          <cell r="E124" t="str">
            <v>GRASTON</v>
          </cell>
        </row>
        <row r="125">
          <cell r="C125" t="str">
            <v>183-02</v>
          </cell>
          <cell r="D125">
            <v>880000</v>
          </cell>
          <cell r="E125" t="str">
            <v>STEWART</v>
          </cell>
        </row>
        <row r="126">
          <cell r="C126" t="str">
            <v>177-02</v>
          </cell>
          <cell r="D126">
            <v>940000</v>
          </cell>
          <cell r="E126" t="str">
            <v>BONDS</v>
          </cell>
        </row>
        <row r="127">
          <cell r="C127" t="str">
            <v>168-02</v>
          </cell>
          <cell r="D127">
            <v>1260000</v>
          </cell>
          <cell r="E127" t="str">
            <v>ACKERMAN</v>
          </cell>
        </row>
        <row r="128">
          <cell r="C128" t="str">
            <v>198-02</v>
          </cell>
          <cell r="D128">
            <v>880000</v>
          </cell>
          <cell r="E128" t="str">
            <v>STEWART</v>
          </cell>
        </row>
        <row r="129">
          <cell r="C129" t="str">
            <v>173-02</v>
          </cell>
          <cell r="D129">
            <v>950000</v>
          </cell>
          <cell r="E129" t="str">
            <v>WEBSTER</v>
          </cell>
        </row>
        <row r="130">
          <cell r="C130" t="str">
            <v>224-02</v>
          </cell>
          <cell r="D130">
            <v>1180000</v>
          </cell>
          <cell r="E130" t="str">
            <v>LEVERE</v>
          </cell>
        </row>
        <row r="131">
          <cell r="C131" t="str">
            <v>111-02</v>
          </cell>
          <cell r="D131">
            <v>1100000</v>
          </cell>
          <cell r="E131" t="str">
            <v>GEBRETEKLE</v>
          </cell>
        </row>
        <row r="132">
          <cell r="C132" t="str">
            <v>238-02</v>
          </cell>
          <cell r="D132">
            <v>1820000</v>
          </cell>
          <cell r="E132" t="str">
            <v>ADANE</v>
          </cell>
        </row>
        <row r="133">
          <cell r="C133" t="str">
            <v>102-03</v>
          </cell>
          <cell r="D133">
            <v>1840000</v>
          </cell>
          <cell r="E133" t="str">
            <v>CANFIELD</v>
          </cell>
        </row>
        <row r="134">
          <cell r="C134" t="str">
            <v>244-02</v>
          </cell>
          <cell r="D134">
            <v>1240000</v>
          </cell>
          <cell r="E134" t="str">
            <v>GRASTON</v>
          </cell>
        </row>
        <row r="135">
          <cell r="C135" t="str">
            <v>104-03</v>
          </cell>
          <cell r="D135">
            <v>1480000</v>
          </cell>
          <cell r="E135" t="str">
            <v>STURGEON</v>
          </cell>
        </row>
        <row r="136">
          <cell r="C136" t="str">
            <v>184-02</v>
          </cell>
          <cell r="D136">
            <v>880000</v>
          </cell>
          <cell r="E136" t="str">
            <v>STEWART</v>
          </cell>
        </row>
        <row r="137">
          <cell r="C137" t="str">
            <v>234-02</v>
          </cell>
          <cell r="D137">
            <v>1770000</v>
          </cell>
          <cell r="E137" t="str">
            <v>BRUDER</v>
          </cell>
        </row>
        <row r="138">
          <cell r="C138" t="str">
            <v>199-02</v>
          </cell>
          <cell r="D138">
            <v>1520000</v>
          </cell>
          <cell r="E138" t="str">
            <v>MAYBERRY</v>
          </cell>
        </row>
        <row r="139">
          <cell r="C139" t="str">
            <v>1822-02</v>
          </cell>
          <cell r="D139">
            <v>1740000</v>
          </cell>
          <cell r="E139" t="str">
            <v>STORY</v>
          </cell>
        </row>
        <row r="140">
          <cell r="C140" t="str">
            <v>135-02</v>
          </cell>
          <cell r="D140">
            <v>1360000</v>
          </cell>
          <cell r="E140" t="str">
            <v>SANTIZO</v>
          </cell>
        </row>
        <row r="141">
          <cell r="C141" t="str">
            <v>195-02</v>
          </cell>
          <cell r="D141">
            <v>1260000</v>
          </cell>
          <cell r="E141" t="str">
            <v>ACKERMAN</v>
          </cell>
        </row>
        <row r="142">
          <cell r="C142" t="str">
            <v>155-02</v>
          </cell>
          <cell r="D142">
            <v>1100000</v>
          </cell>
          <cell r="E142" t="str">
            <v>GEBRETEKLE</v>
          </cell>
        </row>
        <row r="143">
          <cell r="C143" t="str">
            <v>171-02</v>
          </cell>
          <cell r="D143">
            <v>1520000</v>
          </cell>
          <cell r="E143" t="str">
            <v>MAYBERRY</v>
          </cell>
        </row>
        <row r="144">
          <cell r="C144" t="str">
            <v>215-02</v>
          </cell>
          <cell r="D144">
            <v>950000</v>
          </cell>
          <cell r="E144" t="str">
            <v>WEBSTER</v>
          </cell>
        </row>
        <row r="145">
          <cell r="C145" t="str">
            <v>160-02</v>
          </cell>
          <cell r="D145">
            <v>1110000</v>
          </cell>
          <cell r="E145" t="str">
            <v>STARKS</v>
          </cell>
        </row>
        <row r="146">
          <cell r="C146" t="str">
            <v>240-02</v>
          </cell>
          <cell r="D146">
            <v>1180000</v>
          </cell>
          <cell r="E146" t="str">
            <v>LEVERE</v>
          </cell>
        </row>
        <row r="147">
          <cell r="C147" t="str">
            <v>1807-02</v>
          </cell>
          <cell r="D147">
            <v>750000</v>
          </cell>
          <cell r="E147" t="str">
            <v>NATION</v>
          </cell>
        </row>
        <row r="148">
          <cell r="C148" t="str">
            <v>246-01</v>
          </cell>
          <cell r="D148">
            <v>1820000</v>
          </cell>
          <cell r="E148" t="str">
            <v>ADANE</v>
          </cell>
        </row>
        <row r="149">
          <cell r="C149" t="str">
            <v>245-02</v>
          </cell>
          <cell r="D149">
            <v>1820000</v>
          </cell>
          <cell r="E149" t="str">
            <v>ADANE</v>
          </cell>
        </row>
        <row r="150">
          <cell r="C150" t="str">
            <v>212-02</v>
          </cell>
          <cell r="D150">
            <v>880000</v>
          </cell>
          <cell r="E150" t="str">
            <v>STEWART</v>
          </cell>
        </row>
        <row r="151">
          <cell r="C151" t="str">
            <v>235-02</v>
          </cell>
          <cell r="D151">
            <v>1240000</v>
          </cell>
          <cell r="E151" t="str">
            <v>GRASTON</v>
          </cell>
        </row>
        <row r="152">
          <cell r="C152" t="str">
            <v>1803-02</v>
          </cell>
          <cell r="D152">
            <v>1460000</v>
          </cell>
          <cell r="E152" t="str">
            <v>NELSON</v>
          </cell>
        </row>
        <row r="153">
          <cell r="C153" t="str">
            <v>1828-02</v>
          </cell>
          <cell r="D153">
            <v>1740000</v>
          </cell>
          <cell r="E153" t="str">
            <v>STORY</v>
          </cell>
        </row>
        <row r="154">
          <cell r="C154" t="str">
            <v>147-02</v>
          </cell>
          <cell r="D154">
            <v>1830000</v>
          </cell>
          <cell r="E154" t="str">
            <v>YORK</v>
          </cell>
        </row>
        <row r="155">
          <cell r="C155" t="str">
            <v>208-02</v>
          </cell>
          <cell r="D155">
            <v>1120000</v>
          </cell>
          <cell r="E155" t="str">
            <v>LOCKLEAR</v>
          </cell>
        </row>
        <row r="156">
          <cell r="C156" t="str">
            <v>1817-02</v>
          </cell>
          <cell r="D156">
            <v>1740000</v>
          </cell>
          <cell r="E156" t="str">
            <v>STORY</v>
          </cell>
        </row>
        <row r="157">
          <cell r="C157" t="str">
            <v>1816-02</v>
          </cell>
          <cell r="D157">
            <v>1460000</v>
          </cell>
          <cell r="E157" t="str">
            <v>NELSON</v>
          </cell>
        </row>
        <row r="158">
          <cell r="C158" t="str">
            <v>136-02</v>
          </cell>
          <cell r="D158">
            <v>1360000</v>
          </cell>
          <cell r="E158" t="str">
            <v>SANTIZO</v>
          </cell>
        </row>
        <row r="159">
          <cell r="C159" t="str">
            <v>179-02</v>
          </cell>
          <cell r="D159">
            <v>1120000</v>
          </cell>
          <cell r="E159" t="str">
            <v>LOCKLEAR</v>
          </cell>
        </row>
        <row r="160">
          <cell r="C160" t="str">
            <v>227-02</v>
          </cell>
          <cell r="D160">
            <v>1240000</v>
          </cell>
          <cell r="E160" t="str">
            <v>GRASTON</v>
          </cell>
        </row>
        <row r="161">
          <cell r="C161" t="str">
            <v>172-02</v>
          </cell>
          <cell r="D161">
            <v>1520000</v>
          </cell>
          <cell r="E161" t="str">
            <v>MAYBERRY</v>
          </cell>
        </row>
        <row r="162">
          <cell r="C162" t="str">
            <v>229-02</v>
          </cell>
          <cell r="D162">
            <v>1820000</v>
          </cell>
          <cell r="E162" t="str">
            <v>ADANE</v>
          </cell>
        </row>
        <row r="163">
          <cell r="C163" t="str">
            <v>166-02</v>
          </cell>
          <cell r="D163">
            <v>1120000</v>
          </cell>
          <cell r="E163" t="str">
            <v>LOCKLEAR</v>
          </cell>
        </row>
        <row r="164">
          <cell r="C164" t="str">
            <v>240-01</v>
          </cell>
          <cell r="D164">
            <v>2040000</v>
          </cell>
          <cell r="E164" t="str">
            <v>MOSES</v>
          </cell>
        </row>
        <row r="165">
          <cell r="C165" t="str">
            <v>1814-02</v>
          </cell>
          <cell r="D165">
            <v>1460000</v>
          </cell>
          <cell r="E165" t="str">
            <v>NELSON</v>
          </cell>
        </row>
        <row r="166">
          <cell r="C166" t="str">
            <v>1800-02</v>
          </cell>
          <cell r="D166">
            <v>1460000</v>
          </cell>
          <cell r="E166" t="str">
            <v>NELSON</v>
          </cell>
        </row>
        <row r="167">
          <cell r="C167" t="str">
            <v>162-02</v>
          </cell>
          <cell r="D167">
            <v>1540000</v>
          </cell>
          <cell r="E167" t="str">
            <v>HELVIE</v>
          </cell>
        </row>
        <row r="168">
          <cell r="C168" t="str">
            <v>1801-02</v>
          </cell>
          <cell r="D168">
            <v>1460000</v>
          </cell>
          <cell r="E168" t="str">
            <v>NELSON</v>
          </cell>
        </row>
        <row r="169">
          <cell r="C169" t="str">
            <v>159-02</v>
          </cell>
          <cell r="D169">
            <v>1110000</v>
          </cell>
          <cell r="E169" t="str">
            <v>STARKS</v>
          </cell>
        </row>
        <row r="170">
          <cell r="C170" t="str">
            <v>118-02</v>
          </cell>
          <cell r="D170">
            <v>1480000</v>
          </cell>
          <cell r="E170" t="str">
            <v>STURGEON</v>
          </cell>
        </row>
        <row r="171">
          <cell r="C171" t="str">
            <v>157-02</v>
          </cell>
          <cell r="D171">
            <v>1340000</v>
          </cell>
          <cell r="E171" t="str">
            <v>BEAM</v>
          </cell>
        </row>
        <row r="172">
          <cell r="C172" t="str">
            <v>128-02</v>
          </cell>
          <cell r="D172">
            <v>1840000</v>
          </cell>
          <cell r="E172" t="str">
            <v>CANFIELD</v>
          </cell>
        </row>
        <row r="173">
          <cell r="C173" t="str">
            <v>145-02</v>
          </cell>
          <cell r="D173">
            <v>1480000</v>
          </cell>
          <cell r="E173" t="str">
            <v>STURGEON</v>
          </cell>
        </row>
        <row r="174">
          <cell r="C174" t="str">
            <v>137-02</v>
          </cell>
          <cell r="D174">
            <v>1310000</v>
          </cell>
          <cell r="E174" t="str">
            <v>MALAVE</v>
          </cell>
        </row>
        <row r="175">
          <cell r="C175" t="str">
            <v>1902-02</v>
          </cell>
          <cell r="D175">
            <v>1740000</v>
          </cell>
          <cell r="E175" t="str">
            <v>STORY</v>
          </cell>
        </row>
        <row r="176">
          <cell r="C176" t="str">
            <v>153-02</v>
          </cell>
          <cell r="D176">
            <v>1260000</v>
          </cell>
          <cell r="E176" t="str">
            <v>ACKERMAN</v>
          </cell>
        </row>
        <row r="177">
          <cell r="C177" t="str">
            <v>228-02</v>
          </cell>
          <cell r="D177">
            <v>1240000</v>
          </cell>
          <cell r="E177" t="str">
            <v>GRASTON</v>
          </cell>
        </row>
        <row r="178">
          <cell r="C178" t="str">
            <v>233-02</v>
          </cell>
          <cell r="D178">
            <v>1770000</v>
          </cell>
          <cell r="E178" t="str">
            <v>BRUDER</v>
          </cell>
        </row>
        <row r="179">
          <cell r="C179" t="str">
            <v>225-02</v>
          </cell>
          <cell r="D179">
            <v>1770000</v>
          </cell>
          <cell r="E179" t="str">
            <v>BRUDER</v>
          </cell>
        </row>
        <row r="180">
          <cell r="C180" t="str">
            <v>123-02</v>
          </cell>
          <cell r="D180">
            <v>1310000</v>
          </cell>
          <cell r="E180" t="str">
            <v>MALAVE</v>
          </cell>
        </row>
        <row r="181">
          <cell r="C181" t="str">
            <v>1819-02</v>
          </cell>
          <cell r="D181">
            <v>1740000</v>
          </cell>
          <cell r="E181" t="str">
            <v>STORY</v>
          </cell>
        </row>
        <row r="182">
          <cell r="C182" t="str">
            <v>124-02</v>
          </cell>
          <cell r="D182">
            <v>1310000</v>
          </cell>
          <cell r="E182" t="str">
            <v>MALAVE</v>
          </cell>
        </row>
        <row r="183">
          <cell r="C183" t="str">
            <v>1815-02</v>
          </cell>
          <cell r="D183">
            <v>1460000</v>
          </cell>
          <cell r="E183" t="str">
            <v>NELSON</v>
          </cell>
        </row>
        <row r="184">
          <cell r="C184" t="str">
            <v>1804-02</v>
          </cell>
          <cell r="D184">
            <v>1460000</v>
          </cell>
          <cell r="E184" t="str">
            <v>NELSON</v>
          </cell>
        </row>
        <row r="185">
          <cell r="C185" t="str">
            <v>164-02</v>
          </cell>
          <cell r="D185">
            <v>940000</v>
          </cell>
          <cell r="E185" t="str">
            <v>BONDS</v>
          </cell>
        </row>
        <row r="186">
          <cell r="C186" t="str">
            <v>178-02</v>
          </cell>
          <cell r="D186">
            <v>530000</v>
          </cell>
          <cell r="E186" t="str">
            <v>POLLOCK</v>
          </cell>
        </row>
        <row r="187">
          <cell r="C187" t="str">
            <v>237-02</v>
          </cell>
          <cell r="D187">
            <v>1820000</v>
          </cell>
          <cell r="E187" t="str">
            <v>ADANE</v>
          </cell>
        </row>
        <row r="188">
          <cell r="C188" t="str">
            <v>206-02</v>
          </cell>
          <cell r="D188">
            <v>1780000</v>
          </cell>
          <cell r="E188" t="str">
            <v>DE LA ROSA</v>
          </cell>
        </row>
        <row r="189">
          <cell r="C189" t="str">
            <v>226-02</v>
          </cell>
          <cell r="D189">
            <v>1770000</v>
          </cell>
          <cell r="E189" t="str">
            <v>BRUDER</v>
          </cell>
        </row>
        <row r="190">
          <cell r="C190" t="str">
            <v>1809-02</v>
          </cell>
          <cell r="D190">
            <v>1460000</v>
          </cell>
          <cell r="E190" t="str">
            <v>NELSON</v>
          </cell>
        </row>
        <row r="191">
          <cell r="C191" t="str">
            <v>219-02</v>
          </cell>
          <cell r="D191">
            <v>1240000</v>
          </cell>
          <cell r="E191" t="str">
            <v>GRASTON</v>
          </cell>
        </row>
        <row r="192">
          <cell r="C192" t="str">
            <v>149-02</v>
          </cell>
          <cell r="D192">
            <v>1360000</v>
          </cell>
          <cell r="E192" t="str">
            <v>SANTIZO</v>
          </cell>
        </row>
        <row r="193">
          <cell r="C193" t="str">
            <v>1823-02</v>
          </cell>
          <cell r="D193">
            <v>1740000</v>
          </cell>
          <cell r="E193" t="str">
            <v>STORY</v>
          </cell>
        </row>
        <row r="194">
          <cell r="C194" t="str">
            <v>175-02</v>
          </cell>
          <cell r="D194">
            <v>1540000</v>
          </cell>
          <cell r="E194" t="str">
            <v>HELVIE</v>
          </cell>
        </row>
        <row r="195">
          <cell r="C195" t="str">
            <v>205-02</v>
          </cell>
          <cell r="D195">
            <v>1780000</v>
          </cell>
          <cell r="E195" t="str">
            <v>DE LA ROSA</v>
          </cell>
        </row>
        <row r="196">
          <cell r="C196" t="str">
            <v>166-02</v>
          </cell>
          <cell r="D196">
            <v>1120000</v>
          </cell>
          <cell r="E196" t="str">
            <v>LOCKLEAR</v>
          </cell>
        </row>
        <row r="197">
          <cell r="C197" t="str">
            <v>190-02</v>
          </cell>
          <cell r="D197">
            <v>1540000</v>
          </cell>
          <cell r="E197" t="str">
            <v>HELVIE</v>
          </cell>
        </row>
        <row r="198">
          <cell r="C198" t="str">
            <v>1825-02</v>
          </cell>
          <cell r="D198">
            <v>1740000</v>
          </cell>
          <cell r="E198" t="str">
            <v>STORY</v>
          </cell>
        </row>
        <row r="199">
          <cell r="C199" t="str">
            <v>182-02</v>
          </cell>
          <cell r="D199">
            <v>1260000</v>
          </cell>
          <cell r="E199" t="str">
            <v>ACKERMAN</v>
          </cell>
        </row>
        <row r="200">
          <cell r="C200" t="str">
            <v>129-02</v>
          </cell>
          <cell r="D200">
            <v>1110000</v>
          </cell>
          <cell r="E200" t="str">
            <v>STARKS</v>
          </cell>
        </row>
        <row r="201">
          <cell r="C201" t="str">
            <v>167-02</v>
          </cell>
          <cell r="D201">
            <v>1260000</v>
          </cell>
          <cell r="E201" t="str">
            <v>ACKERMAN</v>
          </cell>
        </row>
        <row r="202">
          <cell r="C202" t="str">
            <v>1805-02</v>
          </cell>
          <cell r="D202">
            <v>1460000</v>
          </cell>
          <cell r="E202" t="str">
            <v>NELSON</v>
          </cell>
        </row>
        <row r="203">
          <cell r="C203" t="str">
            <v>165-02</v>
          </cell>
          <cell r="D203">
            <v>1120000</v>
          </cell>
          <cell r="E203" t="str">
            <v>LOCKLEAR</v>
          </cell>
        </row>
        <row r="204">
          <cell r="C204" t="str">
            <v>156-02</v>
          </cell>
          <cell r="D204">
            <v>1100000</v>
          </cell>
          <cell r="E204" t="str">
            <v>GEBRETEKLE</v>
          </cell>
        </row>
        <row r="205">
          <cell r="C205" t="str">
            <v>GOLIGHTLY-01</v>
          </cell>
          <cell r="D205">
            <v>1410000</v>
          </cell>
          <cell r="E205" t="str">
            <v>GOLIGHTLY</v>
          </cell>
        </row>
        <row r="206">
          <cell r="C206" t="str">
            <v>186-02</v>
          </cell>
          <cell r="D206">
            <v>1520000</v>
          </cell>
          <cell r="E206" t="str">
            <v>MAYBERRY</v>
          </cell>
        </row>
        <row r="207">
          <cell r="C207" t="str">
            <v>122-02</v>
          </cell>
          <cell r="D207">
            <v>1360000</v>
          </cell>
          <cell r="E207" t="str">
            <v>SANTIZO</v>
          </cell>
        </row>
        <row r="208">
          <cell r="C208" t="str">
            <v>231-02</v>
          </cell>
          <cell r="D208">
            <v>1180000</v>
          </cell>
          <cell r="E208" t="str">
            <v>LEVERE</v>
          </cell>
        </row>
        <row r="209">
          <cell r="C209" t="str">
            <v>110-02</v>
          </cell>
          <cell r="D209">
            <v>1310000</v>
          </cell>
          <cell r="E209" t="str">
            <v>MALAVE</v>
          </cell>
        </row>
        <row r="210">
          <cell r="C210" t="str">
            <v>1833-02</v>
          </cell>
          <cell r="D210">
            <v>1740000</v>
          </cell>
          <cell r="E210" t="str">
            <v>STORY</v>
          </cell>
        </row>
        <row r="211">
          <cell r="C211" t="str">
            <v>130-02</v>
          </cell>
          <cell r="D211">
            <v>1110000</v>
          </cell>
          <cell r="E211" t="str">
            <v>STARKS</v>
          </cell>
        </row>
        <row r="212">
          <cell r="C212" t="str">
            <v>105-03</v>
          </cell>
          <cell r="D212">
            <v>1830000</v>
          </cell>
          <cell r="E212" t="str">
            <v>YORK</v>
          </cell>
        </row>
        <row r="213">
          <cell r="C213" t="str">
            <v>1802-02</v>
          </cell>
          <cell r="D213">
            <v>1460000</v>
          </cell>
          <cell r="E213" t="str">
            <v>NELSON</v>
          </cell>
        </row>
        <row r="214">
          <cell r="C214" t="str">
            <v>104-03</v>
          </cell>
          <cell r="D214">
            <v>1480000</v>
          </cell>
          <cell r="E214" t="str">
            <v>STURGEON</v>
          </cell>
        </row>
        <row r="215">
          <cell r="C215" t="str">
            <v>244-01</v>
          </cell>
          <cell r="D215">
            <v>1990000</v>
          </cell>
          <cell r="E215" t="str">
            <v>DAVIS</v>
          </cell>
        </row>
        <row r="216">
          <cell r="C216" t="str">
            <v>109-03</v>
          </cell>
          <cell r="D216">
            <v>1310000</v>
          </cell>
          <cell r="E216" t="str">
            <v>MALAVE</v>
          </cell>
        </row>
        <row r="217">
          <cell r="C217" t="str">
            <v>242-01</v>
          </cell>
          <cell r="D217">
            <v>1770000</v>
          </cell>
          <cell r="E217" t="str">
            <v>BRUDER</v>
          </cell>
        </row>
        <row r="218">
          <cell r="C218" t="str">
            <v>113-03</v>
          </cell>
          <cell r="D218">
            <v>1840000</v>
          </cell>
          <cell r="E218" t="str">
            <v>CANFIELD</v>
          </cell>
        </row>
        <row r="219">
          <cell r="C219" t="str">
            <v>146-02</v>
          </cell>
          <cell r="D219">
            <v>1480000</v>
          </cell>
          <cell r="E219" t="str">
            <v>STURGEON</v>
          </cell>
        </row>
        <row r="221">
          <cell r="C221" t="str">
            <v>209-01</v>
          </cell>
          <cell r="D221">
            <v>1120000</v>
          </cell>
          <cell r="E221" t="str">
            <v>LOCKLEAR</v>
          </cell>
        </row>
        <row r="222">
          <cell r="C222" t="str">
            <v>826-01</v>
          </cell>
          <cell r="D222">
            <v>1540000</v>
          </cell>
          <cell r="E222" t="str">
            <v>HELVIE</v>
          </cell>
        </row>
        <row r="223">
          <cell r="C223" t="str">
            <v>906-01</v>
          </cell>
          <cell r="D223">
            <v>530000</v>
          </cell>
          <cell r="E223" t="str">
            <v>POLLOCK</v>
          </cell>
        </row>
        <row r="224">
          <cell r="C224" t="str">
            <v>195-01</v>
          </cell>
          <cell r="D224">
            <v>1120000</v>
          </cell>
          <cell r="E224" t="str">
            <v>LOCKLEAR</v>
          </cell>
        </row>
        <row r="225">
          <cell r="C225" t="str">
            <v>236-01</v>
          </cell>
          <cell r="D225">
            <v>1990000</v>
          </cell>
          <cell r="E225" t="str">
            <v>DAVIS</v>
          </cell>
        </row>
        <row r="226">
          <cell r="C226" t="str">
            <v>187-01</v>
          </cell>
          <cell r="D226">
            <v>900000</v>
          </cell>
          <cell r="E226" t="str">
            <v>ROCHA</v>
          </cell>
        </row>
        <row r="227">
          <cell r="C227" t="str">
            <v>108-01</v>
          </cell>
          <cell r="D227">
            <v>1840000</v>
          </cell>
          <cell r="E227" t="str">
            <v>CANFIELD</v>
          </cell>
        </row>
        <row r="228">
          <cell r="C228" t="str">
            <v>185-01</v>
          </cell>
          <cell r="D228">
            <v>880000</v>
          </cell>
          <cell r="E228" t="str">
            <v>STEWART</v>
          </cell>
        </row>
        <row r="229">
          <cell r="C229" t="str">
            <v>801-01</v>
          </cell>
          <cell r="D229">
            <v>1340000</v>
          </cell>
          <cell r="E229" t="str">
            <v>BEAM</v>
          </cell>
        </row>
        <row r="230">
          <cell r="C230" t="str">
            <v>185-01</v>
          </cell>
          <cell r="D230">
            <v>880000</v>
          </cell>
          <cell r="E230" t="str">
            <v>STEWART</v>
          </cell>
        </row>
        <row r="231">
          <cell r="C231" t="str">
            <v>127-01</v>
          </cell>
          <cell r="D231">
            <v>1310000</v>
          </cell>
          <cell r="E231" t="str">
            <v>MALAVE</v>
          </cell>
        </row>
        <row r="232">
          <cell r="C232" t="str">
            <v>816-01</v>
          </cell>
          <cell r="D232">
            <v>1460000</v>
          </cell>
          <cell r="E232" t="str">
            <v>NELSON</v>
          </cell>
        </row>
        <row r="233">
          <cell r="C233" t="str">
            <v>145-01</v>
          </cell>
          <cell r="D233">
            <v>1830000</v>
          </cell>
          <cell r="E233" t="str">
            <v>YORK</v>
          </cell>
        </row>
        <row r="234">
          <cell r="C234" t="str">
            <v>1802-02</v>
          </cell>
          <cell r="D234">
            <v>1460000</v>
          </cell>
          <cell r="E234" t="str">
            <v>NELSON</v>
          </cell>
        </row>
        <row r="235">
          <cell r="C235" t="str">
            <v>155-01</v>
          </cell>
          <cell r="D235">
            <v>2030000</v>
          </cell>
          <cell r="E235" t="str">
            <v>KILLION</v>
          </cell>
        </row>
        <row r="236">
          <cell r="C236" t="str">
            <v>224-01</v>
          </cell>
          <cell r="D236">
            <v>2040000</v>
          </cell>
          <cell r="E236" t="str">
            <v>MOSES</v>
          </cell>
        </row>
        <row r="237">
          <cell r="C237" t="str">
            <v>215-01</v>
          </cell>
          <cell r="D237">
            <v>1800000</v>
          </cell>
          <cell r="E237" t="str">
            <v>CHANDLER</v>
          </cell>
        </row>
        <row r="238">
          <cell r="C238" t="str">
            <v>223-01</v>
          </cell>
          <cell r="D238">
            <v>2040000</v>
          </cell>
          <cell r="E238" t="str">
            <v>MOSES</v>
          </cell>
        </row>
        <row r="239">
          <cell r="C239" t="str">
            <v>217-01</v>
          </cell>
          <cell r="D239">
            <v>1770000</v>
          </cell>
          <cell r="E239" t="str">
            <v>BRUDER</v>
          </cell>
        </row>
        <row r="240">
          <cell r="C240" t="str">
            <v>836-01</v>
          </cell>
          <cell r="D240">
            <v>530000</v>
          </cell>
          <cell r="E240" t="str">
            <v>POLLOCK</v>
          </cell>
        </row>
        <row r="241">
          <cell r="C241" t="str">
            <v>219-01</v>
          </cell>
          <cell r="D241">
            <v>1990000</v>
          </cell>
          <cell r="E241" t="str">
            <v>DAVIS</v>
          </cell>
        </row>
        <row r="242">
          <cell r="C242" t="str">
            <v>202-01</v>
          </cell>
          <cell r="D242">
            <v>900000</v>
          </cell>
          <cell r="E242" t="str">
            <v>ROCHA</v>
          </cell>
        </row>
        <row r="243">
          <cell r="C243" t="str">
            <v>222-01</v>
          </cell>
          <cell r="D243">
            <v>1820000</v>
          </cell>
          <cell r="E243" t="str">
            <v>ADANE</v>
          </cell>
        </row>
        <row r="244">
          <cell r="C244" t="str">
            <v>192-01</v>
          </cell>
          <cell r="D244">
            <v>1090000</v>
          </cell>
          <cell r="E244" t="str">
            <v>SPECTOR</v>
          </cell>
        </row>
        <row r="245">
          <cell r="C245" t="str">
            <v>238-01</v>
          </cell>
          <cell r="D245">
            <v>1820000</v>
          </cell>
          <cell r="E245" t="str">
            <v>ADANE</v>
          </cell>
        </row>
        <row r="246">
          <cell r="C246" t="str">
            <v>179-01</v>
          </cell>
          <cell r="D246">
            <v>2020000</v>
          </cell>
          <cell r="E246" t="str">
            <v>SHOOK</v>
          </cell>
        </row>
        <row r="247">
          <cell r="C247" t="str">
            <v>240-01</v>
          </cell>
          <cell r="D247">
            <v>2040000</v>
          </cell>
          <cell r="E247" t="str">
            <v>MOSES</v>
          </cell>
        </row>
        <row r="248">
          <cell r="C248" t="str">
            <v>173-01</v>
          </cell>
          <cell r="D248">
            <v>900000</v>
          </cell>
          <cell r="E248" t="str">
            <v>ROCHA</v>
          </cell>
        </row>
        <row r="249">
          <cell r="C249" t="str">
            <v>103-01</v>
          </cell>
          <cell r="D249">
            <v>1480000</v>
          </cell>
          <cell r="E249" t="str">
            <v>STURGEON</v>
          </cell>
        </row>
        <row r="250">
          <cell r="C250" t="str">
            <v>818-01</v>
          </cell>
          <cell r="D250">
            <v>1460000</v>
          </cell>
          <cell r="E250" t="str">
            <v>NELSON</v>
          </cell>
        </row>
        <row r="251">
          <cell r="C251" t="str">
            <v>113-01</v>
          </cell>
          <cell r="D251">
            <v>1830000</v>
          </cell>
          <cell r="E251" t="str">
            <v>YORK</v>
          </cell>
        </row>
        <row r="252">
          <cell r="C252" t="str">
            <v>244-01</v>
          </cell>
          <cell r="D252">
            <v>1990000</v>
          </cell>
          <cell r="E252" t="str">
            <v>DAVIS</v>
          </cell>
        </row>
        <row r="253">
          <cell r="C253" t="str">
            <v>114-01</v>
          </cell>
          <cell r="D253">
            <v>2010000</v>
          </cell>
          <cell r="E253" t="str">
            <v>MAELZER</v>
          </cell>
        </row>
        <row r="254">
          <cell r="C254" t="str">
            <v>242-01</v>
          </cell>
          <cell r="D254">
            <v>1770000</v>
          </cell>
          <cell r="E254" t="str">
            <v>BRUDER</v>
          </cell>
        </row>
        <row r="255">
          <cell r="C255" t="str">
            <v>803-01</v>
          </cell>
          <cell r="D255">
            <v>1460000</v>
          </cell>
          <cell r="E255" t="str">
            <v>NELSON</v>
          </cell>
        </row>
        <row r="256">
          <cell r="C256" t="str">
            <v>234-01</v>
          </cell>
          <cell r="D256">
            <v>1770000</v>
          </cell>
          <cell r="E256" t="str">
            <v>BRUDER</v>
          </cell>
        </row>
        <row r="257">
          <cell r="C257" t="str">
            <v>118-01</v>
          </cell>
          <cell r="D257">
            <v>2000000</v>
          </cell>
          <cell r="E257" t="str">
            <v>STAMBAUGH</v>
          </cell>
        </row>
        <row r="258">
          <cell r="C258" t="str">
            <v>844-01</v>
          </cell>
          <cell r="D258">
            <v>1540000</v>
          </cell>
          <cell r="E258" t="str">
            <v>HELVIE</v>
          </cell>
        </row>
        <row r="259">
          <cell r="C259" t="str">
            <v>127-01</v>
          </cell>
          <cell r="D259">
            <v>1310000</v>
          </cell>
          <cell r="E259" t="str">
            <v>MALAVE</v>
          </cell>
        </row>
        <row r="260">
          <cell r="C260" t="str">
            <v>212-01</v>
          </cell>
          <cell r="D260">
            <v>2030000</v>
          </cell>
          <cell r="E260" t="str">
            <v>KILLION</v>
          </cell>
        </row>
        <row r="261">
          <cell r="C261" t="str">
            <v>158-01</v>
          </cell>
          <cell r="D261">
            <v>1310000</v>
          </cell>
          <cell r="E261" t="str">
            <v>MALAVE</v>
          </cell>
        </row>
        <row r="262">
          <cell r="C262" t="str">
            <v>835-01</v>
          </cell>
          <cell r="D262">
            <v>530000</v>
          </cell>
          <cell r="E262" t="str">
            <v>POLLOCK</v>
          </cell>
        </row>
        <row r="263">
          <cell r="C263" t="str">
            <v>181-01</v>
          </cell>
          <cell r="D263">
            <v>1120000</v>
          </cell>
          <cell r="E263" t="str">
            <v>LOCKLEAR</v>
          </cell>
        </row>
        <row r="264">
          <cell r="C264" t="str">
            <v>834-01</v>
          </cell>
          <cell r="D264">
            <v>1540000</v>
          </cell>
          <cell r="E264" t="str">
            <v>HELVIE</v>
          </cell>
        </row>
        <row r="265">
          <cell r="C265" t="str">
            <v>174-01</v>
          </cell>
          <cell r="D265">
            <v>900000</v>
          </cell>
          <cell r="E265" t="str">
            <v>ROCHA</v>
          </cell>
        </row>
        <row r="266">
          <cell r="C266" t="str">
            <v>168-01</v>
          </cell>
          <cell r="D266">
            <v>1120000</v>
          </cell>
          <cell r="E266" t="str">
            <v>LOCKLEAR</v>
          </cell>
        </row>
        <row r="267">
          <cell r="C267" t="str">
            <v>824-01</v>
          </cell>
          <cell r="D267">
            <v>1540000</v>
          </cell>
          <cell r="E267" t="str">
            <v>HELVIE</v>
          </cell>
        </row>
        <row r="268">
          <cell r="C268" t="str">
            <v>110-02</v>
          </cell>
          <cell r="D268">
            <v>1310000</v>
          </cell>
          <cell r="E268" t="str">
            <v>MALAVE</v>
          </cell>
        </row>
        <row r="269">
          <cell r="C269" t="str">
            <v>828-01</v>
          </cell>
          <cell r="D269">
            <v>530000</v>
          </cell>
          <cell r="E269" t="str">
            <v>POLLOCK</v>
          </cell>
        </row>
        <row r="270">
          <cell r="C270" t="str">
            <v>GOLIGHTLY-01</v>
          </cell>
          <cell r="D270">
            <v>1410000</v>
          </cell>
          <cell r="E270" t="str">
            <v>GOLIGHTLY</v>
          </cell>
        </row>
        <row r="271">
          <cell r="C271" t="str">
            <v>217-01</v>
          </cell>
          <cell r="D271">
            <v>1770000</v>
          </cell>
          <cell r="E271" t="str">
            <v>BRUDER</v>
          </cell>
        </row>
        <row r="272">
          <cell r="C272" t="str">
            <v>847-01</v>
          </cell>
          <cell r="D272">
            <v>1540000</v>
          </cell>
          <cell r="E272" t="str">
            <v>HELVIE</v>
          </cell>
        </row>
        <row r="273">
          <cell r="C273" t="str">
            <v>GOLIGHTLY-30</v>
          </cell>
          <cell r="D273">
            <v>1410000</v>
          </cell>
          <cell r="E273" t="str">
            <v>GOLIGHTLY</v>
          </cell>
        </row>
        <row r="274">
          <cell r="C274" t="str">
            <v>216-01</v>
          </cell>
          <cell r="D274">
            <v>1800000</v>
          </cell>
          <cell r="E274" t="str">
            <v>CHANDLER</v>
          </cell>
        </row>
        <row r="275">
          <cell r="C275" t="str">
            <v>126-01</v>
          </cell>
          <cell r="D275">
            <v>1110000</v>
          </cell>
          <cell r="E275" t="str">
            <v>STARKS</v>
          </cell>
        </row>
        <row r="276">
          <cell r="C276" t="str">
            <v>208-01</v>
          </cell>
          <cell r="D276">
            <v>2020000</v>
          </cell>
          <cell r="E276" t="str">
            <v>SHOOK</v>
          </cell>
        </row>
        <row r="277">
          <cell r="C277" t="str">
            <v>811-01</v>
          </cell>
          <cell r="D277">
            <v>1460000</v>
          </cell>
          <cell r="E277" t="str">
            <v>NELSON</v>
          </cell>
        </row>
        <row r="278">
          <cell r="C278" t="str">
            <v>204-01</v>
          </cell>
          <cell r="D278">
            <v>1520000</v>
          </cell>
          <cell r="E278" t="str">
            <v>MAYBERRY</v>
          </cell>
        </row>
        <row r="279">
          <cell r="C279" t="str">
            <v>138-01</v>
          </cell>
          <cell r="D279">
            <v>1200000</v>
          </cell>
          <cell r="E279" t="str">
            <v>CUSHING</v>
          </cell>
        </row>
        <row r="280">
          <cell r="C280" t="str">
            <v>203-01</v>
          </cell>
          <cell r="D280">
            <v>1520000</v>
          </cell>
          <cell r="E280" t="str">
            <v>MAYBERRY</v>
          </cell>
        </row>
        <row r="281">
          <cell r="C281" t="str">
            <v>1800-02</v>
          </cell>
          <cell r="D281">
            <v>1460000</v>
          </cell>
          <cell r="E281" t="str">
            <v>NELSON</v>
          </cell>
        </row>
        <row r="282">
          <cell r="C282" t="str">
            <v>197-01</v>
          </cell>
          <cell r="D282">
            <v>2030000</v>
          </cell>
          <cell r="E282" t="str">
            <v>KILLION</v>
          </cell>
        </row>
        <row r="283">
          <cell r="C283" t="str">
            <v>123-02</v>
          </cell>
          <cell r="D283">
            <v>1310000</v>
          </cell>
          <cell r="E283" t="str">
            <v>MALAVE</v>
          </cell>
        </row>
        <row r="284">
          <cell r="C284" t="str">
            <v>178-01</v>
          </cell>
          <cell r="D284">
            <v>1090000</v>
          </cell>
          <cell r="E284" t="str">
            <v>SPECTOR</v>
          </cell>
        </row>
        <row r="285">
          <cell r="C285" t="str">
            <v>1803-02</v>
          </cell>
          <cell r="D285">
            <v>1460000</v>
          </cell>
          <cell r="E285" t="str">
            <v>NELSON</v>
          </cell>
        </row>
        <row r="286">
          <cell r="C286" t="str">
            <v>183-01</v>
          </cell>
          <cell r="D286">
            <v>2030000</v>
          </cell>
          <cell r="E286" t="str">
            <v>KILLION</v>
          </cell>
        </row>
        <row r="287">
          <cell r="C287" t="str">
            <v>1801-02</v>
          </cell>
          <cell r="D287">
            <v>1460000</v>
          </cell>
          <cell r="E287" t="str">
            <v>NELSON</v>
          </cell>
        </row>
        <row r="288">
          <cell r="C288" t="str">
            <v>175-01</v>
          </cell>
          <cell r="D288">
            <v>1520000</v>
          </cell>
          <cell r="E288" t="str">
            <v>MAYBERRY</v>
          </cell>
        </row>
        <row r="289">
          <cell r="C289" t="str">
            <v>118-02</v>
          </cell>
          <cell r="D289">
            <v>1480000</v>
          </cell>
          <cell r="E289" t="str">
            <v>STURGEON</v>
          </cell>
        </row>
        <row r="290">
          <cell r="C290" t="str">
            <v>157-01</v>
          </cell>
          <cell r="D290">
            <v>1310000</v>
          </cell>
          <cell r="E290" t="str">
            <v>MALAVE</v>
          </cell>
        </row>
        <row r="291">
          <cell r="C291" t="str">
            <v>129-02</v>
          </cell>
          <cell r="D291">
            <v>1110000</v>
          </cell>
          <cell r="E291" t="str">
            <v>STARKS</v>
          </cell>
        </row>
        <row r="292">
          <cell r="C292" t="str">
            <v>155-01</v>
          </cell>
          <cell r="D292">
            <v>2030000</v>
          </cell>
          <cell r="E292" t="str">
            <v>KILLION</v>
          </cell>
        </row>
        <row r="294">
          <cell r="C294" t="str">
            <v>121-30</v>
          </cell>
          <cell r="D294">
            <v>2000000</v>
          </cell>
          <cell r="E294" t="str">
            <v>STAMBAUGH</v>
          </cell>
        </row>
        <row r="295">
          <cell r="C295" t="str">
            <v>242-28</v>
          </cell>
          <cell r="D295">
            <v>1820000</v>
          </cell>
          <cell r="E295" t="str">
            <v>ADANE</v>
          </cell>
        </row>
        <row r="296">
          <cell r="C296" t="str">
            <v>120-30</v>
          </cell>
          <cell r="D296">
            <v>1830000</v>
          </cell>
          <cell r="E296" t="str">
            <v>YORK</v>
          </cell>
        </row>
        <row r="297">
          <cell r="C297" t="str">
            <v>155-29</v>
          </cell>
          <cell r="D297">
            <v>1360000</v>
          </cell>
          <cell r="E297" t="str">
            <v>SANTIZO</v>
          </cell>
        </row>
        <row r="298">
          <cell r="C298" t="str">
            <v>133-30</v>
          </cell>
          <cell r="D298">
            <v>1830000</v>
          </cell>
          <cell r="E298" t="str">
            <v>YORK</v>
          </cell>
        </row>
        <row r="299">
          <cell r="C299" t="str">
            <v>142-29</v>
          </cell>
          <cell r="D299">
            <v>1830000</v>
          </cell>
          <cell r="E299" t="str">
            <v>YORK</v>
          </cell>
        </row>
        <row r="300">
          <cell r="C300" t="str">
            <v>121-30</v>
          </cell>
          <cell r="D300">
            <v>2000000</v>
          </cell>
          <cell r="E300" t="str">
            <v>STAMBAUGH</v>
          </cell>
        </row>
        <row r="301">
          <cell r="C301" t="str">
            <v>143-29</v>
          </cell>
          <cell r="D301">
            <v>900000</v>
          </cell>
          <cell r="E301" t="str">
            <v>ROCHA</v>
          </cell>
        </row>
        <row r="302">
          <cell r="C302" t="str">
            <v>106-30</v>
          </cell>
          <cell r="D302">
            <v>1830000</v>
          </cell>
          <cell r="E302" t="str">
            <v>YORK</v>
          </cell>
        </row>
        <row r="303">
          <cell r="C303" t="str">
            <v>235-28</v>
          </cell>
          <cell r="D303">
            <v>1280000</v>
          </cell>
          <cell r="E303" t="str">
            <v>BARTLETT</v>
          </cell>
        </row>
        <row r="304">
          <cell r="C304" t="str">
            <v>106-30</v>
          </cell>
          <cell r="D304">
            <v>1830000</v>
          </cell>
          <cell r="E304" t="str">
            <v>YORK</v>
          </cell>
        </row>
        <row r="305">
          <cell r="C305" t="str">
            <v>232-28</v>
          </cell>
          <cell r="D305">
            <v>2040000</v>
          </cell>
          <cell r="E305" t="str">
            <v>MOSES</v>
          </cell>
        </row>
        <row r="306">
          <cell r="C306" t="str">
            <v>804-30</v>
          </cell>
          <cell r="D306">
            <v>1340000</v>
          </cell>
          <cell r="E306" t="str">
            <v>BEAM</v>
          </cell>
        </row>
        <row r="307">
          <cell r="C307" t="str">
            <v>104-29</v>
          </cell>
          <cell r="D307">
            <v>1110000</v>
          </cell>
          <cell r="E307" t="str">
            <v>STARKS</v>
          </cell>
        </row>
        <row r="308">
          <cell r="C308" t="str">
            <v>806-30</v>
          </cell>
          <cell r="D308">
            <v>1460000</v>
          </cell>
          <cell r="E308" t="str">
            <v>NELSON</v>
          </cell>
        </row>
        <row r="309">
          <cell r="C309" t="str">
            <v>187-29</v>
          </cell>
          <cell r="D309">
            <v>1140000</v>
          </cell>
          <cell r="E309" t="str">
            <v>YOUNG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1829-03</v>
          </cell>
          <cell r="D2">
            <v>1780000</v>
          </cell>
          <cell r="E2" t="str">
            <v>DE LA ROSA</v>
          </cell>
        </row>
        <row r="3">
          <cell r="C3" t="str">
            <v>240-03</v>
          </cell>
          <cell r="D3">
            <v>1140000</v>
          </cell>
          <cell r="E3" t="str">
            <v>YOUNG</v>
          </cell>
        </row>
        <row r="4">
          <cell r="C4" t="str">
            <v>144-04</v>
          </cell>
          <cell r="D4">
            <v>1310000</v>
          </cell>
          <cell r="E4" t="str">
            <v>MALAVE</v>
          </cell>
        </row>
        <row r="5">
          <cell r="C5" t="str">
            <v>166-04</v>
          </cell>
          <cell r="D5">
            <v>1120000</v>
          </cell>
          <cell r="E5" t="str">
            <v>LOCKLEAR</v>
          </cell>
        </row>
        <row r="6">
          <cell r="C6" t="str">
            <v>122-04</v>
          </cell>
          <cell r="D6">
            <v>1230000</v>
          </cell>
          <cell r="E6" t="str">
            <v>YANAI</v>
          </cell>
        </row>
        <row r="7">
          <cell r="C7" t="str">
            <v>124-04</v>
          </cell>
          <cell r="D7">
            <v>1090000</v>
          </cell>
          <cell r="E7" t="str">
            <v>SPECTOR</v>
          </cell>
        </row>
        <row r="8">
          <cell r="C8" t="str">
            <v>234-03</v>
          </cell>
          <cell r="D8">
            <v>1770000</v>
          </cell>
          <cell r="E8" t="str">
            <v>BRUDER</v>
          </cell>
        </row>
        <row r="9">
          <cell r="C9" t="str">
            <v>241-03</v>
          </cell>
          <cell r="D9">
            <v>1770000</v>
          </cell>
          <cell r="E9" t="str">
            <v>BRUDER</v>
          </cell>
        </row>
        <row r="10">
          <cell r="C10" t="str">
            <v>901-04</v>
          </cell>
          <cell r="D10">
            <v>1820000</v>
          </cell>
          <cell r="E10" t="str">
            <v>ADANE</v>
          </cell>
        </row>
        <row r="11">
          <cell r="C11" t="str">
            <v>155-04</v>
          </cell>
          <cell r="D11">
            <v>1340000</v>
          </cell>
          <cell r="E11" t="str">
            <v>BEAM</v>
          </cell>
        </row>
        <row r="12">
          <cell r="C12" t="str">
            <v>801-04</v>
          </cell>
          <cell r="D12">
            <v>1820000</v>
          </cell>
          <cell r="E12" t="str">
            <v>ADANE</v>
          </cell>
        </row>
        <row r="13">
          <cell r="C13" t="str">
            <v>112-04</v>
          </cell>
          <cell r="D13">
            <v>1340000</v>
          </cell>
          <cell r="E13" t="str">
            <v>BEAM</v>
          </cell>
        </row>
        <row r="14">
          <cell r="C14" t="str">
            <v>121-04</v>
          </cell>
          <cell r="D14">
            <v>1230000</v>
          </cell>
          <cell r="E14" t="str">
            <v>YANAI</v>
          </cell>
        </row>
        <row r="15">
          <cell r="C15" t="str">
            <v>1828-03</v>
          </cell>
          <cell r="D15">
            <v>1780000</v>
          </cell>
          <cell r="E15" t="str">
            <v>DE LA ROSA</v>
          </cell>
        </row>
        <row r="16">
          <cell r="C16" t="str">
            <v>116-04</v>
          </cell>
          <cell r="D16">
            <v>1310000</v>
          </cell>
          <cell r="E16" t="str">
            <v>MALAVE</v>
          </cell>
        </row>
        <row r="17">
          <cell r="C17" t="str">
            <v>219-03</v>
          </cell>
          <cell r="D17">
            <v>1280000</v>
          </cell>
          <cell r="E17" t="str">
            <v>BARTLETT</v>
          </cell>
        </row>
        <row r="18">
          <cell r="C18" t="str">
            <v>126-04</v>
          </cell>
          <cell r="D18">
            <v>1340000</v>
          </cell>
          <cell r="E18" t="str">
            <v>BEAM</v>
          </cell>
        </row>
        <row r="19">
          <cell r="C19" t="str">
            <v>217-03</v>
          </cell>
          <cell r="D19">
            <v>1770000</v>
          </cell>
          <cell r="E19" t="str">
            <v>BRUDER</v>
          </cell>
        </row>
        <row r="20">
          <cell r="C20" t="str">
            <v>171-04</v>
          </cell>
          <cell r="D20">
            <v>1540000</v>
          </cell>
          <cell r="E20" t="str">
            <v>HELVIE</v>
          </cell>
        </row>
        <row r="21">
          <cell r="C21" t="str">
            <v>199-03</v>
          </cell>
          <cell r="D21">
            <v>540000</v>
          </cell>
          <cell r="E21" t="str">
            <v>MADLOM</v>
          </cell>
        </row>
        <row r="22">
          <cell r="C22" t="str">
            <v>103-04</v>
          </cell>
          <cell r="D22">
            <v>1480000</v>
          </cell>
          <cell r="E22" t="str">
            <v>STURGEON</v>
          </cell>
        </row>
        <row r="23">
          <cell r="C23" t="str">
            <v>1820-03</v>
          </cell>
          <cell r="D23">
            <v>1780000</v>
          </cell>
          <cell r="E23" t="str">
            <v>DE LA ROSA</v>
          </cell>
        </row>
        <row r="24">
          <cell r="C24" t="str">
            <v>804-04</v>
          </cell>
          <cell r="D24">
            <v>1460000</v>
          </cell>
          <cell r="E24" t="str">
            <v>NELSON</v>
          </cell>
        </row>
        <row r="25">
          <cell r="C25" t="str">
            <v>195-03</v>
          </cell>
          <cell r="D25">
            <v>1810000</v>
          </cell>
          <cell r="E25" t="str">
            <v>NEWELL</v>
          </cell>
        </row>
        <row r="26">
          <cell r="C26" t="str">
            <v>134-04</v>
          </cell>
          <cell r="D26">
            <v>1200000</v>
          </cell>
          <cell r="E26" t="str">
            <v>CUSHING</v>
          </cell>
        </row>
        <row r="27">
          <cell r="C27" t="str">
            <v>1811-03</v>
          </cell>
          <cell r="D27">
            <v>1540000</v>
          </cell>
          <cell r="E27" t="str">
            <v>HELVIE</v>
          </cell>
        </row>
        <row r="28">
          <cell r="C28" t="str">
            <v>149-04</v>
          </cell>
          <cell r="D28">
            <v>1230000</v>
          </cell>
          <cell r="E28" t="str">
            <v>YANAI</v>
          </cell>
        </row>
        <row r="29">
          <cell r="C29" t="str">
            <v>197-03</v>
          </cell>
          <cell r="D29">
            <v>880000</v>
          </cell>
          <cell r="E29" t="str">
            <v>STEWART</v>
          </cell>
        </row>
        <row r="30">
          <cell r="C30" t="str">
            <v>148-04</v>
          </cell>
          <cell r="D30">
            <v>900000</v>
          </cell>
          <cell r="E30" t="str">
            <v>ROCHA</v>
          </cell>
        </row>
        <row r="31">
          <cell r="C31" t="str">
            <v>177-03</v>
          </cell>
          <cell r="D31">
            <v>940000</v>
          </cell>
          <cell r="E31" t="str">
            <v>BONDS</v>
          </cell>
        </row>
        <row r="32">
          <cell r="C32" t="str">
            <v>163-04</v>
          </cell>
          <cell r="D32">
            <v>940000</v>
          </cell>
          <cell r="E32" t="str">
            <v>BONDS</v>
          </cell>
        </row>
        <row r="33">
          <cell r="C33" t="str">
            <v>143-03</v>
          </cell>
          <cell r="D33">
            <v>1520000</v>
          </cell>
          <cell r="E33" t="str">
            <v>MAYBERRY</v>
          </cell>
        </row>
        <row r="34">
          <cell r="C34" t="str">
            <v>226-03</v>
          </cell>
          <cell r="D34">
            <v>1770000</v>
          </cell>
          <cell r="E34" t="str">
            <v>BRUDER</v>
          </cell>
        </row>
        <row r="35">
          <cell r="C35" t="str">
            <v>108-03</v>
          </cell>
          <cell r="D35">
            <v>1760000</v>
          </cell>
          <cell r="E35" t="str">
            <v>STRICKLAND</v>
          </cell>
        </row>
        <row r="36">
          <cell r="C36" t="str">
            <v>1902-03</v>
          </cell>
          <cell r="D36">
            <v>1780000</v>
          </cell>
          <cell r="E36" t="str">
            <v>DE LA ROSA</v>
          </cell>
        </row>
        <row r="37">
          <cell r="C37" t="str">
            <v>183-03</v>
          </cell>
          <cell r="D37">
            <v>880000</v>
          </cell>
          <cell r="E37" t="str">
            <v>STEWART</v>
          </cell>
        </row>
        <row r="38">
          <cell r="C38" t="str">
            <v>156-04</v>
          </cell>
          <cell r="D38">
            <v>1340000</v>
          </cell>
          <cell r="E38" t="str">
            <v>BEAM</v>
          </cell>
        </row>
        <row r="39">
          <cell r="C39" t="str">
            <v>1813-03</v>
          </cell>
          <cell r="D39">
            <v>1540000</v>
          </cell>
          <cell r="E39" t="str">
            <v>HELVIE</v>
          </cell>
        </row>
        <row r="40">
          <cell r="C40" t="str">
            <v>183-04</v>
          </cell>
          <cell r="D40">
            <v>890000</v>
          </cell>
          <cell r="E40" t="str">
            <v>LOZA</v>
          </cell>
        </row>
        <row r="41">
          <cell r="C41" t="str">
            <v>125-03</v>
          </cell>
          <cell r="D41">
            <v>1100000</v>
          </cell>
          <cell r="E41" t="str">
            <v>GEBRETEKLE</v>
          </cell>
        </row>
        <row r="42">
          <cell r="C42" t="str">
            <v>224-03</v>
          </cell>
          <cell r="D42">
            <v>1140000</v>
          </cell>
          <cell r="E42" t="str">
            <v>YOUNG</v>
          </cell>
        </row>
        <row r="43">
          <cell r="C43" t="str">
            <v>204-03</v>
          </cell>
          <cell r="D43">
            <v>1240000</v>
          </cell>
          <cell r="E43" t="str">
            <v>GRASTON</v>
          </cell>
        </row>
        <row r="44">
          <cell r="C44" t="str">
            <v>237-03</v>
          </cell>
          <cell r="D44">
            <v>1290000</v>
          </cell>
          <cell r="E44" t="str">
            <v>COOLAHAN</v>
          </cell>
        </row>
        <row r="45">
          <cell r="C45" t="str">
            <v>1824-03</v>
          </cell>
          <cell r="D45">
            <v>1780000</v>
          </cell>
          <cell r="E45" t="str">
            <v>DE LA ROSA</v>
          </cell>
        </row>
        <row r="46">
          <cell r="C46" t="str">
            <v>113-04</v>
          </cell>
          <cell r="D46">
            <v>1840000</v>
          </cell>
          <cell r="E46" t="str">
            <v>CANFIELD</v>
          </cell>
        </row>
        <row r="47">
          <cell r="C47" t="str">
            <v>141-03</v>
          </cell>
          <cell r="D47">
            <v>1840000</v>
          </cell>
          <cell r="E47" t="str">
            <v>CANFIELD</v>
          </cell>
        </row>
        <row r="48">
          <cell r="C48" t="str">
            <v>109-04</v>
          </cell>
          <cell r="D48">
            <v>1090000</v>
          </cell>
          <cell r="E48" t="str">
            <v>SPECTOR</v>
          </cell>
        </row>
        <row r="49">
          <cell r="C49" t="str">
            <v>205-03</v>
          </cell>
          <cell r="D49">
            <v>940000</v>
          </cell>
          <cell r="E49" t="str">
            <v>BONDS</v>
          </cell>
        </row>
        <row r="50">
          <cell r="C50" t="str">
            <v>181-04</v>
          </cell>
          <cell r="D50">
            <v>1810000</v>
          </cell>
          <cell r="E50" t="str">
            <v>NEWELL</v>
          </cell>
        </row>
        <row r="51">
          <cell r="C51" t="str">
            <v>174-03</v>
          </cell>
          <cell r="D51">
            <v>950000</v>
          </cell>
          <cell r="E51" t="str">
            <v>WEBSTER</v>
          </cell>
        </row>
        <row r="52">
          <cell r="C52" t="str">
            <v>118-03</v>
          </cell>
          <cell r="D52">
            <v>1480000</v>
          </cell>
          <cell r="E52" t="str">
            <v>STURGEON</v>
          </cell>
        </row>
        <row r="53">
          <cell r="C53" t="str">
            <v>138-03</v>
          </cell>
          <cell r="D53">
            <v>1310000</v>
          </cell>
          <cell r="E53" t="str">
            <v>MALAVE</v>
          </cell>
        </row>
        <row r="54">
          <cell r="C54" t="str">
            <v>152-03</v>
          </cell>
          <cell r="D54">
            <v>1310000</v>
          </cell>
          <cell r="E54" t="str">
            <v>MALAVE</v>
          </cell>
        </row>
        <row r="55">
          <cell r="C55" t="str">
            <v>129-03</v>
          </cell>
          <cell r="D55">
            <v>1520000</v>
          </cell>
          <cell r="E55" t="str">
            <v>MAYBERRY</v>
          </cell>
        </row>
        <row r="56">
          <cell r="C56" t="str">
            <v>172-03</v>
          </cell>
          <cell r="D56">
            <v>540000</v>
          </cell>
          <cell r="E56" t="str">
            <v>MADLOM</v>
          </cell>
        </row>
        <row r="57">
          <cell r="C57" t="str">
            <v>119-03</v>
          </cell>
          <cell r="D57">
            <v>1830000</v>
          </cell>
          <cell r="E57" t="str">
            <v>YORK</v>
          </cell>
        </row>
        <row r="58">
          <cell r="C58" t="str">
            <v>246-02</v>
          </cell>
          <cell r="D58">
            <v>1820000</v>
          </cell>
          <cell r="E58" t="str">
            <v>ADANE</v>
          </cell>
        </row>
        <row r="59">
          <cell r="C59" t="str">
            <v>112-03</v>
          </cell>
          <cell r="D59">
            <v>1100000</v>
          </cell>
          <cell r="E59" t="str">
            <v>GEBRETEKLE</v>
          </cell>
        </row>
        <row r="60">
          <cell r="C60" t="str">
            <v>103-03</v>
          </cell>
          <cell r="D60">
            <v>1480000</v>
          </cell>
          <cell r="E60" t="str">
            <v>STURGEON</v>
          </cell>
        </row>
        <row r="61">
          <cell r="C61" t="str">
            <v>244-02</v>
          </cell>
          <cell r="D61">
            <v>1240000</v>
          </cell>
          <cell r="E61" t="str">
            <v>GRASTON</v>
          </cell>
        </row>
        <row r="62">
          <cell r="C62" t="str">
            <v>114-03</v>
          </cell>
          <cell r="D62">
            <v>1840000</v>
          </cell>
          <cell r="E62" t="str">
            <v>CANFIELD</v>
          </cell>
        </row>
        <row r="63">
          <cell r="C63" t="str">
            <v>186-03</v>
          </cell>
          <cell r="D63">
            <v>540000</v>
          </cell>
          <cell r="E63" t="str">
            <v>MADLOM</v>
          </cell>
        </row>
        <row r="64">
          <cell r="C64" t="str">
            <v>132-03</v>
          </cell>
          <cell r="D64">
            <v>1480000</v>
          </cell>
          <cell r="E64" t="str">
            <v>STURGEON</v>
          </cell>
        </row>
        <row r="65">
          <cell r="C65" t="str">
            <v>191-03</v>
          </cell>
          <cell r="D65">
            <v>940000</v>
          </cell>
          <cell r="E65" t="str">
            <v>BONDS</v>
          </cell>
        </row>
        <row r="66">
          <cell r="C66" t="str">
            <v>128-03</v>
          </cell>
          <cell r="D66">
            <v>1840000</v>
          </cell>
          <cell r="E66" t="str">
            <v>CANFIELD</v>
          </cell>
        </row>
        <row r="67">
          <cell r="C67" t="str">
            <v>242-02</v>
          </cell>
          <cell r="D67">
            <v>1770000</v>
          </cell>
          <cell r="E67" t="str">
            <v>BRUDER</v>
          </cell>
        </row>
        <row r="68">
          <cell r="C68" t="str">
            <v>144-03</v>
          </cell>
          <cell r="D68">
            <v>1520000</v>
          </cell>
          <cell r="E68" t="str">
            <v>MAYBERRY</v>
          </cell>
        </row>
        <row r="69">
          <cell r="C69" t="str">
            <v>133-03</v>
          </cell>
          <cell r="D69">
            <v>1830000</v>
          </cell>
          <cell r="E69" t="str">
            <v>YORK</v>
          </cell>
        </row>
        <row r="70">
          <cell r="C70" t="str">
            <v>244-02</v>
          </cell>
          <cell r="D70">
            <v>1240000</v>
          </cell>
          <cell r="E70" t="str">
            <v>GRASTON</v>
          </cell>
        </row>
        <row r="71">
          <cell r="C71" t="str">
            <v>104-03</v>
          </cell>
          <cell r="D71">
            <v>1480000</v>
          </cell>
          <cell r="E71" t="str">
            <v>STURGEON</v>
          </cell>
        </row>
        <row r="72">
          <cell r="C72" t="str">
            <v>1806-03</v>
          </cell>
          <cell r="D72">
            <v>1540000</v>
          </cell>
          <cell r="E72" t="str">
            <v>HELVIE</v>
          </cell>
        </row>
        <row r="73">
          <cell r="C73" t="str">
            <v>154-03</v>
          </cell>
          <cell r="D73">
            <v>1810000</v>
          </cell>
          <cell r="E73" t="str">
            <v>NEWELL</v>
          </cell>
        </row>
        <row r="74">
          <cell r="C74" t="str">
            <v>147-03</v>
          </cell>
          <cell r="D74">
            <v>1830000</v>
          </cell>
          <cell r="E74" t="str">
            <v>YORK</v>
          </cell>
        </row>
        <row r="75">
          <cell r="C75" t="str">
            <v>203-03</v>
          </cell>
          <cell r="D75">
            <v>1240000</v>
          </cell>
          <cell r="E75" t="str">
            <v>GRASTON</v>
          </cell>
        </row>
        <row r="76">
          <cell r="C76" t="str">
            <v>157-03</v>
          </cell>
          <cell r="D76">
            <v>540000</v>
          </cell>
          <cell r="E76" t="str">
            <v>MADLOM</v>
          </cell>
        </row>
        <row r="77">
          <cell r="C77" t="str">
            <v>134-03</v>
          </cell>
          <cell r="D77">
            <v>1830000</v>
          </cell>
          <cell r="E77" t="str">
            <v>YORK</v>
          </cell>
        </row>
        <row r="78">
          <cell r="C78" t="str">
            <v>161-03</v>
          </cell>
          <cell r="D78">
            <v>1470000</v>
          </cell>
          <cell r="E78" t="str">
            <v>RIVERA</v>
          </cell>
        </row>
        <row r="79">
          <cell r="C79" t="str">
            <v>178-04</v>
          </cell>
          <cell r="D79">
            <v>940000</v>
          </cell>
          <cell r="E79" t="str">
            <v>BONDS</v>
          </cell>
        </row>
        <row r="80">
          <cell r="C80" t="str">
            <v>156-03</v>
          </cell>
          <cell r="D80">
            <v>1100000</v>
          </cell>
          <cell r="E80" t="str">
            <v>GEBRETEKLE</v>
          </cell>
        </row>
        <row r="81">
          <cell r="C81" t="str">
            <v>124-04</v>
          </cell>
          <cell r="D81">
            <v>1090000</v>
          </cell>
          <cell r="E81" t="str">
            <v>SPECTOR</v>
          </cell>
        </row>
        <row r="82">
          <cell r="C82" t="str">
            <v>163-03</v>
          </cell>
          <cell r="D82">
            <v>940000</v>
          </cell>
          <cell r="E82" t="str">
            <v>BONDS</v>
          </cell>
        </row>
        <row r="83">
          <cell r="C83" t="str">
            <v>123-04</v>
          </cell>
          <cell r="D83">
            <v>1090000</v>
          </cell>
          <cell r="E83" t="str">
            <v>SPECTOR</v>
          </cell>
        </row>
        <row r="84">
          <cell r="C84" t="str">
            <v>162-03</v>
          </cell>
          <cell r="D84">
            <v>1470000</v>
          </cell>
          <cell r="E84" t="str">
            <v>RIVERA</v>
          </cell>
        </row>
        <row r="85">
          <cell r="C85" t="str">
            <v>177-04</v>
          </cell>
          <cell r="D85">
            <v>940000</v>
          </cell>
          <cell r="E85" t="str">
            <v>BONDS</v>
          </cell>
        </row>
        <row r="86">
          <cell r="C86" t="str">
            <v>166-03</v>
          </cell>
          <cell r="D86">
            <v>1120000</v>
          </cell>
          <cell r="E86" t="str">
            <v>LOCKLEAR</v>
          </cell>
        </row>
        <row r="87">
          <cell r="C87" t="str">
            <v>167-04</v>
          </cell>
          <cell r="D87">
            <v>1810000</v>
          </cell>
          <cell r="E87" t="str">
            <v>NEWELL</v>
          </cell>
        </row>
        <row r="88">
          <cell r="C88" t="str">
            <v>131-03</v>
          </cell>
          <cell r="D88">
            <v>1480000</v>
          </cell>
          <cell r="E88" t="str">
            <v>STURGEON</v>
          </cell>
        </row>
        <row r="89">
          <cell r="C89" t="str">
            <v>817-04</v>
          </cell>
          <cell r="D89">
            <v>1460000</v>
          </cell>
          <cell r="E89" t="str">
            <v>NELSON</v>
          </cell>
        </row>
        <row r="90">
          <cell r="C90" t="str">
            <v>1812-03</v>
          </cell>
          <cell r="D90">
            <v>1540000</v>
          </cell>
          <cell r="E90" t="str">
            <v>HELVIE</v>
          </cell>
        </row>
        <row r="91">
          <cell r="C91" t="str">
            <v>152-04</v>
          </cell>
          <cell r="D91">
            <v>1090000</v>
          </cell>
          <cell r="E91" t="str">
            <v>SPECTOR</v>
          </cell>
        </row>
        <row r="92">
          <cell r="C92" t="str">
            <v>170-03</v>
          </cell>
          <cell r="D92">
            <v>880000</v>
          </cell>
          <cell r="E92" t="str">
            <v>STEWART</v>
          </cell>
        </row>
        <row r="93">
          <cell r="C93" t="str">
            <v>146-04</v>
          </cell>
          <cell r="D93">
            <v>1480000</v>
          </cell>
          <cell r="E93" t="str">
            <v>STURGEON</v>
          </cell>
        </row>
        <row r="94">
          <cell r="C94" t="str">
            <v>1815-03</v>
          </cell>
          <cell r="D94">
            <v>1540000</v>
          </cell>
          <cell r="E94" t="str">
            <v>HELVIE</v>
          </cell>
        </row>
        <row r="95">
          <cell r="C95" t="str">
            <v>808-04</v>
          </cell>
          <cell r="D95">
            <v>1460000</v>
          </cell>
          <cell r="E95" t="str">
            <v>NELSON</v>
          </cell>
        </row>
        <row r="96">
          <cell r="C96" t="str">
            <v>188-03</v>
          </cell>
          <cell r="D96">
            <v>950000</v>
          </cell>
          <cell r="E96" t="str">
            <v>WEBSTER</v>
          </cell>
        </row>
        <row r="97">
          <cell r="C97" t="str">
            <v>129-04</v>
          </cell>
          <cell r="D97">
            <v>1310000</v>
          </cell>
          <cell r="E97" t="str">
            <v>MALAVE</v>
          </cell>
        </row>
        <row r="98">
          <cell r="C98" t="str">
            <v>213-03</v>
          </cell>
          <cell r="D98">
            <v>1140000</v>
          </cell>
          <cell r="E98" t="str">
            <v>YOUNG</v>
          </cell>
        </row>
        <row r="99">
          <cell r="C99" t="str">
            <v>162-04</v>
          </cell>
          <cell r="D99">
            <v>1470000</v>
          </cell>
          <cell r="E99" t="str">
            <v>RIVERA</v>
          </cell>
        </row>
        <row r="100">
          <cell r="C100" t="str">
            <v>1827-03</v>
          </cell>
          <cell r="D100">
            <v>1780000</v>
          </cell>
          <cell r="E100" t="str">
            <v>DE LA ROSA</v>
          </cell>
        </row>
        <row r="101">
          <cell r="C101" t="str">
            <v>814-04</v>
          </cell>
          <cell r="D101">
            <v>1460000</v>
          </cell>
          <cell r="E101" t="str">
            <v>NELSON</v>
          </cell>
        </row>
        <row r="102">
          <cell r="C102" t="str">
            <v>114-04</v>
          </cell>
          <cell r="D102">
            <v>1840000</v>
          </cell>
          <cell r="E102" t="str">
            <v>CANFIELD</v>
          </cell>
        </row>
        <row r="103">
          <cell r="C103" t="str">
            <v>813-04</v>
          </cell>
          <cell r="D103">
            <v>1460000</v>
          </cell>
          <cell r="E103" t="str">
            <v>NELSON</v>
          </cell>
        </row>
        <row r="104">
          <cell r="C104" t="str">
            <v>806-04</v>
          </cell>
          <cell r="D104">
            <v>1820000</v>
          </cell>
          <cell r="E104" t="str">
            <v>ADANE</v>
          </cell>
        </row>
        <row r="105">
          <cell r="C105" t="str">
            <v>822-04</v>
          </cell>
          <cell r="D105">
            <v>1460000</v>
          </cell>
          <cell r="E105" t="str">
            <v>NELSON</v>
          </cell>
        </row>
        <row r="106">
          <cell r="C106" t="str">
            <v>133-04</v>
          </cell>
          <cell r="D106">
            <v>1200000</v>
          </cell>
          <cell r="E106" t="str">
            <v>CUSHING</v>
          </cell>
        </row>
        <row r="107">
          <cell r="C107" t="str">
            <v>139-04</v>
          </cell>
          <cell r="D107">
            <v>1340000</v>
          </cell>
          <cell r="E107" t="str">
            <v>BEAM</v>
          </cell>
        </row>
        <row r="108">
          <cell r="C108" t="str">
            <v>194-03</v>
          </cell>
          <cell r="D108">
            <v>1120000</v>
          </cell>
          <cell r="E108" t="str">
            <v>LOCKLEAR</v>
          </cell>
        </row>
        <row r="109">
          <cell r="C109" t="str">
            <v>137-04</v>
          </cell>
          <cell r="D109">
            <v>1090000</v>
          </cell>
          <cell r="E109" t="str">
            <v>SPECTOR</v>
          </cell>
        </row>
        <row r="110">
          <cell r="C110" t="str">
            <v>211-03</v>
          </cell>
          <cell r="D110">
            <v>880000</v>
          </cell>
          <cell r="E110" t="str">
            <v>STEWART</v>
          </cell>
        </row>
        <row r="111">
          <cell r="C111" t="str">
            <v>809-04</v>
          </cell>
          <cell r="D111">
            <v>1820000</v>
          </cell>
          <cell r="E111" t="str">
            <v>ADANE</v>
          </cell>
        </row>
        <row r="112">
          <cell r="C112" t="str">
            <v>1825-03</v>
          </cell>
          <cell r="D112">
            <v>1780000</v>
          </cell>
          <cell r="E112" t="str">
            <v>DE LA ROSA</v>
          </cell>
        </row>
        <row r="113">
          <cell r="C113" t="str">
            <v>803-04</v>
          </cell>
          <cell r="D113">
            <v>1460000</v>
          </cell>
          <cell r="E113" t="str">
            <v>NELSON</v>
          </cell>
        </row>
        <row r="114">
          <cell r="C114" t="str">
            <v>232-03</v>
          </cell>
          <cell r="D114">
            <v>1140000</v>
          </cell>
          <cell r="E114" t="str">
            <v>YOUNG</v>
          </cell>
        </row>
        <row r="115">
          <cell r="C115" t="str">
            <v>174-04</v>
          </cell>
          <cell r="D115">
            <v>950000</v>
          </cell>
          <cell r="E115" t="str">
            <v>WEBSTER</v>
          </cell>
        </row>
        <row r="116">
          <cell r="C116" t="str">
            <v>242-03</v>
          </cell>
          <cell r="D116">
            <v>1770000</v>
          </cell>
          <cell r="E116" t="str">
            <v>BRUDER</v>
          </cell>
        </row>
        <row r="117">
          <cell r="C117" t="str">
            <v>131-04</v>
          </cell>
          <cell r="D117">
            <v>1480000</v>
          </cell>
          <cell r="E117" t="str">
            <v>STURGEON</v>
          </cell>
        </row>
        <row r="118">
          <cell r="C118" t="str">
            <v>802-04</v>
          </cell>
          <cell r="D118">
            <v>1820000</v>
          </cell>
          <cell r="E118" t="str">
            <v>ADANE</v>
          </cell>
        </row>
        <row r="119">
          <cell r="C119" t="str">
            <v>229-03</v>
          </cell>
          <cell r="D119">
            <v>1290000</v>
          </cell>
          <cell r="E119" t="str">
            <v>COOLAHAN</v>
          </cell>
        </row>
        <row r="120">
          <cell r="C120" t="str">
            <v>128-04</v>
          </cell>
          <cell r="D120">
            <v>1840000</v>
          </cell>
          <cell r="E120" t="str">
            <v>CANFIELD</v>
          </cell>
        </row>
        <row r="121">
          <cell r="C121" t="str">
            <v>1817-03</v>
          </cell>
          <cell r="D121">
            <v>1780000</v>
          </cell>
          <cell r="E121" t="str">
            <v>DE LA ROSA</v>
          </cell>
        </row>
        <row r="122">
          <cell r="C122" t="str">
            <v>1818-03</v>
          </cell>
          <cell r="D122">
            <v>1780000</v>
          </cell>
          <cell r="E122" t="str">
            <v>DE LA ROSA</v>
          </cell>
        </row>
        <row r="123">
          <cell r="C123" t="str">
            <v>203-03</v>
          </cell>
          <cell r="D123">
            <v>1240000</v>
          </cell>
          <cell r="E123" t="str">
            <v>GRASTON</v>
          </cell>
        </row>
        <row r="124">
          <cell r="C124" t="str">
            <v>201-03</v>
          </cell>
          <cell r="D124">
            <v>950000</v>
          </cell>
          <cell r="E124" t="str">
            <v>WEBSTER</v>
          </cell>
        </row>
        <row r="125">
          <cell r="C125" t="str">
            <v>173-03</v>
          </cell>
          <cell r="D125">
            <v>950000</v>
          </cell>
          <cell r="E125" t="str">
            <v>WEBSTER</v>
          </cell>
        </row>
        <row r="126">
          <cell r="C126" t="str">
            <v>200-03</v>
          </cell>
          <cell r="D126">
            <v>540000</v>
          </cell>
          <cell r="E126" t="str">
            <v>MADLOM</v>
          </cell>
        </row>
        <row r="127">
          <cell r="C127" t="str">
            <v>145-03</v>
          </cell>
          <cell r="D127">
            <v>1480000</v>
          </cell>
          <cell r="E127" t="str">
            <v>STURGEON</v>
          </cell>
        </row>
        <row r="128">
          <cell r="C128" t="str">
            <v>206-03</v>
          </cell>
          <cell r="D128">
            <v>940000</v>
          </cell>
          <cell r="E128" t="str">
            <v>BONDS</v>
          </cell>
        </row>
        <row r="129">
          <cell r="C129" t="str">
            <v>132-03</v>
          </cell>
          <cell r="D129">
            <v>1480000</v>
          </cell>
          <cell r="E129" t="str">
            <v>STURGEON</v>
          </cell>
        </row>
        <row r="130">
          <cell r="C130" t="str">
            <v>208-03</v>
          </cell>
          <cell r="D130">
            <v>1120000</v>
          </cell>
          <cell r="E130" t="str">
            <v>LOCKLEAR</v>
          </cell>
        </row>
        <row r="131">
          <cell r="C131" t="str">
            <v>123-03</v>
          </cell>
          <cell r="D131">
            <v>1310000</v>
          </cell>
          <cell r="E131" t="str">
            <v>MALAVE</v>
          </cell>
        </row>
        <row r="132">
          <cell r="C132" t="str">
            <v>231-03</v>
          </cell>
          <cell r="D132">
            <v>1140000</v>
          </cell>
          <cell r="E132" t="str">
            <v>YOUNG</v>
          </cell>
        </row>
        <row r="133">
          <cell r="C133" t="str">
            <v>1801-03</v>
          </cell>
          <cell r="D133">
            <v>1540000</v>
          </cell>
          <cell r="E133" t="str">
            <v>HELVIE</v>
          </cell>
        </row>
        <row r="134">
          <cell r="C134" t="str">
            <v>101-04</v>
          </cell>
          <cell r="D134">
            <v>1840000</v>
          </cell>
          <cell r="E134" t="str">
            <v>CANFIELD</v>
          </cell>
        </row>
        <row r="135">
          <cell r="C135" t="str">
            <v>121-03</v>
          </cell>
          <cell r="D135">
            <v>1760000</v>
          </cell>
          <cell r="E135" t="str">
            <v>STRICKLAND</v>
          </cell>
        </row>
        <row r="136">
          <cell r="C136" t="str">
            <v>115-04</v>
          </cell>
          <cell r="D136">
            <v>1310000</v>
          </cell>
          <cell r="E136" t="str">
            <v>MALAVE</v>
          </cell>
        </row>
        <row r="137">
          <cell r="C137" t="str">
            <v>119-03</v>
          </cell>
          <cell r="D137">
            <v>1830000</v>
          </cell>
          <cell r="E137" t="str">
            <v>YORK</v>
          </cell>
        </row>
        <row r="138">
          <cell r="C138" t="str">
            <v>181-03</v>
          </cell>
          <cell r="D138">
            <v>1810000</v>
          </cell>
          <cell r="E138" t="str">
            <v>NEWELL</v>
          </cell>
        </row>
        <row r="139">
          <cell r="C139" t="str">
            <v>107-04</v>
          </cell>
          <cell r="D139">
            <v>1230000</v>
          </cell>
          <cell r="E139" t="str">
            <v>YANAI</v>
          </cell>
        </row>
        <row r="140">
          <cell r="C140" t="str">
            <v>239-03</v>
          </cell>
          <cell r="D140">
            <v>1140000</v>
          </cell>
          <cell r="E140" t="str">
            <v>YOUNG</v>
          </cell>
        </row>
        <row r="141">
          <cell r="C141" t="str">
            <v>210-03</v>
          </cell>
          <cell r="D141">
            <v>1290000</v>
          </cell>
          <cell r="E141" t="str">
            <v>COOLAHAN</v>
          </cell>
        </row>
        <row r="142">
          <cell r="C142" t="str">
            <v>110-04</v>
          </cell>
          <cell r="D142">
            <v>1090000</v>
          </cell>
          <cell r="E142" t="str">
            <v>SPECTOR</v>
          </cell>
        </row>
        <row r="143">
          <cell r="C143" t="str">
            <v>175-03</v>
          </cell>
          <cell r="D143">
            <v>1470000</v>
          </cell>
          <cell r="E143" t="str">
            <v>RIVERA</v>
          </cell>
        </row>
        <row r="144">
          <cell r="C144" t="str">
            <v>805-04</v>
          </cell>
          <cell r="D144">
            <v>1820000</v>
          </cell>
          <cell r="E144" t="str">
            <v>ADANE</v>
          </cell>
        </row>
        <row r="145">
          <cell r="C145" t="str">
            <v>115-03</v>
          </cell>
          <cell r="D145">
            <v>1520000</v>
          </cell>
          <cell r="E145" t="str">
            <v>MAYBERRY</v>
          </cell>
        </row>
        <row r="146">
          <cell r="C146" t="str">
            <v>130-04</v>
          </cell>
          <cell r="D146">
            <v>1310000</v>
          </cell>
          <cell r="E146" t="str">
            <v>MALAVE</v>
          </cell>
        </row>
        <row r="147">
          <cell r="C147" t="str">
            <v>111-04</v>
          </cell>
          <cell r="D147">
            <v>1340000</v>
          </cell>
          <cell r="E147" t="str">
            <v>BEAM</v>
          </cell>
        </row>
        <row r="148">
          <cell r="C148" t="str">
            <v>811-04</v>
          </cell>
          <cell r="D148">
            <v>1460000</v>
          </cell>
          <cell r="E148" t="str">
            <v>NELSON</v>
          </cell>
        </row>
        <row r="149">
          <cell r="C149" t="str">
            <v>234-03</v>
          </cell>
          <cell r="D149">
            <v>1770000</v>
          </cell>
          <cell r="E149" t="str">
            <v>BRUDER</v>
          </cell>
        </row>
        <row r="150">
          <cell r="C150" t="str">
            <v>138-04</v>
          </cell>
          <cell r="D150">
            <v>1090000</v>
          </cell>
          <cell r="E150" t="str">
            <v>SPECTOR</v>
          </cell>
        </row>
        <row r="151">
          <cell r="C151" t="str">
            <v>1821-03</v>
          </cell>
          <cell r="D151">
            <v>1780000</v>
          </cell>
          <cell r="E151" t="str">
            <v>DE LA ROSA</v>
          </cell>
        </row>
        <row r="152">
          <cell r="C152" t="str">
            <v>145-04</v>
          </cell>
          <cell r="D152">
            <v>1480000</v>
          </cell>
          <cell r="E152" t="str">
            <v>STURGEON</v>
          </cell>
        </row>
        <row r="153">
          <cell r="C153" t="str">
            <v>188-03</v>
          </cell>
          <cell r="D153">
            <v>950000</v>
          </cell>
          <cell r="E153" t="str">
            <v>WEBSTER</v>
          </cell>
        </row>
        <row r="154">
          <cell r="C154" t="str">
            <v>161-04</v>
          </cell>
          <cell r="D154">
            <v>1470000</v>
          </cell>
          <cell r="E154" t="str">
            <v>RIVERA</v>
          </cell>
        </row>
        <row r="155">
          <cell r="C155" t="str">
            <v>150-03</v>
          </cell>
          <cell r="D155">
            <v>1760000</v>
          </cell>
          <cell r="E155" t="str">
            <v>STRICKLAND</v>
          </cell>
        </row>
        <row r="156">
          <cell r="C156" t="str">
            <v>818-04</v>
          </cell>
          <cell r="D156">
            <v>1460000</v>
          </cell>
          <cell r="E156" t="str">
            <v>NELSON</v>
          </cell>
        </row>
        <row r="157">
          <cell r="C157" t="str">
            <v>1805-03</v>
          </cell>
          <cell r="D157">
            <v>1540000</v>
          </cell>
          <cell r="E157" t="str">
            <v>HELVIE</v>
          </cell>
        </row>
        <row r="158">
          <cell r="C158" t="str">
            <v>169-04</v>
          </cell>
          <cell r="D158">
            <v>890000</v>
          </cell>
          <cell r="E158" t="str">
            <v>LOZA</v>
          </cell>
        </row>
        <row r="159">
          <cell r="C159" t="str">
            <v>126-03</v>
          </cell>
          <cell r="D159">
            <v>1100000</v>
          </cell>
          <cell r="E159" t="str">
            <v>GEBRETEKLE</v>
          </cell>
        </row>
        <row r="160">
          <cell r="C160" t="str">
            <v>820-04</v>
          </cell>
          <cell r="D160">
            <v>1460000</v>
          </cell>
          <cell r="E160" t="str">
            <v>NELSON</v>
          </cell>
        </row>
        <row r="161">
          <cell r="C161" t="str">
            <v>111-03</v>
          </cell>
          <cell r="D161">
            <v>1100000</v>
          </cell>
          <cell r="E161" t="str">
            <v>GEBRETEKLE</v>
          </cell>
        </row>
        <row r="162">
          <cell r="C162" t="str">
            <v>135-04</v>
          </cell>
          <cell r="D162">
            <v>1230000</v>
          </cell>
          <cell r="E162" t="str">
            <v>YANAI</v>
          </cell>
        </row>
        <row r="163">
          <cell r="C163" t="str">
            <v>106-04</v>
          </cell>
          <cell r="D163">
            <v>900000</v>
          </cell>
          <cell r="E163" t="str">
            <v>ROCHA</v>
          </cell>
        </row>
        <row r="164">
          <cell r="C164" t="str">
            <v>142-04</v>
          </cell>
          <cell r="D164">
            <v>1840000</v>
          </cell>
          <cell r="E164" t="str">
            <v>CANFIELD</v>
          </cell>
        </row>
        <row r="165">
          <cell r="C165" t="str">
            <v>104-04</v>
          </cell>
          <cell r="D165">
            <v>1480000</v>
          </cell>
          <cell r="E165" t="str">
            <v>STURGEON</v>
          </cell>
        </row>
        <row r="166">
          <cell r="C166" t="str">
            <v>815-04</v>
          </cell>
          <cell r="D166">
            <v>1460000</v>
          </cell>
          <cell r="E166" t="str">
            <v>NELSON</v>
          </cell>
        </row>
        <row r="167">
          <cell r="C167" t="str">
            <v>1819-03</v>
          </cell>
          <cell r="D167">
            <v>1780000</v>
          </cell>
          <cell r="E167" t="str">
            <v>DE LA ROSA</v>
          </cell>
        </row>
        <row r="168">
          <cell r="C168" t="str">
            <v>816-04</v>
          </cell>
          <cell r="D168">
            <v>1460000</v>
          </cell>
          <cell r="E168" t="str">
            <v>NELSON</v>
          </cell>
        </row>
        <row r="169">
          <cell r="C169" t="str">
            <v>1807-03</v>
          </cell>
          <cell r="D169">
            <v>1540000</v>
          </cell>
          <cell r="E169" t="str">
            <v>HELVIE</v>
          </cell>
        </row>
        <row r="170">
          <cell r="C170" t="str">
            <v>158-04</v>
          </cell>
          <cell r="D170">
            <v>1540000</v>
          </cell>
          <cell r="E170" t="str">
            <v>HELVIE</v>
          </cell>
        </row>
        <row r="171">
          <cell r="C171" t="str">
            <v>1833-03</v>
          </cell>
          <cell r="D171">
            <v>1780000</v>
          </cell>
          <cell r="E171" t="str">
            <v>DE LA ROSA</v>
          </cell>
        </row>
        <row r="172">
          <cell r="C172" t="str">
            <v>168-04</v>
          </cell>
          <cell r="D172">
            <v>1810000</v>
          </cell>
          <cell r="E172" t="str">
            <v>NEWELL</v>
          </cell>
        </row>
        <row r="173">
          <cell r="C173" t="str">
            <v>222-03</v>
          </cell>
          <cell r="D173">
            <v>1290000</v>
          </cell>
          <cell r="E173" t="str">
            <v>COOLAHAN</v>
          </cell>
        </row>
        <row r="174">
          <cell r="C174" t="str">
            <v>158-04</v>
          </cell>
          <cell r="D174">
            <v>1540000</v>
          </cell>
          <cell r="E174" t="str">
            <v>HELVIE</v>
          </cell>
        </row>
        <row r="175">
          <cell r="C175" t="str">
            <v>216-03</v>
          </cell>
          <cell r="D175">
            <v>950000</v>
          </cell>
          <cell r="E175" t="str">
            <v>WEBSTER</v>
          </cell>
        </row>
        <row r="176">
          <cell r="C176" t="str">
            <v>164-04</v>
          </cell>
          <cell r="D176">
            <v>940000</v>
          </cell>
          <cell r="E176" t="str">
            <v>BONDS</v>
          </cell>
        </row>
        <row r="177">
          <cell r="C177" t="str">
            <v>212-03</v>
          </cell>
          <cell r="D177">
            <v>880000</v>
          </cell>
          <cell r="E177" t="str">
            <v>STEWART</v>
          </cell>
        </row>
        <row r="178">
          <cell r="C178" t="str">
            <v>819-04</v>
          </cell>
          <cell r="D178">
            <v>1460000</v>
          </cell>
          <cell r="E178" t="str">
            <v>NELSON</v>
          </cell>
        </row>
        <row r="179">
          <cell r="C179" t="str">
            <v>196-03</v>
          </cell>
          <cell r="D179">
            <v>1810000</v>
          </cell>
          <cell r="E179" t="str">
            <v>NEWELL</v>
          </cell>
        </row>
        <row r="180">
          <cell r="C180" t="str">
            <v>105-03</v>
          </cell>
          <cell r="D180">
            <v>1830000</v>
          </cell>
          <cell r="E180" t="str">
            <v>YORK</v>
          </cell>
        </row>
        <row r="181">
          <cell r="C181" t="str">
            <v>153-03</v>
          </cell>
          <cell r="D181">
            <v>1810000</v>
          </cell>
          <cell r="E181" t="str">
            <v>NEWELL</v>
          </cell>
        </row>
        <row r="182">
          <cell r="C182" t="str">
            <v>120-03</v>
          </cell>
          <cell r="D182">
            <v>1830000</v>
          </cell>
          <cell r="E182" t="str">
            <v>YORK</v>
          </cell>
        </row>
        <row r="183">
          <cell r="C183" t="str">
            <v>124-03</v>
          </cell>
          <cell r="D183">
            <v>1310000</v>
          </cell>
          <cell r="E183" t="str">
            <v>MALAVE</v>
          </cell>
        </row>
        <row r="184">
          <cell r="C184" t="str">
            <v>151-03</v>
          </cell>
          <cell r="D184">
            <v>1310000</v>
          </cell>
          <cell r="E184" t="str">
            <v>MALAVE</v>
          </cell>
        </row>
        <row r="185">
          <cell r="C185" t="str">
            <v>116-03</v>
          </cell>
          <cell r="D185">
            <v>1520000</v>
          </cell>
          <cell r="E185" t="str">
            <v>MAYBERRY</v>
          </cell>
        </row>
        <row r="186">
          <cell r="C186" t="str">
            <v>160-03</v>
          </cell>
          <cell r="D186">
            <v>1520000</v>
          </cell>
          <cell r="E186" t="str">
            <v>MAYBERRY</v>
          </cell>
        </row>
        <row r="187">
          <cell r="C187" t="str">
            <v>106-03</v>
          </cell>
          <cell r="D187">
            <v>1830000</v>
          </cell>
          <cell r="E187" t="str">
            <v>YORK</v>
          </cell>
        </row>
        <row r="188">
          <cell r="C188" t="str">
            <v>214-03</v>
          </cell>
          <cell r="D188">
            <v>1140000</v>
          </cell>
          <cell r="E188" t="str">
            <v>YOUNG</v>
          </cell>
        </row>
        <row r="189">
          <cell r="C189" t="str">
            <v>107-03</v>
          </cell>
          <cell r="D189">
            <v>1760000</v>
          </cell>
          <cell r="E189" t="str">
            <v>STRICKLAND</v>
          </cell>
        </row>
        <row r="190">
          <cell r="C190" t="str">
            <v>104-03</v>
          </cell>
          <cell r="D190">
            <v>1480000</v>
          </cell>
          <cell r="E190" t="str">
            <v>STURGEON</v>
          </cell>
        </row>
        <row r="191">
          <cell r="C191" t="str">
            <v>216-03</v>
          </cell>
          <cell r="D191">
            <v>950000</v>
          </cell>
          <cell r="E191" t="str">
            <v>WEBSTER</v>
          </cell>
        </row>
        <row r="192">
          <cell r="C192" t="str">
            <v>140-03</v>
          </cell>
          <cell r="D192">
            <v>1100000</v>
          </cell>
          <cell r="E192" t="str">
            <v>GEBRETEKLE</v>
          </cell>
        </row>
        <row r="193">
          <cell r="C193" t="str">
            <v>1822-03</v>
          </cell>
          <cell r="D193">
            <v>1780000</v>
          </cell>
          <cell r="E193" t="str">
            <v>DE LA ROSA</v>
          </cell>
        </row>
        <row r="194">
          <cell r="C194" t="str">
            <v>1808-03</v>
          </cell>
          <cell r="D194">
            <v>1540000</v>
          </cell>
          <cell r="E194" t="str">
            <v>HELVIE</v>
          </cell>
        </row>
        <row r="195">
          <cell r="C195" t="str">
            <v>198-03</v>
          </cell>
          <cell r="D195">
            <v>880000</v>
          </cell>
          <cell r="E195" t="str">
            <v>STEWART</v>
          </cell>
        </row>
        <row r="196">
          <cell r="C196" t="str">
            <v>164-03</v>
          </cell>
          <cell r="D196">
            <v>940000</v>
          </cell>
          <cell r="E196" t="str">
            <v>BONDS</v>
          </cell>
        </row>
        <row r="197">
          <cell r="C197" t="str">
            <v>183-03</v>
          </cell>
          <cell r="D197">
            <v>880000</v>
          </cell>
          <cell r="E197" t="str">
            <v>STEWART</v>
          </cell>
        </row>
        <row r="198">
          <cell r="C198" t="str">
            <v>108-04</v>
          </cell>
          <cell r="D198">
            <v>1230000</v>
          </cell>
          <cell r="E198" t="str">
            <v>YANAI</v>
          </cell>
        </row>
        <row r="199">
          <cell r="C199" t="str">
            <v>146-03</v>
          </cell>
          <cell r="D199">
            <v>1480000</v>
          </cell>
          <cell r="E199" t="str">
            <v>STURGEON</v>
          </cell>
        </row>
        <row r="200">
          <cell r="C200" t="str">
            <v>138-04</v>
          </cell>
          <cell r="D200">
            <v>1090000</v>
          </cell>
          <cell r="E200" t="str">
            <v>SPECTOR</v>
          </cell>
        </row>
        <row r="201">
          <cell r="C201" t="str">
            <v>139-03</v>
          </cell>
          <cell r="D201">
            <v>1100000</v>
          </cell>
          <cell r="E201" t="str">
            <v>GEBRETEKLE</v>
          </cell>
        </row>
        <row r="202">
          <cell r="C202" t="str">
            <v>140-04</v>
          </cell>
          <cell r="D202">
            <v>1340000</v>
          </cell>
          <cell r="E202" t="str">
            <v>BEAM</v>
          </cell>
        </row>
        <row r="203">
          <cell r="C203" t="str">
            <v>101-03</v>
          </cell>
          <cell r="D203">
            <v>1840000</v>
          </cell>
          <cell r="E203" t="str">
            <v>CANFIELD</v>
          </cell>
        </row>
        <row r="204">
          <cell r="C204" t="str">
            <v>1804-03</v>
          </cell>
          <cell r="D204">
            <v>1540000</v>
          </cell>
          <cell r="E204" t="str">
            <v>HELVIE</v>
          </cell>
        </row>
        <row r="205">
          <cell r="C205" t="str">
            <v>176-04</v>
          </cell>
          <cell r="D205">
            <v>1470000</v>
          </cell>
          <cell r="E205" t="str">
            <v>RIVERA</v>
          </cell>
        </row>
        <row r="206">
          <cell r="C206" t="str">
            <v>184-03</v>
          </cell>
          <cell r="D206">
            <v>880000</v>
          </cell>
          <cell r="E206" t="str">
            <v>STEWART</v>
          </cell>
        </row>
        <row r="207">
          <cell r="C207" t="str">
            <v>179-04</v>
          </cell>
          <cell r="D207">
            <v>1120000</v>
          </cell>
          <cell r="E207" t="str">
            <v>LOCKLEAR</v>
          </cell>
        </row>
        <row r="208">
          <cell r="C208" t="str">
            <v>202-03</v>
          </cell>
          <cell r="D208">
            <v>950000</v>
          </cell>
          <cell r="E208" t="str">
            <v>WEBSTER</v>
          </cell>
        </row>
        <row r="209">
          <cell r="C209" t="str">
            <v>175-04</v>
          </cell>
          <cell r="D209">
            <v>1470000</v>
          </cell>
          <cell r="E209" t="str">
            <v>RIVERA</v>
          </cell>
        </row>
        <row r="210">
          <cell r="C210" t="str">
            <v>230-03</v>
          </cell>
          <cell r="D210">
            <v>1290000</v>
          </cell>
          <cell r="E210" t="str">
            <v>COOLAHAN</v>
          </cell>
        </row>
        <row r="211">
          <cell r="C211" t="str">
            <v>160-04</v>
          </cell>
          <cell r="D211">
            <v>1310000</v>
          </cell>
          <cell r="E211" t="str">
            <v>MALAVE</v>
          </cell>
        </row>
        <row r="212">
          <cell r="C212" t="str">
            <v>147-04</v>
          </cell>
          <cell r="D212">
            <v>900000</v>
          </cell>
          <cell r="E212" t="str">
            <v>ROCHA</v>
          </cell>
        </row>
        <row r="213">
          <cell r="C213" t="str">
            <v>158-04</v>
          </cell>
          <cell r="D213">
            <v>1540000</v>
          </cell>
          <cell r="E213" t="str">
            <v>HELVIE</v>
          </cell>
        </row>
        <row r="214">
          <cell r="C214" t="str">
            <v>127-03</v>
          </cell>
          <cell r="D214">
            <v>1840000</v>
          </cell>
          <cell r="E214" t="str">
            <v>CANFIELD</v>
          </cell>
        </row>
        <row r="215">
          <cell r="C215" t="str">
            <v>163-04</v>
          </cell>
          <cell r="D215">
            <v>940000</v>
          </cell>
          <cell r="E215" t="str">
            <v>BONDS</v>
          </cell>
        </row>
        <row r="216">
          <cell r="C216" t="str">
            <v>149-03</v>
          </cell>
          <cell r="D216">
            <v>1760000</v>
          </cell>
          <cell r="E216" t="str">
            <v>STRICKLAND</v>
          </cell>
        </row>
        <row r="217">
          <cell r="C217" t="str">
            <v>157-04</v>
          </cell>
          <cell r="D217">
            <v>1540000</v>
          </cell>
          <cell r="E217" t="str">
            <v>HELVIE</v>
          </cell>
        </row>
        <row r="218">
          <cell r="C218" t="str">
            <v>174-03</v>
          </cell>
          <cell r="D218">
            <v>950000</v>
          </cell>
          <cell r="E218" t="str">
            <v>WEBSTER</v>
          </cell>
        </row>
        <row r="219">
          <cell r="C219" t="str">
            <v>153-04</v>
          </cell>
          <cell r="D219">
            <v>1810000</v>
          </cell>
          <cell r="E219" t="str">
            <v>NEWELL</v>
          </cell>
        </row>
        <row r="220">
          <cell r="C220" t="str">
            <v>203-03</v>
          </cell>
          <cell r="D220">
            <v>1240000</v>
          </cell>
          <cell r="E220" t="str">
            <v>GRASTON</v>
          </cell>
        </row>
        <row r="221">
          <cell r="C221" t="str">
            <v>172-04</v>
          </cell>
          <cell r="D221">
            <v>1540000</v>
          </cell>
          <cell r="E221" t="str">
            <v>HELVIE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103-04</v>
          </cell>
          <cell r="D2">
            <v>1480000</v>
          </cell>
          <cell r="E2" t="str">
            <v>STURGEON</v>
          </cell>
        </row>
        <row r="3">
          <cell r="C3" t="str">
            <v>804-04</v>
          </cell>
          <cell r="D3">
            <v>1460000</v>
          </cell>
          <cell r="E3" t="str">
            <v>NELSON</v>
          </cell>
        </row>
        <row r="4">
          <cell r="C4" t="str">
            <v>134-04</v>
          </cell>
          <cell r="D4">
            <v>1200000</v>
          </cell>
          <cell r="E4" t="str">
            <v>CUSHING</v>
          </cell>
        </row>
        <row r="5">
          <cell r="C5" t="str">
            <v>149-04</v>
          </cell>
          <cell r="D5">
            <v>1230000</v>
          </cell>
          <cell r="E5" t="str">
            <v>YANAI</v>
          </cell>
        </row>
        <row r="6">
          <cell r="C6" t="str">
            <v>231-04</v>
          </cell>
          <cell r="D6">
            <v>1290000</v>
          </cell>
          <cell r="E6" t="str">
            <v>COOLAHAN</v>
          </cell>
        </row>
        <row r="7">
          <cell r="C7" t="str">
            <v>163-04</v>
          </cell>
          <cell r="D7">
            <v>940000</v>
          </cell>
          <cell r="E7" t="str">
            <v>BONDS</v>
          </cell>
        </row>
        <row r="8">
          <cell r="C8" t="str">
            <v>156-04</v>
          </cell>
          <cell r="D8">
            <v>1340000</v>
          </cell>
          <cell r="E8" t="str">
            <v>BEAM</v>
          </cell>
        </row>
        <row r="9">
          <cell r="C9" t="str">
            <v>183-04</v>
          </cell>
          <cell r="D9">
            <v>890000</v>
          </cell>
          <cell r="E9" t="str">
            <v>LOZA</v>
          </cell>
        </row>
        <row r="10">
          <cell r="C10" t="str">
            <v>193-04</v>
          </cell>
          <cell r="D10">
            <v>1120000</v>
          </cell>
          <cell r="E10" t="str">
            <v>LOCKLEAR</v>
          </cell>
        </row>
        <row r="11">
          <cell r="C11" t="str">
            <v>192-04</v>
          </cell>
          <cell r="D11">
            <v>940000</v>
          </cell>
          <cell r="E11" t="str">
            <v>BONDS</v>
          </cell>
        </row>
        <row r="12">
          <cell r="C12" t="str">
            <v>171-04</v>
          </cell>
          <cell r="D12">
            <v>1540000</v>
          </cell>
          <cell r="E12" t="str">
            <v>HELVIE</v>
          </cell>
        </row>
        <row r="13">
          <cell r="C13" t="str">
            <v>214-04</v>
          </cell>
          <cell r="D13">
            <v>1290000</v>
          </cell>
          <cell r="E13" t="str">
            <v>COOLAHAN</v>
          </cell>
        </row>
        <row r="14">
          <cell r="C14" t="str">
            <v>126-04</v>
          </cell>
          <cell r="D14">
            <v>1340000</v>
          </cell>
          <cell r="E14" t="str">
            <v>BEAM</v>
          </cell>
        </row>
        <row r="15">
          <cell r="C15" t="str">
            <v>840-04</v>
          </cell>
          <cell r="D15">
            <v>1760000</v>
          </cell>
          <cell r="E15" t="str">
            <v>STRICKLAND</v>
          </cell>
        </row>
        <row r="16">
          <cell r="C16" t="str">
            <v>116-04</v>
          </cell>
          <cell r="D16">
            <v>1310000</v>
          </cell>
          <cell r="E16" t="str">
            <v>MALAVE</v>
          </cell>
        </row>
        <row r="17">
          <cell r="C17" t="str">
            <v>224-04</v>
          </cell>
          <cell r="D17">
            <v>1290000</v>
          </cell>
          <cell r="E17" t="str">
            <v>COOLAHAN</v>
          </cell>
        </row>
        <row r="18">
          <cell r="C18" t="str">
            <v>121-04</v>
          </cell>
          <cell r="D18">
            <v>1230000</v>
          </cell>
          <cell r="E18" t="str">
            <v>YANAI</v>
          </cell>
        </row>
        <row r="19">
          <cell r="C19" t="str">
            <v>842-04</v>
          </cell>
          <cell r="D19">
            <v>1760000</v>
          </cell>
          <cell r="E19" t="str">
            <v>STRICKLAND</v>
          </cell>
        </row>
        <row r="20">
          <cell r="C20" t="str">
            <v>801-04</v>
          </cell>
          <cell r="D20">
            <v>1820000</v>
          </cell>
          <cell r="E20" t="str">
            <v>ADANE</v>
          </cell>
        </row>
        <row r="21">
          <cell r="C21" t="str">
            <v>113-04</v>
          </cell>
          <cell r="D21">
            <v>1840000</v>
          </cell>
          <cell r="E21" t="str">
            <v>CANFIELD</v>
          </cell>
        </row>
        <row r="22">
          <cell r="C22" t="str">
            <v>901-04</v>
          </cell>
          <cell r="D22">
            <v>1820000</v>
          </cell>
          <cell r="E22" t="str">
            <v>ADANE</v>
          </cell>
        </row>
        <row r="23">
          <cell r="C23" t="str">
            <v>190-04</v>
          </cell>
          <cell r="D23">
            <v>1470000</v>
          </cell>
          <cell r="E23" t="str">
            <v>RIVERA</v>
          </cell>
        </row>
        <row r="24">
          <cell r="C24" t="str">
            <v>238-04</v>
          </cell>
          <cell r="D24">
            <v>1140000</v>
          </cell>
          <cell r="E24" t="str">
            <v>YOUNG</v>
          </cell>
        </row>
        <row r="25">
          <cell r="C25" t="str">
            <v>207-04</v>
          </cell>
          <cell r="D25">
            <v>1120000</v>
          </cell>
          <cell r="E25" t="str">
            <v>LOCKLEAR</v>
          </cell>
        </row>
        <row r="26">
          <cell r="C26" t="str">
            <v>124-04</v>
          </cell>
          <cell r="D26">
            <v>1090000</v>
          </cell>
          <cell r="E26" t="str">
            <v>SPECTOR</v>
          </cell>
        </row>
        <row r="27">
          <cell r="C27" t="str">
            <v>837-04</v>
          </cell>
          <cell r="D27">
            <v>1760000</v>
          </cell>
          <cell r="E27" t="str">
            <v>STRICKLAND</v>
          </cell>
        </row>
        <row r="28">
          <cell r="C28" t="str">
            <v>122-04</v>
          </cell>
          <cell r="D28">
            <v>1230000</v>
          </cell>
          <cell r="E28" t="str">
            <v>YANAI</v>
          </cell>
        </row>
        <row r="29">
          <cell r="C29" t="str">
            <v>221-04</v>
          </cell>
          <cell r="D29">
            <v>1140000</v>
          </cell>
          <cell r="E29" t="str">
            <v>YOUNG</v>
          </cell>
        </row>
        <row r="30">
          <cell r="C30" t="str">
            <v>844-04</v>
          </cell>
          <cell r="D30">
            <v>1760000</v>
          </cell>
          <cell r="E30" t="str">
            <v>STRICKLAND</v>
          </cell>
        </row>
        <row r="31">
          <cell r="C31" t="str">
            <v>109-04</v>
          </cell>
          <cell r="D31">
            <v>1090000</v>
          </cell>
          <cell r="E31" t="str">
            <v>SPECTOR</v>
          </cell>
        </row>
        <row r="32">
          <cell r="C32" t="str">
            <v>207-04</v>
          </cell>
          <cell r="D32">
            <v>1120000</v>
          </cell>
          <cell r="E32" t="str">
            <v>LOCKLEAR</v>
          </cell>
        </row>
        <row r="33">
          <cell r="C33" t="str">
            <v>181-04</v>
          </cell>
          <cell r="D33">
            <v>1810000</v>
          </cell>
          <cell r="E33" t="str">
            <v>NEWELL</v>
          </cell>
        </row>
        <row r="34">
          <cell r="C34" t="str">
            <v>196-04</v>
          </cell>
          <cell r="D34">
            <v>1810000</v>
          </cell>
          <cell r="E34" t="str">
            <v>NEWELL</v>
          </cell>
        </row>
        <row r="35">
          <cell r="C35" t="str">
            <v>180-04</v>
          </cell>
          <cell r="D35">
            <v>1120000</v>
          </cell>
          <cell r="E35" t="str">
            <v>LOCKLEAR</v>
          </cell>
        </row>
        <row r="36">
          <cell r="C36" t="str">
            <v>201-04</v>
          </cell>
          <cell r="D36">
            <v>950000</v>
          </cell>
          <cell r="E36" t="str">
            <v>WEBSTER</v>
          </cell>
        </row>
        <row r="37">
          <cell r="C37" t="str">
            <v>114-04</v>
          </cell>
          <cell r="D37">
            <v>1840000</v>
          </cell>
          <cell r="E37" t="str">
            <v>CANFIELD</v>
          </cell>
        </row>
        <row r="38">
          <cell r="C38" t="str">
            <v>170-04</v>
          </cell>
          <cell r="D38">
            <v>890000</v>
          </cell>
          <cell r="E38" t="str">
            <v>LOZA</v>
          </cell>
        </row>
        <row r="39">
          <cell r="C39" t="str">
            <v>806-04</v>
          </cell>
          <cell r="D39">
            <v>1820000</v>
          </cell>
          <cell r="E39" t="str">
            <v>ADANE</v>
          </cell>
        </row>
        <row r="40">
          <cell r="C40" t="str">
            <v>144-04</v>
          </cell>
          <cell r="D40">
            <v>1310000</v>
          </cell>
          <cell r="E40" t="str">
            <v>MALAVE</v>
          </cell>
        </row>
        <row r="41">
          <cell r="C41" t="str">
            <v>133-04</v>
          </cell>
          <cell r="D41">
            <v>1200000</v>
          </cell>
          <cell r="E41" t="str">
            <v>CUSHING</v>
          </cell>
        </row>
        <row r="42">
          <cell r="C42" t="str">
            <v>227-04</v>
          </cell>
          <cell r="D42">
            <v>1280000</v>
          </cell>
          <cell r="E42" t="str">
            <v>BARTLETT</v>
          </cell>
        </row>
        <row r="43">
          <cell r="C43" t="str">
            <v>242-03</v>
          </cell>
          <cell r="D43">
            <v>1770000</v>
          </cell>
          <cell r="E43" t="str">
            <v>BRUDER</v>
          </cell>
        </row>
        <row r="44">
          <cell r="C44" t="str">
            <v>189-04</v>
          </cell>
          <cell r="D44">
            <v>1470000</v>
          </cell>
          <cell r="E44" t="str">
            <v>RIVERA</v>
          </cell>
        </row>
        <row r="45">
          <cell r="C45" t="str">
            <v>802-04</v>
          </cell>
          <cell r="D45">
            <v>1820000</v>
          </cell>
          <cell r="E45" t="str">
            <v>ADANE</v>
          </cell>
        </row>
        <row r="46">
          <cell r="C46" t="str">
            <v>166-04</v>
          </cell>
          <cell r="D46">
            <v>1120000</v>
          </cell>
          <cell r="E46" t="str">
            <v>LOCKLEAR</v>
          </cell>
        </row>
        <row r="47">
          <cell r="C47" t="str">
            <v>128-04</v>
          </cell>
          <cell r="D47">
            <v>1840000</v>
          </cell>
          <cell r="E47" t="str">
            <v>CANFIELD</v>
          </cell>
        </row>
        <row r="48">
          <cell r="C48" t="str">
            <v>155-04</v>
          </cell>
          <cell r="D48">
            <v>1340000</v>
          </cell>
          <cell r="E48" t="str">
            <v>BEAM</v>
          </cell>
        </row>
        <row r="49">
          <cell r="C49" t="str">
            <v>101-04</v>
          </cell>
          <cell r="D49">
            <v>1840000</v>
          </cell>
          <cell r="E49" t="str">
            <v>CANFIELD</v>
          </cell>
        </row>
        <row r="50">
          <cell r="C50" t="str">
            <v>112-04</v>
          </cell>
          <cell r="D50">
            <v>1340000</v>
          </cell>
          <cell r="E50" t="str">
            <v>BEAM</v>
          </cell>
        </row>
        <row r="51">
          <cell r="C51" t="str">
            <v>115-04</v>
          </cell>
          <cell r="D51">
            <v>1310000</v>
          </cell>
          <cell r="E51" t="str">
            <v>MALAVE</v>
          </cell>
        </row>
        <row r="52">
          <cell r="C52" t="str">
            <v>239-04</v>
          </cell>
          <cell r="D52">
            <v>1290000</v>
          </cell>
          <cell r="E52" t="str">
            <v>COOLAHAN</v>
          </cell>
        </row>
        <row r="53">
          <cell r="C53" t="str">
            <v>110-04</v>
          </cell>
          <cell r="D53">
            <v>1090000</v>
          </cell>
          <cell r="E53" t="str">
            <v>SPECTOR</v>
          </cell>
        </row>
        <row r="54">
          <cell r="C54" t="str">
            <v>178-04</v>
          </cell>
          <cell r="D54">
            <v>940000</v>
          </cell>
          <cell r="E54" t="str">
            <v>BONDS</v>
          </cell>
        </row>
        <row r="55">
          <cell r="C55" t="str">
            <v>805-04</v>
          </cell>
          <cell r="D55">
            <v>1820000</v>
          </cell>
          <cell r="E55" t="str">
            <v>ADANE</v>
          </cell>
        </row>
        <row r="56">
          <cell r="C56" t="str">
            <v>124-04</v>
          </cell>
          <cell r="D56">
            <v>1090000</v>
          </cell>
          <cell r="E56" t="str">
            <v>SPECTOR</v>
          </cell>
        </row>
        <row r="57">
          <cell r="C57" t="str">
            <v>130-04</v>
          </cell>
          <cell r="D57">
            <v>1310000</v>
          </cell>
          <cell r="E57" t="str">
            <v>MALAVE</v>
          </cell>
        </row>
        <row r="58">
          <cell r="C58" t="str">
            <v>123-04</v>
          </cell>
          <cell r="D58">
            <v>1090000</v>
          </cell>
          <cell r="E58" t="str">
            <v>SPECTOR</v>
          </cell>
        </row>
        <row r="59">
          <cell r="C59" t="str">
            <v>811-04</v>
          </cell>
          <cell r="D59">
            <v>1460000</v>
          </cell>
          <cell r="E59" t="str">
            <v>NELSON</v>
          </cell>
        </row>
        <row r="60">
          <cell r="C60" t="str">
            <v>229-04</v>
          </cell>
          <cell r="D60">
            <v>1140000</v>
          </cell>
          <cell r="E60" t="str">
            <v>YOUNG</v>
          </cell>
        </row>
        <row r="61">
          <cell r="C61" t="str">
            <v>138-04</v>
          </cell>
          <cell r="D61">
            <v>1090000</v>
          </cell>
          <cell r="E61" t="str">
            <v>SPECTOR</v>
          </cell>
        </row>
        <row r="62">
          <cell r="C62" t="str">
            <v>826-04</v>
          </cell>
          <cell r="D62">
            <v>1760000</v>
          </cell>
          <cell r="E62" t="str">
            <v>STRICKLAND</v>
          </cell>
        </row>
        <row r="63">
          <cell r="C63" t="str">
            <v>145-04</v>
          </cell>
          <cell r="D63">
            <v>1480000</v>
          </cell>
          <cell r="E63" t="str">
            <v>STURGEON</v>
          </cell>
        </row>
        <row r="64">
          <cell r="C64" t="str">
            <v>177-04</v>
          </cell>
          <cell r="D64">
            <v>940000</v>
          </cell>
          <cell r="E64" t="str">
            <v>BONDS</v>
          </cell>
        </row>
        <row r="65">
          <cell r="C65" t="str">
            <v>161-04</v>
          </cell>
          <cell r="D65">
            <v>1470000</v>
          </cell>
          <cell r="E65" t="str">
            <v>RIVERA</v>
          </cell>
        </row>
        <row r="66">
          <cell r="C66" t="str">
            <v>167-04</v>
          </cell>
          <cell r="D66">
            <v>1810000</v>
          </cell>
          <cell r="E66" t="str">
            <v>NEWELL</v>
          </cell>
        </row>
        <row r="67">
          <cell r="C67" t="str">
            <v>818-04</v>
          </cell>
          <cell r="D67">
            <v>1460000</v>
          </cell>
          <cell r="E67" t="str">
            <v>NELSON</v>
          </cell>
        </row>
        <row r="68">
          <cell r="C68" t="str">
            <v>817-04</v>
          </cell>
          <cell r="D68">
            <v>1460000</v>
          </cell>
          <cell r="E68" t="str">
            <v>NELSON</v>
          </cell>
        </row>
        <row r="69">
          <cell r="C69" t="str">
            <v>169-04</v>
          </cell>
          <cell r="D69">
            <v>890000</v>
          </cell>
          <cell r="E69" t="str">
            <v>LOZA</v>
          </cell>
        </row>
        <row r="70">
          <cell r="C70" t="str">
            <v>152-04</v>
          </cell>
          <cell r="D70">
            <v>1090000</v>
          </cell>
          <cell r="E70" t="str">
            <v>SPECTOR</v>
          </cell>
        </row>
        <row r="71">
          <cell r="C71" t="str">
            <v>820-04</v>
          </cell>
          <cell r="D71">
            <v>1460000</v>
          </cell>
          <cell r="E71" t="str">
            <v>NELSON</v>
          </cell>
        </row>
        <row r="72">
          <cell r="C72" t="str">
            <v>146-04</v>
          </cell>
          <cell r="D72">
            <v>1480000</v>
          </cell>
          <cell r="E72" t="str">
            <v>STURGEON</v>
          </cell>
        </row>
        <row r="73">
          <cell r="C73" t="str">
            <v>188-04</v>
          </cell>
          <cell r="D73">
            <v>950000</v>
          </cell>
          <cell r="E73" t="str">
            <v>WEBSTER</v>
          </cell>
        </row>
        <row r="74">
          <cell r="C74" t="str">
            <v>808-04</v>
          </cell>
          <cell r="D74">
            <v>1460000</v>
          </cell>
          <cell r="E74" t="str">
            <v>NELSON</v>
          </cell>
        </row>
        <row r="75">
          <cell r="C75" t="str">
            <v>203-04</v>
          </cell>
          <cell r="D75">
            <v>1470000</v>
          </cell>
          <cell r="E75" t="str">
            <v>RIVERA</v>
          </cell>
        </row>
        <row r="76">
          <cell r="C76" t="str">
            <v>129-04</v>
          </cell>
          <cell r="D76">
            <v>1310000</v>
          </cell>
          <cell r="E76" t="str">
            <v>MALAVE</v>
          </cell>
        </row>
        <row r="77">
          <cell r="C77" t="str">
            <v>135-04</v>
          </cell>
          <cell r="D77">
            <v>1230000</v>
          </cell>
          <cell r="E77" t="str">
            <v>YANAI</v>
          </cell>
        </row>
        <row r="78">
          <cell r="C78" t="str">
            <v>222-04</v>
          </cell>
          <cell r="D78">
            <v>1140000</v>
          </cell>
          <cell r="E78" t="str">
            <v>YOUNG</v>
          </cell>
        </row>
        <row r="79">
          <cell r="C79" t="str">
            <v>142-04</v>
          </cell>
          <cell r="D79">
            <v>1840000</v>
          </cell>
          <cell r="E79" t="str">
            <v>CANFIELD</v>
          </cell>
        </row>
        <row r="80">
          <cell r="C80" t="str">
            <v>838-04</v>
          </cell>
          <cell r="D80">
            <v>1760000</v>
          </cell>
          <cell r="E80" t="str">
            <v>STRICKLAND</v>
          </cell>
        </row>
        <row r="81">
          <cell r="C81" t="str">
            <v>815-04</v>
          </cell>
          <cell r="D81">
            <v>1460000</v>
          </cell>
          <cell r="E81" t="str">
            <v>NELSON</v>
          </cell>
        </row>
        <row r="82">
          <cell r="C82" t="str">
            <v>208-04</v>
          </cell>
          <cell r="D82">
            <v>1120000</v>
          </cell>
          <cell r="E82" t="str">
            <v>LOCKLEAR</v>
          </cell>
        </row>
        <row r="83">
          <cell r="C83" t="str">
            <v>816-04</v>
          </cell>
          <cell r="D83">
            <v>1460000</v>
          </cell>
          <cell r="E83" t="str">
            <v>NELSON</v>
          </cell>
        </row>
        <row r="84">
          <cell r="C84" t="str">
            <v>830-04</v>
          </cell>
          <cell r="D84">
            <v>1760000</v>
          </cell>
          <cell r="E84" t="str">
            <v>STRICKLAND</v>
          </cell>
        </row>
        <row r="85">
          <cell r="C85" t="str">
            <v>158-04</v>
          </cell>
          <cell r="D85">
            <v>1540000</v>
          </cell>
          <cell r="E85" t="str">
            <v>HELVIE</v>
          </cell>
        </row>
        <row r="86">
          <cell r="C86" t="str">
            <v>162-04</v>
          </cell>
          <cell r="D86">
            <v>1470000</v>
          </cell>
          <cell r="E86" t="str">
            <v>RIVERA</v>
          </cell>
        </row>
        <row r="87">
          <cell r="C87" t="str">
            <v>168-04</v>
          </cell>
          <cell r="D87">
            <v>1810000</v>
          </cell>
          <cell r="E87" t="str">
            <v>NEWELL</v>
          </cell>
        </row>
        <row r="88">
          <cell r="C88" t="str">
            <v>814-04</v>
          </cell>
          <cell r="D88">
            <v>1460000</v>
          </cell>
          <cell r="E88" t="str">
            <v>NELSON</v>
          </cell>
        </row>
        <row r="89">
          <cell r="C89" t="str">
            <v>184-04</v>
          </cell>
          <cell r="D89">
            <v>890000</v>
          </cell>
          <cell r="E89" t="str">
            <v>LOZA</v>
          </cell>
        </row>
        <row r="90">
          <cell r="C90" t="str">
            <v>813-04</v>
          </cell>
          <cell r="D90">
            <v>1460000</v>
          </cell>
          <cell r="E90" t="str">
            <v>NELSON</v>
          </cell>
        </row>
        <row r="91">
          <cell r="C91" t="str">
            <v>829-04</v>
          </cell>
          <cell r="D91">
            <v>1760000</v>
          </cell>
          <cell r="E91" t="str">
            <v>STRICKLAND</v>
          </cell>
        </row>
        <row r="92">
          <cell r="C92" t="str">
            <v>236-04</v>
          </cell>
          <cell r="D92">
            <v>1280000</v>
          </cell>
          <cell r="E92" t="str">
            <v>BARTLETT</v>
          </cell>
        </row>
        <row r="93">
          <cell r="C93" t="str">
            <v>198-04</v>
          </cell>
          <cell r="D93">
            <v>890000</v>
          </cell>
          <cell r="E93" t="str">
            <v>LOZA</v>
          </cell>
        </row>
        <row r="94">
          <cell r="C94" t="str">
            <v>835-04</v>
          </cell>
          <cell r="D94">
            <v>740000</v>
          </cell>
          <cell r="E94" t="str">
            <v>ALONZO</v>
          </cell>
        </row>
        <row r="95">
          <cell r="C95" t="str">
            <v>158-04</v>
          </cell>
          <cell r="D95">
            <v>1540000</v>
          </cell>
          <cell r="E95" t="str">
            <v>HELVIE</v>
          </cell>
        </row>
        <row r="96">
          <cell r="C96" t="str">
            <v>199-04</v>
          </cell>
          <cell r="D96">
            <v>1540000</v>
          </cell>
          <cell r="E96" t="str">
            <v>HELVIE</v>
          </cell>
        </row>
        <row r="97">
          <cell r="C97" t="str">
            <v>164-04</v>
          </cell>
          <cell r="D97">
            <v>940000</v>
          </cell>
          <cell r="E97" t="str">
            <v>BONDS</v>
          </cell>
        </row>
        <row r="98">
          <cell r="C98" t="str">
            <v>822-04</v>
          </cell>
          <cell r="D98">
            <v>1460000</v>
          </cell>
          <cell r="E98" t="str">
            <v>NELSON</v>
          </cell>
        </row>
        <row r="99">
          <cell r="C99" t="str">
            <v>819-04</v>
          </cell>
          <cell r="D99">
            <v>1460000</v>
          </cell>
          <cell r="E99" t="str">
            <v>NELSON</v>
          </cell>
        </row>
        <row r="100">
          <cell r="C100" t="str">
            <v>139-04</v>
          </cell>
          <cell r="D100">
            <v>1340000</v>
          </cell>
          <cell r="E100" t="str">
            <v>BEAM</v>
          </cell>
        </row>
        <row r="101">
          <cell r="C101" t="str">
            <v>195-04</v>
          </cell>
          <cell r="D101">
            <v>1810000</v>
          </cell>
          <cell r="E101" t="str">
            <v>NEWELL</v>
          </cell>
        </row>
        <row r="102">
          <cell r="C102" t="str">
            <v>137-04</v>
          </cell>
          <cell r="D102">
            <v>1090000</v>
          </cell>
          <cell r="E102" t="str">
            <v>SPECTOR</v>
          </cell>
        </row>
        <row r="103">
          <cell r="C103" t="str">
            <v>204-04</v>
          </cell>
          <cell r="D103">
            <v>1470000</v>
          </cell>
          <cell r="E103" t="str">
            <v>RIVERA</v>
          </cell>
        </row>
        <row r="104">
          <cell r="C104" t="str">
            <v>809-04</v>
          </cell>
          <cell r="D104">
            <v>1820000</v>
          </cell>
          <cell r="E104" t="str">
            <v>ADANE</v>
          </cell>
        </row>
        <row r="105">
          <cell r="C105" t="str">
            <v>213-04</v>
          </cell>
          <cell r="D105">
            <v>1290000</v>
          </cell>
          <cell r="E105" t="str">
            <v>COOLAHAN</v>
          </cell>
        </row>
        <row r="106">
          <cell r="C106" t="str">
            <v>803-04</v>
          </cell>
          <cell r="D106">
            <v>1460000</v>
          </cell>
          <cell r="E106" t="str">
            <v>NELSON</v>
          </cell>
        </row>
        <row r="107">
          <cell r="C107" t="str">
            <v>836-04</v>
          </cell>
          <cell r="D107">
            <v>740000</v>
          </cell>
          <cell r="E107" t="str">
            <v>ALONZO</v>
          </cell>
        </row>
        <row r="108">
          <cell r="C108" t="str">
            <v>220-04</v>
          </cell>
          <cell r="D108">
            <v>1280000</v>
          </cell>
          <cell r="E108" t="str">
            <v>BARTLETT</v>
          </cell>
        </row>
        <row r="109">
          <cell r="C109" t="str">
            <v>224-04</v>
          </cell>
          <cell r="D109">
            <v>1290000</v>
          </cell>
          <cell r="E109" t="str">
            <v>COOLAHAN</v>
          </cell>
        </row>
        <row r="110">
          <cell r="C110" t="str">
            <v>847-04</v>
          </cell>
          <cell r="D110">
            <v>1760000</v>
          </cell>
          <cell r="E110" t="str">
            <v>STRICKLAND</v>
          </cell>
        </row>
        <row r="111">
          <cell r="C111" t="str">
            <v>226-04</v>
          </cell>
          <cell r="D111">
            <v>1770000</v>
          </cell>
          <cell r="E111" t="str">
            <v>BRUDER</v>
          </cell>
        </row>
        <row r="112">
          <cell r="C112" t="str">
            <v>210-04</v>
          </cell>
          <cell r="D112">
            <v>1140000</v>
          </cell>
          <cell r="E112" t="str">
            <v>YOUNG</v>
          </cell>
        </row>
        <row r="113">
          <cell r="C113" t="str">
            <v>229-04</v>
          </cell>
          <cell r="D113">
            <v>1140000</v>
          </cell>
          <cell r="E113" t="str">
            <v>YOUNG</v>
          </cell>
        </row>
        <row r="114">
          <cell r="C114" t="str">
            <v>832-04</v>
          </cell>
          <cell r="D114">
            <v>740000</v>
          </cell>
          <cell r="E114" t="str">
            <v>ALONZO</v>
          </cell>
        </row>
        <row r="115">
          <cell r="C115" t="str">
            <v>908-04</v>
          </cell>
          <cell r="D115">
            <v>1760000</v>
          </cell>
          <cell r="E115" t="str">
            <v>STRICKLAND</v>
          </cell>
        </row>
        <row r="116">
          <cell r="C116" t="str">
            <v>200-04</v>
          </cell>
          <cell r="D116">
            <v>1540000</v>
          </cell>
          <cell r="E116" t="str">
            <v>HELVIE</v>
          </cell>
        </row>
        <row r="117">
          <cell r="C117" t="str">
            <v>237-04</v>
          </cell>
          <cell r="D117">
            <v>1140000</v>
          </cell>
          <cell r="E117" t="str">
            <v>YOUNG</v>
          </cell>
        </row>
        <row r="118">
          <cell r="C118" t="str">
            <v>824-04</v>
          </cell>
          <cell r="D118">
            <v>1760000</v>
          </cell>
          <cell r="E118" t="str">
            <v>STRICKLAND</v>
          </cell>
        </row>
        <row r="119">
          <cell r="C119" t="str">
            <v>243-04</v>
          </cell>
          <cell r="D119">
            <v>1280000</v>
          </cell>
          <cell r="E119" t="str">
            <v>BARTLETT</v>
          </cell>
        </row>
        <row r="120">
          <cell r="C120" t="str">
            <v>185-04</v>
          </cell>
          <cell r="D120">
            <v>1540000</v>
          </cell>
          <cell r="E120" t="str">
            <v>HELVIE</v>
          </cell>
        </row>
        <row r="121">
          <cell r="C121" t="str">
            <v>218-04</v>
          </cell>
          <cell r="D121">
            <v>1770000</v>
          </cell>
          <cell r="E121" t="str">
            <v>BRUDER</v>
          </cell>
        </row>
        <row r="122">
          <cell r="C122" t="str">
            <v>174-04</v>
          </cell>
          <cell r="D122">
            <v>950000</v>
          </cell>
          <cell r="E122" t="str">
            <v>WEBSTER</v>
          </cell>
        </row>
        <row r="123">
          <cell r="C123" t="str">
            <v>220-04</v>
          </cell>
          <cell r="D123">
            <v>1280000</v>
          </cell>
          <cell r="E123" t="str">
            <v>BARTLETT</v>
          </cell>
        </row>
        <row r="124">
          <cell r="C124" t="str">
            <v>131-04</v>
          </cell>
          <cell r="D124">
            <v>1480000</v>
          </cell>
          <cell r="E124" t="str">
            <v>STURGEON</v>
          </cell>
        </row>
        <row r="125">
          <cell r="C125" t="str">
            <v>223-04</v>
          </cell>
          <cell r="D125">
            <v>1290000</v>
          </cell>
          <cell r="E125" t="str">
            <v>COOLAHAN</v>
          </cell>
        </row>
        <row r="126">
          <cell r="C126" t="str">
            <v>107-04</v>
          </cell>
          <cell r="D126">
            <v>1230000</v>
          </cell>
          <cell r="E126" t="str">
            <v>YANAI</v>
          </cell>
        </row>
        <row r="127">
          <cell r="C127" t="str">
            <v>225-04</v>
          </cell>
          <cell r="D127">
            <v>1770000</v>
          </cell>
          <cell r="E127" t="str">
            <v>BRUDER</v>
          </cell>
        </row>
        <row r="128">
          <cell r="C128" t="str">
            <v>111-04</v>
          </cell>
          <cell r="D128">
            <v>1340000</v>
          </cell>
          <cell r="E128" t="str">
            <v>BEAM</v>
          </cell>
        </row>
        <row r="129">
          <cell r="C129" t="str">
            <v>845-04</v>
          </cell>
          <cell r="D129">
            <v>1760000</v>
          </cell>
          <cell r="E129" t="str">
            <v>STRICKLAND</v>
          </cell>
        </row>
        <row r="130">
          <cell r="C130" t="str">
            <v>106-04</v>
          </cell>
          <cell r="D130">
            <v>900000</v>
          </cell>
          <cell r="E130" t="str">
            <v>ROCHA</v>
          </cell>
        </row>
        <row r="131">
          <cell r="C131" t="str">
            <v>234-04</v>
          </cell>
          <cell r="D131">
            <v>1770000</v>
          </cell>
          <cell r="E131" t="str">
            <v>BRUDER</v>
          </cell>
        </row>
        <row r="132">
          <cell r="C132" t="str">
            <v>104-04</v>
          </cell>
          <cell r="D132">
            <v>1480000</v>
          </cell>
          <cell r="E132" t="str">
            <v>STURGEON</v>
          </cell>
        </row>
        <row r="133">
          <cell r="C133" t="str">
            <v>240-04</v>
          </cell>
          <cell r="D133">
            <v>1290000</v>
          </cell>
          <cell r="E133" t="str">
            <v>COOLAHAN</v>
          </cell>
        </row>
        <row r="134">
          <cell r="C134" t="str">
            <v>233-04</v>
          </cell>
          <cell r="D134">
            <v>1770000</v>
          </cell>
          <cell r="E134" t="str">
            <v>BRUDER</v>
          </cell>
        </row>
        <row r="135">
          <cell r="C135" t="str">
            <v>108-04</v>
          </cell>
          <cell r="D135">
            <v>1230000</v>
          </cell>
          <cell r="E135" t="str">
            <v>YANAI</v>
          </cell>
        </row>
        <row r="136">
          <cell r="C136" t="str">
            <v>841-04</v>
          </cell>
          <cell r="D136">
            <v>1760000</v>
          </cell>
          <cell r="E136" t="str">
            <v>STRICKLAND</v>
          </cell>
        </row>
        <row r="137">
          <cell r="C137" t="str">
            <v>138-04</v>
          </cell>
          <cell r="D137">
            <v>1090000</v>
          </cell>
          <cell r="E137" t="str">
            <v>SPECTOR</v>
          </cell>
        </row>
        <row r="138">
          <cell r="C138" t="str">
            <v>221-04</v>
          </cell>
          <cell r="D138">
            <v>1140000</v>
          </cell>
          <cell r="E138" t="str">
            <v>YOUNG</v>
          </cell>
        </row>
        <row r="139">
          <cell r="C139" t="str">
            <v>140-04</v>
          </cell>
          <cell r="D139">
            <v>1340000</v>
          </cell>
          <cell r="E139" t="str">
            <v>BEAM</v>
          </cell>
        </row>
        <row r="140">
          <cell r="C140" t="str">
            <v>219-04</v>
          </cell>
          <cell r="D140">
            <v>1280000</v>
          </cell>
          <cell r="E140" t="str">
            <v>BARTLETT</v>
          </cell>
        </row>
        <row r="141">
          <cell r="C141" t="str">
            <v>147-04</v>
          </cell>
          <cell r="D141">
            <v>900000</v>
          </cell>
          <cell r="E141" t="str">
            <v>ROCHA</v>
          </cell>
        </row>
        <row r="142">
          <cell r="C142" t="str">
            <v>229-04</v>
          </cell>
          <cell r="D142">
            <v>1140000</v>
          </cell>
          <cell r="E142" t="str">
            <v>YOUNG</v>
          </cell>
        </row>
        <row r="143">
          <cell r="C143" t="str">
            <v>800-04</v>
          </cell>
          <cell r="D143">
            <v>1820000</v>
          </cell>
          <cell r="E143" t="str">
            <v>ADANE</v>
          </cell>
        </row>
        <row r="144">
          <cell r="C144" t="str">
            <v>212-04</v>
          </cell>
          <cell r="D144">
            <v>890000</v>
          </cell>
          <cell r="E144" t="str">
            <v>LOZA</v>
          </cell>
        </row>
        <row r="145">
          <cell r="C145" t="str">
            <v>117-04</v>
          </cell>
          <cell r="D145">
            <v>1480000</v>
          </cell>
          <cell r="E145" t="str">
            <v>STURGEON</v>
          </cell>
        </row>
        <row r="146">
          <cell r="C146" t="str">
            <v>241-04</v>
          </cell>
          <cell r="D146">
            <v>1770000</v>
          </cell>
          <cell r="E146" t="str">
            <v>BRUDER</v>
          </cell>
        </row>
        <row r="147">
          <cell r="C147" t="str">
            <v>244-03</v>
          </cell>
          <cell r="D147">
            <v>1280000</v>
          </cell>
          <cell r="E147" t="str">
            <v>BARTLETT</v>
          </cell>
        </row>
        <row r="148">
          <cell r="C148" t="str">
            <v>839-04</v>
          </cell>
          <cell r="D148">
            <v>740000</v>
          </cell>
          <cell r="E148" t="str">
            <v>ALONZO</v>
          </cell>
        </row>
        <row r="149">
          <cell r="C149" t="str">
            <v>119-04</v>
          </cell>
          <cell r="D149">
            <v>900000</v>
          </cell>
          <cell r="E149" t="str">
            <v>ROCHA</v>
          </cell>
        </row>
        <row r="150">
          <cell r="C150" t="str">
            <v>230-04</v>
          </cell>
          <cell r="D150">
            <v>1140000</v>
          </cell>
          <cell r="E150" t="str">
            <v>YOUNG</v>
          </cell>
        </row>
        <row r="151">
          <cell r="C151" t="str">
            <v>807-04</v>
          </cell>
          <cell r="D151">
            <v>1460000</v>
          </cell>
          <cell r="E151" t="str">
            <v>NELSON</v>
          </cell>
        </row>
        <row r="152">
          <cell r="C152" t="str">
            <v>215-04</v>
          </cell>
          <cell r="D152">
            <v>950000</v>
          </cell>
          <cell r="E152" t="str">
            <v>WEBSTER</v>
          </cell>
        </row>
        <row r="153">
          <cell r="C153" t="str">
            <v>101-04</v>
          </cell>
          <cell r="D153">
            <v>1840000</v>
          </cell>
          <cell r="E153" t="str">
            <v>CANFIELD</v>
          </cell>
        </row>
        <row r="154">
          <cell r="C154" t="str">
            <v>834-04</v>
          </cell>
          <cell r="D154">
            <v>1760000</v>
          </cell>
          <cell r="E154" t="str">
            <v>STRICKLAND</v>
          </cell>
        </row>
        <row r="155">
          <cell r="C155" t="str">
            <v>120-04</v>
          </cell>
          <cell r="D155">
            <v>900000</v>
          </cell>
          <cell r="E155" t="str">
            <v>ROCHA</v>
          </cell>
        </row>
        <row r="156">
          <cell r="C156" t="str">
            <v>833-04</v>
          </cell>
          <cell r="D156">
            <v>1760000</v>
          </cell>
          <cell r="E156" t="str">
            <v>STRICKLAND</v>
          </cell>
        </row>
        <row r="157">
          <cell r="C157" t="str">
            <v>132-04</v>
          </cell>
          <cell r="D157">
            <v>1480000</v>
          </cell>
          <cell r="E157" t="str">
            <v>STURGEON</v>
          </cell>
        </row>
        <row r="158">
          <cell r="C158" t="str">
            <v>830-04</v>
          </cell>
          <cell r="D158">
            <v>1760000</v>
          </cell>
          <cell r="E158" t="str">
            <v>STRICKLAND</v>
          </cell>
        </row>
        <row r="159">
          <cell r="C159" t="str">
            <v>812-04</v>
          </cell>
          <cell r="D159">
            <v>1460000</v>
          </cell>
          <cell r="E159" t="str">
            <v>NELSON</v>
          </cell>
        </row>
        <row r="160">
          <cell r="C160" t="str">
            <v>831-04</v>
          </cell>
          <cell r="D160">
            <v>740000</v>
          </cell>
          <cell r="E160" t="str">
            <v>ALONZO</v>
          </cell>
        </row>
        <row r="161">
          <cell r="C161" t="str">
            <v>140-04</v>
          </cell>
          <cell r="D161">
            <v>1340000</v>
          </cell>
          <cell r="E161" t="str">
            <v>BEAM</v>
          </cell>
        </row>
        <row r="162">
          <cell r="C162" t="str">
            <v>205-04</v>
          </cell>
          <cell r="D162">
            <v>940000</v>
          </cell>
          <cell r="E162" t="str">
            <v>BONDS</v>
          </cell>
        </row>
        <row r="163">
          <cell r="C163" t="str">
            <v>125-04</v>
          </cell>
          <cell r="D163">
            <v>1340000</v>
          </cell>
          <cell r="E163" t="str">
            <v>BEAM</v>
          </cell>
        </row>
        <row r="164">
          <cell r="C164" t="str">
            <v>194-04</v>
          </cell>
          <cell r="D164">
            <v>1120000</v>
          </cell>
          <cell r="E164" t="str">
            <v>LOCKLEAR</v>
          </cell>
        </row>
        <row r="165">
          <cell r="C165" t="str">
            <v>151-04</v>
          </cell>
          <cell r="D165">
            <v>1090000</v>
          </cell>
          <cell r="E165" t="str">
            <v>SPECTOR</v>
          </cell>
        </row>
        <row r="166">
          <cell r="C166" t="str">
            <v>197-04</v>
          </cell>
          <cell r="D166">
            <v>890000</v>
          </cell>
          <cell r="E166" t="str">
            <v>LOZA</v>
          </cell>
        </row>
        <row r="167">
          <cell r="C167" t="str">
            <v>102-04</v>
          </cell>
          <cell r="D167">
            <v>1840000</v>
          </cell>
          <cell r="E167" t="str">
            <v>CANFIELD</v>
          </cell>
        </row>
        <row r="168">
          <cell r="C168" t="str">
            <v>186-04</v>
          </cell>
          <cell r="D168">
            <v>1540000</v>
          </cell>
          <cell r="E168" t="str">
            <v>HELVIE</v>
          </cell>
        </row>
        <row r="169">
          <cell r="C169" t="str">
            <v>127-04</v>
          </cell>
          <cell r="D169">
            <v>1840000</v>
          </cell>
          <cell r="E169" t="str">
            <v>CANFIELD</v>
          </cell>
        </row>
        <row r="170">
          <cell r="C170" t="str">
            <v>186-04</v>
          </cell>
          <cell r="D170">
            <v>1540000</v>
          </cell>
          <cell r="E170" t="str">
            <v>HELVIE</v>
          </cell>
        </row>
        <row r="171">
          <cell r="C171" t="str">
            <v>165-04</v>
          </cell>
          <cell r="D171">
            <v>1120000</v>
          </cell>
          <cell r="E171" t="str">
            <v>LOCKLEAR</v>
          </cell>
        </row>
        <row r="172">
          <cell r="C172" t="str">
            <v>825-04</v>
          </cell>
          <cell r="D172">
            <v>1760000</v>
          </cell>
          <cell r="E172" t="str">
            <v>STRICKLAND</v>
          </cell>
        </row>
        <row r="173">
          <cell r="C173" t="str">
            <v>821-04</v>
          </cell>
          <cell r="D173">
            <v>1460000</v>
          </cell>
          <cell r="E173" t="str">
            <v>NELSON</v>
          </cell>
        </row>
        <row r="174">
          <cell r="C174" t="str">
            <v>191-04</v>
          </cell>
          <cell r="D174">
            <v>940000</v>
          </cell>
          <cell r="E174" t="str">
            <v>BONDS</v>
          </cell>
        </row>
        <row r="175">
          <cell r="C175" t="str">
            <v>206-04</v>
          </cell>
          <cell r="D175">
            <v>940000</v>
          </cell>
          <cell r="E175" t="str">
            <v>BONDS</v>
          </cell>
        </row>
        <row r="176">
          <cell r="C176" t="str">
            <v>182-04</v>
          </cell>
          <cell r="D176">
            <v>1810000</v>
          </cell>
          <cell r="E176" t="str">
            <v>NEWELL</v>
          </cell>
        </row>
        <row r="177">
          <cell r="C177" t="str">
            <v>173-04</v>
          </cell>
          <cell r="D177">
            <v>950000</v>
          </cell>
          <cell r="E177" t="str">
            <v>WEBSTER</v>
          </cell>
        </row>
        <row r="178">
          <cell r="C178" t="str">
            <v>823-04</v>
          </cell>
          <cell r="D178">
            <v>1760000</v>
          </cell>
          <cell r="E178" t="str">
            <v>STRICKLAND</v>
          </cell>
        </row>
        <row r="179">
          <cell r="C179" t="str">
            <v>828-04</v>
          </cell>
          <cell r="D179">
            <v>740000</v>
          </cell>
          <cell r="E179" t="str">
            <v>ALONZO</v>
          </cell>
        </row>
        <row r="180">
          <cell r="C180" t="str">
            <v>178-04</v>
          </cell>
          <cell r="D180">
            <v>940000</v>
          </cell>
          <cell r="E180" t="str">
            <v>BONDS</v>
          </cell>
        </row>
        <row r="181">
          <cell r="C181" t="str">
            <v>211-04</v>
          </cell>
          <cell r="D181">
            <v>890000</v>
          </cell>
          <cell r="E181" t="str">
            <v>LOZA</v>
          </cell>
        </row>
        <row r="182">
          <cell r="C182" t="str">
            <v>176-04</v>
          </cell>
          <cell r="D182">
            <v>1470000</v>
          </cell>
          <cell r="E182" t="str">
            <v>RIVERA</v>
          </cell>
        </row>
        <row r="183">
          <cell r="C183" t="str">
            <v>220-04</v>
          </cell>
          <cell r="D183">
            <v>1280000</v>
          </cell>
          <cell r="E183" t="str">
            <v>BARTLETT</v>
          </cell>
        </row>
        <row r="184">
          <cell r="C184" t="str">
            <v>179-04</v>
          </cell>
          <cell r="D184">
            <v>1120000</v>
          </cell>
          <cell r="E184" t="str">
            <v>LOCKLEAR</v>
          </cell>
        </row>
        <row r="185">
          <cell r="C185" t="str">
            <v>232-04</v>
          </cell>
          <cell r="D185">
            <v>1290000</v>
          </cell>
          <cell r="E185" t="str">
            <v>COOLAHAN</v>
          </cell>
        </row>
        <row r="186">
          <cell r="C186" t="str">
            <v>175-04</v>
          </cell>
          <cell r="D186">
            <v>1470000</v>
          </cell>
          <cell r="E186" t="str">
            <v>RIVERA</v>
          </cell>
        </row>
        <row r="187">
          <cell r="C187" t="str">
            <v>152-04</v>
          </cell>
          <cell r="D187">
            <v>1090000</v>
          </cell>
          <cell r="E187" t="str">
            <v>SPECTOR</v>
          </cell>
        </row>
        <row r="188">
          <cell r="C188" t="str">
            <v>160-04</v>
          </cell>
          <cell r="D188">
            <v>1310000</v>
          </cell>
          <cell r="E188" t="str">
            <v>MALAVE</v>
          </cell>
        </row>
        <row r="189">
          <cell r="C189" t="str">
            <v>158-04</v>
          </cell>
          <cell r="D189">
            <v>1540000</v>
          </cell>
          <cell r="E189" t="str">
            <v>HELVIE</v>
          </cell>
        </row>
        <row r="190">
          <cell r="C190" t="str">
            <v>158-04</v>
          </cell>
          <cell r="D190">
            <v>1540000</v>
          </cell>
          <cell r="E190" t="str">
            <v>HELVIE</v>
          </cell>
        </row>
        <row r="191">
          <cell r="C191" t="str">
            <v>827-04</v>
          </cell>
          <cell r="D191">
            <v>740000</v>
          </cell>
          <cell r="E191" t="str">
            <v>ALONZO</v>
          </cell>
        </row>
        <row r="192">
          <cell r="C192" t="str">
            <v>163-04</v>
          </cell>
          <cell r="D192">
            <v>940000</v>
          </cell>
          <cell r="E192" t="str">
            <v>BONDS</v>
          </cell>
        </row>
        <row r="193">
          <cell r="C193" t="str">
            <v>202-04</v>
          </cell>
          <cell r="D193">
            <v>950000</v>
          </cell>
          <cell r="E193" t="str">
            <v>WEBSTER</v>
          </cell>
        </row>
        <row r="194">
          <cell r="C194" t="str">
            <v>157-04</v>
          </cell>
          <cell r="D194">
            <v>1540000</v>
          </cell>
          <cell r="E194" t="str">
            <v>HELVIE</v>
          </cell>
        </row>
        <row r="195">
          <cell r="C195" t="str">
            <v>187-04</v>
          </cell>
          <cell r="D195">
            <v>950000</v>
          </cell>
          <cell r="E195" t="str">
            <v>WEBSTER</v>
          </cell>
        </row>
        <row r="196">
          <cell r="C196" t="str">
            <v>153-04</v>
          </cell>
          <cell r="D196">
            <v>1810000</v>
          </cell>
          <cell r="E196" t="str">
            <v>NEWELL</v>
          </cell>
        </row>
        <row r="197">
          <cell r="C197" t="str">
            <v>216-04</v>
          </cell>
          <cell r="D197">
            <v>950000</v>
          </cell>
          <cell r="E197" t="str">
            <v>WEBSTER</v>
          </cell>
        </row>
        <row r="198">
          <cell r="C198" t="str">
            <v>172-04</v>
          </cell>
          <cell r="D198">
            <v>1540000</v>
          </cell>
          <cell r="E198" t="str">
            <v>HELVIE</v>
          </cell>
        </row>
        <row r="199">
          <cell r="C199" t="str">
            <v>235-04</v>
          </cell>
          <cell r="D199">
            <v>1280000</v>
          </cell>
          <cell r="E199" t="str">
            <v>BARTLETT</v>
          </cell>
        </row>
        <row r="200">
          <cell r="C200" t="str">
            <v>166-04</v>
          </cell>
          <cell r="D200">
            <v>1120000</v>
          </cell>
          <cell r="E200" t="str">
            <v>LOCKLEAR</v>
          </cell>
        </row>
        <row r="201">
          <cell r="C201" t="str">
            <v>154-04</v>
          </cell>
          <cell r="D201">
            <v>1810000</v>
          </cell>
          <cell r="E201" t="str">
            <v>NEWELL</v>
          </cell>
        </row>
        <row r="202">
          <cell r="C202" t="str">
            <v>159-04</v>
          </cell>
          <cell r="D202">
            <v>1310000</v>
          </cell>
          <cell r="E202" t="str">
            <v>MALAVE</v>
          </cell>
        </row>
        <row r="203">
          <cell r="C203" t="str">
            <v>186-04</v>
          </cell>
          <cell r="D203">
            <v>1540000</v>
          </cell>
          <cell r="E203" t="str">
            <v>HELVIE</v>
          </cell>
        </row>
        <row r="204">
          <cell r="C204" t="str">
            <v>150-04</v>
          </cell>
          <cell r="D204">
            <v>1230000</v>
          </cell>
          <cell r="E204" t="str">
            <v>YANAI</v>
          </cell>
        </row>
        <row r="205">
          <cell r="C205" t="str">
            <v>217-04</v>
          </cell>
          <cell r="D205">
            <v>1770000</v>
          </cell>
          <cell r="E205" t="str">
            <v>BRUDER</v>
          </cell>
        </row>
        <row r="206">
          <cell r="C206" t="str">
            <v>143-04</v>
          </cell>
          <cell r="D206">
            <v>1310000</v>
          </cell>
          <cell r="E206" t="str">
            <v>MALAVE</v>
          </cell>
        </row>
        <row r="207">
          <cell r="C207" t="str">
            <v>819-04</v>
          </cell>
          <cell r="D207">
            <v>1460000</v>
          </cell>
          <cell r="E207" t="str">
            <v>NELSON</v>
          </cell>
        </row>
        <row r="208">
          <cell r="C208" t="str">
            <v>136-04</v>
          </cell>
          <cell r="D208">
            <v>1230000</v>
          </cell>
          <cell r="E208" t="str">
            <v>YANAI</v>
          </cell>
        </row>
        <row r="209">
          <cell r="C209" t="str">
            <v>180-04</v>
          </cell>
          <cell r="D209">
            <v>1120000</v>
          </cell>
          <cell r="E209" t="str">
            <v>LOCKLEAR</v>
          </cell>
        </row>
        <row r="210">
          <cell r="C210" t="str">
            <v>141-04</v>
          </cell>
          <cell r="D210">
            <v>1840000</v>
          </cell>
          <cell r="E210" t="str">
            <v>CANFIELD</v>
          </cell>
        </row>
        <row r="211">
          <cell r="C211" t="str">
            <v>209-04</v>
          </cell>
          <cell r="D211">
            <v>1140000</v>
          </cell>
          <cell r="E211" t="str">
            <v>YOUNG</v>
          </cell>
        </row>
        <row r="212">
          <cell r="C212" t="str">
            <v>810-04</v>
          </cell>
          <cell r="D212">
            <v>1820000</v>
          </cell>
          <cell r="E212" t="str">
            <v>ADANE</v>
          </cell>
        </row>
        <row r="213">
          <cell r="C213" t="str">
            <v>843-04</v>
          </cell>
          <cell r="D213">
            <v>1760000</v>
          </cell>
          <cell r="E213" t="str">
            <v>STRICKLAND</v>
          </cell>
        </row>
        <row r="214">
          <cell r="C214" t="str">
            <v>109-04</v>
          </cell>
          <cell r="D214">
            <v>1090000</v>
          </cell>
          <cell r="E214" t="str">
            <v>SPECTOR</v>
          </cell>
        </row>
        <row r="215">
          <cell r="C215" t="str">
            <v>224-04</v>
          </cell>
          <cell r="D215">
            <v>1290000</v>
          </cell>
          <cell r="E215" t="str">
            <v>COOLAHAN</v>
          </cell>
        </row>
        <row r="216">
          <cell r="C216" t="str">
            <v>118-04</v>
          </cell>
          <cell r="D216">
            <v>1480000</v>
          </cell>
          <cell r="E216" t="str">
            <v>STURGEON</v>
          </cell>
        </row>
        <row r="217">
          <cell r="C217" t="str">
            <v>228-04</v>
          </cell>
          <cell r="D217">
            <v>1280000</v>
          </cell>
          <cell r="E217" t="str">
            <v>BARTLETT</v>
          </cell>
        </row>
        <row r="218">
          <cell r="C218" t="str">
            <v>110-04</v>
          </cell>
          <cell r="D218">
            <v>1090000</v>
          </cell>
          <cell r="E218" t="str">
            <v>SPECTOR</v>
          </cell>
        </row>
        <row r="219">
          <cell r="C219" t="str">
            <v>194-04</v>
          </cell>
          <cell r="D219">
            <v>1120000</v>
          </cell>
          <cell r="E219" t="str">
            <v>LOCKLEAR</v>
          </cell>
        </row>
        <row r="220">
          <cell r="C220" t="str">
            <v>148-04</v>
          </cell>
          <cell r="D220">
            <v>900000</v>
          </cell>
          <cell r="E220" t="str">
            <v>ROCHA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202-05</v>
          </cell>
          <cell r="D1">
            <v>1290000</v>
          </cell>
          <cell r="E1" t="str">
            <v>COOLAHAN</v>
          </cell>
        </row>
        <row r="2">
          <cell r="C2" t="str">
            <v>227-05</v>
          </cell>
          <cell r="D2">
            <v>1240000</v>
          </cell>
          <cell r="E2" t="str">
            <v>GRASTON</v>
          </cell>
        </row>
        <row r="3">
          <cell r="C3" t="str">
            <v>240-05</v>
          </cell>
          <cell r="D3">
            <v>1280000</v>
          </cell>
          <cell r="E3" t="str">
            <v>BARTLETT</v>
          </cell>
        </row>
        <row r="4">
          <cell r="C4" t="str">
            <v>201-05</v>
          </cell>
          <cell r="D4">
            <v>1290000</v>
          </cell>
          <cell r="E4" t="str">
            <v>COOLAHAN</v>
          </cell>
        </row>
        <row r="5">
          <cell r="C5" t="str">
            <v>207-05</v>
          </cell>
          <cell r="D5">
            <v>2020000</v>
          </cell>
          <cell r="E5" t="str">
            <v>SHOOK</v>
          </cell>
        </row>
        <row r="6">
          <cell r="C6" t="str">
            <v>224-05</v>
          </cell>
          <cell r="D6">
            <v>1180000</v>
          </cell>
          <cell r="E6" t="str">
            <v>LEVERE</v>
          </cell>
        </row>
        <row r="7">
          <cell r="C7" t="str">
            <v>151-05</v>
          </cell>
          <cell r="D7">
            <v>1340000</v>
          </cell>
          <cell r="E7" t="str">
            <v>BEAM</v>
          </cell>
        </row>
        <row r="8">
          <cell r="C8" t="str">
            <v>160-05</v>
          </cell>
          <cell r="D8">
            <v>1090000</v>
          </cell>
          <cell r="E8" t="str">
            <v>SPECTOR</v>
          </cell>
        </row>
        <row r="9">
          <cell r="C9" t="str">
            <v>228-05</v>
          </cell>
          <cell r="D9">
            <v>1240000</v>
          </cell>
          <cell r="E9" t="str">
            <v>GRASTON</v>
          </cell>
        </row>
        <row r="10">
          <cell r="C10" t="str">
            <v>844-05</v>
          </cell>
          <cell r="D10">
            <v>910000</v>
          </cell>
          <cell r="E10" t="str">
            <v>SUR</v>
          </cell>
        </row>
        <row r="11">
          <cell r="C11" t="str">
            <v>235-05</v>
          </cell>
          <cell r="D11">
            <v>1240000</v>
          </cell>
          <cell r="E11" t="str">
            <v>GRASTON</v>
          </cell>
        </row>
        <row r="12">
          <cell r="C12" t="str">
            <v>225-05</v>
          </cell>
          <cell r="D12">
            <v>1760000</v>
          </cell>
          <cell r="E12" t="str">
            <v>STRICKLAND</v>
          </cell>
        </row>
        <row r="13">
          <cell r="C13" t="str">
            <v>241-05</v>
          </cell>
          <cell r="D13">
            <v>1180000</v>
          </cell>
          <cell r="E13" t="str">
            <v>LEVERE</v>
          </cell>
        </row>
        <row r="14">
          <cell r="C14" t="str">
            <v>828-05</v>
          </cell>
          <cell r="D14">
            <v>750000</v>
          </cell>
          <cell r="E14" t="str">
            <v>NATION</v>
          </cell>
        </row>
        <row r="15">
          <cell r="C15" t="str">
            <v>809-05</v>
          </cell>
          <cell r="D15">
            <v>1540000</v>
          </cell>
          <cell r="E15" t="str">
            <v>HELVIE</v>
          </cell>
        </row>
        <row r="16">
          <cell r="C16" t="str">
            <v>822-05</v>
          </cell>
          <cell r="D16">
            <v>1740000</v>
          </cell>
          <cell r="E16" t="str">
            <v>STORY</v>
          </cell>
        </row>
        <row r="17">
          <cell r="C17" t="str">
            <v>150-05</v>
          </cell>
          <cell r="D17">
            <v>1230000</v>
          </cell>
          <cell r="E17" t="str">
            <v>YANAI</v>
          </cell>
        </row>
        <row r="18">
          <cell r="C18" t="str">
            <v>135-05</v>
          </cell>
          <cell r="D18">
            <v>1230000</v>
          </cell>
          <cell r="E18" t="str">
            <v>YANAI</v>
          </cell>
        </row>
        <row r="19">
          <cell r="C19" t="str">
            <v>821-05</v>
          </cell>
          <cell r="D19">
            <v>1740000</v>
          </cell>
          <cell r="E19" t="str">
            <v>STORY</v>
          </cell>
        </row>
        <row r="20">
          <cell r="C20" t="str">
            <v>129-05</v>
          </cell>
          <cell r="D20">
            <v>1090000</v>
          </cell>
          <cell r="E20" t="str">
            <v>SPECTOR</v>
          </cell>
        </row>
        <row r="21">
          <cell r="C21" t="str">
            <v>182-05</v>
          </cell>
          <cell r="D21">
            <v>2030000</v>
          </cell>
          <cell r="E21" t="str">
            <v>KILLION</v>
          </cell>
        </row>
        <row r="22">
          <cell r="C22" t="str">
            <v>123-05</v>
          </cell>
          <cell r="D22">
            <v>1340000</v>
          </cell>
          <cell r="E22" t="str">
            <v>BEAM</v>
          </cell>
        </row>
        <row r="23">
          <cell r="C23" t="str">
            <v>906-05</v>
          </cell>
          <cell r="D23">
            <v>750000</v>
          </cell>
          <cell r="E23" t="str">
            <v>NATION</v>
          </cell>
        </row>
        <row r="24">
          <cell r="C24" t="str">
            <v>114-05</v>
          </cell>
          <cell r="D24">
            <v>1480000</v>
          </cell>
          <cell r="E24" t="str">
            <v>STURGEON</v>
          </cell>
        </row>
        <row r="25">
          <cell r="C25" t="str">
            <v>225-05</v>
          </cell>
          <cell r="D25">
            <v>1820000</v>
          </cell>
          <cell r="E25" t="str">
            <v>ADANE</v>
          </cell>
        </row>
        <row r="26">
          <cell r="C26" t="str">
            <v>801-05</v>
          </cell>
          <cell r="D26">
            <v>1540000</v>
          </cell>
          <cell r="E26" t="str">
            <v>HELVIE</v>
          </cell>
        </row>
        <row r="27">
          <cell r="C27" t="str">
            <v>186-05</v>
          </cell>
          <cell r="D27">
            <v>940000</v>
          </cell>
          <cell r="E27" t="str">
            <v>BONDS</v>
          </cell>
        </row>
        <row r="28">
          <cell r="C28" t="str">
            <v>115-05</v>
          </cell>
          <cell r="D28">
            <v>1090000</v>
          </cell>
          <cell r="E28" t="str">
            <v>SPECTOR</v>
          </cell>
        </row>
        <row r="29">
          <cell r="C29" t="str">
            <v>842-05</v>
          </cell>
          <cell r="D29">
            <v>910000</v>
          </cell>
          <cell r="E29" t="str">
            <v>SUR</v>
          </cell>
        </row>
        <row r="30">
          <cell r="C30" t="str">
            <v>226-05</v>
          </cell>
          <cell r="D30">
            <v>1760000</v>
          </cell>
          <cell r="E30" t="str">
            <v>STRICKLAND</v>
          </cell>
        </row>
        <row r="31">
          <cell r="C31" t="str">
            <v>127-05</v>
          </cell>
          <cell r="D31">
            <v>1480000</v>
          </cell>
          <cell r="E31" t="str">
            <v>STURGEON</v>
          </cell>
        </row>
        <row r="32">
          <cell r="C32" t="str">
            <v>838-05</v>
          </cell>
          <cell r="D32">
            <v>910000</v>
          </cell>
          <cell r="E32" t="str">
            <v>SUR</v>
          </cell>
        </row>
        <row r="33">
          <cell r="C33" t="str">
            <v>124-05</v>
          </cell>
          <cell r="D33">
            <v>1340000</v>
          </cell>
          <cell r="E33" t="str">
            <v>BEAM</v>
          </cell>
        </row>
        <row r="34">
          <cell r="C34" t="str">
            <v>839-05</v>
          </cell>
          <cell r="D34">
            <v>750000</v>
          </cell>
          <cell r="E34" t="str">
            <v>NATION</v>
          </cell>
        </row>
        <row r="35">
          <cell r="C35" t="str">
            <v>134-05</v>
          </cell>
          <cell r="D35">
            <v>900000</v>
          </cell>
          <cell r="E35" t="str">
            <v>ROCHA</v>
          </cell>
        </row>
        <row r="36">
          <cell r="C36" t="str">
            <v>161-05</v>
          </cell>
          <cell r="D36">
            <v>2000000</v>
          </cell>
          <cell r="E36" t="str">
            <v>STAMBAUGH</v>
          </cell>
        </row>
        <row r="37">
          <cell r="C37" t="str">
            <v>152-05</v>
          </cell>
          <cell r="D37">
            <v>1340000</v>
          </cell>
          <cell r="E37" t="str">
            <v>BEAM</v>
          </cell>
        </row>
        <row r="38">
          <cell r="C38" t="str">
            <v>234-05</v>
          </cell>
          <cell r="D38">
            <v>1180000</v>
          </cell>
          <cell r="E38" t="str">
            <v>LEVERE</v>
          </cell>
        </row>
        <row r="39">
          <cell r="C39" t="str">
            <v>824-05</v>
          </cell>
          <cell r="D39">
            <v>910000</v>
          </cell>
          <cell r="E39" t="str">
            <v>SUR</v>
          </cell>
        </row>
        <row r="40">
          <cell r="C40" t="str">
            <v>156-05</v>
          </cell>
          <cell r="D40">
            <v>1100000</v>
          </cell>
          <cell r="E40" t="str">
            <v>GEBRETEKLE</v>
          </cell>
        </row>
        <row r="41">
          <cell r="C41" t="str">
            <v>195-05</v>
          </cell>
          <cell r="D41">
            <v>2030000</v>
          </cell>
          <cell r="E41" t="str">
            <v>KILLION</v>
          </cell>
        </row>
        <row r="42">
          <cell r="C42" t="str">
            <v>126-05</v>
          </cell>
          <cell r="D42">
            <v>1100000</v>
          </cell>
          <cell r="E42" t="str">
            <v>GEBRETEKLE</v>
          </cell>
        </row>
        <row r="43">
          <cell r="C43" t="str">
            <v>235-05</v>
          </cell>
          <cell r="D43">
            <v>1240000</v>
          </cell>
          <cell r="E43" t="str">
            <v>GRASTON</v>
          </cell>
        </row>
        <row r="44">
          <cell r="C44" t="str">
            <v>244-04</v>
          </cell>
          <cell r="D44">
            <v>1280000</v>
          </cell>
          <cell r="E44" t="str">
            <v>BARTLETT</v>
          </cell>
        </row>
        <row r="45">
          <cell r="C45" t="str">
            <v>PTC Test Train</v>
          </cell>
          <cell r="D45">
            <v>0</v>
          </cell>
          <cell r="E45" t="str">
            <v>Coats</v>
          </cell>
        </row>
        <row r="46">
          <cell r="C46" t="str">
            <v>218-05</v>
          </cell>
          <cell r="D46">
            <v>1140000</v>
          </cell>
          <cell r="E46" t="str">
            <v>YOUNG</v>
          </cell>
        </row>
        <row r="47">
          <cell r="C47" t="str">
            <v>108-05</v>
          </cell>
          <cell r="D47">
            <v>1230000</v>
          </cell>
          <cell r="E47" t="str">
            <v>YANAI</v>
          </cell>
        </row>
        <row r="48">
          <cell r="C48" t="str">
            <v>217-05</v>
          </cell>
          <cell r="D48">
            <v>1820000</v>
          </cell>
          <cell r="E48" t="str">
            <v>ADANE</v>
          </cell>
        </row>
        <row r="49">
          <cell r="C49" t="str">
            <v>112-05</v>
          </cell>
          <cell r="D49">
            <v>1100000</v>
          </cell>
          <cell r="E49" t="str">
            <v>GEBRETEKLE</v>
          </cell>
        </row>
        <row r="50">
          <cell r="C50" t="str">
            <v>196-05</v>
          </cell>
          <cell r="D50">
            <v>2030000</v>
          </cell>
          <cell r="E50" t="str">
            <v>KILLION</v>
          </cell>
        </row>
        <row r="51">
          <cell r="C51" t="str">
            <v>803-05</v>
          </cell>
          <cell r="D51">
            <v>1740000</v>
          </cell>
          <cell r="E51" t="str">
            <v>STORY</v>
          </cell>
        </row>
        <row r="52">
          <cell r="C52" t="str">
            <v>829-05</v>
          </cell>
          <cell r="D52">
            <v>910000</v>
          </cell>
          <cell r="E52" t="str">
            <v>SUR</v>
          </cell>
        </row>
        <row r="53">
          <cell r="C53" t="str">
            <v>105-05</v>
          </cell>
          <cell r="D53">
            <v>900000</v>
          </cell>
          <cell r="E53" t="str">
            <v>ROCHA</v>
          </cell>
        </row>
        <row r="54">
          <cell r="C54" t="str">
            <v>193-05</v>
          </cell>
          <cell r="D54">
            <v>2020000</v>
          </cell>
          <cell r="E54" t="str">
            <v>SHOOK</v>
          </cell>
        </row>
        <row r="55">
          <cell r="C55" t="str">
            <v>107-05</v>
          </cell>
          <cell r="D55">
            <v>1230000</v>
          </cell>
          <cell r="E55" t="str">
            <v>YANAI</v>
          </cell>
        </row>
        <row r="56">
          <cell r="C56" t="str">
            <v>197-05</v>
          </cell>
          <cell r="D56">
            <v>1140000</v>
          </cell>
          <cell r="E56" t="str">
            <v>YOUNG</v>
          </cell>
        </row>
        <row r="57">
          <cell r="C57" t="str">
            <v>119-05</v>
          </cell>
          <cell r="D57">
            <v>900000</v>
          </cell>
          <cell r="E57" t="str">
            <v>ROCHA</v>
          </cell>
        </row>
        <row r="58">
          <cell r="C58" t="str">
            <v>176-05</v>
          </cell>
          <cell r="D58">
            <v>2000000</v>
          </cell>
          <cell r="E58" t="str">
            <v>STAMBAUGH</v>
          </cell>
        </row>
        <row r="59">
          <cell r="C59" t="str">
            <v>116-05</v>
          </cell>
          <cell r="D59">
            <v>1090000</v>
          </cell>
          <cell r="E59" t="str">
            <v>SPECTOR</v>
          </cell>
        </row>
        <row r="60">
          <cell r="C60" t="str">
            <v>155-05</v>
          </cell>
          <cell r="D60">
            <v>1100000</v>
          </cell>
          <cell r="E60" t="str">
            <v>GEBRETEKLE</v>
          </cell>
        </row>
        <row r="61">
          <cell r="C61" t="str">
            <v>805-05</v>
          </cell>
          <cell r="D61">
            <v>1540000</v>
          </cell>
          <cell r="E61" t="str">
            <v>HELVIE</v>
          </cell>
        </row>
        <row r="62">
          <cell r="C62" t="str">
            <v>218-05</v>
          </cell>
          <cell r="D62">
            <v>1140000</v>
          </cell>
          <cell r="E62" t="str">
            <v>YOUNG</v>
          </cell>
        </row>
        <row r="63">
          <cell r="C63" t="str">
            <v>122-05</v>
          </cell>
          <cell r="D63">
            <v>1230000</v>
          </cell>
          <cell r="E63" t="str">
            <v>YANAI</v>
          </cell>
        </row>
        <row r="64">
          <cell r="C64" t="str">
            <v>154-05</v>
          </cell>
          <cell r="D64">
            <v>2030000</v>
          </cell>
          <cell r="E64" t="str">
            <v>KILLION</v>
          </cell>
        </row>
        <row r="65">
          <cell r="C65" t="str">
            <v>806-05</v>
          </cell>
          <cell r="D65">
            <v>1540000</v>
          </cell>
          <cell r="E65" t="str">
            <v>HELVIE</v>
          </cell>
        </row>
        <row r="66">
          <cell r="C66" t="str">
            <v>198-05</v>
          </cell>
          <cell r="D66">
            <v>1140000</v>
          </cell>
          <cell r="E66" t="str">
            <v>YOUNG</v>
          </cell>
        </row>
        <row r="67">
          <cell r="C67" t="str">
            <v>130-05</v>
          </cell>
          <cell r="D67">
            <v>1090000</v>
          </cell>
          <cell r="E67" t="str">
            <v>SPECTOR</v>
          </cell>
        </row>
        <row r="68">
          <cell r="C68" t="str">
            <v>177-05</v>
          </cell>
          <cell r="D68">
            <v>1120000</v>
          </cell>
          <cell r="E68" t="str">
            <v>LOCKLEAR</v>
          </cell>
        </row>
        <row r="69">
          <cell r="C69" t="str">
            <v>147-05</v>
          </cell>
          <cell r="D69">
            <v>900000</v>
          </cell>
          <cell r="E69" t="str">
            <v>ROCHA</v>
          </cell>
        </row>
        <row r="70">
          <cell r="C70" t="str">
            <v>819-05</v>
          </cell>
          <cell r="D70">
            <v>1740000</v>
          </cell>
          <cell r="E70" t="str">
            <v>STORY</v>
          </cell>
        </row>
        <row r="71">
          <cell r="C71" t="str">
            <v>146-05</v>
          </cell>
          <cell r="D71">
            <v>1110000</v>
          </cell>
          <cell r="E71" t="str">
            <v>STARKS</v>
          </cell>
        </row>
        <row r="72">
          <cell r="C72" t="str">
            <v>220-05</v>
          </cell>
          <cell r="D72">
            <v>1240000</v>
          </cell>
          <cell r="E72" t="str">
            <v>GRASTON</v>
          </cell>
        </row>
        <row r="73">
          <cell r="C73" t="str">
            <v>816-05</v>
          </cell>
          <cell r="D73">
            <v>1740000</v>
          </cell>
          <cell r="E73" t="str">
            <v>STORY</v>
          </cell>
        </row>
        <row r="74">
          <cell r="C74" t="str">
            <v>204-05</v>
          </cell>
          <cell r="D74">
            <v>2000000</v>
          </cell>
          <cell r="E74" t="str">
            <v>STAMBAUGH</v>
          </cell>
        </row>
        <row r="75">
          <cell r="C75" t="str">
            <v>817-05</v>
          </cell>
          <cell r="D75">
            <v>1740000</v>
          </cell>
          <cell r="E75" t="str">
            <v>STORY</v>
          </cell>
        </row>
        <row r="76">
          <cell r="C76" t="str">
            <v>203-05</v>
          </cell>
          <cell r="D76">
            <v>2000000</v>
          </cell>
          <cell r="E76" t="str">
            <v>STAMBAUGH</v>
          </cell>
        </row>
        <row r="77">
          <cell r="C77" t="str">
            <v>158-05</v>
          </cell>
          <cell r="D77">
            <v>940000</v>
          </cell>
          <cell r="E77" t="str">
            <v>BONDS</v>
          </cell>
        </row>
        <row r="78">
          <cell r="C78" t="str">
            <v>180-05</v>
          </cell>
          <cell r="D78">
            <v>2020000</v>
          </cell>
          <cell r="E78" t="str">
            <v>SHOOK</v>
          </cell>
        </row>
        <row r="79">
          <cell r="C79" t="str">
            <v>206-05</v>
          </cell>
          <cell r="D79">
            <v>1120000</v>
          </cell>
          <cell r="E79" t="str">
            <v>LOCKLEAR</v>
          </cell>
        </row>
        <row r="80">
          <cell r="C80" t="str">
            <v>187-05</v>
          </cell>
          <cell r="D80">
            <v>1290000</v>
          </cell>
          <cell r="E80" t="str">
            <v>COOLAHAN</v>
          </cell>
        </row>
        <row r="81">
          <cell r="C81" t="str">
            <v>103-06</v>
          </cell>
          <cell r="D81">
            <v>1110000</v>
          </cell>
          <cell r="E81" t="str">
            <v>STARKS</v>
          </cell>
        </row>
        <row r="82">
          <cell r="C82" t="str">
            <v>153-05</v>
          </cell>
          <cell r="D82">
            <v>2030000</v>
          </cell>
          <cell r="E82" t="str">
            <v>KILLION</v>
          </cell>
        </row>
        <row r="83">
          <cell r="C83" t="str">
            <v>192-05</v>
          </cell>
          <cell r="D83">
            <v>1120000</v>
          </cell>
          <cell r="E83" t="str">
            <v>LOCKLEAR</v>
          </cell>
        </row>
        <row r="84">
          <cell r="C84" t="str">
            <v>149-05</v>
          </cell>
          <cell r="D84">
            <v>1230000</v>
          </cell>
          <cell r="E84" t="str">
            <v>YANAI</v>
          </cell>
        </row>
        <row r="85">
          <cell r="C85" t="str">
            <v>210-05</v>
          </cell>
          <cell r="D85">
            <v>1180000</v>
          </cell>
          <cell r="E85" t="str">
            <v>LEVERE</v>
          </cell>
        </row>
        <row r="86">
          <cell r="C86" t="str">
            <v>811-05</v>
          </cell>
          <cell r="D86">
            <v>1740000</v>
          </cell>
          <cell r="E86" t="str">
            <v>STORY</v>
          </cell>
        </row>
        <row r="87">
          <cell r="C87" t="str">
            <v>229-05</v>
          </cell>
          <cell r="D87">
            <v>1820000</v>
          </cell>
          <cell r="E87" t="str">
            <v>ADANE</v>
          </cell>
        </row>
        <row r="88">
          <cell r="C88" t="str">
            <v>810-05</v>
          </cell>
          <cell r="D88">
            <v>1540000</v>
          </cell>
          <cell r="E88" t="str">
            <v>HELVIE</v>
          </cell>
        </row>
        <row r="89">
          <cell r="C89" t="str">
            <v>226-05</v>
          </cell>
          <cell r="D89">
            <v>1760000</v>
          </cell>
          <cell r="E89" t="str">
            <v>STRICKLAND</v>
          </cell>
        </row>
        <row r="90">
          <cell r="C90" t="str">
            <v>242-05</v>
          </cell>
          <cell r="D90">
            <v>1180000</v>
          </cell>
          <cell r="E90" t="str">
            <v>LEVERE</v>
          </cell>
        </row>
        <row r="91">
          <cell r="C91" t="str">
            <v>243-05</v>
          </cell>
          <cell r="D91">
            <v>1240000</v>
          </cell>
          <cell r="E91" t="str">
            <v>GRASTON</v>
          </cell>
        </row>
        <row r="92">
          <cell r="C92" t="str">
            <v>238-05</v>
          </cell>
          <cell r="D92">
            <v>1820000</v>
          </cell>
          <cell r="E92" t="str">
            <v>ADANE</v>
          </cell>
        </row>
        <row r="93">
          <cell r="C93" t="str">
            <v>PTC Test Train</v>
          </cell>
          <cell r="D93">
            <v>0</v>
          </cell>
          <cell r="E93" t="str">
            <v>Coats</v>
          </cell>
        </row>
        <row r="94">
          <cell r="C94" t="str">
            <v>222-05</v>
          </cell>
          <cell r="D94">
            <v>1820000</v>
          </cell>
          <cell r="E94" t="str">
            <v>ADANE</v>
          </cell>
        </row>
        <row r="95">
          <cell r="C95" t="str">
            <v>101-06</v>
          </cell>
          <cell r="D95">
            <v>1830000</v>
          </cell>
          <cell r="E95" t="str">
            <v>YORK</v>
          </cell>
        </row>
        <row r="96">
          <cell r="C96" t="str">
            <v>193-05</v>
          </cell>
          <cell r="D96">
            <v>2020000</v>
          </cell>
          <cell r="E96" t="str">
            <v>SHOOK</v>
          </cell>
        </row>
        <row r="97">
          <cell r="C97" t="str">
            <v>847-05</v>
          </cell>
          <cell r="D97">
            <v>910000</v>
          </cell>
          <cell r="E97" t="str">
            <v>SUR</v>
          </cell>
        </row>
        <row r="98">
          <cell r="C98" t="str">
            <v>174-05</v>
          </cell>
          <cell r="D98">
            <v>1290000</v>
          </cell>
          <cell r="E98" t="str">
            <v>COOLAHAN</v>
          </cell>
        </row>
        <row r="99">
          <cell r="C99" t="str">
            <v>PTC Test Train</v>
          </cell>
          <cell r="D99">
            <v>0</v>
          </cell>
          <cell r="E99" t="str">
            <v>Coats</v>
          </cell>
        </row>
        <row r="100">
          <cell r="C100" t="str">
            <v>144-05</v>
          </cell>
          <cell r="D100">
            <v>1090000</v>
          </cell>
          <cell r="E100" t="str">
            <v>SPECTOR</v>
          </cell>
        </row>
        <row r="101">
          <cell r="C101" t="str">
            <v>175-05</v>
          </cell>
          <cell r="D101">
            <v>2000000</v>
          </cell>
          <cell r="E101" t="str">
            <v>STAMBAUGH</v>
          </cell>
        </row>
        <row r="102">
          <cell r="C102" t="str">
            <v>141-05</v>
          </cell>
          <cell r="D102">
            <v>1480000</v>
          </cell>
          <cell r="E102" t="str">
            <v>STURGEON</v>
          </cell>
        </row>
        <row r="103">
          <cell r="C103" t="str">
            <v>190-05</v>
          </cell>
          <cell r="D103">
            <v>2000000</v>
          </cell>
          <cell r="E103" t="str">
            <v>STAMBAUGH</v>
          </cell>
        </row>
        <row r="104">
          <cell r="C104" t="str">
            <v>132-05</v>
          </cell>
          <cell r="D104">
            <v>1110000</v>
          </cell>
          <cell r="E104" t="str">
            <v>STARKS</v>
          </cell>
        </row>
        <row r="105">
          <cell r="C105" t="str">
            <v>200-05</v>
          </cell>
          <cell r="D105">
            <v>940000</v>
          </cell>
          <cell r="E105" t="str">
            <v>BONDS</v>
          </cell>
        </row>
        <row r="106">
          <cell r="C106" t="str">
            <v>126-05</v>
          </cell>
          <cell r="D106">
            <v>1100000</v>
          </cell>
          <cell r="E106" t="str">
            <v>GEBRETEKLE</v>
          </cell>
        </row>
        <row r="107">
          <cell r="C107" t="str">
            <v>209-05</v>
          </cell>
          <cell r="D107">
            <v>1180000</v>
          </cell>
          <cell r="E107" t="str">
            <v>LEVERE</v>
          </cell>
        </row>
        <row r="108">
          <cell r="C108" t="str">
            <v>131-05</v>
          </cell>
          <cell r="D108">
            <v>1110000</v>
          </cell>
          <cell r="E108" t="str">
            <v>STARKS</v>
          </cell>
        </row>
        <row r="109">
          <cell r="C109" t="str">
            <v>191-05</v>
          </cell>
          <cell r="D109">
            <v>1120000</v>
          </cell>
          <cell r="E109" t="str">
            <v>LOCKLEAR</v>
          </cell>
        </row>
        <row r="110">
          <cell r="C110" t="str">
            <v>120-05</v>
          </cell>
          <cell r="D110">
            <v>900000</v>
          </cell>
          <cell r="E110" t="str">
            <v>ROCHA</v>
          </cell>
        </row>
        <row r="111">
          <cell r="C111" t="str">
            <v>837-05</v>
          </cell>
          <cell r="D111">
            <v>910000</v>
          </cell>
          <cell r="E111" t="str">
            <v>SUR</v>
          </cell>
        </row>
        <row r="112">
          <cell r="C112" t="str">
            <v>802-05</v>
          </cell>
          <cell r="D112">
            <v>1540000</v>
          </cell>
          <cell r="E112" t="str">
            <v>HELVIE</v>
          </cell>
        </row>
        <row r="113">
          <cell r="C113" t="str">
            <v>231-05</v>
          </cell>
          <cell r="D113">
            <v>1280000</v>
          </cell>
          <cell r="E113" t="str">
            <v>BARTLETT</v>
          </cell>
        </row>
        <row r="114">
          <cell r="C114" t="str">
            <v>110-05</v>
          </cell>
          <cell r="D114">
            <v>1340000</v>
          </cell>
          <cell r="E114" t="str">
            <v>BEAM</v>
          </cell>
        </row>
        <row r="115">
          <cell r="C115" t="str">
            <v>236-05</v>
          </cell>
          <cell r="D115">
            <v>1240000</v>
          </cell>
          <cell r="E115" t="str">
            <v>GRASTON</v>
          </cell>
        </row>
        <row r="116">
          <cell r="C116" t="str">
            <v>117-05</v>
          </cell>
          <cell r="D116">
            <v>1120000</v>
          </cell>
          <cell r="E116" t="str">
            <v>LOCKLEAR</v>
          </cell>
        </row>
        <row r="117">
          <cell r="C117" t="str">
            <v>199-05</v>
          </cell>
          <cell r="D117">
            <v>940000</v>
          </cell>
          <cell r="E117" t="str">
            <v>BONDS</v>
          </cell>
        </row>
        <row r="118">
          <cell r="C118" t="str">
            <v>106-05</v>
          </cell>
          <cell r="D118">
            <v>900000</v>
          </cell>
          <cell r="E118" t="str">
            <v>ROCHA</v>
          </cell>
        </row>
        <row r="119">
          <cell r="C119" t="str">
            <v>206-05</v>
          </cell>
          <cell r="D119">
            <v>1120000</v>
          </cell>
          <cell r="E119" t="str">
            <v>LOCKLEAR</v>
          </cell>
        </row>
        <row r="120">
          <cell r="C120" t="str">
            <v>113-05</v>
          </cell>
          <cell r="D120">
            <v>1480000</v>
          </cell>
          <cell r="E120" t="str">
            <v>STURGEON</v>
          </cell>
        </row>
        <row r="121">
          <cell r="C121" t="str">
            <v>107-05</v>
          </cell>
          <cell r="D121">
            <v>1230000</v>
          </cell>
          <cell r="E121" t="str">
            <v>YANAI</v>
          </cell>
        </row>
        <row r="122">
          <cell r="C122" t="str">
            <v>800-05</v>
          </cell>
          <cell r="D122">
            <v>1540000</v>
          </cell>
          <cell r="E122" t="str">
            <v>HELVIE</v>
          </cell>
        </row>
        <row r="123">
          <cell r="C123" t="str">
            <v>137-05</v>
          </cell>
          <cell r="D123">
            <v>1340000</v>
          </cell>
          <cell r="E123" t="str">
            <v>BEAM</v>
          </cell>
        </row>
        <row r="124">
          <cell r="C124" t="str">
            <v>311-04</v>
          </cell>
          <cell r="D124">
            <v>1290000</v>
          </cell>
          <cell r="E124" t="str">
            <v>COOLAHAN</v>
          </cell>
        </row>
        <row r="125">
          <cell r="C125" t="str">
            <v>111-05</v>
          </cell>
          <cell r="D125">
            <v>1100000</v>
          </cell>
          <cell r="E125" t="str">
            <v>GEBRETEKLE</v>
          </cell>
        </row>
        <row r="126">
          <cell r="C126" t="str">
            <v>235-05</v>
          </cell>
          <cell r="D126">
            <v>1240000</v>
          </cell>
          <cell r="E126" t="str">
            <v>GRASTON</v>
          </cell>
        </row>
        <row r="127">
          <cell r="C127" t="str">
            <v>121-05</v>
          </cell>
          <cell r="D127">
            <v>1230000</v>
          </cell>
          <cell r="E127" t="str">
            <v>YANAI</v>
          </cell>
        </row>
        <row r="128">
          <cell r="C128" t="str">
            <v>104-05</v>
          </cell>
          <cell r="D128">
            <v>1110000</v>
          </cell>
          <cell r="E128" t="str">
            <v>STARKS</v>
          </cell>
        </row>
        <row r="129">
          <cell r="C129" t="str">
            <v>122-05</v>
          </cell>
          <cell r="D129">
            <v>1230000</v>
          </cell>
          <cell r="E129" t="str">
            <v>YANAI</v>
          </cell>
        </row>
        <row r="130">
          <cell r="C130" t="str">
            <v>843-05</v>
          </cell>
          <cell r="D130">
            <v>910000</v>
          </cell>
          <cell r="E130" t="str">
            <v>SUR</v>
          </cell>
        </row>
        <row r="131">
          <cell r="C131" t="str">
            <v>139-05</v>
          </cell>
          <cell r="D131">
            <v>1100000</v>
          </cell>
          <cell r="E131" t="str">
            <v>GEBRETEKLE</v>
          </cell>
        </row>
        <row r="132">
          <cell r="C132" t="str">
            <v>840-05</v>
          </cell>
          <cell r="D132">
            <v>910000</v>
          </cell>
          <cell r="E132" t="str">
            <v>SUR</v>
          </cell>
        </row>
        <row r="133">
          <cell r="C133" t="str">
            <v>136-05</v>
          </cell>
          <cell r="D133">
            <v>1230000</v>
          </cell>
          <cell r="E133" t="str">
            <v>YANAI</v>
          </cell>
        </row>
        <row r="134">
          <cell r="C134" t="str">
            <v>NATION-05</v>
          </cell>
          <cell r="D134">
            <v>750000</v>
          </cell>
          <cell r="E134" t="str">
            <v>NATION</v>
          </cell>
        </row>
        <row r="135">
          <cell r="C135" t="str">
            <v>148-05</v>
          </cell>
          <cell r="D135">
            <v>900000</v>
          </cell>
          <cell r="E135" t="str">
            <v>ROCHA</v>
          </cell>
        </row>
        <row r="136">
          <cell r="C136" t="str">
            <v>188-05</v>
          </cell>
          <cell r="D136">
            <v>1290000</v>
          </cell>
          <cell r="E136" t="str">
            <v>COOLAHAN</v>
          </cell>
        </row>
        <row r="137">
          <cell r="C137" t="str">
            <v>168-05</v>
          </cell>
          <cell r="D137">
            <v>2030000</v>
          </cell>
          <cell r="E137" t="str">
            <v>KILLION</v>
          </cell>
        </row>
        <row r="138">
          <cell r="C138" t="str">
            <v>173-05</v>
          </cell>
          <cell r="D138">
            <v>1290000</v>
          </cell>
          <cell r="E138" t="str">
            <v>COOLAHAN</v>
          </cell>
        </row>
        <row r="139">
          <cell r="C139" t="str">
            <v>102-05</v>
          </cell>
          <cell r="D139">
            <v>1480000</v>
          </cell>
          <cell r="E139" t="str">
            <v>STURGEON</v>
          </cell>
        </row>
        <row r="140">
          <cell r="C140" t="str">
            <v>162-05</v>
          </cell>
          <cell r="D140">
            <v>2000000</v>
          </cell>
          <cell r="E140" t="str">
            <v>STAMBAUGH</v>
          </cell>
        </row>
        <row r="141">
          <cell r="C141" t="str">
            <v>109-05</v>
          </cell>
          <cell r="D141">
            <v>1340000</v>
          </cell>
          <cell r="E141" t="str">
            <v>BEAM</v>
          </cell>
        </row>
        <row r="142">
          <cell r="C142" t="str">
            <v>242-04</v>
          </cell>
          <cell r="D142">
            <v>1770000</v>
          </cell>
          <cell r="E142" t="str">
            <v>BRUDER</v>
          </cell>
        </row>
        <row r="143">
          <cell r="C143" t="str">
            <v>124-05</v>
          </cell>
          <cell r="D143">
            <v>1340000</v>
          </cell>
          <cell r="E143" t="str">
            <v>BEAM</v>
          </cell>
        </row>
        <row r="144">
          <cell r="C144" t="str">
            <v>839-05</v>
          </cell>
          <cell r="D144">
            <v>750000</v>
          </cell>
          <cell r="E144" t="str">
            <v>NATION</v>
          </cell>
        </row>
        <row r="145">
          <cell r="C145" t="str">
            <v>804-05</v>
          </cell>
          <cell r="D145">
            <v>1740000</v>
          </cell>
          <cell r="E145" t="str">
            <v>STORY</v>
          </cell>
        </row>
        <row r="146">
          <cell r="C146" t="str">
            <v>825-05</v>
          </cell>
          <cell r="D146">
            <v>910000</v>
          </cell>
          <cell r="E146" t="str">
            <v>SUR</v>
          </cell>
        </row>
        <row r="147">
          <cell r="C147" t="str">
            <v>159-05</v>
          </cell>
          <cell r="D147">
            <v>1090000</v>
          </cell>
          <cell r="E147" t="str">
            <v>SPECTOR</v>
          </cell>
        </row>
        <row r="148">
          <cell r="C148" t="str">
            <v>181-05</v>
          </cell>
          <cell r="D148">
            <v>2030000</v>
          </cell>
          <cell r="E148" t="str">
            <v>KILLION</v>
          </cell>
        </row>
        <row r="149">
          <cell r="C149" t="str">
            <v>145-05</v>
          </cell>
          <cell r="D149">
            <v>1110000</v>
          </cell>
          <cell r="E149" t="str">
            <v>STARKS</v>
          </cell>
        </row>
        <row r="150">
          <cell r="C150" t="str">
            <v>818-05</v>
          </cell>
          <cell r="D150">
            <v>1740000</v>
          </cell>
          <cell r="E150" t="str">
            <v>STORY</v>
          </cell>
        </row>
        <row r="151">
          <cell r="C151" t="str">
            <v>815-05</v>
          </cell>
          <cell r="D151">
            <v>1740000</v>
          </cell>
          <cell r="E151" t="str">
            <v>STORY</v>
          </cell>
        </row>
        <row r="152">
          <cell r="C152" t="str">
            <v>157-05</v>
          </cell>
          <cell r="D152">
            <v>940000</v>
          </cell>
          <cell r="E152" t="str">
            <v>BONDS</v>
          </cell>
        </row>
        <row r="153">
          <cell r="C153" t="str">
            <v>118-05</v>
          </cell>
          <cell r="D153">
            <v>1110000</v>
          </cell>
          <cell r="E153" t="str">
            <v>STARKS</v>
          </cell>
        </row>
        <row r="154">
          <cell r="C154" t="str">
            <v>230-05</v>
          </cell>
          <cell r="D154">
            <v>1820000</v>
          </cell>
          <cell r="E154" t="str">
            <v>ADANE</v>
          </cell>
        </row>
        <row r="155">
          <cell r="C155" t="str">
            <v>808-05</v>
          </cell>
          <cell r="D155">
            <v>1740000</v>
          </cell>
          <cell r="E155" t="str">
            <v>STORY</v>
          </cell>
        </row>
        <row r="156">
          <cell r="C156" t="str">
            <v>839-05</v>
          </cell>
          <cell r="D156">
            <v>750000</v>
          </cell>
          <cell r="E156" t="str">
            <v>NATION</v>
          </cell>
        </row>
        <row r="157">
          <cell r="C157" t="str">
            <v>143-05</v>
          </cell>
          <cell r="D157">
            <v>1090000</v>
          </cell>
          <cell r="E157" t="str">
            <v>SPECTOR</v>
          </cell>
        </row>
        <row r="158">
          <cell r="C158" t="str">
            <v>142-05</v>
          </cell>
          <cell r="D158">
            <v>1480000</v>
          </cell>
          <cell r="E158" t="str">
            <v>STURGEON</v>
          </cell>
        </row>
        <row r="159">
          <cell r="C159" t="str">
            <v>138-05</v>
          </cell>
          <cell r="D159">
            <v>1340000</v>
          </cell>
          <cell r="E159" t="str">
            <v>BEAM</v>
          </cell>
        </row>
        <row r="160">
          <cell r="C160" t="str">
            <v>814-05</v>
          </cell>
          <cell r="D160">
            <v>1740000</v>
          </cell>
          <cell r="E160" t="str">
            <v>STORY</v>
          </cell>
        </row>
        <row r="161">
          <cell r="C161" t="str">
            <v>820-05</v>
          </cell>
          <cell r="D161">
            <v>1740000</v>
          </cell>
          <cell r="E161" t="str">
            <v>STORY</v>
          </cell>
        </row>
        <row r="162">
          <cell r="C162" t="str">
            <v>125-05</v>
          </cell>
          <cell r="D162">
            <v>1100000</v>
          </cell>
          <cell r="E162" t="str">
            <v>GEBRETEKLE</v>
          </cell>
        </row>
        <row r="163">
          <cell r="C163" t="str">
            <v>803-05</v>
          </cell>
          <cell r="D163">
            <v>1740000</v>
          </cell>
          <cell r="E163" t="str">
            <v>STORY</v>
          </cell>
        </row>
        <row r="164">
          <cell r="C164" t="str">
            <v>103-05</v>
          </cell>
          <cell r="D164">
            <v>1110000</v>
          </cell>
          <cell r="E164" t="str">
            <v>STARKS</v>
          </cell>
        </row>
        <row r="165">
          <cell r="C165" t="str">
            <v>133-05</v>
          </cell>
          <cell r="D165">
            <v>900000</v>
          </cell>
          <cell r="E165" t="str">
            <v>ROCHA</v>
          </cell>
        </row>
        <row r="166">
          <cell r="C166" t="str">
            <v>205-05</v>
          </cell>
          <cell r="D166">
            <v>1120000</v>
          </cell>
          <cell r="E166" t="str">
            <v>LOCKLEAR</v>
          </cell>
        </row>
        <row r="167">
          <cell r="C167" t="str">
            <v>163-05</v>
          </cell>
          <cell r="D167">
            <v>1120000</v>
          </cell>
          <cell r="E167" t="str">
            <v>LOCKLEAR</v>
          </cell>
        </row>
        <row r="168">
          <cell r="C168" t="str">
            <v>179-05</v>
          </cell>
          <cell r="D168">
            <v>2020000</v>
          </cell>
          <cell r="E168" t="str">
            <v>SHOOK</v>
          </cell>
        </row>
        <row r="169">
          <cell r="C169" t="str">
            <v>167-05</v>
          </cell>
          <cell r="D169">
            <v>2030000</v>
          </cell>
          <cell r="E169" t="str">
            <v>KILLION</v>
          </cell>
        </row>
        <row r="170">
          <cell r="C170" t="str">
            <v>166-05</v>
          </cell>
          <cell r="D170">
            <v>2020000</v>
          </cell>
          <cell r="E170" t="str">
            <v>SHOOK</v>
          </cell>
        </row>
        <row r="171">
          <cell r="C171" t="str">
            <v>172-05</v>
          </cell>
          <cell r="D171">
            <v>940000</v>
          </cell>
          <cell r="E171" t="str">
            <v>BONDS</v>
          </cell>
        </row>
        <row r="172">
          <cell r="C172" t="str">
            <v>164-05</v>
          </cell>
          <cell r="D172">
            <v>1120000</v>
          </cell>
          <cell r="E172" t="str">
            <v>LOCKLEAR</v>
          </cell>
        </row>
        <row r="173">
          <cell r="C173" t="str">
            <v>224-05</v>
          </cell>
          <cell r="D173">
            <v>1180000</v>
          </cell>
          <cell r="E173" t="str">
            <v>LEVERE</v>
          </cell>
        </row>
        <row r="174">
          <cell r="C174" t="str">
            <v>169-05</v>
          </cell>
          <cell r="D174">
            <v>1140000</v>
          </cell>
          <cell r="E174" t="str">
            <v>YOUNG</v>
          </cell>
        </row>
        <row r="175">
          <cell r="C175" t="str">
            <v>189-05</v>
          </cell>
          <cell r="D175">
            <v>2000000</v>
          </cell>
          <cell r="E175" t="str">
            <v>STAMBAUGH</v>
          </cell>
        </row>
        <row r="176">
          <cell r="C176" t="str">
            <v>812-05</v>
          </cell>
          <cell r="D176">
            <v>1740000</v>
          </cell>
          <cell r="E176" t="str">
            <v>STORY</v>
          </cell>
        </row>
        <row r="177">
          <cell r="C177" t="str">
            <v>207-05</v>
          </cell>
          <cell r="D177">
            <v>2020000</v>
          </cell>
          <cell r="E177" t="str">
            <v>SHOOK</v>
          </cell>
        </row>
        <row r="178">
          <cell r="C178" t="str">
            <v>807-05</v>
          </cell>
          <cell r="D178">
            <v>1740000</v>
          </cell>
          <cell r="E178" t="str">
            <v>STORY</v>
          </cell>
        </row>
        <row r="179">
          <cell r="C179" t="str">
            <v>223-05</v>
          </cell>
          <cell r="D179">
            <v>1180000</v>
          </cell>
          <cell r="E179" t="str">
            <v>LEVERE</v>
          </cell>
        </row>
        <row r="180">
          <cell r="C180" t="str">
            <v>101-05</v>
          </cell>
          <cell r="D180">
            <v>1480000</v>
          </cell>
          <cell r="E180" t="str">
            <v>STURGEON</v>
          </cell>
        </row>
        <row r="181">
          <cell r="C181" t="str">
            <v>845-05</v>
          </cell>
          <cell r="D181">
            <v>910000</v>
          </cell>
          <cell r="E181" t="str">
            <v>SUR</v>
          </cell>
        </row>
        <row r="182">
          <cell r="C182" t="str">
            <v>841-05</v>
          </cell>
          <cell r="D182">
            <v>910000</v>
          </cell>
          <cell r="E182" t="str">
            <v>SUR</v>
          </cell>
        </row>
        <row r="183">
          <cell r="C183" t="str">
            <v>178-05</v>
          </cell>
          <cell r="D183">
            <v>1120000</v>
          </cell>
          <cell r="E183" t="str">
            <v>LOCKLEAR</v>
          </cell>
        </row>
        <row r="184">
          <cell r="C184" t="str">
            <v>184-05</v>
          </cell>
          <cell r="D184">
            <v>1140000</v>
          </cell>
          <cell r="E184" t="str">
            <v>YOUNG</v>
          </cell>
        </row>
        <row r="185">
          <cell r="C185" t="str">
            <v>217-05</v>
          </cell>
          <cell r="D185">
            <v>1820000</v>
          </cell>
          <cell r="E185" t="str">
            <v>ADANE</v>
          </cell>
        </row>
        <row r="186">
          <cell r="C186" t="str">
            <v>183-05</v>
          </cell>
          <cell r="D186">
            <v>1140000</v>
          </cell>
          <cell r="E186" t="str">
            <v>YOUNG</v>
          </cell>
        </row>
        <row r="187">
          <cell r="C187" t="str">
            <v>185-05</v>
          </cell>
          <cell r="D187">
            <v>940000</v>
          </cell>
          <cell r="E187" t="str">
            <v>BONDS</v>
          </cell>
        </row>
        <row r="188">
          <cell r="C188" t="str">
            <v>238-05</v>
          </cell>
          <cell r="D188">
            <v>1820000</v>
          </cell>
          <cell r="E188" t="str">
            <v>ADANE</v>
          </cell>
        </row>
        <row r="189">
          <cell r="C189" t="str">
            <v>180-05</v>
          </cell>
          <cell r="D189">
            <v>2020000</v>
          </cell>
          <cell r="E189" t="str">
            <v>SHOOK</v>
          </cell>
        </row>
        <row r="190">
          <cell r="C190" t="str">
            <v>208-05</v>
          </cell>
          <cell r="D190">
            <v>2020000</v>
          </cell>
          <cell r="E190" t="str">
            <v>SHOOK</v>
          </cell>
        </row>
        <row r="191">
          <cell r="C191" t="str">
            <v>211-05</v>
          </cell>
          <cell r="D191">
            <v>1140000</v>
          </cell>
          <cell r="E191" t="str">
            <v>YOUNG</v>
          </cell>
        </row>
        <row r="192">
          <cell r="C192" t="str">
            <v>201-05</v>
          </cell>
          <cell r="D192">
            <v>1290000</v>
          </cell>
          <cell r="E192" t="str">
            <v>COOLAHAN</v>
          </cell>
        </row>
        <row r="193">
          <cell r="C193" t="str">
            <v>221-05</v>
          </cell>
          <cell r="D193">
            <v>1280000</v>
          </cell>
          <cell r="E193" t="str">
            <v>BARTLETT</v>
          </cell>
        </row>
        <row r="194">
          <cell r="C194" t="str">
            <v>244-05</v>
          </cell>
          <cell r="D194">
            <v>1240000</v>
          </cell>
          <cell r="E194" t="str">
            <v>GRASTON</v>
          </cell>
        </row>
        <row r="195">
          <cell r="C195" t="str">
            <v>232-05</v>
          </cell>
          <cell r="D195">
            <v>1280000</v>
          </cell>
          <cell r="E195" t="str">
            <v>BARTLETT</v>
          </cell>
        </row>
        <row r="196">
          <cell r="C196" t="str">
            <v>238-05</v>
          </cell>
          <cell r="D196">
            <v>1820000</v>
          </cell>
          <cell r="E196" t="str">
            <v>ADANE</v>
          </cell>
        </row>
        <row r="197">
          <cell r="C197" t="str">
            <v>239-05</v>
          </cell>
          <cell r="D197">
            <v>1280000</v>
          </cell>
          <cell r="E197" t="str">
            <v>BARTLETT</v>
          </cell>
        </row>
        <row r="198">
          <cell r="C198" t="str">
            <v>826-05</v>
          </cell>
          <cell r="D198">
            <v>910000</v>
          </cell>
          <cell r="E198" t="str">
            <v>SUR</v>
          </cell>
        </row>
        <row r="199">
          <cell r="C199" t="str">
            <v>PTC Test Train</v>
          </cell>
          <cell r="D199">
            <v>0</v>
          </cell>
          <cell r="E199" t="str">
            <v>Coats</v>
          </cell>
        </row>
        <row r="200">
          <cell r="C200" t="str">
            <v>171-05</v>
          </cell>
          <cell r="D200">
            <v>940000</v>
          </cell>
          <cell r="E200" t="str">
            <v>BONDS</v>
          </cell>
        </row>
        <row r="201">
          <cell r="C201" t="str">
            <v>226-05</v>
          </cell>
          <cell r="D201">
            <v>1760000</v>
          </cell>
          <cell r="E201" t="str">
            <v>STRICKLAND</v>
          </cell>
        </row>
        <row r="202">
          <cell r="C202" t="str">
            <v>165-05</v>
          </cell>
          <cell r="D202">
            <v>2020000</v>
          </cell>
          <cell r="E202" t="str">
            <v>SHOOK</v>
          </cell>
        </row>
        <row r="203">
          <cell r="C203" t="str">
            <v>233-05</v>
          </cell>
          <cell r="D203">
            <v>1180000</v>
          </cell>
          <cell r="E203" t="str">
            <v>LEVERE</v>
          </cell>
        </row>
        <row r="204">
          <cell r="C204" t="str">
            <v>140-05</v>
          </cell>
          <cell r="D204">
            <v>1100000</v>
          </cell>
          <cell r="E204" t="str">
            <v>GEBRETEKLE</v>
          </cell>
        </row>
        <row r="205">
          <cell r="C205" t="str">
            <v>908-05</v>
          </cell>
          <cell r="D205">
            <v>910000</v>
          </cell>
          <cell r="E205" t="str">
            <v>SUR</v>
          </cell>
        </row>
        <row r="206">
          <cell r="C206" t="str">
            <v>237-05</v>
          </cell>
          <cell r="D206">
            <v>1820000</v>
          </cell>
          <cell r="E206" t="str">
            <v>ADANE</v>
          </cell>
        </row>
        <row r="207">
          <cell r="C207" t="str">
            <v>823-05</v>
          </cell>
          <cell r="D207">
            <v>910000</v>
          </cell>
          <cell r="E207" t="str">
            <v>SUR</v>
          </cell>
        </row>
        <row r="208">
          <cell r="C208" t="str">
            <v>833-05</v>
          </cell>
          <cell r="D208">
            <v>910000</v>
          </cell>
          <cell r="E208" t="str">
            <v>SUR</v>
          </cell>
        </row>
        <row r="209">
          <cell r="C209" t="str">
            <v>232-05</v>
          </cell>
          <cell r="D209">
            <v>1280000</v>
          </cell>
          <cell r="E209" t="str">
            <v>BARTLETT</v>
          </cell>
        </row>
        <row r="210">
          <cell r="C210" t="str">
            <v>813-05</v>
          </cell>
          <cell r="D210">
            <v>1740000</v>
          </cell>
          <cell r="E210" t="str">
            <v>STORY</v>
          </cell>
        </row>
        <row r="212">
          <cell r="C212" t="str">
            <v>810-04</v>
          </cell>
          <cell r="D212">
            <v>1820000</v>
          </cell>
          <cell r="E212" t="str">
            <v>ADANE</v>
          </cell>
        </row>
        <row r="213">
          <cell r="C213" t="str">
            <v>843-04</v>
          </cell>
          <cell r="D213">
            <v>1760000</v>
          </cell>
          <cell r="E213" t="str">
            <v>STRICKLAND</v>
          </cell>
        </row>
        <row r="214">
          <cell r="C214" t="str">
            <v>109-04</v>
          </cell>
          <cell r="D214">
            <v>1090000</v>
          </cell>
          <cell r="E214" t="str">
            <v>SPECTOR</v>
          </cell>
        </row>
        <row r="215">
          <cell r="C215" t="str">
            <v>224-04</v>
          </cell>
          <cell r="D215">
            <v>1290000</v>
          </cell>
          <cell r="E215" t="str">
            <v>COOLAHAN</v>
          </cell>
        </row>
        <row r="216">
          <cell r="C216" t="str">
            <v>118-04</v>
          </cell>
          <cell r="D216">
            <v>1480000</v>
          </cell>
          <cell r="E216" t="str">
            <v>STURGEON</v>
          </cell>
        </row>
        <row r="217">
          <cell r="C217" t="str">
            <v>228-04</v>
          </cell>
          <cell r="D217">
            <v>1280000</v>
          </cell>
          <cell r="E217" t="str">
            <v>BARTLETT</v>
          </cell>
        </row>
        <row r="218">
          <cell r="C218" t="str">
            <v>110-04</v>
          </cell>
          <cell r="D218">
            <v>1090000</v>
          </cell>
          <cell r="E218" t="str">
            <v>SPECTOR</v>
          </cell>
        </row>
        <row r="219">
          <cell r="C219" t="str">
            <v>194-04</v>
          </cell>
          <cell r="D219">
            <v>1120000</v>
          </cell>
          <cell r="E219" t="str">
            <v>LOCKLEAR</v>
          </cell>
        </row>
        <row r="220">
          <cell r="C220" t="str">
            <v>148-04</v>
          </cell>
          <cell r="D220">
            <v>900000</v>
          </cell>
          <cell r="E220" t="str">
            <v>ROCHA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101-06</v>
          </cell>
          <cell r="D1">
            <v>1830000</v>
          </cell>
          <cell r="E1" t="str">
            <v>YORK</v>
          </cell>
        </row>
        <row r="2">
          <cell r="C2" t="str">
            <v>101-07</v>
          </cell>
          <cell r="D2">
            <v>1840000</v>
          </cell>
          <cell r="E2" t="str">
            <v>CANFIELD</v>
          </cell>
        </row>
        <row r="3">
          <cell r="C3" t="str">
            <v>101-07</v>
          </cell>
          <cell r="D3">
            <v>1840000</v>
          </cell>
          <cell r="E3" t="str">
            <v>CANFIELD</v>
          </cell>
        </row>
        <row r="4">
          <cell r="C4" t="str">
            <v>102-06</v>
          </cell>
          <cell r="D4">
            <v>1830000</v>
          </cell>
          <cell r="E4" t="str">
            <v>YORK</v>
          </cell>
        </row>
        <row r="5">
          <cell r="C5" t="str">
            <v>102-07</v>
          </cell>
          <cell r="D5">
            <v>1840000</v>
          </cell>
          <cell r="E5" t="str">
            <v>CANFIELD</v>
          </cell>
        </row>
        <row r="6">
          <cell r="C6" t="str">
            <v>102-07</v>
          </cell>
          <cell r="D6">
            <v>1840000</v>
          </cell>
          <cell r="E6" t="str">
            <v>CANFIELD</v>
          </cell>
        </row>
        <row r="7">
          <cell r="C7" t="str">
            <v>103-06</v>
          </cell>
          <cell r="D7">
            <v>1110000</v>
          </cell>
          <cell r="E7" t="str">
            <v>STARKS</v>
          </cell>
        </row>
        <row r="8">
          <cell r="C8" t="str">
            <v>103-07</v>
          </cell>
          <cell r="D8">
            <v>1110000</v>
          </cell>
          <cell r="E8" t="str">
            <v>STARKS</v>
          </cell>
        </row>
        <row r="9">
          <cell r="C9" t="str">
            <v>103-07</v>
          </cell>
          <cell r="D9">
            <v>1110000</v>
          </cell>
          <cell r="E9" t="str">
            <v>STARKS</v>
          </cell>
        </row>
        <row r="10">
          <cell r="C10" t="str">
            <v>104-06</v>
          </cell>
          <cell r="D10">
            <v>1110000</v>
          </cell>
          <cell r="E10" t="str">
            <v>STARKS</v>
          </cell>
        </row>
        <row r="11">
          <cell r="C11" t="str">
            <v>104-07</v>
          </cell>
          <cell r="D11">
            <v>1110000</v>
          </cell>
          <cell r="E11" t="str">
            <v>STARKS</v>
          </cell>
        </row>
        <row r="12">
          <cell r="C12" t="str">
            <v>105-06</v>
          </cell>
          <cell r="D12">
            <v>2040000</v>
          </cell>
          <cell r="E12" t="str">
            <v>MOSES</v>
          </cell>
        </row>
        <row r="13">
          <cell r="C13" t="str">
            <v>105-07</v>
          </cell>
          <cell r="D13">
            <v>1830000</v>
          </cell>
          <cell r="E13" t="str">
            <v>YORK</v>
          </cell>
        </row>
        <row r="14">
          <cell r="C14" t="str">
            <v>106-06</v>
          </cell>
          <cell r="D14">
            <v>2040000</v>
          </cell>
          <cell r="E14" t="str">
            <v>MOSES</v>
          </cell>
        </row>
        <row r="15">
          <cell r="C15" t="str">
            <v>106-07</v>
          </cell>
          <cell r="D15">
            <v>1830000</v>
          </cell>
          <cell r="E15" t="str">
            <v>YORK</v>
          </cell>
        </row>
        <row r="16">
          <cell r="C16" t="str">
            <v>106-07</v>
          </cell>
          <cell r="D16">
            <v>1830000</v>
          </cell>
          <cell r="E16" t="str">
            <v>YORK</v>
          </cell>
        </row>
        <row r="17">
          <cell r="C17" t="str">
            <v>107-06</v>
          </cell>
          <cell r="D17">
            <v>2010000</v>
          </cell>
          <cell r="E17" t="str">
            <v>MAELZER</v>
          </cell>
        </row>
        <row r="18">
          <cell r="C18" t="str">
            <v>107-07</v>
          </cell>
          <cell r="D18">
            <v>2030000</v>
          </cell>
          <cell r="E18" t="str">
            <v>KILLION</v>
          </cell>
        </row>
        <row r="19">
          <cell r="C19" t="str">
            <v>107-07</v>
          </cell>
          <cell r="D19">
            <v>2030000</v>
          </cell>
          <cell r="E19" t="str">
            <v>KILLION</v>
          </cell>
        </row>
        <row r="20">
          <cell r="C20" t="str">
            <v>108-06</v>
          </cell>
          <cell r="D20">
            <v>2010000</v>
          </cell>
          <cell r="E20" t="str">
            <v>MAELZER</v>
          </cell>
        </row>
        <row r="21">
          <cell r="C21" t="str">
            <v>108-07</v>
          </cell>
          <cell r="D21">
            <v>2030000</v>
          </cell>
          <cell r="E21" t="str">
            <v>KILLION</v>
          </cell>
        </row>
        <row r="22">
          <cell r="C22" t="str">
            <v>109-06</v>
          </cell>
          <cell r="D22">
            <v>1810000</v>
          </cell>
          <cell r="E22" t="str">
            <v>NEWELL</v>
          </cell>
        </row>
        <row r="23">
          <cell r="C23" t="str">
            <v>109-07</v>
          </cell>
          <cell r="D23">
            <v>2010000</v>
          </cell>
          <cell r="E23" t="str">
            <v>MAELZER</v>
          </cell>
        </row>
        <row r="24">
          <cell r="C24" t="str">
            <v>110-06</v>
          </cell>
          <cell r="D24">
            <v>1810000</v>
          </cell>
          <cell r="E24" t="str">
            <v>NEWELL</v>
          </cell>
        </row>
        <row r="25">
          <cell r="C25" t="str">
            <v>110-07</v>
          </cell>
          <cell r="D25">
            <v>2010000</v>
          </cell>
          <cell r="E25" t="str">
            <v>MAELZER</v>
          </cell>
        </row>
        <row r="26">
          <cell r="C26" t="str">
            <v>111-06</v>
          </cell>
          <cell r="D26">
            <v>1340000</v>
          </cell>
          <cell r="E26" t="str">
            <v>BEAM</v>
          </cell>
        </row>
        <row r="27">
          <cell r="C27" t="str">
            <v>111-07</v>
          </cell>
          <cell r="D27">
            <v>2040000</v>
          </cell>
          <cell r="E27" t="str">
            <v>MOSES</v>
          </cell>
        </row>
        <row r="28">
          <cell r="C28" t="str">
            <v>112-06</v>
          </cell>
          <cell r="D28">
            <v>1340000</v>
          </cell>
          <cell r="E28" t="str">
            <v>BEAM</v>
          </cell>
        </row>
        <row r="29">
          <cell r="C29" t="str">
            <v>112-07</v>
          </cell>
          <cell r="D29">
            <v>2040000</v>
          </cell>
          <cell r="E29" t="str">
            <v>MOSES</v>
          </cell>
        </row>
        <row r="30">
          <cell r="C30" t="str">
            <v>113-06</v>
          </cell>
          <cell r="D30">
            <v>1830000</v>
          </cell>
          <cell r="E30" t="str">
            <v>YORK</v>
          </cell>
        </row>
        <row r="31">
          <cell r="C31" t="str">
            <v>113-06</v>
          </cell>
          <cell r="D31">
            <v>1830000</v>
          </cell>
          <cell r="E31" t="str">
            <v>YORK</v>
          </cell>
        </row>
        <row r="32">
          <cell r="C32" t="str">
            <v>113-07</v>
          </cell>
          <cell r="D32">
            <v>1840000</v>
          </cell>
          <cell r="E32" t="str">
            <v>CANFIELD</v>
          </cell>
        </row>
        <row r="33">
          <cell r="C33" t="str">
            <v>114-06</v>
          </cell>
          <cell r="D33">
            <v>1830000</v>
          </cell>
          <cell r="E33" t="str">
            <v>YORK</v>
          </cell>
        </row>
        <row r="34">
          <cell r="C34" t="str">
            <v>114-07</v>
          </cell>
          <cell r="D34">
            <v>1840000</v>
          </cell>
          <cell r="E34" t="str">
            <v>CANFIELD</v>
          </cell>
        </row>
        <row r="35">
          <cell r="C35" t="str">
            <v>115-06</v>
          </cell>
          <cell r="D35">
            <v>900000</v>
          </cell>
          <cell r="E35" t="str">
            <v>ROCHA</v>
          </cell>
        </row>
        <row r="36">
          <cell r="C36" t="str">
            <v>115-07</v>
          </cell>
          <cell r="D36">
            <v>1310000</v>
          </cell>
          <cell r="E36" t="str">
            <v>MALAVE</v>
          </cell>
        </row>
        <row r="37">
          <cell r="C37" t="str">
            <v>116-06</v>
          </cell>
          <cell r="D37">
            <v>900000</v>
          </cell>
          <cell r="E37" t="str">
            <v>ROCHA</v>
          </cell>
        </row>
        <row r="38">
          <cell r="C38" t="str">
            <v>116-07</v>
          </cell>
          <cell r="D38">
            <v>1310000</v>
          </cell>
          <cell r="E38" t="str">
            <v>MALAVE</v>
          </cell>
        </row>
        <row r="39">
          <cell r="C39" t="str">
            <v>117-06</v>
          </cell>
          <cell r="D39">
            <v>1110000</v>
          </cell>
          <cell r="E39" t="str">
            <v>STARKS</v>
          </cell>
        </row>
        <row r="40">
          <cell r="C40" t="str">
            <v>117-07</v>
          </cell>
          <cell r="D40">
            <v>1110000</v>
          </cell>
          <cell r="E40" t="str">
            <v>STARKS</v>
          </cell>
        </row>
        <row r="41">
          <cell r="C41" t="str">
            <v>118-06</v>
          </cell>
          <cell r="D41">
            <v>1110000</v>
          </cell>
          <cell r="E41" t="str">
            <v>STARKS</v>
          </cell>
        </row>
        <row r="42">
          <cell r="C42" t="str">
            <v>118-07</v>
          </cell>
          <cell r="D42">
            <v>1110000</v>
          </cell>
          <cell r="E42" t="str">
            <v>STARKS</v>
          </cell>
        </row>
        <row r="43">
          <cell r="C43" t="str">
            <v>119-06</v>
          </cell>
          <cell r="D43">
            <v>2040000</v>
          </cell>
          <cell r="E43" t="str">
            <v>MOSES</v>
          </cell>
        </row>
        <row r="44">
          <cell r="C44" t="str">
            <v>119-07</v>
          </cell>
          <cell r="D44">
            <v>1830000</v>
          </cell>
          <cell r="E44" t="str">
            <v>YORK</v>
          </cell>
        </row>
        <row r="45">
          <cell r="C45" t="str">
            <v>120-06</v>
          </cell>
          <cell r="D45">
            <v>2040000</v>
          </cell>
          <cell r="E45" t="str">
            <v>MOSES</v>
          </cell>
        </row>
        <row r="46">
          <cell r="C46" t="str">
            <v>120-07</v>
          </cell>
          <cell r="D46">
            <v>1830000</v>
          </cell>
          <cell r="E46" t="str">
            <v>YORK</v>
          </cell>
        </row>
        <row r="47">
          <cell r="C47" t="str">
            <v>121-06</v>
          </cell>
          <cell r="D47">
            <v>1230000</v>
          </cell>
          <cell r="E47" t="str">
            <v>YANAI</v>
          </cell>
        </row>
        <row r="48">
          <cell r="C48" t="str">
            <v>121-07</v>
          </cell>
          <cell r="D48">
            <v>2030000</v>
          </cell>
          <cell r="E48" t="str">
            <v>KILLION</v>
          </cell>
        </row>
        <row r="49">
          <cell r="C49" t="str">
            <v>121-07</v>
          </cell>
          <cell r="D49">
            <v>2030000</v>
          </cell>
          <cell r="E49" t="str">
            <v>KILLION</v>
          </cell>
        </row>
        <row r="50">
          <cell r="C50" t="str">
            <v>122-06</v>
          </cell>
          <cell r="D50">
            <v>2010000</v>
          </cell>
          <cell r="E50" t="str">
            <v>MAELZER</v>
          </cell>
        </row>
        <row r="51">
          <cell r="C51" t="str">
            <v>122-07</v>
          </cell>
          <cell r="D51">
            <v>2030000</v>
          </cell>
          <cell r="E51" t="str">
            <v>KILLION</v>
          </cell>
        </row>
        <row r="52">
          <cell r="C52" t="str">
            <v>123-06</v>
          </cell>
          <cell r="D52">
            <v>1810000</v>
          </cell>
          <cell r="E52" t="str">
            <v>NEWELL</v>
          </cell>
        </row>
        <row r="53">
          <cell r="C53" t="str">
            <v>123-07</v>
          </cell>
          <cell r="D53">
            <v>2010000</v>
          </cell>
          <cell r="E53" t="str">
            <v>MAELZER</v>
          </cell>
        </row>
        <row r="54">
          <cell r="C54" t="str">
            <v>124-06</v>
          </cell>
          <cell r="D54">
            <v>1810000</v>
          </cell>
          <cell r="E54" t="str">
            <v>NEWELL</v>
          </cell>
        </row>
        <row r="55">
          <cell r="C55" t="str">
            <v>125-06</v>
          </cell>
          <cell r="D55">
            <v>1340000</v>
          </cell>
          <cell r="E55" t="str">
            <v>BEAM</v>
          </cell>
        </row>
        <row r="56">
          <cell r="C56" t="str">
            <v>125-07</v>
          </cell>
          <cell r="D56">
            <v>2040000</v>
          </cell>
          <cell r="E56" t="str">
            <v>MOSES</v>
          </cell>
        </row>
        <row r="57">
          <cell r="C57" t="str">
            <v>126-06</v>
          </cell>
          <cell r="D57">
            <v>1340000</v>
          </cell>
          <cell r="E57" t="str">
            <v>BEAM</v>
          </cell>
        </row>
        <row r="58">
          <cell r="C58" t="str">
            <v>127-06</v>
          </cell>
          <cell r="D58">
            <v>1830000</v>
          </cell>
          <cell r="E58" t="str">
            <v>YORK</v>
          </cell>
        </row>
        <row r="59">
          <cell r="C59" t="str">
            <v>127-07</v>
          </cell>
          <cell r="D59">
            <v>1840000</v>
          </cell>
          <cell r="E59" t="str">
            <v>CANFIELD</v>
          </cell>
        </row>
        <row r="60">
          <cell r="C60" t="str">
            <v>128-06</v>
          </cell>
          <cell r="D60">
            <v>1830000</v>
          </cell>
          <cell r="E60" t="str">
            <v>YORK</v>
          </cell>
        </row>
        <row r="61">
          <cell r="C61" t="str">
            <v>129-06</v>
          </cell>
          <cell r="D61">
            <v>900000</v>
          </cell>
          <cell r="E61" t="str">
            <v>ROCHA</v>
          </cell>
        </row>
        <row r="62">
          <cell r="C62" t="str">
            <v>130-06</v>
          </cell>
          <cell r="D62">
            <v>900000</v>
          </cell>
          <cell r="E62" t="str">
            <v>ROCHA</v>
          </cell>
        </row>
        <row r="63">
          <cell r="C63" t="str">
            <v>131-06</v>
          </cell>
          <cell r="D63">
            <v>1110000</v>
          </cell>
          <cell r="E63" t="str">
            <v>STARKS</v>
          </cell>
        </row>
        <row r="64">
          <cell r="C64" t="str">
            <v>132-06</v>
          </cell>
          <cell r="D64">
            <v>1110000</v>
          </cell>
          <cell r="E64" t="str">
            <v>STARKS</v>
          </cell>
        </row>
        <row r="65">
          <cell r="C65" t="str">
            <v>133-06</v>
          </cell>
          <cell r="D65">
            <v>2040000</v>
          </cell>
          <cell r="E65" t="str">
            <v>MOSES</v>
          </cell>
        </row>
        <row r="66">
          <cell r="C66" t="str">
            <v>134-06</v>
          </cell>
          <cell r="D66">
            <v>2040000</v>
          </cell>
          <cell r="E66" t="str">
            <v>MOSES</v>
          </cell>
        </row>
        <row r="67">
          <cell r="C67" t="str">
            <v>135-06</v>
          </cell>
          <cell r="D67">
            <v>1230000</v>
          </cell>
          <cell r="E67" t="str">
            <v>YANAI</v>
          </cell>
        </row>
        <row r="68">
          <cell r="C68" t="str">
            <v>136-06</v>
          </cell>
          <cell r="D68">
            <v>2010000</v>
          </cell>
          <cell r="E68" t="str">
            <v>MAELZER</v>
          </cell>
        </row>
        <row r="69">
          <cell r="C69" t="str">
            <v>137-06</v>
          </cell>
          <cell r="D69">
            <v>1810000</v>
          </cell>
          <cell r="E69" t="str">
            <v>NEWELL</v>
          </cell>
        </row>
        <row r="70">
          <cell r="C70" t="str">
            <v>138-06</v>
          </cell>
          <cell r="D70">
            <v>1810000</v>
          </cell>
          <cell r="E70" t="str">
            <v>NEWELL</v>
          </cell>
        </row>
        <row r="71">
          <cell r="C71" t="str">
            <v>139-06</v>
          </cell>
          <cell r="D71">
            <v>1340000</v>
          </cell>
          <cell r="E71" t="str">
            <v>BEAM</v>
          </cell>
        </row>
        <row r="72">
          <cell r="C72" t="str">
            <v>140-06</v>
          </cell>
          <cell r="D72">
            <v>1340000</v>
          </cell>
          <cell r="E72" t="str">
            <v>BEAM</v>
          </cell>
        </row>
        <row r="73">
          <cell r="C73" t="str">
            <v>141-06</v>
          </cell>
          <cell r="D73">
            <v>1830000</v>
          </cell>
          <cell r="E73" t="str">
            <v>YORK</v>
          </cell>
        </row>
        <row r="74">
          <cell r="C74" t="str">
            <v>142-06</v>
          </cell>
          <cell r="D74">
            <v>1830000</v>
          </cell>
          <cell r="E74" t="str">
            <v>YORK</v>
          </cell>
        </row>
        <row r="75">
          <cell r="C75" t="str">
            <v>143-06</v>
          </cell>
          <cell r="D75">
            <v>900000</v>
          </cell>
          <cell r="E75" t="str">
            <v>ROCHA</v>
          </cell>
        </row>
        <row r="76">
          <cell r="C76" t="str">
            <v>143-06</v>
          </cell>
          <cell r="D76">
            <v>900000</v>
          </cell>
          <cell r="E76" t="str">
            <v>ROCHA</v>
          </cell>
        </row>
        <row r="77">
          <cell r="C77" t="str">
            <v>144-06</v>
          </cell>
          <cell r="D77">
            <v>900000</v>
          </cell>
          <cell r="E77" t="str">
            <v>ROCHA</v>
          </cell>
        </row>
        <row r="78">
          <cell r="C78" t="str">
            <v>145-06</v>
          </cell>
          <cell r="D78">
            <v>1110000</v>
          </cell>
          <cell r="E78" t="str">
            <v>STARKS</v>
          </cell>
        </row>
        <row r="79">
          <cell r="C79" t="str">
            <v>147-06</v>
          </cell>
          <cell r="D79">
            <v>2040000</v>
          </cell>
          <cell r="E79" t="str">
            <v>MOSES</v>
          </cell>
        </row>
        <row r="80">
          <cell r="C80" t="str">
            <v>148-06</v>
          </cell>
          <cell r="D80">
            <v>2040000</v>
          </cell>
          <cell r="E80" t="str">
            <v>MOSES</v>
          </cell>
        </row>
        <row r="81">
          <cell r="C81" t="str">
            <v>149-06</v>
          </cell>
          <cell r="D81">
            <v>2010000</v>
          </cell>
          <cell r="E81" t="str">
            <v>MAELZER</v>
          </cell>
        </row>
        <row r="82">
          <cell r="C82" t="str">
            <v>150-06</v>
          </cell>
          <cell r="D82">
            <v>2010000</v>
          </cell>
          <cell r="E82" t="str">
            <v>MAELZER</v>
          </cell>
        </row>
        <row r="83">
          <cell r="C83" t="str">
            <v>151-06</v>
          </cell>
          <cell r="D83">
            <v>1810000</v>
          </cell>
          <cell r="E83" t="str">
            <v>NEWELL</v>
          </cell>
        </row>
        <row r="84">
          <cell r="C84" t="str">
            <v>152-06</v>
          </cell>
          <cell r="D84">
            <v>1810000</v>
          </cell>
          <cell r="E84" t="str">
            <v>NEWELL</v>
          </cell>
        </row>
        <row r="85">
          <cell r="C85" t="str">
            <v>153-06</v>
          </cell>
          <cell r="D85">
            <v>1090000</v>
          </cell>
          <cell r="E85" t="str">
            <v>SPECTOR</v>
          </cell>
        </row>
        <row r="86">
          <cell r="C86" t="str">
            <v>154-06</v>
          </cell>
          <cell r="D86">
            <v>1090000</v>
          </cell>
          <cell r="E86" t="str">
            <v>SPECTOR</v>
          </cell>
        </row>
        <row r="87">
          <cell r="C87" t="str">
            <v>155-06</v>
          </cell>
          <cell r="D87">
            <v>1340000</v>
          </cell>
          <cell r="E87" t="str">
            <v>BEAM</v>
          </cell>
        </row>
        <row r="88">
          <cell r="C88" t="str">
            <v>156-06</v>
          </cell>
          <cell r="D88">
            <v>1340000</v>
          </cell>
          <cell r="E88" t="str">
            <v>BEAM</v>
          </cell>
        </row>
        <row r="89">
          <cell r="C89" t="str">
            <v>157-06</v>
          </cell>
          <cell r="D89">
            <v>1360000</v>
          </cell>
          <cell r="E89" t="str">
            <v>SANTIZO</v>
          </cell>
        </row>
        <row r="90">
          <cell r="C90" t="str">
            <v>158-06</v>
          </cell>
          <cell r="D90">
            <v>1360000</v>
          </cell>
          <cell r="E90" t="str">
            <v>SANTIZO</v>
          </cell>
        </row>
        <row r="91">
          <cell r="C91" t="str">
            <v>159-06</v>
          </cell>
          <cell r="D91">
            <v>900000</v>
          </cell>
          <cell r="E91" t="str">
            <v>ROCHA</v>
          </cell>
        </row>
        <row r="92">
          <cell r="C92" t="str">
            <v>160-06</v>
          </cell>
          <cell r="D92">
            <v>900000</v>
          </cell>
          <cell r="E92" t="str">
            <v>ROCHA</v>
          </cell>
        </row>
        <row r="93">
          <cell r="C93" t="str">
            <v>161-06</v>
          </cell>
          <cell r="D93">
            <v>2000000</v>
          </cell>
          <cell r="E93" t="str">
            <v>STAMBAUGH</v>
          </cell>
        </row>
        <row r="94">
          <cell r="C94" t="str">
            <v>162-06</v>
          </cell>
          <cell r="D94">
            <v>2000000</v>
          </cell>
          <cell r="E94" t="str">
            <v>STAMBAUGH</v>
          </cell>
        </row>
        <row r="95">
          <cell r="C95" t="str">
            <v>163-06</v>
          </cell>
          <cell r="D95">
            <v>2020000</v>
          </cell>
          <cell r="E95" t="str">
            <v>SHOOK</v>
          </cell>
        </row>
        <row r="96">
          <cell r="C96" t="str">
            <v>164-06</v>
          </cell>
          <cell r="D96">
            <v>2020000</v>
          </cell>
          <cell r="E96" t="str">
            <v>SHOOK</v>
          </cell>
        </row>
        <row r="97">
          <cell r="C97" t="str">
            <v>165-06</v>
          </cell>
          <cell r="D97">
            <v>1290000</v>
          </cell>
          <cell r="E97" t="str">
            <v>COOLAHAN</v>
          </cell>
        </row>
        <row r="98">
          <cell r="C98" t="str">
            <v>166-06</v>
          </cell>
          <cell r="D98">
            <v>1290000</v>
          </cell>
          <cell r="E98" t="str">
            <v>COOLAHAN</v>
          </cell>
        </row>
        <row r="99">
          <cell r="C99" t="str">
            <v>167-06</v>
          </cell>
          <cell r="D99">
            <v>1200000</v>
          </cell>
          <cell r="E99" t="str">
            <v>CUSHING</v>
          </cell>
        </row>
        <row r="100">
          <cell r="C100" t="str">
            <v>168-06</v>
          </cell>
          <cell r="D100">
            <v>1090000</v>
          </cell>
          <cell r="E100" t="str">
            <v>SPECTOR</v>
          </cell>
        </row>
        <row r="101">
          <cell r="C101" t="str">
            <v>169-06</v>
          </cell>
          <cell r="D101">
            <v>880000</v>
          </cell>
          <cell r="E101" t="str">
            <v>STEWART</v>
          </cell>
        </row>
        <row r="102">
          <cell r="C102" t="str">
            <v>170-06</v>
          </cell>
          <cell r="D102">
            <v>880000</v>
          </cell>
          <cell r="E102" t="str">
            <v>STEWART</v>
          </cell>
        </row>
        <row r="103">
          <cell r="C103" t="str">
            <v>171-06</v>
          </cell>
          <cell r="D103">
            <v>1360000</v>
          </cell>
          <cell r="E103" t="str">
            <v>SANTIZO</v>
          </cell>
        </row>
        <row r="104">
          <cell r="C104" t="str">
            <v>172-06</v>
          </cell>
          <cell r="D104">
            <v>1360000</v>
          </cell>
          <cell r="E104" t="str">
            <v>SANTIZO</v>
          </cell>
        </row>
        <row r="105">
          <cell r="C105" t="str">
            <v>173-06</v>
          </cell>
          <cell r="D105">
            <v>1140000</v>
          </cell>
          <cell r="E105" t="str">
            <v>YOUNG</v>
          </cell>
        </row>
        <row r="106">
          <cell r="C106" t="str">
            <v>174-06</v>
          </cell>
          <cell r="D106">
            <v>1140000</v>
          </cell>
          <cell r="E106" t="str">
            <v>YOUNG</v>
          </cell>
        </row>
        <row r="107">
          <cell r="C107" t="str">
            <v>175-06</v>
          </cell>
          <cell r="D107">
            <v>2000000</v>
          </cell>
          <cell r="E107" t="str">
            <v>STAMBAUGH</v>
          </cell>
        </row>
        <row r="108">
          <cell r="C108" t="str">
            <v>176-06</v>
          </cell>
          <cell r="D108">
            <v>2000000</v>
          </cell>
          <cell r="E108" t="str">
            <v>STAMBAUGH</v>
          </cell>
        </row>
        <row r="109">
          <cell r="C109" t="str">
            <v>177-06</v>
          </cell>
          <cell r="D109">
            <v>2020000</v>
          </cell>
          <cell r="E109" t="str">
            <v>SHOOK</v>
          </cell>
        </row>
        <row r="110">
          <cell r="C110" t="str">
            <v>177-06</v>
          </cell>
          <cell r="D110">
            <v>2020000</v>
          </cell>
          <cell r="E110" t="str">
            <v>SHOOK</v>
          </cell>
        </row>
        <row r="111">
          <cell r="C111" t="str">
            <v>178-06</v>
          </cell>
          <cell r="D111">
            <v>2020000</v>
          </cell>
          <cell r="E111" t="str">
            <v>SHOOK</v>
          </cell>
        </row>
        <row r="112">
          <cell r="C112" t="str">
            <v>179-06</v>
          </cell>
          <cell r="D112">
            <v>1290000</v>
          </cell>
          <cell r="E112" t="str">
            <v>COOLAHAN</v>
          </cell>
        </row>
        <row r="113">
          <cell r="C113" t="str">
            <v>180-06</v>
          </cell>
          <cell r="D113">
            <v>1290000</v>
          </cell>
          <cell r="E113" t="str">
            <v>COOLAHAN</v>
          </cell>
        </row>
        <row r="114">
          <cell r="C114" t="str">
            <v>181-06</v>
          </cell>
          <cell r="D114">
            <v>1090000</v>
          </cell>
          <cell r="E114" t="str">
            <v>SPECTOR</v>
          </cell>
        </row>
        <row r="115">
          <cell r="C115" t="str">
            <v>182-06</v>
          </cell>
          <cell r="D115">
            <v>1090000</v>
          </cell>
          <cell r="E115" t="str">
            <v>SPECTOR</v>
          </cell>
        </row>
        <row r="116">
          <cell r="C116" t="str">
            <v>183-06</v>
          </cell>
          <cell r="D116">
            <v>880000</v>
          </cell>
          <cell r="E116" t="str">
            <v>STEWART</v>
          </cell>
        </row>
        <row r="117">
          <cell r="C117" t="str">
            <v>184-06</v>
          </cell>
          <cell r="D117">
            <v>880000</v>
          </cell>
          <cell r="E117" t="str">
            <v>STEWART</v>
          </cell>
        </row>
        <row r="118">
          <cell r="C118" t="str">
            <v>185-06</v>
          </cell>
          <cell r="D118">
            <v>1190000</v>
          </cell>
          <cell r="E118" t="str">
            <v>BRANNON</v>
          </cell>
        </row>
        <row r="119">
          <cell r="C119" t="str">
            <v>186-06</v>
          </cell>
          <cell r="D119">
            <v>1190000</v>
          </cell>
          <cell r="E119" t="str">
            <v>BRANNON</v>
          </cell>
        </row>
        <row r="120">
          <cell r="C120" t="str">
            <v>187-06</v>
          </cell>
          <cell r="D120">
            <v>1140000</v>
          </cell>
          <cell r="E120" t="str">
            <v>YOUNG</v>
          </cell>
        </row>
        <row r="121">
          <cell r="C121" t="str">
            <v>188-06</v>
          </cell>
          <cell r="D121">
            <v>1140000</v>
          </cell>
          <cell r="E121" t="str">
            <v>YOUNG</v>
          </cell>
        </row>
        <row r="122">
          <cell r="C122" t="str">
            <v>189-06</v>
          </cell>
          <cell r="D122">
            <v>2000000</v>
          </cell>
          <cell r="E122" t="str">
            <v>STAMBAUGH</v>
          </cell>
        </row>
        <row r="123">
          <cell r="C123" t="str">
            <v>190-06</v>
          </cell>
          <cell r="D123">
            <v>2000000</v>
          </cell>
          <cell r="E123" t="str">
            <v>STAMBAUGH</v>
          </cell>
        </row>
        <row r="124">
          <cell r="C124" t="str">
            <v>191-06</v>
          </cell>
          <cell r="D124">
            <v>2020000</v>
          </cell>
          <cell r="E124" t="str">
            <v>SHOOK</v>
          </cell>
        </row>
        <row r="125">
          <cell r="C125" t="str">
            <v>192-06</v>
          </cell>
          <cell r="D125">
            <v>2020000</v>
          </cell>
          <cell r="E125" t="str">
            <v>SHOOK</v>
          </cell>
        </row>
        <row r="126">
          <cell r="C126" t="str">
            <v>193-06</v>
          </cell>
          <cell r="D126">
            <v>1290000</v>
          </cell>
          <cell r="E126" t="str">
            <v>COOLAHAN</v>
          </cell>
        </row>
        <row r="127">
          <cell r="C127" t="str">
            <v>194-06</v>
          </cell>
          <cell r="D127">
            <v>1290000</v>
          </cell>
          <cell r="E127" t="str">
            <v>COOLAHAN</v>
          </cell>
        </row>
        <row r="128">
          <cell r="C128" t="str">
            <v>195-06</v>
          </cell>
          <cell r="D128">
            <v>1090000</v>
          </cell>
          <cell r="E128" t="str">
            <v>SPECTOR</v>
          </cell>
        </row>
        <row r="129">
          <cell r="C129" t="str">
            <v>196-06</v>
          </cell>
          <cell r="D129">
            <v>1090000</v>
          </cell>
          <cell r="E129" t="str">
            <v>SPECTOR</v>
          </cell>
        </row>
        <row r="130">
          <cell r="C130" t="str">
            <v>197-06</v>
          </cell>
          <cell r="D130">
            <v>880000</v>
          </cell>
          <cell r="E130" t="str">
            <v>STEWART</v>
          </cell>
        </row>
        <row r="131">
          <cell r="C131" t="str">
            <v>198-06</v>
          </cell>
          <cell r="D131">
            <v>880000</v>
          </cell>
          <cell r="E131" t="str">
            <v>STEWART</v>
          </cell>
        </row>
        <row r="132">
          <cell r="C132" t="str">
            <v>199-06</v>
          </cell>
          <cell r="D132">
            <v>1540000</v>
          </cell>
          <cell r="E132" t="str">
            <v>HELVIE</v>
          </cell>
        </row>
        <row r="133">
          <cell r="C133" t="str">
            <v>200-06</v>
          </cell>
          <cell r="D133">
            <v>1540000</v>
          </cell>
          <cell r="E133" t="str">
            <v>HELVIE</v>
          </cell>
        </row>
        <row r="134">
          <cell r="C134" t="str">
            <v>201-06</v>
          </cell>
          <cell r="D134">
            <v>1140000</v>
          </cell>
          <cell r="E134" t="str">
            <v>YOUNG</v>
          </cell>
        </row>
        <row r="135">
          <cell r="C135" t="str">
            <v>202-06</v>
          </cell>
          <cell r="D135">
            <v>1140000</v>
          </cell>
          <cell r="E135" t="str">
            <v>YOUNG</v>
          </cell>
        </row>
        <row r="136">
          <cell r="C136" t="str">
            <v>202-06</v>
          </cell>
          <cell r="D136">
            <v>1140000</v>
          </cell>
          <cell r="E136" t="str">
            <v>YOUNG</v>
          </cell>
        </row>
        <row r="137">
          <cell r="C137" t="str">
            <v>203-06</v>
          </cell>
          <cell r="D137">
            <v>2000000</v>
          </cell>
          <cell r="E137" t="str">
            <v>STAMBAUGH</v>
          </cell>
        </row>
        <row r="138">
          <cell r="C138" t="str">
            <v>204-06</v>
          </cell>
          <cell r="D138">
            <v>2000000</v>
          </cell>
          <cell r="E138" t="str">
            <v>STAMBAUGH</v>
          </cell>
        </row>
        <row r="139">
          <cell r="C139" t="str">
            <v>205-06</v>
          </cell>
          <cell r="D139">
            <v>2020000</v>
          </cell>
          <cell r="E139" t="str">
            <v>SHOOK</v>
          </cell>
        </row>
        <row r="140">
          <cell r="C140" t="str">
            <v>206-06</v>
          </cell>
          <cell r="D140">
            <v>2020000</v>
          </cell>
          <cell r="E140" t="str">
            <v>SHOOK</v>
          </cell>
        </row>
        <row r="141">
          <cell r="C141" t="str">
            <v>207-06</v>
          </cell>
          <cell r="D141">
            <v>1290000</v>
          </cell>
          <cell r="E141" t="str">
            <v>COOLAHAN</v>
          </cell>
        </row>
        <row r="142">
          <cell r="C142" t="str">
            <v>208-06</v>
          </cell>
          <cell r="D142">
            <v>1290000</v>
          </cell>
          <cell r="E142" t="str">
            <v>COOLAHAN</v>
          </cell>
        </row>
        <row r="143">
          <cell r="C143" t="str">
            <v>209-06</v>
          </cell>
          <cell r="D143">
            <v>1280000</v>
          </cell>
          <cell r="E143" t="str">
            <v>BARTLETT</v>
          </cell>
        </row>
        <row r="144">
          <cell r="C144" t="str">
            <v>210-06</v>
          </cell>
          <cell r="D144">
            <v>1280000</v>
          </cell>
          <cell r="E144" t="str">
            <v>BARTLETT</v>
          </cell>
        </row>
        <row r="145">
          <cell r="C145" t="str">
            <v>211-06</v>
          </cell>
          <cell r="D145">
            <v>880000</v>
          </cell>
          <cell r="E145" t="str">
            <v>STEWART</v>
          </cell>
        </row>
        <row r="146">
          <cell r="C146" t="str">
            <v>212-06</v>
          </cell>
          <cell r="D146">
            <v>880000</v>
          </cell>
          <cell r="E146" t="str">
            <v>STEWART</v>
          </cell>
        </row>
        <row r="147">
          <cell r="C147" t="str">
            <v>213-06</v>
          </cell>
          <cell r="D147">
            <v>1990000</v>
          </cell>
          <cell r="E147" t="str">
            <v>DAVIS</v>
          </cell>
        </row>
        <row r="148">
          <cell r="C148" t="str">
            <v>214-06</v>
          </cell>
          <cell r="D148">
            <v>1990000</v>
          </cell>
          <cell r="E148" t="str">
            <v>DAVIS</v>
          </cell>
        </row>
        <row r="149">
          <cell r="C149" t="str">
            <v>214-06</v>
          </cell>
          <cell r="D149">
            <v>1990000</v>
          </cell>
          <cell r="E149" t="str">
            <v>DAVIS</v>
          </cell>
        </row>
        <row r="150">
          <cell r="C150" t="str">
            <v>215-06</v>
          </cell>
          <cell r="D150">
            <v>1140000</v>
          </cell>
          <cell r="E150" t="str">
            <v>YOUNG</v>
          </cell>
        </row>
        <row r="151">
          <cell r="C151" t="str">
            <v>216-06</v>
          </cell>
          <cell r="D151">
            <v>1140000</v>
          </cell>
          <cell r="E151" t="str">
            <v>YOUNG</v>
          </cell>
        </row>
        <row r="152">
          <cell r="C152" t="str">
            <v>217-06</v>
          </cell>
          <cell r="D152">
            <v>1820000</v>
          </cell>
          <cell r="E152" t="str">
            <v>ADANE</v>
          </cell>
        </row>
        <row r="153">
          <cell r="C153" t="str">
            <v>218-06</v>
          </cell>
          <cell r="D153">
            <v>1820000</v>
          </cell>
          <cell r="E153" t="str">
            <v>ADANE</v>
          </cell>
        </row>
        <row r="154">
          <cell r="C154" t="str">
            <v>219-06</v>
          </cell>
          <cell r="D154">
            <v>1240000</v>
          </cell>
          <cell r="E154" t="str">
            <v>GRASTON</v>
          </cell>
        </row>
        <row r="155">
          <cell r="C155" t="str">
            <v>220-05</v>
          </cell>
          <cell r="D155">
            <v>1240000</v>
          </cell>
          <cell r="E155" t="str">
            <v>GRASTON</v>
          </cell>
        </row>
        <row r="156">
          <cell r="C156" t="str">
            <v>220-06</v>
          </cell>
          <cell r="D156">
            <v>1240000</v>
          </cell>
          <cell r="E156" t="str">
            <v>GRASTON</v>
          </cell>
        </row>
        <row r="157">
          <cell r="C157" t="str">
            <v>221-06</v>
          </cell>
          <cell r="D157">
            <v>1280000</v>
          </cell>
          <cell r="E157" t="str">
            <v>BARTLETT</v>
          </cell>
        </row>
        <row r="158">
          <cell r="C158" t="str">
            <v>221-06</v>
          </cell>
          <cell r="D158">
            <v>1280000</v>
          </cell>
          <cell r="E158" t="str">
            <v>BARTLETT</v>
          </cell>
        </row>
        <row r="159">
          <cell r="C159" t="str">
            <v>221-06</v>
          </cell>
          <cell r="D159">
            <v>1280000</v>
          </cell>
          <cell r="E159" t="str">
            <v>BARTLETT</v>
          </cell>
        </row>
        <row r="160">
          <cell r="C160" t="str">
            <v>222-05</v>
          </cell>
          <cell r="D160">
            <v>1820000</v>
          </cell>
          <cell r="E160" t="str">
            <v>ADANE</v>
          </cell>
        </row>
        <row r="161">
          <cell r="C161" t="str">
            <v>222-06</v>
          </cell>
          <cell r="D161">
            <v>1280000</v>
          </cell>
          <cell r="E161" t="str">
            <v>BARTLETT</v>
          </cell>
        </row>
        <row r="162">
          <cell r="C162" t="str">
            <v>223-05</v>
          </cell>
          <cell r="D162">
            <v>1180000</v>
          </cell>
          <cell r="E162" t="str">
            <v>LEVERE</v>
          </cell>
        </row>
        <row r="163">
          <cell r="C163" t="str">
            <v>223-06</v>
          </cell>
          <cell r="D163">
            <v>1540000</v>
          </cell>
          <cell r="E163" t="str">
            <v>HELVIE</v>
          </cell>
        </row>
        <row r="164">
          <cell r="C164" t="str">
            <v>224-05</v>
          </cell>
          <cell r="D164">
            <v>1180000</v>
          </cell>
          <cell r="E164" t="str">
            <v>LEVERE</v>
          </cell>
        </row>
        <row r="165">
          <cell r="C165" t="str">
            <v>224-05</v>
          </cell>
          <cell r="D165">
            <v>1180000</v>
          </cell>
          <cell r="E165" t="str">
            <v>LEVERE</v>
          </cell>
        </row>
        <row r="166">
          <cell r="C166" t="str">
            <v>224-06</v>
          </cell>
          <cell r="D166">
            <v>1540000</v>
          </cell>
          <cell r="E166" t="str">
            <v>HELVIE</v>
          </cell>
        </row>
        <row r="167">
          <cell r="C167" t="str">
            <v>224-06</v>
          </cell>
          <cell r="D167">
            <v>1540000</v>
          </cell>
          <cell r="E167" t="str">
            <v>HELVIE</v>
          </cell>
        </row>
        <row r="168">
          <cell r="C168" t="str">
            <v>225-05</v>
          </cell>
          <cell r="D168">
            <v>1820000</v>
          </cell>
          <cell r="E168" t="str">
            <v>ADANE</v>
          </cell>
        </row>
        <row r="169">
          <cell r="C169" t="str">
            <v>225-05</v>
          </cell>
          <cell r="D169">
            <v>1760000</v>
          </cell>
          <cell r="E169" t="str">
            <v>STRICKLAND</v>
          </cell>
        </row>
        <row r="170">
          <cell r="C170" t="str">
            <v>225-06</v>
          </cell>
          <cell r="D170">
            <v>1820000</v>
          </cell>
          <cell r="E170" t="str">
            <v>ADANE</v>
          </cell>
        </row>
        <row r="171">
          <cell r="C171" t="str">
            <v>226-05</v>
          </cell>
          <cell r="D171">
            <v>1760000</v>
          </cell>
          <cell r="E171" t="str">
            <v>STRICKLAND</v>
          </cell>
        </row>
        <row r="172">
          <cell r="C172" t="str">
            <v>226-05</v>
          </cell>
          <cell r="D172">
            <v>1760000</v>
          </cell>
          <cell r="E172" t="str">
            <v>STRICKLAND</v>
          </cell>
        </row>
        <row r="173">
          <cell r="C173" t="str">
            <v>226-05</v>
          </cell>
          <cell r="D173">
            <v>1760000</v>
          </cell>
          <cell r="E173" t="str">
            <v>STRICKLAND</v>
          </cell>
        </row>
        <row r="174">
          <cell r="C174" t="str">
            <v>226-06</v>
          </cell>
          <cell r="D174">
            <v>1820000</v>
          </cell>
          <cell r="E174" t="str">
            <v>ADANE</v>
          </cell>
        </row>
        <row r="175">
          <cell r="C175" t="str">
            <v>227-05</v>
          </cell>
          <cell r="D175">
            <v>1240000</v>
          </cell>
          <cell r="E175" t="str">
            <v>GRASTON</v>
          </cell>
        </row>
        <row r="176">
          <cell r="C176" t="str">
            <v>227-06</v>
          </cell>
          <cell r="D176">
            <v>1240000</v>
          </cell>
          <cell r="E176" t="str">
            <v>GRASTON</v>
          </cell>
        </row>
        <row r="177">
          <cell r="C177" t="str">
            <v>228-05</v>
          </cell>
          <cell r="D177">
            <v>1240000</v>
          </cell>
          <cell r="E177" t="str">
            <v>GRASTON</v>
          </cell>
        </row>
        <row r="178">
          <cell r="C178" t="str">
            <v>228-06</v>
          </cell>
          <cell r="D178">
            <v>1240000</v>
          </cell>
          <cell r="E178" t="str">
            <v>GRASTON</v>
          </cell>
        </row>
        <row r="179">
          <cell r="C179" t="str">
            <v>229-05</v>
          </cell>
          <cell r="D179">
            <v>1820000</v>
          </cell>
          <cell r="E179" t="str">
            <v>ADANE</v>
          </cell>
        </row>
        <row r="180">
          <cell r="C180" t="str">
            <v>229-06</v>
          </cell>
          <cell r="D180">
            <v>1280000</v>
          </cell>
          <cell r="E180" t="str">
            <v>BARTLETT</v>
          </cell>
        </row>
        <row r="181">
          <cell r="C181" t="str">
            <v>230-05</v>
          </cell>
          <cell r="D181">
            <v>1820000</v>
          </cell>
          <cell r="E181" t="str">
            <v>ADANE</v>
          </cell>
        </row>
        <row r="182">
          <cell r="C182" t="str">
            <v>230-06</v>
          </cell>
          <cell r="D182">
            <v>1280000</v>
          </cell>
          <cell r="E182" t="str">
            <v>BARTLETT</v>
          </cell>
        </row>
        <row r="183">
          <cell r="C183" t="str">
            <v>231-05</v>
          </cell>
          <cell r="D183">
            <v>1280000</v>
          </cell>
          <cell r="E183" t="str">
            <v>BARTLETT</v>
          </cell>
        </row>
        <row r="184">
          <cell r="C184" t="str">
            <v>231-06</v>
          </cell>
          <cell r="D184">
            <v>1990000</v>
          </cell>
          <cell r="E184" t="str">
            <v>DAVIS</v>
          </cell>
        </row>
        <row r="185">
          <cell r="C185" t="str">
            <v>232-05</v>
          </cell>
          <cell r="D185">
            <v>1280000</v>
          </cell>
          <cell r="E185" t="str">
            <v>BARTLETT</v>
          </cell>
        </row>
        <row r="186">
          <cell r="C186" t="str">
            <v>232-05</v>
          </cell>
          <cell r="D186">
            <v>1280000</v>
          </cell>
          <cell r="E186" t="str">
            <v>BARTLETT</v>
          </cell>
        </row>
        <row r="187">
          <cell r="C187" t="str">
            <v>232-06</v>
          </cell>
          <cell r="D187">
            <v>1990000</v>
          </cell>
          <cell r="E187" t="str">
            <v>DAVIS</v>
          </cell>
        </row>
        <row r="188">
          <cell r="C188" t="str">
            <v>233-05</v>
          </cell>
          <cell r="D188">
            <v>1180000</v>
          </cell>
          <cell r="E188" t="str">
            <v>LEVERE</v>
          </cell>
        </row>
        <row r="189">
          <cell r="C189" t="str">
            <v>233-06</v>
          </cell>
          <cell r="D189">
            <v>1820000</v>
          </cell>
          <cell r="E189" t="str">
            <v>ADANE</v>
          </cell>
        </row>
        <row r="190">
          <cell r="C190" t="str">
            <v>234-05</v>
          </cell>
          <cell r="D190">
            <v>1180000</v>
          </cell>
          <cell r="E190" t="str">
            <v>LEVERE</v>
          </cell>
        </row>
        <row r="191">
          <cell r="C191" t="str">
            <v>234-06</v>
          </cell>
          <cell r="D191">
            <v>1820000</v>
          </cell>
          <cell r="E191" t="str">
            <v>ADANE</v>
          </cell>
        </row>
        <row r="192">
          <cell r="C192" t="str">
            <v>235-05</v>
          </cell>
          <cell r="D192">
            <v>1240000</v>
          </cell>
          <cell r="E192" t="str">
            <v>GRASTON</v>
          </cell>
        </row>
        <row r="193">
          <cell r="C193" t="str">
            <v>235-05</v>
          </cell>
          <cell r="D193">
            <v>1240000</v>
          </cell>
          <cell r="E193" t="str">
            <v>GRASTON</v>
          </cell>
        </row>
        <row r="194">
          <cell r="C194" t="str">
            <v>235-05</v>
          </cell>
          <cell r="D194">
            <v>1240000</v>
          </cell>
          <cell r="E194" t="str">
            <v>GRASTON</v>
          </cell>
        </row>
        <row r="195">
          <cell r="C195" t="str">
            <v>235-06</v>
          </cell>
          <cell r="D195">
            <v>1240000</v>
          </cell>
          <cell r="E195" t="str">
            <v>GRASTON</v>
          </cell>
        </row>
        <row r="196">
          <cell r="C196" t="str">
            <v>236-05</v>
          </cell>
          <cell r="D196">
            <v>1240000</v>
          </cell>
          <cell r="E196" t="str">
            <v>GRASTON</v>
          </cell>
        </row>
        <row r="197">
          <cell r="C197" t="str">
            <v>236-06</v>
          </cell>
          <cell r="D197">
            <v>1240000</v>
          </cell>
          <cell r="E197" t="str">
            <v>GRASTON</v>
          </cell>
        </row>
        <row r="198">
          <cell r="C198" t="str">
            <v>237-05</v>
          </cell>
          <cell r="D198">
            <v>1820000</v>
          </cell>
          <cell r="E198" t="str">
            <v>ADANE</v>
          </cell>
        </row>
        <row r="199">
          <cell r="C199" t="str">
            <v>237-06</v>
          </cell>
          <cell r="D199">
            <v>1280000</v>
          </cell>
          <cell r="E199" t="str">
            <v>BARTLETT</v>
          </cell>
        </row>
        <row r="200">
          <cell r="C200" t="str">
            <v>238-05</v>
          </cell>
          <cell r="D200">
            <v>1820000</v>
          </cell>
          <cell r="E200" t="str">
            <v>ADANE</v>
          </cell>
        </row>
        <row r="201">
          <cell r="C201" t="str">
            <v>238-05</v>
          </cell>
          <cell r="D201">
            <v>1820000</v>
          </cell>
          <cell r="E201" t="str">
            <v>ADANE</v>
          </cell>
        </row>
        <row r="202">
          <cell r="C202" t="str">
            <v>238-05</v>
          </cell>
          <cell r="D202">
            <v>1820000</v>
          </cell>
          <cell r="E202" t="str">
            <v>ADANE</v>
          </cell>
        </row>
        <row r="203">
          <cell r="C203" t="str">
            <v>238-06</v>
          </cell>
          <cell r="D203">
            <v>1280000</v>
          </cell>
          <cell r="E203" t="str">
            <v>BARTLETT</v>
          </cell>
        </row>
        <row r="204">
          <cell r="C204" t="str">
            <v>239-05</v>
          </cell>
          <cell r="D204">
            <v>1280000</v>
          </cell>
          <cell r="E204" t="str">
            <v>BARTLETT</v>
          </cell>
        </row>
        <row r="205">
          <cell r="C205" t="str">
            <v>239-06</v>
          </cell>
          <cell r="D205">
            <v>1990000</v>
          </cell>
          <cell r="E205" t="str">
            <v>DAVIS</v>
          </cell>
        </row>
        <row r="206">
          <cell r="C206" t="str">
            <v>240-05</v>
          </cell>
          <cell r="D206">
            <v>1280000</v>
          </cell>
          <cell r="E206" t="str">
            <v>BARTLETT</v>
          </cell>
        </row>
        <row r="207">
          <cell r="C207" t="str">
            <v>240-06</v>
          </cell>
          <cell r="D207">
            <v>1990000</v>
          </cell>
          <cell r="E207" t="str">
            <v>DAVIS</v>
          </cell>
        </row>
        <row r="208">
          <cell r="C208" t="str">
            <v>241-05</v>
          </cell>
          <cell r="D208">
            <v>1180000</v>
          </cell>
          <cell r="E208" t="str">
            <v>LEVERE</v>
          </cell>
        </row>
        <row r="209">
          <cell r="C209" t="str">
            <v>241-06</v>
          </cell>
          <cell r="D209">
            <v>1820000</v>
          </cell>
          <cell r="E209" t="str">
            <v>ADANE</v>
          </cell>
        </row>
        <row r="210">
          <cell r="C210" t="str">
            <v>242-05</v>
          </cell>
          <cell r="D210">
            <v>1180000</v>
          </cell>
          <cell r="E210" t="str">
            <v>LEVERE</v>
          </cell>
        </row>
        <row r="211">
          <cell r="C211" t="str">
            <v>242-06</v>
          </cell>
          <cell r="D211">
            <v>1820000</v>
          </cell>
          <cell r="E211" t="str">
            <v>ADANE</v>
          </cell>
        </row>
        <row r="212">
          <cell r="C212" t="str">
            <v>243-05</v>
          </cell>
          <cell r="D212">
            <v>1240000</v>
          </cell>
          <cell r="E212" t="str">
            <v>GRASTON</v>
          </cell>
        </row>
        <row r="213">
          <cell r="C213" t="str">
            <v>243-06</v>
          </cell>
          <cell r="D213">
            <v>1240000</v>
          </cell>
          <cell r="E213" t="str">
            <v>GRASTON</v>
          </cell>
        </row>
        <row r="214">
          <cell r="C214" t="str">
            <v>244-05</v>
          </cell>
          <cell r="D214">
            <v>1240000</v>
          </cell>
          <cell r="E214" t="str">
            <v>GRASTON</v>
          </cell>
        </row>
        <row r="215">
          <cell r="C215" t="str">
            <v>244-06</v>
          </cell>
          <cell r="D215">
            <v>1240000</v>
          </cell>
          <cell r="E215" t="str">
            <v>GRASTON</v>
          </cell>
        </row>
        <row r="216">
          <cell r="C216" t="str">
            <v>800-06</v>
          </cell>
          <cell r="D216">
            <v>1480000</v>
          </cell>
          <cell r="E216" t="str">
            <v>STURGEON</v>
          </cell>
        </row>
        <row r="217">
          <cell r="C217" t="str">
            <v>800-07</v>
          </cell>
          <cell r="D217">
            <v>1340000</v>
          </cell>
          <cell r="E217" t="str">
            <v>BEAM</v>
          </cell>
        </row>
        <row r="218">
          <cell r="C218" t="str">
            <v>801-06</v>
          </cell>
          <cell r="D218">
            <v>1480000</v>
          </cell>
          <cell r="E218" t="str">
            <v>STURGEON</v>
          </cell>
        </row>
        <row r="219">
          <cell r="C219" t="str">
            <v>801-07</v>
          </cell>
          <cell r="D219">
            <v>1340000</v>
          </cell>
          <cell r="E219" t="str">
            <v>BEAM</v>
          </cell>
        </row>
        <row r="220">
          <cell r="C220" t="str">
            <v>802-06</v>
          </cell>
          <cell r="D220">
            <v>1480000</v>
          </cell>
          <cell r="E220" t="str">
            <v>STURGEON</v>
          </cell>
        </row>
        <row r="221">
          <cell r="C221" t="str">
            <v>802-07</v>
          </cell>
          <cell r="D221">
            <v>1340000</v>
          </cell>
          <cell r="E221" t="str">
            <v>BEAM</v>
          </cell>
        </row>
        <row r="222">
          <cell r="C222" t="str">
            <v>803-06</v>
          </cell>
          <cell r="D222">
            <v>1520000</v>
          </cell>
          <cell r="E222" t="str">
            <v>MAYBERRY</v>
          </cell>
        </row>
        <row r="223">
          <cell r="C223" t="str">
            <v>803-07</v>
          </cell>
          <cell r="D223">
            <v>1460000</v>
          </cell>
          <cell r="E223" t="str">
            <v>NELSON</v>
          </cell>
        </row>
        <row r="224">
          <cell r="C224" t="str">
            <v>804-06</v>
          </cell>
          <cell r="D224">
            <v>1520000</v>
          </cell>
          <cell r="E224" t="str">
            <v>MAYBERRY</v>
          </cell>
        </row>
        <row r="225">
          <cell r="C225" t="str">
            <v>804-07</v>
          </cell>
          <cell r="D225">
            <v>1460000</v>
          </cell>
          <cell r="E225" t="str">
            <v>NELSON</v>
          </cell>
        </row>
        <row r="226">
          <cell r="C226" t="str">
            <v>805-06</v>
          </cell>
          <cell r="D226">
            <v>1480000</v>
          </cell>
          <cell r="E226" t="str">
            <v>STURGEON</v>
          </cell>
        </row>
        <row r="227">
          <cell r="C227" t="str">
            <v>805-07</v>
          </cell>
          <cell r="D227">
            <v>1340000</v>
          </cell>
          <cell r="E227" t="str">
            <v>BEAM</v>
          </cell>
        </row>
        <row r="228">
          <cell r="C228" t="str">
            <v>806-06</v>
          </cell>
          <cell r="D228">
            <v>1480000</v>
          </cell>
          <cell r="E228" t="str">
            <v>STURGEON</v>
          </cell>
        </row>
        <row r="229">
          <cell r="C229" t="str">
            <v>806-07</v>
          </cell>
          <cell r="D229">
            <v>1340000</v>
          </cell>
          <cell r="E229" t="str">
            <v>BEAM</v>
          </cell>
        </row>
        <row r="230">
          <cell r="C230" t="str">
            <v>807-06</v>
          </cell>
          <cell r="D230">
            <v>1520000</v>
          </cell>
          <cell r="E230" t="str">
            <v>MAYBERRY</v>
          </cell>
        </row>
        <row r="231">
          <cell r="C231" t="str">
            <v>808-06</v>
          </cell>
          <cell r="D231">
            <v>1520000</v>
          </cell>
          <cell r="E231" t="str">
            <v>MAYBERRY</v>
          </cell>
        </row>
        <row r="232">
          <cell r="C232" t="str">
            <v>809-06</v>
          </cell>
          <cell r="D232">
            <v>1480000</v>
          </cell>
          <cell r="E232" t="str">
            <v>STURGEON</v>
          </cell>
        </row>
        <row r="233">
          <cell r="C233" t="str">
            <v>810-06</v>
          </cell>
          <cell r="D233">
            <v>1480000</v>
          </cell>
          <cell r="E233" t="str">
            <v>STURGEON</v>
          </cell>
        </row>
        <row r="234">
          <cell r="C234" t="str">
            <v>811-06</v>
          </cell>
          <cell r="D234">
            <v>1520000</v>
          </cell>
          <cell r="E234" t="str">
            <v>MAYBERRY</v>
          </cell>
        </row>
        <row r="235">
          <cell r="C235" t="str">
            <v>812-06</v>
          </cell>
          <cell r="D235">
            <v>1520000</v>
          </cell>
          <cell r="E235" t="str">
            <v>MAYBERRY</v>
          </cell>
        </row>
        <row r="236">
          <cell r="C236" t="str">
            <v>813-06</v>
          </cell>
          <cell r="D236">
            <v>1520000</v>
          </cell>
          <cell r="E236" t="str">
            <v>MAYBERRY</v>
          </cell>
        </row>
        <row r="237">
          <cell r="C237" t="str">
            <v>814-06</v>
          </cell>
          <cell r="D237">
            <v>1520000</v>
          </cell>
          <cell r="E237" t="str">
            <v>MAYBERRY</v>
          </cell>
        </row>
        <row r="238">
          <cell r="C238" t="str">
            <v>815-06</v>
          </cell>
          <cell r="D238">
            <v>1520000</v>
          </cell>
          <cell r="E238" t="str">
            <v>MAYBERRY</v>
          </cell>
        </row>
        <row r="239">
          <cell r="C239" t="str">
            <v>816-06</v>
          </cell>
          <cell r="D239">
            <v>1520000</v>
          </cell>
          <cell r="E239" t="str">
            <v>MAYBERRY</v>
          </cell>
        </row>
        <row r="240">
          <cell r="C240" t="str">
            <v>817-06</v>
          </cell>
          <cell r="D240">
            <v>1520000</v>
          </cell>
          <cell r="E240" t="str">
            <v>MAYBERRY</v>
          </cell>
        </row>
        <row r="241">
          <cell r="C241" t="str">
            <v>817-06</v>
          </cell>
          <cell r="D241">
            <v>1520000</v>
          </cell>
          <cell r="E241" t="str">
            <v>MAYBERRY</v>
          </cell>
        </row>
        <row r="242">
          <cell r="C242" t="str">
            <v>817-06</v>
          </cell>
          <cell r="D242">
            <v>1520000</v>
          </cell>
          <cell r="E242" t="str">
            <v>MAYBERRY</v>
          </cell>
        </row>
        <row r="243">
          <cell r="C243" t="str">
            <v>818-06</v>
          </cell>
          <cell r="D243">
            <v>1520000</v>
          </cell>
          <cell r="E243" t="str">
            <v>MAYBERRY</v>
          </cell>
        </row>
        <row r="244">
          <cell r="C244" t="str">
            <v>819-06</v>
          </cell>
          <cell r="D244">
            <v>1520000</v>
          </cell>
          <cell r="E244" t="str">
            <v>MAYBERRY</v>
          </cell>
        </row>
        <row r="245">
          <cell r="C245" t="str">
            <v>820-06</v>
          </cell>
          <cell r="D245">
            <v>1520000</v>
          </cell>
          <cell r="E245" t="str">
            <v>MAYBERRY</v>
          </cell>
        </row>
        <row r="246">
          <cell r="C246" t="str">
            <v>821-06</v>
          </cell>
          <cell r="D246">
            <v>1520000</v>
          </cell>
          <cell r="E246" t="str">
            <v>MAYBERRY</v>
          </cell>
        </row>
        <row r="247">
          <cell r="C247" t="str">
            <v>822-06</v>
          </cell>
          <cell r="D247">
            <v>1520000</v>
          </cell>
          <cell r="E247" t="str">
            <v>MAYBERRY</v>
          </cell>
        </row>
        <row r="248">
          <cell r="C248" t="str">
            <v>823-06</v>
          </cell>
          <cell r="D248">
            <v>1740000</v>
          </cell>
          <cell r="E248" t="str">
            <v>STORY</v>
          </cell>
        </row>
        <row r="249">
          <cell r="C249" t="str">
            <v>824-06</v>
          </cell>
          <cell r="D249">
            <v>1740000</v>
          </cell>
          <cell r="E249" t="str">
            <v>STORY</v>
          </cell>
        </row>
        <row r="250">
          <cell r="C250" t="str">
            <v>825-06</v>
          </cell>
          <cell r="D250">
            <v>1740000</v>
          </cell>
          <cell r="E250" t="str">
            <v>STORY</v>
          </cell>
        </row>
        <row r="251">
          <cell r="C251" t="str">
            <v>826-06</v>
          </cell>
          <cell r="D251">
            <v>1740000</v>
          </cell>
          <cell r="E251" t="str">
            <v>STORY</v>
          </cell>
        </row>
        <row r="252">
          <cell r="C252" t="str">
            <v>827-06</v>
          </cell>
          <cell r="D252">
            <v>1760000</v>
          </cell>
          <cell r="E252" t="str">
            <v>STRICKLAND</v>
          </cell>
        </row>
        <row r="253">
          <cell r="C253" t="str">
            <v>828-06</v>
          </cell>
          <cell r="D253">
            <v>1760000</v>
          </cell>
          <cell r="E253" t="str">
            <v>STRICKLAND</v>
          </cell>
        </row>
        <row r="254">
          <cell r="C254" t="str">
            <v>829-06</v>
          </cell>
          <cell r="D254">
            <v>1740000</v>
          </cell>
          <cell r="E254" t="str">
            <v>STORY</v>
          </cell>
        </row>
        <row r="255">
          <cell r="C255" t="str">
            <v>830-06</v>
          </cell>
          <cell r="D255">
            <v>1740000</v>
          </cell>
          <cell r="E255" t="str">
            <v>STORY</v>
          </cell>
        </row>
        <row r="256">
          <cell r="C256" t="str">
            <v>831-06</v>
          </cell>
          <cell r="D256">
            <v>1760000</v>
          </cell>
          <cell r="E256" t="str">
            <v>STRICKLAND</v>
          </cell>
        </row>
        <row r="257">
          <cell r="C257" t="str">
            <v>831-06</v>
          </cell>
          <cell r="D257">
            <v>1760000</v>
          </cell>
          <cell r="E257" t="str">
            <v>STRICKLAND</v>
          </cell>
        </row>
        <row r="258">
          <cell r="C258" t="str">
            <v>832-06</v>
          </cell>
          <cell r="D258">
            <v>1760000</v>
          </cell>
          <cell r="E258" t="str">
            <v>STRICKLAND</v>
          </cell>
        </row>
        <row r="259">
          <cell r="C259" t="str">
            <v>833-06</v>
          </cell>
          <cell r="D259">
            <v>1740000</v>
          </cell>
          <cell r="E259" t="str">
            <v>STORY</v>
          </cell>
        </row>
        <row r="260">
          <cell r="C260" t="str">
            <v>834-06</v>
          </cell>
          <cell r="D260">
            <v>1740000</v>
          </cell>
          <cell r="E260" t="str">
            <v>STORY</v>
          </cell>
        </row>
        <row r="261">
          <cell r="C261" t="str">
            <v>835-06</v>
          </cell>
          <cell r="D261">
            <v>1760000</v>
          </cell>
          <cell r="E261" t="str">
            <v>STRICKLAND</v>
          </cell>
        </row>
        <row r="262">
          <cell r="C262" t="str">
            <v>836-06</v>
          </cell>
          <cell r="D262">
            <v>1760000</v>
          </cell>
          <cell r="E262" t="str">
            <v>STRICKLAND</v>
          </cell>
        </row>
        <row r="263">
          <cell r="C263" t="str">
            <v>837-06</v>
          </cell>
          <cell r="D263">
            <v>1740000</v>
          </cell>
          <cell r="E263" t="str">
            <v>STORY</v>
          </cell>
        </row>
        <row r="264">
          <cell r="C264" t="str">
            <v>838-06</v>
          </cell>
          <cell r="D264">
            <v>1740000</v>
          </cell>
          <cell r="E264" t="str">
            <v>STORY</v>
          </cell>
        </row>
        <row r="265">
          <cell r="C265" t="str">
            <v>839-06</v>
          </cell>
          <cell r="D265">
            <v>1760000</v>
          </cell>
          <cell r="E265" t="str">
            <v>STRICKLAND</v>
          </cell>
        </row>
        <row r="266">
          <cell r="C266" t="str">
            <v>840-05</v>
          </cell>
          <cell r="D266">
            <v>910000</v>
          </cell>
          <cell r="E266" t="str">
            <v>SUR</v>
          </cell>
        </row>
        <row r="267">
          <cell r="C267" t="str">
            <v>840-06</v>
          </cell>
          <cell r="D267">
            <v>1740000</v>
          </cell>
          <cell r="E267" t="str">
            <v>STORY</v>
          </cell>
        </row>
        <row r="268">
          <cell r="C268" t="str">
            <v>841-05</v>
          </cell>
          <cell r="D268">
            <v>910000</v>
          </cell>
          <cell r="E268" t="str">
            <v>SUR</v>
          </cell>
        </row>
        <row r="269">
          <cell r="C269" t="str">
            <v>841-06</v>
          </cell>
          <cell r="D269">
            <v>1740000</v>
          </cell>
          <cell r="E269" t="str">
            <v>STORY</v>
          </cell>
        </row>
        <row r="270">
          <cell r="C270" t="str">
            <v>842-05</v>
          </cell>
          <cell r="D270">
            <v>910000</v>
          </cell>
          <cell r="E270" t="str">
            <v>SUR</v>
          </cell>
        </row>
        <row r="271">
          <cell r="C271" t="str">
            <v>842-06</v>
          </cell>
          <cell r="D271">
            <v>1740000</v>
          </cell>
          <cell r="E271" t="str">
            <v>STORY</v>
          </cell>
        </row>
        <row r="272">
          <cell r="C272" t="str">
            <v>843-05</v>
          </cell>
          <cell r="D272">
            <v>910000</v>
          </cell>
          <cell r="E272" t="str">
            <v>SUR</v>
          </cell>
        </row>
        <row r="273">
          <cell r="C273" t="str">
            <v>843-06</v>
          </cell>
          <cell r="D273">
            <v>1740000</v>
          </cell>
          <cell r="E273" t="str">
            <v>STORY</v>
          </cell>
        </row>
        <row r="274">
          <cell r="C274" t="str">
            <v>844-05</v>
          </cell>
          <cell r="D274">
            <v>910000</v>
          </cell>
          <cell r="E274" t="str">
            <v>SUR</v>
          </cell>
        </row>
        <row r="275">
          <cell r="C275" t="str">
            <v>844-06</v>
          </cell>
          <cell r="D275">
            <v>1740000</v>
          </cell>
          <cell r="E275" t="str">
            <v>STORY</v>
          </cell>
        </row>
        <row r="276">
          <cell r="C276" t="str">
            <v>845-05</v>
          </cell>
          <cell r="D276">
            <v>910000</v>
          </cell>
          <cell r="E276" t="str">
            <v>SUR</v>
          </cell>
        </row>
        <row r="277">
          <cell r="C277" t="str">
            <v>845-06</v>
          </cell>
          <cell r="D277">
            <v>1740000</v>
          </cell>
          <cell r="E277" t="str">
            <v>STORY</v>
          </cell>
        </row>
        <row r="278">
          <cell r="C278" t="str">
            <v>847-05</v>
          </cell>
          <cell r="D278">
            <v>910000</v>
          </cell>
          <cell r="E278" t="str">
            <v>SUR</v>
          </cell>
        </row>
        <row r="279">
          <cell r="C279" t="str">
            <v>847-06</v>
          </cell>
          <cell r="D279">
            <v>1740000</v>
          </cell>
          <cell r="E279" t="str">
            <v>STORY</v>
          </cell>
        </row>
        <row r="280">
          <cell r="C280" t="str">
            <v>901-06</v>
          </cell>
          <cell r="D280">
            <v>1480000</v>
          </cell>
          <cell r="E280" t="str">
            <v>STURGEON</v>
          </cell>
        </row>
        <row r="281">
          <cell r="C281" t="str">
            <v>901-07</v>
          </cell>
          <cell r="D281">
            <v>1340000</v>
          </cell>
          <cell r="E281" t="str">
            <v>BEAM</v>
          </cell>
        </row>
        <row r="282">
          <cell r="C282" t="str">
            <v>903-06</v>
          </cell>
          <cell r="D282">
            <v>1480000</v>
          </cell>
          <cell r="E282" t="str">
            <v>STURGEON</v>
          </cell>
        </row>
        <row r="283">
          <cell r="C283" t="str">
            <v>906-05</v>
          </cell>
          <cell r="D283">
            <v>750000</v>
          </cell>
          <cell r="E283" t="str">
            <v>NATION</v>
          </cell>
        </row>
        <row r="284">
          <cell r="C284" t="str">
            <v>906-06</v>
          </cell>
          <cell r="D284">
            <v>1760000</v>
          </cell>
          <cell r="E284" t="str">
            <v>STRICKLAND</v>
          </cell>
        </row>
        <row r="285">
          <cell r="C285" t="str">
            <v>908-05</v>
          </cell>
          <cell r="D285">
            <v>910000</v>
          </cell>
          <cell r="E285" t="str">
            <v>SUR</v>
          </cell>
        </row>
        <row r="286">
          <cell r="C286" t="str">
            <v>908-06</v>
          </cell>
          <cell r="D286">
            <v>1740000</v>
          </cell>
          <cell r="E286" t="str">
            <v>STORY</v>
          </cell>
        </row>
        <row r="287">
          <cell r="C287" t="str">
            <v>BONDS-06</v>
          </cell>
          <cell r="D287">
            <v>940000</v>
          </cell>
          <cell r="E287" t="str">
            <v>BONDS</v>
          </cell>
        </row>
        <row r="288">
          <cell r="C288" t="str">
            <v>PTC Test Train</v>
          </cell>
          <cell r="D288">
            <v>0</v>
          </cell>
          <cell r="E288" t="str">
            <v>Coats</v>
          </cell>
        </row>
        <row r="289">
          <cell r="C289" t="str">
            <v>PTC Test Train</v>
          </cell>
          <cell r="D289">
            <v>0</v>
          </cell>
          <cell r="E289" t="str">
            <v>Coats</v>
          </cell>
        </row>
        <row r="290">
          <cell r="C290" t="str">
            <v>PTC Test Train</v>
          </cell>
          <cell r="D290">
            <v>0</v>
          </cell>
          <cell r="E290" t="str">
            <v>Coats</v>
          </cell>
        </row>
        <row r="291">
          <cell r="C291" t="str">
            <v>PTC Test Train</v>
          </cell>
          <cell r="D291">
            <v>0</v>
          </cell>
          <cell r="E291" t="str">
            <v>Coats</v>
          </cell>
        </row>
        <row r="292">
          <cell r="C292" t="str">
            <v>PTC Test Train</v>
          </cell>
          <cell r="D292">
            <v>0</v>
          </cell>
          <cell r="E292" t="str">
            <v>Coats</v>
          </cell>
        </row>
        <row r="293">
          <cell r="C293" t="str">
            <v>PTC Test Train</v>
          </cell>
          <cell r="D293">
            <v>0</v>
          </cell>
          <cell r="E293" t="str">
            <v>Coats</v>
          </cell>
        </row>
        <row r="294">
          <cell r="C294" t="str">
            <v>PTC Test Train</v>
          </cell>
          <cell r="D294">
            <v>0</v>
          </cell>
          <cell r="E294" t="str">
            <v>Coats</v>
          </cell>
        </row>
        <row r="295">
          <cell r="C295" t="str">
            <v>PTC Test Train</v>
          </cell>
          <cell r="D295">
            <v>0</v>
          </cell>
          <cell r="E295" t="str">
            <v>Coats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231-06</v>
          </cell>
          <cell r="D1">
            <v>1990000</v>
          </cell>
          <cell r="E1" t="str">
            <v>DAVIS</v>
          </cell>
        </row>
        <row r="2">
          <cell r="C2" t="str">
            <v>221-06</v>
          </cell>
          <cell r="D2">
            <v>1280000</v>
          </cell>
          <cell r="E2" t="str">
            <v>BARTLETT</v>
          </cell>
        </row>
        <row r="3">
          <cell r="C3" t="str">
            <v>244-06</v>
          </cell>
          <cell r="D3">
            <v>1240000</v>
          </cell>
          <cell r="E3" t="str">
            <v>GRASTON</v>
          </cell>
        </row>
        <row r="4">
          <cell r="C4" t="str">
            <v>103-07</v>
          </cell>
          <cell r="D4">
            <v>1110000</v>
          </cell>
          <cell r="E4" t="str">
            <v>STARKS</v>
          </cell>
        </row>
        <row r="5">
          <cell r="C5" t="str">
            <v>800-07</v>
          </cell>
          <cell r="D5">
            <v>1340000</v>
          </cell>
          <cell r="E5" t="str">
            <v>BEAM</v>
          </cell>
        </row>
        <row r="6">
          <cell r="C6" t="str">
            <v>821-07</v>
          </cell>
          <cell r="D6">
            <v>1460000</v>
          </cell>
          <cell r="E6" t="str">
            <v>NELSON</v>
          </cell>
        </row>
        <row r="7">
          <cell r="C7" t="str">
            <v>801-07</v>
          </cell>
          <cell r="D7">
            <v>1340000</v>
          </cell>
          <cell r="E7" t="str">
            <v>BEAM</v>
          </cell>
        </row>
        <row r="8">
          <cell r="C8" t="str">
            <v>136-07</v>
          </cell>
          <cell r="D8">
            <v>2030000</v>
          </cell>
          <cell r="E8" t="str">
            <v>KILLION</v>
          </cell>
        </row>
        <row r="9">
          <cell r="C9" t="str">
            <v>815-07</v>
          </cell>
          <cell r="D9">
            <v>1460000</v>
          </cell>
          <cell r="E9" t="str">
            <v>NELSON</v>
          </cell>
        </row>
        <row r="10">
          <cell r="C10" t="str">
            <v>153-07</v>
          </cell>
          <cell r="D10">
            <v>900000</v>
          </cell>
          <cell r="E10" t="str">
            <v>ROCHA</v>
          </cell>
        </row>
        <row r="11">
          <cell r="C11" t="str">
            <v>223-06</v>
          </cell>
          <cell r="D11">
            <v>1540000</v>
          </cell>
          <cell r="E11" t="str">
            <v>HELVIE</v>
          </cell>
        </row>
        <row r="12">
          <cell r="C12" t="str">
            <v>139-07</v>
          </cell>
          <cell r="D12">
            <v>2040000</v>
          </cell>
          <cell r="E12" t="str">
            <v>MOSES</v>
          </cell>
        </row>
        <row r="13">
          <cell r="C13" t="str">
            <v>840-06</v>
          </cell>
          <cell r="D13">
            <v>1740000</v>
          </cell>
          <cell r="E13" t="str">
            <v>STORY</v>
          </cell>
        </row>
        <row r="14">
          <cell r="C14" t="str">
            <v>128-07</v>
          </cell>
          <cell r="D14">
            <v>1840000</v>
          </cell>
          <cell r="E14" t="str">
            <v>CANFIELD</v>
          </cell>
        </row>
        <row r="15">
          <cell r="C15" t="str">
            <v>805-07</v>
          </cell>
          <cell r="D15">
            <v>1340000</v>
          </cell>
          <cell r="E15" t="str">
            <v>BEAM</v>
          </cell>
        </row>
        <row r="16">
          <cell r="C16" t="str">
            <v>220-06</v>
          </cell>
          <cell r="D16">
            <v>1240000</v>
          </cell>
          <cell r="E16" t="str">
            <v>GRASTON</v>
          </cell>
        </row>
        <row r="17">
          <cell r="C17" t="str">
            <v>137-07</v>
          </cell>
          <cell r="D17">
            <v>2010000</v>
          </cell>
          <cell r="E17" t="str">
            <v>MAELZER</v>
          </cell>
        </row>
        <row r="18">
          <cell r="C18" t="str">
            <v>906-06</v>
          </cell>
          <cell r="D18">
            <v>1760000</v>
          </cell>
          <cell r="E18" t="str">
            <v>STRICKLAND</v>
          </cell>
        </row>
        <row r="19">
          <cell r="C19" t="str">
            <v>903-07</v>
          </cell>
          <cell r="D19">
            <v>1340000</v>
          </cell>
          <cell r="E19" t="str">
            <v>BEAM</v>
          </cell>
        </row>
        <row r="20">
          <cell r="C20" t="str">
            <v>150-07</v>
          </cell>
          <cell r="D20">
            <v>2030000</v>
          </cell>
          <cell r="E20" t="str">
            <v>KILLION</v>
          </cell>
        </row>
        <row r="21">
          <cell r="C21" t="str">
            <v>138-07</v>
          </cell>
          <cell r="D21">
            <v>2010000</v>
          </cell>
          <cell r="E21" t="str">
            <v>MAELZER</v>
          </cell>
        </row>
        <row r="22">
          <cell r="C22" t="str">
            <v>809-07</v>
          </cell>
          <cell r="D22">
            <v>1340000</v>
          </cell>
          <cell r="E22" t="str">
            <v>BEAM</v>
          </cell>
        </row>
        <row r="23">
          <cell r="C23" t="str">
            <v>180-07</v>
          </cell>
          <cell r="D23">
            <v>1290000</v>
          </cell>
          <cell r="E23" t="str">
            <v>COOLAHAN</v>
          </cell>
        </row>
        <row r="24">
          <cell r="C24" t="str">
            <v>116-07</v>
          </cell>
          <cell r="D24">
            <v>1310000</v>
          </cell>
          <cell r="E24" t="str">
            <v>MALAVE</v>
          </cell>
        </row>
        <row r="25">
          <cell r="C25" t="str">
            <v>824-07</v>
          </cell>
          <cell r="D25">
            <v>1520000</v>
          </cell>
          <cell r="E25" t="str">
            <v>MAYBERRY</v>
          </cell>
        </row>
        <row r="26">
          <cell r="C26" t="str">
            <v>123-07</v>
          </cell>
          <cell r="D26">
            <v>2010000</v>
          </cell>
          <cell r="E26" t="str">
            <v>MAELZER</v>
          </cell>
        </row>
        <row r="27">
          <cell r="C27" t="str">
            <v>904-07</v>
          </cell>
          <cell r="D27">
            <v>1780000</v>
          </cell>
          <cell r="E27" t="str">
            <v>DE LA ROSA</v>
          </cell>
        </row>
        <row r="28">
          <cell r="C28" t="str">
            <v>226-06</v>
          </cell>
          <cell r="D28">
            <v>1820000</v>
          </cell>
          <cell r="E28" t="str">
            <v>ADANE</v>
          </cell>
        </row>
        <row r="29">
          <cell r="C29" t="str">
            <v>843-06</v>
          </cell>
          <cell r="D29">
            <v>1740000</v>
          </cell>
          <cell r="E29" t="str">
            <v>STORY</v>
          </cell>
        </row>
        <row r="30">
          <cell r="C30" t="str">
            <v>206-07</v>
          </cell>
          <cell r="D30">
            <v>2000000</v>
          </cell>
          <cell r="E30" t="str">
            <v>STAMBAUGH</v>
          </cell>
        </row>
        <row r="31">
          <cell r="C31" t="str">
            <v>156-07</v>
          </cell>
          <cell r="D31">
            <v>2040000</v>
          </cell>
          <cell r="E31" t="str">
            <v>MOSES</v>
          </cell>
        </row>
        <row r="32">
          <cell r="C32" t="str">
            <v>823-07</v>
          </cell>
          <cell r="D32">
            <v>1520000</v>
          </cell>
          <cell r="E32" t="str">
            <v>MAYBERRY</v>
          </cell>
        </row>
        <row r="33">
          <cell r="C33" t="str">
            <v>184-07</v>
          </cell>
          <cell r="D33">
            <v>1340000</v>
          </cell>
          <cell r="E33" t="str">
            <v>BEAM</v>
          </cell>
        </row>
        <row r="34">
          <cell r="C34" t="str">
            <v>112-07</v>
          </cell>
          <cell r="D34">
            <v>2040000</v>
          </cell>
          <cell r="E34" t="str">
            <v>MOSES</v>
          </cell>
        </row>
        <row r="35">
          <cell r="C35" t="str">
            <v>201-07</v>
          </cell>
          <cell r="D35">
            <v>1280000</v>
          </cell>
          <cell r="E35" t="str">
            <v>BARTLETT</v>
          </cell>
        </row>
        <row r="36">
          <cell r="C36" t="str">
            <v>108-07</v>
          </cell>
          <cell r="D36">
            <v>2030000</v>
          </cell>
          <cell r="E36" t="str">
            <v>KILLION</v>
          </cell>
        </row>
        <row r="37">
          <cell r="C37" t="str">
            <v>205-07</v>
          </cell>
          <cell r="D37">
            <v>2000000</v>
          </cell>
          <cell r="E37" t="str">
            <v>STAMBAUGH</v>
          </cell>
        </row>
        <row r="38">
          <cell r="C38" t="str">
            <v>243-06</v>
          </cell>
          <cell r="D38">
            <v>1240000</v>
          </cell>
          <cell r="E38" t="str">
            <v>GRASTON</v>
          </cell>
        </row>
        <row r="39">
          <cell r="C39" t="str">
            <v>833-07</v>
          </cell>
          <cell r="D39">
            <v>1520000</v>
          </cell>
          <cell r="E39" t="str">
            <v>MAYBERRY</v>
          </cell>
        </row>
        <row r="40">
          <cell r="C40" t="str">
            <v>109-08</v>
          </cell>
          <cell r="D40">
            <v>1310000</v>
          </cell>
          <cell r="E40" t="str">
            <v>MALAVE</v>
          </cell>
        </row>
        <row r="41">
          <cell r="C41" t="str">
            <v>133-07</v>
          </cell>
          <cell r="D41">
            <v>1830000</v>
          </cell>
          <cell r="E41" t="str">
            <v>YORK</v>
          </cell>
        </row>
        <row r="42">
          <cell r="C42" t="str">
            <v>235-07</v>
          </cell>
          <cell r="D42">
            <v>1240000</v>
          </cell>
          <cell r="E42" t="str">
            <v>GRASTON</v>
          </cell>
        </row>
        <row r="43">
          <cell r="C43" t="str">
            <v>165-07</v>
          </cell>
          <cell r="D43">
            <v>1290000</v>
          </cell>
          <cell r="E43" t="str">
            <v>COOLAHAN</v>
          </cell>
        </row>
        <row r="44">
          <cell r="C44" t="str">
            <v>844-07</v>
          </cell>
          <cell r="D44">
            <v>1520000</v>
          </cell>
          <cell r="E44" t="str">
            <v>MAYBERRY</v>
          </cell>
        </row>
        <row r="45">
          <cell r="C45" t="str">
            <v>180-07</v>
          </cell>
          <cell r="D45">
            <v>1290000</v>
          </cell>
          <cell r="E45" t="str">
            <v>COOLAHAN</v>
          </cell>
        </row>
        <row r="46">
          <cell r="C46" t="str">
            <v>225-07</v>
          </cell>
          <cell r="D46">
            <v>1820000</v>
          </cell>
          <cell r="E46" t="str">
            <v>ADANE</v>
          </cell>
        </row>
        <row r="47">
          <cell r="C47" t="str">
            <v>189-07</v>
          </cell>
          <cell r="D47">
            <v>1090000</v>
          </cell>
          <cell r="E47" t="str">
            <v>SPECTOR</v>
          </cell>
        </row>
        <row r="48">
          <cell r="C48" t="str">
            <v>802-08</v>
          </cell>
          <cell r="D48">
            <v>1340000</v>
          </cell>
          <cell r="E48" t="str">
            <v>BEAM</v>
          </cell>
        </row>
        <row r="49">
          <cell r="C49" t="str">
            <v>207-07</v>
          </cell>
          <cell r="D49">
            <v>1290000</v>
          </cell>
          <cell r="E49" t="str">
            <v>COOLAHAN</v>
          </cell>
        </row>
        <row r="50">
          <cell r="C50" t="str">
            <v>239-07</v>
          </cell>
          <cell r="D50">
            <v>1990000</v>
          </cell>
          <cell r="E50" t="str">
            <v>DAVIS</v>
          </cell>
        </row>
        <row r="51">
          <cell r="C51" t="str">
            <v>906-07</v>
          </cell>
          <cell r="D51">
            <v>1780000</v>
          </cell>
          <cell r="E51" t="str">
            <v>DE LA ROSA</v>
          </cell>
        </row>
        <row r="52">
          <cell r="C52" t="str">
            <v>222-07</v>
          </cell>
          <cell r="D52">
            <v>2020000</v>
          </cell>
          <cell r="E52" t="str">
            <v>SHOOK</v>
          </cell>
        </row>
        <row r="53">
          <cell r="C53" t="str">
            <v>101-08</v>
          </cell>
          <cell r="D53">
            <v>1830000</v>
          </cell>
          <cell r="E53" t="str">
            <v>YORK</v>
          </cell>
        </row>
        <row r="54">
          <cell r="C54" t="str">
            <v>112-08</v>
          </cell>
          <cell r="D54">
            <v>2040000</v>
          </cell>
          <cell r="E54" t="str">
            <v>MOSES</v>
          </cell>
        </row>
        <row r="55">
          <cell r="C55" t="str">
            <v>221-07</v>
          </cell>
          <cell r="D55">
            <v>2020000</v>
          </cell>
          <cell r="E55" t="str">
            <v>SHOOK</v>
          </cell>
        </row>
        <row r="56">
          <cell r="C56" t="str">
            <v>234-07</v>
          </cell>
          <cell r="D56">
            <v>1820000</v>
          </cell>
          <cell r="E56" t="str">
            <v>ADANE</v>
          </cell>
        </row>
        <row r="57">
          <cell r="C57" t="str">
            <v>222-07</v>
          </cell>
          <cell r="D57">
            <v>2020000</v>
          </cell>
          <cell r="E57" t="str">
            <v>SHOOK</v>
          </cell>
        </row>
        <row r="58">
          <cell r="C58" t="str">
            <v>200-07</v>
          </cell>
          <cell r="D58">
            <v>880000</v>
          </cell>
          <cell r="E58" t="str">
            <v>STEWART</v>
          </cell>
        </row>
        <row r="59">
          <cell r="C59" t="str">
            <v>244-07</v>
          </cell>
          <cell r="D59">
            <v>1240000</v>
          </cell>
          <cell r="E59" t="str">
            <v>GRASTON</v>
          </cell>
        </row>
        <row r="60">
          <cell r="C60" t="str">
            <v>831-07</v>
          </cell>
          <cell r="D60">
            <v>1780000</v>
          </cell>
          <cell r="E60" t="str">
            <v>DE LA ROSA</v>
          </cell>
        </row>
        <row r="61">
          <cell r="C61" t="str">
            <v>101-08</v>
          </cell>
          <cell r="D61">
            <v>1830000</v>
          </cell>
          <cell r="E61" t="str">
            <v>YORK</v>
          </cell>
        </row>
        <row r="62">
          <cell r="C62" t="str">
            <v>161-07</v>
          </cell>
          <cell r="D62">
            <v>1090000</v>
          </cell>
          <cell r="E62" t="str">
            <v>SPECTOR</v>
          </cell>
        </row>
        <row r="63">
          <cell r="C63" t="str">
            <v>840-07</v>
          </cell>
          <cell r="D63">
            <v>1520000</v>
          </cell>
          <cell r="E63" t="str">
            <v>MAYBERRY</v>
          </cell>
        </row>
        <row r="64">
          <cell r="C64" t="str">
            <v>152-07</v>
          </cell>
          <cell r="D64">
            <v>2010000</v>
          </cell>
          <cell r="E64" t="str">
            <v>MAELZER</v>
          </cell>
        </row>
        <row r="65">
          <cell r="C65" t="str">
            <v>242-07</v>
          </cell>
          <cell r="D65">
            <v>1820000</v>
          </cell>
          <cell r="E65" t="str">
            <v>ADANE</v>
          </cell>
        </row>
        <row r="66">
          <cell r="C66" t="str">
            <v>149-07</v>
          </cell>
          <cell r="D66">
            <v>2030000</v>
          </cell>
          <cell r="E66" t="str">
            <v>KILLION</v>
          </cell>
        </row>
        <row r="67">
          <cell r="C67" t="str">
            <v>105-08</v>
          </cell>
          <cell r="D67">
            <v>1840000</v>
          </cell>
          <cell r="E67" t="str">
            <v>CANFIELD</v>
          </cell>
        </row>
        <row r="68">
          <cell r="C68" t="str">
            <v>812-07</v>
          </cell>
          <cell r="D68">
            <v>1460000</v>
          </cell>
          <cell r="E68" t="str">
            <v>NELSON</v>
          </cell>
        </row>
        <row r="69">
          <cell r="C69" t="str">
            <v>901-08</v>
          </cell>
          <cell r="D69">
            <v>1340000</v>
          </cell>
          <cell r="E69" t="str">
            <v>BEAM</v>
          </cell>
        </row>
        <row r="70">
          <cell r="C70" t="str">
            <v>209-07</v>
          </cell>
          <cell r="D70">
            <v>2020000</v>
          </cell>
          <cell r="E70" t="str">
            <v>SHOOK</v>
          </cell>
        </row>
        <row r="71">
          <cell r="C71" t="str">
            <v>218-07</v>
          </cell>
          <cell r="D71">
            <v>1820000</v>
          </cell>
          <cell r="E71" t="str">
            <v>ADANE</v>
          </cell>
        </row>
        <row r="72">
          <cell r="C72" t="str">
            <v>186-07</v>
          </cell>
          <cell r="D72">
            <v>880000</v>
          </cell>
          <cell r="E72" t="str">
            <v>STEWART</v>
          </cell>
        </row>
        <row r="73">
          <cell r="C73" t="str">
            <v>224-07</v>
          </cell>
          <cell r="D73">
            <v>1990000</v>
          </cell>
          <cell r="E73" t="str">
            <v>DAVIS</v>
          </cell>
        </row>
        <row r="74">
          <cell r="C74" t="str">
            <v>176-07</v>
          </cell>
          <cell r="D74">
            <v>1090000</v>
          </cell>
          <cell r="E74" t="str">
            <v>SPECTOR</v>
          </cell>
        </row>
        <row r="75">
          <cell r="C75" t="str">
            <v>107-08</v>
          </cell>
          <cell r="D75">
            <v>1110000</v>
          </cell>
          <cell r="E75" t="str">
            <v>STARKS</v>
          </cell>
        </row>
        <row r="76">
          <cell r="C76" t="str">
            <v>130-07</v>
          </cell>
          <cell r="D76">
            <v>1310000</v>
          </cell>
          <cell r="E76" t="str">
            <v>MALAVE</v>
          </cell>
        </row>
        <row r="77">
          <cell r="C77" t="str">
            <v>210-07</v>
          </cell>
          <cell r="D77">
            <v>2020000</v>
          </cell>
          <cell r="E77" t="str">
            <v>SHOOK</v>
          </cell>
        </row>
        <row r="78">
          <cell r="C78" t="str">
            <v>199-07</v>
          </cell>
          <cell r="D78">
            <v>880000</v>
          </cell>
          <cell r="E78" t="str">
            <v>STEWART</v>
          </cell>
        </row>
        <row r="79">
          <cell r="C79" t="str">
            <v>800-08</v>
          </cell>
          <cell r="D79">
            <v>1340000</v>
          </cell>
          <cell r="E79" t="str">
            <v>BEAM</v>
          </cell>
        </row>
        <row r="80">
          <cell r="C80" t="str">
            <v>192-07</v>
          </cell>
          <cell r="D80">
            <v>2000000</v>
          </cell>
          <cell r="E80" t="str">
            <v>STAMBAUGH</v>
          </cell>
        </row>
        <row r="81">
          <cell r="C81" t="str">
            <v>801-08</v>
          </cell>
          <cell r="D81">
            <v>1340000</v>
          </cell>
          <cell r="E81" t="str">
            <v>BEAM</v>
          </cell>
        </row>
        <row r="82">
          <cell r="C82" t="str">
            <v>197-07</v>
          </cell>
          <cell r="D82">
            <v>1740000</v>
          </cell>
          <cell r="E82" t="str">
            <v>STORY</v>
          </cell>
        </row>
        <row r="83">
          <cell r="C83" t="str">
            <v>125-08</v>
          </cell>
          <cell r="D83">
            <v>2040000</v>
          </cell>
          <cell r="E83" t="str">
            <v>MOSES</v>
          </cell>
        </row>
        <row r="84">
          <cell r="C84" t="str">
            <v>191-07</v>
          </cell>
          <cell r="D84">
            <v>2000000</v>
          </cell>
          <cell r="E84" t="str">
            <v>STAMBAUGH</v>
          </cell>
        </row>
        <row r="85">
          <cell r="C85" t="str">
            <v>839-07</v>
          </cell>
          <cell r="D85">
            <v>1780000</v>
          </cell>
          <cell r="E85" t="str">
            <v>DE LA ROSA</v>
          </cell>
        </row>
        <row r="86">
          <cell r="C86" t="str">
            <v>179-07</v>
          </cell>
          <cell r="D86">
            <v>1290000</v>
          </cell>
          <cell r="E86" t="str">
            <v>COOLAHAN</v>
          </cell>
        </row>
        <row r="87">
          <cell r="C87" t="str">
            <v>841-07</v>
          </cell>
          <cell r="D87">
            <v>1520000</v>
          </cell>
          <cell r="E87" t="str">
            <v>MAYBERRY</v>
          </cell>
        </row>
        <row r="88">
          <cell r="C88" t="str">
            <v>177-07</v>
          </cell>
          <cell r="D88">
            <v>2000000</v>
          </cell>
          <cell r="E88" t="str">
            <v>STAMBAUGH</v>
          </cell>
        </row>
        <row r="89">
          <cell r="C89" t="str">
            <v>842-07</v>
          </cell>
          <cell r="D89">
            <v>1520000</v>
          </cell>
          <cell r="E89" t="str">
            <v>MAYBERRY</v>
          </cell>
        </row>
        <row r="90">
          <cell r="C90" t="str">
            <v>168-07</v>
          </cell>
          <cell r="D90">
            <v>900000</v>
          </cell>
          <cell r="E90" t="str">
            <v>ROCHA</v>
          </cell>
        </row>
        <row r="91">
          <cell r="C91" t="str">
            <v>237-07</v>
          </cell>
          <cell r="D91">
            <v>2020000</v>
          </cell>
          <cell r="E91" t="str">
            <v>SHOOK</v>
          </cell>
        </row>
        <row r="92">
          <cell r="C92" t="str">
            <v>167-07</v>
          </cell>
          <cell r="D92">
            <v>900000</v>
          </cell>
          <cell r="E92" t="str">
            <v>ROCHA</v>
          </cell>
        </row>
        <row r="93">
          <cell r="C93" t="str">
            <v>111-08</v>
          </cell>
          <cell r="D93">
            <v>2040000</v>
          </cell>
          <cell r="E93" t="str">
            <v>MOSES</v>
          </cell>
        </row>
        <row r="94">
          <cell r="C94" t="str">
            <v>141-07</v>
          </cell>
          <cell r="D94">
            <v>1840000</v>
          </cell>
          <cell r="E94" t="str">
            <v>CANFIELD</v>
          </cell>
        </row>
        <row r="95">
          <cell r="C95" t="str">
            <v>229-06</v>
          </cell>
          <cell r="D95">
            <v>1280000</v>
          </cell>
          <cell r="E95" t="str">
            <v>BARTLETT</v>
          </cell>
        </row>
        <row r="96">
          <cell r="C96" t="str">
            <v>126-07</v>
          </cell>
          <cell r="D96">
            <v>2040000</v>
          </cell>
          <cell r="E96" t="str">
            <v>MOSES</v>
          </cell>
        </row>
        <row r="97">
          <cell r="C97" t="str">
            <v>235-06</v>
          </cell>
          <cell r="D97">
            <v>1240000</v>
          </cell>
          <cell r="E97" t="str">
            <v>GRASTON</v>
          </cell>
        </row>
        <row r="98">
          <cell r="C98" t="str">
            <v>806-07</v>
          </cell>
          <cell r="D98">
            <v>1340000</v>
          </cell>
          <cell r="E98" t="str">
            <v>BEAM</v>
          </cell>
        </row>
        <row r="99">
          <cell r="C99" t="str">
            <v>101-07</v>
          </cell>
          <cell r="D99">
            <v>1840000</v>
          </cell>
          <cell r="E99" t="str">
            <v>CANFIELD</v>
          </cell>
        </row>
        <row r="100">
          <cell r="C100" t="str">
            <v>834-07</v>
          </cell>
          <cell r="D100">
            <v>1520000</v>
          </cell>
          <cell r="E100" t="str">
            <v>MAYBERRY</v>
          </cell>
        </row>
        <row r="101">
          <cell r="C101" t="str">
            <v>121-07</v>
          </cell>
          <cell r="D101">
            <v>2030000</v>
          </cell>
          <cell r="E101" t="str">
            <v>KILLION</v>
          </cell>
        </row>
        <row r="102">
          <cell r="C102" t="str">
            <v>829-07</v>
          </cell>
          <cell r="D102">
            <v>1520000</v>
          </cell>
          <cell r="E102" t="str">
            <v>MAYBERRY</v>
          </cell>
        </row>
        <row r="103">
          <cell r="C103" t="str">
            <v>125-07</v>
          </cell>
          <cell r="D103">
            <v>2040000</v>
          </cell>
          <cell r="E103" t="str">
            <v>MOSES</v>
          </cell>
        </row>
        <row r="104">
          <cell r="C104" t="str">
            <v>166-07</v>
          </cell>
          <cell r="D104">
            <v>1290000</v>
          </cell>
          <cell r="E104" t="str">
            <v>COOLAHAN</v>
          </cell>
        </row>
        <row r="105">
          <cell r="C105" t="str">
            <v>131-07</v>
          </cell>
          <cell r="D105">
            <v>1110000</v>
          </cell>
          <cell r="E105" t="str">
            <v>STARKS</v>
          </cell>
        </row>
        <row r="106">
          <cell r="C106" t="str">
            <v>171-07</v>
          </cell>
          <cell r="D106">
            <v>880000</v>
          </cell>
          <cell r="E106" t="str">
            <v>STEWART</v>
          </cell>
        </row>
        <row r="107">
          <cell r="C107" t="str">
            <v>132-07</v>
          </cell>
          <cell r="D107">
            <v>1110000</v>
          </cell>
          <cell r="E107" t="str">
            <v>STARKS</v>
          </cell>
        </row>
        <row r="108">
          <cell r="C108" t="str">
            <v>162-07</v>
          </cell>
          <cell r="D108">
            <v>1090000</v>
          </cell>
          <cell r="E108" t="str">
            <v>SPECTOR</v>
          </cell>
        </row>
        <row r="109">
          <cell r="C109" t="str">
            <v>143-07</v>
          </cell>
          <cell r="D109">
            <v>1310000</v>
          </cell>
          <cell r="E109" t="str">
            <v>MALAVE</v>
          </cell>
        </row>
        <row r="110">
          <cell r="C110" t="str">
            <v>159-07</v>
          </cell>
          <cell r="D110">
            <v>1310000</v>
          </cell>
          <cell r="E110" t="str">
            <v>MALAVE</v>
          </cell>
        </row>
        <row r="111">
          <cell r="C111" t="str">
            <v>241-06</v>
          </cell>
          <cell r="D111">
            <v>1820000</v>
          </cell>
          <cell r="E111" t="str">
            <v>ADANE</v>
          </cell>
        </row>
        <row r="112">
          <cell r="C112" t="str">
            <v>813-07</v>
          </cell>
          <cell r="D112">
            <v>1460000</v>
          </cell>
          <cell r="E112" t="str">
            <v>NELSON</v>
          </cell>
        </row>
        <row r="113">
          <cell r="C113" t="str">
            <v>117-07</v>
          </cell>
          <cell r="D113">
            <v>1110000</v>
          </cell>
          <cell r="E113" t="str">
            <v>STARKS</v>
          </cell>
        </row>
        <row r="114">
          <cell r="C114" t="str">
            <v>135-07</v>
          </cell>
          <cell r="D114">
            <v>2030000</v>
          </cell>
          <cell r="E114" t="str">
            <v>KILLION</v>
          </cell>
        </row>
        <row r="115">
          <cell r="C115" t="str">
            <v>102-07</v>
          </cell>
          <cell r="D115">
            <v>1840000</v>
          </cell>
          <cell r="E115" t="str">
            <v>CANFIELD</v>
          </cell>
        </row>
        <row r="116">
          <cell r="C116" t="str">
            <v>PTC Test Train</v>
          </cell>
          <cell r="D116">
            <v>0</v>
          </cell>
          <cell r="E116" t="str">
            <v>Coats</v>
          </cell>
        </row>
        <row r="117">
          <cell r="C117" t="str">
            <v>105-07</v>
          </cell>
          <cell r="D117">
            <v>1830000</v>
          </cell>
          <cell r="E117" t="str">
            <v>YORK</v>
          </cell>
        </row>
        <row r="118">
          <cell r="C118" t="str">
            <v>242-06</v>
          </cell>
          <cell r="D118">
            <v>1820000</v>
          </cell>
          <cell r="E118" t="str">
            <v>ADANE</v>
          </cell>
        </row>
        <row r="119">
          <cell r="C119" t="str">
            <v>804-07</v>
          </cell>
          <cell r="D119">
            <v>1460000</v>
          </cell>
          <cell r="E119" t="str">
            <v>NELSON</v>
          </cell>
        </row>
        <row r="120">
          <cell r="C120" t="str">
            <v>239-06</v>
          </cell>
          <cell r="D120">
            <v>1990000</v>
          </cell>
          <cell r="E120" t="str">
            <v>DAVIS</v>
          </cell>
        </row>
        <row r="121">
          <cell r="C121" t="str">
            <v>134-07</v>
          </cell>
          <cell r="D121">
            <v>1830000</v>
          </cell>
          <cell r="E121" t="str">
            <v>YORK</v>
          </cell>
        </row>
        <row r="122">
          <cell r="C122" t="str">
            <v>234-06</v>
          </cell>
          <cell r="D122">
            <v>1820000</v>
          </cell>
          <cell r="E122" t="str">
            <v>ADANE</v>
          </cell>
        </row>
        <row r="123">
          <cell r="C123" t="str">
            <v>142-07</v>
          </cell>
          <cell r="D123">
            <v>1840000</v>
          </cell>
          <cell r="E123" t="str">
            <v>CANFIELD</v>
          </cell>
        </row>
        <row r="124">
          <cell r="C124" t="str">
            <v>218-06</v>
          </cell>
          <cell r="D124">
            <v>1820000</v>
          </cell>
          <cell r="E124" t="str">
            <v>ADANE</v>
          </cell>
        </row>
        <row r="125">
          <cell r="C125" t="str">
            <v>148-07</v>
          </cell>
          <cell r="D125">
            <v>1830000</v>
          </cell>
          <cell r="E125" t="str">
            <v>YORK</v>
          </cell>
        </row>
        <row r="126">
          <cell r="C126" t="str">
            <v>238-06</v>
          </cell>
          <cell r="D126">
            <v>1280000</v>
          </cell>
          <cell r="E126" t="str">
            <v>BARTLETT</v>
          </cell>
        </row>
        <row r="127">
          <cell r="C127" t="str">
            <v>146-07</v>
          </cell>
          <cell r="D127">
            <v>1110000</v>
          </cell>
          <cell r="E127" t="str">
            <v>STARKS</v>
          </cell>
        </row>
        <row r="128">
          <cell r="C128" t="str">
            <v>844-06</v>
          </cell>
          <cell r="D128">
            <v>1740000</v>
          </cell>
          <cell r="E128" t="str">
            <v>STORY</v>
          </cell>
        </row>
        <row r="129">
          <cell r="C129" t="str">
            <v>830-07</v>
          </cell>
          <cell r="D129">
            <v>1520000</v>
          </cell>
          <cell r="E129" t="str">
            <v>MAYBERRY</v>
          </cell>
        </row>
        <row r="130">
          <cell r="C130" t="str">
            <v>101-07</v>
          </cell>
          <cell r="D130">
            <v>1840000</v>
          </cell>
          <cell r="E130" t="str">
            <v>CANFIELD</v>
          </cell>
        </row>
        <row r="131">
          <cell r="C131" t="str">
            <v>836-07</v>
          </cell>
          <cell r="D131">
            <v>1780000</v>
          </cell>
          <cell r="E131" t="str">
            <v>DE LA ROSA</v>
          </cell>
        </row>
        <row r="132">
          <cell r="C132" t="str">
            <v>224-06</v>
          </cell>
          <cell r="D132">
            <v>1540000</v>
          </cell>
          <cell r="E132" t="str">
            <v>HELVIE</v>
          </cell>
        </row>
        <row r="133">
          <cell r="C133" t="str">
            <v>843-07</v>
          </cell>
          <cell r="D133">
            <v>1520000</v>
          </cell>
          <cell r="E133" t="str">
            <v>MAYBERRY</v>
          </cell>
        </row>
        <row r="134">
          <cell r="C134" t="str">
            <v>216-06</v>
          </cell>
          <cell r="D134">
            <v>1140000</v>
          </cell>
          <cell r="E134" t="str">
            <v>YOUNG</v>
          </cell>
        </row>
        <row r="135">
          <cell r="C135" t="str">
            <v>227-07</v>
          </cell>
          <cell r="D135">
            <v>1240000</v>
          </cell>
          <cell r="E135" t="str">
            <v>GRASTON</v>
          </cell>
        </row>
        <row r="136">
          <cell r="C136" t="str">
            <v>122-07</v>
          </cell>
          <cell r="D136">
            <v>2030000</v>
          </cell>
          <cell r="E136" t="str">
            <v>KILLION</v>
          </cell>
        </row>
        <row r="137">
          <cell r="C137" t="str">
            <v>240-07</v>
          </cell>
          <cell r="D137">
            <v>1990000</v>
          </cell>
          <cell r="E137" t="str">
            <v>DAVIS</v>
          </cell>
        </row>
        <row r="138">
          <cell r="C138" t="str">
            <v>120-07</v>
          </cell>
          <cell r="D138">
            <v>1830000</v>
          </cell>
          <cell r="E138" t="str">
            <v>YORK</v>
          </cell>
        </row>
        <row r="139">
          <cell r="C139" t="str">
            <v>104-08</v>
          </cell>
          <cell r="D139">
            <v>1480000</v>
          </cell>
          <cell r="E139" t="str">
            <v>STURGEON</v>
          </cell>
        </row>
        <row r="140">
          <cell r="C140" t="str">
            <v>111-07</v>
          </cell>
          <cell r="D140">
            <v>2040000</v>
          </cell>
          <cell r="E140" t="str">
            <v>MOSES</v>
          </cell>
        </row>
        <row r="141">
          <cell r="C141" t="str">
            <v>801-08</v>
          </cell>
          <cell r="D141">
            <v>1340000</v>
          </cell>
          <cell r="E141" t="str">
            <v>BEAM</v>
          </cell>
        </row>
        <row r="142">
          <cell r="C142" t="str">
            <v>901-07</v>
          </cell>
          <cell r="D142">
            <v>1340000</v>
          </cell>
          <cell r="E142" t="str">
            <v>BEAM</v>
          </cell>
        </row>
        <row r="143">
          <cell r="C143" t="str">
            <v>110-08</v>
          </cell>
          <cell r="D143">
            <v>1310000</v>
          </cell>
          <cell r="E143" t="str">
            <v>MALAVE</v>
          </cell>
        </row>
        <row r="144">
          <cell r="C144" t="str">
            <v>103-07</v>
          </cell>
          <cell r="D144">
            <v>1110000</v>
          </cell>
          <cell r="E144" t="str">
            <v>STARKS</v>
          </cell>
        </row>
        <row r="145">
          <cell r="C145" t="str">
            <v>817-07</v>
          </cell>
          <cell r="D145">
            <v>1460000</v>
          </cell>
          <cell r="E145" t="str">
            <v>NELSON</v>
          </cell>
        </row>
        <row r="146">
          <cell r="C146" t="str">
            <v>240-06</v>
          </cell>
          <cell r="D146">
            <v>1990000</v>
          </cell>
          <cell r="E146" t="str">
            <v>DAVIS</v>
          </cell>
        </row>
        <row r="147">
          <cell r="C147" t="str">
            <v>212-07</v>
          </cell>
          <cell r="D147">
            <v>1740000</v>
          </cell>
          <cell r="E147" t="str">
            <v>STORY</v>
          </cell>
        </row>
        <row r="148">
          <cell r="C148" t="str">
            <v>237-06</v>
          </cell>
          <cell r="D148">
            <v>1280000</v>
          </cell>
          <cell r="E148" t="str">
            <v>BARTLETT</v>
          </cell>
        </row>
        <row r="149">
          <cell r="C149" t="str">
            <v>154-07</v>
          </cell>
          <cell r="D149">
            <v>900000</v>
          </cell>
          <cell r="E149" t="str">
            <v>ROCHA</v>
          </cell>
        </row>
        <row r="150">
          <cell r="C150" t="str">
            <v>221-06</v>
          </cell>
          <cell r="D150">
            <v>1280000</v>
          </cell>
          <cell r="E150" t="str">
            <v>BARTLETT</v>
          </cell>
        </row>
        <row r="151">
          <cell r="C151" t="str">
            <v>163-07</v>
          </cell>
          <cell r="D151">
            <v>2000000</v>
          </cell>
          <cell r="E151" t="str">
            <v>STAMBAUGH</v>
          </cell>
        </row>
        <row r="152">
          <cell r="C152" t="str">
            <v>238-07</v>
          </cell>
          <cell r="D152">
            <v>2020000</v>
          </cell>
          <cell r="E152" t="str">
            <v>SHOOK</v>
          </cell>
        </row>
        <row r="153">
          <cell r="C153" t="str">
            <v>800-08</v>
          </cell>
          <cell r="D153">
            <v>1340000</v>
          </cell>
          <cell r="E153" t="str">
            <v>BEAM</v>
          </cell>
        </row>
        <row r="154">
          <cell r="C154" t="str">
            <v>847-07</v>
          </cell>
          <cell r="D154">
            <v>1520000</v>
          </cell>
          <cell r="E154" t="str">
            <v>MAYBERRY</v>
          </cell>
        </row>
        <row r="155">
          <cell r="C155" t="str">
            <v>117-08</v>
          </cell>
          <cell r="D155">
            <v>1480000</v>
          </cell>
          <cell r="E155" t="str">
            <v>STURGEON</v>
          </cell>
        </row>
        <row r="156">
          <cell r="C156" t="str">
            <v>216-07</v>
          </cell>
          <cell r="D156">
            <v>1280000</v>
          </cell>
          <cell r="E156" t="str">
            <v>BARTLETT</v>
          </cell>
        </row>
        <row r="157">
          <cell r="C157" t="str">
            <v>116-08</v>
          </cell>
          <cell r="D157">
            <v>2030000</v>
          </cell>
          <cell r="E157" t="str">
            <v>KILLION</v>
          </cell>
        </row>
        <row r="158">
          <cell r="C158" t="str">
            <v>210-07</v>
          </cell>
          <cell r="D158">
            <v>2020000</v>
          </cell>
          <cell r="E158" t="str">
            <v>SHOOK</v>
          </cell>
        </row>
        <row r="159">
          <cell r="C159" t="str">
            <v>183-07</v>
          </cell>
          <cell r="D159">
            <v>1340000</v>
          </cell>
          <cell r="E159" t="str">
            <v>BEAM</v>
          </cell>
        </row>
        <row r="160">
          <cell r="C160" t="str">
            <v>211-07</v>
          </cell>
          <cell r="D160">
            <v>1740000</v>
          </cell>
          <cell r="E160" t="str">
            <v>STORY</v>
          </cell>
        </row>
        <row r="161">
          <cell r="C161" t="str">
            <v>228-07</v>
          </cell>
          <cell r="D161">
            <v>1240000</v>
          </cell>
          <cell r="E161" t="str">
            <v>GRASTON</v>
          </cell>
        </row>
        <row r="162">
          <cell r="C162" t="str">
            <v>106-08</v>
          </cell>
          <cell r="D162">
            <v>1840000</v>
          </cell>
          <cell r="E162" t="str">
            <v>CANFIELD</v>
          </cell>
        </row>
        <row r="163">
          <cell r="C163" t="str">
            <v>236-07</v>
          </cell>
          <cell r="D163">
            <v>1240000</v>
          </cell>
          <cell r="E163" t="str">
            <v>GRASTON</v>
          </cell>
        </row>
        <row r="164">
          <cell r="C164" t="str">
            <v>103-08</v>
          </cell>
          <cell r="D164">
            <v>1480000</v>
          </cell>
          <cell r="E164" t="str">
            <v>STURGEON</v>
          </cell>
        </row>
        <row r="165">
          <cell r="C165" t="str">
            <v>243-07</v>
          </cell>
          <cell r="D165">
            <v>1240000</v>
          </cell>
          <cell r="E165" t="str">
            <v>GRASTON</v>
          </cell>
        </row>
        <row r="166">
          <cell r="C166" t="str">
            <v>233-07</v>
          </cell>
          <cell r="D166">
            <v>1820000</v>
          </cell>
          <cell r="E166" t="str">
            <v>ADANE</v>
          </cell>
        </row>
        <row r="167">
          <cell r="C167" t="str">
            <v>101-08</v>
          </cell>
          <cell r="D167">
            <v>1830000</v>
          </cell>
          <cell r="E167" t="str">
            <v>YORK</v>
          </cell>
        </row>
        <row r="168">
          <cell r="C168" t="str">
            <v>230-07</v>
          </cell>
          <cell r="D168">
            <v>2020000</v>
          </cell>
          <cell r="E168" t="str">
            <v>SHOOK</v>
          </cell>
        </row>
        <row r="169">
          <cell r="C169" t="str">
            <v>175-07</v>
          </cell>
          <cell r="D169">
            <v>1090000</v>
          </cell>
          <cell r="E169" t="str">
            <v>SPECTOR</v>
          </cell>
        </row>
        <row r="170">
          <cell r="C170" t="str">
            <v>845-07</v>
          </cell>
          <cell r="D170">
            <v>1520000</v>
          </cell>
          <cell r="E170" t="str">
            <v>MAYBERRY</v>
          </cell>
        </row>
        <row r="171">
          <cell r="C171" t="str">
            <v>832-07</v>
          </cell>
          <cell r="D171">
            <v>1780000</v>
          </cell>
          <cell r="E171" t="str">
            <v>DE LA ROSA</v>
          </cell>
        </row>
        <row r="172">
          <cell r="C172" t="str">
            <v>837-07</v>
          </cell>
          <cell r="D172">
            <v>1520000</v>
          </cell>
          <cell r="E172" t="str">
            <v>MAYBERRY</v>
          </cell>
        </row>
        <row r="173">
          <cell r="C173" t="str">
            <v>217-07</v>
          </cell>
          <cell r="D173">
            <v>1820000</v>
          </cell>
          <cell r="E173" t="str">
            <v>ADANE</v>
          </cell>
        </row>
        <row r="174">
          <cell r="C174" t="str">
            <v>113-08</v>
          </cell>
          <cell r="D174">
            <v>1830000</v>
          </cell>
          <cell r="E174" t="str">
            <v>YORK</v>
          </cell>
        </row>
        <row r="175">
          <cell r="C175" t="str">
            <v>232-07</v>
          </cell>
          <cell r="D175">
            <v>1990000</v>
          </cell>
          <cell r="E175" t="str">
            <v>DAVIS</v>
          </cell>
        </row>
        <row r="176">
          <cell r="C176" t="str">
            <v>231-07</v>
          </cell>
          <cell r="D176">
            <v>1990000</v>
          </cell>
          <cell r="E176" t="str">
            <v>DAVIS</v>
          </cell>
        </row>
        <row r="177">
          <cell r="C177" t="str">
            <v>803-08</v>
          </cell>
          <cell r="D177">
            <v>1460000</v>
          </cell>
          <cell r="E177" t="str">
            <v>NELSON</v>
          </cell>
        </row>
        <row r="178">
          <cell r="C178" t="str">
            <v>215-07</v>
          </cell>
          <cell r="D178">
            <v>1280000</v>
          </cell>
          <cell r="E178" t="str">
            <v>BARTLETT</v>
          </cell>
        </row>
        <row r="179">
          <cell r="C179" t="str">
            <v>822-07</v>
          </cell>
          <cell r="D179">
            <v>1460000</v>
          </cell>
          <cell r="E179" t="str">
            <v>NELSON</v>
          </cell>
        </row>
        <row r="180">
          <cell r="C180" t="str">
            <v>208-07</v>
          </cell>
          <cell r="D180">
            <v>1290000</v>
          </cell>
          <cell r="E180" t="str">
            <v>COOLAHAN</v>
          </cell>
        </row>
        <row r="181">
          <cell r="C181" t="str">
            <v>187-07</v>
          </cell>
          <cell r="D181">
            <v>1280000</v>
          </cell>
          <cell r="E181" t="str">
            <v>BARTLETT</v>
          </cell>
        </row>
        <row r="182">
          <cell r="C182" t="str">
            <v>835-07</v>
          </cell>
          <cell r="D182">
            <v>1780000</v>
          </cell>
          <cell r="E182" t="str">
            <v>DE LA ROSA</v>
          </cell>
        </row>
        <row r="183">
          <cell r="C183" t="str">
            <v>182-07</v>
          </cell>
          <cell r="D183">
            <v>900000</v>
          </cell>
          <cell r="E183" t="str">
            <v>ROCHA</v>
          </cell>
        </row>
        <row r="184">
          <cell r="C184" t="str">
            <v>108-08</v>
          </cell>
          <cell r="D184">
            <v>1110000</v>
          </cell>
          <cell r="E184" t="str">
            <v>STARKS</v>
          </cell>
        </row>
        <row r="185">
          <cell r="C185" t="str">
            <v>220-07</v>
          </cell>
          <cell r="D185">
            <v>1240000</v>
          </cell>
          <cell r="E185" t="str">
            <v>GRASTON</v>
          </cell>
        </row>
        <row r="186">
          <cell r="C186" t="str">
            <v>229-07</v>
          </cell>
          <cell r="D186">
            <v>2020000</v>
          </cell>
          <cell r="E186" t="str">
            <v>SHOOK</v>
          </cell>
        </row>
        <row r="187">
          <cell r="C187" t="str">
            <v>102-08</v>
          </cell>
          <cell r="D187">
            <v>1830000</v>
          </cell>
          <cell r="E187" t="str">
            <v>YORK</v>
          </cell>
        </row>
        <row r="188">
          <cell r="C188" t="str">
            <v>223-07</v>
          </cell>
          <cell r="D188">
            <v>1990000</v>
          </cell>
          <cell r="E188" t="str">
            <v>DAVIS</v>
          </cell>
        </row>
        <row r="189">
          <cell r="C189" t="str">
            <v>119-08</v>
          </cell>
          <cell r="D189">
            <v>1840000</v>
          </cell>
          <cell r="E189" t="str">
            <v>CANFIELD</v>
          </cell>
        </row>
        <row r="190">
          <cell r="C190" t="str">
            <v>838-07</v>
          </cell>
          <cell r="D190">
            <v>1520000</v>
          </cell>
          <cell r="E190" t="str">
            <v>MAYBERRY</v>
          </cell>
        </row>
        <row r="191">
          <cell r="C191" t="str">
            <v>804-08</v>
          </cell>
          <cell r="D191">
            <v>1460000</v>
          </cell>
          <cell r="E191" t="str">
            <v>NELSON</v>
          </cell>
        </row>
        <row r="192">
          <cell r="C192" t="str">
            <v>157-07</v>
          </cell>
          <cell r="D192">
            <v>880000</v>
          </cell>
          <cell r="E192" t="str">
            <v>STEWART</v>
          </cell>
        </row>
        <row r="193">
          <cell r="C193" t="str">
            <v>825-07</v>
          </cell>
          <cell r="D193">
            <v>1520000</v>
          </cell>
          <cell r="E193" t="str">
            <v>MAYBERRY</v>
          </cell>
        </row>
        <row r="194">
          <cell r="C194" t="str">
            <v>814-07</v>
          </cell>
          <cell r="D194">
            <v>1460000</v>
          </cell>
          <cell r="E194" t="str">
            <v>NELSON</v>
          </cell>
        </row>
        <row r="195">
          <cell r="C195" t="str">
            <v>226-07</v>
          </cell>
          <cell r="D195">
            <v>1820000</v>
          </cell>
          <cell r="E195" t="str">
            <v>ADANE</v>
          </cell>
        </row>
        <row r="196">
          <cell r="C196" t="str">
            <v>802-07</v>
          </cell>
          <cell r="D196">
            <v>1340000</v>
          </cell>
          <cell r="E196" t="str">
            <v>BEAM</v>
          </cell>
        </row>
        <row r="197">
          <cell r="C197" t="str">
            <v>845-06</v>
          </cell>
          <cell r="D197">
            <v>1740000</v>
          </cell>
          <cell r="E197" t="str">
            <v>STORY</v>
          </cell>
        </row>
        <row r="198">
          <cell r="C198" t="str">
            <v>113-07</v>
          </cell>
          <cell r="D198">
            <v>1840000</v>
          </cell>
          <cell r="E198" t="str">
            <v>CANFIELD</v>
          </cell>
        </row>
        <row r="199">
          <cell r="C199" t="str">
            <v>230-06</v>
          </cell>
          <cell r="D199">
            <v>1280000</v>
          </cell>
          <cell r="E199" t="str">
            <v>BARTLETT</v>
          </cell>
        </row>
        <row r="200">
          <cell r="C200" t="str">
            <v>104-07</v>
          </cell>
          <cell r="D200">
            <v>1110000</v>
          </cell>
          <cell r="E200" t="str">
            <v>STARKS</v>
          </cell>
        </row>
        <row r="201">
          <cell r="C201" t="str">
            <v>233-06</v>
          </cell>
          <cell r="D201">
            <v>1820000</v>
          </cell>
          <cell r="E201" t="str">
            <v>ADANE</v>
          </cell>
        </row>
        <row r="202">
          <cell r="C202" t="str">
            <v>172-07</v>
          </cell>
          <cell r="D202">
            <v>880000</v>
          </cell>
          <cell r="E202" t="str">
            <v>STEWART</v>
          </cell>
        </row>
        <row r="203">
          <cell r="C203" t="str">
            <v>847-06</v>
          </cell>
          <cell r="D203">
            <v>1740000</v>
          </cell>
          <cell r="E203" t="str">
            <v>STORY</v>
          </cell>
        </row>
        <row r="204">
          <cell r="C204" t="str">
            <v>820-07</v>
          </cell>
          <cell r="D204">
            <v>1460000</v>
          </cell>
          <cell r="E204" t="str">
            <v>NELSON</v>
          </cell>
        </row>
        <row r="205">
          <cell r="C205" t="str">
            <v>232-06</v>
          </cell>
          <cell r="D205">
            <v>1990000</v>
          </cell>
          <cell r="E205" t="str">
            <v>DAVIS</v>
          </cell>
        </row>
        <row r="206">
          <cell r="C206" t="str">
            <v>164-07</v>
          </cell>
          <cell r="D206">
            <v>2000000</v>
          </cell>
          <cell r="E206" t="str">
            <v>STAMBAUGH</v>
          </cell>
        </row>
        <row r="207">
          <cell r="C207" t="str">
            <v>908-06</v>
          </cell>
          <cell r="D207">
            <v>1740000</v>
          </cell>
          <cell r="E207" t="str">
            <v>STORY</v>
          </cell>
        </row>
        <row r="208">
          <cell r="C208" t="str">
            <v>131-07</v>
          </cell>
          <cell r="D208">
            <v>1110000</v>
          </cell>
          <cell r="E208" t="str">
            <v>STARKS</v>
          </cell>
        </row>
        <row r="209">
          <cell r="C209" t="str">
            <v>841-06</v>
          </cell>
          <cell r="D209">
            <v>1740000</v>
          </cell>
          <cell r="E209" t="str">
            <v>STORY</v>
          </cell>
        </row>
        <row r="210">
          <cell r="C210" t="str">
            <v>129-07</v>
          </cell>
          <cell r="D210">
            <v>1310000</v>
          </cell>
          <cell r="E210" t="str">
            <v>MALAVE</v>
          </cell>
        </row>
        <row r="211">
          <cell r="C211" t="str">
            <v>107-07</v>
          </cell>
          <cell r="D211">
            <v>2030000</v>
          </cell>
          <cell r="E211" t="str">
            <v>KILLION</v>
          </cell>
        </row>
        <row r="212">
          <cell r="C212" t="str">
            <v>807-07</v>
          </cell>
          <cell r="D212">
            <v>1460000</v>
          </cell>
          <cell r="E212" t="str">
            <v>NELSON</v>
          </cell>
        </row>
        <row r="213">
          <cell r="C213" t="str">
            <v>106-07</v>
          </cell>
          <cell r="D213">
            <v>1830000</v>
          </cell>
          <cell r="E213" t="str">
            <v>YORK</v>
          </cell>
        </row>
        <row r="214">
          <cell r="C214" t="str">
            <v>118-07</v>
          </cell>
          <cell r="D214">
            <v>1110000</v>
          </cell>
          <cell r="E214" t="str">
            <v>STARKS</v>
          </cell>
        </row>
        <row r="215">
          <cell r="C215" t="str">
            <v>114-07</v>
          </cell>
          <cell r="D215">
            <v>1840000</v>
          </cell>
          <cell r="E215" t="str">
            <v>CANFIELD</v>
          </cell>
        </row>
        <row r="216">
          <cell r="C216" t="str">
            <v>121-07</v>
          </cell>
          <cell r="D216">
            <v>2030000</v>
          </cell>
          <cell r="E216" t="str">
            <v>KILLION</v>
          </cell>
        </row>
        <row r="217">
          <cell r="C217" t="str">
            <v>127-07</v>
          </cell>
          <cell r="D217">
            <v>1840000</v>
          </cell>
          <cell r="E217" t="str">
            <v>CANFIELD</v>
          </cell>
        </row>
        <row r="218">
          <cell r="C218" t="str">
            <v>110-07</v>
          </cell>
          <cell r="D218">
            <v>2010000</v>
          </cell>
          <cell r="E218" t="str">
            <v>MAELZER</v>
          </cell>
        </row>
        <row r="219">
          <cell r="C219" t="str">
            <v>808-07</v>
          </cell>
          <cell r="D219">
            <v>1460000</v>
          </cell>
          <cell r="E219" t="str">
            <v>NELSON</v>
          </cell>
        </row>
        <row r="220">
          <cell r="C220" t="str">
            <v>225-06</v>
          </cell>
          <cell r="D220">
            <v>1820000</v>
          </cell>
          <cell r="E220" t="str">
            <v>ADANE</v>
          </cell>
        </row>
        <row r="221">
          <cell r="C221" t="str">
            <v>810-07</v>
          </cell>
          <cell r="D221">
            <v>1340000</v>
          </cell>
          <cell r="E221" t="str">
            <v>BEAM</v>
          </cell>
        </row>
        <row r="222">
          <cell r="C222" t="str">
            <v>221-06</v>
          </cell>
          <cell r="D222">
            <v>1280000</v>
          </cell>
          <cell r="E222" t="str">
            <v>BARTLETT</v>
          </cell>
        </row>
        <row r="223">
          <cell r="C223" t="str">
            <v>145-07</v>
          </cell>
          <cell r="D223">
            <v>1110000</v>
          </cell>
          <cell r="E223" t="str">
            <v>STARKS</v>
          </cell>
        </row>
        <row r="224">
          <cell r="C224" t="str">
            <v>174-07</v>
          </cell>
          <cell r="D224">
            <v>1280000</v>
          </cell>
          <cell r="E224" t="str">
            <v>BARTLETT</v>
          </cell>
        </row>
        <row r="225">
          <cell r="C225" t="str">
            <v>140-07</v>
          </cell>
          <cell r="D225">
            <v>2040000</v>
          </cell>
          <cell r="E225" t="str">
            <v>MOSES</v>
          </cell>
        </row>
        <row r="226">
          <cell r="C226" t="str">
            <v>173-07</v>
          </cell>
          <cell r="D226">
            <v>1280000</v>
          </cell>
          <cell r="E226" t="str">
            <v>BARTLETT</v>
          </cell>
        </row>
        <row r="227">
          <cell r="C227" t="str">
            <v>118-08</v>
          </cell>
          <cell r="D227">
            <v>1480000</v>
          </cell>
          <cell r="E227" t="str">
            <v>STURGEON</v>
          </cell>
        </row>
        <row r="228">
          <cell r="C228" t="str">
            <v>803-07</v>
          </cell>
          <cell r="D228">
            <v>1460000</v>
          </cell>
          <cell r="E228" t="str">
            <v>NELSON</v>
          </cell>
        </row>
        <row r="229">
          <cell r="C229" t="str">
            <v>151-07</v>
          </cell>
          <cell r="D229">
            <v>2010000</v>
          </cell>
          <cell r="E229" t="str">
            <v>MAELZER</v>
          </cell>
        </row>
        <row r="230">
          <cell r="C230" t="str">
            <v>106-07</v>
          </cell>
          <cell r="D230">
            <v>1830000</v>
          </cell>
          <cell r="E230" t="str">
            <v>YORK</v>
          </cell>
        </row>
        <row r="231">
          <cell r="C231" t="str">
            <v>144-07</v>
          </cell>
          <cell r="D231">
            <v>1310000</v>
          </cell>
          <cell r="E231" t="str">
            <v>MALAVE</v>
          </cell>
        </row>
        <row r="232">
          <cell r="C232" t="str">
            <v>228-06</v>
          </cell>
          <cell r="D232">
            <v>1240000</v>
          </cell>
          <cell r="E232" t="str">
            <v>GRASTON</v>
          </cell>
        </row>
        <row r="233">
          <cell r="C233" t="str">
            <v>169-07</v>
          </cell>
          <cell r="D233">
            <v>1340000</v>
          </cell>
          <cell r="E233" t="str">
            <v>BEAM</v>
          </cell>
        </row>
        <row r="234">
          <cell r="C234" t="str">
            <v>222-06</v>
          </cell>
          <cell r="D234">
            <v>1280000</v>
          </cell>
          <cell r="E234" t="str">
            <v>BARTLETT</v>
          </cell>
        </row>
        <row r="235">
          <cell r="C235" t="str">
            <v>185-07</v>
          </cell>
          <cell r="D235">
            <v>880000</v>
          </cell>
          <cell r="E235" t="str">
            <v>STEWART</v>
          </cell>
        </row>
        <row r="236">
          <cell r="C236" t="str">
            <v>198-07</v>
          </cell>
          <cell r="D236">
            <v>1740000</v>
          </cell>
          <cell r="E236" t="str">
            <v>STORY</v>
          </cell>
        </row>
        <row r="237">
          <cell r="C237" t="str">
            <v>823-07</v>
          </cell>
          <cell r="D237">
            <v>1520000</v>
          </cell>
          <cell r="E237" t="str">
            <v>MAYBERRY</v>
          </cell>
        </row>
        <row r="238">
          <cell r="C238" t="str">
            <v>190-07</v>
          </cell>
          <cell r="D238">
            <v>1090000</v>
          </cell>
          <cell r="E238" t="str">
            <v>SPECTOR</v>
          </cell>
        </row>
        <row r="239">
          <cell r="C239" t="str">
            <v>828-07</v>
          </cell>
          <cell r="D239">
            <v>1780000</v>
          </cell>
          <cell r="E239" t="str">
            <v>DE LA ROSA</v>
          </cell>
        </row>
        <row r="240">
          <cell r="C240" t="str">
            <v>124-07</v>
          </cell>
          <cell r="D240">
            <v>2010000</v>
          </cell>
          <cell r="E240" t="str">
            <v>MAELZER</v>
          </cell>
        </row>
        <row r="241">
          <cell r="C241" t="str">
            <v>115-08</v>
          </cell>
          <cell r="D241">
            <v>2030000</v>
          </cell>
          <cell r="E241" t="str">
            <v>KILLION</v>
          </cell>
        </row>
        <row r="242">
          <cell r="C242" t="str">
            <v>107-07</v>
          </cell>
          <cell r="D242">
            <v>2030000</v>
          </cell>
          <cell r="E242" t="str">
            <v>KILLION</v>
          </cell>
        </row>
        <row r="243">
          <cell r="C243" t="str">
            <v>114-08</v>
          </cell>
          <cell r="D243">
            <v>1830000</v>
          </cell>
          <cell r="E243" t="str">
            <v>YORK</v>
          </cell>
        </row>
        <row r="244">
          <cell r="C244" t="str">
            <v>826-07</v>
          </cell>
          <cell r="D244">
            <v>1520000</v>
          </cell>
          <cell r="E244" t="str">
            <v>MAYBERRY</v>
          </cell>
        </row>
        <row r="245">
          <cell r="C245" t="str">
            <v>123-08</v>
          </cell>
          <cell r="D245">
            <v>1310000</v>
          </cell>
          <cell r="E245" t="str">
            <v>MALAVE</v>
          </cell>
        </row>
        <row r="246">
          <cell r="C246" t="str">
            <v>170-07</v>
          </cell>
          <cell r="D246">
            <v>1340000</v>
          </cell>
          <cell r="E246" t="str">
            <v>BEAM</v>
          </cell>
        </row>
        <row r="247">
          <cell r="C247" t="str">
            <v>805-08</v>
          </cell>
          <cell r="D247">
            <v>1340000</v>
          </cell>
          <cell r="E247" t="str">
            <v>BEAM</v>
          </cell>
        </row>
        <row r="248">
          <cell r="C248" t="str">
            <v>227-06</v>
          </cell>
          <cell r="D248">
            <v>1240000</v>
          </cell>
          <cell r="E248" t="str">
            <v>GRASTON</v>
          </cell>
        </row>
        <row r="249">
          <cell r="C249" t="str">
            <v>904-07</v>
          </cell>
          <cell r="D249">
            <v>1780000</v>
          </cell>
          <cell r="E249" t="str">
            <v>DE LA ROSA</v>
          </cell>
        </row>
        <row r="250">
          <cell r="C250" t="str">
            <v>203-07</v>
          </cell>
          <cell r="D250">
            <v>1090000</v>
          </cell>
          <cell r="E250" t="str">
            <v>SPECTOR</v>
          </cell>
        </row>
        <row r="251">
          <cell r="C251" t="str">
            <v>819-07</v>
          </cell>
          <cell r="D251">
            <v>1460000</v>
          </cell>
          <cell r="E251" t="str">
            <v>NELSON</v>
          </cell>
        </row>
        <row r="252">
          <cell r="C252" t="str">
            <v>818-07</v>
          </cell>
          <cell r="D252">
            <v>1460000</v>
          </cell>
          <cell r="E252" t="str">
            <v>NELSON</v>
          </cell>
        </row>
        <row r="253">
          <cell r="C253" t="str">
            <v>241-07</v>
          </cell>
          <cell r="D253">
            <v>1820000</v>
          </cell>
          <cell r="E253" t="str">
            <v>ADANE</v>
          </cell>
        </row>
        <row r="254">
          <cell r="C254" t="str">
            <v>155-07</v>
          </cell>
          <cell r="D254">
            <v>2040000</v>
          </cell>
          <cell r="E254" t="str">
            <v>MOSES</v>
          </cell>
        </row>
        <row r="255">
          <cell r="C255" t="str">
            <v>827-07</v>
          </cell>
          <cell r="D255">
            <v>1780000</v>
          </cell>
          <cell r="E255" t="str">
            <v>DE LA ROSA</v>
          </cell>
        </row>
        <row r="256">
          <cell r="C256" t="str">
            <v>236-06</v>
          </cell>
          <cell r="D256">
            <v>1240000</v>
          </cell>
          <cell r="E256" t="str">
            <v>GRASTON</v>
          </cell>
        </row>
        <row r="257">
          <cell r="C257" t="str">
            <v>194-07</v>
          </cell>
          <cell r="D257">
            <v>1290000</v>
          </cell>
          <cell r="E257" t="str">
            <v>COOLAHAN</v>
          </cell>
        </row>
        <row r="258">
          <cell r="C258" t="str">
            <v>224-06</v>
          </cell>
          <cell r="D258">
            <v>1540000</v>
          </cell>
          <cell r="E258" t="str">
            <v>HELVIE</v>
          </cell>
        </row>
        <row r="259">
          <cell r="C259" t="str">
            <v>219-07</v>
          </cell>
          <cell r="D259">
            <v>1240000</v>
          </cell>
          <cell r="E259" t="str">
            <v>GRASTON</v>
          </cell>
        </row>
        <row r="260">
          <cell r="C260" t="str">
            <v>204-07</v>
          </cell>
          <cell r="D260">
            <v>1090000</v>
          </cell>
          <cell r="E260" t="str">
            <v>SPECTOR</v>
          </cell>
        </row>
        <row r="261">
          <cell r="C261" t="str">
            <v>816-07</v>
          </cell>
          <cell r="D261">
            <v>1460000</v>
          </cell>
          <cell r="E261" t="str">
            <v>NELSON</v>
          </cell>
        </row>
        <row r="262">
          <cell r="C262" t="str">
            <v>193-07</v>
          </cell>
          <cell r="D262">
            <v>1290000</v>
          </cell>
          <cell r="E262" t="str">
            <v>COOLAHAN</v>
          </cell>
        </row>
        <row r="263">
          <cell r="C263" t="str">
            <v>178-07</v>
          </cell>
          <cell r="D263">
            <v>2000000</v>
          </cell>
          <cell r="E263" t="str">
            <v>STAMBAUGH</v>
          </cell>
        </row>
        <row r="264">
          <cell r="C264" t="str">
            <v>181-07</v>
          </cell>
          <cell r="D264">
            <v>900000</v>
          </cell>
          <cell r="E264" t="str">
            <v>ROCHA</v>
          </cell>
        </row>
        <row r="265">
          <cell r="C265" t="str">
            <v>196-07</v>
          </cell>
          <cell r="D265">
            <v>900000</v>
          </cell>
          <cell r="E265" t="str">
            <v>ROCHA</v>
          </cell>
        </row>
        <row r="266">
          <cell r="C266" t="str">
            <v>160-07</v>
          </cell>
          <cell r="D266">
            <v>1310000</v>
          </cell>
          <cell r="E266" t="str">
            <v>MALAVE</v>
          </cell>
        </row>
        <row r="267">
          <cell r="C267" t="str">
            <v>213-07</v>
          </cell>
          <cell r="D267">
            <v>1990000</v>
          </cell>
          <cell r="E267" t="str">
            <v>DAVIS</v>
          </cell>
        </row>
        <row r="268">
          <cell r="C268" t="str">
            <v>158-07</v>
          </cell>
          <cell r="D268">
            <v>880000</v>
          </cell>
          <cell r="E268" t="str">
            <v>STEWART</v>
          </cell>
        </row>
        <row r="269">
          <cell r="C269" t="str">
            <v>109-08</v>
          </cell>
          <cell r="D269">
            <v>1310000</v>
          </cell>
          <cell r="E269" t="str">
            <v>MALAVE</v>
          </cell>
        </row>
        <row r="270">
          <cell r="C270" t="str">
            <v>811-07</v>
          </cell>
          <cell r="D270">
            <v>1460000</v>
          </cell>
          <cell r="E270" t="str">
            <v>NELSON</v>
          </cell>
        </row>
        <row r="271">
          <cell r="C271" t="str">
            <v>195-07</v>
          </cell>
          <cell r="D271">
            <v>900000</v>
          </cell>
          <cell r="E271" t="str">
            <v>ROCHA</v>
          </cell>
        </row>
        <row r="272">
          <cell r="C272" t="str">
            <v>119-07</v>
          </cell>
          <cell r="D272">
            <v>1830000</v>
          </cell>
          <cell r="E272" t="str">
            <v>YORK</v>
          </cell>
        </row>
        <row r="273">
          <cell r="C273" t="str">
            <v>214-07</v>
          </cell>
          <cell r="D273">
            <v>1990000</v>
          </cell>
          <cell r="E273" t="str">
            <v>DAVIS</v>
          </cell>
        </row>
        <row r="274">
          <cell r="C274" t="str">
            <v>102-07</v>
          </cell>
          <cell r="D274">
            <v>1840000</v>
          </cell>
          <cell r="E274" t="str">
            <v>CANFIELD</v>
          </cell>
        </row>
        <row r="275">
          <cell r="C275" t="str">
            <v>121-08</v>
          </cell>
          <cell r="D275">
            <v>1110000</v>
          </cell>
          <cell r="E275" t="str">
            <v>STARKS</v>
          </cell>
        </row>
        <row r="276">
          <cell r="C276" t="str">
            <v>842-06</v>
          </cell>
          <cell r="D276">
            <v>1740000</v>
          </cell>
          <cell r="E276" t="str">
            <v>STORY</v>
          </cell>
        </row>
        <row r="277">
          <cell r="C277" t="str">
            <v>120-08</v>
          </cell>
          <cell r="D277">
            <v>1840000</v>
          </cell>
          <cell r="E277" t="str">
            <v>CANFIELD</v>
          </cell>
        </row>
        <row r="278">
          <cell r="C278" t="str">
            <v>147-07</v>
          </cell>
          <cell r="D278">
            <v>1830000</v>
          </cell>
          <cell r="E278" t="str">
            <v>YORK</v>
          </cell>
        </row>
        <row r="279">
          <cell r="C279" t="str">
            <v>188-07</v>
          </cell>
          <cell r="D279">
            <v>1280000</v>
          </cell>
          <cell r="E279" t="str">
            <v>BARTLETT</v>
          </cell>
        </row>
        <row r="280">
          <cell r="C280" t="str">
            <v>109-07</v>
          </cell>
          <cell r="D280">
            <v>2010000</v>
          </cell>
          <cell r="E280" t="str">
            <v>MAELZER</v>
          </cell>
        </row>
        <row r="281">
          <cell r="C281" t="str">
            <v>908-07</v>
          </cell>
          <cell r="D281">
            <v>1520000</v>
          </cell>
          <cell r="E281" t="str">
            <v>MAYBERRY</v>
          </cell>
        </row>
        <row r="282">
          <cell r="C282" t="str">
            <v>115-07</v>
          </cell>
          <cell r="D282">
            <v>1310000</v>
          </cell>
          <cell r="E282" t="str">
            <v>MALAVE</v>
          </cell>
        </row>
        <row r="284">
          <cell r="C284" t="str">
            <v>845-06</v>
          </cell>
          <cell r="D284">
            <v>1740000</v>
          </cell>
          <cell r="E284" t="str">
            <v>STORY</v>
          </cell>
        </row>
        <row r="285">
          <cell r="C285" t="str">
            <v>238-05</v>
          </cell>
          <cell r="D285">
            <v>1820000</v>
          </cell>
          <cell r="E285" t="str">
            <v>ADANE</v>
          </cell>
        </row>
        <row r="286">
          <cell r="C286" t="str">
            <v>230-06</v>
          </cell>
          <cell r="D286">
            <v>1280000</v>
          </cell>
          <cell r="E286" t="str">
            <v>BARTLETT</v>
          </cell>
        </row>
        <row r="287">
          <cell r="C287" t="str">
            <v>244-05</v>
          </cell>
          <cell r="D287">
            <v>1240000</v>
          </cell>
          <cell r="E287" t="str">
            <v>GRASTON</v>
          </cell>
        </row>
        <row r="288">
          <cell r="C288" t="str">
            <v>233-06</v>
          </cell>
          <cell r="D288">
            <v>1820000</v>
          </cell>
          <cell r="E288" t="str">
            <v>ADANE</v>
          </cell>
        </row>
        <row r="289">
          <cell r="C289" t="str">
            <v>238-05</v>
          </cell>
          <cell r="D289">
            <v>1820000</v>
          </cell>
          <cell r="E289" t="str">
            <v>ADANE</v>
          </cell>
        </row>
        <row r="290">
          <cell r="C290" t="str">
            <v>847-06</v>
          </cell>
          <cell r="D290">
            <v>1740000</v>
          </cell>
          <cell r="E290" t="str">
            <v>STORY</v>
          </cell>
        </row>
        <row r="291">
          <cell r="C291" t="str">
            <v>812-06</v>
          </cell>
          <cell r="D291">
            <v>1520000</v>
          </cell>
          <cell r="E291" t="str">
            <v>MAYBERRY</v>
          </cell>
        </row>
        <row r="292">
          <cell r="C292" t="str">
            <v>107-07</v>
          </cell>
          <cell r="D292">
            <v>2030000</v>
          </cell>
          <cell r="E292" t="str">
            <v>KILLION</v>
          </cell>
        </row>
        <row r="293">
          <cell r="C293" t="str">
            <v>901-06</v>
          </cell>
          <cell r="D293">
            <v>1480000</v>
          </cell>
          <cell r="E293" t="str">
            <v>STURGEON</v>
          </cell>
        </row>
        <row r="294">
          <cell r="C294" t="str">
            <v>215-06</v>
          </cell>
          <cell r="D294">
            <v>1140000</v>
          </cell>
          <cell r="E294" t="str">
            <v>YOUNG</v>
          </cell>
        </row>
        <row r="295">
          <cell r="C295" t="str">
            <v>103-07</v>
          </cell>
          <cell r="D295">
            <v>1110000</v>
          </cell>
          <cell r="E295" t="str">
            <v>STARKS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229-23</v>
          </cell>
          <cell r="D81">
            <v>2000000</v>
          </cell>
          <cell r="E81" t="str">
            <v>STAMBAUGH</v>
          </cell>
        </row>
        <row r="82">
          <cell r="C82" t="str">
            <v>193-24</v>
          </cell>
          <cell r="D82">
            <v>2040000</v>
          </cell>
          <cell r="E82" t="str">
            <v>MOSES</v>
          </cell>
        </row>
        <row r="83">
          <cell r="C83" t="str">
            <v>199-24</v>
          </cell>
          <cell r="D83">
            <v>1230000</v>
          </cell>
          <cell r="E83" t="str">
            <v>YANAI</v>
          </cell>
        </row>
        <row r="84">
          <cell r="C84" t="str">
            <v>207-24</v>
          </cell>
          <cell r="D84">
            <v>2040000</v>
          </cell>
          <cell r="E84" t="str">
            <v>MOSES</v>
          </cell>
        </row>
        <row r="85">
          <cell r="C85" t="str">
            <v>183-24</v>
          </cell>
          <cell r="D85">
            <v>1520000</v>
          </cell>
          <cell r="E85" t="str">
            <v>MAYBERRY</v>
          </cell>
        </row>
        <row r="86">
          <cell r="C86" t="str">
            <v>211-24</v>
          </cell>
          <cell r="D86">
            <v>1140000</v>
          </cell>
          <cell r="E86" t="str">
            <v>YOUNG</v>
          </cell>
        </row>
        <row r="87">
          <cell r="C87" t="str">
            <v>1806-24</v>
          </cell>
          <cell r="D87">
            <v>1740000</v>
          </cell>
          <cell r="E87" t="str">
            <v>STORY</v>
          </cell>
        </row>
        <row r="88">
          <cell r="C88" t="str">
            <v>1808-24</v>
          </cell>
          <cell r="D88">
            <v>1820000</v>
          </cell>
          <cell r="E88" t="str">
            <v>ADANE</v>
          </cell>
        </row>
        <row r="89">
          <cell r="C89" t="str">
            <v>215-24</v>
          </cell>
          <cell r="D89">
            <v>1230000</v>
          </cell>
          <cell r="E89" t="str">
            <v>YANAI</v>
          </cell>
        </row>
        <row r="90">
          <cell r="C90" t="str">
            <v>1811-24</v>
          </cell>
          <cell r="D90">
            <v>1740000</v>
          </cell>
          <cell r="E90" t="str">
            <v>STORY</v>
          </cell>
        </row>
        <row r="91">
          <cell r="C91" t="str">
            <v>177-24</v>
          </cell>
          <cell r="D91">
            <v>1770000</v>
          </cell>
          <cell r="E91" t="str">
            <v>BRUDER</v>
          </cell>
        </row>
        <row r="92">
          <cell r="C92" t="str">
            <v>217-24</v>
          </cell>
          <cell r="D92">
            <v>1810000</v>
          </cell>
          <cell r="E92" t="str">
            <v>NEWELL</v>
          </cell>
        </row>
        <row r="93">
          <cell r="C93" t="str">
            <v>173-24</v>
          </cell>
          <cell r="D93">
            <v>880000</v>
          </cell>
          <cell r="E93" t="str">
            <v>STEWART</v>
          </cell>
        </row>
        <row r="94">
          <cell r="C94" t="str">
            <v>219-24</v>
          </cell>
          <cell r="D94">
            <v>1800000</v>
          </cell>
          <cell r="E94" t="str">
            <v>CHANDLER</v>
          </cell>
        </row>
        <row r="95">
          <cell r="C95" t="str">
            <v>162-24</v>
          </cell>
          <cell r="D95">
            <v>1280000</v>
          </cell>
          <cell r="E95" t="str">
            <v>BARTLETT</v>
          </cell>
        </row>
        <row r="96">
          <cell r="C96" t="str">
            <v>214-24</v>
          </cell>
          <cell r="D96">
            <v>1290000</v>
          </cell>
          <cell r="E96" t="str">
            <v>COOLAHAN</v>
          </cell>
        </row>
        <row r="97">
          <cell r="C97" t="str">
            <v>158-24</v>
          </cell>
          <cell r="D97">
            <v>1830000</v>
          </cell>
          <cell r="E97" t="str">
            <v>YORK</v>
          </cell>
        </row>
        <row r="98">
          <cell r="C98" t="str">
            <v>223-24</v>
          </cell>
          <cell r="D98">
            <v>1290000</v>
          </cell>
          <cell r="E98" t="str">
            <v>COOLAHAN</v>
          </cell>
        </row>
        <row r="99">
          <cell r="C99" t="str">
            <v>142-24</v>
          </cell>
          <cell r="D99">
            <v>1360000</v>
          </cell>
          <cell r="E99" t="str">
            <v>SANTIZO</v>
          </cell>
        </row>
        <row r="100">
          <cell r="C100" t="str">
            <v>1826-24</v>
          </cell>
          <cell r="D100">
            <v>1820000</v>
          </cell>
          <cell r="E100" t="str">
            <v>ADANE</v>
          </cell>
        </row>
        <row r="101">
          <cell r="C101" t="str">
            <v>141-24</v>
          </cell>
          <cell r="D101">
            <v>1360000</v>
          </cell>
          <cell r="E101" t="str">
            <v>SANTIZO</v>
          </cell>
        </row>
        <row r="102">
          <cell r="C102" t="str">
            <v>1835-24</v>
          </cell>
          <cell r="D102">
            <v>1740000</v>
          </cell>
          <cell r="E102" t="str">
            <v>STORY</v>
          </cell>
        </row>
        <row r="103">
          <cell r="C103" t="str">
            <v>126-24</v>
          </cell>
          <cell r="D103">
            <v>1780000</v>
          </cell>
          <cell r="E103" t="str">
            <v>DE LA ROSA</v>
          </cell>
        </row>
        <row r="104">
          <cell r="C104" t="str">
            <v>2010-24</v>
          </cell>
          <cell r="D104">
            <v>1740000</v>
          </cell>
          <cell r="E104" t="str">
            <v>STORY</v>
          </cell>
        </row>
        <row r="105">
          <cell r="C105" t="str">
            <v>112-24</v>
          </cell>
          <cell r="D105">
            <v>1780000</v>
          </cell>
          <cell r="E105" t="str">
            <v>DE LA ROSA</v>
          </cell>
        </row>
        <row r="106">
          <cell r="C106" t="str">
            <v>242-24</v>
          </cell>
          <cell r="D106">
            <v>1810000</v>
          </cell>
          <cell r="E106" t="str">
            <v>NEWELL</v>
          </cell>
        </row>
        <row r="107">
          <cell r="C107" t="str">
            <v>101-24</v>
          </cell>
          <cell r="D107">
            <v>1360000</v>
          </cell>
          <cell r="E107" t="str">
            <v>SANTIZO</v>
          </cell>
        </row>
        <row r="108">
          <cell r="C108" t="str">
            <v>113-25</v>
          </cell>
          <cell r="D108">
            <v>1480000</v>
          </cell>
          <cell r="E108" t="str">
            <v>STURGEON</v>
          </cell>
        </row>
        <row r="109">
          <cell r="C109" t="str">
            <v>238-23</v>
          </cell>
          <cell r="D109">
            <v>1480000</v>
          </cell>
          <cell r="E109" t="str">
            <v>STURGEON</v>
          </cell>
        </row>
        <row r="110">
          <cell r="C110" t="str">
            <v>168-24</v>
          </cell>
          <cell r="D110">
            <v>1140000</v>
          </cell>
          <cell r="E110" t="str">
            <v>YOUNG</v>
          </cell>
        </row>
        <row r="111">
          <cell r="C111" t="str">
            <v>230-23</v>
          </cell>
          <cell r="D111">
            <v>1480000</v>
          </cell>
          <cell r="E111" t="str">
            <v>STURGEON</v>
          </cell>
        </row>
        <row r="112">
          <cell r="C112" t="str">
            <v>179-24</v>
          </cell>
          <cell r="D112">
            <v>2040000</v>
          </cell>
          <cell r="E112" t="str">
            <v>MOSES</v>
          </cell>
        </row>
        <row r="113">
          <cell r="C113" t="str">
            <v>233-23</v>
          </cell>
          <cell r="D113">
            <v>1800000</v>
          </cell>
          <cell r="E113" t="str">
            <v>CHANDLER</v>
          </cell>
        </row>
        <row r="114">
          <cell r="C114" t="str">
            <v>184-24</v>
          </cell>
          <cell r="D114">
            <v>1520000</v>
          </cell>
          <cell r="E114" t="str">
            <v>MAYBERRY</v>
          </cell>
        </row>
        <row r="115">
          <cell r="C115" t="str">
            <v>143-24</v>
          </cell>
          <cell r="D115">
            <v>1830000</v>
          </cell>
          <cell r="E115" t="str">
            <v>YORK</v>
          </cell>
        </row>
        <row r="116">
          <cell r="C116" t="str">
            <v>186-24</v>
          </cell>
          <cell r="D116">
            <v>1230000</v>
          </cell>
          <cell r="E116" t="str">
            <v>YANAI</v>
          </cell>
        </row>
        <row r="117">
          <cell r="C117" t="str">
            <v>139-24</v>
          </cell>
          <cell r="D117">
            <v>1780000</v>
          </cell>
          <cell r="E117" t="str">
            <v>DE LA ROSA</v>
          </cell>
        </row>
        <row r="118">
          <cell r="C118" t="str">
            <v>1818-24</v>
          </cell>
          <cell r="D118">
            <v>1740000</v>
          </cell>
          <cell r="E118" t="str">
            <v>STORY</v>
          </cell>
        </row>
        <row r="119">
          <cell r="C119" t="str">
            <v>246-23</v>
          </cell>
          <cell r="D119">
            <v>1480000</v>
          </cell>
          <cell r="E119" t="str">
            <v>STURGEON</v>
          </cell>
        </row>
        <row r="120">
          <cell r="C120" t="str">
            <v>222-24</v>
          </cell>
          <cell r="D120">
            <v>2030000</v>
          </cell>
          <cell r="E120" t="str">
            <v>KILLION</v>
          </cell>
        </row>
        <row r="121">
          <cell r="C121" t="str">
            <v>242-23</v>
          </cell>
          <cell r="D121">
            <v>1810000</v>
          </cell>
          <cell r="E121" t="str">
            <v>NEWELL</v>
          </cell>
        </row>
        <row r="122">
          <cell r="C122" t="str">
            <v>1825-24</v>
          </cell>
          <cell r="D122">
            <v>1820000</v>
          </cell>
          <cell r="E122" t="str">
            <v>ADANE</v>
          </cell>
        </row>
        <row r="123">
          <cell r="C123" t="str">
            <v>1833-23</v>
          </cell>
          <cell r="D123">
            <v>1820000</v>
          </cell>
          <cell r="E123" t="str">
            <v>ADANE</v>
          </cell>
        </row>
        <row r="124">
          <cell r="C124" t="str">
            <v>233-24</v>
          </cell>
          <cell r="D124">
            <v>1810000</v>
          </cell>
          <cell r="E124" t="str">
            <v>NEWELL</v>
          </cell>
        </row>
        <row r="125">
          <cell r="C125" t="str">
            <v>229-23</v>
          </cell>
          <cell r="D125">
            <v>2000000</v>
          </cell>
          <cell r="E125" t="str">
            <v>STAMBAUGH</v>
          </cell>
        </row>
        <row r="126">
          <cell r="C126" t="str">
            <v>900-25</v>
          </cell>
          <cell r="D126">
            <v>890000</v>
          </cell>
          <cell r="E126" t="str">
            <v>LOZA</v>
          </cell>
        </row>
        <row r="127">
          <cell r="C127" t="str">
            <v>164-24</v>
          </cell>
          <cell r="D127">
            <v>1770000</v>
          </cell>
          <cell r="E127" t="str">
            <v>BRUDER</v>
          </cell>
        </row>
        <row r="128">
          <cell r="C128" t="str">
            <v>106-25</v>
          </cell>
          <cell r="D128">
            <v>1190000</v>
          </cell>
          <cell r="E128" t="str">
            <v>BRANNON</v>
          </cell>
        </row>
        <row r="129">
          <cell r="C129" t="str">
            <v>160-24</v>
          </cell>
          <cell r="D129">
            <v>880000</v>
          </cell>
          <cell r="E129" t="str">
            <v>STEWART</v>
          </cell>
        </row>
        <row r="130">
          <cell r="C130" t="str">
            <v>117-25</v>
          </cell>
          <cell r="D130">
            <v>1260000</v>
          </cell>
          <cell r="E130" t="str">
            <v>ACKERMAN</v>
          </cell>
        </row>
        <row r="131">
          <cell r="C131" t="str">
            <v>158-24</v>
          </cell>
          <cell r="D131">
            <v>1830000</v>
          </cell>
          <cell r="E131" t="str">
            <v>YORK</v>
          </cell>
        </row>
        <row r="132">
          <cell r="C132" t="str">
            <v>114-25</v>
          </cell>
          <cell r="D132">
            <v>1480000</v>
          </cell>
          <cell r="E132" t="str">
            <v>STURGEON</v>
          </cell>
        </row>
        <row r="133">
          <cell r="C133" t="str">
            <v>161-24</v>
          </cell>
          <cell r="D133">
            <v>1280000</v>
          </cell>
          <cell r="E133" t="str">
            <v>BARTLETT</v>
          </cell>
        </row>
        <row r="134">
          <cell r="C134" t="str">
            <v>900-25</v>
          </cell>
          <cell r="D134">
            <v>890000</v>
          </cell>
          <cell r="E134" t="str">
            <v>LOZA</v>
          </cell>
        </row>
        <row r="135">
          <cell r="C135" t="str">
            <v>159-24</v>
          </cell>
          <cell r="D135">
            <v>880000</v>
          </cell>
          <cell r="E135" t="str">
            <v>STEWART</v>
          </cell>
        </row>
        <row r="136">
          <cell r="C136" t="str">
            <v>223-23</v>
          </cell>
          <cell r="D136">
            <v>1300000</v>
          </cell>
          <cell r="E136" t="str">
            <v>LEVIN</v>
          </cell>
        </row>
        <row r="137">
          <cell r="C137" t="str">
            <v>116-24</v>
          </cell>
          <cell r="D137">
            <v>1830000</v>
          </cell>
          <cell r="E137" t="str">
            <v>YORK</v>
          </cell>
        </row>
        <row r="138">
          <cell r="C138" t="str">
            <v>244-23</v>
          </cell>
          <cell r="D138">
            <v>1300000</v>
          </cell>
          <cell r="E138" t="str">
            <v>LEVIN</v>
          </cell>
        </row>
        <row r="139">
          <cell r="C139" t="str">
            <v>113-24</v>
          </cell>
          <cell r="D139">
            <v>1360000</v>
          </cell>
          <cell r="E139" t="str">
            <v>SANTIZO</v>
          </cell>
        </row>
        <row r="140">
          <cell r="C140" t="str">
            <v>109-24</v>
          </cell>
          <cell r="D140">
            <v>1310000</v>
          </cell>
          <cell r="E140" t="str">
            <v>MALAVE</v>
          </cell>
        </row>
        <row r="141">
          <cell r="C141" t="str">
            <v>225-23</v>
          </cell>
          <cell r="D141">
            <v>1810000</v>
          </cell>
          <cell r="E141" t="str">
            <v>NEWELL</v>
          </cell>
        </row>
        <row r="142">
          <cell r="C142" t="str">
            <v>123-24</v>
          </cell>
          <cell r="D142">
            <v>1310000</v>
          </cell>
          <cell r="E142" t="str">
            <v>MALAVE</v>
          </cell>
        </row>
        <row r="143">
          <cell r="C143" t="str">
            <v>129-25</v>
          </cell>
          <cell r="D143">
            <v>1310000</v>
          </cell>
          <cell r="E143" t="str">
            <v>MALAVE</v>
          </cell>
        </row>
        <row r="144">
          <cell r="C144" t="str">
            <v>118-24</v>
          </cell>
          <cell r="D144">
            <v>1260000</v>
          </cell>
          <cell r="E144" t="str">
            <v>ACKERMAN</v>
          </cell>
        </row>
        <row r="145">
          <cell r="C145" t="str">
            <v>127-25</v>
          </cell>
          <cell r="D145">
            <v>1480000</v>
          </cell>
          <cell r="E145" t="str">
            <v>STURGEON</v>
          </cell>
        </row>
        <row r="146">
          <cell r="C146" t="str">
            <v>120-24</v>
          </cell>
          <cell r="D146">
            <v>2010000</v>
          </cell>
          <cell r="E146" t="str">
            <v>MAELZER</v>
          </cell>
        </row>
        <row r="147">
          <cell r="C147" t="str">
            <v>125-25</v>
          </cell>
          <cell r="D147">
            <v>1110000</v>
          </cell>
          <cell r="E147" t="str">
            <v>STARKS</v>
          </cell>
        </row>
        <row r="148">
          <cell r="C148" t="str">
            <v>134-24</v>
          </cell>
          <cell r="D148">
            <v>2010000</v>
          </cell>
          <cell r="E148" t="str">
            <v>MAELZER</v>
          </cell>
        </row>
        <row r="149">
          <cell r="C149" t="str">
            <v>108-25</v>
          </cell>
          <cell r="D149">
            <v>1090000</v>
          </cell>
          <cell r="E149" t="str">
            <v>SPECTOR</v>
          </cell>
        </row>
        <row r="150">
          <cell r="C150" t="str">
            <v>145-24</v>
          </cell>
          <cell r="D150">
            <v>1260000</v>
          </cell>
          <cell r="E150" t="str">
            <v>ACKERMAN</v>
          </cell>
        </row>
        <row r="151">
          <cell r="C151" t="str">
            <v>238-24</v>
          </cell>
          <cell r="D151">
            <v>2030000</v>
          </cell>
          <cell r="E151" t="str">
            <v>KILLION</v>
          </cell>
        </row>
        <row r="152">
          <cell r="C152" t="str">
            <v>157-24</v>
          </cell>
          <cell r="D152">
            <v>1830000</v>
          </cell>
          <cell r="E152" t="str">
            <v>YORK</v>
          </cell>
        </row>
        <row r="153">
          <cell r="C153" t="str">
            <v>239-24</v>
          </cell>
          <cell r="D153">
            <v>1290000</v>
          </cell>
          <cell r="E153" t="str">
            <v>COOLAHAN</v>
          </cell>
        </row>
        <row r="154">
          <cell r="C154" t="str">
            <v>163-24</v>
          </cell>
          <cell r="D154">
            <v>1770000</v>
          </cell>
          <cell r="E154" t="str">
            <v>BRUDER</v>
          </cell>
        </row>
        <row r="155">
          <cell r="C155" t="str">
            <v>237-24</v>
          </cell>
          <cell r="D155">
            <v>2030000</v>
          </cell>
          <cell r="E155" t="str">
            <v>KILLION</v>
          </cell>
        </row>
        <row r="156">
          <cell r="C156" t="str">
            <v>235-23</v>
          </cell>
          <cell r="D156">
            <v>1810000</v>
          </cell>
          <cell r="E156" t="str">
            <v>NEWELL</v>
          </cell>
        </row>
        <row r="157">
          <cell r="C157" t="str">
            <v>235-24</v>
          </cell>
          <cell r="D157">
            <v>1800000</v>
          </cell>
          <cell r="E157" t="str">
            <v>CHANDLER</v>
          </cell>
        </row>
        <row r="158">
          <cell r="C158" t="str">
            <v>235-23</v>
          </cell>
          <cell r="D158">
            <v>1810000</v>
          </cell>
          <cell r="E158" t="str">
            <v>NEWELL</v>
          </cell>
        </row>
        <row r="159">
          <cell r="C159" t="str">
            <v>228-24</v>
          </cell>
          <cell r="D159">
            <v>1800000</v>
          </cell>
          <cell r="E159" t="str">
            <v>CHANDLER</v>
          </cell>
        </row>
        <row r="160">
          <cell r="C160" t="str">
            <v>240-23</v>
          </cell>
          <cell r="D160">
            <v>1800000</v>
          </cell>
          <cell r="E160" t="str">
            <v>CHANDLER</v>
          </cell>
        </row>
        <row r="161">
          <cell r="C161" t="str">
            <v>227-24</v>
          </cell>
          <cell r="D161">
            <v>1800000</v>
          </cell>
          <cell r="E161" t="str">
            <v>CHANDLER</v>
          </cell>
        </row>
        <row r="162">
          <cell r="C162" t="str">
            <v>104-24</v>
          </cell>
          <cell r="D162">
            <v>1260000</v>
          </cell>
          <cell r="E162" t="str">
            <v>ACKERMAN</v>
          </cell>
        </row>
        <row r="163">
          <cell r="C163" t="str">
            <v>1824-24</v>
          </cell>
          <cell r="D163">
            <v>1740000</v>
          </cell>
          <cell r="E163" t="str">
            <v>STORY</v>
          </cell>
        </row>
        <row r="164">
          <cell r="C164" t="str">
            <v>127-24</v>
          </cell>
          <cell r="D164">
            <v>1360000</v>
          </cell>
          <cell r="E164" t="str">
            <v>SANTIZO</v>
          </cell>
        </row>
        <row r="165">
          <cell r="C165" t="str">
            <v>221-24</v>
          </cell>
          <cell r="D165">
            <v>2030000</v>
          </cell>
          <cell r="E165" t="str">
            <v>KILLION</v>
          </cell>
        </row>
        <row r="166">
          <cell r="C166" t="str">
            <v>132-24</v>
          </cell>
          <cell r="D166">
            <v>1260000</v>
          </cell>
          <cell r="E166" t="str">
            <v>ACKERMAN</v>
          </cell>
        </row>
        <row r="167">
          <cell r="C167" t="str">
            <v>1806-24</v>
          </cell>
          <cell r="D167">
            <v>1740000</v>
          </cell>
          <cell r="E167" t="str">
            <v>STORY</v>
          </cell>
        </row>
        <row r="168">
          <cell r="C168" t="str">
            <v>224-23</v>
          </cell>
          <cell r="D168">
            <v>1800000</v>
          </cell>
          <cell r="E168" t="str">
            <v>CHANDLER</v>
          </cell>
        </row>
        <row r="169">
          <cell r="C169" t="str">
            <v>1801-24</v>
          </cell>
          <cell r="D169">
            <v>1820000</v>
          </cell>
          <cell r="E169" t="str">
            <v>ADANE</v>
          </cell>
        </row>
        <row r="170">
          <cell r="C170" t="str">
            <v>103-24</v>
          </cell>
          <cell r="D170">
            <v>1260000</v>
          </cell>
          <cell r="E170" t="str">
            <v>ACKERMAN</v>
          </cell>
        </row>
        <row r="171">
          <cell r="C171" t="str">
            <v>178-24</v>
          </cell>
          <cell r="D171">
            <v>1770000</v>
          </cell>
          <cell r="E171" t="str">
            <v>BRUDER</v>
          </cell>
        </row>
        <row r="172">
          <cell r="C172" t="str">
            <v>107-24</v>
          </cell>
          <cell r="D172">
            <v>1100000</v>
          </cell>
          <cell r="E172" t="str">
            <v>GEBRETEKLE</v>
          </cell>
        </row>
        <row r="173">
          <cell r="C173" t="str">
            <v>176-24</v>
          </cell>
          <cell r="D173">
            <v>1280000</v>
          </cell>
          <cell r="E173" t="str">
            <v>BARTLETT</v>
          </cell>
        </row>
        <row r="174">
          <cell r="C174" t="str">
            <v>115-24</v>
          </cell>
          <cell r="D174">
            <v>1830000</v>
          </cell>
          <cell r="E174" t="str">
            <v>YORK</v>
          </cell>
        </row>
        <row r="175">
          <cell r="C175" t="str">
            <v>181-24</v>
          </cell>
          <cell r="D175">
            <v>1140000</v>
          </cell>
          <cell r="E175" t="str">
            <v>YOUNG</v>
          </cell>
        </row>
        <row r="176">
          <cell r="C176" t="str">
            <v>153-24</v>
          </cell>
          <cell r="D176">
            <v>1780000</v>
          </cell>
          <cell r="E176" t="str">
            <v>DE LA ROSA</v>
          </cell>
        </row>
        <row r="177">
          <cell r="C177" t="str">
            <v>166-24</v>
          </cell>
          <cell r="D177">
            <v>2040000</v>
          </cell>
          <cell r="E177" t="str">
            <v>MOSES</v>
          </cell>
        </row>
        <row r="178">
          <cell r="C178" t="str">
            <v>170-24</v>
          </cell>
          <cell r="D178">
            <v>1520000</v>
          </cell>
          <cell r="E178" t="str">
            <v>MAYBERRY</v>
          </cell>
        </row>
        <row r="179">
          <cell r="C179" t="str">
            <v>158-24</v>
          </cell>
          <cell r="D179">
            <v>1830000</v>
          </cell>
          <cell r="E179" t="str">
            <v>YORK</v>
          </cell>
        </row>
        <row r="180">
          <cell r="C180" t="str">
            <v>174-24</v>
          </cell>
          <cell r="D180">
            <v>880000</v>
          </cell>
          <cell r="E180" t="str">
            <v>STEWART</v>
          </cell>
        </row>
        <row r="181">
          <cell r="C181" t="str">
            <v>165-24</v>
          </cell>
          <cell r="D181">
            <v>2040000</v>
          </cell>
          <cell r="E181" t="str">
            <v>MOSES</v>
          </cell>
        </row>
        <row r="182">
          <cell r="C182" t="str">
            <v>187-24</v>
          </cell>
          <cell r="D182">
            <v>880000</v>
          </cell>
          <cell r="E182" t="str">
            <v>STEWART</v>
          </cell>
        </row>
        <row r="183">
          <cell r="C183" t="str">
            <v>158-24</v>
          </cell>
          <cell r="D183">
            <v>1830000</v>
          </cell>
          <cell r="E183" t="str">
            <v>YORK</v>
          </cell>
        </row>
        <row r="184">
          <cell r="C184" t="str">
            <v>192-24</v>
          </cell>
          <cell r="D184">
            <v>1770000</v>
          </cell>
          <cell r="E184" t="str">
            <v>BRUDER</v>
          </cell>
        </row>
        <row r="185">
          <cell r="C185" t="str">
            <v>2008-24</v>
          </cell>
          <cell r="D185">
            <v>1750000</v>
          </cell>
          <cell r="E185" t="str">
            <v>REBOLETTI</v>
          </cell>
        </row>
        <row r="186">
          <cell r="C186" t="str">
            <v>198-24</v>
          </cell>
          <cell r="D186">
            <v>1520000</v>
          </cell>
          <cell r="E186" t="str">
            <v>MAYBERRY</v>
          </cell>
        </row>
        <row r="187">
          <cell r="C187" t="str">
            <v>230-24</v>
          </cell>
          <cell r="D187">
            <v>2030000</v>
          </cell>
          <cell r="E187" t="str">
            <v>KILLION</v>
          </cell>
        </row>
        <row r="188">
          <cell r="C188" t="str">
            <v>1805-24</v>
          </cell>
          <cell r="D188">
            <v>1740000</v>
          </cell>
          <cell r="E188" t="str">
            <v>STORY</v>
          </cell>
        </row>
        <row r="189">
          <cell r="C189" t="str">
            <v>1830-24</v>
          </cell>
          <cell r="D189">
            <v>1740000</v>
          </cell>
          <cell r="E189" t="str">
            <v>STORY</v>
          </cell>
        </row>
        <row r="190">
          <cell r="C190" t="str">
            <v>210-24</v>
          </cell>
          <cell r="D190">
            <v>2030000</v>
          </cell>
          <cell r="E190" t="str">
            <v>KILLION</v>
          </cell>
        </row>
        <row r="191">
          <cell r="C191" t="str">
            <v>1829-24</v>
          </cell>
          <cell r="D191">
            <v>1740000</v>
          </cell>
          <cell r="E191" t="str">
            <v>STORY</v>
          </cell>
        </row>
        <row r="192">
          <cell r="C192" t="str">
            <v>229-24</v>
          </cell>
          <cell r="D192">
            <v>2030000</v>
          </cell>
          <cell r="E192" t="str">
            <v>KILLION</v>
          </cell>
        </row>
        <row r="193">
          <cell r="C193" t="str">
            <v>1819-24</v>
          </cell>
          <cell r="D193">
            <v>1820000</v>
          </cell>
          <cell r="E193" t="str">
            <v>ADANE</v>
          </cell>
        </row>
        <row r="194">
          <cell r="C194" t="str">
            <v>1831-24</v>
          </cell>
          <cell r="D194">
            <v>1820000</v>
          </cell>
          <cell r="E194" t="str">
            <v>ADANE</v>
          </cell>
        </row>
        <row r="195">
          <cell r="C195" t="str">
            <v>218-24</v>
          </cell>
          <cell r="D195">
            <v>1810000</v>
          </cell>
          <cell r="E195" t="str">
            <v>NEWELL</v>
          </cell>
        </row>
        <row r="196">
          <cell r="C196" t="str">
            <v>234-24</v>
          </cell>
          <cell r="D196">
            <v>1810000</v>
          </cell>
          <cell r="E196" t="str">
            <v>NEWELL</v>
          </cell>
        </row>
        <row r="197">
          <cell r="C197" t="str">
            <v>1814-24</v>
          </cell>
          <cell r="D197">
            <v>1820000</v>
          </cell>
          <cell r="E197" t="str">
            <v>ADANE</v>
          </cell>
        </row>
        <row r="198">
          <cell r="C198" t="str">
            <v>240-24</v>
          </cell>
          <cell r="D198">
            <v>1290000</v>
          </cell>
          <cell r="E198" t="str">
            <v>COOLAHAN</v>
          </cell>
        </row>
        <row r="199">
          <cell r="C199" t="str">
            <v>216-24</v>
          </cell>
          <cell r="D199">
            <v>1230000</v>
          </cell>
          <cell r="E199" t="str">
            <v>YANAI</v>
          </cell>
        </row>
        <row r="200">
          <cell r="C200" t="str">
            <v>166-24</v>
          </cell>
          <cell r="D200">
            <v>2040000</v>
          </cell>
          <cell r="E200" t="str">
            <v>MOSES</v>
          </cell>
        </row>
        <row r="201">
          <cell r="C201" t="str">
            <v>205-24</v>
          </cell>
          <cell r="D201">
            <v>1770000</v>
          </cell>
          <cell r="E201" t="str">
            <v>BRUDER</v>
          </cell>
        </row>
        <row r="202">
          <cell r="C202" t="str">
            <v>225-24</v>
          </cell>
          <cell r="D202">
            <v>1810000</v>
          </cell>
          <cell r="E202" t="str">
            <v>NEWELL</v>
          </cell>
        </row>
        <row r="203">
          <cell r="C203" t="str">
            <v>197-24</v>
          </cell>
          <cell r="D203">
            <v>1520000</v>
          </cell>
          <cell r="E203" t="str">
            <v>MAYBERRY</v>
          </cell>
        </row>
        <row r="204">
          <cell r="C204" t="str">
            <v>1822-24</v>
          </cell>
          <cell r="D204">
            <v>1540000</v>
          </cell>
          <cell r="E204" t="str">
            <v>HELVIE</v>
          </cell>
        </row>
        <row r="205">
          <cell r="C205" t="str">
            <v>182-24</v>
          </cell>
          <cell r="D205">
            <v>1140000</v>
          </cell>
          <cell r="E205" t="str">
            <v>YOUNG</v>
          </cell>
        </row>
        <row r="206">
          <cell r="C206" t="str">
            <v>1827-24</v>
          </cell>
          <cell r="D206">
            <v>1750000</v>
          </cell>
          <cell r="E206" t="str">
            <v>REBOLETTI</v>
          </cell>
        </row>
        <row r="207">
          <cell r="C207" t="str">
            <v>154-24</v>
          </cell>
          <cell r="D207">
            <v>1780000</v>
          </cell>
          <cell r="E207" t="str">
            <v>DE LA ROSA</v>
          </cell>
        </row>
        <row r="208">
          <cell r="C208" t="str">
            <v>231-24</v>
          </cell>
          <cell r="D208">
            <v>1290000</v>
          </cell>
          <cell r="E208" t="str">
            <v>COOLAHAN</v>
          </cell>
        </row>
        <row r="209">
          <cell r="C209" t="str">
            <v>152-24</v>
          </cell>
          <cell r="D209">
            <v>1310000</v>
          </cell>
          <cell r="E209" t="str">
            <v>MALAVE</v>
          </cell>
        </row>
        <row r="210">
          <cell r="C210" t="str">
            <v>232-24</v>
          </cell>
          <cell r="D210">
            <v>1290000</v>
          </cell>
          <cell r="E210" t="str">
            <v>COOLAHAN</v>
          </cell>
        </row>
        <row r="211">
          <cell r="C211" t="str">
            <v>148-24</v>
          </cell>
          <cell r="D211">
            <v>2010000</v>
          </cell>
          <cell r="E211" t="str">
            <v>MAELZER</v>
          </cell>
        </row>
        <row r="212">
          <cell r="C212" t="str">
            <v>236-24</v>
          </cell>
          <cell r="D212">
            <v>1800000</v>
          </cell>
          <cell r="E212" t="str">
            <v>CHANDLER</v>
          </cell>
        </row>
        <row r="213">
          <cell r="C213" t="str">
            <v>135-24</v>
          </cell>
          <cell r="D213">
            <v>1100000</v>
          </cell>
          <cell r="E213" t="str">
            <v>GEBRETEKLE</v>
          </cell>
        </row>
        <row r="214">
          <cell r="C214" t="str">
            <v>109-25</v>
          </cell>
          <cell r="D214">
            <v>1830000</v>
          </cell>
          <cell r="E214" t="str">
            <v>YORK</v>
          </cell>
        </row>
        <row r="215">
          <cell r="C215" t="str">
            <v>129-24</v>
          </cell>
          <cell r="D215">
            <v>1830000</v>
          </cell>
          <cell r="E215" t="str">
            <v>YORK</v>
          </cell>
        </row>
        <row r="216">
          <cell r="C216" t="str">
            <v>900-25</v>
          </cell>
          <cell r="D216">
            <v>890000</v>
          </cell>
          <cell r="E216" t="str">
            <v>LOZA</v>
          </cell>
        </row>
        <row r="217">
          <cell r="C217" t="str">
            <v>121-24</v>
          </cell>
          <cell r="D217">
            <v>1100000</v>
          </cell>
          <cell r="E217" t="str">
            <v>GEBRETEKLE</v>
          </cell>
        </row>
        <row r="218">
          <cell r="C218" t="str">
            <v>114-25</v>
          </cell>
          <cell r="D218">
            <v>1480000</v>
          </cell>
          <cell r="E218" t="str">
            <v>STURGEON</v>
          </cell>
        </row>
        <row r="219">
          <cell r="C219" t="str">
            <v>112-24</v>
          </cell>
          <cell r="D219">
            <v>1780000</v>
          </cell>
          <cell r="E219" t="str">
            <v>DE LA ROSA</v>
          </cell>
        </row>
        <row r="220">
          <cell r="C220" t="str">
            <v>116-25</v>
          </cell>
          <cell r="D220">
            <v>1310000</v>
          </cell>
          <cell r="E220" t="str">
            <v>MALAVE</v>
          </cell>
        </row>
        <row r="221">
          <cell r="C221" t="str">
            <v>106-24</v>
          </cell>
          <cell r="D221">
            <v>2010000</v>
          </cell>
          <cell r="E221" t="str">
            <v>MAELZER</v>
          </cell>
        </row>
        <row r="222">
          <cell r="C222" t="str">
            <v>120-25</v>
          </cell>
          <cell r="D222">
            <v>1240000</v>
          </cell>
          <cell r="E222" t="str">
            <v>GRASTON</v>
          </cell>
        </row>
        <row r="223">
          <cell r="C223" t="str">
            <v>105-24</v>
          </cell>
          <cell r="D223">
            <v>2010000</v>
          </cell>
          <cell r="E223" t="str">
            <v>MAELZER</v>
          </cell>
        </row>
        <row r="224">
          <cell r="C224" t="str">
            <v>122-25</v>
          </cell>
          <cell r="D224">
            <v>1090000</v>
          </cell>
          <cell r="E224" t="str">
            <v>SPECTOR</v>
          </cell>
        </row>
        <row r="225">
          <cell r="C225" t="str">
            <v>243-23</v>
          </cell>
          <cell r="D225">
            <v>1810000</v>
          </cell>
          <cell r="E225" t="str">
            <v>NEWELL</v>
          </cell>
        </row>
        <row r="226">
          <cell r="C226" t="str">
            <v>1828-23</v>
          </cell>
          <cell r="D226">
            <v>1820000</v>
          </cell>
          <cell r="E226" t="str">
            <v>ADANE</v>
          </cell>
        </row>
        <row r="227">
          <cell r="C227" t="str">
            <v>241-23</v>
          </cell>
          <cell r="D227">
            <v>1800000</v>
          </cell>
          <cell r="E227" t="str">
            <v>CHANDLER</v>
          </cell>
        </row>
        <row r="228">
          <cell r="C228" t="str">
            <v>1831-23</v>
          </cell>
          <cell r="D228">
            <v>1820000</v>
          </cell>
          <cell r="E228" t="str">
            <v>ADANE</v>
          </cell>
        </row>
        <row r="229">
          <cell r="C229" t="str">
            <v>1832-23</v>
          </cell>
          <cell r="D229">
            <v>1820000</v>
          </cell>
          <cell r="E229" t="str">
            <v>ADANE</v>
          </cell>
        </row>
        <row r="230">
          <cell r="C230" t="str">
            <v>124-24</v>
          </cell>
          <cell r="D230">
            <v>1310000</v>
          </cell>
          <cell r="E230" t="str">
            <v>MALAVE</v>
          </cell>
        </row>
        <row r="231">
          <cell r="C231" t="str">
            <v>1829-23</v>
          </cell>
          <cell r="D231">
            <v>1820000</v>
          </cell>
          <cell r="E231" t="str">
            <v>ADANE</v>
          </cell>
        </row>
        <row r="232">
          <cell r="C232" t="str">
            <v>136-24</v>
          </cell>
          <cell r="D232">
            <v>1100000</v>
          </cell>
          <cell r="E232" t="str">
            <v>GEBRETEKLE</v>
          </cell>
        </row>
        <row r="233">
          <cell r="C233" t="str">
            <v>220-23</v>
          </cell>
          <cell r="D233">
            <v>1480000</v>
          </cell>
          <cell r="E233" t="str">
            <v>STURGEON</v>
          </cell>
        </row>
        <row r="234">
          <cell r="C234" t="str">
            <v>147-24</v>
          </cell>
          <cell r="D234">
            <v>2010000</v>
          </cell>
          <cell r="E234" t="str">
            <v>MAELZER</v>
          </cell>
        </row>
        <row r="235">
          <cell r="C235" t="str">
            <v>128-24</v>
          </cell>
          <cell r="D235">
            <v>1360000</v>
          </cell>
          <cell r="E235" t="str">
            <v>SANTIZO</v>
          </cell>
        </row>
        <row r="236">
          <cell r="C236" t="str">
            <v>231-23</v>
          </cell>
          <cell r="D236">
            <v>1480000</v>
          </cell>
          <cell r="E236" t="str">
            <v>STURGEON</v>
          </cell>
        </row>
        <row r="237">
          <cell r="C237" t="str">
            <v>125-24</v>
          </cell>
          <cell r="D237">
            <v>1780000</v>
          </cell>
          <cell r="E237" t="str">
            <v>DE LA ROSA</v>
          </cell>
        </row>
        <row r="238">
          <cell r="C238" t="str">
            <v>228-23</v>
          </cell>
          <cell r="D238">
            <v>2000000</v>
          </cell>
          <cell r="E238" t="str">
            <v>STAMBAUGH</v>
          </cell>
        </row>
        <row r="239">
          <cell r="C239" t="str">
            <v>110-24</v>
          </cell>
          <cell r="D239">
            <v>1310000</v>
          </cell>
          <cell r="E239" t="str">
            <v>MALAVE</v>
          </cell>
        </row>
        <row r="240">
          <cell r="C240" t="str">
            <v>131-24</v>
          </cell>
          <cell r="D240">
            <v>1260000</v>
          </cell>
          <cell r="E240" t="str">
            <v>ACKERMAN</v>
          </cell>
        </row>
        <row r="241">
          <cell r="C241" t="str">
            <v>244-23</v>
          </cell>
          <cell r="D241">
            <v>1300000</v>
          </cell>
          <cell r="E241" t="str">
            <v>LEVIN</v>
          </cell>
        </row>
        <row r="242">
          <cell r="C242" t="str">
            <v>137-24</v>
          </cell>
          <cell r="D242">
            <v>1310000</v>
          </cell>
          <cell r="E242" t="str">
            <v>MALAVE</v>
          </cell>
        </row>
        <row r="243">
          <cell r="C243" t="str">
            <v>108-24</v>
          </cell>
          <cell r="D243">
            <v>1100000</v>
          </cell>
          <cell r="E243" t="str">
            <v>GEBRETEKLE</v>
          </cell>
        </row>
        <row r="244">
          <cell r="C244" t="str">
            <v>226-23</v>
          </cell>
          <cell r="D244">
            <v>1810000</v>
          </cell>
          <cell r="E244" t="str">
            <v>NEWELL</v>
          </cell>
        </row>
        <row r="245">
          <cell r="C245" t="str">
            <v>111-24</v>
          </cell>
          <cell r="D245">
            <v>1780000</v>
          </cell>
          <cell r="E245" t="str">
            <v>DE LA ROSA</v>
          </cell>
        </row>
        <row r="246">
          <cell r="C246" t="str">
            <v>236-23</v>
          </cell>
          <cell r="D246">
            <v>1300000</v>
          </cell>
          <cell r="E246" t="str">
            <v>LEVIN</v>
          </cell>
        </row>
        <row r="247">
          <cell r="C247" t="str">
            <v>102-24</v>
          </cell>
          <cell r="D247">
            <v>1360000</v>
          </cell>
          <cell r="E247" t="str">
            <v>SANTIZO</v>
          </cell>
        </row>
        <row r="248">
          <cell r="C248" t="str">
            <v>117-24</v>
          </cell>
          <cell r="D248">
            <v>1260000</v>
          </cell>
          <cell r="E248" t="str">
            <v>ACKERMAN</v>
          </cell>
        </row>
        <row r="249">
          <cell r="C249" t="str">
            <v>245-23</v>
          </cell>
          <cell r="D249">
            <v>1300000</v>
          </cell>
          <cell r="E249" t="str">
            <v>LEVIN</v>
          </cell>
        </row>
        <row r="250">
          <cell r="C250" t="str">
            <v>119-24</v>
          </cell>
          <cell r="D250">
            <v>2010000</v>
          </cell>
          <cell r="E250" t="str">
            <v>MAELZER</v>
          </cell>
        </row>
        <row r="251">
          <cell r="C251" t="str">
            <v>237-23</v>
          </cell>
          <cell r="D251">
            <v>1300000</v>
          </cell>
          <cell r="E251" t="str">
            <v>LEVIN</v>
          </cell>
        </row>
        <row r="252">
          <cell r="C252" t="str">
            <v>119-24</v>
          </cell>
          <cell r="D252">
            <v>2010000</v>
          </cell>
          <cell r="E252" t="str">
            <v>MAELZER</v>
          </cell>
        </row>
        <row r="253">
          <cell r="C253" t="str">
            <v>1830-23</v>
          </cell>
          <cell r="D253">
            <v>1820000</v>
          </cell>
          <cell r="E253" t="str">
            <v>ADANE</v>
          </cell>
        </row>
        <row r="254">
          <cell r="C254" t="str">
            <v>133-24</v>
          </cell>
          <cell r="D254">
            <v>2010000</v>
          </cell>
          <cell r="E254" t="str">
            <v>MAELZER</v>
          </cell>
        </row>
        <row r="255">
          <cell r="C255" t="str">
            <v>124-25</v>
          </cell>
          <cell r="D255">
            <v>1830000</v>
          </cell>
          <cell r="E255" t="str">
            <v>YORK</v>
          </cell>
        </row>
        <row r="256">
          <cell r="C256" t="str">
            <v>185-24</v>
          </cell>
          <cell r="D256">
            <v>1230000</v>
          </cell>
          <cell r="E256" t="str">
            <v>YANAI</v>
          </cell>
        </row>
        <row r="257">
          <cell r="C257" t="str">
            <v>123-25</v>
          </cell>
          <cell r="D257">
            <v>1830000</v>
          </cell>
          <cell r="E257" t="str">
            <v>YORK</v>
          </cell>
        </row>
        <row r="258">
          <cell r="C258" t="str">
            <v>180-24</v>
          </cell>
          <cell r="D258">
            <v>2040000</v>
          </cell>
          <cell r="E258" t="str">
            <v>MOSES</v>
          </cell>
        </row>
        <row r="259">
          <cell r="C259" t="str">
            <v>119-25</v>
          </cell>
          <cell r="D259">
            <v>1240000</v>
          </cell>
          <cell r="E259" t="str">
            <v>GRASTON</v>
          </cell>
        </row>
        <row r="260">
          <cell r="C260" t="str">
            <v>188-24</v>
          </cell>
          <cell r="D260">
            <v>880000</v>
          </cell>
          <cell r="E260" t="str">
            <v>STEWART</v>
          </cell>
        </row>
        <row r="261">
          <cell r="C261" t="str">
            <v>106-25</v>
          </cell>
          <cell r="D261">
            <v>1190000</v>
          </cell>
          <cell r="E261" t="str">
            <v>BRANNON</v>
          </cell>
        </row>
        <row r="262">
          <cell r="C262" t="str">
            <v>195-24</v>
          </cell>
          <cell r="D262">
            <v>1140000</v>
          </cell>
          <cell r="E262" t="str">
            <v>YOUNG</v>
          </cell>
        </row>
        <row r="263">
          <cell r="C263" t="str">
            <v>111-25</v>
          </cell>
          <cell r="D263">
            <v>1110000</v>
          </cell>
          <cell r="E263" t="str">
            <v>STARKS</v>
          </cell>
        </row>
        <row r="264">
          <cell r="C264" t="str">
            <v>190-24</v>
          </cell>
          <cell r="D264">
            <v>1280000</v>
          </cell>
          <cell r="E264" t="str">
            <v>BARTLETT</v>
          </cell>
        </row>
        <row r="265">
          <cell r="C265" t="str">
            <v>102-25</v>
          </cell>
          <cell r="D265">
            <v>1480000</v>
          </cell>
          <cell r="E265" t="str">
            <v>STURGEON</v>
          </cell>
        </row>
        <row r="266">
          <cell r="C266" t="str">
            <v>201-24</v>
          </cell>
          <cell r="D266">
            <v>880000</v>
          </cell>
          <cell r="E266" t="str">
            <v>STEWART</v>
          </cell>
        </row>
        <row r="267">
          <cell r="C267" t="str">
            <v>105-25</v>
          </cell>
          <cell r="D267">
            <v>1190000</v>
          </cell>
          <cell r="E267" t="str">
            <v>BRANNON</v>
          </cell>
        </row>
        <row r="268">
          <cell r="C268" t="str">
            <v>196-24</v>
          </cell>
          <cell r="D268">
            <v>1140000</v>
          </cell>
          <cell r="E268" t="str">
            <v>YOUNG</v>
          </cell>
        </row>
        <row r="269">
          <cell r="C269" t="str">
            <v>101-25</v>
          </cell>
          <cell r="D269">
            <v>1480000</v>
          </cell>
          <cell r="E269" t="str">
            <v>STURGEON</v>
          </cell>
        </row>
        <row r="270">
          <cell r="C270" t="str">
            <v>1803-24</v>
          </cell>
          <cell r="D270">
            <v>1750000</v>
          </cell>
          <cell r="E270" t="str">
            <v>REBOLETTI</v>
          </cell>
        </row>
        <row r="271">
          <cell r="C271" t="str">
            <v>244-24</v>
          </cell>
          <cell r="D271">
            <v>1800000</v>
          </cell>
          <cell r="E271" t="str">
            <v>CHANDLER</v>
          </cell>
        </row>
        <row r="272">
          <cell r="C272" t="str">
            <v>1802-24</v>
          </cell>
          <cell r="D272">
            <v>1820000</v>
          </cell>
          <cell r="E272" t="str">
            <v>ADANE</v>
          </cell>
        </row>
        <row r="273">
          <cell r="C273" t="str">
            <v>243-24</v>
          </cell>
          <cell r="D273">
            <v>1800000</v>
          </cell>
          <cell r="E273" t="str">
            <v>CHANDLER</v>
          </cell>
        </row>
        <row r="274">
          <cell r="C274" t="str">
            <v>200-24</v>
          </cell>
          <cell r="D274">
            <v>1230000</v>
          </cell>
          <cell r="E274" t="str">
            <v>YANAI</v>
          </cell>
        </row>
        <row r="275">
          <cell r="C275" t="str">
            <v>1820-24</v>
          </cell>
          <cell r="D275">
            <v>1820000</v>
          </cell>
          <cell r="E275" t="str">
            <v>ADANE</v>
          </cell>
        </row>
        <row r="276">
          <cell r="C276" t="str">
            <v>204-24</v>
          </cell>
          <cell r="D276">
            <v>1280000</v>
          </cell>
          <cell r="E276" t="str">
            <v>BARTLETT</v>
          </cell>
        </row>
        <row r="277">
          <cell r="C277" t="str">
            <v>1813-24</v>
          </cell>
          <cell r="D277">
            <v>1820000</v>
          </cell>
          <cell r="E277" t="str">
            <v>ADANE</v>
          </cell>
        </row>
        <row r="278">
          <cell r="C278" t="str">
            <v>1807-24</v>
          </cell>
          <cell r="D278">
            <v>1820000</v>
          </cell>
          <cell r="E278" t="str">
            <v>ADANE</v>
          </cell>
        </row>
        <row r="279">
          <cell r="C279" t="str">
            <v>208-24</v>
          </cell>
          <cell r="D279">
            <v>2040000</v>
          </cell>
          <cell r="E279" t="str">
            <v>MOSES</v>
          </cell>
        </row>
        <row r="280">
          <cell r="C280" t="str">
            <v>206-24</v>
          </cell>
          <cell r="D280">
            <v>1770000</v>
          </cell>
          <cell r="E280" t="str">
            <v>BRUDER</v>
          </cell>
        </row>
        <row r="281">
          <cell r="C281" t="str">
            <v>202-24</v>
          </cell>
          <cell r="D281">
            <v>880000</v>
          </cell>
          <cell r="E281" t="str">
            <v>STEWART</v>
          </cell>
        </row>
        <row r="282">
          <cell r="C282" t="str">
            <v>212-24</v>
          </cell>
          <cell r="D282">
            <v>1140000</v>
          </cell>
          <cell r="E282" t="str">
            <v>YOUNG</v>
          </cell>
        </row>
        <row r="283">
          <cell r="C283" t="str">
            <v>193-24</v>
          </cell>
          <cell r="D283">
            <v>2040000</v>
          </cell>
          <cell r="E283" t="str">
            <v>MOSES</v>
          </cell>
        </row>
        <row r="284">
          <cell r="C284" t="str">
            <v>1812-24</v>
          </cell>
          <cell r="D284">
            <v>1740000</v>
          </cell>
          <cell r="E284" t="str">
            <v>STORY</v>
          </cell>
        </row>
        <row r="285">
          <cell r="C285" t="str">
            <v>189-24</v>
          </cell>
          <cell r="D285">
            <v>1280000</v>
          </cell>
          <cell r="E285" t="str">
            <v>BARTLETT</v>
          </cell>
        </row>
        <row r="286">
          <cell r="C286" t="str">
            <v>1817-24</v>
          </cell>
          <cell r="D286">
            <v>1740000</v>
          </cell>
          <cell r="E286" t="str">
            <v>STORY</v>
          </cell>
        </row>
        <row r="287">
          <cell r="C287" t="str">
            <v>172-24</v>
          </cell>
          <cell r="D287">
            <v>1230000</v>
          </cell>
          <cell r="E287" t="str">
            <v>YANAI</v>
          </cell>
        </row>
        <row r="288">
          <cell r="C288" t="str">
            <v>220-24</v>
          </cell>
          <cell r="D288">
            <v>1800000</v>
          </cell>
          <cell r="E288" t="str">
            <v>CHANDLER</v>
          </cell>
        </row>
        <row r="289">
          <cell r="C289" t="str">
            <v>175-24</v>
          </cell>
          <cell r="D289">
            <v>1280000</v>
          </cell>
          <cell r="E289" t="str">
            <v>BARTLETT</v>
          </cell>
        </row>
        <row r="290">
          <cell r="C290" t="str">
            <v>1821-24</v>
          </cell>
          <cell r="D290">
            <v>1540000</v>
          </cell>
          <cell r="E290" t="str">
            <v>HELVIE</v>
          </cell>
        </row>
        <row r="291">
          <cell r="C291" t="str">
            <v>156-24</v>
          </cell>
          <cell r="D291">
            <v>1520000</v>
          </cell>
          <cell r="E291" t="str">
            <v>MAYBERRY</v>
          </cell>
        </row>
        <row r="292">
          <cell r="C292" t="str">
            <v>1823-24</v>
          </cell>
          <cell r="D292">
            <v>1740000</v>
          </cell>
          <cell r="E292" t="str">
            <v>STORY</v>
          </cell>
        </row>
        <row r="293">
          <cell r="C293" t="str">
            <v>155-24</v>
          </cell>
          <cell r="D293">
            <v>1520000</v>
          </cell>
          <cell r="E293" t="str">
            <v>MAYBERRY</v>
          </cell>
        </row>
        <row r="294">
          <cell r="C294" t="str">
            <v>226-24</v>
          </cell>
          <cell r="D294">
            <v>1810000</v>
          </cell>
          <cell r="E294" t="str">
            <v>NEWELL</v>
          </cell>
        </row>
        <row r="295">
          <cell r="C295" t="str">
            <v>146-24</v>
          </cell>
          <cell r="D295">
            <v>1260000</v>
          </cell>
          <cell r="E295" t="str">
            <v>ACKERMAN</v>
          </cell>
        </row>
        <row r="296">
          <cell r="C296" t="str">
            <v>1833-24</v>
          </cell>
          <cell r="D296">
            <v>1750000</v>
          </cell>
          <cell r="E296" t="str">
            <v>REBOLETTI</v>
          </cell>
        </row>
        <row r="297">
          <cell r="C297" t="str">
            <v>1828-24</v>
          </cell>
          <cell r="D297">
            <v>1750000</v>
          </cell>
          <cell r="E297" t="str">
            <v>REBOLETTI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224-24</v>
          </cell>
          <cell r="D299">
            <v>1290000</v>
          </cell>
          <cell r="E299" t="str">
            <v>COOLAHAN</v>
          </cell>
        </row>
        <row r="300">
          <cell r="C300" t="str">
            <v>167-24</v>
          </cell>
          <cell r="D300">
            <v>1140000</v>
          </cell>
          <cell r="E300" t="str">
            <v>YOUNG</v>
          </cell>
        </row>
        <row r="301">
          <cell r="C301" t="str">
            <v>213-24</v>
          </cell>
          <cell r="D301">
            <v>1290000</v>
          </cell>
          <cell r="E301" t="str">
            <v>COOLAHAN</v>
          </cell>
        </row>
        <row r="302">
          <cell r="C302" t="str">
            <v>169-24</v>
          </cell>
          <cell r="D302">
            <v>1520000</v>
          </cell>
          <cell r="E302" t="str">
            <v>MAYBERRY</v>
          </cell>
        </row>
        <row r="303">
          <cell r="C303" t="str">
            <v>203-24</v>
          </cell>
          <cell r="D303">
            <v>1280000</v>
          </cell>
          <cell r="E303" t="str">
            <v>BARTLETT</v>
          </cell>
        </row>
        <row r="304">
          <cell r="C304" t="str">
            <v>171-24</v>
          </cell>
          <cell r="D304">
            <v>1230000</v>
          </cell>
          <cell r="E304" t="str">
            <v>YANAI</v>
          </cell>
        </row>
        <row r="305">
          <cell r="C305" t="str">
            <v>194-24</v>
          </cell>
          <cell r="D305">
            <v>2040000</v>
          </cell>
          <cell r="E305" t="str">
            <v>MOSES</v>
          </cell>
        </row>
        <row r="306">
          <cell r="C306" t="str">
            <v>191-24</v>
          </cell>
          <cell r="D306">
            <v>1770000</v>
          </cell>
          <cell r="E306" t="str">
            <v>BRUDER</v>
          </cell>
        </row>
        <row r="307">
          <cell r="C307" t="str">
            <v>150-24</v>
          </cell>
          <cell r="D307">
            <v>1100000</v>
          </cell>
          <cell r="E307" t="str">
            <v>GEBRETEKLE</v>
          </cell>
        </row>
        <row r="308">
          <cell r="C308" t="str">
            <v>1805-24</v>
          </cell>
          <cell r="D308">
            <v>1740000</v>
          </cell>
          <cell r="E308" t="str">
            <v>STORY</v>
          </cell>
        </row>
        <row r="309">
          <cell r="C309" t="str">
            <v>140-24</v>
          </cell>
          <cell r="D309">
            <v>1780000</v>
          </cell>
          <cell r="E309" t="str">
            <v>DE LA ROSA</v>
          </cell>
        </row>
        <row r="310">
          <cell r="C310" t="str">
            <v>1804-24</v>
          </cell>
          <cell r="D310">
            <v>1750000</v>
          </cell>
          <cell r="E310" t="str">
            <v>REBOLETTI</v>
          </cell>
        </row>
        <row r="311">
          <cell r="C311" t="str">
            <v>122-24</v>
          </cell>
          <cell r="D311">
            <v>1100000</v>
          </cell>
          <cell r="E311" t="str">
            <v>GEBRETEKLE</v>
          </cell>
        </row>
        <row r="312">
          <cell r="C312" t="str">
            <v>1809-24</v>
          </cell>
          <cell r="D312">
            <v>1750000</v>
          </cell>
          <cell r="E312" t="str">
            <v>REBOLETTI</v>
          </cell>
        </row>
        <row r="313">
          <cell r="C313" t="str">
            <v>114-24</v>
          </cell>
          <cell r="D313">
            <v>1360000</v>
          </cell>
          <cell r="E313" t="str">
            <v>SANTIZO</v>
          </cell>
        </row>
        <row r="314">
          <cell r="C314" t="str">
            <v>1810-24</v>
          </cell>
          <cell r="D314">
            <v>1750000</v>
          </cell>
          <cell r="E314" t="str">
            <v>REBOLETTI</v>
          </cell>
        </row>
        <row r="315">
          <cell r="C315" t="str">
            <v>244-23</v>
          </cell>
          <cell r="D315">
            <v>1300000</v>
          </cell>
          <cell r="E315" t="str">
            <v>LEVIN</v>
          </cell>
        </row>
        <row r="316">
          <cell r="C316" t="str">
            <v>1815-24</v>
          </cell>
          <cell r="D316">
            <v>1750000</v>
          </cell>
          <cell r="E316" t="str">
            <v>REBOLETTI</v>
          </cell>
        </row>
        <row r="317">
          <cell r="C317" t="str">
            <v>234-23</v>
          </cell>
          <cell r="D317">
            <v>1810000</v>
          </cell>
          <cell r="E317" t="str">
            <v>NEWELL</v>
          </cell>
        </row>
        <row r="318">
          <cell r="C318" t="str">
            <v>1816-24</v>
          </cell>
          <cell r="D318">
            <v>1750000</v>
          </cell>
          <cell r="E318" t="str">
            <v>REBOLETTI</v>
          </cell>
        </row>
        <row r="319">
          <cell r="C319" t="str">
            <v>239-23</v>
          </cell>
          <cell r="D319">
            <v>1480000</v>
          </cell>
          <cell r="E319" t="str">
            <v>STURGEON</v>
          </cell>
        </row>
        <row r="320">
          <cell r="C320" t="str">
            <v>103-25</v>
          </cell>
          <cell r="D320">
            <v>1260000</v>
          </cell>
          <cell r="E320" t="str">
            <v>ACKERMAN</v>
          </cell>
        </row>
        <row r="321">
          <cell r="C321" t="str">
            <v>232-23</v>
          </cell>
          <cell r="D321">
            <v>1800000</v>
          </cell>
          <cell r="E321" t="str">
            <v>CHANDLER</v>
          </cell>
        </row>
        <row r="322">
          <cell r="C322" t="str">
            <v>102-25</v>
          </cell>
          <cell r="D322">
            <v>1480000</v>
          </cell>
          <cell r="E322" t="str">
            <v>STURGEON</v>
          </cell>
        </row>
        <row r="323">
          <cell r="C323" t="str">
            <v>151-24</v>
          </cell>
          <cell r="D323">
            <v>1310000</v>
          </cell>
          <cell r="E323" t="str">
            <v>MALAVE</v>
          </cell>
        </row>
        <row r="324">
          <cell r="C324" t="str">
            <v>107-25</v>
          </cell>
          <cell r="D324">
            <v>1090000</v>
          </cell>
          <cell r="E324" t="str">
            <v>SPECTOR</v>
          </cell>
        </row>
        <row r="325">
          <cell r="C325" t="str">
            <v>138-24</v>
          </cell>
          <cell r="D325">
            <v>1310000</v>
          </cell>
          <cell r="E325" t="str">
            <v>MALAVE</v>
          </cell>
        </row>
        <row r="326">
          <cell r="C326" t="str">
            <v>104-25</v>
          </cell>
          <cell r="D326">
            <v>1260000</v>
          </cell>
          <cell r="E326" t="str">
            <v>ACKERMAN</v>
          </cell>
        </row>
        <row r="327">
          <cell r="C327" t="str">
            <v>112-24</v>
          </cell>
          <cell r="D327">
            <v>1780000</v>
          </cell>
          <cell r="E327" t="str">
            <v>DE LA ROSA</v>
          </cell>
        </row>
        <row r="328">
          <cell r="C328" t="str">
            <v>110-25</v>
          </cell>
          <cell r="D328">
            <v>1830000</v>
          </cell>
          <cell r="E328" t="str">
            <v>YORK</v>
          </cell>
        </row>
        <row r="329">
          <cell r="C329" t="str">
            <v>247-23</v>
          </cell>
          <cell r="D329">
            <v>1480000</v>
          </cell>
          <cell r="E329" t="str">
            <v>STURGEON</v>
          </cell>
        </row>
        <row r="330">
          <cell r="C330" t="str">
            <v>115-25</v>
          </cell>
          <cell r="D330">
            <v>1310000</v>
          </cell>
          <cell r="E330" t="str">
            <v>MALAVE</v>
          </cell>
        </row>
        <row r="331">
          <cell r="C331" t="str">
            <v>222-23</v>
          </cell>
          <cell r="D331">
            <v>1480000</v>
          </cell>
          <cell r="E331" t="str">
            <v>STURGEON</v>
          </cell>
        </row>
        <row r="332">
          <cell r="C332" t="str">
            <v>121-25</v>
          </cell>
          <cell r="D332">
            <v>1090000</v>
          </cell>
          <cell r="E332" t="str">
            <v>SPECTOR</v>
          </cell>
        </row>
        <row r="333">
          <cell r="C333" t="str">
            <v>144-24</v>
          </cell>
          <cell r="D333">
            <v>1830000</v>
          </cell>
          <cell r="E333" t="str">
            <v>YORK</v>
          </cell>
        </row>
        <row r="334">
          <cell r="C334" t="str">
            <v>900-25</v>
          </cell>
          <cell r="D334">
            <v>890000</v>
          </cell>
          <cell r="E334" t="str">
            <v>LOZA</v>
          </cell>
        </row>
        <row r="335">
          <cell r="C335" t="str">
            <v>149-24</v>
          </cell>
          <cell r="D335">
            <v>1100000</v>
          </cell>
          <cell r="E335" t="str">
            <v>GEBRETEKLE</v>
          </cell>
        </row>
        <row r="336">
          <cell r="C336" t="str">
            <v>118-25</v>
          </cell>
          <cell r="D336">
            <v>1260000</v>
          </cell>
          <cell r="E336" t="str">
            <v>ACKERMAN</v>
          </cell>
        </row>
        <row r="337">
          <cell r="C337" t="str">
            <v>209-24</v>
          </cell>
          <cell r="D337">
            <v>2030000</v>
          </cell>
          <cell r="E337" t="str">
            <v>KILLION</v>
          </cell>
        </row>
      </sheetData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94">
          <cell r="C94" t="str">
            <v xml:space="preserve">Data.Train ID  </v>
          </cell>
          <cell r="D94" t="str">
            <v xml:space="preserve">Data.Employee Identifier  </v>
          </cell>
          <cell r="E94" t="str">
            <v xml:space="preserve">Data.Employee Last Name  </v>
          </cell>
        </row>
        <row r="95">
          <cell r="C95" t="str">
            <v>1820-24</v>
          </cell>
          <cell r="D95">
            <v>1820000</v>
          </cell>
          <cell r="E95" t="str">
            <v>ADANE</v>
          </cell>
        </row>
        <row r="96">
          <cell r="C96" t="str">
            <v>812-25</v>
          </cell>
          <cell r="D96">
            <v>900000</v>
          </cell>
          <cell r="E96" t="str">
            <v>ROCHA</v>
          </cell>
        </row>
        <row r="97">
          <cell r="C97" t="str">
            <v>173-25</v>
          </cell>
          <cell r="D97">
            <v>2020000</v>
          </cell>
          <cell r="E97" t="str">
            <v>SHOOK</v>
          </cell>
        </row>
        <row r="98">
          <cell r="C98" t="str">
            <v>816-25</v>
          </cell>
          <cell r="D98">
            <v>1820000</v>
          </cell>
          <cell r="E98" t="str">
            <v>ADANE</v>
          </cell>
        </row>
        <row r="99">
          <cell r="C99" t="str">
            <v>811-25</v>
          </cell>
          <cell r="D99">
            <v>1750000</v>
          </cell>
          <cell r="E99" t="str">
            <v>REBOLETTI</v>
          </cell>
        </row>
        <row r="100">
          <cell r="C100" t="str">
            <v>178-25</v>
          </cell>
          <cell r="D100">
            <v>1280000</v>
          </cell>
          <cell r="E100" t="str">
            <v>BARTLETT</v>
          </cell>
        </row>
        <row r="101">
          <cell r="C101" t="str">
            <v>825-25</v>
          </cell>
          <cell r="D101">
            <v>1820000</v>
          </cell>
          <cell r="E101" t="str">
            <v>ADANE</v>
          </cell>
        </row>
        <row r="102">
          <cell r="C102" t="str">
            <v>199-25</v>
          </cell>
          <cell r="D102">
            <v>1140000</v>
          </cell>
          <cell r="E102" t="str">
            <v>YOUNG</v>
          </cell>
        </row>
        <row r="103">
          <cell r="C103" t="str">
            <v>200-25</v>
          </cell>
          <cell r="D103">
            <v>1140000</v>
          </cell>
          <cell r="E103" t="str">
            <v>YOUNG</v>
          </cell>
        </row>
        <row r="104">
          <cell r="C104" t="str">
            <v>131-25</v>
          </cell>
          <cell r="D104">
            <v>1260000</v>
          </cell>
          <cell r="E104" t="str">
            <v>ACKERMAN</v>
          </cell>
        </row>
        <row r="105">
          <cell r="C105" t="str">
            <v>810-25</v>
          </cell>
          <cell r="D105">
            <v>1820000</v>
          </cell>
          <cell r="E105" t="str">
            <v>ADANE</v>
          </cell>
        </row>
        <row r="106">
          <cell r="C106" t="str">
            <v>171-25</v>
          </cell>
          <cell r="D106">
            <v>1120000</v>
          </cell>
          <cell r="E106" t="str">
            <v>LOCKLEAR</v>
          </cell>
        </row>
        <row r="107">
          <cell r="C107" t="str">
            <v>806-25</v>
          </cell>
          <cell r="D107">
            <v>900000</v>
          </cell>
          <cell r="E107" t="str">
            <v>ROCHA</v>
          </cell>
        </row>
        <row r="108">
          <cell r="C108" t="str">
            <v>817-25</v>
          </cell>
          <cell r="D108">
            <v>1750000</v>
          </cell>
          <cell r="E108" t="str">
            <v>REBOLETTI</v>
          </cell>
        </row>
        <row r="109">
          <cell r="C109" t="str">
            <v>800-25</v>
          </cell>
          <cell r="D109">
            <v>900000</v>
          </cell>
          <cell r="E109" t="str">
            <v>ROCHA</v>
          </cell>
        </row>
        <row r="110">
          <cell r="C110" t="str">
            <v>820-25</v>
          </cell>
          <cell r="D110">
            <v>1750000</v>
          </cell>
          <cell r="E110" t="str">
            <v>REBOLETTI</v>
          </cell>
        </row>
        <row r="111">
          <cell r="C111" t="str">
            <v>147-25</v>
          </cell>
          <cell r="D111">
            <v>1260000</v>
          </cell>
          <cell r="E111" t="str">
            <v>ACKERMAN</v>
          </cell>
        </row>
        <row r="112">
          <cell r="C112" t="str">
            <v>841-25</v>
          </cell>
          <cell r="D112">
            <v>1740000</v>
          </cell>
          <cell r="E112" t="str">
            <v>STORY</v>
          </cell>
        </row>
        <row r="113">
          <cell r="C113" t="str">
            <v>136-25</v>
          </cell>
          <cell r="D113">
            <v>1090000</v>
          </cell>
          <cell r="E113" t="str">
            <v>SPECTOR</v>
          </cell>
        </row>
        <row r="114">
          <cell r="C114" t="str">
            <v>215-25</v>
          </cell>
          <cell r="D114">
            <v>1140000</v>
          </cell>
          <cell r="E114" t="str">
            <v>YOUNG</v>
          </cell>
        </row>
        <row r="115">
          <cell r="C115" t="str">
            <v>137-25</v>
          </cell>
          <cell r="D115">
            <v>1830000</v>
          </cell>
          <cell r="E115" t="str">
            <v>YORK</v>
          </cell>
        </row>
        <row r="116">
          <cell r="C116" t="str">
            <v>845-25</v>
          </cell>
          <cell r="D116">
            <v>1770000</v>
          </cell>
          <cell r="E116" t="str">
            <v>BRUDER</v>
          </cell>
        </row>
        <row r="117">
          <cell r="C117" t="str">
            <v>126-25</v>
          </cell>
          <cell r="D117">
            <v>1110000</v>
          </cell>
          <cell r="E117" t="str">
            <v>STARKS</v>
          </cell>
        </row>
        <row r="118">
          <cell r="C118" t="str">
            <v>216-25</v>
          </cell>
          <cell r="D118">
            <v>1140000</v>
          </cell>
          <cell r="E118" t="str">
            <v>YOUNG</v>
          </cell>
        </row>
        <row r="119">
          <cell r="C119" t="str">
            <v>900-25</v>
          </cell>
          <cell r="D119">
            <v>890000</v>
          </cell>
          <cell r="E119" t="str">
            <v>LOZA</v>
          </cell>
        </row>
        <row r="120">
          <cell r="C120" t="str">
            <v>220-25</v>
          </cell>
          <cell r="D120">
            <v>1230000</v>
          </cell>
          <cell r="E120" t="str">
            <v>YANAI</v>
          </cell>
        </row>
        <row r="121">
          <cell r="C121" t="str">
            <v>114-25</v>
          </cell>
          <cell r="D121">
            <v>1480000</v>
          </cell>
          <cell r="E121" t="str">
            <v>STURGEON</v>
          </cell>
        </row>
        <row r="122">
          <cell r="C122" t="str">
            <v>855-25</v>
          </cell>
          <cell r="D122">
            <v>1290000</v>
          </cell>
          <cell r="E122" t="str">
            <v>COOLAHAN</v>
          </cell>
        </row>
        <row r="123">
          <cell r="C123" t="str">
            <v>117-25</v>
          </cell>
          <cell r="D123">
            <v>1260000</v>
          </cell>
          <cell r="E123" t="str">
            <v>ACKERMAN</v>
          </cell>
        </row>
        <row r="124">
          <cell r="C124" t="str">
            <v>862-25</v>
          </cell>
          <cell r="D124">
            <v>1740000</v>
          </cell>
          <cell r="E124" t="str">
            <v>STORY</v>
          </cell>
        </row>
        <row r="125">
          <cell r="C125" t="str">
            <v>106-25</v>
          </cell>
          <cell r="D125">
            <v>1190000</v>
          </cell>
          <cell r="E125" t="str">
            <v>BRANNON</v>
          </cell>
        </row>
        <row r="126">
          <cell r="C126" t="str">
            <v>863-25</v>
          </cell>
          <cell r="D126">
            <v>1770000</v>
          </cell>
          <cell r="E126" t="str">
            <v>BRUDER</v>
          </cell>
        </row>
        <row r="127">
          <cell r="C127" t="str">
            <v>900-25</v>
          </cell>
          <cell r="D127">
            <v>890000</v>
          </cell>
          <cell r="E127" t="str">
            <v>LOZA</v>
          </cell>
        </row>
        <row r="128">
          <cell r="C128" t="str">
            <v>228-25</v>
          </cell>
          <cell r="D128">
            <v>1230000</v>
          </cell>
          <cell r="E128" t="str">
            <v>YANAI</v>
          </cell>
        </row>
        <row r="129">
          <cell r="C129" t="str">
            <v>113-25</v>
          </cell>
          <cell r="D129">
            <v>1480000</v>
          </cell>
          <cell r="E129" t="str">
            <v>STURGEON</v>
          </cell>
        </row>
        <row r="130">
          <cell r="C130" t="str">
            <v>231-25</v>
          </cell>
          <cell r="D130">
            <v>1810000</v>
          </cell>
          <cell r="E130" t="str">
            <v>NEWELL</v>
          </cell>
        </row>
        <row r="131">
          <cell r="C131" t="str">
            <v>233-24</v>
          </cell>
          <cell r="D131">
            <v>1810000</v>
          </cell>
          <cell r="E131" t="str">
            <v>NEWELL</v>
          </cell>
        </row>
        <row r="132">
          <cell r="C132" t="str">
            <v>867-25</v>
          </cell>
          <cell r="D132">
            <v>1290000</v>
          </cell>
          <cell r="E132" t="str">
            <v>COOLAHAN</v>
          </cell>
        </row>
        <row r="133">
          <cell r="C133" t="str">
            <v>1826-24</v>
          </cell>
          <cell r="D133">
            <v>1820000</v>
          </cell>
          <cell r="E133" t="str">
            <v>ADANE</v>
          </cell>
        </row>
        <row r="134">
          <cell r="C134" t="str">
            <v>235-25</v>
          </cell>
          <cell r="D134">
            <v>1230000</v>
          </cell>
          <cell r="E134" t="str">
            <v>YANAI</v>
          </cell>
        </row>
        <row r="135">
          <cell r="C135" t="str">
            <v>1825-24</v>
          </cell>
          <cell r="D135">
            <v>1820000</v>
          </cell>
          <cell r="E135" t="str">
            <v>ADANE</v>
          </cell>
        </row>
        <row r="136">
          <cell r="C136" t="str">
            <v>871-25</v>
          </cell>
          <cell r="D136">
            <v>1740000</v>
          </cell>
          <cell r="E136" t="str">
            <v>STORY</v>
          </cell>
        </row>
        <row r="137">
          <cell r="C137" t="str">
            <v>222-24</v>
          </cell>
          <cell r="D137">
            <v>2030000</v>
          </cell>
          <cell r="E137" t="str">
            <v>KILLION</v>
          </cell>
        </row>
        <row r="138">
          <cell r="C138" t="str">
            <v>237-25</v>
          </cell>
          <cell r="D138">
            <v>1180000</v>
          </cell>
          <cell r="E138" t="str">
            <v>LEVERE</v>
          </cell>
        </row>
        <row r="139">
          <cell r="C139" t="str">
            <v>242-24</v>
          </cell>
          <cell r="D139">
            <v>1810000</v>
          </cell>
          <cell r="E139" t="str">
            <v>NEWELL</v>
          </cell>
        </row>
        <row r="140">
          <cell r="C140" t="str">
            <v>239-25</v>
          </cell>
          <cell r="D140">
            <v>1810000</v>
          </cell>
          <cell r="E140" t="str">
            <v>NEWELL</v>
          </cell>
        </row>
        <row r="141">
          <cell r="C141" t="str">
            <v>2010-24</v>
          </cell>
          <cell r="D141">
            <v>1740000</v>
          </cell>
          <cell r="E141" t="str">
            <v>STORY</v>
          </cell>
        </row>
        <row r="142">
          <cell r="C142" t="str">
            <v>238-25</v>
          </cell>
          <cell r="D142">
            <v>1180000</v>
          </cell>
          <cell r="E142" t="str">
            <v>LEVERE</v>
          </cell>
        </row>
        <row r="143">
          <cell r="C143" t="str">
            <v>1835-24</v>
          </cell>
          <cell r="D143">
            <v>1740000</v>
          </cell>
          <cell r="E143" t="str">
            <v>STORY</v>
          </cell>
        </row>
        <row r="144">
          <cell r="C144" t="str">
            <v>240-25</v>
          </cell>
          <cell r="D144">
            <v>1810000</v>
          </cell>
          <cell r="E144" t="str">
            <v>NEWELL</v>
          </cell>
        </row>
        <row r="145">
          <cell r="C145" t="str">
            <v>223-24</v>
          </cell>
          <cell r="D145">
            <v>1290000</v>
          </cell>
          <cell r="E145" t="str">
            <v>COOLAHAN</v>
          </cell>
        </row>
        <row r="146">
          <cell r="C146" t="str">
            <v>101-26</v>
          </cell>
          <cell r="D146">
            <v>1540000</v>
          </cell>
          <cell r="E146" t="str">
            <v>HELVIE</v>
          </cell>
        </row>
        <row r="147">
          <cell r="C147" t="str">
            <v>1818-24</v>
          </cell>
          <cell r="D147">
            <v>1740000</v>
          </cell>
          <cell r="E147" t="str">
            <v>STORY</v>
          </cell>
        </row>
        <row r="148">
          <cell r="C148" t="str">
            <v>102-26</v>
          </cell>
          <cell r="D148">
            <v>1540000</v>
          </cell>
          <cell r="E148" t="str">
            <v>HELVIE</v>
          </cell>
        </row>
        <row r="149">
          <cell r="C149" t="str">
            <v>120-26</v>
          </cell>
          <cell r="D149">
            <v>1990000</v>
          </cell>
          <cell r="E149" t="str">
            <v>DAVIS</v>
          </cell>
        </row>
        <row r="150">
          <cell r="C150" t="str">
            <v>803-26</v>
          </cell>
          <cell r="D150">
            <v>1300000</v>
          </cell>
          <cell r="E150" t="str">
            <v>LEVIN</v>
          </cell>
        </row>
        <row r="151">
          <cell r="C151" t="str">
            <v>805-26</v>
          </cell>
          <cell r="D151">
            <v>1110000</v>
          </cell>
          <cell r="E151" t="str">
            <v>STARKS</v>
          </cell>
        </row>
        <row r="152">
          <cell r="C152" t="str">
            <v>118-26</v>
          </cell>
          <cell r="D152">
            <v>1260000</v>
          </cell>
          <cell r="E152" t="str">
            <v>ACKERMAN</v>
          </cell>
        </row>
        <row r="153">
          <cell r="C153" t="str">
            <v>123-26</v>
          </cell>
          <cell r="D153">
            <v>1750000</v>
          </cell>
          <cell r="E153" t="str">
            <v>REBOLETTI</v>
          </cell>
        </row>
        <row r="154">
          <cell r="C154" t="str">
            <v>225-24</v>
          </cell>
          <cell r="D154">
            <v>1810000</v>
          </cell>
          <cell r="E154" t="str">
            <v>NEWELL</v>
          </cell>
        </row>
        <row r="155">
          <cell r="C155" t="str">
            <v>116-26</v>
          </cell>
          <cell r="D155">
            <v>1240000</v>
          </cell>
          <cell r="E155" t="str">
            <v>GRASTON</v>
          </cell>
        </row>
        <row r="156">
          <cell r="C156" t="str">
            <v>1822-24</v>
          </cell>
          <cell r="D156">
            <v>1540000</v>
          </cell>
          <cell r="E156" t="str">
            <v>HELVIE</v>
          </cell>
        </row>
        <row r="157">
          <cell r="C157" t="str">
            <v>802-26</v>
          </cell>
          <cell r="D157">
            <v>1110000</v>
          </cell>
          <cell r="E157" t="str">
            <v>STARKS</v>
          </cell>
        </row>
        <row r="158">
          <cell r="C158" t="str">
            <v>1827-24</v>
          </cell>
          <cell r="D158">
            <v>1750000</v>
          </cell>
          <cell r="E158" t="str">
            <v>REBOLETTI</v>
          </cell>
        </row>
        <row r="159">
          <cell r="C159" t="str">
            <v>114-26</v>
          </cell>
          <cell r="D159">
            <v>1540000</v>
          </cell>
          <cell r="E159" t="str">
            <v>HELVIE</v>
          </cell>
        </row>
        <row r="160">
          <cell r="C160" t="str">
            <v>231-24</v>
          </cell>
          <cell r="D160">
            <v>1290000</v>
          </cell>
          <cell r="E160" t="str">
            <v>COOLAHAN</v>
          </cell>
        </row>
        <row r="161">
          <cell r="C161" t="str">
            <v>119-26</v>
          </cell>
          <cell r="D161">
            <v>1990000</v>
          </cell>
          <cell r="E161" t="str">
            <v>DAVIS</v>
          </cell>
        </row>
        <row r="162">
          <cell r="C162" t="str">
            <v>232-24</v>
          </cell>
          <cell r="D162">
            <v>1290000</v>
          </cell>
          <cell r="E162" t="str">
            <v>COOLAHAN</v>
          </cell>
        </row>
        <row r="163">
          <cell r="C163" t="str">
            <v>801-26</v>
          </cell>
          <cell r="D163">
            <v>1110000</v>
          </cell>
          <cell r="E163" t="str">
            <v>STARKS</v>
          </cell>
        </row>
        <row r="164">
          <cell r="C164" t="str">
            <v>236-24</v>
          </cell>
          <cell r="D164">
            <v>1800000</v>
          </cell>
          <cell r="E164" t="str">
            <v>CHANDLER</v>
          </cell>
        </row>
        <row r="165">
          <cell r="C165" t="str">
            <v>117-26</v>
          </cell>
          <cell r="D165">
            <v>1260000</v>
          </cell>
          <cell r="E165" t="str">
            <v>ACKERMAN</v>
          </cell>
        </row>
        <row r="166">
          <cell r="C166" t="str">
            <v>802-25</v>
          </cell>
          <cell r="D166">
            <v>1750000</v>
          </cell>
          <cell r="E166" t="str">
            <v>REBOLETTI</v>
          </cell>
        </row>
        <row r="167">
          <cell r="C167" t="str">
            <v>110-26</v>
          </cell>
          <cell r="D167">
            <v>1750000</v>
          </cell>
          <cell r="E167" t="str">
            <v>REBOLETTI</v>
          </cell>
        </row>
        <row r="168">
          <cell r="C168" t="str">
            <v>229-24</v>
          </cell>
          <cell r="D168">
            <v>2030000</v>
          </cell>
          <cell r="E168" t="str">
            <v>KILLION</v>
          </cell>
        </row>
        <row r="169">
          <cell r="C169" t="str">
            <v>108-26</v>
          </cell>
          <cell r="D169">
            <v>1090000</v>
          </cell>
          <cell r="E169" t="str">
            <v>SPECTOR</v>
          </cell>
        </row>
        <row r="170">
          <cell r="C170" t="str">
            <v>1831-24</v>
          </cell>
          <cell r="D170">
            <v>1820000</v>
          </cell>
          <cell r="E170" t="str">
            <v>ADANE</v>
          </cell>
        </row>
        <row r="171">
          <cell r="C171" t="str">
            <v>108-26</v>
          </cell>
          <cell r="D171">
            <v>1090000</v>
          </cell>
          <cell r="E171" t="str">
            <v>SPECTOR</v>
          </cell>
        </row>
        <row r="172">
          <cell r="C172" t="str">
            <v>234-24</v>
          </cell>
          <cell r="D172">
            <v>1810000</v>
          </cell>
          <cell r="E172" t="str">
            <v>NEWELL</v>
          </cell>
        </row>
        <row r="173">
          <cell r="C173" t="str">
            <v>800-26</v>
          </cell>
          <cell r="D173">
            <v>1110000</v>
          </cell>
          <cell r="E173" t="str">
            <v>STARKS</v>
          </cell>
        </row>
        <row r="174">
          <cell r="C174" t="str">
            <v>240-24</v>
          </cell>
          <cell r="D174">
            <v>1290000</v>
          </cell>
          <cell r="E174" t="str">
            <v>COOLAHAN</v>
          </cell>
        </row>
        <row r="175">
          <cell r="C175" t="str">
            <v>800-26</v>
          </cell>
          <cell r="D175">
            <v>1110000</v>
          </cell>
          <cell r="E175" t="str">
            <v>STARKS</v>
          </cell>
        </row>
        <row r="176">
          <cell r="C176" t="str">
            <v>109-25</v>
          </cell>
          <cell r="D176">
            <v>1830000</v>
          </cell>
          <cell r="E176" t="str">
            <v>YORK</v>
          </cell>
        </row>
        <row r="177">
          <cell r="C177" t="str">
            <v>104-26</v>
          </cell>
          <cell r="D177">
            <v>1260000</v>
          </cell>
          <cell r="E177" t="str">
            <v>ACKERMAN</v>
          </cell>
        </row>
        <row r="178">
          <cell r="C178" t="str">
            <v>900-25</v>
          </cell>
          <cell r="D178">
            <v>890000</v>
          </cell>
          <cell r="E178" t="str">
            <v>LOZA</v>
          </cell>
        </row>
        <row r="179">
          <cell r="C179" t="str">
            <v>244-25</v>
          </cell>
          <cell r="D179">
            <v>1230000</v>
          </cell>
          <cell r="E179" t="str">
            <v>YANAI</v>
          </cell>
        </row>
        <row r="180">
          <cell r="C180" t="str">
            <v>114-25</v>
          </cell>
          <cell r="D180">
            <v>1480000</v>
          </cell>
          <cell r="E180" t="str">
            <v>STURGEON</v>
          </cell>
        </row>
        <row r="181">
          <cell r="C181" t="str">
            <v>236-25</v>
          </cell>
          <cell r="D181">
            <v>1230000</v>
          </cell>
          <cell r="E181" t="str">
            <v>YANAI</v>
          </cell>
        </row>
        <row r="182">
          <cell r="C182" t="str">
            <v>116-25</v>
          </cell>
          <cell r="D182">
            <v>1310000</v>
          </cell>
          <cell r="E182" t="str">
            <v>MALAVE</v>
          </cell>
        </row>
        <row r="183">
          <cell r="C183" t="str">
            <v>237-25</v>
          </cell>
          <cell r="D183">
            <v>1180000</v>
          </cell>
          <cell r="E183" t="str">
            <v>LEVERE</v>
          </cell>
        </row>
        <row r="184">
          <cell r="C184" t="str">
            <v>120-25</v>
          </cell>
          <cell r="D184">
            <v>1240000</v>
          </cell>
          <cell r="E184" t="str">
            <v>GRASTON</v>
          </cell>
        </row>
        <row r="185">
          <cell r="C185" t="str">
            <v>232-25</v>
          </cell>
          <cell r="D185">
            <v>1810000</v>
          </cell>
          <cell r="E185" t="str">
            <v>NEWELL</v>
          </cell>
        </row>
        <row r="186">
          <cell r="C186" t="str">
            <v>122-25</v>
          </cell>
          <cell r="D186">
            <v>1090000</v>
          </cell>
          <cell r="E186" t="str">
            <v>SPECTOR</v>
          </cell>
        </row>
        <row r="187">
          <cell r="C187" t="str">
            <v>902-25</v>
          </cell>
          <cell r="D187">
            <v>1770000</v>
          </cell>
          <cell r="E187" t="str">
            <v>BRUDER</v>
          </cell>
        </row>
        <row r="188">
          <cell r="C188" t="str">
            <v>133-25</v>
          </cell>
          <cell r="D188">
            <v>1190000</v>
          </cell>
          <cell r="E188" t="str">
            <v>BRANNON</v>
          </cell>
        </row>
        <row r="189">
          <cell r="C189" t="str">
            <v>868-25</v>
          </cell>
          <cell r="D189">
            <v>1740000</v>
          </cell>
          <cell r="E189" t="str">
            <v>STORY</v>
          </cell>
        </row>
        <row r="190">
          <cell r="C190" t="str">
            <v>145-25</v>
          </cell>
          <cell r="D190">
            <v>1310000</v>
          </cell>
          <cell r="E190" t="str">
            <v>MALAVE</v>
          </cell>
        </row>
        <row r="191">
          <cell r="C191" t="str">
            <v>865-25</v>
          </cell>
          <cell r="D191">
            <v>1740000</v>
          </cell>
          <cell r="E191" t="str">
            <v>STORY</v>
          </cell>
        </row>
        <row r="192">
          <cell r="C192" t="str">
            <v>140-25</v>
          </cell>
          <cell r="D192">
            <v>1830000</v>
          </cell>
          <cell r="E192" t="str">
            <v>YORK</v>
          </cell>
        </row>
        <row r="193">
          <cell r="C193" t="str">
            <v>229-25</v>
          </cell>
          <cell r="D193">
            <v>1180000</v>
          </cell>
          <cell r="E193" t="str">
            <v>LEVERE</v>
          </cell>
        </row>
        <row r="194">
          <cell r="C194" t="str">
            <v>140-25</v>
          </cell>
          <cell r="D194">
            <v>1830000</v>
          </cell>
          <cell r="E194" t="str">
            <v>YORK</v>
          </cell>
        </row>
        <row r="195">
          <cell r="C195" t="str">
            <v>850-25</v>
          </cell>
          <cell r="D195">
            <v>1740000</v>
          </cell>
          <cell r="E195" t="str">
            <v>STORY</v>
          </cell>
        </row>
        <row r="196">
          <cell r="C196" t="str">
            <v>142-25</v>
          </cell>
          <cell r="D196">
            <v>1110000</v>
          </cell>
          <cell r="E196" t="str">
            <v>STARKS</v>
          </cell>
        </row>
        <row r="197">
          <cell r="C197" t="str">
            <v>204-25</v>
          </cell>
          <cell r="D197">
            <v>2020000</v>
          </cell>
          <cell r="E197" t="str">
            <v>SHOOK</v>
          </cell>
        </row>
        <row r="198">
          <cell r="C198" t="str">
            <v>149-25</v>
          </cell>
          <cell r="D198">
            <v>1190000</v>
          </cell>
          <cell r="E198" t="str">
            <v>BRANNON</v>
          </cell>
        </row>
        <row r="199">
          <cell r="C199" t="str">
            <v>840-25</v>
          </cell>
          <cell r="D199">
            <v>1820000</v>
          </cell>
          <cell r="E199" t="str">
            <v>ADANE</v>
          </cell>
        </row>
        <row r="200">
          <cell r="C200" t="str">
            <v>146-25</v>
          </cell>
          <cell r="D200">
            <v>1240000</v>
          </cell>
          <cell r="E200" t="str">
            <v>GRASTON</v>
          </cell>
        </row>
        <row r="201">
          <cell r="C201" t="str">
            <v>205-25</v>
          </cell>
          <cell r="D201">
            <v>880000</v>
          </cell>
          <cell r="E201" t="str">
            <v>STEWART</v>
          </cell>
        </row>
        <row r="202">
          <cell r="C202" t="str">
            <v>801-25</v>
          </cell>
          <cell r="D202">
            <v>1820000</v>
          </cell>
          <cell r="E202" t="str">
            <v>ADANE</v>
          </cell>
        </row>
        <row r="203">
          <cell r="C203" t="str">
            <v>834-25</v>
          </cell>
          <cell r="D203">
            <v>1820000</v>
          </cell>
          <cell r="E203" t="str">
            <v>ADANE</v>
          </cell>
        </row>
        <row r="204">
          <cell r="C204" t="str">
            <v>803-25</v>
          </cell>
          <cell r="D204">
            <v>900000</v>
          </cell>
          <cell r="E204" t="str">
            <v>ROCHA</v>
          </cell>
        </row>
        <row r="205">
          <cell r="C205" t="str">
            <v>832-25</v>
          </cell>
          <cell r="D205">
            <v>1290000</v>
          </cell>
          <cell r="E205" t="str">
            <v>COOLAHAN</v>
          </cell>
        </row>
        <row r="206">
          <cell r="C206" t="str">
            <v>808-25</v>
          </cell>
          <cell r="D206">
            <v>1750000</v>
          </cell>
          <cell r="E206" t="str">
            <v>REBOLETTI</v>
          </cell>
        </row>
        <row r="207">
          <cell r="C207" t="str">
            <v>190-25</v>
          </cell>
          <cell r="D207">
            <v>2020000</v>
          </cell>
          <cell r="E207" t="str">
            <v>SHOOK</v>
          </cell>
        </row>
        <row r="208">
          <cell r="C208" t="str">
            <v>173-25</v>
          </cell>
          <cell r="D208">
            <v>2020000</v>
          </cell>
          <cell r="E208" t="str">
            <v>SHOOK</v>
          </cell>
        </row>
        <row r="209">
          <cell r="C209" t="str">
            <v>195-25</v>
          </cell>
          <cell r="D209">
            <v>940000</v>
          </cell>
          <cell r="E209" t="str">
            <v>BONDS</v>
          </cell>
        </row>
        <row r="210">
          <cell r="C210" t="str">
            <v>168-25</v>
          </cell>
          <cell r="D210">
            <v>1520000</v>
          </cell>
          <cell r="E210" t="str">
            <v>MAYBERRY</v>
          </cell>
        </row>
        <row r="211">
          <cell r="C211" t="str">
            <v>828-25</v>
          </cell>
          <cell r="D211">
            <v>1820000</v>
          </cell>
          <cell r="E211" t="str">
            <v>ADANE</v>
          </cell>
        </row>
        <row r="212">
          <cell r="C212" t="str">
            <v>172-25</v>
          </cell>
          <cell r="D212">
            <v>1120000</v>
          </cell>
          <cell r="E212" t="str">
            <v>LOCKLEAR</v>
          </cell>
        </row>
        <row r="213">
          <cell r="C213" t="str">
            <v>826-25</v>
          </cell>
          <cell r="D213">
            <v>1750000</v>
          </cell>
          <cell r="E213" t="str">
            <v>REBOLETTI</v>
          </cell>
        </row>
        <row r="214">
          <cell r="C214" t="str">
            <v>819-25</v>
          </cell>
          <cell r="D214">
            <v>1820000</v>
          </cell>
          <cell r="E214" t="str">
            <v>ADANE</v>
          </cell>
        </row>
        <row r="215">
          <cell r="C215" t="str">
            <v>182-25</v>
          </cell>
          <cell r="D215">
            <v>940000</v>
          </cell>
          <cell r="E215" t="str">
            <v>BONDS</v>
          </cell>
        </row>
        <row r="216">
          <cell r="C216" t="str">
            <v>191-25</v>
          </cell>
          <cell r="D216">
            <v>880000</v>
          </cell>
          <cell r="E216" t="str">
            <v>STEWART</v>
          </cell>
        </row>
        <row r="217">
          <cell r="C217" t="str">
            <v>185-25</v>
          </cell>
          <cell r="D217">
            <v>1140000</v>
          </cell>
          <cell r="E217" t="str">
            <v>YOUNG</v>
          </cell>
        </row>
        <row r="218">
          <cell r="C218" t="str">
            <v>184-25</v>
          </cell>
          <cell r="D218">
            <v>1520000</v>
          </cell>
          <cell r="E218" t="str">
            <v>MAYBERRY</v>
          </cell>
        </row>
        <row r="219">
          <cell r="C219" t="str">
            <v>171-25</v>
          </cell>
          <cell r="D219">
            <v>1120000</v>
          </cell>
          <cell r="E219" t="str">
            <v>LOCKLEAR</v>
          </cell>
        </row>
        <row r="220">
          <cell r="C220" t="str">
            <v>831-25</v>
          </cell>
          <cell r="D220">
            <v>1820000</v>
          </cell>
          <cell r="E220" t="str">
            <v>ADANE</v>
          </cell>
        </row>
        <row r="221">
          <cell r="C221" t="str">
            <v>162-25</v>
          </cell>
          <cell r="D221">
            <v>880000</v>
          </cell>
          <cell r="E221" t="str">
            <v>STEWART</v>
          </cell>
        </row>
        <row r="222">
          <cell r="C222" t="str">
            <v>833-25</v>
          </cell>
          <cell r="D222">
            <v>1770000</v>
          </cell>
          <cell r="E222" t="str">
            <v>BRUDER</v>
          </cell>
        </row>
        <row r="223">
          <cell r="C223" t="str">
            <v>809-25</v>
          </cell>
          <cell r="D223">
            <v>900000</v>
          </cell>
          <cell r="E223" t="str">
            <v>ROCHA</v>
          </cell>
        </row>
        <row r="224">
          <cell r="C224" t="str">
            <v>197-25</v>
          </cell>
          <cell r="D224">
            <v>1520000</v>
          </cell>
          <cell r="E224" t="str">
            <v>MAYBERRY</v>
          </cell>
        </row>
        <row r="225">
          <cell r="C225" t="str">
            <v>223-25</v>
          </cell>
          <cell r="D225">
            <v>1810000</v>
          </cell>
          <cell r="E225" t="str">
            <v>NEWELL</v>
          </cell>
        </row>
        <row r="226">
          <cell r="C226" t="str">
            <v>210-25</v>
          </cell>
          <cell r="D226">
            <v>1180000</v>
          </cell>
          <cell r="E226" t="str">
            <v>LEVERE</v>
          </cell>
        </row>
        <row r="227">
          <cell r="C227" t="str">
            <v>219-25</v>
          </cell>
          <cell r="D227">
            <v>1230000</v>
          </cell>
          <cell r="E227" t="str">
            <v>YANAI</v>
          </cell>
        </row>
        <row r="228">
          <cell r="C228" t="str">
            <v>225-25</v>
          </cell>
          <cell r="D228">
            <v>1800000</v>
          </cell>
          <cell r="E228" t="str">
            <v>CHANDLER</v>
          </cell>
        </row>
        <row r="229">
          <cell r="C229" t="str">
            <v>848-25</v>
          </cell>
          <cell r="D229">
            <v>1770000</v>
          </cell>
          <cell r="E229" t="str">
            <v>BRUDER</v>
          </cell>
        </row>
        <row r="230">
          <cell r="C230" t="str">
            <v>165-25</v>
          </cell>
          <cell r="D230">
            <v>940000</v>
          </cell>
          <cell r="E230" t="str">
            <v>BONDS</v>
          </cell>
        </row>
        <row r="231">
          <cell r="C231" t="str">
            <v>217-25</v>
          </cell>
          <cell r="D231">
            <v>1800000</v>
          </cell>
          <cell r="E231" t="str">
            <v>CHANDLER</v>
          </cell>
        </row>
        <row r="232">
          <cell r="C232" t="str">
            <v>164-25</v>
          </cell>
          <cell r="D232">
            <v>1280000</v>
          </cell>
          <cell r="E232" t="str">
            <v>BARTLETT</v>
          </cell>
        </row>
        <row r="233">
          <cell r="C233" t="str">
            <v>842-25</v>
          </cell>
          <cell r="D233">
            <v>1770000</v>
          </cell>
          <cell r="E233" t="str">
            <v>BRUDER</v>
          </cell>
        </row>
        <row r="234">
          <cell r="C234" t="str">
            <v>166-25</v>
          </cell>
          <cell r="D234">
            <v>940000</v>
          </cell>
          <cell r="E234" t="str">
            <v>BONDS</v>
          </cell>
        </row>
        <row r="235">
          <cell r="C235" t="str">
            <v>203-25</v>
          </cell>
          <cell r="D235">
            <v>2020000</v>
          </cell>
          <cell r="E235" t="str">
            <v>SHOOK</v>
          </cell>
        </row>
        <row r="236">
          <cell r="C236" t="str">
            <v>173-25</v>
          </cell>
          <cell r="D236">
            <v>2020000</v>
          </cell>
          <cell r="E236" t="str">
            <v>SHOOK</v>
          </cell>
        </row>
        <row r="237">
          <cell r="C237" t="str">
            <v>190-25</v>
          </cell>
          <cell r="D237">
            <v>2020000</v>
          </cell>
          <cell r="E237" t="str">
            <v>SHOOK</v>
          </cell>
        </row>
        <row r="238">
          <cell r="C238" t="str">
            <v>178-25</v>
          </cell>
          <cell r="D238">
            <v>1280000</v>
          </cell>
          <cell r="E238" t="str">
            <v>BARTLETT</v>
          </cell>
        </row>
        <row r="239">
          <cell r="C239" t="str">
            <v>187-25</v>
          </cell>
          <cell r="D239">
            <v>1120000</v>
          </cell>
          <cell r="E239" t="str">
            <v>LOCKLEAR</v>
          </cell>
        </row>
        <row r="240">
          <cell r="C240" t="str">
            <v>830-25</v>
          </cell>
          <cell r="D240">
            <v>1770000</v>
          </cell>
          <cell r="E240" t="str">
            <v>BRUDER</v>
          </cell>
        </row>
        <row r="241">
          <cell r="C241" t="str">
            <v>823-25</v>
          </cell>
          <cell r="D241">
            <v>1750000</v>
          </cell>
          <cell r="E241" t="str">
            <v>REBOLETTI</v>
          </cell>
        </row>
        <row r="242">
          <cell r="C242" t="str">
            <v>190-25</v>
          </cell>
          <cell r="D242">
            <v>2020000</v>
          </cell>
          <cell r="E242" t="str">
            <v>SHOOK</v>
          </cell>
        </row>
        <row r="243">
          <cell r="C243" t="str">
            <v>822-25</v>
          </cell>
          <cell r="D243">
            <v>1820000</v>
          </cell>
          <cell r="E243" t="str">
            <v>ADANE</v>
          </cell>
        </row>
        <row r="244">
          <cell r="C244" t="str">
            <v>202-25</v>
          </cell>
          <cell r="D244">
            <v>1120000</v>
          </cell>
          <cell r="E244" t="str">
            <v>LOCKLEAR</v>
          </cell>
        </row>
        <row r="245">
          <cell r="C245" t="str">
            <v>174-25</v>
          </cell>
          <cell r="D245">
            <v>2020000</v>
          </cell>
          <cell r="E245" t="str">
            <v>SHOOK</v>
          </cell>
        </row>
        <row r="246">
          <cell r="C246" t="str">
            <v>844-25</v>
          </cell>
          <cell r="D246">
            <v>1740000</v>
          </cell>
          <cell r="E246" t="str">
            <v>STORY</v>
          </cell>
        </row>
        <row r="247">
          <cell r="C247" t="str">
            <v>813-25</v>
          </cell>
          <cell r="D247">
            <v>1820000</v>
          </cell>
          <cell r="E247" t="str">
            <v>ADANE</v>
          </cell>
        </row>
        <row r="248">
          <cell r="C248" t="str">
            <v>214-25</v>
          </cell>
          <cell r="D248">
            <v>1810000</v>
          </cell>
          <cell r="E248" t="str">
            <v>NEWELL</v>
          </cell>
        </row>
        <row r="249">
          <cell r="C249" t="str">
            <v>807-25</v>
          </cell>
          <cell r="D249">
            <v>1820000</v>
          </cell>
          <cell r="E249" t="str">
            <v>ADANE</v>
          </cell>
        </row>
        <row r="250">
          <cell r="C250" t="str">
            <v>853-25</v>
          </cell>
          <cell r="D250">
            <v>1740000</v>
          </cell>
          <cell r="E250" t="str">
            <v>STORY</v>
          </cell>
        </row>
        <row r="251">
          <cell r="C251" t="str">
            <v>156-25</v>
          </cell>
          <cell r="D251">
            <v>1110000</v>
          </cell>
          <cell r="E251" t="str">
            <v>STARKS</v>
          </cell>
        </row>
        <row r="252">
          <cell r="C252" t="str">
            <v>857-25</v>
          </cell>
          <cell r="D252">
            <v>1770000</v>
          </cell>
          <cell r="E252" t="str">
            <v>BRUDER</v>
          </cell>
        </row>
        <row r="253">
          <cell r="C253" t="str">
            <v>235-24</v>
          </cell>
          <cell r="D253">
            <v>1800000</v>
          </cell>
          <cell r="E253" t="str">
            <v>CHANDLER</v>
          </cell>
        </row>
        <row r="254">
          <cell r="C254" t="str">
            <v>858-25</v>
          </cell>
          <cell r="D254">
            <v>1290000</v>
          </cell>
          <cell r="E254" t="str">
            <v>COOLAHAN</v>
          </cell>
        </row>
        <row r="255">
          <cell r="C255" t="str">
            <v>228-24</v>
          </cell>
          <cell r="D255">
            <v>1800000</v>
          </cell>
          <cell r="E255" t="str">
            <v>CHANDLER</v>
          </cell>
        </row>
        <row r="256">
          <cell r="C256" t="str">
            <v>859-25</v>
          </cell>
          <cell r="D256">
            <v>1740000</v>
          </cell>
          <cell r="E256" t="str">
            <v>STORY</v>
          </cell>
        </row>
        <row r="257">
          <cell r="C257" t="str">
            <v>227-24</v>
          </cell>
          <cell r="D257">
            <v>1800000</v>
          </cell>
          <cell r="E257" t="str">
            <v>CHANDLER</v>
          </cell>
        </row>
        <row r="258">
          <cell r="C258" t="str">
            <v>860-25</v>
          </cell>
          <cell r="D258">
            <v>1770000</v>
          </cell>
          <cell r="E258" t="str">
            <v>BRUDER</v>
          </cell>
        </row>
        <row r="259">
          <cell r="C259" t="str">
            <v>1824-24</v>
          </cell>
          <cell r="D259">
            <v>1740000</v>
          </cell>
          <cell r="E259" t="str">
            <v>STORY</v>
          </cell>
        </row>
        <row r="260">
          <cell r="C260" t="str">
            <v>866-25</v>
          </cell>
          <cell r="D260">
            <v>1770000</v>
          </cell>
          <cell r="E260" t="str">
            <v>BRUDER</v>
          </cell>
        </row>
        <row r="261">
          <cell r="C261" t="str">
            <v>901-25</v>
          </cell>
          <cell r="D261">
            <v>900000</v>
          </cell>
          <cell r="E261" t="str">
            <v>ROCHA</v>
          </cell>
        </row>
        <row r="262">
          <cell r="C262" t="str">
            <v>870-25</v>
          </cell>
          <cell r="D262">
            <v>1290000</v>
          </cell>
          <cell r="E262" t="str">
            <v>COOLAHAN</v>
          </cell>
        </row>
        <row r="263">
          <cell r="C263" t="str">
            <v>134-25</v>
          </cell>
          <cell r="D263">
            <v>1190000</v>
          </cell>
          <cell r="E263" t="str">
            <v>BRANNON</v>
          </cell>
        </row>
        <row r="264">
          <cell r="C264" t="str">
            <v>905-25</v>
          </cell>
          <cell r="D264">
            <v>1290000</v>
          </cell>
          <cell r="E264" t="str">
            <v>COOLAHAN</v>
          </cell>
        </row>
        <row r="265">
          <cell r="C265" t="str">
            <v>139-25</v>
          </cell>
          <cell r="D265">
            <v>1110000</v>
          </cell>
          <cell r="E265" t="str">
            <v>STARKS</v>
          </cell>
        </row>
        <row r="266">
          <cell r="C266" t="str">
            <v>243-25</v>
          </cell>
          <cell r="D266">
            <v>1230000</v>
          </cell>
          <cell r="E266" t="str">
            <v>YANAI</v>
          </cell>
        </row>
        <row r="267">
          <cell r="C267" t="str">
            <v>128-25</v>
          </cell>
          <cell r="D267">
            <v>1480000</v>
          </cell>
          <cell r="E267" t="str">
            <v>STURGEON</v>
          </cell>
        </row>
        <row r="268">
          <cell r="C268" t="str">
            <v>103-26</v>
          </cell>
          <cell r="D268">
            <v>1260000</v>
          </cell>
          <cell r="E268" t="str">
            <v>ACKERMAN</v>
          </cell>
        </row>
        <row r="269">
          <cell r="C269" t="str">
            <v>129-25</v>
          </cell>
          <cell r="D269">
            <v>1310000</v>
          </cell>
          <cell r="E269" t="str">
            <v>MALAVE</v>
          </cell>
        </row>
        <row r="270">
          <cell r="C270" t="str">
            <v>109-26</v>
          </cell>
          <cell r="D270">
            <v>1750000</v>
          </cell>
          <cell r="E270" t="str">
            <v>REBOLETTI</v>
          </cell>
        </row>
        <row r="271">
          <cell r="C271" t="str">
            <v>127-25</v>
          </cell>
          <cell r="D271">
            <v>1480000</v>
          </cell>
          <cell r="E271" t="str">
            <v>STURGEON</v>
          </cell>
        </row>
        <row r="272">
          <cell r="C272" t="str">
            <v>111-26</v>
          </cell>
          <cell r="D272">
            <v>1100000</v>
          </cell>
          <cell r="E272" t="str">
            <v>GEBRETEKLE</v>
          </cell>
        </row>
        <row r="273">
          <cell r="C273" t="str">
            <v>125-25</v>
          </cell>
          <cell r="D273">
            <v>1110000</v>
          </cell>
          <cell r="E273" t="str">
            <v>STARKS</v>
          </cell>
        </row>
        <row r="274">
          <cell r="C274" t="str">
            <v>115-26</v>
          </cell>
          <cell r="D274">
            <v>1240000</v>
          </cell>
          <cell r="E274" t="str">
            <v>GRASTON</v>
          </cell>
        </row>
        <row r="275">
          <cell r="C275" t="str">
            <v>108-25</v>
          </cell>
          <cell r="D275">
            <v>1090000</v>
          </cell>
          <cell r="E275" t="str">
            <v>SPECTOR</v>
          </cell>
        </row>
        <row r="276">
          <cell r="C276" t="str">
            <v>112-26</v>
          </cell>
          <cell r="D276">
            <v>1100000</v>
          </cell>
          <cell r="E276" t="str">
            <v>GEBRETEKLE</v>
          </cell>
        </row>
        <row r="277">
          <cell r="C277" t="str">
            <v>238-24</v>
          </cell>
          <cell r="D277">
            <v>2030000</v>
          </cell>
          <cell r="E277" t="str">
            <v>KILLION</v>
          </cell>
        </row>
        <row r="278">
          <cell r="C278" t="str">
            <v>121-26</v>
          </cell>
          <cell r="D278">
            <v>1090000</v>
          </cell>
          <cell r="E278" t="str">
            <v>SPECTOR</v>
          </cell>
        </row>
        <row r="279">
          <cell r="C279" t="str">
            <v>239-24</v>
          </cell>
          <cell r="D279">
            <v>1290000</v>
          </cell>
          <cell r="E279" t="str">
            <v>COOLAHAN</v>
          </cell>
        </row>
        <row r="280">
          <cell r="C280" t="str">
            <v>118-26</v>
          </cell>
          <cell r="D280">
            <v>1260000</v>
          </cell>
          <cell r="E280" t="str">
            <v>ACKERMAN</v>
          </cell>
        </row>
        <row r="281">
          <cell r="C281" t="str">
            <v>237-24</v>
          </cell>
          <cell r="D281">
            <v>2030000</v>
          </cell>
          <cell r="E281" t="str">
            <v>KILLION</v>
          </cell>
        </row>
        <row r="282">
          <cell r="C282" t="str">
            <v>118-26</v>
          </cell>
          <cell r="D282">
            <v>1260000</v>
          </cell>
          <cell r="E282" t="str">
            <v>ACKERMAN</v>
          </cell>
        </row>
        <row r="283">
          <cell r="C283" t="str">
            <v>2008-24</v>
          </cell>
          <cell r="D283">
            <v>1750000</v>
          </cell>
          <cell r="E283" t="str">
            <v>REBOLETTI</v>
          </cell>
        </row>
        <row r="284">
          <cell r="C284" t="str">
            <v>122-26</v>
          </cell>
          <cell r="D284">
            <v>1090000</v>
          </cell>
          <cell r="E284" t="str">
            <v>SPECTOR</v>
          </cell>
        </row>
        <row r="285">
          <cell r="C285" t="str">
            <v>230-24</v>
          </cell>
          <cell r="D285">
            <v>2030000</v>
          </cell>
          <cell r="E285" t="str">
            <v>KILLION</v>
          </cell>
        </row>
        <row r="286">
          <cell r="C286" t="str">
            <v>220-24</v>
          </cell>
          <cell r="D286">
            <v>1800000</v>
          </cell>
          <cell r="E286" t="str">
            <v>CHANDLER</v>
          </cell>
        </row>
        <row r="287">
          <cell r="C287" t="str">
            <v>1830-24</v>
          </cell>
          <cell r="D287">
            <v>1740000</v>
          </cell>
          <cell r="E287" t="str">
            <v>STORY</v>
          </cell>
        </row>
        <row r="288">
          <cell r="C288" t="str">
            <v>1823-24</v>
          </cell>
          <cell r="D288">
            <v>1740000</v>
          </cell>
          <cell r="E288" t="str">
            <v>STORY</v>
          </cell>
        </row>
        <row r="289">
          <cell r="C289" t="str">
            <v>1829-24</v>
          </cell>
          <cell r="D289">
            <v>1740000</v>
          </cell>
          <cell r="E289" t="str">
            <v>STORY</v>
          </cell>
        </row>
        <row r="290">
          <cell r="C290" t="str">
            <v>1833-24</v>
          </cell>
          <cell r="D290">
            <v>1750000</v>
          </cell>
          <cell r="E290" t="str">
            <v>REBOLETTI</v>
          </cell>
        </row>
        <row r="291">
          <cell r="C291" t="str">
            <v>1819-24</v>
          </cell>
          <cell r="D291">
            <v>1820000</v>
          </cell>
          <cell r="E291" t="str">
            <v>ADANE</v>
          </cell>
        </row>
        <row r="292">
          <cell r="C292" t="str">
            <v>1816-24</v>
          </cell>
          <cell r="D292">
            <v>1750000</v>
          </cell>
          <cell r="E292" t="str">
            <v>REBOLETTI</v>
          </cell>
        </row>
        <row r="293">
          <cell r="C293" t="str">
            <v>133-26</v>
          </cell>
          <cell r="D293">
            <v>1990000</v>
          </cell>
          <cell r="E293" t="str">
            <v>DAVIS</v>
          </cell>
        </row>
        <row r="294">
          <cell r="C294" t="str">
            <v>1821-24</v>
          </cell>
          <cell r="D294">
            <v>1540000</v>
          </cell>
          <cell r="E294" t="str">
            <v>HELVIE</v>
          </cell>
        </row>
        <row r="295">
          <cell r="C295" t="str">
            <v>804-26</v>
          </cell>
          <cell r="D295">
            <v>1300000</v>
          </cell>
          <cell r="E295" t="str">
            <v>LEVIN</v>
          </cell>
        </row>
        <row r="296">
          <cell r="C296" t="str">
            <v>226-24</v>
          </cell>
          <cell r="D296">
            <v>1810000</v>
          </cell>
          <cell r="E296" t="str">
            <v>NEWELL</v>
          </cell>
        </row>
        <row r="297">
          <cell r="C297" t="str">
            <v>108-26</v>
          </cell>
          <cell r="D297">
            <v>1090000</v>
          </cell>
          <cell r="E297" t="str">
            <v>SPECTOR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237-25</v>
          </cell>
          <cell r="D299">
            <v>1180000</v>
          </cell>
          <cell r="E299" t="str">
            <v>LEVERE</v>
          </cell>
        </row>
        <row r="300">
          <cell r="C300" t="str">
            <v>103-25</v>
          </cell>
          <cell r="D300">
            <v>1260000</v>
          </cell>
          <cell r="E300" t="str">
            <v>ACKERMAN</v>
          </cell>
        </row>
        <row r="301">
          <cell r="C301" t="str">
            <v>234-25</v>
          </cell>
          <cell r="D301">
            <v>1800000</v>
          </cell>
          <cell r="E301" t="str">
            <v>CHANDLER</v>
          </cell>
        </row>
        <row r="302">
          <cell r="C302" t="str">
            <v>102-25</v>
          </cell>
          <cell r="D302">
            <v>1480000</v>
          </cell>
          <cell r="E302" t="str">
            <v>STURGEON</v>
          </cell>
        </row>
        <row r="303">
          <cell r="C303" t="str">
            <v>234-25</v>
          </cell>
          <cell r="D303">
            <v>1800000</v>
          </cell>
          <cell r="E303" t="str">
            <v>CHANDLER</v>
          </cell>
        </row>
        <row r="304">
          <cell r="C304" t="str">
            <v>107-25</v>
          </cell>
          <cell r="D304">
            <v>1090000</v>
          </cell>
          <cell r="E304" t="str">
            <v>SPECTOR</v>
          </cell>
        </row>
        <row r="305">
          <cell r="C305" t="str">
            <v>230-25</v>
          </cell>
          <cell r="D305">
            <v>1180000</v>
          </cell>
          <cell r="E305" t="str">
            <v>LEVERE</v>
          </cell>
        </row>
        <row r="306">
          <cell r="C306" t="str">
            <v>104-25</v>
          </cell>
          <cell r="D306">
            <v>1260000</v>
          </cell>
          <cell r="E306" t="str">
            <v>ACKERMAN</v>
          </cell>
        </row>
        <row r="307">
          <cell r="C307" t="str">
            <v>864-25</v>
          </cell>
          <cell r="D307">
            <v>1290000</v>
          </cell>
          <cell r="E307" t="str">
            <v>COOLAHAN</v>
          </cell>
        </row>
        <row r="308">
          <cell r="C308" t="str">
            <v>110-25</v>
          </cell>
          <cell r="D308">
            <v>1830000</v>
          </cell>
          <cell r="E308" t="str">
            <v>YORK</v>
          </cell>
        </row>
        <row r="309">
          <cell r="C309" t="str">
            <v>224-25</v>
          </cell>
          <cell r="D309">
            <v>1810000</v>
          </cell>
          <cell r="E309" t="str">
            <v>NEWELL</v>
          </cell>
        </row>
        <row r="310">
          <cell r="C310" t="str">
            <v>115-25</v>
          </cell>
          <cell r="D310">
            <v>1310000</v>
          </cell>
          <cell r="E310" t="str">
            <v>MALAVE</v>
          </cell>
        </row>
        <row r="311">
          <cell r="C311" t="str">
            <v>208-25</v>
          </cell>
          <cell r="D311">
            <v>1280000</v>
          </cell>
          <cell r="E311" t="str">
            <v>BARTLETT</v>
          </cell>
        </row>
        <row r="312">
          <cell r="C312" t="str">
            <v>121-25</v>
          </cell>
          <cell r="D312">
            <v>1090000</v>
          </cell>
          <cell r="E312" t="str">
            <v>SPECTOR</v>
          </cell>
        </row>
        <row r="313">
          <cell r="C313" t="str">
            <v>213-25</v>
          </cell>
          <cell r="D313">
            <v>1810000</v>
          </cell>
          <cell r="E313" t="str">
            <v>NEWELL</v>
          </cell>
        </row>
        <row r="314">
          <cell r="C314" t="str">
            <v>900-25</v>
          </cell>
          <cell r="D314">
            <v>890000</v>
          </cell>
          <cell r="E314" t="str">
            <v>LOZA</v>
          </cell>
        </row>
        <row r="315">
          <cell r="C315" t="str">
            <v>843-25</v>
          </cell>
          <cell r="D315">
            <v>1290000</v>
          </cell>
          <cell r="E315" t="str">
            <v>COOLAHAN</v>
          </cell>
        </row>
        <row r="316">
          <cell r="C316" t="str">
            <v>118-25</v>
          </cell>
          <cell r="D316">
            <v>1260000</v>
          </cell>
          <cell r="E316" t="str">
            <v>ACKERMAN</v>
          </cell>
        </row>
        <row r="317">
          <cell r="C317" t="str">
            <v>206-25</v>
          </cell>
          <cell r="D317">
            <v>880000</v>
          </cell>
          <cell r="E317" t="str">
            <v>STEWART</v>
          </cell>
        </row>
        <row r="318">
          <cell r="C318" t="str">
            <v>141-25</v>
          </cell>
          <cell r="D318">
            <v>1480000</v>
          </cell>
          <cell r="E318" t="str">
            <v>STURGEON</v>
          </cell>
        </row>
        <row r="319">
          <cell r="C319" t="str">
            <v>211-25</v>
          </cell>
          <cell r="D319">
            <v>2030000</v>
          </cell>
          <cell r="E319" t="str">
            <v>KILLION</v>
          </cell>
        </row>
        <row r="320">
          <cell r="C320" t="str">
            <v>151-25</v>
          </cell>
          <cell r="D320">
            <v>1090000</v>
          </cell>
          <cell r="E320" t="str">
            <v>SPECTOR</v>
          </cell>
        </row>
        <row r="321">
          <cell r="C321" t="str">
            <v>841-25</v>
          </cell>
          <cell r="D321">
            <v>1790000</v>
          </cell>
          <cell r="E321" t="str">
            <v>LYNN</v>
          </cell>
        </row>
        <row r="322">
          <cell r="C322" t="str">
            <v>150-25</v>
          </cell>
          <cell r="D322">
            <v>1260000</v>
          </cell>
          <cell r="E322" t="str">
            <v>ACKERMAN</v>
          </cell>
        </row>
        <row r="323">
          <cell r="C323" t="str">
            <v>841-25</v>
          </cell>
          <cell r="D323">
            <v>1790000</v>
          </cell>
          <cell r="E323" t="str">
            <v>LYNN</v>
          </cell>
        </row>
        <row r="324">
          <cell r="C324" t="str">
            <v>157-25</v>
          </cell>
          <cell r="D324">
            <v>890000</v>
          </cell>
          <cell r="E324" t="str">
            <v>LOZA</v>
          </cell>
        </row>
        <row r="325">
          <cell r="C325" t="str">
            <v>839-25</v>
          </cell>
          <cell r="D325">
            <v>1770000</v>
          </cell>
          <cell r="E325" t="str">
            <v>BRUDER</v>
          </cell>
        </row>
        <row r="326">
          <cell r="C326" t="str">
            <v>152-25</v>
          </cell>
          <cell r="D326">
            <v>1190000</v>
          </cell>
          <cell r="E326" t="str">
            <v>BRANNON</v>
          </cell>
        </row>
        <row r="327">
          <cell r="C327" t="str">
            <v>196-25</v>
          </cell>
          <cell r="D327">
            <v>940000</v>
          </cell>
          <cell r="E327" t="str">
            <v>BONDS</v>
          </cell>
        </row>
        <row r="328">
          <cell r="C328" t="str">
            <v>158-25</v>
          </cell>
          <cell r="D328">
            <v>890000</v>
          </cell>
          <cell r="E328" t="str">
            <v>LOZA</v>
          </cell>
        </row>
        <row r="329">
          <cell r="C329" t="str">
            <v>192-25</v>
          </cell>
          <cell r="D329">
            <v>880000</v>
          </cell>
          <cell r="E329" t="str">
            <v>STEWART</v>
          </cell>
        </row>
        <row r="330">
          <cell r="C330" t="str">
            <v>169-25</v>
          </cell>
          <cell r="D330">
            <v>1140000</v>
          </cell>
          <cell r="E330" t="str">
            <v>YOUNG</v>
          </cell>
        </row>
        <row r="331">
          <cell r="C331" t="str">
            <v>830-25</v>
          </cell>
          <cell r="D331">
            <v>1770000</v>
          </cell>
          <cell r="E331" t="str">
            <v>BRUDER</v>
          </cell>
        </row>
        <row r="332">
          <cell r="C332" t="str">
            <v>166-25</v>
          </cell>
          <cell r="D332">
            <v>940000</v>
          </cell>
          <cell r="E332" t="str">
            <v>BONDS</v>
          </cell>
        </row>
        <row r="333">
          <cell r="C333" t="str">
            <v>827-25</v>
          </cell>
          <cell r="D333">
            <v>1770000</v>
          </cell>
          <cell r="E333" t="str">
            <v>BRUDER</v>
          </cell>
        </row>
        <row r="334">
          <cell r="C334" t="str">
            <v>175-25</v>
          </cell>
          <cell r="D334">
            <v>880000</v>
          </cell>
          <cell r="E334" t="str">
            <v>STEWART</v>
          </cell>
        </row>
        <row r="335">
          <cell r="C335" t="str">
            <v>193-25</v>
          </cell>
          <cell r="D335">
            <v>1280000</v>
          </cell>
          <cell r="E335" t="str">
            <v>BARTLETT</v>
          </cell>
        </row>
        <row r="336">
          <cell r="C336" t="str">
            <v>183-25</v>
          </cell>
          <cell r="D336">
            <v>1520000</v>
          </cell>
          <cell r="E336" t="str">
            <v>MAYBERRY</v>
          </cell>
        </row>
        <row r="337">
          <cell r="C337" t="str">
            <v>185-25</v>
          </cell>
          <cell r="D337">
            <v>1140000</v>
          </cell>
          <cell r="E337" t="str">
            <v>YOUNG</v>
          </cell>
        </row>
        <row r="338">
          <cell r="C338" t="str">
            <v>183-25</v>
          </cell>
          <cell r="D338">
            <v>1520000</v>
          </cell>
          <cell r="E338" t="str">
            <v>MAYBERRY</v>
          </cell>
        </row>
        <row r="339">
          <cell r="C339" t="str">
            <v>181-25</v>
          </cell>
          <cell r="D339">
            <v>940000</v>
          </cell>
          <cell r="E339" t="str">
            <v>BONDS</v>
          </cell>
        </row>
        <row r="340">
          <cell r="C340" t="str">
            <v>824-25</v>
          </cell>
          <cell r="D340">
            <v>900000</v>
          </cell>
          <cell r="E340" t="str">
            <v>ROCHA</v>
          </cell>
        </row>
        <row r="341">
          <cell r="C341" t="str">
            <v>183-25</v>
          </cell>
          <cell r="D341">
            <v>1520000</v>
          </cell>
          <cell r="E341" t="str">
            <v>MAYBERRY</v>
          </cell>
        </row>
        <row r="342">
          <cell r="C342" t="str">
            <v>189-25</v>
          </cell>
          <cell r="D342">
            <v>2020000</v>
          </cell>
          <cell r="E342" t="str">
            <v>SHOOK</v>
          </cell>
        </row>
        <row r="343">
          <cell r="C343" t="str">
            <v>818-25</v>
          </cell>
          <cell r="D343">
            <v>900000</v>
          </cell>
          <cell r="E343" t="str">
            <v>ROCHA</v>
          </cell>
        </row>
        <row r="344">
          <cell r="C344" t="str">
            <v>824-25</v>
          </cell>
          <cell r="D344">
            <v>900000</v>
          </cell>
          <cell r="E344" t="str">
            <v>ROCHA</v>
          </cell>
        </row>
        <row r="345">
          <cell r="C345" t="str">
            <v>814-25</v>
          </cell>
          <cell r="D345">
            <v>1750000</v>
          </cell>
          <cell r="E345" t="str">
            <v>REBOLETTI</v>
          </cell>
        </row>
        <row r="346">
          <cell r="C346" t="str">
            <v>188-25</v>
          </cell>
          <cell r="D346">
            <v>1120000</v>
          </cell>
          <cell r="E346" t="str">
            <v>LOCKLEAR</v>
          </cell>
        </row>
        <row r="347">
          <cell r="C347" t="str">
            <v>160-25</v>
          </cell>
          <cell r="D347">
            <v>1240000</v>
          </cell>
          <cell r="E347" t="str">
            <v>GRASTON</v>
          </cell>
        </row>
        <row r="348">
          <cell r="C348" t="str">
            <v>197-25</v>
          </cell>
          <cell r="D348">
            <v>1520000</v>
          </cell>
          <cell r="E348" t="str">
            <v>MAYBERRY</v>
          </cell>
        </row>
        <row r="349">
          <cell r="C349" t="str">
            <v>163-25</v>
          </cell>
          <cell r="D349">
            <v>1280000</v>
          </cell>
          <cell r="E349" t="str">
            <v>BARTLETT</v>
          </cell>
        </row>
        <row r="350">
          <cell r="C350" t="str">
            <v>201-25</v>
          </cell>
          <cell r="D350">
            <v>1120000</v>
          </cell>
          <cell r="E350" t="str">
            <v>LOCKLEAR</v>
          </cell>
        </row>
        <row r="351">
          <cell r="C351" t="str">
            <v>163-25</v>
          </cell>
          <cell r="D351">
            <v>1280000</v>
          </cell>
          <cell r="E351" t="str">
            <v>BARTLETT</v>
          </cell>
        </row>
        <row r="352">
          <cell r="C352" t="str">
            <v>835-25</v>
          </cell>
          <cell r="D352">
            <v>1290000</v>
          </cell>
          <cell r="E352" t="str">
            <v>COOLAHAN</v>
          </cell>
        </row>
        <row r="353">
          <cell r="C353" t="str">
            <v>805-25</v>
          </cell>
          <cell r="D353">
            <v>1750000</v>
          </cell>
          <cell r="E353" t="str">
            <v>REBOLETTI</v>
          </cell>
        </row>
        <row r="354">
          <cell r="C354" t="str">
            <v>212-25</v>
          </cell>
          <cell r="D354">
            <v>2030000</v>
          </cell>
          <cell r="E354" t="str">
            <v>KILLION</v>
          </cell>
        </row>
        <row r="355">
          <cell r="C355" t="str">
            <v>161-25</v>
          </cell>
          <cell r="D355">
            <v>880000</v>
          </cell>
          <cell r="E355" t="str">
            <v>STEWART</v>
          </cell>
        </row>
        <row r="356">
          <cell r="C356" t="str">
            <v>221-25</v>
          </cell>
          <cell r="D356">
            <v>1180000</v>
          </cell>
          <cell r="E356" t="str">
            <v>LEVERE</v>
          </cell>
        </row>
        <row r="357">
          <cell r="C357" t="str">
            <v>157-25</v>
          </cell>
          <cell r="D357">
            <v>890000</v>
          </cell>
          <cell r="E357" t="str">
            <v>LOZA</v>
          </cell>
        </row>
        <row r="358">
          <cell r="C358" t="str">
            <v>852-25</v>
          </cell>
          <cell r="D358">
            <v>1290000</v>
          </cell>
          <cell r="E358" t="str">
            <v>COOLAHAN</v>
          </cell>
        </row>
        <row r="359">
          <cell r="C359" t="str">
            <v>155-25</v>
          </cell>
          <cell r="D359">
            <v>1110000</v>
          </cell>
          <cell r="E359" t="str">
            <v>STARKS</v>
          </cell>
        </row>
        <row r="360">
          <cell r="C360" t="str">
            <v>222-25</v>
          </cell>
          <cell r="D360">
            <v>1180000</v>
          </cell>
          <cell r="E360" t="str">
            <v>LEVERE</v>
          </cell>
        </row>
        <row r="361">
          <cell r="C361" t="str">
            <v>148-25</v>
          </cell>
          <cell r="D361">
            <v>1310000</v>
          </cell>
          <cell r="E361" t="str">
            <v>MALAVE</v>
          </cell>
        </row>
        <row r="362">
          <cell r="C362" t="str">
            <v>226-25</v>
          </cell>
          <cell r="D362">
            <v>1800000</v>
          </cell>
          <cell r="E362" t="str">
            <v>CHANDLER</v>
          </cell>
        </row>
        <row r="363">
          <cell r="C363" t="str">
            <v>227-25</v>
          </cell>
          <cell r="D363">
            <v>1230000</v>
          </cell>
          <cell r="E363" t="str">
            <v>YANAI</v>
          </cell>
        </row>
        <row r="364">
          <cell r="C364" t="str">
            <v>159-25</v>
          </cell>
          <cell r="D364">
            <v>1240000</v>
          </cell>
          <cell r="E364" t="str">
            <v>GRASTON</v>
          </cell>
        </row>
        <row r="365">
          <cell r="C365" t="str">
            <v>849-25</v>
          </cell>
          <cell r="D365">
            <v>1290000</v>
          </cell>
          <cell r="E365" t="str">
            <v>COOLAHAN</v>
          </cell>
        </row>
        <row r="366">
          <cell r="C366" t="str">
            <v>154-25</v>
          </cell>
          <cell r="D366">
            <v>1090000</v>
          </cell>
          <cell r="E366" t="str">
            <v>SPECTOR</v>
          </cell>
        </row>
        <row r="367">
          <cell r="C367" t="str">
            <v>209-25</v>
          </cell>
          <cell r="D367">
            <v>1180000</v>
          </cell>
          <cell r="E367" t="str">
            <v>LEVERE</v>
          </cell>
        </row>
        <row r="368">
          <cell r="C368" t="str">
            <v>167-25</v>
          </cell>
          <cell r="D368">
            <v>1520000</v>
          </cell>
          <cell r="E368" t="str">
            <v>MAYBERRY</v>
          </cell>
        </row>
        <row r="369">
          <cell r="C369" t="str">
            <v>198-25</v>
          </cell>
          <cell r="D369">
            <v>1520000</v>
          </cell>
          <cell r="E369" t="str">
            <v>MAYBERRY</v>
          </cell>
        </row>
        <row r="370">
          <cell r="C370" t="str">
            <v>167-25</v>
          </cell>
          <cell r="D370">
            <v>1520000</v>
          </cell>
          <cell r="E370" t="str">
            <v>MAYBERRY</v>
          </cell>
        </row>
        <row r="371">
          <cell r="C371" t="str">
            <v>836-25</v>
          </cell>
          <cell r="D371">
            <v>1770000</v>
          </cell>
          <cell r="E371" t="str">
            <v>BRUDER</v>
          </cell>
        </row>
        <row r="372">
          <cell r="C372" t="str">
            <v>173-25</v>
          </cell>
          <cell r="D372">
            <v>2020000</v>
          </cell>
          <cell r="E372" t="str">
            <v>SHOOK</v>
          </cell>
        </row>
        <row r="373">
          <cell r="C373" t="str">
            <v>186-25</v>
          </cell>
          <cell r="D373">
            <v>1140000</v>
          </cell>
          <cell r="E373" t="str">
            <v>YOUNG</v>
          </cell>
        </row>
        <row r="374">
          <cell r="C374" t="str">
            <v>815-25</v>
          </cell>
          <cell r="D374">
            <v>900000</v>
          </cell>
          <cell r="E374" t="str">
            <v>ROCHA</v>
          </cell>
        </row>
        <row r="375">
          <cell r="C375" t="str">
            <v>821-25</v>
          </cell>
          <cell r="D375">
            <v>900000</v>
          </cell>
          <cell r="E375" t="str">
            <v>ROCHA</v>
          </cell>
        </row>
        <row r="376">
          <cell r="C376" t="str">
            <v>829-25</v>
          </cell>
          <cell r="D376">
            <v>1290000</v>
          </cell>
          <cell r="E376" t="str">
            <v>COOLAHAN</v>
          </cell>
        </row>
        <row r="377">
          <cell r="C377" t="str">
            <v>170-25</v>
          </cell>
          <cell r="D377">
            <v>1140000</v>
          </cell>
          <cell r="E377" t="str">
            <v>YOUNG</v>
          </cell>
        </row>
        <row r="378">
          <cell r="C378" t="str">
            <v>194-25</v>
          </cell>
          <cell r="D378">
            <v>1280000</v>
          </cell>
          <cell r="E378" t="str">
            <v>BARTLETT</v>
          </cell>
        </row>
        <row r="379">
          <cell r="C379" t="str">
            <v>177-25</v>
          </cell>
          <cell r="D379">
            <v>1280000</v>
          </cell>
          <cell r="E379" t="str">
            <v>BARTLETT</v>
          </cell>
        </row>
        <row r="380">
          <cell r="C380" t="str">
            <v>837-25</v>
          </cell>
          <cell r="D380">
            <v>1820000</v>
          </cell>
          <cell r="E380" t="str">
            <v>ADANE</v>
          </cell>
        </row>
        <row r="381">
          <cell r="C381" t="str">
            <v>804-25</v>
          </cell>
          <cell r="D381">
            <v>1820000</v>
          </cell>
          <cell r="E381" t="str">
            <v>ADANE</v>
          </cell>
        </row>
        <row r="382">
          <cell r="C382" t="str">
            <v>838-25</v>
          </cell>
          <cell r="D382">
            <v>1290000</v>
          </cell>
          <cell r="E382" t="str">
            <v>COOLAHAN</v>
          </cell>
        </row>
        <row r="383">
          <cell r="C383" t="str">
            <v>159-25</v>
          </cell>
          <cell r="D383">
            <v>1240000</v>
          </cell>
          <cell r="E383" t="str">
            <v>GRASTON</v>
          </cell>
        </row>
        <row r="384">
          <cell r="C384" t="str">
            <v>207-25</v>
          </cell>
          <cell r="D384">
            <v>1280000</v>
          </cell>
          <cell r="E384" t="str">
            <v>BARTLETT</v>
          </cell>
        </row>
        <row r="385">
          <cell r="C385" t="str">
            <v>140-25</v>
          </cell>
          <cell r="D385">
            <v>1830000</v>
          </cell>
          <cell r="E385" t="str">
            <v>YORK</v>
          </cell>
        </row>
        <row r="386">
          <cell r="C386" t="str">
            <v>846-25</v>
          </cell>
          <cell r="D386">
            <v>1290000</v>
          </cell>
          <cell r="E386" t="str">
            <v>COOLAHAN</v>
          </cell>
        </row>
        <row r="387">
          <cell r="C387" t="str">
            <v>132-25</v>
          </cell>
          <cell r="D387">
            <v>1260000</v>
          </cell>
          <cell r="E387" t="str">
            <v>ACKERMAN</v>
          </cell>
        </row>
        <row r="388">
          <cell r="C388" t="str">
            <v>851-25</v>
          </cell>
          <cell r="D388">
            <v>1770000</v>
          </cell>
          <cell r="E388" t="str">
            <v>BRUDER</v>
          </cell>
        </row>
        <row r="389">
          <cell r="C389" t="str">
            <v>130-25</v>
          </cell>
          <cell r="D389">
            <v>1310000</v>
          </cell>
          <cell r="E389" t="str">
            <v>MALAVE</v>
          </cell>
        </row>
        <row r="390">
          <cell r="C390" t="str">
            <v>218-25</v>
          </cell>
          <cell r="D390">
            <v>1800000</v>
          </cell>
          <cell r="E390" t="str">
            <v>CHANDLER</v>
          </cell>
        </row>
        <row r="391">
          <cell r="C391" t="str">
            <v>135-25</v>
          </cell>
          <cell r="D391">
            <v>1090000</v>
          </cell>
          <cell r="E391" t="str">
            <v>SPECTOR</v>
          </cell>
        </row>
        <row r="392">
          <cell r="C392" t="str">
            <v>854-25</v>
          </cell>
          <cell r="D392">
            <v>1770000</v>
          </cell>
          <cell r="E392" t="str">
            <v>BRUDER</v>
          </cell>
        </row>
        <row r="393">
          <cell r="C393" t="str">
            <v>128-25</v>
          </cell>
          <cell r="D393">
            <v>1480000</v>
          </cell>
          <cell r="E393" t="str">
            <v>STURGEON</v>
          </cell>
        </row>
        <row r="394">
          <cell r="C394" t="str">
            <v>856-25</v>
          </cell>
          <cell r="D394">
            <v>1740000</v>
          </cell>
          <cell r="E394" t="str">
            <v>STORY</v>
          </cell>
        </row>
        <row r="395">
          <cell r="C395" t="str">
            <v>133-25</v>
          </cell>
          <cell r="D395">
            <v>1190000</v>
          </cell>
          <cell r="E395" t="str">
            <v>BRANNON</v>
          </cell>
        </row>
        <row r="396">
          <cell r="C396" t="str">
            <v>861-25</v>
          </cell>
          <cell r="D396">
            <v>1290000</v>
          </cell>
          <cell r="E396" t="str">
            <v>COOLAHAN</v>
          </cell>
        </row>
        <row r="397">
          <cell r="C397" t="str">
            <v>124-25</v>
          </cell>
          <cell r="D397">
            <v>1830000</v>
          </cell>
          <cell r="E397" t="str">
            <v>YORK</v>
          </cell>
        </row>
        <row r="398">
          <cell r="C398" t="str">
            <v>233-25</v>
          </cell>
          <cell r="D398">
            <v>1800000</v>
          </cell>
          <cell r="E398" t="str">
            <v>CHANDLER</v>
          </cell>
        </row>
        <row r="399">
          <cell r="C399" t="str">
            <v>123-25</v>
          </cell>
          <cell r="D399">
            <v>1830000</v>
          </cell>
          <cell r="E399" t="str">
            <v>YORK</v>
          </cell>
        </row>
        <row r="400">
          <cell r="C400" t="str">
            <v>869-25</v>
          </cell>
          <cell r="D400">
            <v>1770000</v>
          </cell>
          <cell r="E400" t="str">
            <v>BRUDER</v>
          </cell>
        </row>
        <row r="401">
          <cell r="C401" t="str">
            <v>119-25</v>
          </cell>
          <cell r="D401">
            <v>1240000</v>
          </cell>
          <cell r="E401" t="str">
            <v>GRASTON</v>
          </cell>
        </row>
        <row r="402">
          <cell r="C402" t="str">
            <v>904-25</v>
          </cell>
          <cell r="D402">
            <v>1740000</v>
          </cell>
          <cell r="E402" t="str">
            <v>STORY</v>
          </cell>
        </row>
        <row r="403">
          <cell r="C403" t="str">
            <v>106-25</v>
          </cell>
          <cell r="D403">
            <v>1190000</v>
          </cell>
          <cell r="E403" t="str">
            <v>BRANNON</v>
          </cell>
        </row>
        <row r="404">
          <cell r="C404" t="str">
            <v>239-25</v>
          </cell>
          <cell r="D404">
            <v>1810000</v>
          </cell>
          <cell r="E404" t="str">
            <v>NEWELL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Missing Trips"/>
      <sheetName val="Enforcements"/>
      <sheetName val="Trips&amp;Operators"/>
      <sheetName val="Variables"/>
    </sheetNames>
    <sheetDataSet>
      <sheetData sheetId="0">
        <row r="13">
          <cell r="A13" t="str">
            <v>101-27</v>
          </cell>
        </row>
      </sheetData>
      <sheetData sheetId="1" refreshError="1"/>
      <sheetData sheetId="2" refreshError="1"/>
      <sheetData sheetId="3">
        <row r="1">
          <cell r="C1" t="str">
            <v>840-26</v>
          </cell>
          <cell r="D1">
            <v>1770000</v>
          </cell>
          <cell r="E1" t="str">
            <v>BRUDER</v>
          </cell>
        </row>
        <row r="2">
          <cell r="C2" t="str">
            <v>813-27</v>
          </cell>
          <cell r="D2">
            <v>1100000</v>
          </cell>
          <cell r="E2" t="str">
            <v>GEBRETEKLE</v>
          </cell>
        </row>
        <row r="3">
          <cell r="C3" t="str">
            <v>147-27</v>
          </cell>
          <cell r="D3">
            <v>1360000</v>
          </cell>
          <cell r="E3" t="str">
            <v>SANTIZO</v>
          </cell>
        </row>
        <row r="4">
          <cell r="C4" t="str">
            <v>814-27</v>
          </cell>
          <cell r="D4">
            <v>1100000</v>
          </cell>
          <cell r="E4" t="str">
            <v>GEBRETEKLE</v>
          </cell>
        </row>
        <row r="5">
          <cell r="C5" t="str">
            <v>146-27</v>
          </cell>
          <cell r="D5">
            <v>1260000</v>
          </cell>
          <cell r="E5" t="str">
            <v>ACKERMAN</v>
          </cell>
        </row>
        <row r="6">
          <cell r="C6" t="str">
            <v>145-27</v>
          </cell>
          <cell r="D6">
            <v>1260000</v>
          </cell>
          <cell r="E6" t="str">
            <v>ACKERMAN</v>
          </cell>
        </row>
        <row r="7">
          <cell r="C7" t="str">
            <v>818-27</v>
          </cell>
          <cell r="D7">
            <v>1100000</v>
          </cell>
          <cell r="E7" t="str">
            <v>GEBRETEKLE</v>
          </cell>
        </row>
        <row r="8">
          <cell r="C8" t="str">
            <v>160-27</v>
          </cell>
          <cell r="D8">
            <v>940000</v>
          </cell>
          <cell r="E8" t="str">
            <v>BONDS</v>
          </cell>
        </row>
        <row r="9">
          <cell r="C9" t="str">
            <v>162-27</v>
          </cell>
          <cell r="D9">
            <v>1280000</v>
          </cell>
          <cell r="E9" t="str">
            <v>BARTLETT</v>
          </cell>
        </row>
        <row r="10">
          <cell r="C10" t="str">
            <v>176-27</v>
          </cell>
          <cell r="D10">
            <v>1280000</v>
          </cell>
          <cell r="E10" t="str">
            <v>BARTLETT</v>
          </cell>
        </row>
        <row r="11">
          <cell r="C11" t="str">
            <v>836-27</v>
          </cell>
          <cell r="D11">
            <v>2090000</v>
          </cell>
          <cell r="E11" t="str">
            <v>HAITHCOX</v>
          </cell>
        </row>
        <row r="12">
          <cell r="C12" t="str">
            <v>903-27</v>
          </cell>
          <cell r="D12">
            <v>1110000</v>
          </cell>
          <cell r="E12" t="str">
            <v>STARKS</v>
          </cell>
        </row>
        <row r="13">
          <cell r="C13" t="str">
            <v>220-27</v>
          </cell>
          <cell r="D13">
            <v>1290000</v>
          </cell>
          <cell r="E13" t="str">
            <v>COOLAHAN</v>
          </cell>
        </row>
        <row r="14">
          <cell r="C14" t="str">
            <v>811-27</v>
          </cell>
          <cell r="D14">
            <v>1100000</v>
          </cell>
          <cell r="E14" t="str">
            <v>GEBRETEKLE</v>
          </cell>
        </row>
        <row r="15">
          <cell r="C15" t="str">
            <v>222-27</v>
          </cell>
          <cell r="D15">
            <v>1480000</v>
          </cell>
          <cell r="E15" t="str">
            <v>STURGEON</v>
          </cell>
        </row>
        <row r="16">
          <cell r="C16" t="str">
            <v>135-27</v>
          </cell>
          <cell r="D16">
            <v>1090000</v>
          </cell>
          <cell r="E16" t="str">
            <v>SPECTOR</v>
          </cell>
        </row>
        <row r="17">
          <cell r="C17" t="str">
            <v>845-27</v>
          </cell>
          <cell r="D17">
            <v>2090000</v>
          </cell>
          <cell r="E17" t="str">
            <v>HAITHCOX</v>
          </cell>
        </row>
        <row r="18">
          <cell r="C18" t="str">
            <v>809-27</v>
          </cell>
          <cell r="D18">
            <v>1110000</v>
          </cell>
          <cell r="E18" t="str">
            <v>STARKS</v>
          </cell>
        </row>
        <row r="19">
          <cell r="C19" t="str">
            <v>236-27</v>
          </cell>
          <cell r="D19">
            <v>1290000</v>
          </cell>
          <cell r="E19" t="str">
            <v>COOLAHAN</v>
          </cell>
        </row>
        <row r="20">
          <cell r="C20" t="str">
            <v>131-27</v>
          </cell>
          <cell r="D20">
            <v>1260000</v>
          </cell>
          <cell r="E20" t="str">
            <v>ACKERMAN</v>
          </cell>
        </row>
        <row r="21">
          <cell r="C21" t="str">
            <v>240-27</v>
          </cell>
          <cell r="D21">
            <v>2150000</v>
          </cell>
          <cell r="E21" t="str">
            <v>SWANSON</v>
          </cell>
        </row>
        <row r="22">
          <cell r="C22" t="str">
            <v>123-27</v>
          </cell>
          <cell r="D22">
            <v>1460000</v>
          </cell>
          <cell r="E22" t="str">
            <v>NELSON</v>
          </cell>
        </row>
        <row r="23">
          <cell r="C23" t="str">
            <v>184-27</v>
          </cell>
          <cell r="D23">
            <v>1770000</v>
          </cell>
          <cell r="E23" t="str">
            <v>BRUDER</v>
          </cell>
        </row>
        <row r="24">
          <cell r="C24" t="str">
            <v>116-27</v>
          </cell>
          <cell r="D24">
            <v>1190000</v>
          </cell>
          <cell r="E24" t="str">
            <v>BRANNON</v>
          </cell>
        </row>
        <row r="25">
          <cell r="C25" t="str">
            <v>199-27</v>
          </cell>
          <cell r="D25">
            <v>950000</v>
          </cell>
          <cell r="E25" t="str">
            <v>WEBSTER</v>
          </cell>
        </row>
        <row r="26">
          <cell r="C26" t="str">
            <v>111-27</v>
          </cell>
          <cell r="D26">
            <v>900000</v>
          </cell>
          <cell r="E26" t="str">
            <v>ROCHA</v>
          </cell>
        </row>
        <row r="27">
          <cell r="C27" t="str">
            <v>201-27</v>
          </cell>
          <cell r="D27">
            <v>940000</v>
          </cell>
          <cell r="E27" t="str">
            <v>BONDS</v>
          </cell>
        </row>
        <row r="28">
          <cell r="C28" t="str">
            <v>105-27</v>
          </cell>
          <cell r="D28">
            <v>1360000</v>
          </cell>
          <cell r="E28" t="str">
            <v>SANTIZO</v>
          </cell>
        </row>
        <row r="29">
          <cell r="C29" t="str">
            <v>223-27</v>
          </cell>
          <cell r="D29">
            <v>2150000</v>
          </cell>
          <cell r="E29" t="str">
            <v>SWANSON</v>
          </cell>
        </row>
        <row r="30">
          <cell r="C30" t="str">
            <v>103-27</v>
          </cell>
          <cell r="D30">
            <v>1260000</v>
          </cell>
          <cell r="E30" t="str">
            <v>ACKERMAN</v>
          </cell>
        </row>
        <row r="31">
          <cell r="C31" t="str">
            <v>906-27</v>
          </cell>
          <cell r="D31">
            <v>2090000</v>
          </cell>
          <cell r="E31" t="str">
            <v>HAITHCOX</v>
          </cell>
        </row>
        <row r="32">
          <cell r="C32" t="str">
            <v>304-27</v>
          </cell>
          <cell r="D32">
            <v>1260000</v>
          </cell>
          <cell r="E32" t="str">
            <v>ACKERMAN</v>
          </cell>
        </row>
        <row r="33">
          <cell r="C33" t="str">
            <v>231-27</v>
          </cell>
          <cell r="D33">
            <v>2150000</v>
          </cell>
          <cell r="E33" t="str">
            <v>SWANSON</v>
          </cell>
        </row>
        <row r="34">
          <cell r="C34" t="str">
            <v>309-26</v>
          </cell>
          <cell r="D34">
            <v>1180000</v>
          </cell>
          <cell r="E34" t="str">
            <v>LEVERE</v>
          </cell>
        </row>
        <row r="35">
          <cell r="C35" t="str">
            <v>847-27</v>
          </cell>
          <cell r="D35">
            <v>2090000</v>
          </cell>
          <cell r="E35" t="str">
            <v>HAITHCOX</v>
          </cell>
        </row>
        <row r="36">
          <cell r="C36" t="str">
            <v>243-26</v>
          </cell>
          <cell r="D36">
            <v>1800000</v>
          </cell>
          <cell r="E36" t="str">
            <v>CHANDLER</v>
          </cell>
        </row>
        <row r="37">
          <cell r="C37" t="str">
            <v>243-27</v>
          </cell>
          <cell r="D37">
            <v>1290000</v>
          </cell>
          <cell r="E37" t="str">
            <v>COOLAHAN</v>
          </cell>
        </row>
        <row r="38">
          <cell r="C38" t="str">
            <v>240-26</v>
          </cell>
          <cell r="D38">
            <v>1290000</v>
          </cell>
          <cell r="E38" t="str">
            <v>COOLAHAN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236-26</v>
          </cell>
          <cell r="D40">
            <v>1800000</v>
          </cell>
          <cell r="E40" t="str">
            <v>CHANDLER</v>
          </cell>
        </row>
        <row r="41">
          <cell r="C41" t="str">
            <v>306-28</v>
          </cell>
          <cell r="D41">
            <v>1310000</v>
          </cell>
          <cell r="E41" t="str">
            <v>MALAVE</v>
          </cell>
        </row>
        <row r="42">
          <cell r="C42" t="str">
            <v>234-26</v>
          </cell>
          <cell r="D42">
            <v>1230000</v>
          </cell>
          <cell r="E42" t="str">
            <v>YANAI</v>
          </cell>
        </row>
        <row r="43">
          <cell r="C43" t="str">
            <v>308-28</v>
          </cell>
          <cell r="D43">
            <v>1460000</v>
          </cell>
          <cell r="E43" t="str">
            <v>NELSON</v>
          </cell>
        </row>
        <row r="44">
          <cell r="C44" t="str">
            <v>232-26</v>
          </cell>
          <cell r="D44">
            <v>1290000</v>
          </cell>
          <cell r="E44" t="str">
            <v>COOLAHAN</v>
          </cell>
        </row>
        <row r="45">
          <cell r="C45" t="str">
            <v>108-28</v>
          </cell>
          <cell r="D45">
            <v>1460000</v>
          </cell>
          <cell r="E45" t="str">
            <v>NELSON</v>
          </cell>
        </row>
        <row r="46">
          <cell r="C46" t="str">
            <v>847-26</v>
          </cell>
          <cell r="D46">
            <v>1480000</v>
          </cell>
          <cell r="E46" t="str">
            <v>STURGEON</v>
          </cell>
        </row>
        <row r="47">
          <cell r="C47" t="str">
            <v>117-28</v>
          </cell>
          <cell r="D47">
            <v>1090000</v>
          </cell>
          <cell r="E47" t="str">
            <v>SPECTOR</v>
          </cell>
        </row>
        <row r="48">
          <cell r="C48" t="str">
            <v>233-26</v>
          </cell>
          <cell r="D48">
            <v>1230000</v>
          </cell>
          <cell r="E48" t="str">
            <v>YANAI</v>
          </cell>
        </row>
        <row r="49">
          <cell r="C49" t="str">
            <v>119-28</v>
          </cell>
          <cell r="D49">
            <v>1310000</v>
          </cell>
          <cell r="E49" t="str">
            <v>MALAVE</v>
          </cell>
        </row>
        <row r="50">
          <cell r="C50" t="str">
            <v>231-26</v>
          </cell>
          <cell r="D50">
            <v>1290000</v>
          </cell>
          <cell r="E50" t="str">
            <v>COOLAHAN</v>
          </cell>
        </row>
        <row r="51">
          <cell r="C51" t="str">
            <v>121-28</v>
          </cell>
          <cell r="D51">
            <v>1460000</v>
          </cell>
          <cell r="E51" t="str">
            <v>NELSON</v>
          </cell>
        </row>
        <row r="52">
          <cell r="C52" t="str">
            <v>228-26</v>
          </cell>
          <cell r="D52">
            <v>1800000</v>
          </cell>
          <cell r="E52" t="str">
            <v>CHANDLER</v>
          </cell>
        </row>
        <row r="53">
          <cell r="C53" t="str">
            <v>804-28</v>
          </cell>
          <cell r="D53">
            <v>2140000</v>
          </cell>
          <cell r="E53" t="str">
            <v>ROBINSON</v>
          </cell>
        </row>
        <row r="54">
          <cell r="C54" t="str">
            <v>227-26</v>
          </cell>
          <cell r="D54">
            <v>1800000</v>
          </cell>
          <cell r="E54" t="str">
            <v>CHANDLER</v>
          </cell>
        </row>
        <row r="55">
          <cell r="C55" t="str">
            <v>120-28</v>
          </cell>
          <cell r="D55">
            <v>1310000</v>
          </cell>
          <cell r="E55" t="str">
            <v>MALAVE</v>
          </cell>
        </row>
        <row r="56">
          <cell r="C56" t="str">
            <v>222-26</v>
          </cell>
          <cell r="D56">
            <v>1180000</v>
          </cell>
          <cell r="E56" t="str">
            <v>LEVERE</v>
          </cell>
        </row>
        <row r="57">
          <cell r="C57" t="str">
            <v>127-28</v>
          </cell>
          <cell r="D57">
            <v>2010000</v>
          </cell>
          <cell r="E57" t="str">
            <v>MAELZER</v>
          </cell>
        </row>
        <row r="58">
          <cell r="C58" t="str">
            <v>222-26</v>
          </cell>
          <cell r="D58">
            <v>1180000</v>
          </cell>
          <cell r="E58" t="str">
            <v>LEVERE</v>
          </cell>
        </row>
        <row r="59">
          <cell r="C59" t="str">
            <v>807-28</v>
          </cell>
          <cell r="D59">
            <v>2140000</v>
          </cell>
          <cell r="E59" t="str">
            <v>ROBINSON</v>
          </cell>
        </row>
        <row r="60">
          <cell r="C60" t="str">
            <v>233-27</v>
          </cell>
          <cell r="D60">
            <v>1300000</v>
          </cell>
          <cell r="E60" t="str">
            <v>LEVIN</v>
          </cell>
        </row>
        <row r="61">
          <cell r="C61" t="str">
            <v>229-26</v>
          </cell>
          <cell r="D61">
            <v>1180000</v>
          </cell>
          <cell r="E61" t="str">
            <v>LEVERE</v>
          </cell>
        </row>
        <row r="62">
          <cell r="C62" t="str">
            <v>228-27</v>
          </cell>
          <cell r="D62">
            <v>1290000</v>
          </cell>
          <cell r="E62" t="str">
            <v>COOLAHAN</v>
          </cell>
        </row>
        <row r="63">
          <cell r="C63" t="str">
            <v>239-26</v>
          </cell>
          <cell r="D63">
            <v>1290000</v>
          </cell>
          <cell r="E63" t="str">
            <v>COOLAHAN</v>
          </cell>
        </row>
        <row r="64">
          <cell r="C64" t="str">
            <v>834-27</v>
          </cell>
          <cell r="D64">
            <v>2040000</v>
          </cell>
          <cell r="E64" t="str">
            <v>MOSES</v>
          </cell>
        </row>
        <row r="65">
          <cell r="C65" t="str">
            <v>238-26</v>
          </cell>
          <cell r="D65">
            <v>1180000</v>
          </cell>
          <cell r="E65" t="str">
            <v>LEVERE</v>
          </cell>
        </row>
        <row r="66">
          <cell r="C66" t="str">
            <v>189-27</v>
          </cell>
          <cell r="D66">
            <v>1280000</v>
          </cell>
          <cell r="E66" t="str">
            <v>BARTLETT</v>
          </cell>
        </row>
        <row r="67">
          <cell r="C67" t="str">
            <v>101-27</v>
          </cell>
          <cell r="D67">
            <v>2010000</v>
          </cell>
          <cell r="E67" t="str">
            <v>MAELZER</v>
          </cell>
        </row>
        <row r="68">
          <cell r="C68" t="str">
            <v>183-27</v>
          </cell>
          <cell r="D68">
            <v>1770000</v>
          </cell>
          <cell r="E68" t="str">
            <v>BRUDER</v>
          </cell>
        </row>
        <row r="69">
          <cell r="C69" t="str">
            <v>107-27</v>
          </cell>
          <cell r="D69">
            <v>1090000</v>
          </cell>
          <cell r="E69" t="str">
            <v>SPECTOR</v>
          </cell>
        </row>
        <row r="70">
          <cell r="C70" t="str">
            <v>147-27</v>
          </cell>
          <cell r="D70">
            <v>1360000</v>
          </cell>
          <cell r="E70" t="str">
            <v>SANTIZO</v>
          </cell>
        </row>
        <row r="71">
          <cell r="C71" t="str">
            <v>109-27</v>
          </cell>
          <cell r="D71">
            <v>1460000</v>
          </cell>
          <cell r="E71" t="str">
            <v>NELSON</v>
          </cell>
        </row>
        <row r="72">
          <cell r="C72" t="str">
            <v>137-27</v>
          </cell>
          <cell r="D72">
            <v>1460000</v>
          </cell>
          <cell r="E72" t="str">
            <v>NELSON</v>
          </cell>
        </row>
        <row r="73">
          <cell r="C73" t="str">
            <v>108-27</v>
          </cell>
          <cell r="D73">
            <v>1090000</v>
          </cell>
          <cell r="E73" t="str">
            <v>SPECTOR</v>
          </cell>
        </row>
        <row r="74">
          <cell r="C74" t="str">
            <v>131-27</v>
          </cell>
          <cell r="D74">
            <v>1260000</v>
          </cell>
          <cell r="E74" t="str">
            <v>ACKERMAN</v>
          </cell>
        </row>
        <row r="75">
          <cell r="C75" t="str">
            <v>117-27</v>
          </cell>
          <cell r="D75">
            <v>1260000</v>
          </cell>
          <cell r="E75" t="str">
            <v>ACKERMAN</v>
          </cell>
        </row>
        <row r="76">
          <cell r="C76" t="str">
            <v>123-28</v>
          </cell>
          <cell r="D76">
            <v>900000</v>
          </cell>
          <cell r="E76" t="str">
            <v>ROCHA</v>
          </cell>
        </row>
        <row r="77">
          <cell r="C77" t="str">
            <v>117-27</v>
          </cell>
          <cell r="D77">
            <v>1260000</v>
          </cell>
          <cell r="E77" t="str">
            <v>ACKERMAN</v>
          </cell>
        </row>
        <row r="78">
          <cell r="C78" t="str">
            <v>801-28</v>
          </cell>
          <cell r="D78">
            <v>1830000</v>
          </cell>
          <cell r="E78" t="str">
            <v>YORK</v>
          </cell>
        </row>
        <row r="79">
          <cell r="C79" t="str">
            <v>801-27</v>
          </cell>
          <cell r="D79">
            <v>1110000</v>
          </cell>
          <cell r="E79" t="str">
            <v>STARKS</v>
          </cell>
        </row>
        <row r="80">
          <cell r="C80" t="str">
            <v>111-28</v>
          </cell>
          <cell r="D80">
            <v>1110000</v>
          </cell>
          <cell r="E80" t="str">
            <v>STARKS</v>
          </cell>
        </row>
        <row r="81">
          <cell r="C81" t="str">
            <v>112-27</v>
          </cell>
          <cell r="D81">
            <v>900000</v>
          </cell>
          <cell r="E81" t="str">
            <v>ROCHA</v>
          </cell>
        </row>
        <row r="82">
          <cell r="C82" t="str">
            <v>823-27</v>
          </cell>
          <cell r="D82">
            <v>2040000</v>
          </cell>
          <cell r="E82" t="str">
            <v>MOSES</v>
          </cell>
        </row>
        <row r="83">
          <cell r="C83" t="str">
            <v>118-27</v>
          </cell>
          <cell r="D83">
            <v>1260000</v>
          </cell>
          <cell r="E83" t="str">
            <v>ACKERMAN</v>
          </cell>
        </row>
        <row r="84">
          <cell r="C84" t="str">
            <v>821-27</v>
          </cell>
          <cell r="D84">
            <v>2040000</v>
          </cell>
          <cell r="E84" t="str">
            <v>MOSES</v>
          </cell>
        </row>
        <row r="85">
          <cell r="C85" t="str">
            <v>125-27</v>
          </cell>
          <cell r="D85">
            <v>900000</v>
          </cell>
          <cell r="E85" t="str">
            <v>ROCHA</v>
          </cell>
        </row>
        <row r="86">
          <cell r="C86" t="str">
            <v>819-27</v>
          </cell>
          <cell r="D86">
            <v>1100000</v>
          </cell>
          <cell r="E86" t="str">
            <v>GEBRETEKLE</v>
          </cell>
        </row>
        <row r="87">
          <cell r="C87" t="str">
            <v>816-27</v>
          </cell>
          <cell r="D87">
            <v>1100000</v>
          </cell>
          <cell r="E87" t="str">
            <v>GEBRETEKLE</v>
          </cell>
        </row>
        <row r="88">
          <cell r="C88" t="str">
            <v>148-27</v>
          </cell>
          <cell r="D88">
            <v>1360000</v>
          </cell>
          <cell r="E88" t="str">
            <v>SANTIZO</v>
          </cell>
        </row>
        <row r="89">
          <cell r="C89" t="str">
            <v>180-27</v>
          </cell>
          <cell r="D89">
            <v>1820000</v>
          </cell>
          <cell r="E89" t="str">
            <v>ADANE</v>
          </cell>
        </row>
        <row r="90">
          <cell r="C90" t="str">
            <v>807-27</v>
          </cell>
          <cell r="D90">
            <v>1100000</v>
          </cell>
          <cell r="E90" t="str">
            <v>GEBRETEKLE</v>
          </cell>
        </row>
        <row r="91">
          <cell r="C91" t="str">
            <v>198-27</v>
          </cell>
          <cell r="D91">
            <v>1770000</v>
          </cell>
          <cell r="E91" t="str">
            <v>BRUDER</v>
          </cell>
        </row>
        <row r="92">
          <cell r="C92" t="str">
            <v>805-27</v>
          </cell>
          <cell r="D92">
            <v>1110000</v>
          </cell>
          <cell r="E92" t="str">
            <v>STARKS</v>
          </cell>
        </row>
        <row r="93">
          <cell r="C93" t="str">
            <v>832-27</v>
          </cell>
          <cell r="D93">
            <v>2090000</v>
          </cell>
          <cell r="E93" t="str">
            <v>HAITHCOX</v>
          </cell>
        </row>
        <row r="94">
          <cell r="C94" t="str">
            <v>119-27</v>
          </cell>
          <cell r="D94">
            <v>1360000</v>
          </cell>
          <cell r="E94" t="str">
            <v>SANTIZO</v>
          </cell>
        </row>
        <row r="95">
          <cell r="C95" t="str">
            <v>206-27</v>
          </cell>
          <cell r="D95">
            <v>1120000</v>
          </cell>
          <cell r="E95" t="str">
            <v>LOCKLEAR</v>
          </cell>
        </row>
        <row r="96">
          <cell r="C96" t="str">
            <v>311-26</v>
          </cell>
          <cell r="D96">
            <v>1290000</v>
          </cell>
          <cell r="E96" t="str">
            <v>COOLAHAN</v>
          </cell>
        </row>
        <row r="97">
          <cell r="C97" t="str">
            <v>839-27</v>
          </cell>
          <cell r="D97">
            <v>2090000</v>
          </cell>
          <cell r="E97" t="str">
            <v>HAITHCOX</v>
          </cell>
        </row>
        <row r="98">
          <cell r="C98" t="str">
            <v>242-26</v>
          </cell>
          <cell r="D98">
            <v>1230000</v>
          </cell>
          <cell r="E98" t="str">
            <v>YANAI</v>
          </cell>
        </row>
        <row r="99">
          <cell r="C99" t="str">
            <v>844-27</v>
          </cell>
          <cell r="D99">
            <v>2090000</v>
          </cell>
          <cell r="E99" t="str">
            <v>HAITHCOX</v>
          </cell>
        </row>
        <row r="100">
          <cell r="C100" t="str">
            <v>113-28</v>
          </cell>
          <cell r="D100">
            <v>2010000</v>
          </cell>
          <cell r="E100" t="str">
            <v>MAELZER</v>
          </cell>
        </row>
        <row r="101">
          <cell r="C101" t="str">
            <v>237-27</v>
          </cell>
          <cell r="D101">
            <v>1480000</v>
          </cell>
          <cell r="E101" t="str">
            <v>STURGEON</v>
          </cell>
        </row>
        <row r="102">
          <cell r="C102" t="str">
            <v>244-27</v>
          </cell>
          <cell r="D102">
            <v>1290000</v>
          </cell>
          <cell r="E102" t="str">
            <v>COOLAHAN</v>
          </cell>
        </row>
        <row r="103">
          <cell r="C103" t="str">
            <v>103-28</v>
          </cell>
          <cell r="D103">
            <v>1090000</v>
          </cell>
          <cell r="E103" t="str">
            <v>SPECTOR</v>
          </cell>
        </row>
        <row r="104">
          <cell r="C104" t="str">
            <v>234-27</v>
          </cell>
          <cell r="D104">
            <v>1300000</v>
          </cell>
          <cell r="E104" t="str">
            <v>LEVIN</v>
          </cell>
        </row>
        <row r="105">
          <cell r="C105" t="str">
            <v>104-28</v>
          </cell>
          <cell r="D105">
            <v>1090000</v>
          </cell>
          <cell r="E105" t="str">
            <v>SPECTOR</v>
          </cell>
        </row>
        <row r="106">
          <cell r="C106" t="str">
            <v>841-27</v>
          </cell>
          <cell r="D106">
            <v>2040000</v>
          </cell>
          <cell r="E106" t="str">
            <v>MOSES</v>
          </cell>
        </row>
        <row r="107">
          <cell r="C107" t="str">
            <v>128-27</v>
          </cell>
          <cell r="D107">
            <v>2010000</v>
          </cell>
          <cell r="E107" t="str">
            <v>MAELZER</v>
          </cell>
        </row>
        <row r="108">
          <cell r="C108" t="str">
            <v>219-27</v>
          </cell>
          <cell r="D108">
            <v>1290000</v>
          </cell>
          <cell r="E108" t="str">
            <v>COOLAHAN</v>
          </cell>
        </row>
        <row r="109">
          <cell r="C109" t="str">
            <v>147-27</v>
          </cell>
          <cell r="D109">
            <v>1360000</v>
          </cell>
          <cell r="E109" t="str">
            <v>SANTIZO</v>
          </cell>
        </row>
        <row r="110">
          <cell r="C110" t="str">
            <v>202-27</v>
          </cell>
          <cell r="D110">
            <v>940000</v>
          </cell>
          <cell r="E110" t="str">
            <v>BONDS</v>
          </cell>
        </row>
        <row r="111">
          <cell r="C111" t="str">
            <v>186-27</v>
          </cell>
          <cell r="D111">
            <v>950000</v>
          </cell>
          <cell r="E111" t="str">
            <v>WEBSTER</v>
          </cell>
        </row>
        <row r="112">
          <cell r="C112" t="str">
            <v>196-27</v>
          </cell>
          <cell r="D112">
            <v>1140000</v>
          </cell>
          <cell r="E112" t="str">
            <v>YOUNG</v>
          </cell>
        </row>
        <row r="113">
          <cell r="C113" t="str">
            <v>193-27</v>
          </cell>
          <cell r="D113">
            <v>1820000</v>
          </cell>
          <cell r="E113" t="str">
            <v>ADANE</v>
          </cell>
        </row>
        <row r="114">
          <cell r="C114" t="str">
            <v>904-27</v>
          </cell>
          <cell r="D114">
            <v>2090000</v>
          </cell>
          <cell r="E114" t="str">
            <v>HAITHCOX</v>
          </cell>
        </row>
        <row r="115">
          <cell r="C115" t="str">
            <v>194-27</v>
          </cell>
          <cell r="D115">
            <v>1820000</v>
          </cell>
          <cell r="E115" t="str">
            <v>ADANE</v>
          </cell>
        </row>
        <row r="116">
          <cell r="C116" t="str">
            <v>178-27</v>
          </cell>
          <cell r="D116">
            <v>1120000</v>
          </cell>
          <cell r="E116" t="str">
            <v>LOCKLEAR</v>
          </cell>
        </row>
        <row r="117">
          <cell r="C117" t="str">
            <v>224-27</v>
          </cell>
          <cell r="D117">
            <v>2150000</v>
          </cell>
          <cell r="E117" t="str">
            <v>SWANSON</v>
          </cell>
        </row>
        <row r="118">
          <cell r="C118" t="str">
            <v>179-27</v>
          </cell>
          <cell r="D118">
            <v>1820000</v>
          </cell>
          <cell r="E118" t="str">
            <v>ADANE</v>
          </cell>
        </row>
        <row r="119">
          <cell r="C119" t="str">
            <v>229-27</v>
          </cell>
          <cell r="D119">
            <v>1480000</v>
          </cell>
          <cell r="E119" t="str">
            <v>STURGEON</v>
          </cell>
        </row>
        <row r="120">
          <cell r="C120" t="str">
            <v>177-27</v>
          </cell>
          <cell r="D120">
            <v>1120000</v>
          </cell>
          <cell r="E120" t="str">
            <v>LOCKLEAR</v>
          </cell>
        </row>
        <row r="121">
          <cell r="C121" t="str">
            <v>241-27</v>
          </cell>
          <cell r="D121">
            <v>1300000</v>
          </cell>
          <cell r="E121" t="str">
            <v>LEVIN</v>
          </cell>
        </row>
        <row r="122">
          <cell r="C122" t="str">
            <v>819-27</v>
          </cell>
          <cell r="D122">
            <v>1100000</v>
          </cell>
          <cell r="E122" t="str">
            <v>GEBRETEKLE</v>
          </cell>
        </row>
        <row r="123">
          <cell r="C123" t="str">
            <v>242-27</v>
          </cell>
          <cell r="D123">
            <v>1300000</v>
          </cell>
          <cell r="E123" t="str">
            <v>LEVIN</v>
          </cell>
        </row>
        <row r="124">
          <cell r="C124" t="str">
            <v>165-27</v>
          </cell>
          <cell r="D124">
            <v>1820000</v>
          </cell>
          <cell r="E124" t="str">
            <v>ADANE</v>
          </cell>
        </row>
        <row r="125">
          <cell r="C125" t="str">
            <v>302-28</v>
          </cell>
          <cell r="D125">
            <v>2010000</v>
          </cell>
          <cell r="E125" t="str">
            <v>MAELZER</v>
          </cell>
        </row>
        <row r="126">
          <cell r="C126" t="str">
            <v>132-27</v>
          </cell>
          <cell r="D126">
            <v>1260000</v>
          </cell>
          <cell r="E126" t="str">
            <v>ACKERMAN</v>
          </cell>
        </row>
        <row r="127">
          <cell r="C127" t="str">
            <v>106-28</v>
          </cell>
          <cell r="D127">
            <v>1310000</v>
          </cell>
          <cell r="E127" t="str">
            <v>MALAVE</v>
          </cell>
        </row>
        <row r="128">
          <cell r="C128" t="str">
            <v>244-26</v>
          </cell>
          <cell r="D128">
            <v>1800000</v>
          </cell>
          <cell r="E128" t="str">
            <v>CHANDLER</v>
          </cell>
        </row>
        <row r="129">
          <cell r="C129" t="str">
            <v>115-28</v>
          </cell>
          <cell r="D129">
            <v>1190000</v>
          </cell>
          <cell r="E129" t="str">
            <v>BRANNON</v>
          </cell>
        </row>
        <row r="130">
          <cell r="C130" t="str">
            <v>113-28</v>
          </cell>
          <cell r="D130">
            <v>2010000</v>
          </cell>
          <cell r="E130" t="str">
            <v>MAELZER</v>
          </cell>
        </row>
        <row r="131">
          <cell r="C131" t="str">
            <v>122-27</v>
          </cell>
          <cell r="D131">
            <v>1090000</v>
          </cell>
          <cell r="E131" t="str">
            <v>SPECTOR</v>
          </cell>
        </row>
        <row r="132">
          <cell r="C132" t="str">
            <v>238-27</v>
          </cell>
          <cell r="D132">
            <v>1480000</v>
          </cell>
          <cell r="E132" t="str">
            <v>STURGEON</v>
          </cell>
        </row>
        <row r="133">
          <cell r="C133" t="str">
            <v>151-27</v>
          </cell>
          <cell r="D133">
            <v>1460000</v>
          </cell>
          <cell r="E133" t="str">
            <v>NELSON</v>
          </cell>
        </row>
        <row r="134">
          <cell r="C134" t="str">
            <v>232-27</v>
          </cell>
          <cell r="D134">
            <v>2150000</v>
          </cell>
          <cell r="E134" t="str">
            <v>SWANSON</v>
          </cell>
        </row>
        <row r="135">
          <cell r="C135" t="str">
            <v>154-27</v>
          </cell>
          <cell r="D135">
            <v>900000</v>
          </cell>
          <cell r="E135" t="str">
            <v>ROCHA</v>
          </cell>
        </row>
        <row r="136">
          <cell r="C136" t="str">
            <v>218-27</v>
          </cell>
          <cell r="D136">
            <v>1300000</v>
          </cell>
          <cell r="E136" t="str">
            <v>LEVIN</v>
          </cell>
        </row>
        <row r="137">
          <cell r="C137" t="str">
            <v>158-27</v>
          </cell>
          <cell r="D137">
            <v>1190000</v>
          </cell>
          <cell r="E137" t="str">
            <v>BRANNON</v>
          </cell>
        </row>
        <row r="138">
          <cell r="C138" t="str">
            <v>827-27</v>
          </cell>
          <cell r="D138">
            <v>2090000</v>
          </cell>
          <cell r="E138" t="str">
            <v>HAITHCOX</v>
          </cell>
        </row>
        <row r="139">
          <cell r="C139" t="str">
            <v>195-27</v>
          </cell>
          <cell r="D139">
            <v>1140000</v>
          </cell>
          <cell r="E139" t="str">
            <v>YOUNG</v>
          </cell>
        </row>
        <row r="140">
          <cell r="C140" t="str">
            <v>190-27</v>
          </cell>
          <cell r="D140">
            <v>1280000</v>
          </cell>
          <cell r="E140" t="str">
            <v>BARTLETT</v>
          </cell>
        </row>
        <row r="141">
          <cell r="C141" t="str">
            <v>215-27</v>
          </cell>
          <cell r="D141">
            <v>950000</v>
          </cell>
          <cell r="E141" t="str">
            <v>WEBSTER</v>
          </cell>
        </row>
        <row r="142">
          <cell r="C142" t="str">
            <v>168-27</v>
          </cell>
          <cell r="D142">
            <v>1140000</v>
          </cell>
          <cell r="E142" t="str">
            <v>YOUNG</v>
          </cell>
        </row>
        <row r="143">
          <cell r="C143" t="str">
            <v>837-27</v>
          </cell>
          <cell r="D143">
            <v>2040000</v>
          </cell>
          <cell r="E143" t="str">
            <v>MOSES</v>
          </cell>
        </row>
        <row r="144">
          <cell r="C144" t="str">
            <v>166-27</v>
          </cell>
          <cell r="D144">
            <v>1820000</v>
          </cell>
          <cell r="E144" t="str">
            <v>ADANE</v>
          </cell>
        </row>
        <row r="145">
          <cell r="C145" t="str">
            <v>222-27</v>
          </cell>
          <cell r="D145">
            <v>1480000</v>
          </cell>
          <cell r="E145" t="str">
            <v>STURGEON</v>
          </cell>
        </row>
        <row r="146">
          <cell r="C146" t="str">
            <v>819-27</v>
          </cell>
          <cell r="D146">
            <v>1100000</v>
          </cell>
          <cell r="E146" t="str">
            <v>GEBRETEKLE</v>
          </cell>
        </row>
        <row r="147">
          <cell r="C147" t="str">
            <v>231-27</v>
          </cell>
          <cell r="D147">
            <v>2150000</v>
          </cell>
          <cell r="E147" t="str">
            <v>SWANSON</v>
          </cell>
        </row>
        <row r="148">
          <cell r="C148" t="str">
            <v>803-27</v>
          </cell>
          <cell r="D148">
            <v>1100000</v>
          </cell>
          <cell r="E148" t="str">
            <v>GEBRETEKLE</v>
          </cell>
        </row>
        <row r="149">
          <cell r="C149" t="str">
            <v>309-27</v>
          </cell>
          <cell r="D149">
            <v>1480000</v>
          </cell>
          <cell r="E149" t="str">
            <v>STURGEON</v>
          </cell>
        </row>
        <row r="150">
          <cell r="C150" t="str">
            <v>800-27</v>
          </cell>
          <cell r="D150">
            <v>1110000</v>
          </cell>
          <cell r="E150" t="str">
            <v>STARKS</v>
          </cell>
        </row>
        <row r="151">
          <cell r="C151" t="str">
            <v>114-28</v>
          </cell>
          <cell r="D151">
            <v>2010000</v>
          </cell>
          <cell r="E151" t="str">
            <v>MAELZER</v>
          </cell>
        </row>
        <row r="152">
          <cell r="C152" t="str">
            <v>104-27</v>
          </cell>
          <cell r="D152">
            <v>1260000</v>
          </cell>
          <cell r="E152" t="str">
            <v>ACKERMAN</v>
          </cell>
        </row>
        <row r="153">
          <cell r="C153" t="str">
            <v>125-28</v>
          </cell>
          <cell r="D153">
            <v>1360000</v>
          </cell>
          <cell r="E153" t="str">
            <v>SANTIZO</v>
          </cell>
        </row>
        <row r="154">
          <cell r="C154" t="str">
            <v>302-27</v>
          </cell>
          <cell r="D154">
            <v>2010000</v>
          </cell>
          <cell r="E154" t="str">
            <v>MAELZER</v>
          </cell>
        </row>
        <row r="155">
          <cell r="C155" t="str">
            <v>129-28</v>
          </cell>
          <cell r="D155">
            <v>1190000</v>
          </cell>
          <cell r="E155" t="str">
            <v>BRANNON</v>
          </cell>
        </row>
        <row r="156">
          <cell r="C156" t="str">
            <v>313-26</v>
          </cell>
          <cell r="D156">
            <v>1230000</v>
          </cell>
          <cell r="E156" t="str">
            <v>YANAI</v>
          </cell>
        </row>
        <row r="157">
          <cell r="C157" t="str">
            <v>810-27</v>
          </cell>
          <cell r="D157">
            <v>1110000</v>
          </cell>
          <cell r="E157" t="str">
            <v>STARKS</v>
          </cell>
        </row>
        <row r="158">
          <cell r="C158" t="str">
            <v>803-28</v>
          </cell>
          <cell r="D158">
            <v>2140000</v>
          </cell>
          <cell r="E158" t="str">
            <v>ROBINSON</v>
          </cell>
        </row>
        <row r="159">
          <cell r="C159" t="str">
            <v>134-27</v>
          </cell>
          <cell r="D159">
            <v>1360000</v>
          </cell>
          <cell r="E159" t="str">
            <v>SANTIZO</v>
          </cell>
        </row>
        <row r="160">
          <cell r="C160" t="str">
            <v>110-28</v>
          </cell>
          <cell r="D160">
            <v>900000</v>
          </cell>
          <cell r="E160" t="str">
            <v>ROCHA</v>
          </cell>
        </row>
        <row r="161">
          <cell r="C161" t="str">
            <v>142-27</v>
          </cell>
          <cell r="D161">
            <v>2010000</v>
          </cell>
          <cell r="E161" t="str">
            <v>MAELZER</v>
          </cell>
        </row>
        <row r="162">
          <cell r="C162" t="str">
            <v>209-27</v>
          </cell>
          <cell r="D162">
            <v>1480000</v>
          </cell>
          <cell r="E162" t="str">
            <v>STURGEON</v>
          </cell>
        </row>
        <row r="163">
          <cell r="C163" t="str">
            <v>153-27</v>
          </cell>
          <cell r="D163">
            <v>900000</v>
          </cell>
          <cell r="E163" t="str">
            <v>ROCHA</v>
          </cell>
        </row>
        <row r="164">
          <cell r="C164" t="str">
            <v>192-27</v>
          </cell>
          <cell r="D164">
            <v>1120000</v>
          </cell>
          <cell r="E164" t="str">
            <v>LOCKLEAR</v>
          </cell>
        </row>
        <row r="165">
          <cell r="C165" t="str">
            <v>161-27</v>
          </cell>
          <cell r="D165">
            <v>1280000</v>
          </cell>
          <cell r="E165" t="str">
            <v>BARTLETT</v>
          </cell>
        </row>
        <row r="166">
          <cell r="C166" t="str">
            <v>183-27</v>
          </cell>
          <cell r="D166">
            <v>1770000</v>
          </cell>
          <cell r="E166" t="str">
            <v>BRUDER</v>
          </cell>
        </row>
        <row r="167">
          <cell r="C167" t="str">
            <v>163-27</v>
          </cell>
          <cell r="D167">
            <v>1120000</v>
          </cell>
          <cell r="E167" t="str">
            <v>LOCKLEAR</v>
          </cell>
        </row>
        <row r="168">
          <cell r="C168" t="str">
            <v>822-27</v>
          </cell>
          <cell r="D168">
            <v>2040000</v>
          </cell>
          <cell r="E168" t="str">
            <v>MOSES</v>
          </cell>
        </row>
        <row r="169">
          <cell r="C169" t="str">
            <v>189-27</v>
          </cell>
          <cell r="D169">
            <v>1280000</v>
          </cell>
          <cell r="E169" t="str">
            <v>BARTLETT</v>
          </cell>
        </row>
        <row r="170">
          <cell r="C170" t="str">
            <v>171-27</v>
          </cell>
          <cell r="D170">
            <v>950000</v>
          </cell>
          <cell r="E170" t="str">
            <v>WEBSTER</v>
          </cell>
        </row>
        <row r="171">
          <cell r="C171" t="str">
            <v>212-27</v>
          </cell>
          <cell r="D171">
            <v>1140000</v>
          </cell>
          <cell r="E171" t="str">
            <v>YOUNG</v>
          </cell>
        </row>
        <row r="172">
          <cell r="C172" t="str">
            <v>157-27</v>
          </cell>
          <cell r="D172">
            <v>1190000</v>
          </cell>
          <cell r="E172" t="str">
            <v>BRANNON</v>
          </cell>
        </row>
        <row r="173">
          <cell r="C173" t="str">
            <v>109-28</v>
          </cell>
          <cell r="D173">
            <v>900000</v>
          </cell>
          <cell r="E173" t="str">
            <v>ROCHA</v>
          </cell>
        </row>
        <row r="174">
          <cell r="C174" t="str">
            <v>129-27</v>
          </cell>
          <cell r="D174">
            <v>1190000</v>
          </cell>
          <cell r="E174" t="str">
            <v>BRANNON</v>
          </cell>
        </row>
        <row r="175">
          <cell r="C175" t="str">
            <v>175-27</v>
          </cell>
          <cell r="D175">
            <v>1280000</v>
          </cell>
          <cell r="E175" t="str">
            <v>BARTLETT</v>
          </cell>
        </row>
        <row r="176">
          <cell r="C176" t="str">
            <v>129-27</v>
          </cell>
          <cell r="D176">
            <v>1190000</v>
          </cell>
          <cell r="E176" t="str">
            <v>BRANNON</v>
          </cell>
        </row>
        <row r="177">
          <cell r="C177" t="str">
            <v>170-27</v>
          </cell>
          <cell r="D177">
            <v>1770000</v>
          </cell>
          <cell r="E177" t="str">
            <v>BRUDER</v>
          </cell>
        </row>
        <row r="178">
          <cell r="C178" t="str">
            <v>120-27</v>
          </cell>
          <cell r="D178">
            <v>1360000</v>
          </cell>
          <cell r="E178" t="str">
            <v>SANTIZO</v>
          </cell>
        </row>
        <row r="179">
          <cell r="C179" t="str">
            <v>172-27</v>
          </cell>
          <cell r="D179">
            <v>950000</v>
          </cell>
          <cell r="E179" t="str">
            <v>WEBSTER</v>
          </cell>
        </row>
        <row r="180">
          <cell r="C180" t="str">
            <v>121-27</v>
          </cell>
          <cell r="D180">
            <v>1090000</v>
          </cell>
          <cell r="E180" t="str">
            <v>SPECTOR</v>
          </cell>
        </row>
        <row r="181">
          <cell r="C181" t="str">
            <v>233-27</v>
          </cell>
          <cell r="D181">
            <v>1300000</v>
          </cell>
          <cell r="E181" t="str">
            <v>LEVIN</v>
          </cell>
        </row>
        <row r="182">
          <cell r="C182" t="str">
            <v>115-27</v>
          </cell>
          <cell r="D182">
            <v>1190000</v>
          </cell>
          <cell r="E182" t="str">
            <v>BRANNON</v>
          </cell>
        </row>
        <row r="183">
          <cell r="C183" t="str">
            <v>304-28</v>
          </cell>
          <cell r="D183">
            <v>1090000</v>
          </cell>
          <cell r="E183" t="str">
            <v>SPECTOR</v>
          </cell>
        </row>
        <row r="184">
          <cell r="C184" t="str">
            <v>237-26</v>
          </cell>
          <cell r="D184">
            <v>1180000</v>
          </cell>
          <cell r="E184" t="str">
            <v>LEVERE</v>
          </cell>
        </row>
        <row r="185">
          <cell r="C185" t="str">
            <v>107-28</v>
          </cell>
          <cell r="D185">
            <v>1460000</v>
          </cell>
          <cell r="E185" t="str">
            <v>NELSON</v>
          </cell>
        </row>
        <row r="186">
          <cell r="C186" t="str">
            <v>235-26</v>
          </cell>
          <cell r="D186">
            <v>1800000</v>
          </cell>
          <cell r="E186" t="str">
            <v>CHANDLER</v>
          </cell>
        </row>
        <row r="187">
          <cell r="C187" t="str">
            <v>843-26</v>
          </cell>
          <cell r="D187">
            <v>1770000</v>
          </cell>
          <cell r="E187" t="str">
            <v>BRUDER</v>
          </cell>
        </row>
        <row r="188">
          <cell r="C188" t="str">
            <v>226-26</v>
          </cell>
          <cell r="D188">
            <v>1230000</v>
          </cell>
          <cell r="E188" t="str">
            <v>YANAI</v>
          </cell>
        </row>
        <row r="189">
          <cell r="C189" t="str">
            <v>842-26</v>
          </cell>
          <cell r="D189">
            <v>1770000</v>
          </cell>
          <cell r="E189" t="str">
            <v>BRUDER</v>
          </cell>
        </row>
        <row r="190">
          <cell r="C190" t="str">
            <v>224-26</v>
          </cell>
          <cell r="D190">
            <v>1290000</v>
          </cell>
          <cell r="E190" t="str">
            <v>COOLAHAN</v>
          </cell>
        </row>
        <row r="191">
          <cell r="C191" t="str">
            <v>845-26</v>
          </cell>
          <cell r="D191">
            <v>1480000</v>
          </cell>
          <cell r="E191" t="str">
            <v>STURGEON</v>
          </cell>
        </row>
        <row r="192">
          <cell r="C192" t="str">
            <v>225-26</v>
          </cell>
          <cell r="D192">
            <v>1230000</v>
          </cell>
          <cell r="E192" t="str">
            <v>YANAI</v>
          </cell>
        </row>
        <row r="193">
          <cell r="C193" t="str">
            <v>241-26</v>
          </cell>
          <cell r="D193">
            <v>1230000</v>
          </cell>
          <cell r="E193" t="str">
            <v>YANAI</v>
          </cell>
        </row>
        <row r="194">
          <cell r="C194" t="str">
            <v>220-26</v>
          </cell>
          <cell r="D194">
            <v>1800000</v>
          </cell>
          <cell r="E194" t="str">
            <v>CHANDLER</v>
          </cell>
        </row>
        <row r="195">
          <cell r="C195" t="str">
            <v>315-26</v>
          </cell>
          <cell r="D195">
            <v>1800000</v>
          </cell>
          <cell r="E195" t="str">
            <v>CHANDLER</v>
          </cell>
        </row>
        <row r="196">
          <cell r="C196" t="str">
            <v>223-26</v>
          </cell>
          <cell r="D196">
            <v>1290000</v>
          </cell>
          <cell r="E196" t="str">
            <v>COOLAHAN</v>
          </cell>
        </row>
        <row r="197">
          <cell r="C197" t="str">
            <v>102-27</v>
          </cell>
          <cell r="D197">
            <v>2010000</v>
          </cell>
          <cell r="E197" t="str">
            <v>MAELZER</v>
          </cell>
        </row>
        <row r="198">
          <cell r="C198" t="str">
            <v>313-27</v>
          </cell>
          <cell r="D198">
            <v>1300000</v>
          </cell>
          <cell r="E198" t="str">
            <v>LEVIN</v>
          </cell>
        </row>
        <row r="199">
          <cell r="C199" t="str">
            <v>804-27</v>
          </cell>
          <cell r="D199">
            <v>1100000</v>
          </cell>
          <cell r="E199" t="str">
            <v>GEBRETEKLE</v>
          </cell>
        </row>
        <row r="200">
          <cell r="C200" t="str">
            <v>235-27</v>
          </cell>
          <cell r="D200">
            <v>1290000</v>
          </cell>
          <cell r="E200" t="str">
            <v>COOLAHAN</v>
          </cell>
        </row>
        <row r="201">
          <cell r="C201" t="str">
            <v>138-27</v>
          </cell>
          <cell r="D201">
            <v>1460000</v>
          </cell>
          <cell r="E201" t="str">
            <v>NELSON</v>
          </cell>
        </row>
        <row r="202">
          <cell r="C202" t="str">
            <v>842-27</v>
          </cell>
          <cell r="D202">
            <v>2040000</v>
          </cell>
          <cell r="E202" t="str">
            <v>MOSES</v>
          </cell>
        </row>
        <row r="203">
          <cell r="C203" t="str">
            <v>815-27</v>
          </cell>
          <cell r="D203">
            <v>1100000</v>
          </cell>
          <cell r="E203" t="str">
            <v>GEBRETEKLE</v>
          </cell>
        </row>
        <row r="204">
          <cell r="C204" t="str">
            <v>214-27</v>
          </cell>
          <cell r="D204">
            <v>2150000</v>
          </cell>
          <cell r="E204" t="str">
            <v>SWANSON</v>
          </cell>
        </row>
        <row r="205">
          <cell r="C205" t="str">
            <v>829-27</v>
          </cell>
          <cell r="D205">
            <v>2040000</v>
          </cell>
          <cell r="E205" t="str">
            <v>MOSES</v>
          </cell>
        </row>
        <row r="206">
          <cell r="C206" t="str">
            <v>831-27</v>
          </cell>
          <cell r="D206">
            <v>2090000</v>
          </cell>
          <cell r="E206" t="str">
            <v>HAITHCOX</v>
          </cell>
        </row>
        <row r="207">
          <cell r="C207" t="str">
            <v>908-27</v>
          </cell>
          <cell r="D207">
            <v>2090000</v>
          </cell>
          <cell r="E207" t="str">
            <v>HAITHCOX</v>
          </cell>
        </row>
        <row r="208">
          <cell r="C208" t="str">
            <v>195-27</v>
          </cell>
          <cell r="D208">
            <v>1140000</v>
          </cell>
          <cell r="E208" t="str">
            <v>YOUNG</v>
          </cell>
        </row>
        <row r="209">
          <cell r="C209" t="str">
            <v>119-27</v>
          </cell>
          <cell r="D209">
            <v>1360000</v>
          </cell>
          <cell r="E209" t="str">
            <v>SANTIZO</v>
          </cell>
        </row>
        <row r="210">
          <cell r="C210" t="str">
            <v>140-27</v>
          </cell>
          <cell r="D210">
            <v>900000</v>
          </cell>
          <cell r="E210" t="str">
            <v>ROCHA</v>
          </cell>
        </row>
        <row r="211">
          <cell r="C211" t="str">
            <v>807-27</v>
          </cell>
          <cell r="D211">
            <v>1100000</v>
          </cell>
          <cell r="E211" t="str">
            <v>GEBRETEKLE</v>
          </cell>
        </row>
        <row r="212">
          <cell r="C212" t="str">
            <v>112-28</v>
          </cell>
          <cell r="D212">
            <v>1110000</v>
          </cell>
          <cell r="E212" t="str">
            <v>STARKS</v>
          </cell>
        </row>
        <row r="213">
          <cell r="C213" t="str">
            <v>130-27</v>
          </cell>
          <cell r="D213">
            <v>1190000</v>
          </cell>
          <cell r="E213" t="str">
            <v>BRANNON</v>
          </cell>
        </row>
        <row r="214">
          <cell r="C214" t="str">
            <v>105-28</v>
          </cell>
          <cell r="D214">
            <v>1310000</v>
          </cell>
          <cell r="E214" t="str">
            <v>MALAVE</v>
          </cell>
        </row>
        <row r="215">
          <cell r="C215" t="str">
            <v>144-27</v>
          </cell>
          <cell r="D215">
            <v>1190000</v>
          </cell>
          <cell r="E215" t="str">
            <v>BRANNON</v>
          </cell>
        </row>
        <row r="216">
          <cell r="C216" t="str">
            <v>HELVIE-27</v>
          </cell>
          <cell r="D216">
            <v>1540000</v>
          </cell>
          <cell r="E216" t="str">
            <v>HELVIE</v>
          </cell>
        </row>
        <row r="217">
          <cell r="C217" t="str">
            <v>167-27</v>
          </cell>
          <cell r="D217">
            <v>1140000</v>
          </cell>
          <cell r="E217" t="str">
            <v>YOUNG</v>
          </cell>
        </row>
        <row r="218">
          <cell r="C218" t="str">
            <v>213-27</v>
          </cell>
          <cell r="D218">
            <v>2150000</v>
          </cell>
          <cell r="E218" t="str">
            <v>SWANSON</v>
          </cell>
        </row>
        <row r="219">
          <cell r="C219" t="str">
            <v>175-27</v>
          </cell>
          <cell r="D219">
            <v>1280000</v>
          </cell>
          <cell r="E219" t="str">
            <v>BARTLETT</v>
          </cell>
        </row>
        <row r="220">
          <cell r="C220" t="str">
            <v>169-27</v>
          </cell>
          <cell r="D220">
            <v>1770000</v>
          </cell>
          <cell r="E220" t="str">
            <v>BRUDER</v>
          </cell>
        </row>
        <row r="221">
          <cell r="C221" t="str">
            <v>187-27</v>
          </cell>
          <cell r="D221">
            <v>940000</v>
          </cell>
          <cell r="E221" t="str">
            <v>BONDS</v>
          </cell>
        </row>
        <row r="222">
          <cell r="C222" t="str">
            <v>143-27</v>
          </cell>
          <cell r="D222">
            <v>1190000</v>
          </cell>
          <cell r="E222" t="str">
            <v>BRANNON</v>
          </cell>
        </row>
        <row r="223">
          <cell r="C223" t="str">
            <v>188-27</v>
          </cell>
          <cell r="D223">
            <v>940000</v>
          </cell>
          <cell r="E223" t="str">
            <v>BONDS</v>
          </cell>
        </row>
        <row r="224">
          <cell r="C224" t="str">
            <v>136-27</v>
          </cell>
          <cell r="D224">
            <v>1090000</v>
          </cell>
          <cell r="E224" t="str">
            <v>SPECTOR</v>
          </cell>
        </row>
        <row r="225">
          <cell r="C225" t="str">
            <v>201-27</v>
          </cell>
          <cell r="D225">
            <v>940000</v>
          </cell>
          <cell r="E225" t="str">
            <v>BONDS</v>
          </cell>
        </row>
        <row r="226">
          <cell r="C226" t="str">
            <v>122-28</v>
          </cell>
          <cell r="D226">
            <v>1460000</v>
          </cell>
          <cell r="E226" t="str">
            <v>NELSON</v>
          </cell>
        </row>
        <row r="227">
          <cell r="C227" t="str">
            <v>830-27</v>
          </cell>
          <cell r="D227">
            <v>2040000</v>
          </cell>
          <cell r="E227" t="str">
            <v>MOSES</v>
          </cell>
        </row>
        <row r="228">
          <cell r="C228" t="str">
            <v>114-28</v>
          </cell>
          <cell r="D228">
            <v>2010000</v>
          </cell>
          <cell r="E228" t="str">
            <v>MAELZER</v>
          </cell>
        </row>
        <row r="229">
          <cell r="C229" t="str">
            <v>200-27</v>
          </cell>
          <cell r="D229">
            <v>950000</v>
          </cell>
          <cell r="E229" t="str">
            <v>WEBSTER</v>
          </cell>
        </row>
        <row r="230">
          <cell r="C230" t="str">
            <v>228-27</v>
          </cell>
          <cell r="D230">
            <v>1290000</v>
          </cell>
          <cell r="E230" t="str">
            <v>COOLAHAN</v>
          </cell>
        </row>
        <row r="231">
          <cell r="C231" t="str">
            <v>833-27</v>
          </cell>
          <cell r="D231">
            <v>2040000</v>
          </cell>
          <cell r="E231" t="str">
            <v>MOSES</v>
          </cell>
        </row>
        <row r="232">
          <cell r="C232" t="str">
            <v>220-27</v>
          </cell>
          <cell r="D232">
            <v>1290000</v>
          </cell>
          <cell r="E232" t="str">
            <v>COOLAHAN</v>
          </cell>
        </row>
        <row r="233">
          <cell r="C233" t="str">
            <v>129-27</v>
          </cell>
          <cell r="D233">
            <v>1190000</v>
          </cell>
          <cell r="E233" t="str">
            <v>BRANNON</v>
          </cell>
        </row>
        <row r="234">
          <cell r="C234" t="str">
            <v>213-27</v>
          </cell>
          <cell r="D234">
            <v>2150000</v>
          </cell>
          <cell r="E234" t="str">
            <v>SWANSON</v>
          </cell>
        </row>
        <row r="235">
          <cell r="C235" t="str">
            <v>808-27</v>
          </cell>
          <cell r="D235">
            <v>1100000</v>
          </cell>
          <cell r="E235" t="str">
            <v>GEBRETEKLE</v>
          </cell>
        </row>
        <row r="236">
          <cell r="C236" t="str">
            <v>221-27</v>
          </cell>
          <cell r="D236">
            <v>1480000</v>
          </cell>
          <cell r="E236" t="str">
            <v>STURGEON</v>
          </cell>
        </row>
        <row r="237">
          <cell r="C237" t="str">
            <v>174-27</v>
          </cell>
          <cell r="D237">
            <v>940000</v>
          </cell>
          <cell r="E237" t="str">
            <v>BONDS</v>
          </cell>
        </row>
        <row r="238">
          <cell r="C238" t="str">
            <v>217-27</v>
          </cell>
          <cell r="D238">
            <v>1300000</v>
          </cell>
          <cell r="E238" t="str">
            <v>LEVIN</v>
          </cell>
        </row>
        <row r="239">
          <cell r="C239" t="str">
            <v>824-27</v>
          </cell>
          <cell r="D239">
            <v>2040000</v>
          </cell>
          <cell r="E239" t="str">
            <v>MOSES</v>
          </cell>
        </row>
        <row r="240">
          <cell r="C240" t="str">
            <v>210-27</v>
          </cell>
          <cell r="D240">
            <v>1480000</v>
          </cell>
          <cell r="E240" t="str">
            <v>STURGEON</v>
          </cell>
        </row>
        <row r="241">
          <cell r="C241" t="str">
            <v>838-27</v>
          </cell>
          <cell r="D241">
            <v>2040000</v>
          </cell>
          <cell r="E241" t="str">
            <v>MOSES</v>
          </cell>
        </row>
        <row r="242">
          <cell r="C242" t="str">
            <v>825-27</v>
          </cell>
          <cell r="D242">
            <v>2040000</v>
          </cell>
          <cell r="E242" t="str">
            <v>MOSES</v>
          </cell>
        </row>
        <row r="243">
          <cell r="C243" t="str">
            <v>233-27</v>
          </cell>
          <cell r="D243">
            <v>1300000</v>
          </cell>
          <cell r="E243" t="str">
            <v>LEVIN</v>
          </cell>
        </row>
        <row r="244">
          <cell r="C244" t="str">
            <v>191-27</v>
          </cell>
          <cell r="D244">
            <v>1120000</v>
          </cell>
          <cell r="E244" t="str">
            <v>LOCKLEAR</v>
          </cell>
        </row>
        <row r="245">
          <cell r="C245" t="str">
            <v>233-27</v>
          </cell>
          <cell r="D245">
            <v>1300000</v>
          </cell>
          <cell r="E245" t="str">
            <v>LEVIN</v>
          </cell>
        </row>
        <row r="246">
          <cell r="C246" t="str">
            <v>800-27</v>
          </cell>
          <cell r="D246">
            <v>1110000</v>
          </cell>
          <cell r="E246" t="str">
            <v>STARKS</v>
          </cell>
        </row>
        <row r="247">
          <cell r="C247" t="str">
            <v>110-28</v>
          </cell>
          <cell r="D247">
            <v>900000</v>
          </cell>
          <cell r="E247" t="str">
            <v>ROCHA</v>
          </cell>
        </row>
        <row r="248">
          <cell r="C248" t="str">
            <v>125-27</v>
          </cell>
          <cell r="D248">
            <v>900000</v>
          </cell>
          <cell r="E248" t="str">
            <v>ROCHA</v>
          </cell>
        </row>
        <row r="249">
          <cell r="C249" t="str">
            <v>116-28</v>
          </cell>
          <cell r="D249">
            <v>1190000</v>
          </cell>
          <cell r="E249" t="str">
            <v>BRANNON</v>
          </cell>
        </row>
        <row r="250">
          <cell r="C250" t="str">
            <v>127-27</v>
          </cell>
          <cell r="D250">
            <v>2010000</v>
          </cell>
          <cell r="E250" t="str">
            <v>MAELZER</v>
          </cell>
        </row>
        <row r="251">
          <cell r="C251" t="str">
            <v>805-28</v>
          </cell>
          <cell r="D251">
            <v>1830000</v>
          </cell>
          <cell r="E251" t="str">
            <v>YORK</v>
          </cell>
        </row>
        <row r="252">
          <cell r="C252" t="str">
            <v>800-27</v>
          </cell>
          <cell r="D252">
            <v>1110000</v>
          </cell>
          <cell r="E252" t="str">
            <v>STARKS</v>
          </cell>
        </row>
        <row r="253">
          <cell r="C253" t="str">
            <v>118-28</v>
          </cell>
          <cell r="D253">
            <v>1090000</v>
          </cell>
          <cell r="E253" t="str">
            <v>SPECTOR</v>
          </cell>
        </row>
        <row r="254">
          <cell r="C254" t="str">
            <v>311-27</v>
          </cell>
          <cell r="D254">
            <v>2150000</v>
          </cell>
          <cell r="E254" t="str">
            <v>SWANSON</v>
          </cell>
        </row>
        <row r="255">
          <cell r="C255" t="str">
            <v>119-27</v>
          </cell>
          <cell r="D255">
            <v>1360000</v>
          </cell>
          <cell r="E255" t="str">
            <v>SANTIZO</v>
          </cell>
        </row>
        <row r="256">
          <cell r="C256" t="str">
            <v>226-27</v>
          </cell>
          <cell r="D256">
            <v>1300000</v>
          </cell>
          <cell r="E256" t="str">
            <v>LEVIN</v>
          </cell>
        </row>
        <row r="257">
          <cell r="C257" t="str">
            <v>126-27</v>
          </cell>
          <cell r="D257">
            <v>900000</v>
          </cell>
          <cell r="E257" t="str">
            <v>ROCHA</v>
          </cell>
        </row>
        <row r="258">
          <cell r="C258" t="str">
            <v>307-27</v>
          </cell>
          <cell r="D258">
            <v>950000</v>
          </cell>
          <cell r="E258" t="str">
            <v>WEBSTER</v>
          </cell>
        </row>
        <row r="259">
          <cell r="C259" t="str">
            <v>133-27</v>
          </cell>
          <cell r="D259">
            <v>1360000</v>
          </cell>
          <cell r="E259" t="str">
            <v>SANTIZO</v>
          </cell>
        </row>
        <row r="260">
          <cell r="C260" t="str">
            <v>835-27</v>
          </cell>
          <cell r="D260">
            <v>2090000</v>
          </cell>
          <cell r="E260" t="str">
            <v>HAITHCOX</v>
          </cell>
        </row>
        <row r="261">
          <cell r="C261" t="str">
            <v>149-27</v>
          </cell>
          <cell r="D261">
            <v>1090000</v>
          </cell>
          <cell r="E261" t="str">
            <v>SPECTOR</v>
          </cell>
        </row>
        <row r="262">
          <cell r="C262" t="str">
            <v>205-27</v>
          </cell>
          <cell r="D262">
            <v>1120000</v>
          </cell>
          <cell r="E262" t="str">
            <v>LOCKLEAR</v>
          </cell>
        </row>
        <row r="263">
          <cell r="C263" t="str">
            <v>164-27</v>
          </cell>
          <cell r="D263">
            <v>1120000</v>
          </cell>
          <cell r="E263" t="str">
            <v>LOCKLEAR</v>
          </cell>
        </row>
        <row r="264">
          <cell r="C264" t="str">
            <v>197-27</v>
          </cell>
          <cell r="D264">
            <v>1770000</v>
          </cell>
          <cell r="E264" t="str">
            <v>BRUDER</v>
          </cell>
        </row>
        <row r="265">
          <cell r="C265" t="str">
            <v>820-27</v>
          </cell>
          <cell r="D265">
            <v>1100000</v>
          </cell>
          <cell r="E265" t="str">
            <v>GEBRETEKLE</v>
          </cell>
        </row>
        <row r="266">
          <cell r="C266" t="str">
            <v>182-27</v>
          </cell>
          <cell r="D266">
            <v>1140000</v>
          </cell>
          <cell r="E266" t="str">
            <v>YOUNG</v>
          </cell>
        </row>
        <row r="267">
          <cell r="C267" t="str">
            <v>173-27</v>
          </cell>
          <cell r="D267">
            <v>940000</v>
          </cell>
          <cell r="E267" t="str">
            <v>BONDS</v>
          </cell>
        </row>
        <row r="268">
          <cell r="C268" t="str">
            <v>183-27</v>
          </cell>
          <cell r="D268">
            <v>1770000</v>
          </cell>
          <cell r="E268" t="str">
            <v>BRUDER</v>
          </cell>
        </row>
        <row r="269">
          <cell r="C269" t="str">
            <v>181-27</v>
          </cell>
          <cell r="D269">
            <v>1140000</v>
          </cell>
          <cell r="E269" t="str">
            <v>YOUNG</v>
          </cell>
        </row>
        <row r="270">
          <cell r="C270" t="str">
            <v>817-27</v>
          </cell>
          <cell r="D270">
            <v>1100000</v>
          </cell>
          <cell r="E270" t="str">
            <v>GEBRETEKLE</v>
          </cell>
        </row>
        <row r="271">
          <cell r="C271" t="str">
            <v>185-27</v>
          </cell>
          <cell r="D271">
            <v>950000</v>
          </cell>
          <cell r="E271" t="str">
            <v>WEBSTER</v>
          </cell>
        </row>
        <row r="272">
          <cell r="C272" t="str">
            <v>812-27</v>
          </cell>
          <cell r="D272">
            <v>1100000</v>
          </cell>
          <cell r="E272" t="str">
            <v>GEBRETEKLE</v>
          </cell>
        </row>
        <row r="273">
          <cell r="C273" t="str">
            <v>828-27</v>
          </cell>
          <cell r="D273">
            <v>2090000</v>
          </cell>
          <cell r="E273" t="str">
            <v>HAITHCOX</v>
          </cell>
        </row>
        <row r="274">
          <cell r="C274" t="str">
            <v>139-27</v>
          </cell>
          <cell r="D274">
            <v>900000</v>
          </cell>
          <cell r="E274" t="str">
            <v>ROCHA</v>
          </cell>
        </row>
        <row r="275">
          <cell r="C275" t="str">
            <v>207-27</v>
          </cell>
          <cell r="D275">
            <v>1820000</v>
          </cell>
          <cell r="E275" t="str">
            <v>ADANE</v>
          </cell>
        </row>
        <row r="276">
          <cell r="C276" t="str">
            <v>122-27</v>
          </cell>
          <cell r="D276">
            <v>1090000</v>
          </cell>
          <cell r="E276" t="str">
            <v>SPECTOR</v>
          </cell>
        </row>
        <row r="277">
          <cell r="C277" t="str">
            <v>208-27</v>
          </cell>
          <cell r="D277">
            <v>1820000</v>
          </cell>
          <cell r="E277" t="str">
            <v>ADANE</v>
          </cell>
        </row>
        <row r="278">
          <cell r="C278" t="str">
            <v>124-27</v>
          </cell>
          <cell r="D278">
            <v>1460000</v>
          </cell>
          <cell r="E278" t="str">
            <v>NELSON</v>
          </cell>
        </row>
        <row r="279">
          <cell r="C279" t="str">
            <v>214-27</v>
          </cell>
          <cell r="D279">
            <v>2150000</v>
          </cell>
          <cell r="E279" t="str">
            <v>SWANSON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227-27</v>
          </cell>
          <cell r="D281">
            <v>1290000</v>
          </cell>
          <cell r="E281" t="str">
            <v>COOLAHAN</v>
          </cell>
        </row>
        <row r="282">
          <cell r="C282" t="str">
            <v>901-27</v>
          </cell>
          <cell r="D282">
            <v>1110000</v>
          </cell>
          <cell r="E282" t="str">
            <v>STARKS</v>
          </cell>
        </row>
        <row r="283">
          <cell r="C283" t="str">
            <v>155-27</v>
          </cell>
          <cell r="D283">
            <v>1110000</v>
          </cell>
          <cell r="E283" t="str">
            <v>STARKS</v>
          </cell>
        </row>
        <row r="284">
          <cell r="C284" t="str">
            <v>800-28</v>
          </cell>
          <cell r="D284">
            <v>1830000</v>
          </cell>
          <cell r="E284" t="str">
            <v>YORK</v>
          </cell>
        </row>
        <row r="285">
          <cell r="C285" t="str">
            <v>150-27</v>
          </cell>
          <cell r="D285">
            <v>1090000</v>
          </cell>
          <cell r="E285" t="str">
            <v>SPECTOR</v>
          </cell>
        </row>
        <row r="286">
          <cell r="C286" t="str">
            <v>230-27</v>
          </cell>
          <cell r="D286">
            <v>1480000</v>
          </cell>
          <cell r="E286" t="str">
            <v>STURGEON</v>
          </cell>
        </row>
        <row r="287">
          <cell r="C287" t="str">
            <v>152-27</v>
          </cell>
          <cell r="D287">
            <v>1460000</v>
          </cell>
          <cell r="E287" t="str">
            <v>NELSON</v>
          </cell>
        </row>
        <row r="288">
          <cell r="C288" t="str">
            <v>843-27</v>
          </cell>
          <cell r="D288">
            <v>2040000</v>
          </cell>
          <cell r="E288" t="str">
            <v>MOSES</v>
          </cell>
        </row>
        <row r="289">
          <cell r="C289" t="str">
            <v>159-27</v>
          </cell>
          <cell r="D289">
            <v>940000</v>
          </cell>
          <cell r="E289" t="str">
            <v>BONDS</v>
          </cell>
        </row>
        <row r="290">
          <cell r="C290" t="str">
            <v>840-27</v>
          </cell>
          <cell r="D290">
            <v>2040000</v>
          </cell>
          <cell r="E290" t="str">
            <v>MOSES</v>
          </cell>
        </row>
        <row r="291">
          <cell r="C291" t="str">
            <v>159-27</v>
          </cell>
          <cell r="D291">
            <v>940000</v>
          </cell>
          <cell r="E291" t="str">
            <v>BONDS</v>
          </cell>
        </row>
        <row r="292">
          <cell r="C292" t="str">
            <v>906-27</v>
          </cell>
          <cell r="D292">
            <v>2090000</v>
          </cell>
          <cell r="E292" t="str">
            <v>HAITHCOX</v>
          </cell>
        </row>
        <row r="293">
          <cell r="C293" t="str">
            <v>904-27</v>
          </cell>
          <cell r="D293">
            <v>2090000</v>
          </cell>
          <cell r="E293" t="str">
            <v>HAITHCOX</v>
          </cell>
        </row>
        <row r="294">
          <cell r="C294" t="str">
            <v>216-27</v>
          </cell>
          <cell r="D294">
            <v>950000</v>
          </cell>
          <cell r="E294" t="str">
            <v>WEBSTER</v>
          </cell>
        </row>
        <row r="295">
          <cell r="C295" t="str">
            <v>826-27</v>
          </cell>
          <cell r="D295">
            <v>2040000</v>
          </cell>
          <cell r="E295" t="str">
            <v>MOSES</v>
          </cell>
        </row>
        <row r="296">
          <cell r="C296" t="str">
            <v>185-27</v>
          </cell>
          <cell r="D296">
            <v>950000</v>
          </cell>
          <cell r="E296" t="str">
            <v>WEBSTER</v>
          </cell>
        </row>
        <row r="297">
          <cell r="C297" t="str">
            <v>203-27</v>
          </cell>
          <cell r="D297">
            <v>1280000</v>
          </cell>
          <cell r="E297" t="str">
            <v>BARTLETT</v>
          </cell>
        </row>
        <row r="298">
          <cell r="C298" t="str">
            <v>141-27</v>
          </cell>
          <cell r="D298">
            <v>2010000</v>
          </cell>
          <cell r="E298" t="str">
            <v>MAELZER</v>
          </cell>
        </row>
        <row r="299">
          <cell r="C299" t="str">
            <v>204-27</v>
          </cell>
          <cell r="D299">
            <v>1280000</v>
          </cell>
          <cell r="E299" t="str">
            <v>BARTLETT</v>
          </cell>
        </row>
        <row r="300">
          <cell r="C300" t="str">
            <v>811-27</v>
          </cell>
          <cell r="D300">
            <v>1100000</v>
          </cell>
          <cell r="E300" t="str">
            <v>GEBRETEKLE</v>
          </cell>
        </row>
        <row r="301">
          <cell r="C301" t="str">
            <v>211-27</v>
          </cell>
          <cell r="D301">
            <v>1140000</v>
          </cell>
          <cell r="E301" t="str">
            <v>YOUNG</v>
          </cell>
        </row>
        <row r="302">
          <cell r="C302" t="str">
            <v>808-27</v>
          </cell>
          <cell r="D302">
            <v>1100000</v>
          </cell>
          <cell r="E302" t="str">
            <v>GEBRETEKLE</v>
          </cell>
        </row>
        <row r="303">
          <cell r="C303" t="str">
            <v>225-27</v>
          </cell>
          <cell r="D303">
            <v>1300000</v>
          </cell>
          <cell r="E303" t="str">
            <v>LEVIN</v>
          </cell>
        </row>
        <row r="304">
          <cell r="C304" t="str">
            <v>106-27</v>
          </cell>
          <cell r="D304">
            <v>1360000</v>
          </cell>
          <cell r="E304" t="str">
            <v>SANTIZO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101-28</v>
          </cell>
        </row>
      </sheetData>
      <sheetData sheetId="1" refreshError="1"/>
      <sheetData sheetId="2" refreshError="1"/>
      <sheetData sheetId="3">
        <row r="1">
          <cell r="C1" t="str">
            <v>228-27</v>
          </cell>
          <cell r="D1">
            <v>1290000</v>
          </cell>
          <cell r="E1" t="str">
            <v>COOLAHAN</v>
          </cell>
        </row>
        <row r="2">
          <cell r="C2" t="str">
            <v>158-28</v>
          </cell>
          <cell r="D2">
            <v>1190000</v>
          </cell>
          <cell r="E2" t="str">
            <v>BRANNON</v>
          </cell>
        </row>
        <row r="3">
          <cell r="C3" t="str">
            <v>160-28</v>
          </cell>
          <cell r="D3">
            <v>940000</v>
          </cell>
          <cell r="E3" t="str">
            <v>BONDS</v>
          </cell>
        </row>
        <row r="4">
          <cell r="C4" t="str">
            <v>162-28</v>
          </cell>
          <cell r="D4">
            <v>2020000</v>
          </cell>
          <cell r="E4" t="str">
            <v>SHOOK</v>
          </cell>
        </row>
        <row r="5">
          <cell r="C5" t="str">
            <v>146-28</v>
          </cell>
          <cell r="D5">
            <v>1090000</v>
          </cell>
          <cell r="E5" t="str">
            <v>SPECTOR</v>
          </cell>
        </row>
        <row r="6">
          <cell r="C6" t="str">
            <v>819-28</v>
          </cell>
          <cell r="D6">
            <v>2140000</v>
          </cell>
          <cell r="E6" t="str">
            <v>ROBINSON</v>
          </cell>
        </row>
        <row r="7">
          <cell r="C7" t="str">
            <v>170-28</v>
          </cell>
          <cell r="D7">
            <v>1820000</v>
          </cell>
          <cell r="E7" t="str">
            <v>ADANE</v>
          </cell>
        </row>
        <row r="8">
          <cell r="C8" t="str">
            <v>177-28</v>
          </cell>
          <cell r="D8">
            <v>2040000</v>
          </cell>
          <cell r="E8" t="str">
            <v>MOSES</v>
          </cell>
        </row>
        <row r="9">
          <cell r="C9" t="str">
            <v>172-28</v>
          </cell>
          <cell r="D9">
            <v>950000</v>
          </cell>
          <cell r="E9" t="str">
            <v>WEBSTER</v>
          </cell>
        </row>
        <row r="10">
          <cell r="C10" t="str">
            <v>174-28</v>
          </cell>
          <cell r="D10">
            <v>940000</v>
          </cell>
          <cell r="E10" t="str">
            <v>BONDS</v>
          </cell>
        </row>
        <row r="11">
          <cell r="C11" t="str">
            <v>147-28</v>
          </cell>
          <cell r="D11">
            <v>1310000</v>
          </cell>
          <cell r="E11" t="str">
            <v>MALAVE</v>
          </cell>
        </row>
        <row r="12">
          <cell r="C12" t="str">
            <v>176-28</v>
          </cell>
          <cell r="D12">
            <v>2020000</v>
          </cell>
          <cell r="E12" t="str">
            <v>SHOOK</v>
          </cell>
        </row>
        <row r="13">
          <cell r="C13" t="str">
            <v>143-28</v>
          </cell>
          <cell r="D13">
            <v>1190000</v>
          </cell>
          <cell r="E13" t="str">
            <v>BRANNON</v>
          </cell>
        </row>
        <row r="14">
          <cell r="C14" t="str">
            <v>178-28</v>
          </cell>
          <cell r="D14">
            <v>2040000</v>
          </cell>
          <cell r="E14" t="str">
            <v>MOSES</v>
          </cell>
        </row>
        <row r="15">
          <cell r="C15" t="str">
            <v>132-28</v>
          </cell>
          <cell r="D15">
            <v>1090000</v>
          </cell>
          <cell r="E15" t="str">
            <v>SPECTOR</v>
          </cell>
        </row>
        <row r="16">
          <cell r="C16" t="str">
            <v>185-28</v>
          </cell>
          <cell r="D16">
            <v>950000</v>
          </cell>
          <cell r="E16" t="str">
            <v>WEBSTER</v>
          </cell>
        </row>
        <row r="17">
          <cell r="C17" t="str">
            <v>811-28</v>
          </cell>
          <cell r="D17">
            <v>2140000</v>
          </cell>
          <cell r="E17" t="str">
            <v>ROBINSON</v>
          </cell>
        </row>
        <row r="18">
          <cell r="C18" t="str">
            <v>824-28</v>
          </cell>
          <cell r="D18">
            <v>1540000</v>
          </cell>
          <cell r="E18" t="str">
            <v>HELVIE</v>
          </cell>
        </row>
        <row r="19">
          <cell r="C19" t="str">
            <v>807-28</v>
          </cell>
          <cell r="D19">
            <v>2140000</v>
          </cell>
          <cell r="E19" t="str">
            <v>ROBINSON</v>
          </cell>
        </row>
        <row r="20">
          <cell r="C20" t="str">
            <v>825-28</v>
          </cell>
          <cell r="D20">
            <v>1540000</v>
          </cell>
          <cell r="E20" t="str">
            <v>HELVIE</v>
          </cell>
        </row>
        <row r="21">
          <cell r="C21" t="str">
            <v>127-28</v>
          </cell>
          <cell r="D21">
            <v>2010000</v>
          </cell>
          <cell r="E21" t="str">
            <v>MAELZER</v>
          </cell>
        </row>
        <row r="22">
          <cell r="C22" t="str">
            <v>188-28</v>
          </cell>
          <cell r="D22">
            <v>940000</v>
          </cell>
          <cell r="E22" t="str">
            <v>BONDS</v>
          </cell>
        </row>
        <row r="23">
          <cell r="C23" t="str">
            <v>120-28</v>
          </cell>
          <cell r="D23">
            <v>1310000</v>
          </cell>
          <cell r="E23" t="str">
            <v>MALAVE</v>
          </cell>
        </row>
        <row r="24">
          <cell r="C24" t="str">
            <v>827-28</v>
          </cell>
          <cell r="D24">
            <v>2150000</v>
          </cell>
          <cell r="E24" t="str">
            <v>SWANSON</v>
          </cell>
        </row>
        <row r="25">
          <cell r="C25" t="str">
            <v>804-28</v>
          </cell>
          <cell r="D25">
            <v>2140000</v>
          </cell>
          <cell r="E25" t="str">
            <v>ROBINSON</v>
          </cell>
        </row>
        <row r="26">
          <cell r="C26" t="str">
            <v>204-28</v>
          </cell>
          <cell r="D26">
            <v>2020000</v>
          </cell>
          <cell r="E26" t="str">
            <v>SHOOK</v>
          </cell>
        </row>
        <row r="27">
          <cell r="C27" t="str">
            <v>121-28</v>
          </cell>
          <cell r="D27">
            <v>1460000</v>
          </cell>
          <cell r="E27" t="str">
            <v>NELSON</v>
          </cell>
        </row>
        <row r="28">
          <cell r="C28" t="str">
            <v>206-28</v>
          </cell>
          <cell r="D28">
            <v>2040000</v>
          </cell>
          <cell r="E28" t="str">
            <v>MOSES</v>
          </cell>
        </row>
        <row r="29">
          <cell r="C29" t="str">
            <v>119-28</v>
          </cell>
          <cell r="D29">
            <v>1310000</v>
          </cell>
          <cell r="E29" t="str">
            <v>MALAVE</v>
          </cell>
        </row>
        <row r="30">
          <cell r="C30" t="str">
            <v>834-28</v>
          </cell>
          <cell r="D30">
            <v>1540000</v>
          </cell>
          <cell r="E30" t="str">
            <v>HELVIE</v>
          </cell>
        </row>
        <row r="31">
          <cell r="C31" t="str">
            <v>117-28</v>
          </cell>
          <cell r="D31">
            <v>1090000</v>
          </cell>
          <cell r="E31" t="str">
            <v>SPECTOR</v>
          </cell>
        </row>
        <row r="32">
          <cell r="C32" t="str">
            <v>208-28</v>
          </cell>
          <cell r="D32">
            <v>2100000</v>
          </cell>
          <cell r="E32" t="str">
            <v>ISHMAEL</v>
          </cell>
        </row>
        <row r="33">
          <cell r="C33" t="str">
            <v>108-28</v>
          </cell>
          <cell r="D33">
            <v>1460000</v>
          </cell>
          <cell r="E33" t="str">
            <v>NELSON</v>
          </cell>
        </row>
        <row r="34">
          <cell r="C34" t="str">
            <v>215-28</v>
          </cell>
          <cell r="D34">
            <v>950000</v>
          </cell>
          <cell r="E34" t="str">
            <v>WEBSTER</v>
          </cell>
        </row>
        <row r="35">
          <cell r="C35" t="str">
            <v>308-28</v>
          </cell>
          <cell r="D35">
            <v>1460000</v>
          </cell>
          <cell r="E35" t="str">
            <v>NELSON</v>
          </cell>
        </row>
        <row r="36">
          <cell r="C36" t="str">
            <v>217-28</v>
          </cell>
          <cell r="D36">
            <v>1300000</v>
          </cell>
          <cell r="E36" t="str">
            <v>LEVIN</v>
          </cell>
        </row>
        <row r="37">
          <cell r="C37" t="str">
            <v>306-28</v>
          </cell>
          <cell r="D37">
            <v>1310000</v>
          </cell>
          <cell r="E37" t="str">
            <v>MALAVE</v>
          </cell>
        </row>
        <row r="38">
          <cell r="C38" t="str">
            <v>212-28</v>
          </cell>
          <cell r="D38">
            <v>1140000</v>
          </cell>
          <cell r="E38" t="str">
            <v>YOUNG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839-28</v>
          </cell>
          <cell r="D40">
            <v>2150000</v>
          </cell>
          <cell r="E40" t="str">
            <v>SWANSON</v>
          </cell>
        </row>
        <row r="41">
          <cell r="C41" t="str">
            <v>243-27</v>
          </cell>
          <cell r="D41">
            <v>1290000</v>
          </cell>
          <cell r="E41" t="str">
            <v>COOLAHAN</v>
          </cell>
        </row>
        <row r="42">
          <cell r="C42" t="str">
            <v>307-28</v>
          </cell>
          <cell r="D42">
            <v>950000</v>
          </cell>
          <cell r="E42" t="str">
            <v>WEBSTER</v>
          </cell>
        </row>
        <row r="43">
          <cell r="C43" t="str">
            <v>847-27</v>
          </cell>
          <cell r="D43">
            <v>2090000</v>
          </cell>
          <cell r="E43" t="str">
            <v>HAITHCOX</v>
          </cell>
        </row>
        <row r="44">
          <cell r="C44" t="str">
            <v>222-28</v>
          </cell>
          <cell r="D44">
            <v>2090000</v>
          </cell>
          <cell r="E44" t="str">
            <v>HAITHCOX</v>
          </cell>
        </row>
        <row r="45">
          <cell r="C45" t="str">
            <v>231-27</v>
          </cell>
          <cell r="D45">
            <v>2150000</v>
          </cell>
          <cell r="E45" t="str">
            <v>SWANSON</v>
          </cell>
        </row>
        <row r="46">
          <cell r="C46" t="str">
            <v>224-28</v>
          </cell>
          <cell r="D46">
            <v>1290000</v>
          </cell>
          <cell r="E46" t="str">
            <v>COOLAHAN</v>
          </cell>
        </row>
        <row r="47">
          <cell r="C47" t="str">
            <v>906-27</v>
          </cell>
          <cell r="D47">
            <v>2090000</v>
          </cell>
          <cell r="E47" t="str">
            <v>HAITHCOX</v>
          </cell>
        </row>
        <row r="48">
          <cell r="C48" t="str">
            <v>842-28</v>
          </cell>
          <cell r="D48">
            <v>1540000</v>
          </cell>
          <cell r="E48" t="str">
            <v>HELVIE</v>
          </cell>
        </row>
        <row r="49">
          <cell r="C49" t="str">
            <v>240-27</v>
          </cell>
          <cell r="D49">
            <v>2150000</v>
          </cell>
          <cell r="E49" t="str">
            <v>SWANSON</v>
          </cell>
        </row>
        <row r="50">
          <cell r="C50" t="str">
            <v>229-28</v>
          </cell>
          <cell r="D50">
            <v>2090000</v>
          </cell>
          <cell r="E50" t="str">
            <v>HAITHCOX</v>
          </cell>
        </row>
        <row r="51">
          <cell r="C51" t="str">
            <v>236-27</v>
          </cell>
          <cell r="D51">
            <v>1290000</v>
          </cell>
          <cell r="E51" t="str">
            <v>COOLAHAN</v>
          </cell>
        </row>
        <row r="52">
          <cell r="C52" t="str">
            <v>234-28</v>
          </cell>
          <cell r="D52">
            <v>1300000</v>
          </cell>
          <cell r="E52" t="str">
            <v>LEVIN</v>
          </cell>
        </row>
        <row r="53">
          <cell r="C53" t="str">
            <v>845-27</v>
          </cell>
          <cell r="D53">
            <v>2090000</v>
          </cell>
          <cell r="E53" t="str">
            <v>HAITHCOX</v>
          </cell>
        </row>
        <row r="54">
          <cell r="C54" t="str">
            <v>238-28</v>
          </cell>
          <cell r="D54">
            <v>2090000</v>
          </cell>
          <cell r="E54" t="str">
            <v>HAITHCOX</v>
          </cell>
        </row>
        <row r="55">
          <cell r="C55" t="str">
            <v>222-27</v>
          </cell>
          <cell r="D55">
            <v>1480000</v>
          </cell>
          <cell r="E55" t="str">
            <v>STURGEON</v>
          </cell>
        </row>
        <row r="56">
          <cell r="C56" t="str">
            <v>243-28</v>
          </cell>
          <cell r="D56">
            <v>1480000</v>
          </cell>
          <cell r="E56" t="str">
            <v>STURGEON</v>
          </cell>
        </row>
        <row r="57">
          <cell r="C57" t="str">
            <v>807-29</v>
          </cell>
          <cell r="D57">
            <v>1830000</v>
          </cell>
          <cell r="E57" t="str">
            <v>YORK</v>
          </cell>
        </row>
        <row r="58">
          <cell r="C58" t="str">
            <v>311-28</v>
          </cell>
          <cell r="D58">
            <v>1290000</v>
          </cell>
          <cell r="E58" t="str">
            <v>COOLAHAN</v>
          </cell>
        </row>
        <row r="59">
          <cell r="C59" t="str">
            <v>121-29</v>
          </cell>
          <cell r="D59">
            <v>1190000</v>
          </cell>
          <cell r="E59" t="str">
            <v>BRANNON</v>
          </cell>
        </row>
        <row r="60">
          <cell r="C60" t="str">
            <v>306-29</v>
          </cell>
          <cell r="D60">
            <v>1310000</v>
          </cell>
          <cell r="E60" t="str">
            <v>MALAVE</v>
          </cell>
        </row>
        <row r="61">
          <cell r="C61" t="str">
            <v>800-29</v>
          </cell>
          <cell r="D61">
            <v>1760000</v>
          </cell>
          <cell r="E61" t="str">
            <v>STRICKLAND</v>
          </cell>
        </row>
        <row r="62">
          <cell r="C62" t="str">
            <v>107-29</v>
          </cell>
          <cell r="D62">
            <v>1190000</v>
          </cell>
          <cell r="E62" t="str">
            <v>BRANNON</v>
          </cell>
        </row>
        <row r="63">
          <cell r="C63" t="str">
            <v>101-29</v>
          </cell>
          <cell r="D63">
            <v>2010000</v>
          </cell>
          <cell r="E63" t="str">
            <v>MAELZER</v>
          </cell>
        </row>
        <row r="64">
          <cell r="C64" t="str">
            <v>310-29</v>
          </cell>
          <cell r="D64">
            <v>2140000</v>
          </cell>
          <cell r="E64" t="str">
            <v>ROBINSON</v>
          </cell>
        </row>
        <row r="65">
          <cell r="C65" t="str">
            <v>244-28</v>
          </cell>
          <cell r="D65">
            <v>1480000</v>
          </cell>
          <cell r="E65" t="str">
            <v>STURGEON</v>
          </cell>
        </row>
        <row r="66">
          <cell r="C66" t="str">
            <v>109-29</v>
          </cell>
          <cell r="D66">
            <v>2140000</v>
          </cell>
          <cell r="E66" t="str">
            <v>ROBINSON</v>
          </cell>
        </row>
        <row r="67">
          <cell r="C67" t="str">
            <v>237-28</v>
          </cell>
          <cell r="D67">
            <v>2090000</v>
          </cell>
          <cell r="E67" t="str">
            <v>HAITHCOX</v>
          </cell>
        </row>
        <row r="68">
          <cell r="C68" t="str">
            <v>113-29</v>
          </cell>
          <cell r="D68">
            <v>2010000</v>
          </cell>
          <cell r="E68" t="str">
            <v>MAELZER</v>
          </cell>
        </row>
        <row r="69">
          <cell r="C69" t="str">
            <v>228-28</v>
          </cell>
          <cell r="D69">
            <v>1480000</v>
          </cell>
          <cell r="E69" t="str">
            <v>STURGEON</v>
          </cell>
        </row>
        <row r="70">
          <cell r="C70" t="str">
            <v>115-29</v>
          </cell>
          <cell r="D70">
            <v>900000</v>
          </cell>
          <cell r="E70" t="str">
            <v>ROCHA</v>
          </cell>
        </row>
        <row r="71">
          <cell r="C71" t="str">
            <v>843-28</v>
          </cell>
          <cell r="D71">
            <v>1540000</v>
          </cell>
          <cell r="E71" t="str">
            <v>HELVIE</v>
          </cell>
        </row>
        <row r="72">
          <cell r="C72" t="str">
            <v>803-29</v>
          </cell>
          <cell r="D72">
            <v>1830000</v>
          </cell>
          <cell r="E72" t="str">
            <v>YORK</v>
          </cell>
        </row>
        <row r="73">
          <cell r="C73" t="str">
            <v>843-28</v>
          </cell>
          <cell r="D73">
            <v>1540000</v>
          </cell>
          <cell r="E73" t="str">
            <v>HELVIE</v>
          </cell>
        </row>
        <row r="74">
          <cell r="C74" t="str">
            <v>129-29</v>
          </cell>
          <cell r="D74">
            <v>900000</v>
          </cell>
          <cell r="E74" t="str">
            <v>ROCHA</v>
          </cell>
        </row>
        <row r="75">
          <cell r="C75" t="str">
            <v>835-28</v>
          </cell>
          <cell r="D75">
            <v>2150000</v>
          </cell>
          <cell r="E75" t="str">
            <v>SWANSON</v>
          </cell>
        </row>
        <row r="76">
          <cell r="C76" t="str">
            <v>122-29</v>
          </cell>
          <cell r="D76">
            <v>1190000</v>
          </cell>
          <cell r="E76" t="str">
            <v>BRANNON</v>
          </cell>
        </row>
        <row r="77">
          <cell r="C77" t="str">
            <v>821-28</v>
          </cell>
          <cell r="D77">
            <v>1120000</v>
          </cell>
          <cell r="E77" t="str">
            <v>LOCKLEAR</v>
          </cell>
        </row>
        <row r="78">
          <cell r="C78" t="str">
            <v>806-29</v>
          </cell>
          <cell r="D78">
            <v>1760000</v>
          </cell>
          <cell r="E78" t="str">
            <v>STRICKLAND</v>
          </cell>
        </row>
        <row r="79">
          <cell r="C79" t="str">
            <v>816-28</v>
          </cell>
          <cell r="D79">
            <v>2140000</v>
          </cell>
          <cell r="E79" t="str">
            <v>ROBINSON</v>
          </cell>
        </row>
        <row r="80">
          <cell r="C80" t="str">
            <v>127-29</v>
          </cell>
          <cell r="D80">
            <v>2010000</v>
          </cell>
          <cell r="E80" t="str">
            <v>MAELZER</v>
          </cell>
        </row>
        <row r="81">
          <cell r="C81" t="str">
            <v>125-29</v>
          </cell>
          <cell r="D81">
            <v>1090000</v>
          </cell>
          <cell r="E81" t="str">
            <v>SPECTOR</v>
          </cell>
        </row>
        <row r="82">
          <cell r="C82" t="str">
            <v>222-27</v>
          </cell>
          <cell r="D82">
            <v>1480000</v>
          </cell>
          <cell r="E82" t="str">
            <v>STURGEON</v>
          </cell>
        </row>
        <row r="83">
          <cell r="C83" t="str">
            <v>802-29</v>
          </cell>
          <cell r="D83">
            <v>1760000</v>
          </cell>
          <cell r="E83" t="str">
            <v>STRICKLAND</v>
          </cell>
        </row>
        <row r="84">
          <cell r="C84" t="str">
            <v>233-27</v>
          </cell>
          <cell r="D84">
            <v>1300000</v>
          </cell>
          <cell r="E84" t="str">
            <v>LEVIN</v>
          </cell>
        </row>
        <row r="85">
          <cell r="C85" t="str">
            <v>315-28</v>
          </cell>
          <cell r="D85">
            <v>1480000</v>
          </cell>
          <cell r="E85" t="str">
            <v>STURGEON</v>
          </cell>
        </row>
        <row r="86">
          <cell r="C86" t="str">
            <v>237-27</v>
          </cell>
          <cell r="D86">
            <v>1480000</v>
          </cell>
          <cell r="E86" t="str">
            <v>STURGEON</v>
          </cell>
        </row>
        <row r="87">
          <cell r="C87" t="str">
            <v>241-28</v>
          </cell>
          <cell r="D87">
            <v>1300000</v>
          </cell>
          <cell r="E87" t="str">
            <v>LEVIN</v>
          </cell>
        </row>
        <row r="88">
          <cell r="C88" t="str">
            <v>241-27</v>
          </cell>
          <cell r="D88">
            <v>1300000</v>
          </cell>
          <cell r="E88" t="str">
            <v>LEVIN</v>
          </cell>
        </row>
        <row r="89">
          <cell r="C89" t="str">
            <v>227-28</v>
          </cell>
          <cell r="D89">
            <v>1480000</v>
          </cell>
          <cell r="E89" t="str">
            <v>STURGEON</v>
          </cell>
        </row>
        <row r="90">
          <cell r="C90" t="str">
            <v>103-28</v>
          </cell>
          <cell r="D90">
            <v>1090000</v>
          </cell>
          <cell r="E90" t="str">
            <v>SPECTOR</v>
          </cell>
        </row>
        <row r="91">
          <cell r="C91" t="str">
            <v>220-28</v>
          </cell>
          <cell r="D91">
            <v>1480000</v>
          </cell>
          <cell r="E91" t="str">
            <v>STURGEON</v>
          </cell>
        </row>
        <row r="92">
          <cell r="C92" t="str">
            <v>161-28</v>
          </cell>
          <cell r="D92">
            <v>2020000</v>
          </cell>
          <cell r="E92" t="str">
            <v>SHOOK</v>
          </cell>
        </row>
        <row r="93">
          <cell r="C93" t="str">
            <v>906-28</v>
          </cell>
          <cell r="D93">
            <v>2150000</v>
          </cell>
          <cell r="E93" t="str">
            <v>SWANSON</v>
          </cell>
        </row>
        <row r="94">
          <cell r="C94" t="str">
            <v>163-28</v>
          </cell>
          <cell r="D94">
            <v>2040000</v>
          </cell>
          <cell r="E94" t="str">
            <v>MOSES</v>
          </cell>
        </row>
        <row r="95">
          <cell r="C95" t="str">
            <v>195-28</v>
          </cell>
          <cell r="D95">
            <v>1140000</v>
          </cell>
          <cell r="E95" t="str">
            <v>YOUNG</v>
          </cell>
        </row>
        <row r="96">
          <cell r="C96" t="str">
            <v>168-28</v>
          </cell>
          <cell r="D96">
            <v>1140000</v>
          </cell>
          <cell r="E96" t="str">
            <v>YOUNG</v>
          </cell>
        </row>
        <row r="97">
          <cell r="C97" t="str">
            <v>823-28</v>
          </cell>
          <cell r="D97">
            <v>1540000</v>
          </cell>
          <cell r="E97" t="str">
            <v>HELVIE</v>
          </cell>
        </row>
        <row r="98">
          <cell r="C98" t="str">
            <v>304-28</v>
          </cell>
          <cell r="D98">
            <v>1090000</v>
          </cell>
          <cell r="E98" t="str">
            <v>SPECTOR</v>
          </cell>
        </row>
        <row r="99">
          <cell r="C99" t="str">
            <v>187-28</v>
          </cell>
          <cell r="D99">
            <v>940000</v>
          </cell>
          <cell r="E99" t="str">
            <v>BONDS</v>
          </cell>
        </row>
        <row r="100">
          <cell r="C100" t="str">
            <v>144-28</v>
          </cell>
          <cell r="D100">
            <v>1190000</v>
          </cell>
          <cell r="E100" t="str">
            <v>BRANNON</v>
          </cell>
        </row>
        <row r="101">
          <cell r="C101" t="str">
            <v>166-28</v>
          </cell>
          <cell r="D101">
            <v>2100000</v>
          </cell>
          <cell r="E101" t="str">
            <v>ISHMAEL</v>
          </cell>
        </row>
        <row r="102">
          <cell r="C102" t="str">
            <v>151-28</v>
          </cell>
          <cell r="D102">
            <v>900000</v>
          </cell>
          <cell r="E102" t="str">
            <v>ROCHA</v>
          </cell>
        </row>
        <row r="103">
          <cell r="C103" t="str">
            <v>159-28</v>
          </cell>
          <cell r="D103">
            <v>940000</v>
          </cell>
          <cell r="E103" t="str">
            <v>BONDS</v>
          </cell>
        </row>
        <row r="104">
          <cell r="C104" t="str">
            <v>153-28</v>
          </cell>
          <cell r="D104">
            <v>1110000</v>
          </cell>
          <cell r="E104" t="str">
            <v>STARKS</v>
          </cell>
        </row>
        <row r="105">
          <cell r="C105" t="str">
            <v>120-29</v>
          </cell>
          <cell r="D105">
            <v>1310000</v>
          </cell>
          <cell r="E105" t="str">
            <v>MALAVE</v>
          </cell>
        </row>
        <row r="106">
          <cell r="C106" t="str">
            <v>150-28</v>
          </cell>
          <cell r="D106">
            <v>1760000</v>
          </cell>
          <cell r="E106" t="str">
            <v>STRICKLAND</v>
          </cell>
        </row>
        <row r="107">
          <cell r="C107" t="str">
            <v>118-29</v>
          </cell>
          <cell r="D107">
            <v>1360000</v>
          </cell>
          <cell r="E107" t="str">
            <v>SANTIZO</v>
          </cell>
        </row>
        <row r="108">
          <cell r="C108" t="str">
            <v>818-28</v>
          </cell>
          <cell r="D108">
            <v>2140000</v>
          </cell>
          <cell r="E108" t="str">
            <v>ROBINSON</v>
          </cell>
        </row>
        <row r="109">
          <cell r="C109" t="str">
            <v>800-29</v>
          </cell>
          <cell r="D109">
            <v>1760000</v>
          </cell>
          <cell r="E109" t="str">
            <v>STRICKLAND</v>
          </cell>
        </row>
        <row r="110">
          <cell r="C110" t="str">
            <v>229-27</v>
          </cell>
          <cell r="D110">
            <v>1480000</v>
          </cell>
          <cell r="E110" t="str">
            <v>STURGEON</v>
          </cell>
        </row>
        <row r="111">
          <cell r="C111" t="str">
            <v>235-28</v>
          </cell>
          <cell r="D111">
            <v>1480000</v>
          </cell>
          <cell r="E111" t="str">
            <v>STURGEON</v>
          </cell>
        </row>
        <row r="112">
          <cell r="C112" t="str">
            <v>231-27</v>
          </cell>
          <cell r="D112">
            <v>2150000</v>
          </cell>
          <cell r="E112" t="str">
            <v>SWANSON</v>
          </cell>
        </row>
        <row r="113">
          <cell r="C113" t="str">
            <v>840-28</v>
          </cell>
          <cell r="D113">
            <v>1540000</v>
          </cell>
          <cell r="E113" t="str">
            <v>HELVIE</v>
          </cell>
        </row>
        <row r="114">
          <cell r="C114" t="str">
            <v>309-27</v>
          </cell>
          <cell r="D114">
            <v>1480000</v>
          </cell>
          <cell r="E114" t="str">
            <v>STURGEON</v>
          </cell>
        </row>
        <row r="115">
          <cell r="C115" t="str">
            <v>214-28</v>
          </cell>
          <cell r="D115">
            <v>1290000</v>
          </cell>
          <cell r="E115" t="str">
            <v>COOLAHAN</v>
          </cell>
        </row>
        <row r="116">
          <cell r="C116" t="str">
            <v>302-28</v>
          </cell>
          <cell r="D116">
            <v>2010000</v>
          </cell>
          <cell r="E116" t="str">
            <v>MAELZER</v>
          </cell>
        </row>
        <row r="117">
          <cell r="C117" t="str">
            <v>192-28</v>
          </cell>
          <cell r="D117">
            <v>2040000</v>
          </cell>
          <cell r="E117" t="str">
            <v>MOSES</v>
          </cell>
        </row>
        <row r="118">
          <cell r="C118" t="str">
            <v>104-28</v>
          </cell>
          <cell r="D118">
            <v>1090000</v>
          </cell>
          <cell r="E118" t="str">
            <v>SPECTOR</v>
          </cell>
        </row>
        <row r="119">
          <cell r="C119" t="str">
            <v>826-28</v>
          </cell>
          <cell r="D119">
            <v>1540000</v>
          </cell>
          <cell r="E119" t="str">
            <v>HELVIE</v>
          </cell>
        </row>
        <row r="120">
          <cell r="C120" t="str">
            <v>106-28</v>
          </cell>
          <cell r="D120">
            <v>1310000</v>
          </cell>
          <cell r="E120" t="str">
            <v>MALAVE</v>
          </cell>
        </row>
        <row r="121">
          <cell r="C121" t="str">
            <v>148-28</v>
          </cell>
          <cell r="D121">
            <v>1310000</v>
          </cell>
          <cell r="E121" t="str">
            <v>MALAVE</v>
          </cell>
        </row>
        <row r="122">
          <cell r="C122" t="str">
            <v>114-28</v>
          </cell>
          <cell r="D122">
            <v>2010000</v>
          </cell>
          <cell r="E122" t="str">
            <v>MAELZER</v>
          </cell>
        </row>
        <row r="123">
          <cell r="C123" t="str">
            <v>805-29</v>
          </cell>
          <cell r="D123">
            <v>1760000</v>
          </cell>
          <cell r="E123" t="str">
            <v>STRICKLAND</v>
          </cell>
        </row>
        <row r="124">
          <cell r="C124" t="str">
            <v>129-28</v>
          </cell>
          <cell r="D124">
            <v>1190000</v>
          </cell>
          <cell r="E124" t="str">
            <v>BRANNON</v>
          </cell>
        </row>
        <row r="125">
          <cell r="C125" t="str">
            <v>106-29</v>
          </cell>
          <cell r="D125">
            <v>1310000</v>
          </cell>
          <cell r="E125" t="str">
            <v>MALAVE</v>
          </cell>
        </row>
        <row r="126">
          <cell r="C126" t="str">
            <v>137-28</v>
          </cell>
          <cell r="D126">
            <v>900000</v>
          </cell>
          <cell r="E126" t="str">
            <v>ROCHA</v>
          </cell>
        </row>
        <row r="127">
          <cell r="C127" t="str">
            <v>106-29</v>
          </cell>
          <cell r="D127">
            <v>1310000</v>
          </cell>
          <cell r="E127" t="str">
            <v>MALAVE</v>
          </cell>
        </row>
        <row r="128">
          <cell r="C128" t="str">
            <v>242-27</v>
          </cell>
          <cell r="D128">
            <v>1300000</v>
          </cell>
          <cell r="E128" t="str">
            <v>LEVIN</v>
          </cell>
        </row>
        <row r="129">
          <cell r="C129" t="str">
            <v>901-29</v>
          </cell>
          <cell r="D129">
            <v>1760000</v>
          </cell>
          <cell r="E129" t="str">
            <v>STRICKLAND</v>
          </cell>
        </row>
        <row r="130">
          <cell r="C130" t="str">
            <v>109-28</v>
          </cell>
          <cell r="D130">
            <v>900000</v>
          </cell>
          <cell r="E130" t="str">
            <v>ROCHA</v>
          </cell>
        </row>
        <row r="131">
          <cell r="C131" t="str">
            <v>104-29</v>
          </cell>
          <cell r="D131">
            <v>1360000</v>
          </cell>
          <cell r="E131" t="str">
            <v>SANTIZO</v>
          </cell>
        </row>
        <row r="132">
          <cell r="C132" t="str">
            <v>131-28</v>
          </cell>
          <cell r="D132">
            <v>1090000</v>
          </cell>
          <cell r="E132" t="str">
            <v>SPECTOR</v>
          </cell>
        </row>
        <row r="133">
          <cell r="C133" t="str">
            <v>105-29</v>
          </cell>
          <cell r="D133">
            <v>1310000</v>
          </cell>
          <cell r="E133" t="str">
            <v>MALAVE</v>
          </cell>
        </row>
        <row r="134">
          <cell r="C134" t="str">
            <v>138-28</v>
          </cell>
          <cell r="D134">
            <v>900000</v>
          </cell>
          <cell r="E134" t="str">
            <v>ROCHA</v>
          </cell>
        </row>
        <row r="135">
          <cell r="C135" t="str">
            <v>231-28</v>
          </cell>
          <cell r="D135">
            <v>1290000</v>
          </cell>
          <cell r="E135" t="str">
            <v>COOLAHAN</v>
          </cell>
        </row>
        <row r="136">
          <cell r="C136" t="str">
            <v>157-28</v>
          </cell>
          <cell r="D136">
            <v>1190000</v>
          </cell>
          <cell r="E136" t="str">
            <v>BRANNON</v>
          </cell>
        </row>
        <row r="137">
          <cell r="C137" t="str">
            <v>200-28</v>
          </cell>
          <cell r="D137">
            <v>950000</v>
          </cell>
          <cell r="E137" t="str">
            <v>WEBSTER</v>
          </cell>
        </row>
        <row r="138">
          <cell r="C138" t="str">
            <v>224-27</v>
          </cell>
          <cell r="D138">
            <v>2150000</v>
          </cell>
          <cell r="E138" t="str">
            <v>SWANSON</v>
          </cell>
        </row>
        <row r="139">
          <cell r="C139" t="str">
            <v>196-28</v>
          </cell>
          <cell r="D139">
            <v>1140000</v>
          </cell>
          <cell r="E139" t="str">
            <v>YOUNG</v>
          </cell>
        </row>
        <row r="140">
          <cell r="C140" t="str">
            <v>844-27</v>
          </cell>
          <cell r="D140">
            <v>2090000</v>
          </cell>
          <cell r="E140" t="str">
            <v>HAITHCOX</v>
          </cell>
        </row>
        <row r="141">
          <cell r="C141" t="str">
            <v>197-28</v>
          </cell>
          <cell r="D141">
            <v>1820000</v>
          </cell>
          <cell r="E141" t="str">
            <v>ADANE</v>
          </cell>
        </row>
        <row r="142">
          <cell r="C142" t="str">
            <v>107-28</v>
          </cell>
          <cell r="D142">
            <v>1460000</v>
          </cell>
          <cell r="E142" t="str">
            <v>NELSON</v>
          </cell>
        </row>
        <row r="143">
          <cell r="C143" t="str">
            <v>184-28</v>
          </cell>
          <cell r="D143">
            <v>1820000</v>
          </cell>
          <cell r="E143" t="str">
            <v>ADANE</v>
          </cell>
        </row>
        <row r="144">
          <cell r="C144" t="str">
            <v>115-28</v>
          </cell>
          <cell r="D144">
            <v>1190000</v>
          </cell>
          <cell r="E144" t="str">
            <v>BRANNON</v>
          </cell>
        </row>
        <row r="145">
          <cell r="C145" t="str">
            <v>173-28</v>
          </cell>
          <cell r="D145">
            <v>940000</v>
          </cell>
          <cell r="E145" t="str">
            <v>BONDS</v>
          </cell>
        </row>
        <row r="146">
          <cell r="C146" t="str">
            <v>125-28</v>
          </cell>
          <cell r="D146">
            <v>1360000</v>
          </cell>
          <cell r="E146" t="str">
            <v>SANTIZO</v>
          </cell>
        </row>
        <row r="147">
          <cell r="C147" t="str">
            <v>233-27</v>
          </cell>
          <cell r="D147">
            <v>1300000</v>
          </cell>
          <cell r="E147" t="str">
            <v>LEVIN</v>
          </cell>
        </row>
        <row r="148">
          <cell r="C148" t="str">
            <v>126-28</v>
          </cell>
          <cell r="D148">
            <v>1360000</v>
          </cell>
          <cell r="E148" t="str">
            <v>SANTIZO</v>
          </cell>
        </row>
        <row r="149">
          <cell r="C149" t="str">
            <v>123-28</v>
          </cell>
          <cell r="D149">
            <v>900000</v>
          </cell>
          <cell r="E149" t="str">
            <v>ROCHA</v>
          </cell>
        </row>
        <row r="150">
          <cell r="C150" t="str">
            <v>136-28</v>
          </cell>
          <cell r="D150">
            <v>1760000</v>
          </cell>
          <cell r="E150" t="str">
            <v>STRICKLAND</v>
          </cell>
        </row>
        <row r="151">
          <cell r="C151" t="str">
            <v>113-28</v>
          </cell>
          <cell r="D151">
            <v>2010000</v>
          </cell>
          <cell r="E151" t="str">
            <v>MAELZER</v>
          </cell>
        </row>
        <row r="152">
          <cell r="C152" t="str">
            <v>817-28</v>
          </cell>
          <cell r="D152">
            <v>2140000</v>
          </cell>
          <cell r="E152" t="str">
            <v>ROBINSON</v>
          </cell>
        </row>
        <row r="153">
          <cell r="C153" t="str">
            <v>111-28</v>
          </cell>
          <cell r="D153">
            <v>1110000</v>
          </cell>
          <cell r="E153" t="str">
            <v>STARKS</v>
          </cell>
        </row>
        <row r="154">
          <cell r="C154" t="str">
            <v>904-28</v>
          </cell>
          <cell r="D154">
            <v>2150000</v>
          </cell>
          <cell r="E154" t="str">
            <v>SWANSON</v>
          </cell>
        </row>
        <row r="155">
          <cell r="C155" t="str">
            <v>232-27</v>
          </cell>
          <cell r="D155">
            <v>2150000</v>
          </cell>
          <cell r="E155" t="str">
            <v>SWANSON</v>
          </cell>
        </row>
        <row r="156">
          <cell r="C156" t="str">
            <v>828-28</v>
          </cell>
          <cell r="D156">
            <v>2150000</v>
          </cell>
          <cell r="E156" t="str">
            <v>SWANSON</v>
          </cell>
        </row>
        <row r="157">
          <cell r="C157" t="str">
            <v>110-28</v>
          </cell>
          <cell r="D157">
            <v>900000</v>
          </cell>
          <cell r="E157" t="str">
            <v>ROCHA</v>
          </cell>
        </row>
        <row r="158">
          <cell r="C158" t="str">
            <v>836-28</v>
          </cell>
          <cell r="D158">
            <v>2150000</v>
          </cell>
          <cell r="E158" t="str">
            <v>SWANSON</v>
          </cell>
        </row>
        <row r="159">
          <cell r="C159" t="str">
            <v>801-28</v>
          </cell>
          <cell r="D159">
            <v>1830000</v>
          </cell>
          <cell r="E159" t="str">
            <v>YORK</v>
          </cell>
        </row>
        <row r="160">
          <cell r="C160" t="str">
            <v>233-28</v>
          </cell>
          <cell r="D160">
            <v>1300000</v>
          </cell>
          <cell r="E160" t="str">
            <v>LEVIN</v>
          </cell>
        </row>
        <row r="161">
          <cell r="C161" t="str">
            <v>244-27</v>
          </cell>
          <cell r="D161">
            <v>1290000</v>
          </cell>
          <cell r="E161" t="str">
            <v>COOLAHAN</v>
          </cell>
        </row>
        <row r="162">
          <cell r="C162" t="str">
            <v>908-28</v>
          </cell>
          <cell r="D162">
            <v>2150000</v>
          </cell>
          <cell r="E162" t="str">
            <v>SWANSON</v>
          </cell>
        </row>
        <row r="163">
          <cell r="C163" t="str">
            <v>234-27</v>
          </cell>
          <cell r="D163">
            <v>1300000</v>
          </cell>
          <cell r="E163" t="str">
            <v>LEVIN</v>
          </cell>
        </row>
        <row r="164">
          <cell r="C164" t="str">
            <v>308-29</v>
          </cell>
          <cell r="D164">
            <v>1190000</v>
          </cell>
          <cell r="E164" t="str">
            <v>BRANNON</v>
          </cell>
        </row>
        <row r="165">
          <cell r="C165" t="str">
            <v>145-28</v>
          </cell>
          <cell r="D165">
            <v>1090000</v>
          </cell>
          <cell r="E165" t="str">
            <v>SPECTOR</v>
          </cell>
        </row>
        <row r="166">
          <cell r="C166" t="str">
            <v>111-29</v>
          </cell>
          <cell r="D166">
            <v>1090000</v>
          </cell>
          <cell r="E166" t="str">
            <v>SPECTOR</v>
          </cell>
        </row>
        <row r="167">
          <cell r="C167" t="str">
            <v>812-28</v>
          </cell>
          <cell r="D167">
            <v>2140000</v>
          </cell>
          <cell r="E167" t="str">
            <v>ROBINSON</v>
          </cell>
        </row>
        <row r="168">
          <cell r="C168" t="str">
            <v>181-28</v>
          </cell>
          <cell r="D168">
            <v>1140000</v>
          </cell>
          <cell r="E168" t="str">
            <v>YOUNG</v>
          </cell>
        </row>
        <row r="169">
          <cell r="C169" t="str">
            <v>808-28</v>
          </cell>
          <cell r="D169">
            <v>2140000</v>
          </cell>
          <cell r="E169" t="str">
            <v>ROBINSON</v>
          </cell>
        </row>
        <row r="170">
          <cell r="C170" t="str">
            <v>216-28</v>
          </cell>
          <cell r="D170">
            <v>950000</v>
          </cell>
          <cell r="E170" t="str">
            <v>WEBSTER</v>
          </cell>
        </row>
        <row r="171">
          <cell r="C171" t="str">
            <v>803-28</v>
          </cell>
          <cell r="D171">
            <v>2140000</v>
          </cell>
          <cell r="E171" t="str">
            <v>ROBINSON</v>
          </cell>
        </row>
        <row r="172">
          <cell r="C172" t="str">
            <v>302-29</v>
          </cell>
          <cell r="D172">
            <v>2010000</v>
          </cell>
          <cell r="E172" t="str">
            <v>MAELZER</v>
          </cell>
        </row>
        <row r="173">
          <cell r="C173" t="str">
            <v>113-28</v>
          </cell>
          <cell r="D173">
            <v>2010000</v>
          </cell>
          <cell r="E173" t="str">
            <v>MAELZER</v>
          </cell>
        </row>
        <row r="174">
          <cell r="C174" t="str">
            <v>102-29</v>
          </cell>
          <cell r="D174">
            <v>2010000</v>
          </cell>
          <cell r="E174" t="str">
            <v>MAELZER</v>
          </cell>
        </row>
        <row r="175">
          <cell r="C175" t="str">
            <v>238-27</v>
          </cell>
          <cell r="D175">
            <v>1480000</v>
          </cell>
          <cell r="E175" t="str">
            <v>STURGEON</v>
          </cell>
        </row>
        <row r="176">
          <cell r="C176" t="str">
            <v>119-29</v>
          </cell>
          <cell r="D176">
            <v>1310000</v>
          </cell>
          <cell r="E176" t="str">
            <v>MALAVE</v>
          </cell>
        </row>
        <row r="177">
          <cell r="C177" t="str">
            <v>228-27</v>
          </cell>
          <cell r="D177">
            <v>1290000</v>
          </cell>
          <cell r="E177" t="str">
            <v>COOLAHAN</v>
          </cell>
        </row>
        <row r="178">
          <cell r="C178" t="str">
            <v>116-29</v>
          </cell>
          <cell r="D178">
            <v>900000</v>
          </cell>
          <cell r="E178" t="str">
            <v>ROCHA</v>
          </cell>
        </row>
        <row r="179">
          <cell r="C179" t="str">
            <v>306-29</v>
          </cell>
          <cell r="D179">
            <v>1310000</v>
          </cell>
          <cell r="E179" t="str">
            <v>MALAVE</v>
          </cell>
        </row>
        <row r="180">
          <cell r="C180" t="str">
            <v>829-28</v>
          </cell>
          <cell r="D180">
            <v>1540000</v>
          </cell>
          <cell r="E180" t="str">
            <v>HELVIE</v>
          </cell>
        </row>
        <row r="181">
          <cell r="C181" t="str">
            <v>103-29</v>
          </cell>
          <cell r="D181">
            <v>1360000</v>
          </cell>
          <cell r="E181" t="str">
            <v>SANTIZO</v>
          </cell>
        </row>
        <row r="182">
          <cell r="C182" t="str">
            <v>210-28</v>
          </cell>
          <cell r="D182">
            <v>2090000</v>
          </cell>
          <cell r="E182" t="str">
            <v>HAITHCOX</v>
          </cell>
        </row>
        <row r="183">
          <cell r="C183" t="str">
            <v>225-28</v>
          </cell>
          <cell r="D183">
            <v>1300000</v>
          </cell>
          <cell r="E183" t="str">
            <v>LEVIN</v>
          </cell>
        </row>
        <row r="184">
          <cell r="C184" t="str">
            <v>221-28</v>
          </cell>
          <cell r="D184">
            <v>2090000</v>
          </cell>
          <cell r="E184" t="str">
            <v>HAITHCOX</v>
          </cell>
        </row>
        <row r="185">
          <cell r="C185" t="str">
            <v>840-28</v>
          </cell>
          <cell r="D185">
            <v>1540000</v>
          </cell>
          <cell r="E185" t="str">
            <v>HELVIE</v>
          </cell>
        </row>
        <row r="186">
          <cell r="C186" t="str">
            <v>218-28</v>
          </cell>
          <cell r="D186">
            <v>1300000</v>
          </cell>
          <cell r="E186" t="str">
            <v>LEVIN</v>
          </cell>
        </row>
        <row r="187">
          <cell r="C187" t="str">
            <v>156-28</v>
          </cell>
          <cell r="D187">
            <v>1830000</v>
          </cell>
          <cell r="E187" t="str">
            <v>YORK</v>
          </cell>
        </row>
        <row r="188">
          <cell r="C188" t="str">
            <v>201-28</v>
          </cell>
          <cell r="D188">
            <v>940000</v>
          </cell>
          <cell r="E188" t="str">
            <v>BONDS</v>
          </cell>
        </row>
        <row r="189">
          <cell r="C189" t="str">
            <v>152-28</v>
          </cell>
          <cell r="D189">
            <v>900000</v>
          </cell>
          <cell r="E189" t="str">
            <v>ROCHA</v>
          </cell>
        </row>
        <row r="190">
          <cell r="C190" t="str">
            <v>203-28</v>
          </cell>
          <cell r="D190">
            <v>2020000</v>
          </cell>
          <cell r="E190" t="str">
            <v>SHOOK</v>
          </cell>
        </row>
        <row r="191">
          <cell r="C191" t="str">
            <v>110-29</v>
          </cell>
          <cell r="D191">
            <v>2140000</v>
          </cell>
          <cell r="E191" t="str">
            <v>ROBINSON</v>
          </cell>
        </row>
        <row r="192">
          <cell r="C192" t="str">
            <v>198-28</v>
          </cell>
          <cell r="D192">
            <v>1820000</v>
          </cell>
          <cell r="E192" t="str">
            <v>ADANE</v>
          </cell>
        </row>
        <row r="193">
          <cell r="C193" t="str">
            <v>108-29</v>
          </cell>
          <cell r="D193">
            <v>1190000</v>
          </cell>
          <cell r="E193" t="str">
            <v>BRANNON</v>
          </cell>
        </row>
        <row r="194">
          <cell r="C194" t="str">
            <v>209-28</v>
          </cell>
          <cell r="D194">
            <v>2090000</v>
          </cell>
          <cell r="E194" t="str">
            <v>HAITHCOX</v>
          </cell>
        </row>
        <row r="195">
          <cell r="C195" t="str">
            <v>230-28</v>
          </cell>
          <cell r="D195">
            <v>2090000</v>
          </cell>
          <cell r="E195" t="str">
            <v>HAITHCOX</v>
          </cell>
        </row>
        <row r="196">
          <cell r="C196" t="str">
            <v>233-27</v>
          </cell>
          <cell r="D196">
            <v>1300000</v>
          </cell>
          <cell r="E196" t="str">
            <v>LEVIN</v>
          </cell>
        </row>
        <row r="197">
          <cell r="C197" t="str">
            <v>837-28</v>
          </cell>
          <cell r="D197">
            <v>1540000</v>
          </cell>
          <cell r="E197" t="str">
            <v>HELVIE</v>
          </cell>
        </row>
        <row r="198">
          <cell r="C198" t="str">
            <v>233-27</v>
          </cell>
          <cell r="D198">
            <v>1300000</v>
          </cell>
          <cell r="E198" t="str">
            <v>LEVIN</v>
          </cell>
        </row>
        <row r="199">
          <cell r="C199" t="str">
            <v>832-28</v>
          </cell>
          <cell r="D199">
            <v>2150000</v>
          </cell>
          <cell r="E199" t="str">
            <v>SWANSON</v>
          </cell>
        </row>
        <row r="200">
          <cell r="C200" t="str">
            <v>110-28</v>
          </cell>
          <cell r="D200">
            <v>900000</v>
          </cell>
          <cell r="E200" t="str">
            <v>ROCHA</v>
          </cell>
        </row>
        <row r="201">
          <cell r="C201" t="str">
            <v>194-28</v>
          </cell>
          <cell r="D201">
            <v>2100000</v>
          </cell>
          <cell r="E201" t="str">
            <v>ISHMAEL</v>
          </cell>
        </row>
        <row r="202">
          <cell r="C202" t="str">
            <v>116-28</v>
          </cell>
          <cell r="D202">
            <v>1190000</v>
          </cell>
          <cell r="E202" t="str">
            <v>BRANNON</v>
          </cell>
        </row>
        <row r="203">
          <cell r="C203" t="str">
            <v>904-28</v>
          </cell>
          <cell r="D203">
            <v>2150000</v>
          </cell>
          <cell r="E203" t="str">
            <v>SWANSON</v>
          </cell>
        </row>
        <row r="204">
          <cell r="C204" t="str">
            <v>805-28</v>
          </cell>
          <cell r="D204">
            <v>1830000</v>
          </cell>
          <cell r="E204" t="str">
            <v>YORK</v>
          </cell>
        </row>
        <row r="205">
          <cell r="C205" t="str">
            <v>186-28</v>
          </cell>
          <cell r="D205">
            <v>950000</v>
          </cell>
          <cell r="E205" t="str">
            <v>WEBSTER</v>
          </cell>
        </row>
        <row r="206">
          <cell r="C206" t="str">
            <v>118-28</v>
          </cell>
          <cell r="D206">
            <v>1090000</v>
          </cell>
          <cell r="E206" t="str">
            <v>SPECTOR</v>
          </cell>
        </row>
        <row r="207">
          <cell r="C207" t="str">
            <v>182-28</v>
          </cell>
          <cell r="D207">
            <v>1140000</v>
          </cell>
          <cell r="E207" t="str">
            <v>YOUNG</v>
          </cell>
        </row>
        <row r="208">
          <cell r="C208" t="str">
            <v>165-28</v>
          </cell>
          <cell r="D208">
            <v>2100000</v>
          </cell>
          <cell r="E208" t="str">
            <v>ISHMAEL</v>
          </cell>
        </row>
        <row r="209">
          <cell r="C209" t="str">
            <v>189-28</v>
          </cell>
          <cell r="D209">
            <v>2020000</v>
          </cell>
          <cell r="E209" t="str">
            <v>SHOOK</v>
          </cell>
        </row>
        <row r="210">
          <cell r="C210" t="str">
            <v>908-27</v>
          </cell>
          <cell r="D210">
            <v>2090000</v>
          </cell>
          <cell r="E210" t="str">
            <v>HAITHCOX</v>
          </cell>
        </row>
        <row r="211">
          <cell r="C211" t="str">
            <v>124-29</v>
          </cell>
          <cell r="D211">
            <v>2140000</v>
          </cell>
          <cell r="E211" t="str">
            <v>ROBINSON</v>
          </cell>
        </row>
        <row r="212">
          <cell r="C212" t="str">
            <v>154-28</v>
          </cell>
          <cell r="D212">
            <v>1110000</v>
          </cell>
          <cell r="E212" t="str">
            <v>STARKS</v>
          </cell>
        </row>
        <row r="213">
          <cell r="C213" t="str">
            <v>801-29</v>
          </cell>
          <cell r="D213">
            <v>1760000</v>
          </cell>
          <cell r="E213" t="str">
            <v>STRICKLAND</v>
          </cell>
        </row>
        <row r="214">
          <cell r="C214" t="str">
            <v>156-28</v>
          </cell>
          <cell r="D214">
            <v>1830000</v>
          </cell>
          <cell r="E214" t="str">
            <v>YORK</v>
          </cell>
        </row>
        <row r="215">
          <cell r="C215" t="str">
            <v>313-28</v>
          </cell>
          <cell r="D215">
            <v>1300000</v>
          </cell>
          <cell r="E215" t="str">
            <v>LEVIN</v>
          </cell>
        </row>
        <row r="216">
          <cell r="C216" t="str">
            <v>227-27</v>
          </cell>
          <cell r="D216">
            <v>1290000</v>
          </cell>
          <cell r="E216" t="str">
            <v>COOLAHAN</v>
          </cell>
        </row>
        <row r="217">
          <cell r="C217" t="str">
            <v>239-28</v>
          </cell>
          <cell r="D217">
            <v>1290000</v>
          </cell>
          <cell r="E217" t="str">
            <v>COOLAHAN</v>
          </cell>
        </row>
        <row r="218">
          <cell r="C218" t="str">
            <v>225-27</v>
          </cell>
          <cell r="D218">
            <v>1300000</v>
          </cell>
          <cell r="E218" t="str">
            <v>LEVIN</v>
          </cell>
        </row>
        <row r="219">
          <cell r="C219" t="str">
            <v>236-28</v>
          </cell>
          <cell r="D219">
            <v>1480000</v>
          </cell>
          <cell r="E219" t="str">
            <v>STURGEON</v>
          </cell>
        </row>
        <row r="220">
          <cell r="C220" t="str">
            <v>233-27</v>
          </cell>
          <cell r="D220">
            <v>1300000</v>
          </cell>
          <cell r="E220" t="str">
            <v>LEVIN</v>
          </cell>
        </row>
        <row r="221">
          <cell r="C221" t="str">
            <v>847-28</v>
          </cell>
          <cell r="D221">
            <v>2150000</v>
          </cell>
          <cell r="E221" t="str">
            <v>SWANSON</v>
          </cell>
        </row>
        <row r="222">
          <cell r="C222" t="str">
            <v>239-27</v>
          </cell>
          <cell r="D222">
            <v>2150000</v>
          </cell>
          <cell r="E222" t="str">
            <v>SWANSON</v>
          </cell>
        </row>
        <row r="223">
          <cell r="C223" t="str">
            <v>223-28</v>
          </cell>
          <cell r="D223">
            <v>1290000</v>
          </cell>
          <cell r="E223" t="str">
            <v>COOLAHAN</v>
          </cell>
        </row>
        <row r="224">
          <cell r="C224" t="str">
            <v>302-28</v>
          </cell>
          <cell r="D224">
            <v>2010000</v>
          </cell>
          <cell r="E224" t="str">
            <v>MAELZER</v>
          </cell>
        </row>
        <row r="225">
          <cell r="C225" t="str">
            <v>841-28</v>
          </cell>
          <cell r="D225">
            <v>1540000</v>
          </cell>
          <cell r="E225" t="str">
            <v>HELVIE</v>
          </cell>
        </row>
        <row r="226">
          <cell r="C226" t="str">
            <v>101-28</v>
          </cell>
          <cell r="D226">
            <v>2010000</v>
          </cell>
          <cell r="E226" t="str">
            <v>MAELZER</v>
          </cell>
        </row>
        <row r="227">
          <cell r="C227" t="str">
            <v>838-28</v>
          </cell>
          <cell r="D227">
            <v>1540000</v>
          </cell>
          <cell r="E227" t="str">
            <v>HELVIE</v>
          </cell>
        </row>
        <row r="228">
          <cell r="C228" t="str">
            <v>102-28</v>
          </cell>
          <cell r="D228">
            <v>2010000</v>
          </cell>
          <cell r="E228" t="str">
            <v>MAELZER</v>
          </cell>
        </row>
        <row r="229">
          <cell r="C229" t="str">
            <v>207-28</v>
          </cell>
          <cell r="D229">
            <v>2100000</v>
          </cell>
          <cell r="E229" t="str">
            <v>ISHMAEL</v>
          </cell>
        </row>
        <row r="230">
          <cell r="C230" t="str">
            <v>802-28</v>
          </cell>
          <cell r="D230">
            <v>1830000</v>
          </cell>
          <cell r="E230" t="str">
            <v>YORK</v>
          </cell>
        </row>
        <row r="231">
          <cell r="C231" t="str">
            <v>196-28</v>
          </cell>
          <cell r="D231">
            <v>1140000</v>
          </cell>
          <cell r="E231" t="str">
            <v>YOUNG</v>
          </cell>
        </row>
        <row r="232">
          <cell r="C232" t="str">
            <v>806-28</v>
          </cell>
          <cell r="D232">
            <v>1830000</v>
          </cell>
          <cell r="E232" t="str">
            <v>YORK</v>
          </cell>
        </row>
        <row r="233">
          <cell r="C233" t="str">
            <v>180-28</v>
          </cell>
          <cell r="D233">
            <v>2100000</v>
          </cell>
          <cell r="E233" t="str">
            <v>ISHMAEL</v>
          </cell>
        </row>
        <row r="234">
          <cell r="C234" t="str">
            <v>809-28</v>
          </cell>
          <cell r="D234">
            <v>1830000</v>
          </cell>
          <cell r="E234" t="str">
            <v>YORK</v>
          </cell>
        </row>
        <row r="235">
          <cell r="C235" t="str">
            <v>171-28</v>
          </cell>
          <cell r="D235">
            <v>950000</v>
          </cell>
          <cell r="E235" t="str">
            <v>WEBSTER</v>
          </cell>
        </row>
        <row r="236">
          <cell r="C236" t="str">
            <v>135-28</v>
          </cell>
          <cell r="D236">
            <v>1760000</v>
          </cell>
          <cell r="E236" t="str">
            <v>STRICKLAND</v>
          </cell>
        </row>
        <row r="237">
          <cell r="C237" t="str">
            <v>164-28</v>
          </cell>
          <cell r="D237">
            <v>2040000</v>
          </cell>
          <cell r="E237" t="str">
            <v>MOSES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101-29</v>
          </cell>
        </row>
      </sheetData>
      <sheetData sheetId="1" refreshError="1"/>
      <sheetData sheetId="2" refreshError="1"/>
      <sheetData sheetId="3">
        <row r="1">
          <cell r="C1" t="str">
            <v>108-29</v>
          </cell>
          <cell r="D1">
            <v>1190000</v>
          </cell>
          <cell r="E1" t="str">
            <v>BRANNON</v>
          </cell>
        </row>
        <row r="2">
          <cell r="C2" t="str">
            <v>107-29</v>
          </cell>
          <cell r="D2">
            <v>1190000</v>
          </cell>
          <cell r="E2" t="str">
            <v>BRANNON</v>
          </cell>
        </row>
        <row r="3">
          <cell r="C3" t="str">
            <v>310-29</v>
          </cell>
          <cell r="D3">
            <v>2140000</v>
          </cell>
          <cell r="E3" t="str">
            <v>ROBINSON</v>
          </cell>
        </row>
        <row r="4">
          <cell r="C4" t="str">
            <v>109-29</v>
          </cell>
          <cell r="D4">
            <v>2140000</v>
          </cell>
          <cell r="E4" t="str">
            <v>ROBINSON</v>
          </cell>
        </row>
        <row r="5">
          <cell r="C5" t="str">
            <v>113-29</v>
          </cell>
          <cell r="D5">
            <v>2010000</v>
          </cell>
          <cell r="E5" t="str">
            <v>MAELZER</v>
          </cell>
        </row>
        <row r="6">
          <cell r="C6" t="str">
            <v>306-29</v>
          </cell>
          <cell r="D6">
            <v>1310000</v>
          </cell>
          <cell r="E6" t="str">
            <v>MALAVE</v>
          </cell>
        </row>
        <row r="7">
          <cell r="C7" t="str">
            <v>845-29</v>
          </cell>
          <cell r="D7">
            <v>780000</v>
          </cell>
          <cell r="E7" t="str">
            <v>CHIONE</v>
          </cell>
        </row>
        <row r="8">
          <cell r="C8" t="str">
            <v>231-29</v>
          </cell>
          <cell r="D8">
            <v>2150000</v>
          </cell>
          <cell r="E8" t="str">
            <v>SWANSON</v>
          </cell>
        </row>
        <row r="9">
          <cell r="C9" t="str">
            <v>232-29</v>
          </cell>
          <cell r="D9">
            <v>2150000</v>
          </cell>
          <cell r="E9" t="str">
            <v>SWANSON</v>
          </cell>
        </row>
        <row r="10">
          <cell r="C10" t="str">
            <v>236-29</v>
          </cell>
          <cell r="D10">
            <v>1480000</v>
          </cell>
          <cell r="E10" t="str">
            <v>STURGEON</v>
          </cell>
        </row>
        <row r="11">
          <cell r="C11" t="str">
            <v>122-29</v>
          </cell>
          <cell r="D11">
            <v>1190000</v>
          </cell>
          <cell r="E11" t="str">
            <v>BRANNON</v>
          </cell>
        </row>
        <row r="12">
          <cell r="C12" t="str">
            <v>311-28</v>
          </cell>
          <cell r="D12">
            <v>1290000</v>
          </cell>
          <cell r="E12" t="str">
            <v>COOLAHAN</v>
          </cell>
        </row>
        <row r="13">
          <cell r="C13" t="str">
            <v>806-29</v>
          </cell>
          <cell r="D13">
            <v>1760000</v>
          </cell>
          <cell r="E13" t="str">
            <v>STRICKLAND</v>
          </cell>
        </row>
        <row r="14">
          <cell r="C14" t="str">
            <v>246-29</v>
          </cell>
          <cell r="D14">
            <v>1300000</v>
          </cell>
          <cell r="E14" t="str">
            <v>LEVIN</v>
          </cell>
        </row>
        <row r="15">
          <cell r="C15" t="str">
            <v>130-29</v>
          </cell>
          <cell r="D15">
            <v>900000</v>
          </cell>
          <cell r="E15" t="str">
            <v>ROCHA</v>
          </cell>
        </row>
        <row r="16">
          <cell r="C16" t="str">
            <v>241-29</v>
          </cell>
          <cell r="D16">
            <v>1800000</v>
          </cell>
          <cell r="E16" t="str">
            <v>CHANDLER</v>
          </cell>
        </row>
        <row r="17">
          <cell r="C17" t="str">
            <v>177-29</v>
          </cell>
          <cell r="D17">
            <v>2090000</v>
          </cell>
          <cell r="E17" t="str">
            <v>HAITHCOX</v>
          </cell>
        </row>
        <row r="18">
          <cell r="C18" t="str">
            <v>843-29</v>
          </cell>
          <cell r="D18">
            <v>2030000</v>
          </cell>
          <cell r="E18" t="str">
            <v>KILLION</v>
          </cell>
        </row>
        <row r="19">
          <cell r="C19" t="str">
            <v>211-29</v>
          </cell>
          <cell r="D19">
            <v>2000000</v>
          </cell>
          <cell r="E19" t="str">
            <v>STAMBAUGH</v>
          </cell>
        </row>
        <row r="20">
          <cell r="C20" t="str">
            <v>BAL-29</v>
          </cell>
          <cell r="D20">
            <v>470000</v>
          </cell>
          <cell r="E20" t="str">
            <v>BALTHROP</v>
          </cell>
        </row>
        <row r="21">
          <cell r="C21" t="str">
            <v>220-29</v>
          </cell>
          <cell r="D21">
            <v>1480000</v>
          </cell>
          <cell r="E21" t="str">
            <v>STURGEON</v>
          </cell>
        </row>
        <row r="22">
          <cell r="C22" t="str">
            <v>221-29</v>
          </cell>
          <cell r="D22">
            <v>1300000</v>
          </cell>
          <cell r="E22" t="str">
            <v>LEVIN</v>
          </cell>
        </row>
        <row r="23">
          <cell r="C23" t="str">
            <v>245-29</v>
          </cell>
          <cell r="D23">
            <v>1300000</v>
          </cell>
          <cell r="E23" t="str">
            <v>LEVIN</v>
          </cell>
        </row>
        <row r="24">
          <cell r="C24" t="str">
            <v>834-29</v>
          </cell>
          <cell r="D24">
            <v>2030000</v>
          </cell>
          <cell r="E24" t="str">
            <v>KILLION</v>
          </cell>
        </row>
        <row r="25">
          <cell r="C25" t="str">
            <v>302-30</v>
          </cell>
          <cell r="D25">
            <v>2010000</v>
          </cell>
          <cell r="E25" t="str">
            <v>MAELZER</v>
          </cell>
        </row>
        <row r="26">
          <cell r="C26" t="str">
            <v>209-29</v>
          </cell>
          <cell r="D26">
            <v>1820000</v>
          </cell>
          <cell r="E26" t="str">
            <v>ADANE</v>
          </cell>
        </row>
        <row r="27">
          <cell r="C27" t="str">
            <v>127-29</v>
          </cell>
          <cell r="D27">
            <v>2010000</v>
          </cell>
          <cell r="E27" t="str">
            <v>MAELZER</v>
          </cell>
        </row>
        <row r="28">
          <cell r="C28" t="str">
            <v>202-29</v>
          </cell>
          <cell r="D28">
            <v>880000</v>
          </cell>
          <cell r="E28" t="str">
            <v>STEWART</v>
          </cell>
        </row>
        <row r="29">
          <cell r="C29" t="str">
            <v>808-29</v>
          </cell>
          <cell r="D29">
            <v>1830000</v>
          </cell>
          <cell r="E29" t="str">
            <v>YORK</v>
          </cell>
        </row>
        <row r="30">
          <cell r="C30" t="str">
            <v>205-29</v>
          </cell>
          <cell r="D30">
            <v>2090000</v>
          </cell>
          <cell r="E30" t="str">
            <v>HAITHCOX</v>
          </cell>
        </row>
        <row r="31">
          <cell r="C31" t="str">
            <v>133-29</v>
          </cell>
          <cell r="D31">
            <v>1310000</v>
          </cell>
          <cell r="E31" t="str">
            <v>MALAVE</v>
          </cell>
        </row>
        <row r="32">
          <cell r="C32" t="str">
            <v>830-29</v>
          </cell>
          <cell r="D32">
            <v>2030000</v>
          </cell>
          <cell r="E32" t="str">
            <v>KILLION</v>
          </cell>
        </row>
        <row r="33">
          <cell r="C33" t="str">
            <v>813-29</v>
          </cell>
          <cell r="D33">
            <v>1830000</v>
          </cell>
          <cell r="E33" t="str">
            <v>YORK</v>
          </cell>
        </row>
        <row r="34">
          <cell r="C34" t="str">
            <v>203-29</v>
          </cell>
          <cell r="D34">
            <v>1520000</v>
          </cell>
          <cell r="E34" t="str">
            <v>MAYBERRY</v>
          </cell>
        </row>
        <row r="35">
          <cell r="C35" t="str">
            <v>188-29</v>
          </cell>
          <cell r="D35">
            <v>880000</v>
          </cell>
          <cell r="E35" t="str">
            <v>STEWART</v>
          </cell>
        </row>
        <row r="36">
          <cell r="C36" t="str">
            <v>196-29</v>
          </cell>
          <cell r="D36">
            <v>1820000</v>
          </cell>
          <cell r="E36" t="str">
            <v>ADANE</v>
          </cell>
        </row>
        <row r="37">
          <cell r="C37" t="str">
            <v>195-29</v>
          </cell>
          <cell r="D37">
            <v>1820000</v>
          </cell>
          <cell r="E37" t="str">
            <v>ADANE</v>
          </cell>
        </row>
        <row r="38">
          <cell r="C38" t="str">
            <v>305-29</v>
          </cell>
          <cell r="D38">
            <v>2000000</v>
          </cell>
          <cell r="E38" t="str">
            <v>STAMBAUGH</v>
          </cell>
        </row>
        <row r="39">
          <cell r="C39" t="str">
            <v>198-29</v>
          </cell>
          <cell r="D39">
            <v>2000000</v>
          </cell>
          <cell r="E39" t="str">
            <v>STAMBAUGH</v>
          </cell>
        </row>
        <row r="40">
          <cell r="C40" t="str">
            <v>838-29</v>
          </cell>
          <cell r="D40">
            <v>2030000</v>
          </cell>
          <cell r="E40" t="str">
            <v>KILLION</v>
          </cell>
        </row>
        <row r="41">
          <cell r="C41" t="str">
            <v>311-29</v>
          </cell>
          <cell r="D41">
            <v>1800000</v>
          </cell>
          <cell r="E41" t="str">
            <v>CHANDLER</v>
          </cell>
        </row>
        <row r="42">
          <cell r="C42" t="str">
            <v>214-29</v>
          </cell>
          <cell r="D42">
            <v>2150000</v>
          </cell>
          <cell r="E42" t="str">
            <v>SWANSON</v>
          </cell>
        </row>
        <row r="43">
          <cell r="C43" t="str">
            <v>803-29</v>
          </cell>
          <cell r="D43">
            <v>1830000</v>
          </cell>
          <cell r="E43" t="str">
            <v>YORK</v>
          </cell>
        </row>
        <row r="44">
          <cell r="C44" t="str">
            <v>839-29</v>
          </cell>
          <cell r="D44">
            <v>530000</v>
          </cell>
          <cell r="E44" t="str">
            <v>POLLOCK</v>
          </cell>
        </row>
        <row r="45">
          <cell r="C45" t="str">
            <v>129-29</v>
          </cell>
          <cell r="D45">
            <v>900000</v>
          </cell>
          <cell r="E45" t="str">
            <v>ROCHA</v>
          </cell>
        </row>
        <row r="46">
          <cell r="C46" t="str">
            <v>192-29</v>
          </cell>
          <cell r="D46">
            <v>2090000</v>
          </cell>
          <cell r="E46" t="str">
            <v>HAITHCOX</v>
          </cell>
        </row>
        <row r="47">
          <cell r="C47" t="str">
            <v>153-29</v>
          </cell>
          <cell r="D47">
            <v>1090000</v>
          </cell>
          <cell r="E47" t="str">
            <v>SPECTOR</v>
          </cell>
        </row>
        <row r="48">
          <cell r="C48" t="str">
            <v>825-29</v>
          </cell>
          <cell r="D48">
            <v>2030000</v>
          </cell>
          <cell r="E48" t="str">
            <v>KILLION</v>
          </cell>
        </row>
        <row r="49">
          <cell r="C49" t="str">
            <v>165-29</v>
          </cell>
          <cell r="D49">
            <v>2040000</v>
          </cell>
          <cell r="E49" t="str">
            <v>MOSES</v>
          </cell>
        </row>
        <row r="50">
          <cell r="C50" t="str">
            <v>171-29</v>
          </cell>
          <cell r="D50">
            <v>950000</v>
          </cell>
          <cell r="E50" t="str">
            <v>WEBSTER</v>
          </cell>
        </row>
        <row r="51">
          <cell r="C51" t="str">
            <v>189-29</v>
          </cell>
          <cell r="D51">
            <v>2100000</v>
          </cell>
          <cell r="E51" t="str">
            <v>ISHMAEL</v>
          </cell>
        </row>
        <row r="52">
          <cell r="C52" t="str">
            <v>235-29</v>
          </cell>
          <cell r="D52">
            <v>1480000</v>
          </cell>
          <cell r="E52" t="str">
            <v>STURGEON</v>
          </cell>
        </row>
        <row r="53">
          <cell r="C53" t="str">
            <v>191-29</v>
          </cell>
          <cell r="D53">
            <v>2090000</v>
          </cell>
          <cell r="E53" t="str">
            <v>HAITHCOX</v>
          </cell>
        </row>
        <row r="54">
          <cell r="C54" t="str">
            <v>216-29</v>
          </cell>
          <cell r="D54">
            <v>950000</v>
          </cell>
          <cell r="E54" t="str">
            <v>WEBSTER</v>
          </cell>
        </row>
        <row r="55">
          <cell r="C55" t="str">
            <v>201-29</v>
          </cell>
          <cell r="D55">
            <v>880000</v>
          </cell>
          <cell r="E55" t="str">
            <v>STEWART</v>
          </cell>
        </row>
        <row r="56">
          <cell r="C56" t="str">
            <v>837-29</v>
          </cell>
          <cell r="D56">
            <v>2030000</v>
          </cell>
          <cell r="E56" t="str">
            <v>KILLION</v>
          </cell>
        </row>
        <row r="57">
          <cell r="C57" t="str">
            <v>906-29</v>
          </cell>
          <cell r="D57">
            <v>530000</v>
          </cell>
          <cell r="E57" t="str">
            <v>POLLOCK</v>
          </cell>
        </row>
        <row r="58">
          <cell r="C58" t="str">
            <v>828-29</v>
          </cell>
          <cell r="D58">
            <v>530000</v>
          </cell>
          <cell r="E58" t="str">
            <v>POLLOCK</v>
          </cell>
        </row>
        <row r="59">
          <cell r="C59" t="str">
            <v>139-29</v>
          </cell>
          <cell r="D59">
            <v>1090000</v>
          </cell>
          <cell r="E59" t="str">
            <v>SPECTOR</v>
          </cell>
        </row>
        <row r="60">
          <cell r="C60" t="str">
            <v>172-29</v>
          </cell>
          <cell r="D60">
            <v>950000</v>
          </cell>
          <cell r="E60" t="str">
            <v>WEBSTER</v>
          </cell>
        </row>
        <row r="61">
          <cell r="C61" t="str">
            <v>812-29</v>
          </cell>
          <cell r="D61">
            <v>1830000</v>
          </cell>
          <cell r="E61" t="str">
            <v>YORK</v>
          </cell>
        </row>
        <row r="62">
          <cell r="C62" t="str">
            <v>170-29</v>
          </cell>
          <cell r="D62">
            <v>2000000</v>
          </cell>
          <cell r="E62" t="str">
            <v>STAMBAUGH</v>
          </cell>
        </row>
        <row r="63">
          <cell r="C63" t="str">
            <v>136-29</v>
          </cell>
          <cell r="D63">
            <v>1190000</v>
          </cell>
          <cell r="E63" t="str">
            <v>BRANNON</v>
          </cell>
        </row>
        <row r="64">
          <cell r="C64" t="str">
            <v>175-29</v>
          </cell>
          <cell r="D64">
            <v>2100000</v>
          </cell>
          <cell r="E64" t="str">
            <v>ISHMAEL</v>
          </cell>
        </row>
        <row r="65">
          <cell r="C65" t="str">
            <v>156-29</v>
          </cell>
          <cell r="D65">
            <v>1760000</v>
          </cell>
          <cell r="E65" t="str">
            <v>STRICKLAND</v>
          </cell>
        </row>
        <row r="66">
          <cell r="C66" t="str">
            <v>173-29</v>
          </cell>
          <cell r="D66">
            <v>880000</v>
          </cell>
          <cell r="E66" t="str">
            <v>STEWART</v>
          </cell>
        </row>
        <row r="67">
          <cell r="C67" t="str">
            <v>185-29</v>
          </cell>
          <cell r="D67">
            <v>950000</v>
          </cell>
          <cell r="E67" t="str">
            <v>WEBSTER</v>
          </cell>
        </row>
        <row r="68">
          <cell r="C68" t="str">
            <v>164-29</v>
          </cell>
          <cell r="D68">
            <v>2090000</v>
          </cell>
          <cell r="E68" t="str">
            <v>HAITHCOX</v>
          </cell>
        </row>
        <row r="69">
          <cell r="C69" t="str">
            <v>210-29</v>
          </cell>
          <cell r="D69">
            <v>1820000</v>
          </cell>
          <cell r="E69" t="str">
            <v>ADANE</v>
          </cell>
        </row>
        <row r="70">
          <cell r="C70" t="str">
            <v>313-29</v>
          </cell>
          <cell r="D70">
            <v>1480000</v>
          </cell>
          <cell r="E70" t="str">
            <v>STURGEON</v>
          </cell>
        </row>
        <row r="71">
          <cell r="C71" t="str">
            <v>836-29</v>
          </cell>
          <cell r="D71">
            <v>530000</v>
          </cell>
          <cell r="E71" t="str">
            <v>POLLOCK</v>
          </cell>
        </row>
        <row r="72">
          <cell r="C72" t="str">
            <v>BAL-29</v>
          </cell>
          <cell r="D72">
            <v>470000</v>
          </cell>
          <cell r="E72" t="str">
            <v>BALTHROP</v>
          </cell>
        </row>
        <row r="73">
          <cell r="C73" t="str">
            <v>212-29</v>
          </cell>
          <cell r="D73">
            <v>2000000</v>
          </cell>
          <cell r="E73" t="str">
            <v>STAMBAUGH</v>
          </cell>
        </row>
        <row r="74">
          <cell r="C74" t="str">
            <v>186-29</v>
          </cell>
          <cell r="D74">
            <v>950000</v>
          </cell>
          <cell r="E74" t="str">
            <v>WEBSTER</v>
          </cell>
        </row>
        <row r="75">
          <cell r="C75" t="str">
            <v>816-29</v>
          </cell>
          <cell r="D75">
            <v>1830000</v>
          </cell>
          <cell r="E75" t="str">
            <v>YORK</v>
          </cell>
        </row>
        <row r="76">
          <cell r="C76" t="str">
            <v>182-29</v>
          </cell>
          <cell r="D76">
            <v>1820000</v>
          </cell>
          <cell r="E76" t="str">
            <v>ADANE</v>
          </cell>
        </row>
        <row r="77">
          <cell r="C77" t="str">
            <v>167-29</v>
          </cell>
          <cell r="D77">
            <v>1820000</v>
          </cell>
          <cell r="E77" t="str">
            <v>ADANE</v>
          </cell>
        </row>
        <row r="78">
          <cell r="C78" t="str">
            <v>176-29</v>
          </cell>
          <cell r="D78">
            <v>2100000</v>
          </cell>
          <cell r="E78" t="str">
            <v>ISHMAEL</v>
          </cell>
        </row>
        <row r="79">
          <cell r="C79" t="str">
            <v>193-29</v>
          </cell>
          <cell r="D79">
            <v>2040000</v>
          </cell>
          <cell r="E79" t="str">
            <v>MOSES</v>
          </cell>
        </row>
        <row r="80">
          <cell r="C80" t="str">
            <v>158-29</v>
          </cell>
          <cell r="D80">
            <v>900000</v>
          </cell>
          <cell r="E80" t="str">
            <v>ROCHA</v>
          </cell>
        </row>
        <row r="81">
          <cell r="C81" t="str">
            <v>197-29</v>
          </cell>
          <cell r="D81">
            <v>2000000</v>
          </cell>
          <cell r="E81" t="str">
            <v>STAMBAUGH</v>
          </cell>
        </row>
        <row r="82">
          <cell r="C82" t="str">
            <v>818-29</v>
          </cell>
          <cell r="D82">
            <v>1830000</v>
          </cell>
          <cell r="E82" t="str">
            <v>YORK</v>
          </cell>
        </row>
        <row r="83">
          <cell r="C83" t="str">
            <v>810-29</v>
          </cell>
          <cell r="D83">
            <v>1760000</v>
          </cell>
          <cell r="E83" t="str">
            <v>STRICKLAND</v>
          </cell>
        </row>
        <row r="84">
          <cell r="C84" t="str">
            <v>154-29</v>
          </cell>
          <cell r="D84">
            <v>1090000</v>
          </cell>
          <cell r="E84" t="str">
            <v>SPECTOR</v>
          </cell>
        </row>
        <row r="85">
          <cell r="C85" t="str">
            <v>162-29</v>
          </cell>
          <cell r="D85">
            <v>2100000</v>
          </cell>
          <cell r="E85" t="str">
            <v>ISHMAEL</v>
          </cell>
        </row>
        <row r="86">
          <cell r="C86" t="str">
            <v>809-29</v>
          </cell>
          <cell r="D86">
            <v>1760000</v>
          </cell>
          <cell r="E86" t="str">
            <v>STRICKLAND</v>
          </cell>
        </row>
        <row r="87">
          <cell r="C87" t="str">
            <v>181-29</v>
          </cell>
          <cell r="D87">
            <v>1820000</v>
          </cell>
          <cell r="E87" t="str">
            <v>ADANE</v>
          </cell>
        </row>
        <row r="88">
          <cell r="C88" t="str">
            <v>120-29</v>
          </cell>
          <cell r="D88">
            <v>1310000</v>
          </cell>
          <cell r="E88" t="str">
            <v>MALAVE</v>
          </cell>
        </row>
        <row r="89">
          <cell r="C89" t="str">
            <v>826-29</v>
          </cell>
          <cell r="D89">
            <v>2030000</v>
          </cell>
          <cell r="E89" t="str">
            <v>KILLION</v>
          </cell>
        </row>
        <row r="90">
          <cell r="C90" t="str">
            <v>118-29</v>
          </cell>
          <cell r="D90">
            <v>1360000</v>
          </cell>
          <cell r="E90" t="str">
            <v>SANTIZO</v>
          </cell>
        </row>
        <row r="91">
          <cell r="C91" t="str">
            <v>308-29</v>
          </cell>
          <cell r="D91">
            <v>1190000</v>
          </cell>
          <cell r="E91" t="str">
            <v>BRANNON</v>
          </cell>
        </row>
        <row r="92">
          <cell r="C92" t="str">
            <v>800-29</v>
          </cell>
          <cell r="D92">
            <v>1760000</v>
          </cell>
          <cell r="E92" t="str">
            <v>STRICKLAND</v>
          </cell>
        </row>
        <row r="93">
          <cell r="C93" t="str">
            <v>111-29</v>
          </cell>
          <cell r="D93">
            <v>1090000</v>
          </cell>
          <cell r="E93" t="str">
            <v>SPECTOR</v>
          </cell>
        </row>
        <row r="94">
          <cell r="C94" t="str">
            <v>144-29</v>
          </cell>
          <cell r="D94">
            <v>900000</v>
          </cell>
          <cell r="E94" t="str">
            <v>ROCHA</v>
          </cell>
        </row>
        <row r="95">
          <cell r="C95" t="str">
            <v>810-29</v>
          </cell>
          <cell r="D95">
            <v>1760000</v>
          </cell>
          <cell r="E95" t="str">
            <v>STRICKLAND</v>
          </cell>
        </row>
        <row r="96">
          <cell r="C96" t="str">
            <v>149-29</v>
          </cell>
          <cell r="D96">
            <v>1190000</v>
          </cell>
          <cell r="E96" t="str">
            <v>BRANNON</v>
          </cell>
        </row>
        <row r="97">
          <cell r="C97" t="str">
            <v>814-29</v>
          </cell>
          <cell r="D97">
            <v>1830000</v>
          </cell>
          <cell r="E97" t="str">
            <v>YORK</v>
          </cell>
        </row>
        <row r="98">
          <cell r="C98" t="str">
            <v>147-29</v>
          </cell>
          <cell r="D98">
            <v>1310000</v>
          </cell>
          <cell r="E98" t="str">
            <v>MALAVE</v>
          </cell>
        </row>
        <row r="99">
          <cell r="C99" t="str">
            <v>152-29</v>
          </cell>
          <cell r="D99">
            <v>2140000</v>
          </cell>
          <cell r="E99" t="str">
            <v>ROBINSON</v>
          </cell>
        </row>
        <row r="100">
          <cell r="C100" t="str">
            <v>138-29</v>
          </cell>
          <cell r="D100">
            <v>2140000</v>
          </cell>
          <cell r="E100" t="str">
            <v>ROBINSON</v>
          </cell>
        </row>
        <row r="101">
          <cell r="C101" t="str">
            <v>823-29</v>
          </cell>
          <cell r="D101">
            <v>2030000</v>
          </cell>
          <cell r="E101" t="str">
            <v>KILLION</v>
          </cell>
        </row>
        <row r="102">
          <cell r="C102" t="str">
            <v>134-29</v>
          </cell>
          <cell r="D102">
            <v>1310000</v>
          </cell>
          <cell r="E102" t="str">
            <v>MALAVE</v>
          </cell>
        </row>
        <row r="103">
          <cell r="C103" t="str">
            <v>187-29</v>
          </cell>
          <cell r="D103">
            <v>880000</v>
          </cell>
          <cell r="E103" t="str">
            <v>STEWART</v>
          </cell>
        </row>
        <row r="104">
          <cell r="C104" t="str">
            <v>807-29</v>
          </cell>
          <cell r="D104">
            <v>1830000</v>
          </cell>
          <cell r="E104" t="str">
            <v>YORK</v>
          </cell>
        </row>
        <row r="105">
          <cell r="C105" t="str">
            <v>824-29</v>
          </cell>
          <cell r="D105">
            <v>2030000</v>
          </cell>
          <cell r="E105" t="str">
            <v>KILLION</v>
          </cell>
        </row>
        <row r="106">
          <cell r="C106" t="str">
            <v>121-29</v>
          </cell>
          <cell r="D106">
            <v>1190000</v>
          </cell>
          <cell r="E106" t="str">
            <v>BRANNON</v>
          </cell>
        </row>
        <row r="107">
          <cell r="C107" t="str">
            <v>302-29</v>
          </cell>
          <cell r="D107">
            <v>2010000</v>
          </cell>
          <cell r="E107" t="str">
            <v>MAELZER</v>
          </cell>
        </row>
        <row r="108">
          <cell r="C108" t="str">
            <v>800-29</v>
          </cell>
          <cell r="D108">
            <v>1760000</v>
          </cell>
          <cell r="E108" t="str">
            <v>STRICKLAND</v>
          </cell>
        </row>
        <row r="109">
          <cell r="C109" t="str">
            <v>102-29</v>
          </cell>
          <cell r="D109">
            <v>2010000</v>
          </cell>
          <cell r="E109" t="str">
            <v>MAELZER</v>
          </cell>
        </row>
        <row r="110">
          <cell r="C110" t="str">
            <v>101-29</v>
          </cell>
          <cell r="D110">
            <v>2010000</v>
          </cell>
          <cell r="E110" t="str">
            <v>MAELZER</v>
          </cell>
        </row>
        <row r="111">
          <cell r="C111" t="str">
            <v>119-29</v>
          </cell>
          <cell r="D111">
            <v>1310000</v>
          </cell>
          <cell r="E111" t="str">
            <v>MALAVE</v>
          </cell>
        </row>
        <row r="112">
          <cell r="C112" t="str">
            <v>244-28</v>
          </cell>
          <cell r="D112">
            <v>1480000</v>
          </cell>
          <cell r="E112" t="str">
            <v>STURGEON</v>
          </cell>
        </row>
        <row r="113">
          <cell r="C113" t="str">
            <v>116-29</v>
          </cell>
          <cell r="D113">
            <v>900000</v>
          </cell>
          <cell r="E113" t="str">
            <v>ROCHA</v>
          </cell>
        </row>
        <row r="114">
          <cell r="C114" t="str">
            <v>159-29</v>
          </cell>
          <cell r="D114">
            <v>880000</v>
          </cell>
          <cell r="E114" t="str">
            <v>STEWART</v>
          </cell>
        </row>
        <row r="115">
          <cell r="C115" t="str">
            <v>137-29</v>
          </cell>
          <cell r="D115">
            <v>2140000</v>
          </cell>
          <cell r="E115" t="str">
            <v>ROBINSON</v>
          </cell>
        </row>
        <row r="116">
          <cell r="C116" t="str">
            <v>151-29</v>
          </cell>
          <cell r="D116">
            <v>2140000</v>
          </cell>
          <cell r="E116" t="str">
            <v>ROBINSON</v>
          </cell>
        </row>
        <row r="117">
          <cell r="C117" t="str">
            <v>821-29</v>
          </cell>
          <cell r="D117">
            <v>2030000</v>
          </cell>
          <cell r="E117" t="str">
            <v>KILLION</v>
          </cell>
        </row>
        <row r="118">
          <cell r="C118" t="str">
            <v>805-29</v>
          </cell>
          <cell r="D118">
            <v>1760000</v>
          </cell>
          <cell r="E118" t="str">
            <v>STRICKLAND</v>
          </cell>
        </row>
        <row r="119">
          <cell r="C119" t="str">
            <v>822-29</v>
          </cell>
          <cell r="D119">
            <v>2030000</v>
          </cell>
          <cell r="E119" t="str">
            <v>KILLION</v>
          </cell>
        </row>
        <row r="120">
          <cell r="C120" t="str">
            <v>106-29</v>
          </cell>
          <cell r="D120">
            <v>1310000</v>
          </cell>
          <cell r="E120" t="str">
            <v>MALAVE</v>
          </cell>
        </row>
        <row r="121">
          <cell r="C121" t="str">
            <v>183-29</v>
          </cell>
          <cell r="D121">
            <v>2000000</v>
          </cell>
          <cell r="E121" t="str">
            <v>STAMBAUGH</v>
          </cell>
        </row>
        <row r="122">
          <cell r="C122" t="str">
            <v>106-29</v>
          </cell>
          <cell r="D122">
            <v>1310000</v>
          </cell>
          <cell r="E122" t="str">
            <v>MALAVE</v>
          </cell>
        </row>
        <row r="123">
          <cell r="C123" t="str">
            <v>184-29</v>
          </cell>
          <cell r="D123">
            <v>2000000</v>
          </cell>
          <cell r="E123" t="str">
            <v>STAMBAUGH</v>
          </cell>
        </row>
        <row r="124">
          <cell r="C124" t="str">
            <v>901-29</v>
          </cell>
          <cell r="D124">
            <v>1760000</v>
          </cell>
          <cell r="E124" t="str">
            <v>STRICKLAND</v>
          </cell>
        </row>
        <row r="125">
          <cell r="C125" t="str">
            <v>842-29</v>
          </cell>
          <cell r="D125">
            <v>2030000</v>
          </cell>
          <cell r="E125" t="str">
            <v>KILLION</v>
          </cell>
        </row>
        <row r="126">
          <cell r="C126" t="str">
            <v>104-29</v>
          </cell>
          <cell r="D126">
            <v>1360000</v>
          </cell>
          <cell r="E126" t="str">
            <v>SANTIZO</v>
          </cell>
        </row>
        <row r="127">
          <cell r="C127" t="str">
            <v>228-29</v>
          </cell>
          <cell r="D127">
            <v>1480000</v>
          </cell>
          <cell r="E127" t="str">
            <v>STURGEON</v>
          </cell>
        </row>
        <row r="128">
          <cell r="C128" t="str">
            <v>105-29</v>
          </cell>
          <cell r="D128">
            <v>1310000</v>
          </cell>
          <cell r="E128" t="str">
            <v>MALAVE</v>
          </cell>
        </row>
        <row r="129">
          <cell r="C129" t="str">
            <v>102-30</v>
          </cell>
          <cell r="D129">
            <v>2010000</v>
          </cell>
          <cell r="E129" t="str">
            <v>MAELZER</v>
          </cell>
        </row>
        <row r="130">
          <cell r="C130" t="str">
            <v>815-29</v>
          </cell>
          <cell r="D130">
            <v>1830000</v>
          </cell>
          <cell r="E130" t="str">
            <v>YORK</v>
          </cell>
        </row>
        <row r="131">
          <cell r="C131" t="str">
            <v>199-29</v>
          </cell>
          <cell r="D131">
            <v>950000</v>
          </cell>
          <cell r="E131" t="str">
            <v>WEBSTER</v>
          </cell>
        </row>
        <row r="132">
          <cell r="C132" t="str">
            <v>125-29</v>
          </cell>
          <cell r="D132">
            <v>1090000</v>
          </cell>
          <cell r="E132" t="str">
            <v>SPECTOR</v>
          </cell>
        </row>
        <row r="133">
          <cell r="C133" t="str">
            <v>239-29</v>
          </cell>
          <cell r="D133">
            <v>2150000</v>
          </cell>
          <cell r="E133" t="str">
            <v>SWANSON</v>
          </cell>
        </row>
        <row r="134">
          <cell r="C134" t="str">
            <v>802-29</v>
          </cell>
          <cell r="D134">
            <v>1760000</v>
          </cell>
          <cell r="E134" t="str">
            <v>STRICKLAND</v>
          </cell>
        </row>
        <row r="135">
          <cell r="C135" t="str">
            <v>242-29</v>
          </cell>
          <cell r="D135">
            <v>1800000</v>
          </cell>
          <cell r="E135" t="str">
            <v>CHANDLER</v>
          </cell>
        </row>
        <row r="136">
          <cell r="C136" t="str">
            <v>315-28</v>
          </cell>
          <cell r="D136">
            <v>1480000</v>
          </cell>
          <cell r="E136" t="str">
            <v>STURGEON</v>
          </cell>
        </row>
        <row r="137">
          <cell r="C137" t="str">
            <v>315-29</v>
          </cell>
          <cell r="D137">
            <v>1300000</v>
          </cell>
          <cell r="E137" t="str">
            <v>LEVIN</v>
          </cell>
        </row>
        <row r="138">
          <cell r="C138" t="str">
            <v>233-29</v>
          </cell>
          <cell r="D138">
            <v>1800000</v>
          </cell>
          <cell r="E138" t="str">
            <v>CHANDLER</v>
          </cell>
        </row>
        <row r="139">
          <cell r="C139" t="str">
            <v>105-30</v>
          </cell>
          <cell r="D139">
            <v>1260000</v>
          </cell>
          <cell r="E139" t="str">
            <v>ACKERMAN</v>
          </cell>
        </row>
        <row r="140">
          <cell r="C140" t="str">
            <v>174-29</v>
          </cell>
          <cell r="D140">
            <v>880000</v>
          </cell>
          <cell r="E140" t="str">
            <v>STEWART</v>
          </cell>
        </row>
        <row r="141">
          <cell r="C141" t="str">
            <v>827-29</v>
          </cell>
          <cell r="D141">
            <v>530000</v>
          </cell>
          <cell r="E141" t="str">
            <v>POLLOCK</v>
          </cell>
        </row>
        <row r="142">
          <cell r="C142" t="str">
            <v>306-30</v>
          </cell>
          <cell r="D142">
            <v>1260000</v>
          </cell>
          <cell r="E142" t="str">
            <v>ACKERMAN</v>
          </cell>
        </row>
        <row r="143">
          <cell r="C143" t="str">
            <v>831-29</v>
          </cell>
          <cell r="D143">
            <v>530000</v>
          </cell>
          <cell r="E143" t="str">
            <v>POLLOCK</v>
          </cell>
        </row>
        <row r="144">
          <cell r="C144" t="str">
            <v>237-29</v>
          </cell>
          <cell r="D144">
            <v>1300000</v>
          </cell>
          <cell r="E144" t="str">
            <v>LEVIN</v>
          </cell>
        </row>
        <row r="145">
          <cell r="C145" t="str">
            <v>207-29</v>
          </cell>
          <cell r="D145">
            <v>2040000</v>
          </cell>
          <cell r="E145" t="str">
            <v>MOSES</v>
          </cell>
        </row>
        <row r="146">
          <cell r="C146" t="str">
            <v>833-29</v>
          </cell>
          <cell r="D146">
            <v>2030000</v>
          </cell>
          <cell r="E146" t="str">
            <v>KILLION</v>
          </cell>
        </row>
        <row r="147">
          <cell r="C147" t="str">
            <v>832-29</v>
          </cell>
          <cell r="D147">
            <v>530000</v>
          </cell>
          <cell r="E147" t="str">
            <v>POLLOCK</v>
          </cell>
        </row>
        <row r="148">
          <cell r="C148" t="str">
            <v>829-29</v>
          </cell>
          <cell r="D148">
            <v>2030000</v>
          </cell>
          <cell r="E148" t="str">
            <v>KILLION</v>
          </cell>
        </row>
        <row r="149">
          <cell r="C149" t="str">
            <v>225-29</v>
          </cell>
          <cell r="D149">
            <v>1800000</v>
          </cell>
          <cell r="E149" t="str">
            <v>CHANDLER</v>
          </cell>
        </row>
        <row r="150">
          <cell r="C150" t="str">
            <v>190-29</v>
          </cell>
          <cell r="D150">
            <v>2100000</v>
          </cell>
          <cell r="E150" t="str">
            <v>ISHMAEL</v>
          </cell>
        </row>
        <row r="151">
          <cell r="C151" t="str">
            <v>234-29</v>
          </cell>
          <cell r="D151">
            <v>1800000</v>
          </cell>
          <cell r="E151" t="str">
            <v>CHANDLER</v>
          </cell>
        </row>
        <row r="152">
          <cell r="C152" t="str">
            <v>904-29</v>
          </cell>
          <cell r="D152">
            <v>530000</v>
          </cell>
          <cell r="E152" t="str">
            <v>POLLOCK</v>
          </cell>
        </row>
        <row r="153">
          <cell r="C153" t="str">
            <v>847-29</v>
          </cell>
          <cell r="D153">
            <v>780000</v>
          </cell>
          <cell r="E153" t="str">
            <v>CHIONE</v>
          </cell>
        </row>
        <row r="154">
          <cell r="C154" t="str">
            <v>179-29</v>
          </cell>
          <cell r="D154">
            <v>2040000</v>
          </cell>
          <cell r="E154" t="str">
            <v>MOSES</v>
          </cell>
        </row>
        <row r="155">
          <cell r="C155" t="str">
            <v>240-29</v>
          </cell>
          <cell r="D155">
            <v>2150000</v>
          </cell>
          <cell r="E155" t="str">
            <v>SWANSON</v>
          </cell>
        </row>
        <row r="156">
          <cell r="C156" t="str">
            <v>166-29</v>
          </cell>
          <cell r="D156">
            <v>2040000</v>
          </cell>
          <cell r="E156" t="str">
            <v>MOSES</v>
          </cell>
        </row>
        <row r="157">
          <cell r="C157" t="str">
            <v>200-29</v>
          </cell>
          <cell r="D157">
            <v>950000</v>
          </cell>
          <cell r="E157" t="str">
            <v>WEBSTER</v>
          </cell>
        </row>
        <row r="158">
          <cell r="C158" t="str">
            <v>819-29</v>
          </cell>
          <cell r="D158">
            <v>1830000</v>
          </cell>
          <cell r="E158" t="str">
            <v>YORK</v>
          </cell>
        </row>
        <row r="159">
          <cell r="C159" t="str">
            <v>841-29</v>
          </cell>
          <cell r="D159">
            <v>2030000</v>
          </cell>
          <cell r="E159" t="str">
            <v>KILLION</v>
          </cell>
        </row>
        <row r="160">
          <cell r="C160" t="str">
            <v>244-29</v>
          </cell>
          <cell r="D160">
            <v>1480000</v>
          </cell>
          <cell r="E160" t="str">
            <v>STURGEON</v>
          </cell>
        </row>
        <row r="161">
          <cell r="C161" t="str">
            <v>BAL-29</v>
          </cell>
          <cell r="D161">
            <v>470000</v>
          </cell>
          <cell r="E161" t="str">
            <v>BALTHROP</v>
          </cell>
        </row>
        <row r="162">
          <cell r="C162" t="str">
            <v>243-29</v>
          </cell>
          <cell r="D162">
            <v>1480000</v>
          </cell>
          <cell r="E162" t="str">
            <v>STURGEON</v>
          </cell>
        </row>
        <row r="163">
          <cell r="C163" t="str">
            <v>133-29</v>
          </cell>
          <cell r="D163">
            <v>1310000</v>
          </cell>
          <cell r="E163" t="str">
            <v>MALAVE</v>
          </cell>
        </row>
        <row r="164">
          <cell r="C164" t="str">
            <v>908-29</v>
          </cell>
          <cell r="D164">
            <v>780000</v>
          </cell>
          <cell r="E164" t="str">
            <v>CHIONE</v>
          </cell>
        </row>
        <row r="165">
          <cell r="C165" t="str">
            <v>135-29</v>
          </cell>
          <cell r="D165">
            <v>1190000</v>
          </cell>
          <cell r="E165" t="str">
            <v>BRANNON</v>
          </cell>
        </row>
        <row r="166">
          <cell r="C166" t="str">
            <v>229-29</v>
          </cell>
          <cell r="D166">
            <v>1300000</v>
          </cell>
          <cell r="E166" t="str">
            <v>LEVIN</v>
          </cell>
        </row>
        <row r="167">
          <cell r="C167" t="str">
            <v>142-29</v>
          </cell>
          <cell r="D167">
            <v>2010000</v>
          </cell>
          <cell r="E167" t="str">
            <v>MAELZER</v>
          </cell>
        </row>
        <row r="168">
          <cell r="C168" t="str">
            <v>222-29</v>
          </cell>
          <cell r="D168">
            <v>1300000</v>
          </cell>
          <cell r="E168" t="str">
            <v>LEVIN</v>
          </cell>
        </row>
        <row r="169">
          <cell r="C169" t="str">
            <v>150-29</v>
          </cell>
          <cell r="D169">
            <v>1190000</v>
          </cell>
          <cell r="E169" t="str">
            <v>BRANNON</v>
          </cell>
        </row>
        <row r="170">
          <cell r="C170" t="str">
            <v>BAL-29</v>
          </cell>
          <cell r="D170">
            <v>470000</v>
          </cell>
          <cell r="E170" t="str">
            <v>BALTHROP</v>
          </cell>
        </row>
        <row r="171">
          <cell r="C171" t="str">
            <v>169-29</v>
          </cell>
          <cell r="D171">
            <v>2000000</v>
          </cell>
          <cell r="E171" t="str">
            <v>STAMBAUGH</v>
          </cell>
        </row>
        <row r="172">
          <cell r="C172" t="str">
            <v>204-29</v>
          </cell>
          <cell r="D172">
            <v>1520000</v>
          </cell>
          <cell r="E172" t="str">
            <v>MAYBERRY</v>
          </cell>
        </row>
        <row r="173">
          <cell r="C173" t="str">
            <v>107-29</v>
          </cell>
          <cell r="D173">
            <v>1190000</v>
          </cell>
          <cell r="E173" t="str">
            <v>BRANNON</v>
          </cell>
        </row>
        <row r="174">
          <cell r="C174" t="str">
            <v>180-29</v>
          </cell>
          <cell r="D174">
            <v>2040000</v>
          </cell>
          <cell r="E174" t="str">
            <v>MOSES</v>
          </cell>
        </row>
        <row r="175">
          <cell r="C175" t="str">
            <v>157-29</v>
          </cell>
          <cell r="D175">
            <v>900000</v>
          </cell>
          <cell r="E175" t="str">
            <v>ROCHA</v>
          </cell>
        </row>
        <row r="176">
          <cell r="C176" t="str">
            <v>103-30</v>
          </cell>
          <cell r="D176">
            <v>1310000</v>
          </cell>
          <cell r="E176" t="str">
            <v>MALAVE</v>
          </cell>
        </row>
        <row r="177">
          <cell r="C177" t="str">
            <v>804-29</v>
          </cell>
          <cell r="D177">
            <v>1830000</v>
          </cell>
          <cell r="E177" t="str">
            <v>YORK</v>
          </cell>
        </row>
        <row r="178">
          <cell r="C178" t="str">
            <v>309-29</v>
          </cell>
          <cell r="D178">
            <v>2150000</v>
          </cell>
          <cell r="E178" t="str">
            <v>SWANSON</v>
          </cell>
        </row>
        <row r="179">
          <cell r="C179" t="str">
            <v>168-29</v>
          </cell>
          <cell r="D179">
            <v>1820000</v>
          </cell>
          <cell r="E179" t="str">
            <v>ADANE</v>
          </cell>
        </row>
        <row r="180">
          <cell r="C180" t="str">
            <v>238-29</v>
          </cell>
          <cell r="D180">
            <v>1300000</v>
          </cell>
          <cell r="E180" t="str">
            <v>LEVIN</v>
          </cell>
        </row>
        <row r="181">
          <cell r="C181" t="str">
            <v>302-29</v>
          </cell>
          <cell r="D181">
            <v>2010000</v>
          </cell>
          <cell r="E181" t="str">
            <v>MAELZER</v>
          </cell>
        </row>
        <row r="182">
          <cell r="C182" t="str">
            <v>307-29</v>
          </cell>
          <cell r="D182">
            <v>950000</v>
          </cell>
          <cell r="E182" t="str">
            <v>WEBSTER</v>
          </cell>
        </row>
        <row r="183">
          <cell r="C183" t="str">
            <v>117-29</v>
          </cell>
          <cell r="D183">
            <v>1360000</v>
          </cell>
          <cell r="E183" t="str">
            <v>SANTIZO</v>
          </cell>
        </row>
        <row r="184">
          <cell r="C184" t="str">
            <v>219-29</v>
          </cell>
          <cell r="D184">
            <v>1480000</v>
          </cell>
          <cell r="E184" t="str">
            <v>STURGEON</v>
          </cell>
        </row>
        <row r="185">
          <cell r="C185" t="str">
            <v>114-29</v>
          </cell>
          <cell r="D185">
            <v>2010000</v>
          </cell>
          <cell r="E185" t="str">
            <v>MAELZER</v>
          </cell>
        </row>
        <row r="186">
          <cell r="C186" t="str">
            <v>217-29</v>
          </cell>
          <cell r="D186">
            <v>1800000</v>
          </cell>
          <cell r="E186" t="str">
            <v>CHANDLER</v>
          </cell>
        </row>
        <row r="187">
          <cell r="C187" t="str">
            <v>123-29</v>
          </cell>
          <cell r="D187">
            <v>2140000</v>
          </cell>
          <cell r="E187" t="str">
            <v>ROBINSON</v>
          </cell>
        </row>
        <row r="188">
          <cell r="C188" t="str">
            <v>208-29</v>
          </cell>
          <cell r="D188">
            <v>2040000</v>
          </cell>
          <cell r="E188" t="str">
            <v>MOSES</v>
          </cell>
        </row>
        <row r="189">
          <cell r="C189" t="str">
            <v>128-29</v>
          </cell>
          <cell r="D189">
            <v>2010000</v>
          </cell>
          <cell r="E189" t="str">
            <v>MAELZER</v>
          </cell>
        </row>
        <row r="190">
          <cell r="C190" t="str">
            <v>835-29</v>
          </cell>
          <cell r="D190">
            <v>530000</v>
          </cell>
          <cell r="E190" t="str">
            <v>POLLOCK</v>
          </cell>
        </row>
        <row r="191">
          <cell r="C191" t="str">
            <v>143-29</v>
          </cell>
          <cell r="D191">
            <v>900000</v>
          </cell>
          <cell r="E191" t="str">
            <v>ROCHA</v>
          </cell>
        </row>
        <row r="192">
          <cell r="C192" t="str">
            <v>213-29</v>
          </cell>
          <cell r="D192">
            <v>2150000</v>
          </cell>
          <cell r="E192" t="str">
            <v>SWANSON</v>
          </cell>
        </row>
        <row r="193">
          <cell r="C193" t="str">
            <v>145-29</v>
          </cell>
          <cell r="D193">
            <v>1360000</v>
          </cell>
          <cell r="E193" t="str">
            <v>SANTIZO</v>
          </cell>
        </row>
        <row r="194">
          <cell r="C194" t="str">
            <v>817-29</v>
          </cell>
          <cell r="D194">
            <v>1830000</v>
          </cell>
          <cell r="E194" t="str">
            <v>YORK</v>
          </cell>
        </row>
        <row r="195">
          <cell r="C195" t="str">
            <v>146-29</v>
          </cell>
          <cell r="D195">
            <v>1360000</v>
          </cell>
          <cell r="E195" t="str">
            <v>SANTIZO</v>
          </cell>
        </row>
        <row r="196">
          <cell r="C196" t="str">
            <v>132-29</v>
          </cell>
          <cell r="D196">
            <v>1360000</v>
          </cell>
          <cell r="E196" t="str">
            <v>SANTIZO</v>
          </cell>
        </row>
        <row r="197">
          <cell r="C197" t="str">
            <v>820-29</v>
          </cell>
          <cell r="D197">
            <v>1830000</v>
          </cell>
          <cell r="E197" t="str">
            <v>YORK</v>
          </cell>
        </row>
        <row r="198">
          <cell r="C198" t="str">
            <v>131-29</v>
          </cell>
          <cell r="D198">
            <v>1360000</v>
          </cell>
          <cell r="E198" t="str">
            <v>SANTIZO</v>
          </cell>
        </row>
        <row r="199">
          <cell r="C199" t="str">
            <v>178-29</v>
          </cell>
          <cell r="D199">
            <v>2090000</v>
          </cell>
          <cell r="E199" t="str">
            <v>HAITHCOX</v>
          </cell>
        </row>
        <row r="200">
          <cell r="C200" t="str">
            <v>112-29</v>
          </cell>
          <cell r="D200">
            <v>1090000</v>
          </cell>
          <cell r="E200" t="str">
            <v>SPECTOR</v>
          </cell>
        </row>
        <row r="201">
          <cell r="C201" t="str">
            <v>218-29</v>
          </cell>
          <cell r="D201">
            <v>1800000</v>
          </cell>
          <cell r="E201" t="str">
            <v>CHANDLER</v>
          </cell>
        </row>
        <row r="202">
          <cell r="C202" t="str">
            <v>308-29</v>
          </cell>
          <cell r="D202">
            <v>1190000</v>
          </cell>
          <cell r="E202" t="str">
            <v>BRANNON</v>
          </cell>
        </row>
        <row r="203">
          <cell r="C203" t="str">
            <v>223-29</v>
          </cell>
          <cell r="D203">
            <v>2150000</v>
          </cell>
          <cell r="E203" t="str">
            <v>SWANSON</v>
          </cell>
        </row>
        <row r="204">
          <cell r="C204" t="str">
            <v>160-29</v>
          </cell>
          <cell r="D204">
            <v>880000</v>
          </cell>
          <cell r="E204" t="str">
            <v>STEWART</v>
          </cell>
        </row>
        <row r="205">
          <cell r="C205" t="str">
            <v>840-29</v>
          </cell>
          <cell r="D205">
            <v>2030000</v>
          </cell>
          <cell r="E205" t="str">
            <v>KILLION</v>
          </cell>
        </row>
        <row r="206">
          <cell r="C206" t="str">
            <v>163-29</v>
          </cell>
          <cell r="D206">
            <v>2090000</v>
          </cell>
          <cell r="E206" t="str">
            <v>HAITHCOX</v>
          </cell>
        </row>
        <row r="207">
          <cell r="C207" t="str">
            <v>224-29</v>
          </cell>
          <cell r="D207">
            <v>2150000</v>
          </cell>
          <cell r="E207" t="str">
            <v>SWANSON</v>
          </cell>
        </row>
        <row r="208">
          <cell r="C208" t="str">
            <v>155-29</v>
          </cell>
          <cell r="D208">
            <v>1760000</v>
          </cell>
          <cell r="E208" t="str">
            <v>STRICKLAND</v>
          </cell>
        </row>
        <row r="209">
          <cell r="C209" t="str">
            <v>227-29</v>
          </cell>
          <cell r="D209">
            <v>1480000</v>
          </cell>
          <cell r="E209" t="str">
            <v>STURGEON</v>
          </cell>
        </row>
        <row r="210">
          <cell r="C210" t="str">
            <v>903-29</v>
          </cell>
          <cell r="D210">
            <v>1760000</v>
          </cell>
          <cell r="E210" t="str">
            <v>STRICKLAND</v>
          </cell>
        </row>
        <row r="211">
          <cell r="C211" t="str">
            <v>226-29</v>
          </cell>
          <cell r="D211">
            <v>1800000</v>
          </cell>
          <cell r="E211" t="str">
            <v>CHANDLER</v>
          </cell>
        </row>
        <row r="212">
          <cell r="C212" t="str">
            <v>811-29</v>
          </cell>
          <cell r="D212">
            <v>1830000</v>
          </cell>
          <cell r="E212" t="str">
            <v>YORK</v>
          </cell>
        </row>
        <row r="213">
          <cell r="C213" t="str">
            <v>230-29</v>
          </cell>
          <cell r="D213">
            <v>1300000</v>
          </cell>
          <cell r="E213" t="str">
            <v>LEVIN</v>
          </cell>
        </row>
        <row r="214">
          <cell r="C214" t="str">
            <v>124-29</v>
          </cell>
          <cell r="D214">
            <v>2140000</v>
          </cell>
          <cell r="E214" t="str">
            <v>ROBINSON</v>
          </cell>
        </row>
        <row r="215">
          <cell r="C215" t="str">
            <v>847-29</v>
          </cell>
          <cell r="D215">
            <v>780000</v>
          </cell>
          <cell r="E215" t="str">
            <v>CHIONE</v>
          </cell>
        </row>
        <row r="216">
          <cell r="C216" t="str">
            <v>801-29</v>
          </cell>
          <cell r="D216">
            <v>1760000</v>
          </cell>
          <cell r="E216" t="str">
            <v>STRICKLAND</v>
          </cell>
        </row>
        <row r="217">
          <cell r="C217" t="str">
            <v>101-30</v>
          </cell>
          <cell r="D217">
            <v>2010000</v>
          </cell>
          <cell r="E217" t="str">
            <v>MAELZER</v>
          </cell>
        </row>
        <row r="218">
          <cell r="C218" t="str">
            <v>313-28</v>
          </cell>
          <cell r="D218">
            <v>1300000</v>
          </cell>
          <cell r="E218" t="str">
            <v>LEVIN</v>
          </cell>
        </row>
        <row r="219">
          <cell r="C219" t="str">
            <v>195-29</v>
          </cell>
          <cell r="D219">
            <v>1820000</v>
          </cell>
          <cell r="E219" t="str">
            <v>ADANE</v>
          </cell>
        </row>
        <row r="220">
          <cell r="C220" t="str">
            <v>161-29</v>
          </cell>
          <cell r="D220">
            <v>2100000</v>
          </cell>
          <cell r="E220" t="str">
            <v>ISHMAEL</v>
          </cell>
        </row>
        <row r="221">
          <cell r="C221" t="str">
            <v>194-29</v>
          </cell>
          <cell r="D221">
            <v>2040000</v>
          </cell>
          <cell r="E221" t="str">
            <v>MOSES</v>
          </cell>
        </row>
        <row r="222">
          <cell r="C222" t="str">
            <v>148-29</v>
          </cell>
          <cell r="D222">
            <v>1310000</v>
          </cell>
          <cell r="E222" t="str">
            <v>MALAVE</v>
          </cell>
        </row>
        <row r="223">
          <cell r="C223" t="str">
            <v>215-29</v>
          </cell>
          <cell r="D223">
            <v>950000</v>
          </cell>
          <cell r="E223" t="str">
            <v>WEBSTER</v>
          </cell>
        </row>
        <row r="224">
          <cell r="C224" t="str">
            <v>140-29</v>
          </cell>
          <cell r="D224">
            <v>1090000</v>
          </cell>
          <cell r="E224" t="str">
            <v>SPECTOR</v>
          </cell>
        </row>
        <row r="225">
          <cell r="C225" t="str">
            <v>844-29</v>
          </cell>
          <cell r="D225">
            <v>780000</v>
          </cell>
          <cell r="E225" t="str">
            <v>CHIONE</v>
          </cell>
        </row>
        <row r="226">
          <cell r="C226" t="str">
            <v>126-29</v>
          </cell>
          <cell r="D226">
            <v>1090000</v>
          </cell>
          <cell r="E226" t="str">
            <v>SPECTOR</v>
          </cell>
        </row>
        <row r="227">
          <cell r="C227" t="str">
            <v>103-30</v>
          </cell>
          <cell r="D227">
            <v>1310000</v>
          </cell>
          <cell r="E227" t="str">
            <v>MALAVE</v>
          </cell>
        </row>
        <row r="228">
          <cell r="C228" t="str">
            <v>306-29</v>
          </cell>
          <cell r="D228">
            <v>1310000</v>
          </cell>
          <cell r="E228" t="str">
            <v>MALAVE</v>
          </cell>
        </row>
        <row r="229">
          <cell r="C229" t="str">
            <v>904-29</v>
          </cell>
          <cell r="D229">
            <v>530000</v>
          </cell>
          <cell r="E229" t="str">
            <v>POLLOCK</v>
          </cell>
        </row>
        <row r="230">
          <cell r="C230" t="str">
            <v>103-29</v>
          </cell>
          <cell r="D230">
            <v>1360000</v>
          </cell>
          <cell r="E230" t="str">
            <v>SANTIZO</v>
          </cell>
        </row>
        <row r="231">
          <cell r="C231" t="str">
            <v>904-29</v>
          </cell>
          <cell r="D231">
            <v>530000</v>
          </cell>
          <cell r="E231" t="str">
            <v>POLLOCK</v>
          </cell>
        </row>
        <row r="232">
          <cell r="C232" t="str">
            <v>141-29</v>
          </cell>
          <cell r="D232">
            <v>2010000</v>
          </cell>
          <cell r="E232" t="str">
            <v>MAELZER</v>
          </cell>
        </row>
        <row r="233">
          <cell r="C233" t="str">
            <v>206-29</v>
          </cell>
          <cell r="D233">
            <v>2090000</v>
          </cell>
          <cell r="E233" t="str">
            <v>HAITHCOX</v>
          </cell>
        </row>
        <row r="234">
          <cell r="C234" t="str">
            <v>110-29</v>
          </cell>
          <cell r="D234">
            <v>2140000</v>
          </cell>
          <cell r="E234" t="str">
            <v>ROBINSON</v>
          </cell>
        </row>
        <row r="235">
          <cell r="C235" t="str">
            <v>303-29</v>
          </cell>
          <cell r="D235">
            <v>2040000</v>
          </cell>
          <cell r="E235" t="str">
            <v>MOSES</v>
          </cell>
        </row>
        <row r="236">
          <cell r="C236" t="str">
            <v>115-29</v>
          </cell>
          <cell r="D236">
            <v>900000</v>
          </cell>
          <cell r="E236" t="str">
            <v>ROCHA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101-30</v>
          </cell>
        </row>
      </sheetData>
      <sheetData sheetId="1" refreshError="1"/>
      <sheetData sheetId="2" refreshError="1"/>
      <sheetData sheetId="3">
        <row r="1">
          <cell r="C1" t="str">
            <v>309-29</v>
          </cell>
          <cell r="D1">
            <v>2150000</v>
          </cell>
          <cell r="E1" t="str">
            <v>SWANSON</v>
          </cell>
        </row>
        <row r="2">
          <cell r="C2" t="str">
            <v>1826-30</v>
          </cell>
          <cell r="D2">
            <v>540000</v>
          </cell>
          <cell r="E2" t="str">
            <v>MADLOM</v>
          </cell>
        </row>
        <row r="3">
          <cell r="C3" t="str">
            <v>144-30</v>
          </cell>
          <cell r="D3">
            <v>1760000</v>
          </cell>
          <cell r="E3" t="str">
            <v>STRICKLAND</v>
          </cell>
        </row>
        <row r="4">
          <cell r="C4" t="str">
            <v>1854-30</v>
          </cell>
          <cell r="D4">
            <v>1780000</v>
          </cell>
          <cell r="E4" t="str">
            <v>DE LA ROSA</v>
          </cell>
        </row>
        <row r="5">
          <cell r="C5" t="str">
            <v>184-30</v>
          </cell>
          <cell r="D5">
            <v>1520000</v>
          </cell>
          <cell r="E5" t="str">
            <v>MAYBERRY</v>
          </cell>
        </row>
        <row r="6">
          <cell r="C6" t="str">
            <v>135-30</v>
          </cell>
          <cell r="D6">
            <v>1360000</v>
          </cell>
          <cell r="E6" t="str">
            <v>SANTIZO</v>
          </cell>
        </row>
        <row r="7">
          <cell r="C7" t="str">
            <v>1867-30</v>
          </cell>
          <cell r="D7">
            <v>1780000</v>
          </cell>
          <cell r="E7" t="str">
            <v>DE LA ROSA</v>
          </cell>
        </row>
        <row r="8">
          <cell r="C8" t="str">
            <v>211-30</v>
          </cell>
          <cell r="D8">
            <v>1520000</v>
          </cell>
          <cell r="E8" t="str">
            <v>MAYBERRY</v>
          </cell>
        </row>
        <row r="9">
          <cell r="C9" t="str">
            <v>1880-30</v>
          </cell>
          <cell r="D9">
            <v>2000000</v>
          </cell>
          <cell r="E9" t="str">
            <v>STAMBAUGH</v>
          </cell>
        </row>
        <row r="10">
          <cell r="C10" t="str">
            <v>1901-30</v>
          </cell>
          <cell r="D10">
            <v>1740000</v>
          </cell>
          <cell r="E10" t="str">
            <v>STORY</v>
          </cell>
        </row>
        <row r="11">
          <cell r="C11" t="str">
            <v>309-30</v>
          </cell>
          <cell r="D11">
            <v>2030000</v>
          </cell>
          <cell r="E11" t="str">
            <v>KILLION</v>
          </cell>
        </row>
        <row r="12">
          <cell r="C12" t="str">
            <v>1803-30</v>
          </cell>
          <cell r="D12">
            <v>540000</v>
          </cell>
          <cell r="E12" t="str">
            <v>MADLOM</v>
          </cell>
        </row>
        <row r="13">
          <cell r="C13" t="str">
            <v>1887-30</v>
          </cell>
          <cell r="D13">
            <v>2000000</v>
          </cell>
          <cell r="E13" t="str">
            <v>STAMBAUGH</v>
          </cell>
        </row>
        <row r="14">
          <cell r="C14" t="str">
            <v>153-30</v>
          </cell>
          <cell r="D14">
            <v>1100000</v>
          </cell>
          <cell r="E14" t="str">
            <v>GEBRETEKLE</v>
          </cell>
        </row>
        <row r="15">
          <cell r="C15" t="str">
            <v>1903-30</v>
          </cell>
          <cell r="D15">
            <v>1780000</v>
          </cell>
          <cell r="E15" t="str">
            <v>DE LA ROSA</v>
          </cell>
        </row>
        <row r="16">
          <cell r="C16" t="str">
            <v>1817-30</v>
          </cell>
          <cell r="D16">
            <v>1830000</v>
          </cell>
          <cell r="E16" t="str">
            <v>YORK</v>
          </cell>
        </row>
        <row r="17">
          <cell r="C17" t="str">
            <v>1911-30</v>
          </cell>
          <cell r="D17">
            <v>2000000</v>
          </cell>
          <cell r="E17" t="str">
            <v>STAMBAUGH</v>
          </cell>
        </row>
        <row r="18">
          <cell r="C18" t="str">
            <v>1808-30</v>
          </cell>
          <cell r="D18">
            <v>540000</v>
          </cell>
          <cell r="E18" t="str">
            <v>MADLOM</v>
          </cell>
        </row>
        <row r="19">
          <cell r="C19" t="str">
            <v>244-30</v>
          </cell>
          <cell r="D19">
            <v>1480000</v>
          </cell>
          <cell r="E19" t="str">
            <v>STURGEON</v>
          </cell>
        </row>
        <row r="20">
          <cell r="C20" t="str">
            <v>2005-30</v>
          </cell>
          <cell r="D20">
            <v>1830000</v>
          </cell>
          <cell r="E20" t="str">
            <v>YORK</v>
          </cell>
        </row>
        <row r="21">
          <cell r="C21" t="str">
            <v>246-30</v>
          </cell>
          <cell r="D21">
            <v>1300000</v>
          </cell>
          <cell r="E21" t="str">
            <v>LEVIN</v>
          </cell>
        </row>
        <row r="22">
          <cell r="C22" t="str">
            <v>150-30</v>
          </cell>
          <cell r="D22">
            <v>1360000</v>
          </cell>
          <cell r="E22" t="str">
            <v>SANTIZO</v>
          </cell>
        </row>
        <row r="23">
          <cell r="C23" t="str">
            <v>1844-30</v>
          </cell>
          <cell r="D23">
            <v>750000</v>
          </cell>
          <cell r="E23" t="str">
            <v>NATION</v>
          </cell>
        </row>
        <row r="24">
          <cell r="C24" t="str">
            <v>1821-30</v>
          </cell>
          <cell r="D24">
            <v>540000</v>
          </cell>
          <cell r="E24" t="str">
            <v>MADLOM</v>
          </cell>
        </row>
        <row r="25">
          <cell r="C25" t="str">
            <v>1845-30</v>
          </cell>
          <cell r="D25">
            <v>750000</v>
          </cell>
          <cell r="E25" t="str">
            <v>NATION</v>
          </cell>
        </row>
        <row r="26">
          <cell r="C26" t="str">
            <v>1809-30</v>
          </cell>
          <cell r="D26">
            <v>540000</v>
          </cell>
          <cell r="E26" t="str">
            <v>MADLOM</v>
          </cell>
        </row>
        <row r="27">
          <cell r="C27" t="str">
            <v>183-30</v>
          </cell>
          <cell r="D27">
            <v>1520000</v>
          </cell>
          <cell r="E27" t="str">
            <v>MAYBERRY</v>
          </cell>
        </row>
        <row r="28">
          <cell r="C28" t="str">
            <v>1805-30</v>
          </cell>
          <cell r="D28">
            <v>1830000</v>
          </cell>
          <cell r="E28" t="str">
            <v>YORK</v>
          </cell>
        </row>
        <row r="29">
          <cell r="C29" t="str">
            <v>187-30</v>
          </cell>
          <cell r="D29">
            <v>880000</v>
          </cell>
          <cell r="E29" t="str">
            <v>STEWART</v>
          </cell>
        </row>
        <row r="30">
          <cell r="C30" t="str">
            <v>311-29</v>
          </cell>
          <cell r="D30">
            <v>1800000</v>
          </cell>
          <cell r="E30" t="str">
            <v>CHANDLER</v>
          </cell>
        </row>
        <row r="31">
          <cell r="C31" t="str">
            <v>188-30</v>
          </cell>
          <cell r="D31">
            <v>880000</v>
          </cell>
          <cell r="E31" t="str">
            <v>STEWART</v>
          </cell>
        </row>
        <row r="32">
          <cell r="C32" t="str">
            <v>138-30</v>
          </cell>
          <cell r="D32">
            <v>1460000</v>
          </cell>
          <cell r="E32" t="str">
            <v>NELSON</v>
          </cell>
        </row>
        <row r="33">
          <cell r="C33" t="str">
            <v>1868-30</v>
          </cell>
          <cell r="D33">
            <v>1740000</v>
          </cell>
          <cell r="E33" t="str">
            <v>STORY</v>
          </cell>
        </row>
        <row r="34">
          <cell r="C34" t="str">
            <v>1818-30</v>
          </cell>
          <cell r="D34">
            <v>1540000</v>
          </cell>
          <cell r="E34" t="str">
            <v>HELVIE</v>
          </cell>
        </row>
        <row r="35">
          <cell r="C35" t="str">
            <v>1895-30</v>
          </cell>
          <cell r="D35">
            <v>1820000</v>
          </cell>
          <cell r="E35" t="str">
            <v>ADANE</v>
          </cell>
        </row>
        <row r="36">
          <cell r="C36" t="str">
            <v>120-30</v>
          </cell>
          <cell r="D36">
            <v>1260000</v>
          </cell>
          <cell r="E36" t="str">
            <v>ACKERMAN</v>
          </cell>
        </row>
        <row r="37">
          <cell r="C37" t="str">
            <v>235-30</v>
          </cell>
          <cell r="D37">
            <v>1800000</v>
          </cell>
          <cell r="E37" t="str">
            <v>CHANDLER</v>
          </cell>
        </row>
        <row r="38">
          <cell r="C38" t="str">
            <v>157-30</v>
          </cell>
          <cell r="D38">
            <v>1760000</v>
          </cell>
          <cell r="E38" t="str">
            <v>STRICKLAND</v>
          </cell>
        </row>
        <row r="39">
          <cell r="C39" t="str">
            <v>1848-30</v>
          </cell>
          <cell r="D39">
            <v>1540000</v>
          </cell>
          <cell r="E39" t="str">
            <v>HELVIE</v>
          </cell>
        </row>
        <row r="40">
          <cell r="C40" t="str">
            <v>1828-30</v>
          </cell>
          <cell r="D40">
            <v>1830000</v>
          </cell>
          <cell r="E40" t="str">
            <v>YORK</v>
          </cell>
        </row>
        <row r="41">
          <cell r="C41" t="str">
            <v>1847-30</v>
          </cell>
          <cell r="D41">
            <v>1830000</v>
          </cell>
          <cell r="E41" t="str">
            <v>YORK</v>
          </cell>
        </row>
        <row r="42">
          <cell r="C42" t="str">
            <v>1820-30</v>
          </cell>
          <cell r="D42">
            <v>540000</v>
          </cell>
          <cell r="E42" t="str">
            <v>MADLOM</v>
          </cell>
        </row>
        <row r="43">
          <cell r="C43" t="str">
            <v>1853-30</v>
          </cell>
          <cell r="D43">
            <v>1820000</v>
          </cell>
          <cell r="E43" t="str">
            <v>ADANE</v>
          </cell>
        </row>
        <row r="44">
          <cell r="C44" t="str">
            <v>132-30</v>
          </cell>
          <cell r="D44">
            <v>1310000</v>
          </cell>
          <cell r="E44" t="str">
            <v>MALAVE</v>
          </cell>
        </row>
        <row r="45">
          <cell r="C45" t="str">
            <v>192-30</v>
          </cell>
          <cell r="D45">
            <v>2040000</v>
          </cell>
          <cell r="E45" t="str">
            <v>MOSES</v>
          </cell>
        </row>
        <row r="46">
          <cell r="C46" t="str">
            <v>1816-30</v>
          </cell>
          <cell r="D46">
            <v>1830000</v>
          </cell>
          <cell r="E46" t="str">
            <v>YORK</v>
          </cell>
        </row>
        <row r="47">
          <cell r="C47" t="str">
            <v>1864-30</v>
          </cell>
          <cell r="D47">
            <v>1820000</v>
          </cell>
          <cell r="E47" t="str">
            <v>ADANE</v>
          </cell>
        </row>
        <row r="48">
          <cell r="C48" t="str">
            <v>2005-30</v>
          </cell>
          <cell r="D48">
            <v>1830000</v>
          </cell>
          <cell r="E48" t="str">
            <v>YORK</v>
          </cell>
        </row>
        <row r="49">
          <cell r="C49" t="str">
            <v>196-30</v>
          </cell>
          <cell r="D49">
            <v>1770000</v>
          </cell>
          <cell r="E49" t="str">
            <v>BRUDER</v>
          </cell>
        </row>
        <row r="50">
          <cell r="C50" t="str">
            <v>115-30</v>
          </cell>
          <cell r="D50">
            <v>1760000</v>
          </cell>
          <cell r="E50" t="str">
            <v>STRICKLAND</v>
          </cell>
        </row>
        <row r="51">
          <cell r="C51" t="str">
            <v>209-30</v>
          </cell>
          <cell r="D51">
            <v>1770000</v>
          </cell>
          <cell r="E51" t="str">
            <v>BRUDER</v>
          </cell>
        </row>
        <row r="52">
          <cell r="C52" t="str">
            <v>302-30</v>
          </cell>
          <cell r="D52">
            <v>2010000</v>
          </cell>
          <cell r="E52" t="str">
            <v>MAELZER</v>
          </cell>
        </row>
        <row r="53">
          <cell r="C53" t="str">
            <v>1883-30</v>
          </cell>
          <cell r="D53">
            <v>1820000</v>
          </cell>
          <cell r="E53" t="str">
            <v>ADANE</v>
          </cell>
        </row>
        <row r="54">
          <cell r="C54" t="str">
            <v>2004-30</v>
          </cell>
          <cell r="D54">
            <v>2000000</v>
          </cell>
          <cell r="E54" t="str">
            <v>STAMBAUGH</v>
          </cell>
        </row>
        <row r="55">
          <cell r="C55" t="str">
            <v>1894-30</v>
          </cell>
          <cell r="D55">
            <v>1820000</v>
          </cell>
          <cell r="E55" t="str">
            <v>ADANE</v>
          </cell>
        </row>
        <row r="56">
          <cell r="C56" t="str">
            <v>238-30</v>
          </cell>
          <cell r="D56">
            <v>1300000</v>
          </cell>
          <cell r="E56" t="str">
            <v>LEVIN</v>
          </cell>
        </row>
        <row r="57">
          <cell r="C57" t="str">
            <v>1895-30</v>
          </cell>
          <cell r="D57">
            <v>1820000</v>
          </cell>
          <cell r="E57" t="str">
            <v>ADANE</v>
          </cell>
        </row>
        <row r="58">
          <cell r="C58" t="str">
            <v>2000-30</v>
          </cell>
          <cell r="D58">
            <v>1740000</v>
          </cell>
          <cell r="E58" t="str">
            <v>STORY</v>
          </cell>
        </row>
        <row r="59">
          <cell r="C59" t="str">
            <v>247-30</v>
          </cell>
          <cell r="D59">
            <v>1300000</v>
          </cell>
          <cell r="E59" t="str">
            <v>LEVIN</v>
          </cell>
        </row>
        <row r="60">
          <cell r="C60" t="str">
            <v>241-30</v>
          </cell>
          <cell r="D60">
            <v>2030000</v>
          </cell>
          <cell r="E60" t="str">
            <v>KILLION</v>
          </cell>
        </row>
        <row r="61">
          <cell r="C61" t="str">
            <v>105-30</v>
          </cell>
          <cell r="D61">
            <v>1260000</v>
          </cell>
          <cell r="E61" t="str">
            <v>ACKERMAN</v>
          </cell>
        </row>
        <row r="62">
          <cell r="C62" t="str">
            <v>1902-30</v>
          </cell>
          <cell r="D62">
            <v>1780000</v>
          </cell>
          <cell r="E62" t="str">
            <v>DE LA ROSA</v>
          </cell>
        </row>
        <row r="63">
          <cell r="C63" t="str">
            <v>111-30</v>
          </cell>
          <cell r="D63">
            <v>1100000</v>
          </cell>
          <cell r="E63" t="str">
            <v>GEBRETEKLE</v>
          </cell>
        </row>
        <row r="64">
          <cell r="C64" t="str">
            <v>1897-30</v>
          </cell>
          <cell r="D64">
            <v>1780000</v>
          </cell>
          <cell r="E64" t="str">
            <v>DE LA ROSA</v>
          </cell>
        </row>
        <row r="65">
          <cell r="C65" t="str">
            <v>106-30</v>
          </cell>
          <cell r="D65">
            <v>1260000</v>
          </cell>
          <cell r="E65" t="str">
            <v>ACKERMAN</v>
          </cell>
        </row>
        <row r="66">
          <cell r="C66" t="str">
            <v>228-30</v>
          </cell>
          <cell r="D66">
            <v>1480000</v>
          </cell>
          <cell r="E66" t="str">
            <v>STURGEON</v>
          </cell>
        </row>
        <row r="67">
          <cell r="C67" t="str">
            <v>106-30</v>
          </cell>
          <cell r="D67">
            <v>1260000</v>
          </cell>
          <cell r="E67" t="str">
            <v>ACKERMAN</v>
          </cell>
        </row>
        <row r="68">
          <cell r="C68" t="str">
            <v>226-30</v>
          </cell>
          <cell r="D68">
            <v>1800000</v>
          </cell>
          <cell r="E68" t="str">
            <v>CHANDLER</v>
          </cell>
        </row>
        <row r="69">
          <cell r="C69" t="str">
            <v>112-30</v>
          </cell>
          <cell r="D69">
            <v>1100000</v>
          </cell>
          <cell r="E69" t="str">
            <v>GEBRETEKLE</v>
          </cell>
        </row>
        <row r="70">
          <cell r="C70" t="str">
            <v>227-30</v>
          </cell>
          <cell r="D70">
            <v>1800000</v>
          </cell>
          <cell r="E70" t="str">
            <v>CHANDLER</v>
          </cell>
        </row>
        <row r="71">
          <cell r="C71" t="str">
            <v>121-30</v>
          </cell>
          <cell r="D71">
            <v>1360000</v>
          </cell>
          <cell r="E71" t="str">
            <v>SANTIZO</v>
          </cell>
        </row>
        <row r="72">
          <cell r="C72" t="str">
            <v>220-30</v>
          </cell>
          <cell r="D72">
            <v>1480000</v>
          </cell>
          <cell r="E72" t="str">
            <v>STURGEON</v>
          </cell>
        </row>
        <row r="73">
          <cell r="C73" t="str">
            <v>147-30</v>
          </cell>
          <cell r="D73">
            <v>1260000</v>
          </cell>
          <cell r="E73" t="str">
            <v>ACKERMAN</v>
          </cell>
        </row>
        <row r="74">
          <cell r="C74" t="str">
            <v>218-30</v>
          </cell>
          <cell r="D74">
            <v>1800000</v>
          </cell>
          <cell r="E74" t="str">
            <v>CHANDLER</v>
          </cell>
        </row>
        <row r="75">
          <cell r="C75" t="str">
            <v>146-30</v>
          </cell>
          <cell r="D75">
            <v>1310000</v>
          </cell>
          <cell r="E75" t="str">
            <v>MALAVE</v>
          </cell>
        </row>
        <row r="76">
          <cell r="C76" t="str">
            <v>303-30</v>
          </cell>
          <cell r="D76">
            <v>1750000</v>
          </cell>
          <cell r="E76" t="str">
            <v>REBOLETTI</v>
          </cell>
        </row>
        <row r="77">
          <cell r="C77" t="str">
            <v>1830-30</v>
          </cell>
          <cell r="D77">
            <v>1540000</v>
          </cell>
          <cell r="E77" t="str">
            <v>HELVIE</v>
          </cell>
        </row>
        <row r="78">
          <cell r="C78" t="str">
            <v>213-30</v>
          </cell>
          <cell r="D78">
            <v>2030000</v>
          </cell>
          <cell r="E78" t="str">
            <v>KILLION</v>
          </cell>
        </row>
        <row r="79">
          <cell r="C79" t="str">
            <v>175-30</v>
          </cell>
          <cell r="D79">
            <v>1280000</v>
          </cell>
          <cell r="E79" t="str">
            <v>BARTLETT</v>
          </cell>
        </row>
        <row r="80">
          <cell r="C80" t="str">
            <v>1869-30</v>
          </cell>
          <cell r="D80">
            <v>2000000</v>
          </cell>
          <cell r="E80" t="str">
            <v>STAMBAUGH</v>
          </cell>
        </row>
        <row r="81">
          <cell r="C81" t="str">
            <v>185-30</v>
          </cell>
          <cell r="D81">
            <v>950000</v>
          </cell>
          <cell r="E81" t="str">
            <v>WEBSTER</v>
          </cell>
        </row>
        <row r="82">
          <cell r="C82" t="str">
            <v>200-30</v>
          </cell>
          <cell r="D82">
            <v>950000</v>
          </cell>
          <cell r="E82" t="str">
            <v>WEBSTER</v>
          </cell>
        </row>
        <row r="83">
          <cell r="C83" t="str">
            <v>1859-30</v>
          </cell>
          <cell r="D83">
            <v>1820000</v>
          </cell>
          <cell r="E83" t="str">
            <v>ADANE</v>
          </cell>
        </row>
        <row r="84">
          <cell r="C84" t="str">
            <v>178-30</v>
          </cell>
          <cell r="D84">
            <v>2040000</v>
          </cell>
          <cell r="E84" t="str">
            <v>MOSES</v>
          </cell>
        </row>
        <row r="85">
          <cell r="C85" t="str">
            <v>190-30</v>
          </cell>
          <cell r="D85">
            <v>1280000</v>
          </cell>
          <cell r="E85" t="str">
            <v>BARTLETT</v>
          </cell>
        </row>
        <row r="86">
          <cell r="C86" t="str">
            <v>179-30</v>
          </cell>
          <cell r="D86">
            <v>1750000</v>
          </cell>
          <cell r="E86" t="str">
            <v>REBOLETTI</v>
          </cell>
        </row>
        <row r="87">
          <cell r="C87" t="str">
            <v>104-30</v>
          </cell>
          <cell r="D87">
            <v>1310000</v>
          </cell>
          <cell r="E87" t="str">
            <v>MALAVE</v>
          </cell>
        </row>
        <row r="88">
          <cell r="C88" t="str">
            <v>1846-30</v>
          </cell>
          <cell r="D88">
            <v>1830000</v>
          </cell>
          <cell r="E88" t="str">
            <v>YORK</v>
          </cell>
        </row>
        <row r="89">
          <cell r="C89" t="str">
            <v>119-30</v>
          </cell>
          <cell r="D89">
            <v>1260000</v>
          </cell>
          <cell r="E89" t="str">
            <v>ACKERMAN</v>
          </cell>
        </row>
        <row r="90">
          <cell r="C90" t="str">
            <v>102-31</v>
          </cell>
          <cell r="D90">
            <v>1460000</v>
          </cell>
          <cell r="E90" t="str">
            <v>NELSON</v>
          </cell>
        </row>
        <row r="91">
          <cell r="C91" t="str">
            <v>125-30</v>
          </cell>
          <cell r="D91">
            <v>1100000</v>
          </cell>
          <cell r="E91" t="str">
            <v>GEBRETEKLE</v>
          </cell>
        </row>
        <row r="92">
          <cell r="C92" t="str">
            <v>1907-30</v>
          </cell>
          <cell r="D92">
            <v>1740000</v>
          </cell>
          <cell r="E92" t="str">
            <v>STORY</v>
          </cell>
        </row>
        <row r="93">
          <cell r="C93" t="str">
            <v>1815-30</v>
          </cell>
          <cell r="D93">
            <v>540000</v>
          </cell>
          <cell r="E93" t="str">
            <v>MADLOM</v>
          </cell>
        </row>
        <row r="94">
          <cell r="C94" t="str">
            <v>239-30</v>
          </cell>
          <cell r="D94">
            <v>1300000</v>
          </cell>
          <cell r="E94" t="str">
            <v>LEVIN</v>
          </cell>
        </row>
        <row r="95">
          <cell r="C95" t="str">
            <v>139-30</v>
          </cell>
          <cell r="D95">
            <v>1100000</v>
          </cell>
          <cell r="E95" t="str">
            <v>GEBRETEKLE</v>
          </cell>
        </row>
        <row r="96">
          <cell r="C96" t="str">
            <v>1885-30</v>
          </cell>
          <cell r="D96">
            <v>1780000</v>
          </cell>
          <cell r="E96" t="str">
            <v>DE LA ROSA</v>
          </cell>
        </row>
        <row r="97">
          <cell r="C97" t="str">
            <v>1832-30</v>
          </cell>
          <cell r="D97">
            <v>750000</v>
          </cell>
          <cell r="E97" t="str">
            <v>NATION</v>
          </cell>
        </row>
        <row r="98">
          <cell r="C98" t="str">
            <v>1882-30</v>
          </cell>
          <cell r="D98">
            <v>1820000</v>
          </cell>
          <cell r="E98" t="str">
            <v>ADANE</v>
          </cell>
        </row>
        <row r="99">
          <cell r="C99" t="str">
            <v>154-30</v>
          </cell>
          <cell r="D99">
            <v>1100000</v>
          </cell>
          <cell r="E99" t="str">
            <v>GEBRETEKLE</v>
          </cell>
        </row>
        <row r="100">
          <cell r="C100" t="str">
            <v>1876-30</v>
          </cell>
          <cell r="D100">
            <v>1820000</v>
          </cell>
          <cell r="E100" t="str">
            <v>ADANE</v>
          </cell>
        </row>
        <row r="101">
          <cell r="C101" t="str">
            <v>1837-30</v>
          </cell>
          <cell r="D101">
            <v>1540000</v>
          </cell>
          <cell r="E101" t="str">
            <v>HELVIE</v>
          </cell>
        </row>
        <row r="102">
          <cell r="C102" t="str">
            <v>1872-30</v>
          </cell>
          <cell r="D102">
            <v>1780000</v>
          </cell>
          <cell r="E102" t="str">
            <v>DE LA ROSA</v>
          </cell>
        </row>
        <row r="103">
          <cell r="C103" t="str">
            <v>1839-30</v>
          </cell>
          <cell r="D103">
            <v>750000</v>
          </cell>
          <cell r="E103" t="str">
            <v>NATION</v>
          </cell>
        </row>
        <row r="104">
          <cell r="C104" t="str">
            <v>204-30</v>
          </cell>
          <cell r="D104">
            <v>1280000</v>
          </cell>
          <cell r="E104" t="str">
            <v>BARTLETT</v>
          </cell>
        </row>
        <row r="105">
          <cell r="C105" t="str">
            <v>171-30</v>
          </cell>
          <cell r="D105">
            <v>950000</v>
          </cell>
          <cell r="E105" t="str">
            <v>WEBSTER</v>
          </cell>
        </row>
        <row r="106">
          <cell r="C106" t="str">
            <v>182-30</v>
          </cell>
          <cell r="D106">
            <v>1770000</v>
          </cell>
          <cell r="E106" t="str">
            <v>BRUDER</v>
          </cell>
        </row>
        <row r="107">
          <cell r="C107" t="str">
            <v>1850-30</v>
          </cell>
          <cell r="D107">
            <v>750000</v>
          </cell>
          <cell r="E107" t="str">
            <v>NATION</v>
          </cell>
        </row>
        <row r="108">
          <cell r="C108" t="str">
            <v>1852-30</v>
          </cell>
          <cell r="D108">
            <v>1830000</v>
          </cell>
          <cell r="E108" t="str">
            <v>YORK</v>
          </cell>
        </row>
        <row r="109">
          <cell r="C109" t="str">
            <v>1851-30</v>
          </cell>
          <cell r="D109">
            <v>1740000</v>
          </cell>
          <cell r="E109" t="str">
            <v>STORY</v>
          </cell>
        </row>
        <row r="110">
          <cell r="C110" t="str">
            <v>1843-30</v>
          </cell>
          <cell r="D110">
            <v>1540000</v>
          </cell>
          <cell r="E110" t="str">
            <v>HELVIE</v>
          </cell>
        </row>
        <row r="111">
          <cell r="C111" t="str">
            <v>1855-30</v>
          </cell>
          <cell r="D111">
            <v>1780000</v>
          </cell>
          <cell r="E111" t="str">
            <v>DE LA ROSA</v>
          </cell>
        </row>
        <row r="112">
          <cell r="C112" t="str">
            <v>1841-30</v>
          </cell>
          <cell r="D112">
            <v>1830000</v>
          </cell>
          <cell r="E112" t="str">
            <v>YORK</v>
          </cell>
        </row>
        <row r="113">
          <cell r="C113" t="str">
            <v>1857-30</v>
          </cell>
          <cell r="D113">
            <v>1740000</v>
          </cell>
          <cell r="E113" t="str">
            <v>STORY</v>
          </cell>
        </row>
        <row r="114">
          <cell r="C114" t="str">
            <v>167-30</v>
          </cell>
          <cell r="D114">
            <v>1770000</v>
          </cell>
          <cell r="E114" t="str">
            <v>BRUDER</v>
          </cell>
        </row>
        <row r="115">
          <cell r="C115" t="str">
            <v>117-30</v>
          </cell>
          <cell r="D115">
            <v>1310000</v>
          </cell>
          <cell r="E115" t="str">
            <v>MALAVE</v>
          </cell>
        </row>
        <row r="116">
          <cell r="C116" t="str">
            <v>2002-30</v>
          </cell>
          <cell r="D116">
            <v>1780000</v>
          </cell>
          <cell r="E116" t="str">
            <v>DE LA ROSA</v>
          </cell>
        </row>
        <row r="117">
          <cell r="C117" t="str">
            <v>133-30</v>
          </cell>
          <cell r="D117">
            <v>1260000</v>
          </cell>
          <cell r="E117" t="str">
            <v>ACKERMAN</v>
          </cell>
        </row>
        <row r="118">
          <cell r="C118" t="str">
            <v>2002-30</v>
          </cell>
          <cell r="D118">
            <v>1780000</v>
          </cell>
          <cell r="E118" t="str">
            <v>DE LA ROSA</v>
          </cell>
        </row>
        <row r="119">
          <cell r="C119" t="str">
            <v>1824-30</v>
          </cell>
          <cell r="D119">
            <v>1540000</v>
          </cell>
          <cell r="E119" t="str">
            <v>HELVIE</v>
          </cell>
        </row>
        <row r="120">
          <cell r="C120" t="str">
            <v>1905-30</v>
          </cell>
          <cell r="D120">
            <v>2000000</v>
          </cell>
          <cell r="E120" t="str">
            <v>STAMBAUGH</v>
          </cell>
        </row>
        <row r="121">
          <cell r="C121" t="str">
            <v>151-30</v>
          </cell>
          <cell r="D121">
            <v>1460000</v>
          </cell>
          <cell r="E121" t="str">
            <v>NELSON</v>
          </cell>
        </row>
        <row r="122">
          <cell r="C122" t="str">
            <v>234-30</v>
          </cell>
          <cell r="D122">
            <v>1800000</v>
          </cell>
          <cell r="E122" t="str">
            <v>CHANDLER</v>
          </cell>
        </row>
        <row r="123">
          <cell r="C123" t="str">
            <v>1829-30</v>
          </cell>
          <cell r="D123">
            <v>1830000</v>
          </cell>
          <cell r="E123" t="str">
            <v>YORK</v>
          </cell>
        </row>
        <row r="124">
          <cell r="C124" t="str">
            <v>1900-30</v>
          </cell>
          <cell r="D124">
            <v>1820000</v>
          </cell>
          <cell r="E124" t="str">
            <v>ADANE</v>
          </cell>
        </row>
        <row r="125">
          <cell r="C125" t="str">
            <v>158-30</v>
          </cell>
          <cell r="D125">
            <v>1760000</v>
          </cell>
          <cell r="E125" t="str">
            <v>STRICKLAND</v>
          </cell>
        </row>
        <row r="126">
          <cell r="C126" t="str">
            <v>231-30</v>
          </cell>
          <cell r="D126">
            <v>1300000</v>
          </cell>
          <cell r="E126" t="str">
            <v>LEVIN</v>
          </cell>
        </row>
        <row r="127">
          <cell r="C127" t="str">
            <v>160-30</v>
          </cell>
          <cell r="D127">
            <v>880000</v>
          </cell>
          <cell r="E127" t="str">
            <v>STEWART</v>
          </cell>
        </row>
        <row r="128">
          <cell r="C128" t="str">
            <v>229-30</v>
          </cell>
          <cell r="D128">
            <v>1480000</v>
          </cell>
          <cell r="E128" t="str">
            <v>STURGEON</v>
          </cell>
        </row>
        <row r="129">
          <cell r="C129" t="str">
            <v>171-30</v>
          </cell>
          <cell r="D129">
            <v>950000</v>
          </cell>
          <cell r="E129" t="str">
            <v>WEBSTER</v>
          </cell>
        </row>
        <row r="130">
          <cell r="C130" t="str">
            <v>1886-30</v>
          </cell>
          <cell r="D130">
            <v>2000000</v>
          </cell>
          <cell r="E130" t="str">
            <v>STAMBAUGH</v>
          </cell>
        </row>
        <row r="131">
          <cell r="C131" t="str">
            <v>1858-30</v>
          </cell>
          <cell r="D131">
            <v>1820000</v>
          </cell>
          <cell r="E131" t="str">
            <v>ADANE</v>
          </cell>
        </row>
        <row r="132">
          <cell r="C132" t="str">
            <v>1849-30</v>
          </cell>
          <cell r="D132">
            <v>1780000</v>
          </cell>
          <cell r="E132" t="str">
            <v>DE LA ROSA</v>
          </cell>
        </row>
        <row r="133">
          <cell r="C133" t="str">
            <v>195-30</v>
          </cell>
          <cell r="D133">
            <v>1770000</v>
          </cell>
          <cell r="E133" t="str">
            <v>BRUDER</v>
          </cell>
        </row>
        <row r="134">
          <cell r="C134" t="str">
            <v>172-30</v>
          </cell>
          <cell r="D134">
            <v>950000</v>
          </cell>
          <cell r="E134" t="str">
            <v>WEBSTER</v>
          </cell>
        </row>
        <row r="135">
          <cell r="C135" t="str">
            <v>315-29</v>
          </cell>
          <cell r="D135">
            <v>1300000</v>
          </cell>
          <cell r="E135" t="str">
            <v>LEVIN</v>
          </cell>
        </row>
        <row r="136">
          <cell r="C136" t="str">
            <v>162-30</v>
          </cell>
          <cell r="D136">
            <v>1280000</v>
          </cell>
          <cell r="E136" t="str">
            <v>BARTLETT</v>
          </cell>
        </row>
        <row r="137">
          <cell r="C137" t="str">
            <v>102-30</v>
          </cell>
          <cell r="D137">
            <v>2010000</v>
          </cell>
          <cell r="E137" t="str">
            <v>MAELZER</v>
          </cell>
        </row>
        <row r="138">
          <cell r="C138" t="str">
            <v>1827-30</v>
          </cell>
          <cell r="D138">
            <v>750000</v>
          </cell>
          <cell r="E138" t="str">
            <v>NATION</v>
          </cell>
        </row>
        <row r="139">
          <cell r="C139" t="str">
            <v>121-30</v>
          </cell>
          <cell r="D139">
            <v>1360000</v>
          </cell>
          <cell r="E139" t="str">
            <v>SANTIZO</v>
          </cell>
        </row>
        <row r="140">
          <cell r="C140" t="str">
            <v>1825-30</v>
          </cell>
          <cell r="D140">
            <v>1540000</v>
          </cell>
          <cell r="E140" t="str">
            <v>HELVIE</v>
          </cell>
        </row>
        <row r="141">
          <cell r="C141" t="str">
            <v>128-30</v>
          </cell>
          <cell r="D141">
            <v>2010000</v>
          </cell>
          <cell r="E141" t="str">
            <v>MAELZER</v>
          </cell>
        </row>
        <row r="142">
          <cell r="C142" t="str">
            <v>140-30</v>
          </cell>
          <cell r="D142">
            <v>1100000</v>
          </cell>
          <cell r="E142" t="str">
            <v>GEBRETEKLE</v>
          </cell>
        </row>
        <row r="143">
          <cell r="C143" t="str">
            <v>136-30</v>
          </cell>
          <cell r="D143">
            <v>1360000</v>
          </cell>
          <cell r="E143" t="str">
            <v>SANTIZO</v>
          </cell>
        </row>
        <row r="144">
          <cell r="C144" t="str">
            <v>113-30</v>
          </cell>
          <cell r="D144">
            <v>2010000</v>
          </cell>
          <cell r="E144" t="str">
            <v>MAELZER</v>
          </cell>
        </row>
        <row r="145">
          <cell r="C145" t="str">
            <v>145-30</v>
          </cell>
          <cell r="D145">
            <v>1310000</v>
          </cell>
          <cell r="E145" t="str">
            <v>MALAVE</v>
          </cell>
        </row>
        <row r="146">
          <cell r="C146" t="str">
            <v>314-30</v>
          </cell>
          <cell r="D146">
            <v>1760000</v>
          </cell>
          <cell r="E146" t="str">
            <v>STRICKLAND</v>
          </cell>
        </row>
        <row r="147">
          <cell r="C147" t="str">
            <v>161-30</v>
          </cell>
          <cell r="D147">
            <v>1280000</v>
          </cell>
          <cell r="E147" t="str">
            <v>BARTLETT</v>
          </cell>
        </row>
        <row r="148">
          <cell r="C148" t="str">
            <v>1822-30</v>
          </cell>
          <cell r="D148">
            <v>1830000</v>
          </cell>
          <cell r="E148" t="str">
            <v>YORK</v>
          </cell>
        </row>
        <row r="149">
          <cell r="C149" t="str">
            <v>156-30</v>
          </cell>
          <cell r="D149">
            <v>1520000</v>
          </cell>
          <cell r="E149" t="str">
            <v>MAYBERRY</v>
          </cell>
        </row>
        <row r="150">
          <cell r="C150" t="str">
            <v>1819-30</v>
          </cell>
          <cell r="D150">
            <v>1540000</v>
          </cell>
          <cell r="E150" t="str">
            <v>HELVIE</v>
          </cell>
        </row>
        <row r="151">
          <cell r="C151" t="str">
            <v>165-30</v>
          </cell>
          <cell r="D151">
            <v>1750000</v>
          </cell>
          <cell r="E151" t="str">
            <v>REBOLETTI</v>
          </cell>
        </row>
        <row r="152">
          <cell r="C152" t="str">
            <v>1810-30</v>
          </cell>
          <cell r="D152">
            <v>1830000</v>
          </cell>
          <cell r="E152" t="str">
            <v>YORK</v>
          </cell>
        </row>
        <row r="153">
          <cell r="C153" t="str">
            <v>174-30</v>
          </cell>
          <cell r="D153">
            <v>880000</v>
          </cell>
          <cell r="E153" t="str">
            <v>STEWART</v>
          </cell>
        </row>
        <row r="154">
          <cell r="C154" t="str">
            <v>116-30</v>
          </cell>
          <cell r="D154">
            <v>1760000</v>
          </cell>
          <cell r="E154" t="str">
            <v>STRICKLAND</v>
          </cell>
        </row>
        <row r="155">
          <cell r="C155" t="str">
            <v>203-30</v>
          </cell>
          <cell r="D155">
            <v>1280000</v>
          </cell>
          <cell r="E155" t="str">
            <v>BARTLETT</v>
          </cell>
        </row>
        <row r="156">
          <cell r="C156" t="str">
            <v>1801-30</v>
          </cell>
          <cell r="D156">
            <v>1540000</v>
          </cell>
          <cell r="E156" t="str">
            <v>HELVIE</v>
          </cell>
        </row>
        <row r="157">
          <cell r="C157" t="str">
            <v>1875-30</v>
          </cell>
          <cell r="D157">
            <v>2000000</v>
          </cell>
          <cell r="E157" t="str">
            <v>STAMBAUGH</v>
          </cell>
        </row>
        <row r="158">
          <cell r="C158" t="str">
            <v>108-30</v>
          </cell>
          <cell r="D158">
            <v>1360000</v>
          </cell>
          <cell r="E158" t="str">
            <v>SANTIZO</v>
          </cell>
        </row>
        <row r="159">
          <cell r="C159" t="str">
            <v>1888-30</v>
          </cell>
          <cell r="D159">
            <v>1820000</v>
          </cell>
          <cell r="E159" t="str">
            <v>ADANE</v>
          </cell>
        </row>
        <row r="160">
          <cell r="C160" t="str">
            <v>313-29</v>
          </cell>
          <cell r="D160">
            <v>1480000</v>
          </cell>
          <cell r="E160" t="str">
            <v>STURGEON</v>
          </cell>
        </row>
        <row r="161">
          <cell r="C161" t="str">
            <v>1904-30</v>
          </cell>
          <cell r="D161">
            <v>2000000</v>
          </cell>
          <cell r="E161" t="str">
            <v>STAMBAUGH</v>
          </cell>
        </row>
        <row r="162">
          <cell r="C162" t="str">
            <v>148-30</v>
          </cell>
          <cell r="D162">
            <v>1260000</v>
          </cell>
          <cell r="E162" t="str">
            <v>ACKERMAN</v>
          </cell>
        </row>
        <row r="163">
          <cell r="C163" t="str">
            <v>1904-30</v>
          </cell>
          <cell r="D163">
            <v>2000000</v>
          </cell>
          <cell r="E163" t="str">
            <v>STAMBAUGH</v>
          </cell>
        </row>
        <row r="164">
          <cell r="C164" t="str">
            <v>1840-30</v>
          </cell>
          <cell r="D164">
            <v>1830000</v>
          </cell>
          <cell r="E164" t="str">
            <v>YORK</v>
          </cell>
        </row>
        <row r="165">
          <cell r="C165" t="str">
            <v>240-30</v>
          </cell>
          <cell r="D165">
            <v>2030000</v>
          </cell>
          <cell r="E165" t="str">
            <v>KILLION</v>
          </cell>
        </row>
        <row r="166">
          <cell r="C166" t="str">
            <v>163-30</v>
          </cell>
          <cell r="D166">
            <v>2040000</v>
          </cell>
          <cell r="E166" t="str">
            <v>MOSES</v>
          </cell>
        </row>
        <row r="167">
          <cell r="C167" t="str">
            <v>103-31</v>
          </cell>
          <cell r="D167">
            <v>1260000</v>
          </cell>
          <cell r="E167" t="str">
            <v>ACKERMAN</v>
          </cell>
        </row>
        <row r="168">
          <cell r="C168" t="str">
            <v>137-30</v>
          </cell>
          <cell r="D168">
            <v>1460000</v>
          </cell>
          <cell r="E168" t="str">
            <v>NELSON</v>
          </cell>
        </row>
        <row r="169">
          <cell r="C169" t="str">
            <v>1863-30</v>
          </cell>
          <cell r="D169">
            <v>1740000</v>
          </cell>
          <cell r="E169" t="str">
            <v>STORY</v>
          </cell>
        </row>
        <row r="170">
          <cell r="C170" t="str">
            <v>124-30</v>
          </cell>
          <cell r="D170">
            <v>1460000</v>
          </cell>
          <cell r="E170" t="str">
            <v>NELSON</v>
          </cell>
        </row>
        <row r="171">
          <cell r="C171" t="str">
            <v>205-30</v>
          </cell>
          <cell r="D171">
            <v>2040000</v>
          </cell>
          <cell r="E171" t="str">
            <v>MOSES</v>
          </cell>
        </row>
        <row r="172">
          <cell r="C172" t="str">
            <v>1800-30</v>
          </cell>
          <cell r="D172">
            <v>1540000</v>
          </cell>
          <cell r="E172" t="str">
            <v>HELVIE</v>
          </cell>
        </row>
        <row r="173">
          <cell r="C173" t="str">
            <v>207-30</v>
          </cell>
          <cell r="D173">
            <v>1750000</v>
          </cell>
          <cell r="E173" t="str">
            <v>REBOLETTI</v>
          </cell>
        </row>
        <row r="174">
          <cell r="C174" t="str">
            <v>109-30</v>
          </cell>
          <cell r="D174">
            <v>1460000</v>
          </cell>
          <cell r="E174" t="str">
            <v>NELSON</v>
          </cell>
        </row>
        <row r="175">
          <cell r="C175" t="str">
            <v>212-30</v>
          </cell>
          <cell r="D175">
            <v>1520000</v>
          </cell>
          <cell r="E175" t="str">
            <v>MAYBERRY</v>
          </cell>
        </row>
        <row r="176">
          <cell r="C176" t="str">
            <v>246-29</v>
          </cell>
          <cell r="D176">
            <v>1300000</v>
          </cell>
          <cell r="E176" t="str">
            <v>LEVIN</v>
          </cell>
        </row>
        <row r="177">
          <cell r="C177" t="str">
            <v>223-30</v>
          </cell>
          <cell r="D177">
            <v>1300000</v>
          </cell>
          <cell r="E177" t="str">
            <v>LEVIN</v>
          </cell>
        </row>
        <row r="178">
          <cell r="C178" t="str">
            <v>101-31</v>
          </cell>
          <cell r="D178">
            <v>1460000</v>
          </cell>
          <cell r="E178" t="str">
            <v>NELSON</v>
          </cell>
        </row>
        <row r="179">
          <cell r="C179" t="str">
            <v>1896-30</v>
          </cell>
          <cell r="D179">
            <v>1780000</v>
          </cell>
          <cell r="E179" t="str">
            <v>DE LA ROSA</v>
          </cell>
        </row>
        <row r="180">
          <cell r="C180" t="str">
            <v>311-30</v>
          </cell>
          <cell r="D180">
            <v>1800000</v>
          </cell>
          <cell r="E180" t="str">
            <v>CHANDLER</v>
          </cell>
        </row>
        <row r="181">
          <cell r="C181" t="str">
            <v>1908-30</v>
          </cell>
          <cell r="D181">
            <v>1780000</v>
          </cell>
          <cell r="E181" t="str">
            <v>DE LA ROSA</v>
          </cell>
        </row>
        <row r="182">
          <cell r="C182" t="str">
            <v>242-30</v>
          </cell>
          <cell r="D182">
            <v>1800000</v>
          </cell>
          <cell r="E182" t="str">
            <v>CHANDLER</v>
          </cell>
        </row>
        <row r="183">
          <cell r="C183" t="str">
            <v>236-30</v>
          </cell>
          <cell r="D183">
            <v>1480000</v>
          </cell>
          <cell r="E183" t="str">
            <v>STURGEON</v>
          </cell>
        </row>
        <row r="184">
          <cell r="C184" t="str">
            <v>1890-30</v>
          </cell>
          <cell r="D184">
            <v>1780000</v>
          </cell>
          <cell r="E184" t="str">
            <v>DE LA ROSA</v>
          </cell>
        </row>
        <row r="185">
          <cell r="C185" t="str">
            <v>245-30</v>
          </cell>
          <cell r="D185">
            <v>1480000</v>
          </cell>
          <cell r="E185" t="str">
            <v>STURGEON</v>
          </cell>
        </row>
        <row r="186">
          <cell r="C186" t="str">
            <v>307-30</v>
          </cell>
          <cell r="D186">
            <v>950000</v>
          </cell>
          <cell r="E186" t="str">
            <v>WEBSTER</v>
          </cell>
        </row>
        <row r="187">
          <cell r="C187" t="str">
            <v>199-30</v>
          </cell>
          <cell r="D187">
            <v>950000</v>
          </cell>
          <cell r="E187" t="str">
            <v>WEBSTER</v>
          </cell>
        </row>
        <row r="188">
          <cell r="C188" t="str">
            <v>305-30</v>
          </cell>
          <cell r="D188">
            <v>1520000</v>
          </cell>
          <cell r="E188" t="str">
            <v>MAYBERRY</v>
          </cell>
        </row>
        <row r="189">
          <cell r="C189" t="str">
            <v>194-30</v>
          </cell>
          <cell r="D189">
            <v>1750000</v>
          </cell>
          <cell r="E189" t="str">
            <v>REBOLETTI</v>
          </cell>
        </row>
        <row r="190">
          <cell r="C190" t="str">
            <v>1879-30</v>
          </cell>
          <cell r="D190">
            <v>1740000</v>
          </cell>
          <cell r="E190" t="str">
            <v>STORY</v>
          </cell>
        </row>
        <row r="191">
          <cell r="C191" t="str">
            <v>206-30</v>
          </cell>
          <cell r="D191">
            <v>2040000</v>
          </cell>
          <cell r="E191" t="str">
            <v>MOSES</v>
          </cell>
        </row>
        <row r="192">
          <cell r="C192" t="str">
            <v>191-30</v>
          </cell>
          <cell r="D192">
            <v>2040000</v>
          </cell>
          <cell r="E192" t="str">
            <v>MOSES</v>
          </cell>
        </row>
        <row r="193">
          <cell r="C193" t="str">
            <v>210-30</v>
          </cell>
          <cell r="D193">
            <v>1770000</v>
          </cell>
          <cell r="E193" t="str">
            <v>BRUDER</v>
          </cell>
        </row>
        <row r="194">
          <cell r="C194" t="str">
            <v>1856-30</v>
          </cell>
          <cell r="D194">
            <v>1740000</v>
          </cell>
          <cell r="E194" t="str">
            <v>STORY</v>
          </cell>
        </row>
        <row r="195">
          <cell r="C195" t="str">
            <v>222-30</v>
          </cell>
          <cell r="D195">
            <v>1300000</v>
          </cell>
          <cell r="E195" t="str">
            <v>LEVIN</v>
          </cell>
        </row>
        <row r="196">
          <cell r="C196" t="str">
            <v>180-30</v>
          </cell>
          <cell r="D196">
            <v>1750000</v>
          </cell>
          <cell r="E196" t="str">
            <v>REBOLETTI</v>
          </cell>
        </row>
        <row r="197">
          <cell r="C197" t="str">
            <v>224-30</v>
          </cell>
          <cell r="D197">
            <v>2030000</v>
          </cell>
          <cell r="E197" t="str">
            <v>KILLION</v>
          </cell>
        </row>
        <row r="198">
          <cell r="C198" t="str">
            <v>168-30</v>
          </cell>
          <cell r="D198">
            <v>1770000</v>
          </cell>
          <cell r="E198" t="str">
            <v>BRUDER</v>
          </cell>
        </row>
        <row r="199">
          <cell r="C199" t="str">
            <v>233-30</v>
          </cell>
          <cell r="D199">
            <v>2030000</v>
          </cell>
          <cell r="E199" t="str">
            <v>KILLION</v>
          </cell>
        </row>
        <row r="200">
          <cell r="C200" t="str">
            <v>1910-30</v>
          </cell>
          <cell r="D200">
            <v>2000000</v>
          </cell>
          <cell r="E200" t="str">
            <v>STAMBAUGH</v>
          </cell>
        </row>
        <row r="201">
          <cell r="C201" t="str">
            <v>230-30</v>
          </cell>
          <cell r="D201">
            <v>1300000</v>
          </cell>
          <cell r="E201" t="str">
            <v>LEVIN</v>
          </cell>
        </row>
        <row r="202">
          <cell r="C202" t="str">
            <v>1893-30</v>
          </cell>
          <cell r="D202">
            <v>2000000</v>
          </cell>
          <cell r="E202" t="str">
            <v>STAMBAUGH</v>
          </cell>
        </row>
        <row r="203">
          <cell r="C203" t="str">
            <v>1910-30</v>
          </cell>
          <cell r="D203">
            <v>2000000</v>
          </cell>
          <cell r="E203" t="str">
            <v>STAMBAUGH</v>
          </cell>
        </row>
        <row r="204">
          <cell r="C204" t="str">
            <v>1891-30</v>
          </cell>
          <cell r="D204">
            <v>1780000</v>
          </cell>
          <cell r="E204" t="str">
            <v>DE LA ROSA</v>
          </cell>
        </row>
        <row r="205">
          <cell r="C205" t="str">
            <v>1811-30</v>
          </cell>
          <cell r="D205">
            <v>1830000</v>
          </cell>
          <cell r="E205" t="str">
            <v>YORK</v>
          </cell>
        </row>
        <row r="206">
          <cell r="C206" t="str">
            <v>1881-30</v>
          </cell>
          <cell r="D206">
            <v>2000000</v>
          </cell>
          <cell r="E206" t="str">
            <v>STAMBAUGH</v>
          </cell>
        </row>
        <row r="207">
          <cell r="C207" t="str">
            <v>1823-30</v>
          </cell>
          <cell r="D207">
            <v>1830000</v>
          </cell>
          <cell r="E207" t="str">
            <v>YORK</v>
          </cell>
        </row>
        <row r="208">
          <cell r="C208" t="str">
            <v>219-30</v>
          </cell>
          <cell r="D208">
            <v>1480000</v>
          </cell>
          <cell r="E208" t="str">
            <v>STURGEON</v>
          </cell>
        </row>
        <row r="209">
          <cell r="C209" t="str">
            <v>155-30</v>
          </cell>
          <cell r="D209">
            <v>1520000</v>
          </cell>
          <cell r="E209" t="str">
            <v>MAYBERRY</v>
          </cell>
        </row>
        <row r="210">
          <cell r="C210" t="str">
            <v>1877-30</v>
          </cell>
          <cell r="D210">
            <v>1820000</v>
          </cell>
          <cell r="E210" t="str">
            <v>ADANE</v>
          </cell>
        </row>
        <row r="211">
          <cell r="C211" t="str">
            <v>1838-30</v>
          </cell>
          <cell r="D211">
            <v>750000</v>
          </cell>
          <cell r="E211" t="str">
            <v>NATION</v>
          </cell>
        </row>
        <row r="212">
          <cell r="C212" t="str">
            <v>1878-30</v>
          </cell>
          <cell r="D212">
            <v>1780000</v>
          </cell>
          <cell r="E212" t="str">
            <v>DE LA ROSA</v>
          </cell>
        </row>
        <row r="213">
          <cell r="C213" t="str">
            <v>170-30</v>
          </cell>
          <cell r="D213">
            <v>1520000</v>
          </cell>
          <cell r="E213" t="str">
            <v>MAYBERRY</v>
          </cell>
        </row>
        <row r="214">
          <cell r="C214" t="str">
            <v>215-30</v>
          </cell>
          <cell r="D214">
            <v>950000</v>
          </cell>
          <cell r="E214" t="str">
            <v>WEBSTER</v>
          </cell>
        </row>
        <row r="215">
          <cell r="C215" t="str">
            <v>189-30</v>
          </cell>
          <cell r="D215">
            <v>1280000</v>
          </cell>
          <cell r="E215" t="str">
            <v>BARTLETT</v>
          </cell>
        </row>
        <row r="216">
          <cell r="C216" t="str">
            <v>186-30</v>
          </cell>
          <cell r="D216">
            <v>950000</v>
          </cell>
          <cell r="E216" t="str">
            <v>WEBSTER</v>
          </cell>
        </row>
        <row r="217">
          <cell r="C217" t="str">
            <v>110-30</v>
          </cell>
          <cell r="D217">
            <v>1460000</v>
          </cell>
          <cell r="E217" t="str">
            <v>NELSON</v>
          </cell>
        </row>
        <row r="218">
          <cell r="C218" t="str">
            <v>177-30</v>
          </cell>
          <cell r="D218">
            <v>2040000</v>
          </cell>
          <cell r="E218" t="str">
            <v>MOSES</v>
          </cell>
        </row>
        <row r="219">
          <cell r="C219" t="str">
            <v>1804-30</v>
          </cell>
          <cell r="D219">
            <v>1830000</v>
          </cell>
          <cell r="E219" t="str">
            <v>YORK</v>
          </cell>
        </row>
        <row r="220">
          <cell r="C220" t="str">
            <v>164-30</v>
          </cell>
          <cell r="D220">
            <v>2040000</v>
          </cell>
          <cell r="E220" t="str">
            <v>MOSES</v>
          </cell>
        </row>
        <row r="221">
          <cell r="C221" t="str">
            <v>145-30</v>
          </cell>
          <cell r="D221">
            <v>1310000</v>
          </cell>
          <cell r="E221" t="str">
            <v>MALAVE</v>
          </cell>
        </row>
        <row r="222">
          <cell r="C222" t="str">
            <v>164-30</v>
          </cell>
          <cell r="D222">
            <v>2040000</v>
          </cell>
          <cell r="E222" t="str">
            <v>MOSES</v>
          </cell>
        </row>
        <row r="223">
          <cell r="C223" t="str">
            <v>159-30</v>
          </cell>
          <cell r="D223">
            <v>880000</v>
          </cell>
          <cell r="E223" t="str">
            <v>STEWART</v>
          </cell>
        </row>
        <row r="224">
          <cell r="C224" t="str">
            <v>1909-30</v>
          </cell>
          <cell r="D224">
            <v>1780000</v>
          </cell>
          <cell r="E224" t="str">
            <v>DE LA ROSA</v>
          </cell>
        </row>
        <row r="225">
          <cell r="C225" t="str">
            <v>1842-30</v>
          </cell>
          <cell r="D225">
            <v>1540000</v>
          </cell>
          <cell r="E225" t="str">
            <v>HELVIE</v>
          </cell>
        </row>
        <row r="226">
          <cell r="C226" t="str">
            <v>1906-30</v>
          </cell>
          <cell r="D226">
            <v>1740000</v>
          </cell>
          <cell r="E226" t="str">
            <v>STORY</v>
          </cell>
        </row>
        <row r="227">
          <cell r="C227" t="str">
            <v>106-30</v>
          </cell>
          <cell r="D227">
            <v>1260000</v>
          </cell>
          <cell r="E227" t="str">
            <v>ACKERMAN</v>
          </cell>
        </row>
        <row r="228">
          <cell r="C228" t="str">
            <v>1899-30</v>
          </cell>
          <cell r="D228">
            <v>2000000</v>
          </cell>
          <cell r="E228" t="str">
            <v>STAMBAUGH</v>
          </cell>
        </row>
        <row r="229">
          <cell r="C229" t="str">
            <v>129-30</v>
          </cell>
          <cell r="D229">
            <v>1760000</v>
          </cell>
          <cell r="E229" t="str">
            <v>STRICKLAND</v>
          </cell>
        </row>
        <row r="230">
          <cell r="C230" t="str">
            <v>1889-30</v>
          </cell>
          <cell r="D230">
            <v>1820000</v>
          </cell>
          <cell r="E230" t="str">
            <v>ADANE</v>
          </cell>
        </row>
        <row r="231">
          <cell r="C231" t="str">
            <v>1831-30</v>
          </cell>
          <cell r="D231">
            <v>1540000</v>
          </cell>
          <cell r="E231" t="str">
            <v>HELVIE</v>
          </cell>
        </row>
        <row r="232">
          <cell r="C232" t="str">
            <v>1884-30</v>
          </cell>
          <cell r="D232">
            <v>1740000</v>
          </cell>
          <cell r="E232" t="str">
            <v>STORY</v>
          </cell>
        </row>
        <row r="233">
          <cell r="C233" t="str">
            <v>163-30</v>
          </cell>
          <cell r="D233">
            <v>2040000</v>
          </cell>
          <cell r="E233" t="str">
            <v>MOSES</v>
          </cell>
        </row>
        <row r="234">
          <cell r="C234" t="str">
            <v>217-30</v>
          </cell>
          <cell r="D234">
            <v>1800000</v>
          </cell>
          <cell r="E234" t="str">
            <v>CHANDLER</v>
          </cell>
        </row>
        <row r="235">
          <cell r="C235" t="str">
            <v>101-30</v>
          </cell>
          <cell r="D235">
            <v>2010000</v>
          </cell>
          <cell r="E235" t="str">
            <v>MAELZER</v>
          </cell>
        </row>
        <row r="236">
          <cell r="C236" t="str">
            <v>1873-30</v>
          </cell>
          <cell r="D236">
            <v>1780000</v>
          </cell>
          <cell r="E236" t="str">
            <v>DE LA ROSA</v>
          </cell>
        </row>
        <row r="237">
          <cell r="C237" t="str">
            <v>103-30</v>
          </cell>
          <cell r="D237">
            <v>1310000</v>
          </cell>
          <cell r="E237" t="str">
            <v>MALAVE</v>
          </cell>
        </row>
        <row r="238">
          <cell r="C238" t="str">
            <v>1874-30</v>
          </cell>
          <cell r="D238">
            <v>2000000</v>
          </cell>
          <cell r="E238" t="str">
            <v>STAMBAUGH</v>
          </cell>
        </row>
        <row r="239">
          <cell r="C239" t="str">
            <v>104-30</v>
          </cell>
          <cell r="D239">
            <v>1310000</v>
          </cell>
          <cell r="E239" t="str">
            <v>MALAVE</v>
          </cell>
        </row>
        <row r="240">
          <cell r="C240" t="str">
            <v>198-30</v>
          </cell>
          <cell r="D240">
            <v>1520000</v>
          </cell>
          <cell r="E240" t="str">
            <v>MAYBERRY</v>
          </cell>
        </row>
        <row r="241">
          <cell r="C241" t="str">
            <v>2001-30</v>
          </cell>
          <cell r="D241">
            <v>1540000</v>
          </cell>
          <cell r="E241" t="str">
            <v>HELVIE</v>
          </cell>
        </row>
        <row r="242">
          <cell r="C242" t="str">
            <v>201-30</v>
          </cell>
          <cell r="D242">
            <v>880000</v>
          </cell>
          <cell r="E242" t="str">
            <v>STEWART</v>
          </cell>
        </row>
        <row r="243">
          <cell r="C243" t="str">
            <v>2003-30</v>
          </cell>
          <cell r="D243">
            <v>540000</v>
          </cell>
          <cell r="E243" t="str">
            <v>MADLOM</v>
          </cell>
        </row>
        <row r="244">
          <cell r="C244" t="str">
            <v>197-30</v>
          </cell>
          <cell r="D244">
            <v>1520000</v>
          </cell>
          <cell r="E244" t="str">
            <v>MAYBERRY</v>
          </cell>
        </row>
        <row r="245">
          <cell r="C245" t="str">
            <v>114-30</v>
          </cell>
          <cell r="D245">
            <v>2010000</v>
          </cell>
          <cell r="E245" t="str">
            <v>MAELZER</v>
          </cell>
        </row>
        <row r="246">
          <cell r="C246" t="str">
            <v>193-30</v>
          </cell>
          <cell r="D246">
            <v>1750000</v>
          </cell>
          <cell r="E246" t="str">
            <v>REBOLETTI</v>
          </cell>
        </row>
        <row r="247">
          <cell r="C247" t="str">
            <v>127-30</v>
          </cell>
          <cell r="D247">
            <v>2010000</v>
          </cell>
          <cell r="E247" t="str">
            <v>MAELZER</v>
          </cell>
        </row>
        <row r="248">
          <cell r="C248" t="str">
            <v>176-30</v>
          </cell>
          <cell r="D248">
            <v>1280000</v>
          </cell>
          <cell r="E248" t="str">
            <v>BARTLETT</v>
          </cell>
        </row>
        <row r="249">
          <cell r="C249" t="str">
            <v>1812-30</v>
          </cell>
          <cell r="D249">
            <v>1540000</v>
          </cell>
          <cell r="E249" t="str">
            <v>HELVIE</v>
          </cell>
        </row>
        <row r="250">
          <cell r="C250" t="str">
            <v>173-30</v>
          </cell>
          <cell r="D250">
            <v>880000</v>
          </cell>
          <cell r="E250" t="str">
            <v>STEWART</v>
          </cell>
        </row>
        <row r="251">
          <cell r="C251" t="str">
            <v>131-30</v>
          </cell>
          <cell r="D251">
            <v>1310000</v>
          </cell>
          <cell r="E251" t="str">
            <v>MALAVE</v>
          </cell>
        </row>
        <row r="252">
          <cell r="C252" t="str">
            <v>1836-30</v>
          </cell>
          <cell r="D252">
            <v>1540000</v>
          </cell>
          <cell r="E252" t="str">
            <v>HELVIE</v>
          </cell>
        </row>
        <row r="253">
          <cell r="C253" t="str">
            <v>134-30</v>
          </cell>
          <cell r="D253">
            <v>1260000</v>
          </cell>
          <cell r="E253" t="str">
            <v>ACKERMAN</v>
          </cell>
        </row>
        <row r="254">
          <cell r="C254" t="str">
            <v>152-30</v>
          </cell>
          <cell r="D254">
            <v>1460000</v>
          </cell>
          <cell r="E254" t="str">
            <v>NELSON</v>
          </cell>
        </row>
        <row r="255">
          <cell r="C255" t="str">
            <v>166-30</v>
          </cell>
          <cell r="D255">
            <v>1750000</v>
          </cell>
          <cell r="E255" t="str">
            <v>REBOLETTI</v>
          </cell>
        </row>
        <row r="256">
          <cell r="C256" t="str">
            <v>142-30</v>
          </cell>
          <cell r="D256">
            <v>2010000</v>
          </cell>
          <cell r="E256" t="str">
            <v>MAELZER</v>
          </cell>
        </row>
        <row r="257">
          <cell r="C257" t="str">
            <v>181-30</v>
          </cell>
          <cell r="D257">
            <v>1770000</v>
          </cell>
          <cell r="E257" t="str">
            <v>BRUDER</v>
          </cell>
        </row>
        <row r="258">
          <cell r="C258" t="str">
            <v>1814-30</v>
          </cell>
          <cell r="D258">
            <v>540000</v>
          </cell>
          <cell r="E258" t="str">
            <v>MADLOM</v>
          </cell>
        </row>
        <row r="259">
          <cell r="C259" t="str">
            <v>1857-30</v>
          </cell>
          <cell r="D259">
            <v>1740000</v>
          </cell>
          <cell r="E259" t="str">
            <v>STORY</v>
          </cell>
        </row>
        <row r="260">
          <cell r="C260" t="str">
            <v>118-30</v>
          </cell>
          <cell r="D260">
            <v>1310000</v>
          </cell>
          <cell r="E260" t="str">
            <v>MALAVE</v>
          </cell>
        </row>
        <row r="261">
          <cell r="C261" t="str">
            <v>1870-30</v>
          </cell>
          <cell r="D261">
            <v>1820000</v>
          </cell>
          <cell r="E261" t="str">
            <v>ADANE</v>
          </cell>
        </row>
        <row r="262">
          <cell r="C262" t="str">
            <v>2001-30</v>
          </cell>
          <cell r="D262">
            <v>1540000</v>
          </cell>
          <cell r="E262" t="str">
            <v>HELVIE</v>
          </cell>
        </row>
        <row r="263">
          <cell r="C263" t="str">
            <v>1871-30</v>
          </cell>
          <cell r="D263">
            <v>1820000</v>
          </cell>
          <cell r="E263" t="str">
            <v>ADANE</v>
          </cell>
        </row>
        <row r="264">
          <cell r="C264" t="str">
            <v>107-30</v>
          </cell>
          <cell r="D264">
            <v>1360000</v>
          </cell>
          <cell r="E264" t="str">
            <v>SANTIZO</v>
          </cell>
        </row>
        <row r="265">
          <cell r="C265" t="str">
            <v>1860-30</v>
          </cell>
          <cell r="D265">
            <v>1780000</v>
          </cell>
          <cell r="E265" t="str">
            <v>DE LA ROSA</v>
          </cell>
        </row>
        <row r="266">
          <cell r="C266" t="str">
            <v>103-30</v>
          </cell>
          <cell r="D266">
            <v>1310000</v>
          </cell>
          <cell r="E266" t="str">
            <v>MALAVE</v>
          </cell>
        </row>
        <row r="267">
          <cell r="C267" t="str">
            <v>1862-30</v>
          </cell>
          <cell r="D267">
            <v>1740000</v>
          </cell>
          <cell r="E267" t="str">
            <v>STORY</v>
          </cell>
        </row>
        <row r="268">
          <cell r="C268" t="str">
            <v>1833-30</v>
          </cell>
          <cell r="D268">
            <v>750000</v>
          </cell>
          <cell r="E268" t="str">
            <v>NATION</v>
          </cell>
        </row>
        <row r="269">
          <cell r="C269" t="str">
            <v>202-30</v>
          </cell>
          <cell r="D269">
            <v>880000</v>
          </cell>
          <cell r="E269" t="str">
            <v>STEWART</v>
          </cell>
        </row>
        <row r="270">
          <cell r="C270" t="str">
            <v>1834-30</v>
          </cell>
          <cell r="D270">
            <v>1830000</v>
          </cell>
          <cell r="E270" t="str">
            <v>YORK</v>
          </cell>
        </row>
        <row r="271">
          <cell r="C271" t="str">
            <v>208-30</v>
          </cell>
          <cell r="D271">
            <v>1750000</v>
          </cell>
          <cell r="E271" t="str">
            <v>REBOLETTI</v>
          </cell>
        </row>
        <row r="272">
          <cell r="C272" t="str">
            <v>149-30</v>
          </cell>
          <cell r="D272">
            <v>1360000</v>
          </cell>
          <cell r="E272" t="str">
            <v>SANTIZO</v>
          </cell>
        </row>
        <row r="273">
          <cell r="C273" t="str">
            <v>214-30</v>
          </cell>
          <cell r="D273">
            <v>2030000</v>
          </cell>
          <cell r="E273" t="str">
            <v>KILLION</v>
          </cell>
        </row>
        <row r="274">
          <cell r="C274" t="str">
            <v>123-30</v>
          </cell>
          <cell r="D274">
            <v>1460000</v>
          </cell>
          <cell r="E274" t="str">
            <v>NELSON</v>
          </cell>
        </row>
        <row r="275">
          <cell r="C275" t="str">
            <v>216-30</v>
          </cell>
          <cell r="D275">
            <v>950000</v>
          </cell>
          <cell r="E275" t="str">
            <v>WEBSTER</v>
          </cell>
        </row>
        <row r="276">
          <cell r="C276" t="str">
            <v>1802-30</v>
          </cell>
          <cell r="D276">
            <v>540000</v>
          </cell>
          <cell r="E276" t="str">
            <v>MADLOM</v>
          </cell>
        </row>
        <row r="277">
          <cell r="C277" t="str">
            <v>225-30</v>
          </cell>
          <cell r="D277">
            <v>2030000</v>
          </cell>
          <cell r="E277" t="str">
            <v>KILLION</v>
          </cell>
        </row>
        <row r="278">
          <cell r="C278" t="str">
            <v>169-30</v>
          </cell>
          <cell r="D278">
            <v>1520000</v>
          </cell>
          <cell r="E278" t="str">
            <v>MAYBERRY</v>
          </cell>
        </row>
        <row r="279">
          <cell r="C279" t="str">
            <v>1892-30</v>
          </cell>
          <cell r="D279">
            <v>2000000</v>
          </cell>
          <cell r="E279" t="str">
            <v>STAMBAUGH</v>
          </cell>
        </row>
        <row r="280">
          <cell r="C280" t="str">
            <v>141-30</v>
          </cell>
          <cell r="D280">
            <v>2010000</v>
          </cell>
          <cell r="E280" t="str">
            <v>MAELZER</v>
          </cell>
        </row>
        <row r="281">
          <cell r="C281" t="str">
            <v>1898-30</v>
          </cell>
          <cell r="D281">
            <v>2000000</v>
          </cell>
          <cell r="E281" t="str">
            <v>STAMBAUGH</v>
          </cell>
        </row>
        <row r="282">
          <cell r="C282" t="str">
            <v>130-30</v>
          </cell>
          <cell r="D282">
            <v>1760000</v>
          </cell>
          <cell r="E282" t="str">
            <v>STRICKLAND</v>
          </cell>
        </row>
        <row r="283">
          <cell r="C283" t="str">
            <v>1895-30</v>
          </cell>
          <cell r="D283">
            <v>1820000</v>
          </cell>
          <cell r="E283" t="str">
            <v>ADANE</v>
          </cell>
        </row>
        <row r="284">
          <cell r="C284" t="str">
            <v>1813-30</v>
          </cell>
          <cell r="D284">
            <v>1540000</v>
          </cell>
          <cell r="E284" t="str">
            <v>HELVIE</v>
          </cell>
        </row>
        <row r="285">
          <cell r="C285" t="str">
            <v>232-30</v>
          </cell>
          <cell r="D285">
            <v>2030000</v>
          </cell>
          <cell r="E285" t="str">
            <v>KILLION</v>
          </cell>
        </row>
        <row r="286">
          <cell r="C286" t="str">
            <v>1807-30</v>
          </cell>
          <cell r="D286">
            <v>1540000</v>
          </cell>
          <cell r="E286" t="str">
            <v>HELVIE</v>
          </cell>
        </row>
        <row r="287">
          <cell r="C287" t="str">
            <v>237-30</v>
          </cell>
          <cell r="D287">
            <v>1480000</v>
          </cell>
          <cell r="E287" t="str">
            <v>STURGEON</v>
          </cell>
        </row>
        <row r="288">
          <cell r="C288" t="str">
            <v>1806-30</v>
          </cell>
          <cell r="D288">
            <v>1540000</v>
          </cell>
          <cell r="E288" t="str">
            <v>HELVIE</v>
          </cell>
        </row>
        <row r="289">
          <cell r="C289" t="str">
            <v>243-30</v>
          </cell>
          <cell r="D289">
            <v>1800000</v>
          </cell>
          <cell r="E289" t="str">
            <v>CHANDLER</v>
          </cell>
        </row>
        <row r="290">
          <cell r="C290" t="str">
            <v>117-30</v>
          </cell>
          <cell r="D290">
            <v>1310000</v>
          </cell>
          <cell r="E290" t="str">
            <v>MALAVE</v>
          </cell>
        </row>
        <row r="291">
          <cell r="C291" t="str">
            <v>313-30</v>
          </cell>
          <cell r="D291">
            <v>1480000</v>
          </cell>
          <cell r="E291" t="str">
            <v>STURGEON</v>
          </cell>
        </row>
        <row r="292">
          <cell r="C292" t="str">
            <v>244-29</v>
          </cell>
          <cell r="D292">
            <v>1480000</v>
          </cell>
          <cell r="E292" t="str">
            <v>STURGEON</v>
          </cell>
        </row>
        <row r="293">
          <cell r="C293" t="str">
            <v>315-30</v>
          </cell>
          <cell r="D293">
            <v>1300000</v>
          </cell>
          <cell r="E293" t="str">
            <v>LEVIN</v>
          </cell>
        </row>
        <row r="294">
          <cell r="C294" t="str">
            <v>1835-30</v>
          </cell>
          <cell r="D294">
            <v>1830000</v>
          </cell>
          <cell r="E294" t="str">
            <v>YORK</v>
          </cell>
        </row>
        <row r="295">
          <cell r="C295" t="str">
            <v>101-31</v>
          </cell>
          <cell r="D295">
            <v>1460000</v>
          </cell>
          <cell r="E295" t="str">
            <v>NELSON</v>
          </cell>
        </row>
        <row r="296">
          <cell r="C296" t="str">
            <v>157-30</v>
          </cell>
          <cell r="D296">
            <v>1760000</v>
          </cell>
          <cell r="E296" t="str">
            <v>STRICKLAND</v>
          </cell>
        </row>
        <row r="297">
          <cell r="C297" t="str">
            <v>102-31</v>
          </cell>
          <cell r="D297">
            <v>1460000</v>
          </cell>
          <cell r="E297" t="str">
            <v>NELSON</v>
          </cell>
        </row>
        <row r="298">
          <cell r="C298" t="str">
            <v>126-30</v>
          </cell>
          <cell r="D298">
            <v>1100000</v>
          </cell>
          <cell r="E298" t="str">
            <v>GEBRETEKLE</v>
          </cell>
        </row>
        <row r="299">
          <cell r="C299" t="str">
            <v>1861-30</v>
          </cell>
          <cell r="D299">
            <v>1780000</v>
          </cell>
          <cell r="E299" t="str">
            <v>DE LA ROSA</v>
          </cell>
        </row>
        <row r="300">
          <cell r="C300" t="str">
            <v>122-30</v>
          </cell>
          <cell r="D300">
            <v>1360000</v>
          </cell>
          <cell r="E300" t="str">
            <v>SANTIZO</v>
          </cell>
        </row>
        <row r="301">
          <cell r="C301" t="str">
            <v>1865-30</v>
          </cell>
          <cell r="D301">
            <v>1820000</v>
          </cell>
          <cell r="E301" t="str">
            <v>ADANE</v>
          </cell>
        </row>
        <row r="302">
          <cell r="C302" t="str">
            <v>108-30</v>
          </cell>
          <cell r="D302">
            <v>1360000</v>
          </cell>
          <cell r="E302" t="str">
            <v>SANTIZO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101-31</v>
          </cell>
        </row>
      </sheetData>
      <sheetData sheetId="1" refreshError="1"/>
      <sheetData sheetId="2" refreshError="1"/>
      <sheetData sheetId="3">
        <row r="1">
          <cell r="C1" t="str">
            <v>101-31</v>
          </cell>
          <cell r="D1">
            <v>1460000</v>
          </cell>
          <cell r="E1" t="str">
            <v>NELSON</v>
          </cell>
        </row>
        <row r="2">
          <cell r="C2" t="str">
            <v>228-31</v>
          </cell>
          <cell r="D2">
            <v>1800000</v>
          </cell>
          <cell r="E2" t="str">
            <v>CHANDLER</v>
          </cell>
        </row>
        <row r="3">
          <cell r="C3" t="str">
            <v>104-01</v>
          </cell>
          <cell r="D3">
            <v>1260000</v>
          </cell>
          <cell r="E3" t="str">
            <v>ACKERMAN</v>
          </cell>
        </row>
        <row r="4">
          <cell r="C4" t="str">
            <v>113-01</v>
          </cell>
          <cell r="D4">
            <v>2100000</v>
          </cell>
          <cell r="E4" t="str">
            <v>ISHMAEL</v>
          </cell>
        </row>
        <row r="5">
          <cell r="C5" t="str">
            <v>112-01</v>
          </cell>
          <cell r="D5">
            <v>1110000</v>
          </cell>
          <cell r="E5" t="str">
            <v>STARKS</v>
          </cell>
        </row>
        <row r="6">
          <cell r="C6" t="str">
            <v>229-31</v>
          </cell>
          <cell r="D6">
            <v>1180000</v>
          </cell>
          <cell r="E6" t="str">
            <v>LEVERE</v>
          </cell>
        </row>
        <row r="7">
          <cell r="C7" t="str">
            <v>1816-31</v>
          </cell>
          <cell r="D7">
            <v>1110000</v>
          </cell>
          <cell r="E7" t="str">
            <v>STARKS</v>
          </cell>
        </row>
        <row r="8">
          <cell r="C8" t="str">
            <v>172-31</v>
          </cell>
          <cell r="D8">
            <v>1520000</v>
          </cell>
          <cell r="E8" t="str">
            <v>MAYBERRY</v>
          </cell>
        </row>
        <row r="9">
          <cell r="C9" t="str">
            <v>189-31</v>
          </cell>
          <cell r="D9">
            <v>880000</v>
          </cell>
          <cell r="E9" t="str">
            <v>STEWART</v>
          </cell>
        </row>
        <row r="10">
          <cell r="C10" t="str">
            <v>201-31</v>
          </cell>
          <cell r="D10">
            <v>1740000</v>
          </cell>
          <cell r="E10" t="str">
            <v>STORY</v>
          </cell>
        </row>
        <row r="11">
          <cell r="C11" t="str">
            <v>STAMBAUGH-31</v>
          </cell>
          <cell r="D11">
            <v>2000000</v>
          </cell>
          <cell r="E11" t="str">
            <v>STAMBAUGH</v>
          </cell>
        </row>
        <row r="12">
          <cell r="C12" t="str">
            <v>193-31</v>
          </cell>
          <cell r="D12">
            <v>1770000</v>
          </cell>
          <cell r="E12" t="str">
            <v>BRUDER</v>
          </cell>
        </row>
        <row r="13">
          <cell r="C13" t="str">
            <v>208-31</v>
          </cell>
          <cell r="D13">
            <v>1770000</v>
          </cell>
          <cell r="E13" t="str">
            <v>BRUDER</v>
          </cell>
        </row>
        <row r="14">
          <cell r="C14" t="str">
            <v>1819-31</v>
          </cell>
          <cell r="D14">
            <v>1780000</v>
          </cell>
          <cell r="E14" t="str">
            <v>DE LA ROSA</v>
          </cell>
        </row>
        <row r="15">
          <cell r="C15" t="str">
            <v>243-31</v>
          </cell>
          <cell r="D15">
            <v>1800000</v>
          </cell>
          <cell r="E15" t="str">
            <v>CHANDLER</v>
          </cell>
        </row>
        <row r="16">
          <cell r="C16" t="str">
            <v>158-01</v>
          </cell>
          <cell r="D16">
            <v>1310000</v>
          </cell>
          <cell r="E16" t="str">
            <v>MALAVE</v>
          </cell>
        </row>
        <row r="17">
          <cell r="C17" t="str">
            <v>102-01</v>
          </cell>
          <cell r="D17">
            <v>1480000</v>
          </cell>
          <cell r="E17" t="str">
            <v>STURGEON</v>
          </cell>
        </row>
        <row r="18">
          <cell r="C18" t="str">
            <v>101-01</v>
          </cell>
          <cell r="D18">
            <v>1480000</v>
          </cell>
          <cell r="E18" t="str">
            <v>STURGEON</v>
          </cell>
        </row>
        <row r="19">
          <cell r="C19" t="str">
            <v>115-01</v>
          </cell>
          <cell r="D19">
            <v>1310000</v>
          </cell>
          <cell r="E19" t="str">
            <v>MALAVE</v>
          </cell>
        </row>
        <row r="20">
          <cell r="C20" t="str">
            <v>240-31</v>
          </cell>
          <cell r="D20">
            <v>2000000</v>
          </cell>
          <cell r="E20" t="str">
            <v>STAMBAUGH</v>
          </cell>
        </row>
        <row r="21">
          <cell r="C21" t="str">
            <v>801-01</v>
          </cell>
          <cell r="D21">
            <v>1360000</v>
          </cell>
          <cell r="E21" t="str">
            <v>SANTIZO</v>
          </cell>
        </row>
        <row r="22">
          <cell r="C22" t="str">
            <v>241-31</v>
          </cell>
          <cell r="D22">
            <v>2030000</v>
          </cell>
          <cell r="E22" t="str">
            <v>KILLION</v>
          </cell>
        </row>
        <row r="23">
          <cell r="C23" t="str">
            <v>124-01</v>
          </cell>
          <cell r="D23">
            <v>1830000</v>
          </cell>
          <cell r="E23" t="str">
            <v>YORK</v>
          </cell>
        </row>
        <row r="24">
          <cell r="C24" t="str">
            <v>1828-31</v>
          </cell>
          <cell r="D24">
            <v>1780000</v>
          </cell>
          <cell r="E24" t="str">
            <v>DE LA ROSA</v>
          </cell>
        </row>
        <row r="25">
          <cell r="C25" t="str">
            <v>139-01</v>
          </cell>
          <cell r="D25">
            <v>1110000</v>
          </cell>
          <cell r="E25" t="str">
            <v>STARKS</v>
          </cell>
        </row>
        <row r="26">
          <cell r="C26" t="str">
            <v>1827-31</v>
          </cell>
          <cell r="D26">
            <v>1780000</v>
          </cell>
          <cell r="E26" t="str">
            <v>DE LA ROSA</v>
          </cell>
        </row>
        <row r="27">
          <cell r="C27" t="str">
            <v>812-01</v>
          </cell>
          <cell r="D27">
            <v>900000</v>
          </cell>
          <cell r="E27" t="str">
            <v>ROCHA</v>
          </cell>
        </row>
        <row r="28">
          <cell r="C28" t="str">
            <v>1824-31</v>
          </cell>
          <cell r="D28">
            <v>1780000</v>
          </cell>
          <cell r="E28" t="str">
            <v>DE LA ROSA</v>
          </cell>
        </row>
        <row r="29">
          <cell r="C29" t="str">
            <v>141-01</v>
          </cell>
          <cell r="D29">
            <v>2100000</v>
          </cell>
          <cell r="E29" t="str">
            <v>ISHMAEL</v>
          </cell>
        </row>
        <row r="30">
          <cell r="C30" t="str">
            <v>191-31</v>
          </cell>
          <cell r="D30">
            <v>1280000</v>
          </cell>
          <cell r="E30" t="str">
            <v>BARTLETT</v>
          </cell>
        </row>
        <row r="31">
          <cell r="C31" t="str">
            <v>143-01</v>
          </cell>
          <cell r="D31">
            <v>1310000</v>
          </cell>
          <cell r="E31" t="str">
            <v>MALAVE</v>
          </cell>
        </row>
        <row r="32">
          <cell r="C32" t="str">
            <v>162-31</v>
          </cell>
          <cell r="D32">
            <v>1280000</v>
          </cell>
          <cell r="E32" t="str">
            <v>BARTLETT</v>
          </cell>
        </row>
        <row r="33">
          <cell r="C33" t="str">
            <v>142-01</v>
          </cell>
          <cell r="D33">
            <v>2100000</v>
          </cell>
          <cell r="E33" t="str">
            <v>ISHMAEL</v>
          </cell>
        </row>
        <row r="34">
          <cell r="C34" t="str">
            <v>134-31</v>
          </cell>
          <cell r="D34">
            <v>1750000</v>
          </cell>
          <cell r="E34" t="str">
            <v>REBOLETTI</v>
          </cell>
        </row>
        <row r="35">
          <cell r="C35" t="str">
            <v>151-01</v>
          </cell>
          <cell r="D35">
            <v>1830000</v>
          </cell>
          <cell r="E35" t="str">
            <v>YORK</v>
          </cell>
        </row>
        <row r="36">
          <cell r="C36" t="str">
            <v>145-31</v>
          </cell>
          <cell r="D36">
            <v>1260000</v>
          </cell>
          <cell r="E36" t="str">
            <v>ACKERMAN</v>
          </cell>
        </row>
        <row r="37">
          <cell r="C37" t="str">
            <v>802-01</v>
          </cell>
          <cell r="D37">
            <v>1360000</v>
          </cell>
          <cell r="E37" t="str">
            <v>SANTIZO</v>
          </cell>
        </row>
        <row r="38">
          <cell r="C38" t="str">
            <v>141-31</v>
          </cell>
          <cell r="D38">
            <v>1460000</v>
          </cell>
          <cell r="E38" t="str">
            <v>NELSON</v>
          </cell>
        </row>
        <row r="39">
          <cell r="C39" t="str">
            <v>152-01</v>
          </cell>
          <cell r="D39">
            <v>1830000</v>
          </cell>
          <cell r="E39" t="str">
            <v>YORK</v>
          </cell>
        </row>
        <row r="40">
          <cell r="C40" t="str">
            <v>134-31</v>
          </cell>
          <cell r="D40">
            <v>1750000</v>
          </cell>
          <cell r="E40" t="str">
            <v>REBOLETTI</v>
          </cell>
        </row>
        <row r="41">
          <cell r="C41" t="str">
            <v>156-01</v>
          </cell>
          <cell r="D41">
            <v>1360000</v>
          </cell>
          <cell r="E41" t="str">
            <v>SANTIZO</v>
          </cell>
        </row>
        <row r="42">
          <cell r="C42" t="str">
            <v>247-30</v>
          </cell>
          <cell r="D42">
            <v>1300000</v>
          </cell>
          <cell r="E42" t="str">
            <v>LEVIN</v>
          </cell>
        </row>
        <row r="43">
          <cell r="C43" t="str">
            <v>122-31</v>
          </cell>
          <cell r="D43">
            <v>1100000</v>
          </cell>
          <cell r="E43" t="str">
            <v>GEBRETEKLE</v>
          </cell>
        </row>
        <row r="44">
          <cell r="C44" t="str">
            <v>160-31</v>
          </cell>
          <cell r="D44">
            <v>880000</v>
          </cell>
          <cell r="E44" t="str">
            <v>STEWART</v>
          </cell>
        </row>
        <row r="45">
          <cell r="C45" t="str">
            <v>126-31</v>
          </cell>
          <cell r="D45">
            <v>1760000</v>
          </cell>
          <cell r="E45" t="str">
            <v>STRICKLAND</v>
          </cell>
        </row>
        <row r="46">
          <cell r="C46" t="str">
            <v>1811-31</v>
          </cell>
          <cell r="D46">
            <v>1110000</v>
          </cell>
          <cell r="E46" t="str">
            <v>STARKS</v>
          </cell>
        </row>
        <row r="47">
          <cell r="C47" t="str">
            <v>135-31</v>
          </cell>
          <cell r="D47">
            <v>1100000</v>
          </cell>
          <cell r="E47" t="str">
            <v>GEBRETEKLE</v>
          </cell>
        </row>
        <row r="48">
          <cell r="C48" t="str">
            <v>127-31</v>
          </cell>
          <cell r="D48">
            <v>1760000</v>
          </cell>
          <cell r="E48" t="str">
            <v>STRICKLAND</v>
          </cell>
        </row>
        <row r="49">
          <cell r="C49" t="str">
            <v>1807-31</v>
          </cell>
          <cell r="D49">
            <v>1110000</v>
          </cell>
          <cell r="E49" t="str">
            <v>STARKS</v>
          </cell>
        </row>
        <row r="50">
          <cell r="C50" t="str">
            <v>161-31</v>
          </cell>
          <cell r="D50">
            <v>1280000</v>
          </cell>
          <cell r="E50" t="str">
            <v>BARTLETT</v>
          </cell>
        </row>
        <row r="51">
          <cell r="C51" t="str">
            <v>1810-31</v>
          </cell>
          <cell r="D51">
            <v>1110000</v>
          </cell>
          <cell r="E51" t="str">
            <v>STARKS</v>
          </cell>
        </row>
        <row r="52">
          <cell r="C52" t="str">
            <v>137-31</v>
          </cell>
          <cell r="D52">
            <v>1310000</v>
          </cell>
          <cell r="E52" t="str">
            <v>MALAVE</v>
          </cell>
        </row>
        <row r="53">
          <cell r="C53" t="str">
            <v>165-31</v>
          </cell>
          <cell r="D53">
            <v>2040000</v>
          </cell>
          <cell r="E53" t="str">
            <v>MOSES</v>
          </cell>
        </row>
        <row r="54">
          <cell r="C54" t="str">
            <v>124-31</v>
          </cell>
          <cell r="D54">
            <v>1310000</v>
          </cell>
          <cell r="E54" t="str">
            <v>MALAVE</v>
          </cell>
        </row>
        <row r="55">
          <cell r="C55" t="str">
            <v>240-30</v>
          </cell>
          <cell r="D55">
            <v>2030000</v>
          </cell>
          <cell r="E55" t="str">
            <v>KILLION</v>
          </cell>
        </row>
        <row r="56">
          <cell r="C56" t="str">
            <v>1802-31</v>
          </cell>
          <cell r="D56">
            <v>1110000</v>
          </cell>
          <cell r="E56" t="str">
            <v>STARKS</v>
          </cell>
        </row>
        <row r="57">
          <cell r="C57" t="str">
            <v>104-31</v>
          </cell>
          <cell r="D57">
            <v>1260000</v>
          </cell>
          <cell r="E57" t="str">
            <v>ACKERMAN</v>
          </cell>
        </row>
        <row r="58">
          <cell r="C58" t="str">
            <v>119-31</v>
          </cell>
          <cell r="D58">
            <v>1750000</v>
          </cell>
          <cell r="E58" t="str">
            <v>REBOLETTI</v>
          </cell>
        </row>
        <row r="59">
          <cell r="C59" t="str">
            <v>109-31</v>
          </cell>
          <cell r="D59">
            <v>1310000</v>
          </cell>
          <cell r="E59" t="str">
            <v>MALAVE</v>
          </cell>
        </row>
        <row r="60">
          <cell r="C60" t="str">
            <v>116-31</v>
          </cell>
          <cell r="D60">
            <v>1830000</v>
          </cell>
          <cell r="E60" t="str">
            <v>YORK</v>
          </cell>
        </row>
        <row r="61">
          <cell r="C61" t="str">
            <v>1901-31</v>
          </cell>
          <cell r="D61">
            <v>1110000</v>
          </cell>
          <cell r="E61" t="str">
            <v>STARKS</v>
          </cell>
        </row>
        <row r="62">
          <cell r="C62" t="str">
            <v>112-31</v>
          </cell>
          <cell r="D62">
            <v>1760000</v>
          </cell>
          <cell r="E62" t="str">
            <v>STRICKLAND</v>
          </cell>
        </row>
        <row r="63">
          <cell r="C63" t="str">
            <v>1801-31</v>
          </cell>
          <cell r="D63">
            <v>1110000</v>
          </cell>
          <cell r="E63" t="str">
            <v>STARKS</v>
          </cell>
        </row>
        <row r="64">
          <cell r="C64" t="str">
            <v>104-31</v>
          </cell>
          <cell r="D64">
            <v>1260000</v>
          </cell>
          <cell r="E64" t="str">
            <v>ACKERMAN</v>
          </cell>
        </row>
        <row r="65">
          <cell r="C65" t="str">
            <v>128-31</v>
          </cell>
          <cell r="D65">
            <v>1460000</v>
          </cell>
          <cell r="E65" t="str">
            <v>NELSON</v>
          </cell>
        </row>
        <row r="66">
          <cell r="C66" t="str">
            <v>246-30</v>
          </cell>
          <cell r="D66">
            <v>1300000</v>
          </cell>
          <cell r="E66" t="str">
            <v>LEVIN</v>
          </cell>
        </row>
        <row r="67">
          <cell r="C67" t="str">
            <v>143-31</v>
          </cell>
          <cell r="D67">
            <v>1830000</v>
          </cell>
          <cell r="E67" t="str">
            <v>YORK</v>
          </cell>
        </row>
        <row r="68">
          <cell r="C68" t="str">
            <v>244-30</v>
          </cell>
          <cell r="D68">
            <v>1480000</v>
          </cell>
          <cell r="E68" t="str">
            <v>STURGEON</v>
          </cell>
        </row>
        <row r="69">
          <cell r="C69" t="str">
            <v>163-31</v>
          </cell>
          <cell r="D69">
            <v>1770000</v>
          </cell>
          <cell r="E69" t="str">
            <v>BRUDER</v>
          </cell>
        </row>
        <row r="70">
          <cell r="C70" t="str">
            <v>1911-30</v>
          </cell>
          <cell r="D70">
            <v>2000000</v>
          </cell>
          <cell r="E70" t="str">
            <v>STAMBAUGH</v>
          </cell>
        </row>
        <row r="71">
          <cell r="C71" t="str">
            <v>167-31</v>
          </cell>
          <cell r="D71">
            <v>1140000</v>
          </cell>
          <cell r="E71" t="str">
            <v>YOUNG</v>
          </cell>
        </row>
        <row r="72">
          <cell r="C72" t="str">
            <v>111-31</v>
          </cell>
          <cell r="D72">
            <v>1760000</v>
          </cell>
          <cell r="E72" t="str">
            <v>STRICKLAND</v>
          </cell>
        </row>
        <row r="73">
          <cell r="C73" t="str">
            <v>245-30</v>
          </cell>
          <cell r="D73">
            <v>1480000</v>
          </cell>
          <cell r="E73" t="str">
            <v>STURGEON</v>
          </cell>
        </row>
        <row r="74">
          <cell r="C74" t="str">
            <v>309-30</v>
          </cell>
          <cell r="D74">
            <v>2030000</v>
          </cell>
          <cell r="E74" t="str">
            <v>KILLION</v>
          </cell>
        </row>
        <row r="75">
          <cell r="C75" t="str">
            <v>103-31</v>
          </cell>
          <cell r="D75">
            <v>1260000</v>
          </cell>
          <cell r="E75" t="str">
            <v>ACKERMAN</v>
          </cell>
        </row>
        <row r="76">
          <cell r="C76" t="str">
            <v>157-01</v>
          </cell>
          <cell r="D76">
            <v>1310000</v>
          </cell>
          <cell r="E76" t="str">
            <v>MALAVE</v>
          </cell>
        </row>
        <row r="77">
          <cell r="C77" t="str">
            <v>1800-31</v>
          </cell>
          <cell r="D77">
            <v>1110000</v>
          </cell>
          <cell r="E77" t="str">
            <v>STARKS</v>
          </cell>
        </row>
        <row r="78">
          <cell r="C78" t="str">
            <v>811-01</v>
          </cell>
          <cell r="D78">
            <v>900000</v>
          </cell>
          <cell r="E78" t="str">
            <v>ROCHA</v>
          </cell>
        </row>
        <row r="79">
          <cell r="C79" t="str">
            <v>121-31</v>
          </cell>
          <cell r="D79">
            <v>1100000</v>
          </cell>
          <cell r="E79" t="str">
            <v>GEBRETEKLE</v>
          </cell>
        </row>
        <row r="80">
          <cell r="C80" t="str">
            <v>126-01</v>
          </cell>
          <cell r="D80">
            <v>1240000</v>
          </cell>
          <cell r="E80" t="str">
            <v>GRASTON</v>
          </cell>
        </row>
        <row r="81">
          <cell r="C81" t="str">
            <v>1804-31</v>
          </cell>
          <cell r="D81">
            <v>1110000</v>
          </cell>
          <cell r="E81" t="str">
            <v>STARKS</v>
          </cell>
        </row>
        <row r="82">
          <cell r="C82" t="str">
            <v>129-01</v>
          </cell>
          <cell r="D82">
            <v>1310000</v>
          </cell>
          <cell r="E82" t="str">
            <v>MALAVE</v>
          </cell>
        </row>
        <row r="83">
          <cell r="C83" t="str">
            <v>132-31</v>
          </cell>
          <cell r="D83">
            <v>1260000</v>
          </cell>
          <cell r="E83" t="str">
            <v>ACKERMAN</v>
          </cell>
        </row>
        <row r="84">
          <cell r="C84" t="str">
            <v>114-01</v>
          </cell>
          <cell r="D84">
            <v>2100000</v>
          </cell>
          <cell r="E84" t="str">
            <v>ISHMAEL</v>
          </cell>
        </row>
        <row r="85">
          <cell r="C85" t="str">
            <v>159-31</v>
          </cell>
          <cell r="D85">
            <v>880000</v>
          </cell>
          <cell r="E85" t="str">
            <v>STEWART</v>
          </cell>
        </row>
        <row r="86">
          <cell r="C86" t="str">
            <v>111-01</v>
          </cell>
          <cell r="D86">
            <v>1110000</v>
          </cell>
          <cell r="E86" t="str">
            <v>STARKS</v>
          </cell>
        </row>
        <row r="87">
          <cell r="C87" t="str">
            <v>154-31</v>
          </cell>
          <cell r="D87">
            <v>1760000</v>
          </cell>
          <cell r="E87" t="str">
            <v>STRICKLAND</v>
          </cell>
        </row>
        <row r="88">
          <cell r="C88" t="str">
            <v>308-01</v>
          </cell>
          <cell r="D88">
            <v>1090000</v>
          </cell>
          <cell r="E88" t="str">
            <v>SPECTOR</v>
          </cell>
        </row>
        <row r="89">
          <cell r="C89" t="str">
            <v>176-31</v>
          </cell>
          <cell r="D89">
            <v>880000</v>
          </cell>
          <cell r="E89" t="str">
            <v>STEWART</v>
          </cell>
        </row>
        <row r="90">
          <cell r="C90" t="str">
            <v>234-31</v>
          </cell>
          <cell r="D90">
            <v>2030000</v>
          </cell>
          <cell r="E90" t="str">
            <v>KILLION</v>
          </cell>
        </row>
        <row r="91">
          <cell r="C91" t="str">
            <v>193-31</v>
          </cell>
          <cell r="D91">
            <v>1770000</v>
          </cell>
          <cell r="E91" t="str">
            <v>BRUDER</v>
          </cell>
        </row>
        <row r="92">
          <cell r="C92" t="str">
            <v>813-01</v>
          </cell>
          <cell r="D92">
            <v>900000</v>
          </cell>
          <cell r="E92" t="str">
            <v>ROCHA</v>
          </cell>
        </row>
        <row r="93">
          <cell r="C93" t="str">
            <v>193-31</v>
          </cell>
          <cell r="D93">
            <v>1770000</v>
          </cell>
          <cell r="E93" t="str">
            <v>BRUDER</v>
          </cell>
        </row>
        <row r="94">
          <cell r="C94" t="str">
            <v>137-01</v>
          </cell>
          <cell r="D94">
            <v>1830000</v>
          </cell>
          <cell r="E94" t="str">
            <v>YORK</v>
          </cell>
        </row>
        <row r="95">
          <cell r="C95" t="str">
            <v>1820-31</v>
          </cell>
          <cell r="D95">
            <v>1780000</v>
          </cell>
          <cell r="E95" t="str">
            <v>DE LA ROSA</v>
          </cell>
        </row>
        <row r="96">
          <cell r="C96" t="str">
            <v>133-01</v>
          </cell>
          <cell r="D96">
            <v>1990000</v>
          </cell>
          <cell r="E96" t="str">
            <v>DAVIS</v>
          </cell>
        </row>
        <row r="97">
          <cell r="C97" t="str">
            <v>197-31</v>
          </cell>
          <cell r="D97">
            <v>1140000</v>
          </cell>
          <cell r="E97" t="str">
            <v>YOUNG</v>
          </cell>
        </row>
        <row r="98">
          <cell r="C98" t="str">
            <v>119-01</v>
          </cell>
          <cell r="D98">
            <v>1990000</v>
          </cell>
          <cell r="E98" t="str">
            <v>DAVIS</v>
          </cell>
        </row>
        <row r="99">
          <cell r="C99" t="str">
            <v>205-31</v>
          </cell>
          <cell r="D99">
            <v>1280000</v>
          </cell>
          <cell r="E99" t="str">
            <v>BARTLETT</v>
          </cell>
        </row>
        <row r="100">
          <cell r="C100" t="str">
            <v>115-01</v>
          </cell>
          <cell r="D100">
            <v>1310000</v>
          </cell>
          <cell r="E100" t="str">
            <v>MALAVE</v>
          </cell>
        </row>
        <row r="101">
          <cell r="C101" t="str">
            <v>207-31</v>
          </cell>
          <cell r="D101">
            <v>1770000</v>
          </cell>
          <cell r="E101" t="str">
            <v>BRUDER</v>
          </cell>
        </row>
        <row r="102">
          <cell r="C102" t="str">
            <v>110-01</v>
          </cell>
          <cell r="D102">
            <v>1830000</v>
          </cell>
          <cell r="E102" t="str">
            <v>YORK</v>
          </cell>
        </row>
        <row r="103">
          <cell r="C103" t="str">
            <v>1823-31</v>
          </cell>
          <cell r="D103">
            <v>1780000</v>
          </cell>
          <cell r="E103" t="str">
            <v>DE LA ROSA</v>
          </cell>
        </row>
        <row r="104">
          <cell r="C104" t="str">
            <v>109-01</v>
          </cell>
          <cell r="D104">
            <v>1830000</v>
          </cell>
          <cell r="E104" t="str">
            <v>YORK</v>
          </cell>
        </row>
        <row r="105">
          <cell r="C105" t="str">
            <v>224-31</v>
          </cell>
          <cell r="D105">
            <v>2000000</v>
          </cell>
          <cell r="E105" t="str">
            <v>STAMBAUGH</v>
          </cell>
        </row>
        <row r="106">
          <cell r="C106" t="str">
            <v>107-01</v>
          </cell>
          <cell r="D106">
            <v>1090000</v>
          </cell>
          <cell r="E106" t="str">
            <v>SPECTOR</v>
          </cell>
        </row>
        <row r="107">
          <cell r="C107" t="str">
            <v>227-31</v>
          </cell>
          <cell r="D107">
            <v>1800000</v>
          </cell>
          <cell r="E107" t="str">
            <v>CHANDLER</v>
          </cell>
        </row>
        <row r="108">
          <cell r="C108" t="str">
            <v>232-31</v>
          </cell>
          <cell r="D108">
            <v>2000000</v>
          </cell>
          <cell r="E108" t="str">
            <v>STAMBAUGH</v>
          </cell>
        </row>
        <row r="109">
          <cell r="C109" t="str">
            <v>1830-31</v>
          </cell>
          <cell r="D109">
            <v>1780000</v>
          </cell>
          <cell r="E109" t="str">
            <v>DE LA ROSA</v>
          </cell>
        </row>
        <row r="110">
          <cell r="C110" t="str">
            <v>1831-31</v>
          </cell>
          <cell r="D110">
            <v>1780000</v>
          </cell>
          <cell r="E110" t="str">
            <v>DE LA ROSA</v>
          </cell>
        </row>
        <row r="111">
          <cell r="C111" t="str">
            <v>239-31</v>
          </cell>
          <cell r="D111">
            <v>2000000</v>
          </cell>
          <cell r="E111" t="str">
            <v>STAMBAUGH</v>
          </cell>
        </row>
        <row r="112">
          <cell r="C112" t="str">
            <v>226-31</v>
          </cell>
          <cell r="D112">
            <v>2030000</v>
          </cell>
          <cell r="E112" t="str">
            <v>KILLION</v>
          </cell>
        </row>
        <row r="113">
          <cell r="C113" t="str">
            <v>236-31</v>
          </cell>
          <cell r="D113">
            <v>1800000</v>
          </cell>
          <cell r="E113" t="str">
            <v>CHANDLER</v>
          </cell>
        </row>
        <row r="114">
          <cell r="C114" t="str">
            <v>223-31</v>
          </cell>
          <cell r="D114">
            <v>2000000</v>
          </cell>
          <cell r="E114" t="str">
            <v>STAMBAUGH</v>
          </cell>
        </row>
        <row r="115">
          <cell r="C115" t="str">
            <v>238-31</v>
          </cell>
          <cell r="D115">
            <v>1180000</v>
          </cell>
          <cell r="E115" t="str">
            <v>LEVERE</v>
          </cell>
        </row>
        <row r="116">
          <cell r="C116" t="str">
            <v>221-31</v>
          </cell>
          <cell r="D116">
            <v>1180000</v>
          </cell>
          <cell r="E116" t="str">
            <v>LEVERE</v>
          </cell>
        </row>
        <row r="117">
          <cell r="C117" t="str">
            <v>309-31</v>
          </cell>
          <cell r="D117">
            <v>1180000</v>
          </cell>
          <cell r="E117" t="str">
            <v>LEVERE</v>
          </cell>
        </row>
        <row r="118">
          <cell r="C118" t="str">
            <v>194-31</v>
          </cell>
          <cell r="D118">
            <v>1770000</v>
          </cell>
          <cell r="E118" t="str">
            <v>BRUDER</v>
          </cell>
        </row>
        <row r="119">
          <cell r="C119" t="str">
            <v>311-31</v>
          </cell>
          <cell r="D119">
            <v>2000000</v>
          </cell>
          <cell r="E119" t="str">
            <v>STAMBAUGH</v>
          </cell>
        </row>
        <row r="120">
          <cell r="C120" t="str">
            <v>189-31</v>
          </cell>
          <cell r="D120">
            <v>880000</v>
          </cell>
          <cell r="E120" t="str">
            <v>STEWART</v>
          </cell>
        </row>
        <row r="121">
          <cell r="C121" t="str">
            <v>800-01</v>
          </cell>
          <cell r="D121">
            <v>1360000</v>
          </cell>
          <cell r="E121" t="str">
            <v>SANTIZO</v>
          </cell>
        </row>
        <row r="122">
          <cell r="C122" t="str">
            <v>177-31</v>
          </cell>
          <cell r="D122">
            <v>1280000</v>
          </cell>
          <cell r="E122" t="str">
            <v>BARTLETT</v>
          </cell>
        </row>
        <row r="123">
          <cell r="C123" t="str">
            <v>106-01</v>
          </cell>
          <cell r="D123">
            <v>1990000</v>
          </cell>
          <cell r="E123" t="str">
            <v>DAVIS</v>
          </cell>
        </row>
        <row r="124">
          <cell r="C124" t="str">
            <v>1813-31</v>
          </cell>
          <cell r="D124">
            <v>1110000</v>
          </cell>
          <cell r="E124" t="str">
            <v>STARKS</v>
          </cell>
        </row>
        <row r="125">
          <cell r="C125" t="str">
            <v>173-31</v>
          </cell>
          <cell r="D125">
            <v>1740000</v>
          </cell>
          <cell r="E125" t="str">
            <v>STORY</v>
          </cell>
        </row>
        <row r="126">
          <cell r="C126" t="str">
            <v>156-31</v>
          </cell>
          <cell r="D126">
            <v>1520000</v>
          </cell>
          <cell r="E126" t="str">
            <v>MAYBERRY</v>
          </cell>
        </row>
        <row r="127">
          <cell r="C127" t="str">
            <v>175-31</v>
          </cell>
          <cell r="D127">
            <v>880000</v>
          </cell>
          <cell r="E127" t="str">
            <v>STEWART</v>
          </cell>
        </row>
        <row r="128">
          <cell r="C128" t="str">
            <v>157-31</v>
          </cell>
          <cell r="D128">
            <v>1830000</v>
          </cell>
          <cell r="E128" t="str">
            <v>YORK</v>
          </cell>
        </row>
        <row r="129">
          <cell r="C129" t="str">
            <v>172-31</v>
          </cell>
          <cell r="D129">
            <v>1520000</v>
          </cell>
          <cell r="E129" t="str">
            <v>MAYBERRY</v>
          </cell>
        </row>
        <row r="130">
          <cell r="C130" t="str">
            <v>150-31</v>
          </cell>
          <cell r="D130">
            <v>1100000</v>
          </cell>
          <cell r="E130" t="str">
            <v>GEBRETEKLE</v>
          </cell>
        </row>
        <row r="131">
          <cell r="C131" t="str">
            <v>1815-31</v>
          </cell>
          <cell r="D131">
            <v>1110000</v>
          </cell>
          <cell r="E131" t="str">
            <v>STARKS</v>
          </cell>
        </row>
        <row r="132">
          <cell r="C132" t="str">
            <v>136-31</v>
          </cell>
          <cell r="D132">
            <v>1100000</v>
          </cell>
          <cell r="E132" t="str">
            <v>GEBRETEKLE</v>
          </cell>
        </row>
        <row r="133">
          <cell r="C133" t="str">
            <v>176-31</v>
          </cell>
          <cell r="D133">
            <v>880000</v>
          </cell>
          <cell r="E133" t="str">
            <v>STEWART</v>
          </cell>
        </row>
        <row r="134">
          <cell r="C134" t="str">
            <v>225-31</v>
          </cell>
          <cell r="D134">
            <v>2030000</v>
          </cell>
          <cell r="E134" t="str">
            <v>KILLION</v>
          </cell>
        </row>
        <row r="135">
          <cell r="C135" t="str">
            <v>183-31</v>
          </cell>
          <cell r="D135">
            <v>1140000</v>
          </cell>
          <cell r="E135" t="str">
            <v>YOUNG</v>
          </cell>
        </row>
        <row r="136">
          <cell r="C136" t="str">
            <v>210-31</v>
          </cell>
          <cell r="D136">
            <v>1180000</v>
          </cell>
          <cell r="E136" t="str">
            <v>LEVERE</v>
          </cell>
        </row>
        <row r="137">
          <cell r="C137" t="str">
            <v>182-31</v>
          </cell>
          <cell r="D137">
            <v>2040000</v>
          </cell>
          <cell r="E137" t="str">
            <v>MOSES</v>
          </cell>
        </row>
        <row r="138">
          <cell r="C138" t="str">
            <v>209-31</v>
          </cell>
          <cell r="D138">
            <v>1180000</v>
          </cell>
          <cell r="E138" t="str">
            <v>LEVERE</v>
          </cell>
        </row>
        <row r="139">
          <cell r="C139" t="str">
            <v>187-31</v>
          </cell>
          <cell r="D139">
            <v>1740000</v>
          </cell>
          <cell r="E139" t="str">
            <v>STORY</v>
          </cell>
        </row>
        <row r="140">
          <cell r="C140" t="str">
            <v>192-31</v>
          </cell>
          <cell r="D140">
            <v>1280000</v>
          </cell>
          <cell r="E140" t="str">
            <v>BARTLETT</v>
          </cell>
        </row>
        <row r="141">
          <cell r="C141" t="str">
            <v>1818-31</v>
          </cell>
          <cell r="D141">
            <v>1780000</v>
          </cell>
          <cell r="E141" t="str">
            <v>DE LA ROSA</v>
          </cell>
        </row>
        <row r="142">
          <cell r="C142" t="str">
            <v>199-31</v>
          </cell>
          <cell r="D142">
            <v>1520000</v>
          </cell>
          <cell r="E142" t="str">
            <v>MAYBERRY</v>
          </cell>
        </row>
        <row r="143">
          <cell r="C143" t="str">
            <v>203-31</v>
          </cell>
          <cell r="D143">
            <v>880000</v>
          </cell>
          <cell r="E143" t="str">
            <v>STEWART</v>
          </cell>
        </row>
        <row r="144">
          <cell r="C144" t="str">
            <v>195-31</v>
          </cell>
          <cell r="D144">
            <v>2040000</v>
          </cell>
          <cell r="E144" t="str">
            <v>MOSES</v>
          </cell>
        </row>
        <row r="145">
          <cell r="C145" t="str">
            <v>204-31</v>
          </cell>
          <cell r="D145">
            <v>880000</v>
          </cell>
          <cell r="E145" t="str">
            <v>STEWART</v>
          </cell>
        </row>
        <row r="146">
          <cell r="C146" t="str">
            <v>178-31</v>
          </cell>
          <cell r="D146">
            <v>1280000</v>
          </cell>
          <cell r="E146" t="str">
            <v>BARTLETT</v>
          </cell>
        </row>
        <row r="147">
          <cell r="C147" t="str">
            <v>217-31</v>
          </cell>
          <cell r="D147">
            <v>2030000</v>
          </cell>
          <cell r="E147" t="str">
            <v>KILLION</v>
          </cell>
        </row>
        <row r="148">
          <cell r="C148" t="str">
            <v>185-31</v>
          </cell>
          <cell r="D148">
            <v>1520000</v>
          </cell>
          <cell r="E148" t="str">
            <v>MAYBERRY</v>
          </cell>
        </row>
        <row r="149">
          <cell r="C149" t="str">
            <v>212-31</v>
          </cell>
          <cell r="D149">
            <v>1140000</v>
          </cell>
          <cell r="E149" t="str">
            <v>YOUNG</v>
          </cell>
        </row>
        <row r="150">
          <cell r="C150" t="str">
            <v>169-31</v>
          </cell>
          <cell r="D150">
            <v>1520000</v>
          </cell>
          <cell r="E150" t="str">
            <v>MAYBERRY</v>
          </cell>
        </row>
        <row r="151">
          <cell r="C151" t="str">
            <v>214-31</v>
          </cell>
          <cell r="D151">
            <v>2000000</v>
          </cell>
          <cell r="E151" t="str">
            <v>STAMBAUGH</v>
          </cell>
        </row>
        <row r="152">
          <cell r="C152" t="str">
            <v>146-31</v>
          </cell>
          <cell r="D152">
            <v>1260000</v>
          </cell>
          <cell r="E152" t="str">
            <v>ACKERMAN</v>
          </cell>
        </row>
        <row r="153">
          <cell r="C153" t="str">
            <v>303-31</v>
          </cell>
          <cell r="D153">
            <v>1770000</v>
          </cell>
          <cell r="E153" t="str">
            <v>BRUDER</v>
          </cell>
        </row>
        <row r="154">
          <cell r="C154" t="str">
            <v>140-31</v>
          </cell>
          <cell r="D154">
            <v>1760000</v>
          </cell>
          <cell r="E154" t="str">
            <v>STRICKLAND</v>
          </cell>
        </row>
        <row r="155">
          <cell r="C155" t="str">
            <v>222-31</v>
          </cell>
          <cell r="D155">
            <v>1180000</v>
          </cell>
          <cell r="E155" t="str">
            <v>LEVERE</v>
          </cell>
        </row>
        <row r="156">
          <cell r="C156" t="str">
            <v>125-31</v>
          </cell>
          <cell r="D156">
            <v>1460000</v>
          </cell>
          <cell r="E156" t="str">
            <v>NELSON</v>
          </cell>
        </row>
        <row r="157">
          <cell r="C157" t="str">
            <v>1829-31</v>
          </cell>
          <cell r="D157">
            <v>1780000</v>
          </cell>
          <cell r="E157" t="str">
            <v>DE LA ROSA</v>
          </cell>
        </row>
        <row r="158">
          <cell r="C158" t="str">
            <v>119-31</v>
          </cell>
          <cell r="D158">
            <v>1750000</v>
          </cell>
          <cell r="E158" t="str">
            <v>REBOLETTI</v>
          </cell>
        </row>
        <row r="159">
          <cell r="C159" t="str">
            <v>1832-31</v>
          </cell>
          <cell r="D159">
            <v>1780000</v>
          </cell>
          <cell r="E159" t="str">
            <v>DE LA ROSA</v>
          </cell>
        </row>
        <row r="160">
          <cell r="C160" t="str">
            <v>117-31</v>
          </cell>
          <cell r="D160">
            <v>1260000</v>
          </cell>
          <cell r="E160" t="str">
            <v>ACKERMAN</v>
          </cell>
        </row>
        <row r="161">
          <cell r="C161" t="str">
            <v>803-01</v>
          </cell>
          <cell r="D161">
            <v>900000</v>
          </cell>
          <cell r="E161" t="str">
            <v>ROCHA</v>
          </cell>
        </row>
        <row r="162">
          <cell r="C162" t="str">
            <v>107-31</v>
          </cell>
          <cell r="D162">
            <v>1100000</v>
          </cell>
          <cell r="E162" t="str">
            <v>GEBRETEKLE</v>
          </cell>
        </row>
        <row r="163">
          <cell r="C163" t="str">
            <v>125-01</v>
          </cell>
          <cell r="D163">
            <v>1240000</v>
          </cell>
          <cell r="E163" t="str">
            <v>GRASTON</v>
          </cell>
        </row>
        <row r="164">
          <cell r="C164" t="str">
            <v>112-31</v>
          </cell>
          <cell r="D164">
            <v>1460000</v>
          </cell>
          <cell r="E164" t="str">
            <v>NELSON</v>
          </cell>
        </row>
        <row r="165">
          <cell r="C165" t="str">
            <v>120-01</v>
          </cell>
          <cell r="D165">
            <v>1990000</v>
          </cell>
          <cell r="E165" t="str">
            <v>DAVIS</v>
          </cell>
        </row>
        <row r="166">
          <cell r="C166" t="str">
            <v>115-31</v>
          </cell>
          <cell r="D166">
            <v>1830000</v>
          </cell>
          <cell r="E166" t="str">
            <v>YORK</v>
          </cell>
        </row>
        <row r="167">
          <cell r="C167" t="str">
            <v>127-01</v>
          </cell>
          <cell r="D167">
            <v>2100000</v>
          </cell>
          <cell r="E167" t="str">
            <v>ISHMAEL</v>
          </cell>
        </row>
        <row r="168">
          <cell r="C168" t="str">
            <v>102-31</v>
          </cell>
          <cell r="D168">
            <v>1460000</v>
          </cell>
          <cell r="E168" t="str">
            <v>NELSON</v>
          </cell>
        </row>
        <row r="169">
          <cell r="C169" t="str">
            <v>122-01</v>
          </cell>
          <cell r="D169">
            <v>1090000</v>
          </cell>
          <cell r="E169" t="str">
            <v>SPECTOR</v>
          </cell>
        </row>
        <row r="170">
          <cell r="C170" t="str">
            <v>1802-31</v>
          </cell>
          <cell r="D170">
            <v>1110000</v>
          </cell>
          <cell r="E170" t="str">
            <v>STARKS</v>
          </cell>
        </row>
        <row r="171">
          <cell r="C171" t="str">
            <v>807-01</v>
          </cell>
          <cell r="D171">
            <v>900000</v>
          </cell>
          <cell r="E171" t="str">
            <v>ROCHA</v>
          </cell>
        </row>
        <row r="172">
          <cell r="C172" t="str">
            <v>114-31</v>
          </cell>
          <cell r="D172">
            <v>1760000</v>
          </cell>
          <cell r="E172" t="str">
            <v>STRICKLAND</v>
          </cell>
        </row>
        <row r="173">
          <cell r="C173" t="str">
            <v>809-01</v>
          </cell>
          <cell r="D173">
            <v>1360000</v>
          </cell>
          <cell r="E173" t="str">
            <v>SANTIZO</v>
          </cell>
        </row>
        <row r="174">
          <cell r="C174" t="str">
            <v>110-31</v>
          </cell>
          <cell r="D174">
            <v>1310000</v>
          </cell>
          <cell r="E174" t="str">
            <v>MALAVE</v>
          </cell>
        </row>
        <row r="175">
          <cell r="C175" t="str">
            <v>808-01</v>
          </cell>
          <cell r="D175">
            <v>900000</v>
          </cell>
          <cell r="E175" t="str">
            <v>ROCHA</v>
          </cell>
        </row>
        <row r="176">
          <cell r="C176" t="str">
            <v>2004-30</v>
          </cell>
          <cell r="D176">
            <v>2000000</v>
          </cell>
          <cell r="E176" t="str">
            <v>STAMBAUGH</v>
          </cell>
        </row>
        <row r="177">
          <cell r="C177" t="str">
            <v>128-01</v>
          </cell>
          <cell r="D177">
            <v>2100000</v>
          </cell>
          <cell r="E177" t="str">
            <v>ISHMAEL</v>
          </cell>
        </row>
        <row r="178">
          <cell r="C178" t="str">
            <v>238-30</v>
          </cell>
          <cell r="D178">
            <v>1300000</v>
          </cell>
          <cell r="E178" t="str">
            <v>LEVIN</v>
          </cell>
        </row>
        <row r="179">
          <cell r="C179" t="str">
            <v>137-01</v>
          </cell>
          <cell r="D179">
            <v>1830000</v>
          </cell>
          <cell r="E179" t="str">
            <v>YORK</v>
          </cell>
        </row>
        <row r="180">
          <cell r="C180" t="str">
            <v>163-01</v>
          </cell>
          <cell r="D180">
            <v>2110000</v>
          </cell>
          <cell r="E180" t="str">
            <v>OUN</v>
          </cell>
        </row>
        <row r="181">
          <cell r="C181" t="str">
            <v>132-01</v>
          </cell>
          <cell r="D181">
            <v>1260000</v>
          </cell>
          <cell r="E181" t="str">
            <v>ACKERMAN</v>
          </cell>
        </row>
        <row r="182">
          <cell r="C182" t="str">
            <v>161-01</v>
          </cell>
          <cell r="D182">
            <v>1240000</v>
          </cell>
          <cell r="E182" t="str">
            <v>GRASTON</v>
          </cell>
        </row>
        <row r="183">
          <cell r="C183" t="str">
            <v>148-01</v>
          </cell>
          <cell r="D183">
            <v>1990000</v>
          </cell>
          <cell r="E183" t="str">
            <v>DAVIS</v>
          </cell>
        </row>
        <row r="184">
          <cell r="C184" t="str">
            <v>159-01</v>
          </cell>
          <cell r="D184">
            <v>880000</v>
          </cell>
          <cell r="E184" t="str">
            <v>STEWART</v>
          </cell>
        </row>
        <row r="185">
          <cell r="C185" t="str">
            <v>138-01</v>
          </cell>
          <cell r="D185">
            <v>1830000</v>
          </cell>
          <cell r="E185" t="str">
            <v>YORK</v>
          </cell>
        </row>
        <row r="186">
          <cell r="C186" t="str">
            <v>146-01</v>
          </cell>
          <cell r="D186">
            <v>1260000</v>
          </cell>
          <cell r="E186" t="str">
            <v>ACKERMAN</v>
          </cell>
        </row>
        <row r="187">
          <cell r="C187" t="str">
            <v>140-01</v>
          </cell>
          <cell r="D187">
            <v>1110000</v>
          </cell>
          <cell r="E187" t="str">
            <v>STARKS</v>
          </cell>
        </row>
        <row r="188">
          <cell r="C188" t="str">
            <v>136-01</v>
          </cell>
          <cell r="D188">
            <v>1090000</v>
          </cell>
          <cell r="E188" t="str">
            <v>SPECTOR</v>
          </cell>
        </row>
        <row r="189">
          <cell r="C189" t="str">
            <v>147-01</v>
          </cell>
          <cell r="D189">
            <v>1990000</v>
          </cell>
          <cell r="E189" t="str">
            <v>DAVIS</v>
          </cell>
        </row>
        <row r="190">
          <cell r="C190" t="str">
            <v>134-01</v>
          </cell>
          <cell r="D190">
            <v>1990000</v>
          </cell>
          <cell r="E190" t="str">
            <v>DAVIS</v>
          </cell>
        </row>
        <row r="191">
          <cell r="C191" t="str">
            <v>814-01</v>
          </cell>
          <cell r="D191">
            <v>900000</v>
          </cell>
          <cell r="E191" t="str">
            <v>ROCHA</v>
          </cell>
        </row>
        <row r="192">
          <cell r="C192" t="str">
            <v>130-01</v>
          </cell>
          <cell r="D192">
            <v>1310000</v>
          </cell>
          <cell r="E192" t="str">
            <v>MALAVE</v>
          </cell>
        </row>
        <row r="193">
          <cell r="C193" t="str">
            <v>153-01</v>
          </cell>
          <cell r="D193">
            <v>1110000</v>
          </cell>
          <cell r="E193" t="str">
            <v>STARKS</v>
          </cell>
        </row>
        <row r="194">
          <cell r="C194" t="str">
            <v>810-01</v>
          </cell>
          <cell r="D194">
            <v>1360000</v>
          </cell>
          <cell r="E194" t="str">
            <v>SANTIZO</v>
          </cell>
        </row>
        <row r="195">
          <cell r="C195" t="str">
            <v>154-01</v>
          </cell>
          <cell r="D195">
            <v>1110000</v>
          </cell>
          <cell r="E195" t="str">
            <v>STARKS</v>
          </cell>
        </row>
        <row r="196">
          <cell r="C196" t="str">
            <v>131-01</v>
          </cell>
          <cell r="D196">
            <v>1260000</v>
          </cell>
          <cell r="E196" t="str">
            <v>ACKERMAN</v>
          </cell>
        </row>
        <row r="197">
          <cell r="C197" t="str">
            <v>817-01</v>
          </cell>
          <cell r="D197">
            <v>900000</v>
          </cell>
          <cell r="E197" t="str">
            <v>ROCHA</v>
          </cell>
        </row>
        <row r="198">
          <cell r="C198" t="str">
            <v>129-01</v>
          </cell>
          <cell r="D198">
            <v>1310000</v>
          </cell>
          <cell r="E198" t="str">
            <v>MALAVE</v>
          </cell>
        </row>
        <row r="199">
          <cell r="C199" t="str">
            <v>130-31</v>
          </cell>
          <cell r="D199">
            <v>1830000</v>
          </cell>
          <cell r="E199" t="str">
            <v>YORK</v>
          </cell>
        </row>
        <row r="200">
          <cell r="C200" t="str">
            <v>804-01</v>
          </cell>
          <cell r="D200">
            <v>900000</v>
          </cell>
          <cell r="E200" t="str">
            <v>ROCHA</v>
          </cell>
        </row>
        <row r="201">
          <cell r="C201" t="str">
            <v>138-31</v>
          </cell>
          <cell r="D201">
            <v>1310000</v>
          </cell>
          <cell r="E201" t="str">
            <v>MALAVE</v>
          </cell>
        </row>
        <row r="202">
          <cell r="C202" t="str">
            <v>118-01</v>
          </cell>
          <cell r="D202">
            <v>1260000</v>
          </cell>
          <cell r="E202" t="str">
            <v>ACKERMAN</v>
          </cell>
        </row>
        <row r="203">
          <cell r="C203" t="str">
            <v>243-30</v>
          </cell>
          <cell r="D203">
            <v>1800000</v>
          </cell>
          <cell r="E203" t="str">
            <v>CHANDLER</v>
          </cell>
        </row>
        <row r="204">
          <cell r="C204" t="str">
            <v>123-01</v>
          </cell>
          <cell r="D204">
            <v>1830000</v>
          </cell>
          <cell r="E204" t="str">
            <v>YORK</v>
          </cell>
        </row>
        <row r="205">
          <cell r="C205" t="str">
            <v>313-30</v>
          </cell>
          <cell r="D205">
            <v>1480000</v>
          </cell>
          <cell r="E205" t="str">
            <v>STURGEON</v>
          </cell>
        </row>
        <row r="206">
          <cell r="C206" t="str">
            <v>116-01</v>
          </cell>
          <cell r="D206">
            <v>1310000</v>
          </cell>
          <cell r="E206" t="str">
            <v>MALAVE</v>
          </cell>
        </row>
        <row r="207">
          <cell r="C207" t="str">
            <v>315-30</v>
          </cell>
          <cell r="D207">
            <v>1300000</v>
          </cell>
          <cell r="E207" t="str">
            <v>LEVIN</v>
          </cell>
        </row>
        <row r="208">
          <cell r="C208" t="str">
            <v>816-01</v>
          </cell>
          <cell r="D208">
            <v>900000</v>
          </cell>
          <cell r="E208" t="str">
            <v>ROCHA</v>
          </cell>
        </row>
        <row r="209">
          <cell r="C209" t="str">
            <v>101-31</v>
          </cell>
          <cell r="D209">
            <v>1460000</v>
          </cell>
          <cell r="E209" t="str">
            <v>NELSON</v>
          </cell>
        </row>
        <row r="210">
          <cell r="C210" t="str">
            <v>155-01</v>
          </cell>
          <cell r="D210">
            <v>1360000</v>
          </cell>
          <cell r="E210" t="str">
            <v>SANTIZO</v>
          </cell>
        </row>
        <row r="211">
          <cell r="C211" t="str">
            <v>102-31</v>
          </cell>
          <cell r="D211">
            <v>1460000</v>
          </cell>
          <cell r="E211" t="str">
            <v>NELSON</v>
          </cell>
        </row>
        <row r="212">
          <cell r="C212" t="str">
            <v>815-01</v>
          </cell>
          <cell r="D212">
            <v>900000</v>
          </cell>
          <cell r="E212" t="str">
            <v>ROCHA</v>
          </cell>
        </row>
        <row r="213">
          <cell r="C213" t="str">
            <v>123-31</v>
          </cell>
          <cell r="D213">
            <v>1310000</v>
          </cell>
          <cell r="E213" t="str">
            <v>MALAVE</v>
          </cell>
        </row>
        <row r="214">
          <cell r="C214" t="str">
            <v>135-01</v>
          </cell>
          <cell r="D214">
            <v>1090000</v>
          </cell>
          <cell r="E214" t="str">
            <v>SPECTOR</v>
          </cell>
        </row>
        <row r="215">
          <cell r="C215" t="str">
            <v>153-31</v>
          </cell>
          <cell r="D215">
            <v>1760000</v>
          </cell>
          <cell r="E215" t="str">
            <v>STRICKLAND</v>
          </cell>
        </row>
        <row r="216">
          <cell r="C216" t="str">
            <v>237-31</v>
          </cell>
          <cell r="D216">
            <v>1180000</v>
          </cell>
          <cell r="E216" t="str">
            <v>LEVERE</v>
          </cell>
        </row>
        <row r="217">
          <cell r="C217" t="str">
            <v>2004-30</v>
          </cell>
          <cell r="D217">
            <v>2000000</v>
          </cell>
          <cell r="E217" t="str">
            <v>STAMBAUGH</v>
          </cell>
        </row>
        <row r="218">
          <cell r="C218" t="str">
            <v>1833-31</v>
          </cell>
          <cell r="D218">
            <v>1780000</v>
          </cell>
          <cell r="E218" t="str">
            <v>DE LA ROSA</v>
          </cell>
        </row>
        <row r="219">
          <cell r="C219" t="str">
            <v>120-31</v>
          </cell>
          <cell r="D219">
            <v>1750000</v>
          </cell>
          <cell r="E219" t="str">
            <v>REBOLETTI</v>
          </cell>
        </row>
        <row r="220">
          <cell r="C220" t="str">
            <v>233-31</v>
          </cell>
          <cell r="D220">
            <v>2030000</v>
          </cell>
          <cell r="E220" t="str">
            <v>KILLION</v>
          </cell>
        </row>
        <row r="221">
          <cell r="C221" t="str">
            <v>147-31</v>
          </cell>
          <cell r="D221">
            <v>1750000</v>
          </cell>
          <cell r="E221" t="str">
            <v>REBOLETTI</v>
          </cell>
        </row>
        <row r="222">
          <cell r="C222" t="str">
            <v>215-31</v>
          </cell>
          <cell r="D222">
            <v>1740000</v>
          </cell>
          <cell r="E222" t="str">
            <v>STORY</v>
          </cell>
        </row>
        <row r="223">
          <cell r="C223" t="str">
            <v>142-31</v>
          </cell>
          <cell r="D223">
            <v>1460000</v>
          </cell>
          <cell r="E223" t="str">
            <v>NELSON</v>
          </cell>
        </row>
        <row r="224">
          <cell r="C224" t="str">
            <v>213-31</v>
          </cell>
          <cell r="D224">
            <v>2000000</v>
          </cell>
          <cell r="E224" t="str">
            <v>STAMBAUGH</v>
          </cell>
        </row>
        <row r="225">
          <cell r="C225" t="str">
            <v>181-31</v>
          </cell>
          <cell r="D225">
            <v>2040000</v>
          </cell>
          <cell r="E225" t="str">
            <v>MOSES</v>
          </cell>
        </row>
        <row r="226">
          <cell r="C226" t="str">
            <v>204-31</v>
          </cell>
          <cell r="D226">
            <v>880000</v>
          </cell>
          <cell r="E226" t="str">
            <v>STEWART</v>
          </cell>
        </row>
        <row r="227">
          <cell r="C227" t="str">
            <v>196-31</v>
          </cell>
          <cell r="D227">
            <v>2040000</v>
          </cell>
          <cell r="E227" t="str">
            <v>MOSES</v>
          </cell>
        </row>
        <row r="228">
          <cell r="C228" t="str">
            <v>202-31</v>
          </cell>
          <cell r="D228">
            <v>1740000</v>
          </cell>
          <cell r="E228" t="str">
            <v>STORY</v>
          </cell>
        </row>
        <row r="229">
          <cell r="C229" t="str">
            <v>1822-31</v>
          </cell>
          <cell r="D229">
            <v>1780000</v>
          </cell>
          <cell r="E229" t="str">
            <v>DE LA ROSA</v>
          </cell>
        </row>
        <row r="230">
          <cell r="C230" t="str">
            <v>200-31</v>
          </cell>
          <cell r="D230">
            <v>1520000</v>
          </cell>
          <cell r="E230" t="str">
            <v>MAYBERRY</v>
          </cell>
        </row>
        <row r="231">
          <cell r="C231" t="str">
            <v>204-31</v>
          </cell>
          <cell r="D231">
            <v>880000</v>
          </cell>
          <cell r="E231" t="str">
            <v>STEWART</v>
          </cell>
        </row>
        <row r="232">
          <cell r="C232" t="str">
            <v>180-31</v>
          </cell>
          <cell r="D232">
            <v>1770000</v>
          </cell>
          <cell r="E232" t="str">
            <v>BRUDER</v>
          </cell>
        </row>
        <row r="233">
          <cell r="C233" t="str">
            <v>1825-31</v>
          </cell>
          <cell r="D233">
            <v>1780000</v>
          </cell>
          <cell r="E233" t="str">
            <v>DE LA ROSA</v>
          </cell>
        </row>
        <row r="234">
          <cell r="C234" t="str">
            <v>178-31</v>
          </cell>
          <cell r="D234">
            <v>1280000</v>
          </cell>
          <cell r="E234" t="str">
            <v>BARTLETT</v>
          </cell>
        </row>
        <row r="235">
          <cell r="C235" t="str">
            <v>219-31</v>
          </cell>
          <cell r="D235">
            <v>1800000</v>
          </cell>
          <cell r="E235" t="str">
            <v>CHANDLER</v>
          </cell>
        </row>
        <row r="236">
          <cell r="C236" t="str">
            <v>174-31</v>
          </cell>
          <cell r="D236">
            <v>1740000</v>
          </cell>
          <cell r="E236" t="str">
            <v>STORY</v>
          </cell>
        </row>
        <row r="237">
          <cell r="C237" t="str">
            <v>1826-31</v>
          </cell>
          <cell r="D237">
            <v>1780000</v>
          </cell>
          <cell r="E237" t="str">
            <v>DE LA ROSA</v>
          </cell>
        </row>
        <row r="238">
          <cell r="C238" t="str">
            <v>173-31</v>
          </cell>
          <cell r="D238">
            <v>1740000</v>
          </cell>
          <cell r="E238" t="str">
            <v>STORY</v>
          </cell>
        </row>
        <row r="239">
          <cell r="C239" t="str">
            <v>242-31</v>
          </cell>
          <cell r="D239">
            <v>2030000</v>
          </cell>
          <cell r="E239" t="str">
            <v>KILLION</v>
          </cell>
        </row>
        <row r="240">
          <cell r="C240" t="str">
            <v>155-31</v>
          </cell>
          <cell r="D240">
            <v>1520000</v>
          </cell>
          <cell r="E240" t="str">
            <v>MAYBERRY</v>
          </cell>
        </row>
        <row r="241">
          <cell r="C241" t="str">
            <v>244-31</v>
          </cell>
          <cell r="D241">
            <v>1800000</v>
          </cell>
          <cell r="E241" t="str">
            <v>CHANDLER</v>
          </cell>
        </row>
        <row r="242">
          <cell r="C242" t="str">
            <v>1809-31</v>
          </cell>
          <cell r="D242">
            <v>1110000</v>
          </cell>
          <cell r="E242" t="str">
            <v>STARKS</v>
          </cell>
        </row>
        <row r="243">
          <cell r="C243" t="str">
            <v>315-31</v>
          </cell>
          <cell r="D243">
            <v>1800000</v>
          </cell>
          <cell r="E243" t="str">
            <v>CHANDLER</v>
          </cell>
        </row>
        <row r="244">
          <cell r="C244" t="str">
            <v>235-31</v>
          </cell>
          <cell r="D244">
            <v>1800000</v>
          </cell>
          <cell r="E244" t="str">
            <v>CHANDLER</v>
          </cell>
        </row>
        <row r="245">
          <cell r="C245" t="str">
            <v>164-31</v>
          </cell>
          <cell r="D245">
            <v>1770000</v>
          </cell>
          <cell r="E245" t="str">
            <v>BRUDER</v>
          </cell>
        </row>
        <row r="246">
          <cell r="C246" t="str">
            <v>231-31</v>
          </cell>
          <cell r="D246">
            <v>2000000</v>
          </cell>
          <cell r="E246" t="str">
            <v>STAMBAUGH</v>
          </cell>
        </row>
        <row r="247">
          <cell r="C247" t="str">
            <v>1814-31</v>
          </cell>
          <cell r="D247">
            <v>1110000</v>
          </cell>
          <cell r="E247" t="str">
            <v>STARKS</v>
          </cell>
        </row>
        <row r="248">
          <cell r="C248" t="str">
            <v>198-31</v>
          </cell>
          <cell r="D248">
            <v>1140000</v>
          </cell>
          <cell r="E248" t="str">
            <v>YOUNG</v>
          </cell>
        </row>
        <row r="249">
          <cell r="C249" t="str">
            <v>166-31</v>
          </cell>
          <cell r="D249">
            <v>2040000</v>
          </cell>
          <cell r="E249" t="str">
            <v>MOSES</v>
          </cell>
        </row>
        <row r="250">
          <cell r="C250" t="str">
            <v>1821-31</v>
          </cell>
          <cell r="D250">
            <v>1780000</v>
          </cell>
          <cell r="E250" t="str">
            <v>DE LA ROSA</v>
          </cell>
        </row>
        <row r="251">
          <cell r="C251" t="str">
            <v>168-31</v>
          </cell>
          <cell r="D251">
            <v>1140000</v>
          </cell>
          <cell r="E251" t="str">
            <v>YOUNG</v>
          </cell>
        </row>
        <row r="252">
          <cell r="C252" t="str">
            <v>188-31</v>
          </cell>
          <cell r="D252">
            <v>1740000</v>
          </cell>
          <cell r="E252" t="str">
            <v>STORY</v>
          </cell>
        </row>
        <row r="253">
          <cell r="C253" t="str">
            <v>172-31</v>
          </cell>
          <cell r="D253">
            <v>1520000</v>
          </cell>
          <cell r="E253" t="str">
            <v>MAYBERRY</v>
          </cell>
        </row>
        <row r="254">
          <cell r="C254" t="str">
            <v>184-31</v>
          </cell>
          <cell r="D254">
            <v>1140000</v>
          </cell>
          <cell r="E254" t="str">
            <v>YOUNG</v>
          </cell>
        </row>
        <row r="255">
          <cell r="C255" t="str">
            <v>179-31</v>
          </cell>
          <cell r="D255">
            <v>1770000</v>
          </cell>
          <cell r="E255" t="str">
            <v>BRUDER</v>
          </cell>
        </row>
        <row r="256">
          <cell r="C256" t="str">
            <v>176-31</v>
          </cell>
          <cell r="D256">
            <v>880000</v>
          </cell>
          <cell r="E256" t="str">
            <v>STEWART</v>
          </cell>
        </row>
        <row r="257">
          <cell r="C257" t="str">
            <v>185-31</v>
          </cell>
          <cell r="D257">
            <v>1520000</v>
          </cell>
          <cell r="E257" t="str">
            <v>MAYBERRY</v>
          </cell>
        </row>
        <row r="258">
          <cell r="C258" t="str">
            <v>1817-31</v>
          </cell>
          <cell r="D258">
            <v>1780000</v>
          </cell>
          <cell r="E258" t="str">
            <v>DE LA ROSA</v>
          </cell>
        </row>
        <row r="259">
          <cell r="C259" t="str">
            <v>189-31</v>
          </cell>
          <cell r="D259">
            <v>880000</v>
          </cell>
          <cell r="E259" t="str">
            <v>STEWART</v>
          </cell>
        </row>
        <row r="260">
          <cell r="C260" t="str">
            <v>175-31</v>
          </cell>
          <cell r="D260">
            <v>880000</v>
          </cell>
          <cell r="E260" t="str">
            <v>STEWART</v>
          </cell>
        </row>
        <row r="261">
          <cell r="C261" t="str">
            <v>211-31</v>
          </cell>
          <cell r="D261">
            <v>1140000</v>
          </cell>
          <cell r="E261" t="str">
            <v>YOUNG</v>
          </cell>
        </row>
        <row r="262">
          <cell r="C262" t="str">
            <v>1812-31</v>
          </cell>
          <cell r="D262">
            <v>1110000</v>
          </cell>
          <cell r="E262" t="str">
            <v>STARKS</v>
          </cell>
        </row>
        <row r="263">
          <cell r="C263" t="str">
            <v>206-31</v>
          </cell>
          <cell r="D263">
            <v>1280000</v>
          </cell>
          <cell r="E263" t="str">
            <v>BARTLETT</v>
          </cell>
        </row>
        <row r="264">
          <cell r="C264" t="str">
            <v>158-31</v>
          </cell>
          <cell r="D264">
            <v>1830000</v>
          </cell>
          <cell r="E264" t="str">
            <v>YORK</v>
          </cell>
        </row>
        <row r="265">
          <cell r="C265" t="str">
            <v>216-31</v>
          </cell>
          <cell r="D265">
            <v>1740000</v>
          </cell>
          <cell r="E265" t="str">
            <v>STORY</v>
          </cell>
        </row>
        <row r="266">
          <cell r="C266" t="str">
            <v>152-31</v>
          </cell>
          <cell r="D266">
            <v>1310000</v>
          </cell>
          <cell r="E266" t="str">
            <v>MALAVE</v>
          </cell>
        </row>
        <row r="267">
          <cell r="C267" t="str">
            <v>220-31</v>
          </cell>
          <cell r="D267">
            <v>1800000</v>
          </cell>
          <cell r="E267" t="str">
            <v>CHANDLER</v>
          </cell>
        </row>
        <row r="268">
          <cell r="C268" t="str">
            <v>151-31</v>
          </cell>
          <cell r="D268">
            <v>1310000</v>
          </cell>
          <cell r="E268" t="str">
            <v>MALAVE</v>
          </cell>
        </row>
        <row r="269">
          <cell r="C269" t="str">
            <v>230-31</v>
          </cell>
          <cell r="D269">
            <v>1180000</v>
          </cell>
          <cell r="E269" t="str">
            <v>LEVERE</v>
          </cell>
        </row>
        <row r="270">
          <cell r="C270" t="str">
            <v>149-31</v>
          </cell>
          <cell r="D270">
            <v>1100000</v>
          </cell>
          <cell r="E270" t="str">
            <v>GEBRETEKLE</v>
          </cell>
        </row>
        <row r="271">
          <cell r="C271" t="str">
            <v>1902-31</v>
          </cell>
          <cell r="D271">
            <v>1780000</v>
          </cell>
          <cell r="E271" t="str">
            <v>DE LA ROSA</v>
          </cell>
        </row>
        <row r="272">
          <cell r="C272" t="str">
            <v>1808-31</v>
          </cell>
          <cell r="D272">
            <v>1110000</v>
          </cell>
          <cell r="E272" t="str">
            <v>STARKS</v>
          </cell>
        </row>
        <row r="273">
          <cell r="C273" t="str">
            <v>313-31</v>
          </cell>
          <cell r="D273">
            <v>2030000</v>
          </cell>
          <cell r="E273" t="str">
            <v>KILLION</v>
          </cell>
        </row>
        <row r="274">
          <cell r="C274" t="str">
            <v>144-31</v>
          </cell>
          <cell r="D274">
            <v>1830000</v>
          </cell>
          <cell r="E274" t="str">
            <v>YORK</v>
          </cell>
        </row>
        <row r="275">
          <cell r="C275" t="str">
            <v>103-01</v>
          </cell>
          <cell r="D275">
            <v>1260000</v>
          </cell>
          <cell r="E275" t="str">
            <v>ACKERMAN</v>
          </cell>
        </row>
        <row r="276">
          <cell r="C276" t="str">
            <v>1805-31</v>
          </cell>
          <cell r="D276">
            <v>1110000</v>
          </cell>
          <cell r="E276" t="str">
            <v>STARKS</v>
          </cell>
        </row>
        <row r="277">
          <cell r="C277" t="str">
            <v>105-01</v>
          </cell>
          <cell r="D277">
            <v>1990000</v>
          </cell>
          <cell r="E277" t="str">
            <v>DAVIS</v>
          </cell>
        </row>
        <row r="278">
          <cell r="C278" t="str">
            <v>133-31</v>
          </cell>
          <cell r="D278">
            <v>1750000</v>
          </cell>
          <cell r="E278" t="str">
            <v>REBOLETTI</v>
          </cell>
        </row>
        <row r="279">
          <cell r="C279" t="str">
            <v>108-01</v>
          </cell>
          <cell r="D279">
            <v>1090000</v>
          </cell>
          <cell r="E279" t="str">
            <v>SPECTOR</v>
          </cell>
        </row>
        <row r="280">
          <cell r="C280" t="str">
            <v>131-31</v>
          </cell>
          <cell r="D280">
            <v>1260000</v>
          </cell>
          <cell r="E280" t="str">
            <v>ACKERMAN</v>
          </cell>
        </row>
        <row r="281">
          <cell r="C281" t="str">
            <v>117-01</v>
          </cell>
          <cell r="D281">
            <v>1260000</v>
          </cell>
          <cell r="E281" t="str">
            <v>ACKERMAN</v>
          </cell>
        </row>
        <row r="282">
          <cell r="C282" t="str">
            <v>113-31</v>
          </cell>
          <cell r="D282">
            <v>1460000</v>
          </cell>
          <cell r="E282" t="str">
            <v>NELSON</v>
          </cell>
        </row>
        <row r="283">
          <cell r="C283" t="str">
            <v>802-01</v>
          </cell>
          <cell r="D283">
            <v>1360000</v>
          </cell>
          <cell r="E283" t="str">
            <v>SANTIZO</v>
          </cell>
        </row>
        <row r="284">
          <cell r="C284" t="str">
            <v>311-30</v>
          </cell>
          <cell r="D284">
            <v>1800000</v>
          </cell>
          <cell r="E284" t="str">
            <v>CHANDLER</v>
          </cell>
        </row>
        <row r="285">
          <cell r="C285" t="str">
            <v>121-01</v>
          </cell>
          <cell r="D285">
            <v>1090000</v>
          </cell>
          <cell r="E285" t="str">
            <v>SPECTOR</v>
          </cell>
        </row>
        <row r="286">
          <cell r="C286" t="str">
            <v>242-30</v>
          </cell>
          <cell r="D286">
            <v>1800000</v>
          </cell>
          <cell r="E286" t="str">
            <v>CHANDLER</v>
          </cell>
        </row>
        <row r="287">
          <cell r="C287" t="str">
            <v>805-01</v>
          </cell>
          <cell r="D287">
            <v>1360000</v>
          </cell>
          <cell r="E287" t="str">
            <v>SANTIZO</v>
          </cell>
        </row>
        <row r="288">
          <cell r="C288" t="str">
            <v>139-31</v>
          </cell>
          <cell r="D288">
            <v>1760000</v>
          </cell>
          <cell r="E288" t="str">
            <v>STRICKLAND</v>
          </cell>
        </row>
        <row r="289">
          <cell r="C289" t="str">
            <v>145-01</v>
          </cell>
          <cell r="D289">
            <v>1260000</v>
          </cell>
          <cell r="E289" t="str">
            <v>ACKERMAN</v>
          </cell>
        </row>
        <row r="290">
          <cell r="C290" t="str">
            <v>129-31</v>
          </cell>
          <cell r="D290">
            <v>1830000</v>
          </cell>
          <cell r="E290" t="str">
            <v>YORK</v>
          </cell>
        </row>
        <row r="291">
          <cell r="C291" t="str">
            <v>149-01</v>
          </cell>
          <cell r="D291">
            <v>1090000</v>
          </cell>
          <cell r="E291" t="str">
            <v>SPECTOR</v>
          </cell>
        </row>
        <row r="292">
          <cell r="C292" t="str">
            <v>118-31</v>
          </cell>
          <cell r="D292">
            <v>1260000</v>
          </cell>
          <cell r="E292" t="str">
            <v>ACKERMAN</v>
          </cell>
        </row>
        <row r="293">
          <cell r="C293" t="str">
            <v>806-01</v>
          </cell>
          <cell r="D293">
            <v>1360000</v>
          </cell>
          <cell r="E293" t="str">
            <v>SANTIZO</v>
          </cell>
        </row>
        <row r="294">
          <cell r="C294" t="str">
            <v>1910-30</v>
          </cell>
          <cell r="D294">
            <v>2000000</v>
          </cell>
          <cell r="E294" t="str">
            <v>STAMBAUGH</v>
          </cell>
        </row>
        <row r="295">
          <cell r="C295" t="str">
            <v>127-01</v>
          </cell>
          <cell r="D295">
            <v>2100000</v>
          </cell>
          <cell r="E295" t="str">
            <v>ISHMAEL</v>
          </cell>
        </row>
        <row r="296">
          <cell r="C296" t="str">
            <v>1806-31</v>
          </cell>
          <cell r="D296">
            <v>1110000</v>
          </cell>
          <cell r="E296" t="str">
            <v>STARKS</v>
          </cell>
        </row>
        <row r="297">
          <cell r="C297" t="str">
            <v>129-01</v>
          </cell>
          <cell r="D297">
            <v>1310000</v>
          </cell>
          <cell r="E297" t="str">
            <v>MALAVE</v>
          </cell>
        </row>
        <row r="298">
          <cell r="C298" t="str">
            <v>1803-31</v>
          </cell>
          <cell r="D298">
            <v>1110000</v>
          </cell>
          <cell r="E298" t="str">
            <v>STARKS</v>
          </cell>
        </row>
        <row r="299">
          <cell r="C299" t="str">
            <v>808-01</v>
          </cell>
          <cell r="D299">
            <v>900000</v>
          </cell>
          <cell r="E299" t="str">
            <v>ROCHA</v>
          </cell>
        </row>
        <row r="300">
          <cell r="C300" t="str">
            <v>1803-31</v>
          </cell>
          <cell r="D300">
            <v>1110000</v>
          </cell>
          <cell r="E300" t="str">
            <v>STARKS</v>
          </cell>
        </row>
        <row r="301">
          <cell r="C301" t="str">
            <v>133-01</v>
          </cell>
          <cell r="D301">
            <v>1990000</v>
          </cell>
          <cell r="E301" t="str">
            <v>DAVIS</v>
          </cell>
        </row>
        <row r="302">
          <cell r="C302" t="str">
            <v>108-31</v>
          </cell>
          <cell r="D302">
            <v>1100000</v>
          </cell>
          <cell r="E302" t="str">
            <v>GEBRETEKLE</v>
          </cell>
        </row>
        <row r="303">
          <cell r="C303" t="str">
            <v>144-01</v>
          </cell>
          <cell r="D303">
            <v>1310000</v>
          </cell>
          <cell r="E303" t="str">
            <v>MALAVE</v>
          </cell>
        </row>
        <row r="304">
          <cell r="C304" t="str">
            <v>106-31</v>
          </cell>
          <cell r="D304">
            <v>1750000</v>
          </cell>
          <cell r="E304" t="str">
            <v>REBOLETTI</v>
          </cell>
        </row>
        <row r="305">
          <cell r="C305" t="str">
            <v>150-01</v>
          </cell>
          <cell r="D305">
            <v>1090000</v>
          </cell>
          <cell r="E305" t="str">
            <v>SPECTOR</v>
          </cell>
        </row>
        <row r="306">
          <cell r="C306" t="str">
            <v>175-31</v>
          </cell>
          <cell r="D306">
            <v>880000</v>
          </cell>
          <cell r="E306" t="str">
            <v>STEWART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I33"/>
  <sheetViews>
    <sheetView workbookViewId="0"/>
    <sheetView workbookViewId="1"/>
  </sheetViews>
  <sheetFormatPr defaultRowHeight="15" x14ac:dyDescent="0.25"/>
  <cols>
    <col min="1" max="1" width="14.5703125" bestFit="1" customWidth="1"/>
    <col min="2" max="2" width="10.85546875" customWidth="1"/>
    <col min="3" max="3" width="7.7109375" customWidth="1"/>
    <col min="4" max="4" width="10.85546875" customWidth="1"/>
    <col min="5" max="5" width="11.42578125" style="1" customWidth="1"/>
    <col min="6" max="6" width="16.7109375" style="1" bestFit="1" customWidth="1"/>
    <col min="7" max="8" width="14" customWidth="1"/>
    <col min="9" max="9" width="12.140625" customWidth="1"/>
  </cols>
  <sheetData>
    <row r="1" spans="1:9" ht="60" x14ac:dyDescent="0.25">
      <c r="A1" s="6" t="s">
        <v>0</v>
      </c>
      <c r="B1" s="6" t="s">
        <v>2</v>
      </c>
      <c r="C1" s="6" t="s">
        <v>3</v>
      </c>
      <c r="D1" s="6" t="s">
        <v>385</v>
      </c>
      <c r="E1" s="7" t="s">
        <v>4</v>
      </c>
      <c r="F1" s="7" t="s">
        <v>1</v>
      </c>
      <c r="G1" s="37" t="s">
        <v>392</v>
      </c>
      <c r="H1" s="37" t="s">
        <v>233</v>
      </c>
      <c r="I1" s="37" t="s">
        <v>395</v>
      </c>
    </row>
    <row r="2" spans="1:9" x14ac:dyDescent="0.25">
      <c r="A2" s="2">
        <v>42552</v>
      </c>
      <c r="B2" s="3">
        <f t="shared" ref="B2:B32" si="0">D2-C2</f>
        <v>120</v>
      </c>
      <c r="C2" s="4">
        <v>15</v>
      </c>
      <c r="D2" s="3">
        <v>135</v>
      </c>
      <c r="E2" s="5">
        <f t="shared" ref="E2:E33" si="1">B2/D2</f>
        <v>0.88888888888888884</v>
      </c>
      <c r="F2" s="5">
        <v>0.93566176470588247</v>
      </c>
      <c r="G2" s="4">
        <f>COUNTIFS(Enforcements!$P$1:$P$9999,Summary!A2,Enforcements!$M$1:$M$9999,"Y")</f>
        <v>9</v>
      </c>
      <c r="H2" s="4">
        <f>COUNTIFS(Enforcements!$P$1:$P$9999,Summary!A2,Enforcements!$M$1:$M$9999,"N")</f>
        <v>60</v>
      </c>
      <c r="I2" s="4">
        <f>COUNTIF('Runs without Initialization'!$I$2:$I$999,Summary!A2)</f>
        <v>4</v>
      </c>
    </row>
    <row r="3" spans="1:9" x14ac:dyDescent="0.25">
      <c r="A3" s="2">
        <v>42553</v>
      </c>
      <c r="B3" s="3">
        <f t="shared" si="0"/>
        <v>142</v>
      </c>
      <c r="C3" s="4">
        <v>4</v>
      </c>
      <c r="D3" s="4">
        <v>146</v>
      </c>
      <c r="E3" s="5">
        <f t="shared" si="1"/>
        <v>0.9726027397260274</v>
      </c>
      <c r="F3" s="5">
        <v>0.98401826484018262</v>
      </c>
      <c r="G3" s="4">
        <f>COUNTIFS(Enforcements!$P$1:$P$9999,Summary!A3,Enforcements!$M$1:$M$9999,"Y")</f>
        <v>8</v>
      </c>
      <c r="H3" s="4">
        <f>COUNTIFS(Enforcements!$P$1:$P$9999,Summary!A3,Enforcements!$M$1:$M$9999,"N")</f>
        <v>57</v>
      </c>
      <c r="I3" s="4">
        <f>COUNTIF('Runs without Initialization'!$I$2:$I$999,Summary!A3)</f>
        <v>2</v>
      </c>
    </row>
    <row r="4" spans="1:9" x14ac:dyDescent="0.25">
      <c r="A4" s="2">
        <v>42554</v>
      </c>
      <c r="B4" s="3">
        <f t="shared" si="0"/>
        <v>136</v>
      </c>
      <c r="C4" s="4">
        <v>8</v>
      </c>
      <c r="D4" s="4">
        <v>144</v>
      </c>
      <c r="E4" s="5">
        <f t="shared" si="1"/>
        <v>0.94444444444444442</v>
      </c>
      <c r="F4" s="5">
        <v>0.97241379310344822</v>
      </c>
      <c r="G4" s="4">
        <f>COUNTIFS(Enforcements!$P$1:$P$9999,Summary!A4,Enforcements!$M$1:$M$9999,"Y")</f>
        <v>7</v>
      </c>
      <c r="H4" s="4">
        <f>COUNTIFS(Enforcements!$P$1:$P$9999,Summary!A4,Enforcements!$M$1:$M$9999,"N")</f>
        <v>72</v>
      </c>
      <c r="I4" s="4">
        <f>COUNTIF('Runs without Initialization'!$I$2:$I$999,Summary!A4)</f>
        <v>3</v>
      </c>
    </row>
    <row r="5" spans="1:9" x14ac:dyDescent="0.25">
      <c r="A5" s="2">
        <v>42555</v>
      </c>
      <c r="B5" s="3">
        <f t="shared" si="0"/>
        <v>138</v>
      </c>
      <c r="C5" s="4">
        <v>6</v>
      </c>
      <c r="D5" s="4">
        <v>144</v>
      </c>
      <c r="E5" s="5">
        <f t="shared" si="1"/>
        <v>0.95833333333333337</v>
      </c>
      <c r="F5" s="5">
        <v>0.97974537037037046</v>
      </c>
      <c r="G5" s="4">
        <f>COUNTIFS(Enforcements!$P$1:$P$9999,Summary!A5,Enforcements!$M$1:$M$9999,"Y")</f>
        <v>20</v>
      </c>
      <c r="H5" s="4">
        <f>COUNTIFS(Enforcements!$P$1:$P$9999,Summary!A5,Enforcements!$M$1:$M$9999,"N")</f>
        <v>98</v>
      </c>
      <c r="I5" s="4">
        <f>COUNTIF('Runs without Initialization'!$I$2:$I$999,Summary!A5)</f>
        <v>2</v>
      </c>
    </row>
    <row r="6" spans="1:9" x14ac:dyDescent="0.25">
      <c r="A6" s="2">
        <v>42556</v>
      </c>
      <c r="B6" s="3">
        <f t="shared" si="0"/>
        <v>99</v>
      </c>
      <c r="C6" s="4">
        <v>37</v>
      </c>
      <c r="D6" s="4">
        <v>136</v>
      </c>
      <c r="E6" s="5">
        <f t="shared" si="1"/>
        <v>0.7279411764705882</v>
      </c>
      <c r="F6" s="5">
        <v>0.94567901234567908</v>
      </c>
      <c r="G6" s="4">
        <f>COUNTIFS(Enforcements!$P$1:$P$9999,Summary!A6,Enforcements!$M$1:$M$9999,"Y")</f>
        <v>20</v>
      </c>
      <c r="H6" s="4">
        <f>COUNTIFS(Enforcements!$P$1:$P$9999,Summary!A6,Enforcements!$M$1:$M$9999,"N")</f>
        <v>64</v>
      </c>
      <c r="I6" s="4">
        <f>COUNTIF('Runs without Initialization'!$I$2:$I$999,Summary!A6)</f>
        <v>3</v>
      </c>
    </row>
    <row r="7" spans="1:9" x14ac:dyDescent="0.25">
      <c r="A7" s="2">
        <v>42557</v>
      </c>
      <c r="B7" s="3">
        <f t="shared" si="0"/>
        <v>134</v>
      </c>
      <c r="C7" s="4">
        <v>10</v>
      </c>
      <c r="D7" s="4">
        <v>144</v>
      </c>
      <c r="E7" s="5">
        <f t="shared" si="1"/>
        <v>0.93055555555555558</v>
      </c>
      <c r="F7" s="5">
        <v>0.98135198135198143</v>
      </c>
      <c r="G7" s="4">
        <f>COUNTIFS(Enforcements!$P$1:$P$9999,Summary!A7,Enforcements!$M$1:$M$9999,"Y")</f>
        <v>16</v>
      </c>
      <c r="H7" s="4">
        <f>COUNTIFS(Enforcements!$P$1:$P$9999,Summary!A7,Enforcements!$M$1:$M$9999,"N")</f>
        <v>87</v>
      </c>
      <c r="I7" s="4">
        <f>COUNTIF('Runs without Initialization'!$I$2:$I$999,Summary!A7)</f>
        <v>1</v>
      </c>
    </row>
    <row r="8" spans="1:9" x14ac:dyDescent="0.25">
      <c r="A8" s="2">
        <v>42558</v>
      </c>
      <c r="B8" s="3">
        <f t="shared" si="0"/>
        <v>131</v>
      </c>
      <c r="C8" s="4">
        <v>11</v>
      </c>
      <c r="D8" s="4">
        <v>142</v>
      </c>
      <c r="E8" s="5">
        <f t="shared" si="1"/>
        <v>0.92253521126760563</v>
      </c>
      <c r="F8" s="5">
        <v>0.97960372960372943</v>
      </c>
      <c r="G8" s="4">
        <f>COUNTIFS(Enforcements!$P$1:$P$9999,Summary!A8,Enforcements!$M$1:$M$9999,"Y")</f>
        <v>16</v>
      </c>
      <c r="H8" s="4">
        <f>COUNTIFS(Enforcements!$P$1:$P$9999,Summary!A8,Enforcements!$M$1:$M$9999,"N")</f>
        <v>77</v>
      </c>
      <c r="I8" s="4">
        <f>COUNTIF('Runs without Initialization'!$I$2:$I$999,Summary!A8)</f>
        <v>1</v>
      </c>
    </row>
    <row r="9" spans="1:9" x14ac:dyDescent="0.25">
      <c r="A9" s="2">
        <v>42559</v>
      </c>
      <c r="B9" s="3">
        <f t="shared" si="0"/>
        <v>138</v>
      </c>
      <c r="C9" s="4">
        <v>6</v>
      </c>
      <c r="D9" s="4">
        <v>144</v>
      </c>
      <c r="E9" s="5">
        <f t="shared" si="1"/>
        <v>0.95833333333333337</v>
      </c>
      <c r="F9" s="5">
        <v>0.98726851851851849</v>
      </c>
      <c r="G9" s="4">
        <f>COUNTIFS(Enforcements!$P$1:$P$9999,Summary!A9,Enforcements!$M$1:$M$9999,"Y")</f>
        <v>8</v>
      </c>
      <c r="H9" s="4">
        <f>COUNTIFS(Enforcements!$P$1:$P$9999,Summary!A9,Enforcements!$M$1:$M$9999,"N")</f>
        <v>27</v>
      </c>
      <c r="I9" s="4">
        <f>COUNTIF('Runs without Initialization'!$I$2:$I$999,Summary!A9)</f>
        <v>1</v>
      </c>
    </row>
    <row r="10" spans="1:9" x14ac:dyDescent="0.25">
      <c r="A10" s="2">
        <v>42560</v>
      </c>
      <c r="B10" s="3">
        <f t="shared" si="0"/>
        <v>137</v>
      </c>
      <c r="C10" s="4">
        <v>6</v>
      </c>
      <c r="D10" s="4">
        <v>143</v>
      </c>
      <c r="E10" s="5">
        <f t="shared" si="1"/>
        <v>0.95804195804195802</v>
      </c>
      <c r="F10" s="5">
        <v>0.98951048951048948</v>
      </c>
      <c r="G10" s="4">
        <f>COUNTIFS(Enforcements!$P$1:$P$9999,Summary!A10,Enforcements!$M$1:$M$9999,"Y")</f>
        <v>5</v>
      </c>
      <c r="H10" s="4">
        <f>COUNTIFS(Enforcements!$P$1:$P$9999,Summary!A10,Enforcements!$M$1:$M$9999,"N")</f>
        <v>19</v>
      </c>
      <c r="I10" s="4">
        <f>COUNTIF('Runs without Initialization'!$I$2:$I$999,Summary!A10)</f>
        <v>2</v>
      </c>
    </row>
    <row r="11" spans="1:9" x14ac:dyDescent="0.25">
      <c r="A11" s="2">
        <v>42561</v>
      </c>
      <c r="B11" s="3">
        <f t="shared" si="0"/>
        <v>131</v>
      </c>
      <c r="C11" s="4">
        <v>10</v>
      </c>
      <c r="D11" s="4">
        <v>141</v>
      </c>
      <c r="E11" s="5">
        <f t="shared" si="1"/>
        <v>0.92907801418439717</v>
      </c>
      <c r="F11" s="5">
        <v>0.9571596244131455</v>
      </c>
      <c r="G11" s="4">
        <f>COUNTIFS(Enforcements!$P$1:$P$9999,Summary!A11,Enforcements!$M$1:$M$9999,"Y")</f>
        <v>4</v>
      </c>
      <c r="H11" s="4">
        <f>COUNTIFS(Enforcements!$P$1:$P$9999,Summary!A11,Enforcements!$M$1:$M$9999,"N")</f>
        <v>26</v>
      </c>
      <c r="I11" s="4">
        <f>COUNTIF('Runs without Initialization'!$I$2:$I$999,Summary!A11)</f>
        <v>0</v>
      </c>
    </row>
    <row r="12" spans="1:9" x14ac:dyDescent="0.25">
      <c r="A12" s="2">
        <v>42562</v>
      </c>
      <c r="B12" s="3">
        <f t="shared" si="0"/>
        <v>131</v>
      </c>
      <c r="C12" s="4">
        <v>14</v>
      </c>
      <c r="D12" s="4">
        <v>145</v>
      </c>
      <c r="E12" s="5">
        <f t="shared" si="1"/>
        <v>0.90344827586206899</v>
      </c>
      <c r="F12" s="5">
        <v>0.99131944444444442</v>
      </c>
      <c r="G12" s="4">
        <f>COUNTIFS(Enforcements!$P$1:$P$9999,Summary!A12,Enforcements!$M$1:$M$9999,"Y")</f>
        <v>6</v>
      </c>
      <c r="H12" s="4">
        <f>COUNTIFS(Enforcements!$P$1:$P$9999,Summary!A12,Enforcements!$M$1:$M$9999,"N")</f>
        <v>36</v>
      </c>
      <c r="I12" s="4">
        <f>COUNTIF('Runs without Initialization'!$I$2:$I$999,Summary!A12)</f>
        <v>1</v>
      </c>
    </row>
    <row r="13" spans="1:9" x14ac:dyDescent="0.25">
      <c r="A13" s="2">
        <v>42563</v>
      </c>
      <c r="B13" s="3">
        <f t="shared" si="0"/>
        <v>126</v>
      </c>
      <c r="C13" s="4">
        <v>11</v>
      </c>
      <c r="D13" s="4">
        <v>137</v>
      </c>
      <c r="E13" s="5">
        <f t="shared" si="1"/>
        <v>0.91970802919708028</v>
      </c>
      <c r="F13" s="5">
        <v>0.99088541666666663</v>
      </c>
      <c r="G13" s="4">
        <f>COUNTIFS(Enforcements!$P$1:$P$9999,Summary!A13,Enforcements!$M$1:$M$9999,"Y")</f>
        <v>9</v>
      </c>
      <c r="H13" s="4">
        <f>COUNTIFS(Enforcements!$P$1:$P$9999,Summary!A13,Enforcements!$M$1:$M$9999,"N")</f>
        <v>21</v>
      </c>
      <c r="I13" s="4">
        <f>COUNTIF('Runs without Initialization'!$I$2:$I$999,Summary!A13)</f>
        <v>0</v>
      </c>
    </row>
    <row r="14" spans="1:9" x14ac:dyDescent="0.25">
      <c r="A14" s="2">
        <v>42564</v>
      </c>
      <c r="B14" s="3">
        <f t="shared" si="0"/>
        <v>141</v>
      </c>
      <c r="C14" s="4">
        <v>4</v>
      </c>
      <c r="D14" s="4">
        <v>145</v>
      </c>
      <c r="E14" s="5">
        <f t="shared" si="1"/>
        <v>0.97241379310344822</v>
      </c>
      <c r="F14" s="5">
        <v>0.99310344827586206</v>
      </c>
      <c r="G14" s="4">
        <f>COUNTIFS(Enforcements!$P$1:$P$9999,Summary!A14,Enforcements!$M$1:$M$9999,"Y")</f>
        <v>10</v>
      </c>
      <c r="H14" s="4">
        <f>COUNTIFS(Enforcements!$P$1:$P$9999,Summary!A14,Enforcements!$M$1:$M$9999,"N")</f>
        <v>44</v>
      </c>
      <c r="I14" s="4">
        <f>COUNTIF('Runs without Initialization'!$I$2:$I$999,Summary!A14)</f>
        <v>0</v>
      </c>
    </row>
    <row r="15" spans="1:9" x14ac:dyDescent="0.25">
      <c r="A15" s="2">
        <v>42565</v>
      </c>
      <c r="B15" s="3">
        <f t="shared" si="0"/>
        <v>131</v>
      </c>
      <c r="C15" s="4">
        <v>8</v>
      </c>
      <c r="D15" s="4">
        <v>139</v>
      </c>
      <c r="E15" s="5">
        <f t="shared" si="1"/>
        <v>0.94244604316546765</v>
      </c>
      <c r="F15" s="5">
        <v>0.98091603053435117</v>
      </c>
      <c r="G15" s="4">
        <f>COUNTIFS(Enforcements!$P$1:$P$9999,Summary!A15,Enforcements!$M$1:$M$9999,"Y")</f>
        <v>4</v>
      </c>
      <c r="H15" s="4">
        <f>COUNTIFS(Enforcements!$P$1:$P$9999,Summary!A15,Enforcements!$M$1:$M$9999,"N")</f>
        <v>27</v>
      </c>
      <c r="I15" s="4">
        <f>COUNTIF('Runs without Initialization'!$I$2:$I$999,Summary!A15)</f>
        <v>2</v>
      </c>
    </row>
    <row r="16" spans="1:9" x14ac:dyDescent="0.25">
      <c r="A16" s="2">
        <v>42566</v>
      </c>
      <c r="B16" s="3">
        <f t="shared" si="0"/>
        <v>129</v>
      </c>
      <c r="C16" s="4">
        <v>11</v>
      </c>
      <c r="D16" s="4">
        <v>140</v>
      </c>
      <c r="E16" s="5">
        <f t="shared" si="1"/>
        <v>0.92142857142857137</v>
      </c>
      <c r="F16" s="5">
        <v>0.96985815602836878</v>
      </c>
      <c r="G16" s="4">
        <f>COUNTIFS(Enforcements!$P$1:$P$9999,Summary!A16,Enforcements!$M$1:$M$9999,"Y")</f>
        <v>2</v>
      </c>
      <c r="H16" s="4">
        <f>COUNTIFS(Enforcements!$P$1:$P$9999,Summary!A16,Enforcements!$M$1:$M$9999,"N")</f>
        <v>21</v>
      </c>
      <c r="I16" s="4">
        <f>COUNTIF('Runs without Initialization'!$I$2:$I$999,Summary!A16)</f>
        <v>0</v>
      </c>
    </row>
    <row r="17" spans="1:9" x14ac:dyDescent="0.25">
      <c r="A17" s="2">
        <v>42567</v>
      </c>
      <c r="B17" s="3">
        <f t="shared" si="0"/>
        <v>116</v>
      </c>
      <c r="C17" s="4">
        <v>16</v>
      </c>
      <c r="D17" s="4">
        <v>132</v>
      </c>
      <c r="E17" s="5">
        <f t="shared" si="1"/>
        <v>0.87878787878787878</v>
      </c>
      <c r="F17" s="5">
        <v>0.94320987654320998</v>
      </c>
      <c r="G17" s="4">
        <f>COUNTIFS(Enforcements!$P$1:$P$9999,Summary!A17,Enforcements!$M$1:$M$9999,"Y")</f>
        <v>17</v>
      </c>
      <c r="H17" s="4">
        <f>COUNTIFS(Enforcements!$P$1:$P$9999,Summary!A17,Enforcements!$M$1:$M$9999,"N")</f>
        <v>27</v>
      </c>
      <c r="I17" s="4">
        <f>COUNTIF('Runs without Initialization'!$I$2:$I$999,Summary!A17)</f>
        <v>3</v>
      </c>
    </row>
    <row r="18" spans="1:9" x14ac:dyDescent="0.25">
      <c r="A18" s="2">
        <v>42568</v>
      </c>
      <c r="B18" s="3">
        <f t="shared" si="0"/>
        <v>114</v>
      </c>
      <c r="C18" s="4">
        <v>29</v>
      </c>
      <c r="D18" s="4">
        <v>143</v>
      </c>
      <c r="E18" s="5">
        <f t="shared" si="1"/>
        <v>0.79720279720279719</v>
      </c>
      <c r="F18" s="5">
        <v>0.92249417249417243</v>
      </c>
      <c r="G18" s="4">
        <f>COUNTIFS(Enforcements!$P$1:$P$9999,Summary!A18,Enforcements!$M$1:$M$9999,"Y")</f>
        <v>15</v>
      </c>
      <c r="H18" s="4">
        <f>COUNTIFS(Enforcements!$P$1:$P$9999,Summary!A18,Enforcements!$M$1:$M$9999,"N")</f>
        <v>29</v>
      </c>
      <c r="I18" s="4">
        <f>COUNTIF('Runs without Initialization'!$I$2:$I$999,Summary!A18)</f>
        <v>3</v>
      </c>
    </row>
    <row r="19" spans="1:9" x14ac:dyDescent="0.25">
      <c r="A19" s="2">
        <v>42569</v>
      </c>
      <c r="B19" s="3">
        <f t="shared" si="0"/>
        <v>139</v>
      </c>
      <c r="C19" s="4">
        <v>7</v>
      </c>
      <c r="D19" s="4">
        <v>146</v>
      </c>
      <c r="E19" s="5">
        <f t="shared" si="1"/>
        <v>0.95205479452054798</v>
      </c>
      <c r="F19" s="5">
        <v>0.99137931034482762</v>
      </c>
      <c r="G19" s="4">
        <f>COUNTIFS(Enforcements!$P$1:$P$9999,Summary!A19,Enforcements!$M$1:$M$9999,"Y")</f>
        <v>8</v>
      </c>
      <c r="H19" s="4">
        <f>COUNTIFS(Enforcements!$P$1:$P$9999,Summary!A19,Enforcements!$M$1:$M$9999,"N")</f>
        <v>33</v>
      </c>
      <c r="I19" s="4">
        <f>COUNTIF('Runs without Initialization'!$I$2:$I$999,Summary!A19)</f>
        <v>0</v>
      </c>
    </row>
    <row r="20" spans="1:9" x14ac:dyDescent="0.25">
      <c r="A20" s="2">
        <v>42570</v>
      </c>
      <c r="B20" s="3">
        <f t="shared" si="0"/>
        <v>132</v>
      </c>
      <c r="C20" s="4">
        <v>11</v>
      </c>
      <c r="D20" s="4">
        <v>143</v>
      </c>
      <c r="E20" s="5">
        <f t="shared" si="1"/>
        <v>0.92307692307692313</v>
      </c>
      <c r="F20" s="5">
        <v>0.97027972027972009</v>
      </c>
      <c r="G20" s="4">
        <f>COUNTIFS(Enforcements!$P$1:$P$9999,Summary!A20,Enforcements!$M$1:$M$9999,"Y")</f>
        <v>6</v>
      </c>
      <c r="H20" s="4">
        <f>COUNTIFS(Enforcements!$P$1:$P$9999,Summary!A20,Enforcements!$M$1:$M$9999,"N")</f>
        <v>21</v>
      </c>
      <c r="I20" s="4">
        <f>COUNTIF('Runs without Initialization'!$I$2:$I$999,Summary!A20)</f>
        <v>0</v>
      </c>
    </row>
    <row r="21" spans="1:9" x14ac:dyDescent="0.25">
      <c r="A21" s="2">
        <v>42571</v>
      </c>
      <c r="B21" s="3">
        <f t="shared" si="0"/>
        <v>133</v>
      </c>
      <c r="C21" s="4">
        <v>10</v>
      </c>
      <c r="D21" s="4">
        <v>143</v>
      </c>
      <c r="E21" s="5">
        <f t="shared" si="1"/>
        <v>0.93006993006993011</v>
      </c>
      <c r="F21" s="1">
        <v>0.99009324009323996</v>
      </c>
      <c r="G21" s="4">
        <f>COUNTIFS(Enforcements!$P$1:$P$9999,Summary!A21,Enforcements!$M$1:$M$9999,"Y")</f>
        <v>5</v>
      </c>
      <c r="H21" s="4">
        <f>COUNTIFS(Enforcements!$P$1:$P$9999,Summary!A21,Enforcements!$M$1:$M$9999,"N")</f>
        <v>19</v>
      </c>
      <c r="I21" s="4">
        <f>COUNTIF('Runs without Initialization'!$I$2:$I$999,Summary!A21)</f>
        <v>1</v>
      </c>
    </row>
    <row r="22" spans="1:9" x14ac:dyDescent="0.25">
      <c r="A22" s="2">
        <v>42572</v>
      </c>
      <c r="B22" s="3">
        <f t="shared" si="0"/>
        <v>132</v>
      </c>
      <c r="C22" s="4">
        <v>6</v>
      </c>
      <c r="D22" s="4">
        <v>138</v>
      </c>
      <c r="E22" s="5">
        <f t="shared" si="1"/>
        <v>0.95652173913043481</v>
      </c>
      <c r="F22" s="5">
        <v>0.96920289855072461</v>
      </c>
      <c r="G22" s="4">
        <f>COUNTIFS(Enforcements!$P$1:$P$9999,Summary!A22,Enforcements!$M$1:$M$9999,"Y")</f>
        <v>4</v>
      </c>
      <c r="H22" s="4">
        <f>COUNTIFS(Enforcements!$P$1:$P$9999,Summary!A22,Enforcements!$M$1:$M$9999,"N")</f>
        <v>48</v>
      </c>
      <c r="I22" s="4">
        <f>COUNTIF('Runs without Initialization'!$I$2:$I$999,Summary!A22)</f>
        <v>3</v>
      </c>
    </row>
    <row r="23" spans="1:9" x14ac:dyDescent="0.25">
      <c r="A23" s="2">
        <v>42573</v>
      </c>
      <c r="B23" s="3">
        <f t="shared" si="0"/>
        <v>137</v>
      </c>
      <c r="C23" s="4">
        <v>3</v>
      </c>
      <c r="D23" s="4">
        <v>140</v>
      </c>
      <c r="E23" s="5">
        <f t="shared" ref="E23:E27" si="2">B23/D23</f>
        <v>0.97857142857142854</v>
      </c>
      <c r="F23" s="5">
        <v>1</v>
      </c>
      <c r="G23" s="4">
        <f>COUNTIFS(Enforcements!$P$1:$P$9999,Summary!A23,Enforcements!$M$1:$M$9999,"Y")</f>
        <v>1</v>
      </c>
      <c r="H23" s="4">
        <f>COUNTIFS(Enforcements!$P$1:$P$9999,Summary!A23,Enforcements!$M$1:$M$9999,"N")</f>
        <v>27</v>
      </c>
      <c r="I23" s="4">
        <f>COUNTIF('Runs without Initialization'!$I$2:$I$999,Summary!A23)</f>
        <v>1</v>
      </c>
    </row>
    <row r="24" spans="1:9" x14ac:dyDescent="0.25">
      <c r="A24" s="2">
        <v>42574</v>
      </c>
      <c r="B24" s="3">
        <f t="shared" si="0"/>
        <v>134</v>
      </c>
      <c r="C24" s="4">
        <v>6</v>
      </c>
      <c r="D24" s="4">
        <v>140</v>
      </c>
      <c r="E24" s="5">
        <f t="shared" si="2"/>
        <v>0.95714285714285718</v>
      </c>
      <c r="F24" s="5">
        <v>0.98701298701298701</v>
      </c>
      <c r="G24" s="4">
        <f>COUNTIFS(Enforcements!$P$1:$P$9999,Summary!A24,Enforcements!$M$1:$M$9999,"Y")</f>
        <v>4</v>
      </c>
      <c r="H24" s="4">
        <f>COUNTIFS(Enforcements!$P$1:$P$9999,Summary!A24,Enforcements!$M$1:$M$9999,"N")</f>
        <v>47</v>
      </c>
      <c r="I24" s="4">
        <f>COUNTIF('Runs without Initialization'!$I$2:$I$999,Summary!A24)</f>
        <v>0</v>
      </c>
    </row>
    <row r="25" spans="1:9" x14ac:dyDescent="0.25">
      <c r="A25" s="2">
        <v>42575</v>
      </c>
      <c r="B25" s="3">
        <f t="shared" si="0"/>
        <v>143</v>
      </c>
      <c r="C25" s="4">
        <v>2</v>
      </c>
      <c r="D25" s="4">
        <v>145</v>
      </c>
      <c r="E25" s="5">
        <f t="shared" si="2"/>
        <v>0.98620689655172411</v>
      </c>
      <c r="F25" s="5">
        <v>0.96568627450980393</v>
      </c>
      <c r="G25" s="4">
        <f>COUNTIFS(Enforcements!$P$1:$P$9999,Summary!A25,Enforcements!$M$1:$M$9999,"Y")</f>
        <v>5</v>
      </c>
      <c r="H25" s="4">
        <f>COUNTIFS(Enforcements!$P$1:$P$9999,Summary!A25,Enforcements!$M$1:$M$9999,"N")</f>
        <v>55</v>
      </c>
      <c r="I25" s="4">
        <f>COUNTIF('Runs without Initialization'!$I$2:$I$999,Summary!A25)</f>
        <v>1</v>
      </c>
    </row>
    <row r="26" spans="1:9" x14ac:dyDescent="0.25">
      <c r="A26" s="2">
        <v>42576</v>
      </c>
      <c r="B26" s="3">
        <f t="shared" si="0"/>
        <v>131</v>
      </c>
      <c r="C26" s="4">
        <v>7</v>
      </c>
      <c r="D26" s="4">
        <v>138</v>
      </c>
      <c r="E26" s="5">
        <f t="shared" si="2"/>
        <v>0.94927536231884058</v>
      </c>
      <c r="F26" s="5">
        <v>0.96568627450980393</v>
      </c>
      <c r="G26" s="4">
        <f>COUNTIFS(Enforcements!$P$1:$P$9999,Summary!A26,Enforcements!$M$1:$M$9999,"Y")</f>
        <v>2</v>
      </c>
      <c r="H26" s="4">
        <f>COUNTIFS(Enforcements!$P$1:$P$9999,Summary!A26,Enforcements!$M$1:$M$9999,"N")</f>
        <v>67</v>
      </c>
      <c r="I26" s="4">
        <f>COUNTIF('Runs without Initialization'!$I$2:$I$999,Summary!A26)</f>
        <v>5</v>
      </c>
    </row>
    <row r="27" spans="1:9" x14ac:dyDescent="0.25">
      <c r="A27" s="2">
        <v>42577</v>
      </c>
      <c r="B27" s="3">
        <f t="shared" si="0"/>
        <v>136</v>
      </c>
      <c r="C27" s="4">
        <v>8</v>
      </c>
      <c r="D27" s="4">
        <v>144</v>
      </c>
      <c r="E27" s="5">
        <f t="shared" si="2"/>
        <v>0.94444444444444442</v>
      </c>
      <c r="F27" s="5">
        <v>0.95973154362416102</v>
      </c>
      <c r="G27" s="4">
        <f>COUNTIFS(Enforcements!$P$1:$P$9999,Summary!A27,Enforcements!$M$1:$M$9999,"Y")</f>
        <v>2</v>
      </c>
      <c r="H27" s="4">
        <f>COUNTIFS(Enforcements!$P$1:$P$9999,Summary!A27,Enforcements!$M$1:$M$9999,"N")</f>
        <v>58</v>
      </c>
      <c r="I27" s="4">
        <f>COUNTIF('Runs without Initialization'!$I$2:$I$999,Summary!A27)</f>
        <v>2</v>
      </c>
    </row>
    <row r="28" spans="1:9" x14ac:dyDescent="0.25">
      <c r="A28" s="2">
        <v>42578</v>
      </c>
      <c r="B28" s="3">
        <f t="shared" si="0"/>
        <v>134</v>
      </c>
      <c r="C28" s="4">
        <v>10</v>
      </c>
      <c r="D28" s="4">
        <v>144</v>
      </c>
      <c r="E28" s="5">
        <f t="shared" si="1"/>
        <v>0.93055555555555558</v>
      </c>
      <c r="F28" s="5">
        <v>0.95833333333333337</v>
      </c>
      <c r="G28" s="4">
        <f>COUNTIFS(Enforcements!$P$1:$P$9999,Summary!A28,Enforcements!$M$1:$M$9999,"Y")</f>
        <v>3</v>
      </c>
      <c r="H28" s="4">
        <f>COUNTIFS(Enforcements!$P$1:$P$9999,Summary!A28,Enforcements!$M$1:$M$9999,"N")</f>
        <v>57</v>
      </c>
      <c r="I28" s="4">
        <f>COUNTIF('Runs without Initialization'!$I$2:$I$999,Summary!A28)</f>
        <v>5</v>
      </c>
    </row>
    <row r="29" spans="1:9" x14ac:dyDescent="0.25">
      <c r="A29" s="2">
        <v>42579</v>
      </c>
      <c r="B29" s="3">
        <f t="shared" si="0"/>
        <v>141</v>
      </c>
      <c r="C29" s="4">
        <v>3</v>
      </c>
      <c r="D29" s="4">
        <v>144</v>
      </c>
      <c r="E29" s="5">
        <f t="shared" si="1"/>
        <v>0.97916666666666663</v>
      </c>
      <c r="F29" s="5">
        <v>0.97945205479452058</v>
      </c>
      <c r="G29" s="4">
        <f>COUNTIFS(Enforcements!$P$1:$P$9999,Summary!A29,Enforcements!$M$1:$M$9999,"Y")</f>
        <v>7</v>
      </c>
      <c r="H29" s="4">
        <f>COUNTIFS(Enforcements!$P$1:$P$9999,Summary!A29,Enforcements!$M$1:$M$9999,"N")</f>
        <v>33</v>
      </c>
      <c r="I29" s="4">
        <f>COUNTIF('Runs without Initialization'!$I$2:$I$999,Summary!A29)</f>
        <v>2</v>
      </c>
    </row>
    <row r="30" spans="1:9" x14ac:dyDescent="0.25">
      <c r="A30" s="2">
        <v>42580</v>
      </c>
      <c r="B30" s="3">
        <f t="shared" si="0"/>
        <v>143</v>
      </c>
      <c r="C30" s="4">
        <v>3</v>
      </c>
      <c r="D30" s="4">
        <v>146</v>
      </c>
      <c r="E30" s="5">
        <f t="shared" si="1"/>
        <v>0.97945205479452058</v>
      </c>
      <c r="F30" s="5">
        <v>0.99310344827586206</v>
      </c>
      <c r="G30" s="4">
        <f>COUNTIFS(Enforcements!$P$1:$P$9999,Summary!A30,Enforcements!$M$1:$M$9999,"Y")</f>
        <v>2</v>
      </c>
      <c r="H30" s="4">
        <f>COUNTIFS(Enforcements!$P$1:$P$9999,Summary!A30,Enforcements!$M$1:$M$9999,"N")</f>
        <v>54</v>
      </c>
      <c r="I30" s="4">
        <f>COUNTIF('Runs without Initialization'!$I$2:$I$999,Summary!A30)</f>
        <v>2</v>
      </c>
    </row>
    <row r="31" spans="1:9" x14ac:dyDescent="0.25">
      <c r="A31" s="2">
        <v>42581</v>
      </c>
      <c r="B31" s="3">
        <f t="shared" si="0"/>
        <v>144</v>
      </c>
      <c r="C31" s="4">
        <v>2</v>
      </c>
      <c r="D31" s="4">
        <v>146</v>
      </c>
      <c r="E31" s="5">
        <f t="shared" si="1"/>
        <v>0.98630136986301364</v>
      </c>
      <c r="F31" s="5">
        <v>0.99143835616438358</v>
      </c>
      <c r="G31" s="4">
        <f>COUNTIFS(Enforcements!$P$1:$P$9999,Summary!A31,Enforcements!$M$1:$M$9999,"Y")</f>
        <v>4</v>
      </c>
      <c r="H31" s="4">
        <f>COUNTIFS(Enforcements!$P$1:$P$9999,Summary!A31,Enforcements!$M$1:$M$9999,"N")</f>
        <v>57</v>
      </c>
      <c r="I31" s="4">
        <f>COUNTIF('Runs without Initialization'!$I$2:$I$999,Summary!A31)</f>
        <v>1</v>
      </c>
    </row>
    <row r="32" spans="1:9" x14ac:dyDescent="0.25">
      <c r="A32" s="2">
        <v>42582</v>
      </c>
      <c r="B32" s="3">
        <f t="shared" si="0"/>
        <v>129</v>
      </c>
      <c r="C32" s="4">
        <v>15</v>
      </c>
      <c r="D32" s="4">
        <v>144</v>
      </c>
      <c r="E32" s="5">
        <f t="shared" si="1"/>
        <v>0.89583333333333337</v>
      </c>
      <c r="F32" s="5">
        <v>0.93367346938775508</v>
      </c>
      <c r="G32" s="4">
        <f>COUNTIFS(Enforcements!$P$1:$P$9999,Summary!A32,Enforcements!$M$1:$M$9999,"Y")</f>
        <v>4</v>
      </c>
      <c r="H32" s="4">
        <f>COUNTIFS(Enforcements!$P$1:$P$9999,Summary!A32,Enforcements!$M$1:$M$9999,"N")</f>
        <v>53</v>
      </c>
      <c r="I32" s="4">
        <f>COUNTIF('Runs without Initialization'!$I$2:$I$999,Summary!A32)</f>
        <v>9</v>
      </c>
    </row>
    <row r="33" spans="1:9" x14ac:dyDescent="0.25">
      <c r="A33" s="31" t="s">
        <v>60</v>
      </c>
      <c r="B33" s="30">
        <f>SUM(B2:B32)</f>
        <v>4102</v>
      </c>
      <c r="C33" s="30">
        <f>SUM(C2:C32)</f>
        <v>299</v>
      </c>
      <c r="D33" s="30">
        <f>SUM(D2:D32)</f>
        <v>4401</v>
      </c>
      <c r="E33" s="32">
        <f t="shared" si="1"/>
        <v>0.93206089525107927</v>
      </c>
      <c r="F33" s="32">
        <f>AVERAGE(F2:F32)</f>
        <v>0.97287974208489125</v>
      </c>
      <c r="G33" s="38">
        <f>AVERAGE(G2:G32)</f>
        <v>7.5161290322580649</v>
      </c>
      <c r="H33" s="38">
        <f>AVERAGE(H2:H32)</f>
        <v>45.838709677419352</v>
      </c>
      <c r="I33" s="38">
        <f>AVERAGE(I2:I32)</f>
        <v>1.935483870967742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2"/>
  <sheetViews>
    <sheetView tabSelected="1" topLeftCell="A4" zoomScale="130" zoomScaleNormal="130" workbookViewId="0">
      <selection activeCell="A5" sqref="A5"/>
    </sheetView>
    <sheetView tabSelected="1" workbookViewId="1">
      <selection activeCell="B8" sqref="B8"/>
    </sheetView>
  </sheetViews>
  <sheetFormatPr defaultRowHeight="15" x14ac:dyDescent="0.25"/>
  <cols>
    <col min="1" max="1" width="49.28515625" style="36" bestFit="1" customWidth="1"/>
    <col min="2" max="2" width="37.42578125" style="36" customWidth="1"/>
    <col min="3" max="3" width="26.28515625" style="36" customWidth="1"/>
  </cols>
  <sheetData>
    <row r="1" spans="1:3" x14ac:dyDescent="0.25">
      <c r="A1" s="6" t="s">
        <v>5</v>
      </c>
      <c r="B1" s="6" t="s">
        <v>6</v>
      </c>
      <c r="C1" s="6" t="s">
        <v>7</v>
      </c>
    </row>
    <row r="2" spans="1:3" ht="60" x14ac:dyDescent="0.25">
      <c r="A2" s="8" t="s">
        <v>47</v>
      </c>
      <c r="B2" s="8" t="s">
        <v>13</v>
      </c>
      <c r="C2" s="8" t="s">
        <v>687</v>
      </c>
    </row>
    <row r="3" spans="1:3" ht="75" x14ac:dyDescent="0.25">
      <c r="A3" s="8" t="s">
        <v>8</v>
      </c>
      <c r="B3" s="8" t="s">
        <v>14</v>
      </c>
      <c r="C3" s="8" t="s">
        <v>15</v>
      </c>
    </row>
    <row r="4" spans="1:3" ht="105" x14ac:dyDescent="0.25">
      <c r="A4" s="8" t="s">
        <v>12</v>
      </c>
      <c r="B4" s="8" t="s">
        <v>16</v>
      </c>
      <c r="C4" s="8" t="s">
        <v>17</v>
      </c>
    </row>
    <row r="5" spans="1:3" ht="45" x14ac:dyDescent="0.25">
      <c r="A5" s="8" t="s">
        <v>11</v>
      </c>
      <c r="B5" s="8" t="s">
        <v>18</v>
      </c>
      <c r="C5" s="8" t="s">
        <v>19</v>
      </c>
    </row>
    <row r="6" spans="1:3" ht="45" x14ac:dyDescent="0.25">
      <c r="A6" s="8" t="s">
        <v>9</v>
      </c>
      <c r="B6" s="8" t="s">
        <v>21</v>
      </c>
      <c r="C6" s="8" t="s">
        <v>20</v>
      </c>
    </row>
    <row r="7" spans="1:3" ht="30" x14ac:dyDescent="0.25">
      <c r="A7" s="8" t="s">
        <v>10</v>
      </c>
      <c r="B7" s="8" t="s">
        <v>22</v>
      </c>
      <c r="C7" s="8" t="s">
        <v>15</v>
      </c>
    </row>
    <row r="8" spans="1:3" ht="45" x14ac:dyDescent="0.25">
      <c r="A8" s="8" t="s">
        <v>61</v>
      </c>
      <c r="B8" s="8" t="s">
        <v>23</v>
      </c>
      <c r="C8" s="8" t="s">
        <v>384</v>
      </c>
    </row>
    <row r="9" spans="1:3" ht="75" x14ac:dyDescent="0.25">
      <c r="A9" s="34" t="s">
        <v>234</v>
      </c>
      <c r="B9" s="33" t="s">
        <v>1771</v>
      </c>
      <c r="C9" s="33" t="s">
        <v>1772</v>
      </c>
    </row>
    <row r="10" spans="1:3" ht="75" x14ac:dyDescent="0.25">
      <c r="A10" s="33" t="s">
        <v>386</v>
      </c>
      <c r="B10" s="35" t="s">
        <v>390</v>
      </c>
      <c r="C10" s="35" t="s">
        <v>391</v>
      </c>
    </row>
    <row r="11" spans="1:3" ht="75" x14ac:dyDescent="0.25">
      <c r="A11" s="34" t="s">
        <v>387</v>
      </c>
      <c r="B11" s="35" t="s">
        <v>388</v>
      </c>
      <c r="C11" s="35" t="s">
        <v>389</v>
      </c>
    </row>
    <row r="12" spans="1:3" ht="75" x14ac:dyDescent="0.25">
      <c r="A12" s="35" t="s">
        <v>1767</v>
      </c>
      <c r="B12" s="35" t="s">
        <v>1768</v>
      </c>
      <c r="C12" s="35" t="s">
        <v>1769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P310"/>
  <sheetViews>
    <sheetView workbookViewId="0">
      <selection activeCell="L35" sqref="L35"/>
    </sheetView>
    <sheetView workbookViewId="1">
      <selection activeCell="L7" sqref="L7"/>
    </sheetView>
  </sheetViews>
  <sheetFormatPr defaultRowHeight="15" x14ac:dyDescent="0.25"/>
  <cols>
    <col min="1" max="1" width="7.7109375" style="16" bestFit="1" customWidth="1"/>
    <col min="2" max="2" width="5.28515625" style="16" customWidth="1"/>
    <col min="3" max="4" width="18.28515625" style="16" bestFit="1" customWidth="1"/>
    <col min="5" max="5" width="18.28515625" style="16" hidden="1" customWidth="1"/>
    <col min="6" max="6" width="9.85546875" style="16" bestFit="1" customWidth="1"/>
    <col min="7" max="7" width="9.85546875" style="16" hidden="1" customWidth="1"/>
    <col min="8" max="8" width="9.85546875" style="16" customWidth="1"/>
    <col min="9" max="11" width="9.85546875" style="16" hidden="1" customWidth="1"/>
    <col min="12" max="12" width="49.28515625" style="45" bestFit="1" customWidth="1"/>
    <col min="13" max="13" width="12.5703125" style="46" customWidth="1"/>
    <col min="14" max="14" width="9.140625" style="43" hidden="1" customWidth="1"/>
    <col min="15" max="15" width="9.140625" style="43"/>
    <col min="16" max="16" width="0" style="43" hidden="1" customWidth="1"/>
    <col min="17" max="16384" width="9.140625" style="43"/>
  </cols>
  <sheetData>
    <row r="1" spans="1:16" ht="60" x14ac:dyDescent="0.25">
      <c r="A1" s="27" t="s">
        <v>24</v>
      </c>
      <c r="B1" s="27" t="s">
        <v>25</v>
      </c>
      <c r="C1" s="28" t="s">
        <v>26</v>
      </c>
      <c r="D1" s="28" t="s">
        <v>27</v>
      </c>
      <c r="E1" s="28"/>
      <c r="F1" s="27" t="s">
        <v>28</v>
      </c>
      <c r="G1" s="27"/>
      <c r="H1" s="29" t="s">
        <v>29</v>
      </c>
      <c r="I1" s="29"/>
      <c r="J1" s="29"/>
      <c r="K1" s="29"/>
      <c r="L1" s="27" t="s">
        <v>30</v>
      </c>
      <c r="M1" s="24" t="s">
        <v>101</v>
      </c>
      <c r="N1" s="47"/>
      <c r="O1" s="47" t="s">
        <v>461</v>
      </c>
    </row>
    <row r="2" spans="1:16" x14ac:dyDescent="0.25">
      <c r="A2" s="23" t="s">
        <v>259</v>
      </c>
      <c r="B2" s="10">
        <v>4014</v>
      </c>
      <c r="C2" s="13">
        <v>42552.242465277777</v>
      </c>
      <c r="D2" s="13">
        <v>42552.24722222222</v>
      </c>
      <c r="E2" s="10">
        <v>0</v>
      </c>
      <c r="F2" s="10" t="s">
        <v>39</v>
      </c>
      <c r="G2" s="10" t="s">
        <v>440</v>
      </c>
      <c r="H2" s="22">
        <v>4.756944443215616E-3</v>
      </c>
      <c r="I2" s="12"/>
      <c r="J2" s="12"/>
      <c r="K2" s="12">
        <v>8.1499999982770532</v>
      </c>
      <c r="L2" s="40" t="s">
        <v>47</v>
      </c>
      <c r="M2" s="41">
        <v>0</v>
      </c>
      <c r="N2" s="47"/>
      <c r="O2" s="47" t="str">
        <f>RIGHT(A2,2)</f>
        <v>01</v>
      </c>
      <c r="P2" s="43" t="str">
        <f>VLOOKUP(L2,'Issue Resolution'!$A$2:$A$999,1,FALSE)</f>
        <v>Onboard in-route failure</v>
      </c>
    </row>
    <row r="3" spans="1:16" x14ac:dyDescent="0.25">
      <c r="A3" s="23" t="s">
        <v>606</v>
      </c>
      <c r="B3" s="10">
        <v>4013</v>
      </c>
      <c r="C3" s="13">
        <v>42552.371689814812</v>
      </c>
      <c r="D3" s="13">
        <v>42552.391562500001</v>
      </c>
      <c r="E3" s="10">
        <v>0</v>
      </c>
      <c r="F3" s="10" t="s">
        <v>39</v>
      </c>
      <c r="G3" s="10" t="s">
        <v>440</v>
      </c>
      <c r="H3" s="22">
        <v>1.987268518860219E-2</v>
      </c>
      <c r="I3" s="12"/>
      <c r="J3" s="12"/>
      <c r="K3" s="12">
        <v>28.616666671587154</v>
      </c>
      <c r="L3" s="8" t="s">
        <v>12</v>
      </c>
      <c r="M3" s="41">
        <v>1</v>
      </c>
      <c r="N3" s="47"/>
      <c r="O3" s="47" t="str">
        <f>RIGHT(A3,2)</f>
        <v>01</v>
      </c>
      <c r="P3" s="43" t="str">
        <f>VLOOKUP(L3,'Issue Resolution'!$A$2:$A$999,1,FALSE)</f>
        <v>Wi-MAX data drops</v>
      </c>
    </row>
    <row r="4" spans="1:16" x14ac:dyDescent="0.25">
      <c r="A4" s="23" t="s">
        <v>260</v>
      </c>
      <c r="B4" s="10">
        <v>4044</v>
      </c>
      <c r="C4" s="13">
        <v>42552.507696759261</v>
      </c>
      <c r="D4" s="13">
        <v>42552.517372685186</v>
      </c>
      <c r="E4" s="10">
        <v>0</v>
      </c>
      <c r="F4" s="10" t="s">
        <v>42</v>
      </c>
      <c r="G4" s="10" t="s">
        <v>425</v>
      </c>
      <c r="H4" s="22">
        <v>9.6759259249665774E-3</v>
      </c>
      <c r="I4" s="12"/>
      <c r="J4" s="12"/>
      <c r="K4" s="12">
        <v>33.949999994365498</v>
      </c>
      <c r="L4" s="8" t="s">
        <v>12</v>
      </c>
      <c r="M4" s="41">
        <v>0.83333333333333337</v>
      </c>
      <c r="N4" s="47"/>
      <c r="O4" s="47" t="str">
        <f>RIGHT(A4,2)</f>
        <v>01</v>
      </c>
      <c r="P4" s="43" t="str">
        <f>VLOOKUP(L4,'Issue Resolution'!$A$2:$A$999,1,FALSE)</f>
        <v>Wi-MAX data drops</v>
      </c>
    </row>
    <row r="5" spans="1:16" x14ac:dyDescent="0.25">
      <c r="A5" s="23" t="s">
        <v>257</v>
      </c>
      <c r="B5" s="10">
        <v>4044</v>
      </c>
      <c r="C5" s="13">
        <v>42552.587592592594</v>
      </c>
      <c r="D5" s="13">
        <v>42552.597048611111</v>
      </c>
      <c r="E5" s="10">
        <v>1</v>
      </c>
      <c r="F5" s="10" t="s">
        <v>42</v>
      </c>
      <c r="G5" s="10" t="s">
        <v>425</v>
      </c>
      <c r="H5" s="22">
        <v>9.4560185170848854E-3</v>
      </c>
      <c r="I5" s="12"/>
      <c r="J5" s="12"/>
      <c r="K5" s="12">
        <v>40.883333324454725</v>
      </c>
      <c r="L5" s="8" t="s">
        <v>9</v>
      </c>
      <c r="M5" s="41">
        <v>0.66666666666666663</v>
      </c>
      <c r="N5" s="47"/>
      <c r="O5" s="47" t="str">
        <f>RIGHT(A5,2)</f>
        <v>01</v>
      </c>
      <c r="P5" s="43" t="str">
        <f>VLOOKUP(L5,'Issue Resolution'!$A$2:$A$999,1,FALSE)</f>
        <v>Improper execution of bulletins</v>
      </c>
    </row>
    <row r="6" spans="1:16" x14ac:dyDescent="0.25">
      <c r="A6" s="23" t="s">
        <v>607</v>
      </c>
      <c r="B6" s="10">
        <v>4016</v>
      </c>
      <c r="C6" s="13">
        <v>42552.59479166667</v>
      </c>
      <c r="D6" s="13">
        <v>42552.602395833332</v>
      </c>
      <c r="E6" s="10">
        <v>2</v>
      </c>
      <c r="F6" s="10" t="s">
        <v>46</v>
      </c>
      <c r="G6" s="10" t="s">
        <v>409</v>
      </c>
      <c r="H6" s="22">
        <v>7.6041666616220027E-3</v>
      </c>
      <c r="I6" s="12"/>
      <c r="J6" s="12"/>
      <c r="K6" s="12">
        <v>37.49999999650754</v>
      </c>
      <c r="L6" s="8" t="s">
        <v>12</v>
      </c>
      <c r="M6" s="41">
        <v>0.25</v>
      </c>
      <c r="N6" s="47"/>
      <c r="O6" s="47" t="str">
        <f>RIGHT(A6,2)</f>
        <v>01</v>
      </c>
      <c r="P6" s="43" t="str">
        <f>VLOOKUP(L6,'Issue Resolution'!$A$2:$A$999,1,FALSE)</f>
        <v>Wi-MAX data drops</v>
      </c>
    </row>
    <row r="7" spans="1:16" x14ac:dyDescent="0.25">
      <c r="A7" s="23" t="s">
        <v>608</v>
      </c>
      <c r="B7" s="10">
        <v>4017</v>
      </c>
      <c r="C7" s="13">
        <v>42552.642627314817</v>
      </c>
      <c r="D7" s="13">
        <v>42552.659178240741</v>
      </c>
      <c r="E7" s="10">
        <v>0</v>
      </c>
      <c r="F7" s="10" t="s">
        <v>41</v>
      </c>
      <c r="G7" s="10" t="s">
        <v>453</v>
      </c>
      <c r="H7" s="22">
        <v>1.6550925924093463E-2</v>
      </c>
      <c r="I7" s="12"/>
      <c r="J7" s="12"/>
      <c r="K7" s="12">
        <v>23.833333330694586</v>
      </c>
      <c r="L7" s="40" t="s">
        <v>47</v>
      </c>
      <c r="M7" s="41">
        <v>0.25</v>
      </c>
      <c r="N7" s="47"/>
      <c r="O7" s="47" t="str">
        <f>RIGHT(A7,2)</f>
        <v>01</v>
      </c>
      <c r="P7" s="43" t="str">
        <f>VLOOKUP(L7,'Issue Resolution'!$A$2:$A$999,1,FALSE)</f>
        <v>Onboard in-route failure</v>
      </c>
    </row>
    <row r="8" spans="1:16" x14ac:dyDescent="0.25">
      <c r="A8" s="23" t="s">
        <v>258</v>
      </c>
      <c r="B8" s="10">
        <v>4044</v>
      </c>
      <c r="C8" s="13">
        <v>42552.633946759262</v>
      </c>
      <c r="D8" s="13">
        <v>42552.642187500001</v>
      </c>
      <c r="E8" s="10">
        <v>0</v>
      </c>
      <c r="F8" s="10" t="s">
        <v>42</v>
      </c>
      <c r="G8" s="10" t="s">
        <v>425</v>
      </c>
      <c r="H8" s="22">
        <v>8.2407407389837317E-3</v>
      </c>
      <c r="I8" s="12"/>
      <c r="J8" s="12"/>
      <c r="K8" s="12">
        <v>14.083333325106651</v>
      </c>
      <c r="L8" s="40" t="s">
        <v>47</v>
      </c>
      <c r="M8" s="41">
        <v>0.25</v>
      </c>
      <c r="N8" s="47"/>
      <c r="O8" s="47" t="str">
        <f>RIGHT(A8,2)</f>
        <v>01</v>
      </c>
      <c r="P8" s="43" t="str">
        <f>VLOOKUP(L8,'Issue Resolution'!$A$2:$A$999,1,FALSE)</f>
        <v>Onboard in-route failure</v>
      </c>
    </row>
    <row r="9" spans="1:16" x14ac:dyDescent="0.25">
      <c r="A9" s="23" t="s">
        <v>609</v>
      </c>
      <c r="B9" s="10">
        <v>4030</v>
      </c>
      <c r="C9" s="13">
        <v>42552.689259259256</v>
      </c>
      <c r="D9" s="13">
        <v>42552.712083333332</v>
      </c>
      <c r="E9" s="10">
        <v>0</v>
      </c>
      <c r="F9" s="10" t="s">
        <v>33</v>
      </c>
      <c r="G9" s="10" t="s">
        <v>442</v>
      </c>
      <c r="H9" s="22">
        <v>2.2824074076197576E-2</v>
      </c>
      <c r="I9" s="12"/>
      <c r="J9" s="12"/>
      <c r="K9" s="12">
        <v>33.950000004842877</v>
      </c>
      <c r="L9" s="40" t="s">
        <v>47</v>
      </c>
      <c r="M9" s="41">
        <v>1</v>
      </c>
      <c r="N9" s="47"/>
      <c r="O9" s="47" t="str">
        <f>RIGHT(A9,2)</f>
        <v>01</v>
      </c>
      <c r="P9" s="43" t="str">
        <f>VLOOKUP(L9,'Issue Resolution'!$A$2:$A$999,1,FALSE)</f>
        <v>Onboard in-route failure</v>
      </c>
    </row>
    <row r="10" spans="1:16" x14ac:dyDescent="0.25">
      <c r="A10" s="23" t="s">
        <v>610</v>
      </c>
      <c r="B10" s="10">
        <v>4012</v>
      </c>
      <c r="C10" s="13">
        <v>42552.760810185187</v>
      </c>
      <c r="D10" s="13">
        <v>42552.78292824074</v>
      </c>
      <c r="E10" s="10">
        <v>0</v>
      </c>
      <c r="F10" s="10" t="s">
        <v>40</v>
      </c>
      <c r="G10" s="10" t="s">
        <v>425</v>
      </c>
      <c r="H10" s="22">
        <v>2.2118055552709848E-2</v>
      </c>
      <c r="I10" s="12"/>
      <c r="J10" s="12"/>
      <c r="K10" s="12">
        <v>31.849999995902181</v>
      </c>
      <c r="L10" s="40" t="s">
        <v>47</v>
      </c>
      <c r="M10" s="41">
        <v>1</v>
      </c>
      <c r="N10" s="47"/>
      <c r="O10" s="47" t="str">
        <f>RIGHT(A10,2)</f>
        <v>01</v>
      </c>
      <c r="P10" s="43" t="str">
        <f>VLOOKUP(L10,'Issue Resolution'!$A$2:$A$999,1,FALSE)</f>
        <v>Onboard in-route failure</v>
      </c>
    </row>
    <row r="11" spans="1:16" x14ac:dyDescent="0.25">
      <c r="A11" s="23" t="s">
        <v>611</v>
      </c>
      <c r="B11" s="10">
        <v>4029</v>
      </c>
      <c r="C11" s="13">
        <v>42552.722858796296</v>
      </c>
      <c r="D11" s="13">
        <v>42552.746192129627</v>
      </c>
      <c r="E11" s="10">
        <v>0</v>
      </c>
      <c r="F11" s="10" t="s">
        <v>33</v>
      </c>
      <c r="G11" s="10" t="s">
        <v>442</v>
      </c>
      <c r="H11" s="22">
        <v>2.3333333330811001E-2</v>
      </c>
      <c r="I11" s="12"/>
      <c r="J11" s="12"/>
      <c r="K11" s="12">
        <v>36.549999994458631</v>
      </c>
      <c r="L11" s="8" t="s">
        <v>8</v>
      </c>
      <c r="M11" s="41">
        <v>1</v>
      </c>
      <c r="N11" s="47"/>
      <c r="O11" s="47" t="str">
        <f>RIGHT(A11,2)</f>
        <v>01</v>
      </c>
      <c r="P11" s="43" t="str">
        <f>VLOOKUP(L11,'Issue Resolution'!$A$2:$A$999,1,FALSE)</f>
        <v>Inefficient dispatching</v>
      </c>
    </row>
    <row r="12" spans="1:16" x14ac:dyDescent="0.25">
      <c r="A12" s="10" t="s">
        <v>613</v>
      </c>
      <c r="B12" s="10">
        <v>4018</v>
      </c>
      <c r="C12" s="13">
        <v>42552.759004629632</v>
      </c>
      <c r="D12" s="13">
        <v>42552.782442129632</v>
      </c>
      <c r="E12" s="10">
        <v>0</v>
      </c>
      <c r="F12" s="10" t="s">
        <v>41</v>
      </c>
      <c r="G12" s="10" t="s">
        <v>432</v>
      </c>
      <c r="H12" s="22">
        <v>2.34375E-2</v>
      </c>
      <c r="I12" s="12"/>
      <c r="J12" s="12"/>
      <c r="K12" s="12">
        <v>33.75</v>
      </c>
      <c r="L12" s="33" t="s">
        <v>386</v>
      </c>
      <c r="M12" s="41">
        <v>1</v>
      </c>
      <c r="N12" s="47"/>
      <c r="O12" s="47" t="str">
        <f>RIGHT(A12,2)</f>
        <v>01</v>
      </c>
      <c r="P12" s="43" t="str">
        <f>VLOOKUP(L12,'Issue Resolution'!$A$2:$A$999,1,FALSE)</f>
        <v>Operational Issue</v>
      </c>
    </row>
    <row r="13" spans="1:16" x14ac:dyDescent="0.25">
      <c r="A13" s="10" t="s">
        <v>614</v>
      </c>
      <c r="B13" s="10">
        <v>4014</v>
      </c>
      <c r="C13" s="13">
        <v>42552.760069444441</v>
      </c>
      <c r="D13" s="13">
        <v>42552.760081018518</v>
      </c>
      <c r="E13" s="10">
        <v>0</v>
      </c>
      <c r="F13" s="10" t="s">
        <v>39</v>
      </c>
      <c r="G13" s="10" t="s">
        <v>450</v>
      </c>
      <c r="H13" s="22">
        <v>1.1574076779652387E-5</v>
      </c>
      <c r="I13" s="12"/>
      <c r="J13" s="12"/>
      <c r="K13" s="12">
        <v>1.6666670562699437E-2</v>
      </c>
      <c r="L13" s="40" t="s">
        <v>47</v>
      </c>
      <c r="M13" s="41">
        <v>0</v>
      </c>
      <c r="N13" s="47"/>
      <c r="O13" s="47" t="str">
        <f>RIGHT(A13,2)</f>
        <v>01</v>
      </c>
      <c r="P13" s="43" t="str">
        <f>VLOOKUP(L13,'Issue Resolution'!$A$2:$A$999,1,FALSE)</f>
        <v>Onboard in-route failure</v>
      </c>
    </row>
    <row r="14" spans="1:16" x14ac:dyDescent="0.25">
      <c r="A14" s="10" t="s">
        <v>615</v>
      </c>
      <c r="B14" s="10">
        <v>4030</v>
      </c>
      <c r="C14" s="13">
        <v>42552.831666666665</v>
      </c>
      <c r="D14" s="13">
        <v>42552.831701388888</v>
      </c>
      <c r="E14" s="10">
        <v>0</v>
      </c>
      <c r="F14" s="10" t="s">
        <v>33</v>
      </c>
      <c r="G14" s="10" t="s">
        <v>413</v>
      </c>
      <c r="H14" s="22">
        <v>3.4722223062999547E-5</v>
      </c>
      <c r="I14" s="12"/>
      <c r="J14" s="12"/>
      <c r="K14" s="12">
        <v>5.0000001210719347E-2</v>
      </c>
      <c r="L14" s="40" t="s">
        <v>47</v>
      </c>
      <c r="M14" s="41">
        <v>0</v>
      </c>
      <c r="N14" s="47"/>
      <c r="O14" s="47" t="str">
        <f>RIGHT(A14,2)</f>
        <v>01</v>
      </c>
      <c r="P14" s="43" t="str">
        <f>VLOOKUP(L14,'Issue Resolution'!$A$2:$A$999,1,FALSE)</f>
        <v>Onboard in-route failure</v>
      </c>
    </row>
    <row r="15" spans="1:16" x14ac:dyDescent="0.25">
      <c r="A15" s="10" t="s">
        <v>261</v>
      </c>
      <c r="B15" s="10">
        <v>4015</v>
      </c>
      <c r="C15" s="13">
        <v>42552.862430555557</v>
      </c>
      <c r="D15" s="13">
        <v>42552.881111111114</v>
      </c>
      <c r="E15" s="10">
        <v>0</v>
      </c>
      <c r="F15" s="10" t="s">
        <v>46</v>
      </c>
      <c r="G15" s="10" t="s">
        <v>473</v>
      </c>
      <c r="H15" s="22">
        <v>1.8680555556784384E-2</v>
      </c>
      <c r="I15" s="12"/>
      <c r="J15" s="12"/>
      <c r="K15" s="12">
        <v>43.633333338657394</v>
      </c>
      <c r="L15" s="8" t="s">
        <v>12</v>
      </c>
      <c r="M15" s="41">
        <v>1</v>
      </c>
      <c r="N15" s="47"/>
      <c r="O15" s="47" t="str">
        <f>RIGHT(A15,2)</f>
        <v>01</v>
      </c>
      <c r="P15" s="43" t="str">
        <f>VLOOKUP(L15,'Issue Resolution'!$A$2:$A$999,1,FALSE)</f>
        <v>Wi-MAX data drops</v>
      </c>
    </row>
    <row r="16" spans="1:16" x14ac:dyDescent="0.25">
      <c r="A16" s="10" t="s">
        <v>616</v>
      </c>
      <c r="B16" s="10">
        <v>4041</v>
      </c>
      <c r="C16" s="13">
        <v>42552.973368055558</v>
      </c>
      <c r="D16" s="13">
        <v>42552.973379629628</v>
      </c>
      <c r="E16" s="10">
        <v>0</v>
      </c>
      <c r="F16" s="10" t="s">
        <v>49</v>
      </c>
      <c r="G16" s="10" t="s">
        <v>558</v>
      </c>
      <c r="H16" s="22">
        <v>1.1574069503694773E-5</v>
      </c>
      <c r="I16" s="12"/>
      <c r="J16" s="12"/>
      <c r="K16" s="12">
        <v>1.6666660085320473E-2</v>
      </c>
      <c r="L16" s="40" t="s">
        <v>47</v>
      </c>
      <c r="M16" s="41">
        <v>0</v>
      </c>
      <c r="N16" s="47"/>
      <c r="O16" s="47" t="str">
        <f>RIGHT(A16,2)</f>
        <v>01</v>
      </c>
      <c r="P16" s="43" t="str">
        <f>VLOOKUP(L16,'Issue Resolution'!$A$2:$A$999,1,FALSE)</f>
        <v>Onboard in-route failure</v>
      </c>
    </row>
    <row r="17" spans="1:16" x14ac:dyDescent="0.25">
      <c r="A17" s="23" t="s">
        <v>617</v>
      </c>
      <c r="B17" s="10">
        <v>4044</v>
      </c>
      <c r="C17" s="13">
        <v>42553.343958333331</v>
      </c>
      <c r="D17" s="13">
        <v>42553.352013888885</v>
      </c>
      <c r="E17" s="10">
        <v>0</v>
      </c>
      <c r="F17" s="10" t="s">
        <v>42</v>
      </c>
      <c r="G17" s="10" t="s">
        <v>396</v>
      </c>
      <c r="H17" s="22">
        <v>8.0555555541650392E-3</v>
      </c>
      <c r="I17" s="12"/>
      <c r="J17" s="12"/>
      <c r="K17" s="12">
        <v>11.599999997997656</v>
      </c>
      <c r="L17" s="40" t="s">
        <v>47</v>
      </c>
      <c r="M17" s="41">
        <v>0.66666666666666663</v>
      </c>
      <c r="N17" s="47"/>
      <c r="O17" s="47" t="str">
        <f>RIGHT(A17,2)</f>
        <v>02</v>
      </c>
      <c r="P17" s="43" t="str">
        <f>VLOOKUP(L17,'Issue Resolution'!$A$2:$A$999,1,FALSE)</f>
        <v>Onboard in-route failure</v>
      </c>
    </row>
    <row r="18" spans="1:16" x14ac:dyDescent="0.25">
      <c r="A18" s="23" t="s">
        <v>144</v>
      </c>
      <c r="B18" s="10">
        <v>4043</v>
      </c>
      <c r="C18" s="13">
        <v>42553.541354166664</v>
      </c>
      <c r="D18" s="13">
        <v>42553.542013888888</v>
      </c>
      <c r="E18" s="10">
        <v>1</v>
      </c>
      <c r="F18" s="10" t="s">
        <v>42</v>
      </c>
      <c r="G18" s="10" t="s">
        <v>442</v>
      </c>
      <c r="H18" s="22">
        <v>6.5972222364507616E-4</v>
      </c>
      <c r="I18" s="12"/>
      <c r="J18" s="12"/>
      <c r="K18" s="12">
        <v>4.0666666743345559</v>
      </c>
      <c r="L18" s="8" t="s">
        <v>12</v>
      </c>
      <c r="M18" s="41">
        <v>0</v>
      </c>
      <c r="N18" s="47"/>
      <c r="O18" s="47" t="str">
        <f>RIGHT(A18,2)</f>
        <v>02</v>
      </c>
      <c r="P18" s="43" t="str">
        <f>VLOOKUP(L18,'Issue Resolution'!$A$2:$A$999,1,FALSE)</f>
        <v>Wi-MAX data drops</v>
      </c>
    </row>
    <row r="19" spans="1:16" x14ac:dyDescent="0.25">
      <c r="A19" s="10" t="s">
        <v>618</v>
      </c>
      <c r="B19" s="48">
        <v>4032</v>
      </c>
      <c r="C19" s="42">
        <v>42553.735983796294</v>
      </c>
      <c r="D19" s="42">
        <v>42553.73678240741</v>
      </c>
      <c r="E19" s="48">
        <v>0</v>
      </c>
      <c r="F19" s="10" t="s">
        <v>38</v>
      </c>
      <c r="G19" s="10" t="s">
        <v>468</v>
      </c>
      <c r="H19" s="22">
        <v>7.9861111589707434E-4</v>
      </c>
      <c r="I19" s="12"/>
      <c r="J19" s="12"/>
      <c r="K19" s="12">
        <v>1.1500000068917871</v>
      </c>
      <c r="L19" s="40" t="s">
        <v>47</v>
      </c>
      <c r="M19" s="41">
        <v>0</v>
      </c>
      <c r="N19" s="47"/>
      <c r="O19" s="47" t="str">
        <f>RIGHT(A19,2)</f>
        <v>02</v>
      </c>
      <c r="P19" s="43" t="str">
        <f>VLOOKUP(L19,'Issue Resolution'!$A$2:$A$999,1,FALSE)</f>
        <v>Onboard in-route failure</v>
      </c>
    </row>
    <row r="20" spans="1:16" x14ac:dyDescent="0.25">
      <c r="A20" s="10" t="s">
        <v>619</v>
      </c>
      <c r="B20" s="48">
        <v>4019</v>
      </c>
      <c r="C20" s="42">
        <v>42554.068310185183</v>
      </c>
      <c r="D20" s="42">
        <v>42554.087581018517</v>
      </c>
      <c r="E20" s="48">
        <v>0</v>
      </c>
      <c r="F20" s="10" t="s">
        <v>32</v>
      </c>
      <c r="G20" s="10" t="s">
        <v>551</v>
      </c>
      <c r="H20" s="22">
        <v>1.9270833334303461E-2</v>
      </c>
      <c r="I20" s="12"/>
      <c r="J20" s="12"/>
      <c r="K20" s="12">
        <v>37.083333337213844</v>
      </c>
      <c r="L20" s="8" t="s">
        <v>12</v>
      </c>
      <c r="M20" s="41">
        <v>1</v>
      </c>
      <c r="N20" s="47"/>
      <c r="O20" s="47" t="str">
        <f>RIGHT(A20,2)</f>
        <v>02</v>
      </c>
      <c r="P20" s="43" t="str">
        <f>VLOOKUP(L20,'Issue Resolution'!$A$2:$A$999,1,FALSE)</f>
        <v>Wi-MAX data drops</v>
      </c>
    </row>
    <row r="21" spans="1:16" x14ac:dyDescent="0.25">
      <c r="A21" s="23" t="s">
        <v>620</v>
      </c>
      <c r="B21" s="10">
        <v>4030</v>
      </c>
      <c r="C21" s="13">
        <v>42554.203587962962</v>
      </c>
      <c r="D21" s="13">
        <v>42554.224675925929</v>
      </c>
      <c r="E21" s="10">
        <v>0</v>
      </c>
      <c r="F21" s="10" t="s">
        <v>33</v>
      </c>
      <c r="G21" s="10" t="s">
        <v>459</v>
      </c>
      <c r="H21" s="22">
        <v>2.1087962966703344E-2</v>
      </c>
      <c r="I21" s="12"/>
      <c r="J21" s="12"/>
      <c r="K21" s="12">
        <v>42.866666670888662</v>
      </c>
      <c r="L21" s="33" t="s">
        <v>386</v>
      </c>
      <c r="M21" s="41">
        <v>1</v>
      </c>
      <c r="N21" s="47"/>
      <c r="O21" s="47" t="str">
        <f>RIGHT(A21,2)</f>
        <v>03</v>
      </c>
      <c r="P21" s="43" t="str">
        <f>VLOOKUP(L21,'Issue Resolution'!$A$2:$A$999,1,FALSE)</f>
        <v>Operational Issue</v>
      </c>
    </row>
    <row r="22" spans="1:16" x14ac:dyDescent="0.25">
      <c r="A22" s="23" t="s">
        <v>621</v>
      </c>
      <c r="B22" s="10">
        <v>4029</v>
      </c>
      <c r="C22" s="13">
        <v>42554.235011574077</v>
      </c>
      <c r="D22" s="13">
        <v>42554.259826388887</v>
      </c>
      <c r="E22" s="10">
        <v>0</v>
      </c>
      <c r="F22" s="10" t="s">
        <v>33</v>
      </c>
      <c r="G22" s="10" t="s">
        <v>459</v>
      </c>
      <c r="H22" s="22">
        <v>2.4814814809360541E-2</v>
      </c>
      <c r="I22" s="12"/>
      <c r="J22" s="12"/>
      <c r="K22" s="12">
        <v>35.73333332547918</v>
      </c>
      <c r="L22" s="8" t="s">
        <v>8</v>
      </c>
      <c r="M22" s="41">
        <v>1</v>
      </c>
      <c r="N22" s="47"/>
      <c r="O22" s="47" t="str">
        <f>RIGHT(A22,2)</f>
        <v>03</v>
      </c>
      <c r="P22" s="43" t="str">
        <f>VLOOKUP(L22,'Issue Resolution'!$A$2:$A$999,1,FALSE)</f>
        <v>Inefficient dispatching</v>
      </c>
    </row>
    <row r="23" spans="1:16" x14ac:dyDescent="0.25">
      <c r="A23" s="23" t="s">
        <v>152</v>
      </c>
      <c r="B23" s="10">
        <v>4039</v>
      </c>
      <c r="C23" s="13">
        <v>42554.578310185185</v>
      </c>
      <c r="D23" s="13">
        <v>42554.585601851853</v>
      </c>
      <c r="E23" s="10">
        <v>1</v>
      </c>
      <c r="F23" s="10" t="s">
        <v>44</v>
      </c>
      <c r="G23" s="10" t="s">
        <v>493</v>
      </c>
      <c r="H23" s="22">
        <v>7.291666668606922E-3</v>
      </c>
      <c r="I23" s="12"/>
      <c r="J23" s="12"/>
      <c r="K23" s="12">
        <v>10.500000002793968</v>
      </c>
      <c r="L23" s="40" t="s">
        <v>47</v>
      </c>
      <c r="M23" s="41">
        <v>0</v>
      </c>
      <c r="N23" s="47"/>
      <c r="O23" s="47" t="str">
        <f>RIGHT(A23,2)</f>
        <v>03</v>
      </c>
      <c r="P23" s="43" t="str">
        <f>VLOOKUP(L23,'Issue Resolution'!$A$2:$A$999,1,FALSE)</f>
        <v>Onboard in-route failure</v>
      </c>
    </row>
    <row r="24" spans="1:16" x14ac:dyDescent="0.25">
      <c r="A24" s="23" t="s">
        <v>622</v>
      </c>
      <c r="B24" s="10">
        <v>4011</v>
      </c>
      <c r="C24" s="13">
        <v>42554.548090277778</v>
      </c>
      <c r="D24" s="13">
        <v>42554.550092592595</v>
      </c>
      <c r="E24" s="10">
        <v>0</v>
      </c>
      <c r="F24" s="10" t="s">
        <v>40</v>
      </c>
      <c r="G24" s="10" t="s">
        <v>552</v>
      </c>
      <c r="H24" s="22">
        <v>2.0023148172185756E-3</v>
      </c>
      <c r="I24" s="12"/>
      <c r="J24" s="12"/>
      <c r="K24" s="12">
        <v>2.8833333367947489</v>
      </c>
      <c r="L24" s="40" t="s">
        <v>47</v>
      </c>
      <c r="M24" s="41">
        <v>0</v>
      </c>
      <c r="N24" s="47"/>
      <c r="O24" s="47" t="str">
        <f>RIGHT(A24,2)</f>
        <v>03</v>
      </c>
      <c r="P24" s="43" t="str">
        <f>VLOOKUP(L24,'Issue Resolution'!$A$2:$A$999,1,FALSE)</f>
        <v>Onboard in-route failure</v>
      </c>
    </row>
    <row r="25" spans="1:16" x14ac:dyDescent="0.25">
      <c r="A25" s="10" t="s">
        <v>264</v>
      </c>
      <c r="B25" s="48">
        <v>4016</v>
      </c>
      <c r="C25" s="42">
        <v>42554.58966435185</v>
      </c>
      <c r="D25" s="42">
        <v>42554.616261574076</v>
      </c>
      <c r="E25" s="48">
        <v>1</v>
      </c>
      <c r="F25" s="10" t="s">
        <v>46</v>
      </c>
      <c r="G25" s="10" t="s">
        <v>409</v>
      </c>
      <c r="H25" s="22">
        <v>2.6597222225973383E-2</v>
      </c>
      <c r="I25" s="12"/>
      <c r="J25" s="12"/>
      <c r="K25" s="12">
        <v>44.300000004004687</v>
      </c>
      <c r="L25" s="8" t="s">
        <v>12</v>
      </c>
      <c r="M25" s="41">
        <v>1</v>
      </c>
      <c r="N25" s="47"/>
      <c r="O25" s="47" t="str">
        <f>RIGHT(A25,2)</f>
        <v>03</v>
      </c>
      <c r="P25" s="43" t="str">
        <f>VLOOKUP(L25,'Issue Resolution'!$A$2:$A$999,1,FALSE)</f>
        <v>Wi-MAX data drops</v>
      </c>
    </row>
    <row r="26" spans="1:16" x14ac:dyDescent="0.25">
      <c r="A26" s="10" t="s">
        <v>623</v>
      </c>
      <c r="B26" s="48">
        <v>4013</v>
      </c>
      <c r="C26" s="42">
        <v>42554.734930555554</v>
      </c>
      <c r="D26" s="42">
        <v>42554.754131944443</v>
      </c>
      <c r="E26" s="48">
        <v>0</v>
      </c>
      <c r="F26" s="10" t="s">
        <v>39</v>
      </c>
      <c r="G26" s="10" t="s">
        <v>551</v>
      </c>
      <c r="H26" s="22">
        <v>1.9201388888177462E-2</v>
      </c>
      <c r="I26" s="12"/>
      <c r="J26" s="12"/>
      <c r="K26" s="12">
        <v>27.649999998975545</v>
      </c>
      <c r="L26" s="8" t="s">
        <v>12</v>
      </c>
      <c r="M26" s="41">
        <v>1</v>
      </c>
      <c r="N26" s="47"/>
      <c r="O26" s="47" t="str">
        <f>RIGHT(A26,2)</f>
        <v>03</v>
      </c>
      <c r="P26" s="43" t="str">
        <f>VLOOKUP(L26,'Issue Resolution'!$A$2:$A$999,1,FALSE)</f>
        <v>Wi-MAX data drops</v>
      </c>
    </row>
    <row r="27" spans="1:16" x14ac:dyDescent="0.25">
      <c r="A27" s="10" t="s">
        <v>624</v>
      </c>
      <c r="B27" s="48">
        <v>4026</v>
      </c>
      <c r="C27" s="42">
        <v>42554.756932870368</v>
      </c>
      <c r="D27" s="42">
        <v>42554.775405092594</v>
      </c>
      <c r="E27" s="48">
        <v>0</v>
      </c>
      <c r="F27" s="10" t="s">
        <v>37</v>
      </c>
      <c r="G27" s="10" t="s">
        <v>442</v>
      </c>
      <c r="H27" s="22">
        <v>1.8472222225682344E-2</v>
      </c>
      <c r="I27" s="12"/>
      <c r="J27" s="12"/>
      <c r="K27" s="12">
        <v>26.600000004982576</v>
      </c>
      <c r="L27" s="8" t="s">
        <v>12</v>
      </c>
      <c r="M27" s="41">
        <v>1</v>
      </c>
      <c r="N27" s="47"/>
      <c r="O27" s="47" t="str">
        <f>RIGHT(A27,2)</f>
        <v>03</v>
      </c>
      <c r="P27" s="43" t="str">
        <f>VLOOKUP(L27,'Issue Resolution'!$A$2:$A$999,1,FALSE)</f>
        <v>Wi-MAX data drops</v>
      </c>
    </row>
    <row r="28" spans="1:16" x14ac:dyDescent="0.25">
      <c r="A28" s="23" t="s">
        <v>625</v>
      </c>
      <c r="B28" s="10">
        <v>4013</v>
      </c>
      <c r="C28" s="13">
        <v>42554.953645833331</v>
      </c>
      <c r="D28" s="13">
        <v>42554.955393518518</v>
      </c>
      <c r="E28" s="10">
        <v>2</v>
      </c>
      <c r="F28" s="10" t="s">
        <v>39</v>
      </c>
      <c r="G28" s="10" t="s">
        <v>450</v>
      </c>
      <c r="H28" s="22">
        <v>1.747685186273884E-3</v>
      </c>
      <c r="I28" s="12"/>
      <c r="J28" s="12"/>
      <c r="K28" s="12">
        <v>2.516666668234393</v>
      </c>
      <c r="L28" s="40" t="s">
        <v>47</v>
      </c>
      <c r="M28" s="41">
        <v>0</v>
      </c>
      <c r="N28" s="47"/>
      <c r="O28" s="47" t="str">
        <f>RIGHT(A28,2)</f>
        <v>03</v>
      </c>
      <c r="P28" s="43" t="str">
        <f>VLOOKUP(L28,'Issue Resolution'!$A$2:$A$999,1,FALSE)</f>
        <v>Onboard in-route failure</v>
      </c>
    </row>
    <row r="29" spans="1:16" x14ac:dyDescent="0.25">
      <c r="A29" s="23" t="s">
        <v>626</v>
      </c>
      <c r="B29" s="10">
        <v>4020</v>
      </c>
      <c r="C29" s="13">
        <v>42555.230787037035</v>
      </c>
      <c r="D29" s="13">
        <v>42555.251875000002</v>
      </c>
      <c r="E29" s="10">
        <v>0</v>
      </c>
      <c r="F29" s="10" t="s">
        <v>32</v>
      </c>
      <c r="G29" s="10" t="s">
        <v>459</v>
      </c>
      <c r="H29" s="22">
        <v>2.1087962966703344E-2</v>
      </c>
      <c r="I29" s="12"/>
      <c r="J29" s="12"/>
      <c r="K29" s="12">
        <v>30.366666672052816</v>
      </c>
      <c r="L29" s="40" t="s">
        <v>47</v>
      </c>
      <c r="M29" s="41">
        <v>0.83333333333333337</v>
      </c>
      <c r="N29" s="47"/>
      <c r="O29" s="47" t="str">
        <f>RIGHT(A29,2)</f>
        <v>04</v>
      </c>
      <c r="P29" s="43" t="str">
        <f>VLOOKUP(L29,'Issue Resolution'!$A$2:$A$999,1,FALSE)</f>
        <v>Onboard in-route failure</v>
      </c>
    </row>
    <row r="30" spans="1:16" x14ac:dyDescent="0.25">
      <c r="A30" s="23" t="s">
        <v>627</v>
      </c>
      <c r="B30" s="10">
        <v>4039</v>
      </c>
      <c r="C30" s="13">
        <v>42555.403611111113</v>
      </c>
      <c r="D30" s="13">
        <v>42555.419259259259</v>
      </c>
      <c r="E30" s="10">
        <v>0</v>
      </c>
      <c r="F30" s="10" t="s">
        <v>44</v>
      </c>
      <c r="G30" s="10" t="s">
        <v>463</v>
      </c>
      <c r="H30" s="22">
        <v>1.5648148146283347E-2</v>
      </c>
      <c r="I30" s="12"/>
      <c r="J30" s="12"/>
      <c r="K30" s="12">
        <v>22.53333333064802</v>
      </c>
      <c r="L30" s="40" t="s">
        <v>47</v>
      </c>
      <c r="M30" s="41">
        <v>1</v>
      </c>
      <c r="N30" s="47"/>
      <c r="O30" s="47" t="str">
        <f>RIGHT(A30,2)</f>
        <v>04</v>
      </c>
      <c r="P30" s="43" t="str">
        <f>VLOOKUP(L30,'Issue Resolution'!$A$2:$A$999,1,FALSE)</f>
        <v>Onboard in-route failure</v>
      </c>
    </row>
    <row r="31" spans="1:16" x14ac:dyDescent="0.25">
      <c r="A31" s="23" t="s">
        <v>628</v>
      </c>
      <c r="B31" s="10">
        <v>4026</v>
      </c>
      <c r="C31" s="13">
        <v>42555.412060185183</v>
      </c>
      <c r="D31" s="13">
        <v>42555.437164351853</v>
      </c>
      <c r="E31" s="10">
        <v>0</v>
      </c>
      <c r="F31" s="10" t="s">
        <v>37</v>
      </c>
      <c r="G31" s="10" t="s">
        <v>396</v>
      </c>
      <c r="H31" s="22">
        <v>2.510416667064419E-2</v>
      </c>
      <c r="I31" s="12"/>
      <c r="J31" s="12"/>
      <c r="K31" s="12">
        <v>36.150000005727634</v>
      </c>
      <c r="L31" s="33" t="s">
        <v>386</v>
      </c>
      <c r="M31" s="41">
        <v>1</v>
      </c>
      <c r="N31" s="47"/>
      <c r="O31" s="47" t="str">
        <f>RIGHT(A31,2)</f>
        <v>04</v>
      </c>
      <c r="P31" s="43" t="str">
        <f>VLOOKUP(L31,'Issue Resolution'!$A$2:$A$999,1,FALSE)</f>
        <v>Operational Issue</v>
      </c>
    </row>
    <row r="32" spans="1:16" x14ac:dyDescent="0.25">
      <c r="A32" s="23" t="s">
        <v>270</v>
      </c>
      <c r="B32" s="10">
        <v>4030</v>
      </c>
      <c r="C32" s="13">
        <v>42555.449652777781</v>
      </c>
      <c r="D32" s="13">
        <v>42555.472060185188</v>
      </c>
      <c r="E32" s="10">
        <v>3</v>
      </c>
      <c r="F32" s="10" t="s">
        <v>33</v>
      </c>
      <c r="G32" s="10" t="s">
        <v>444</v>
      </c>
      <c r="H32" s="22">
        <v>2.2407407406717539E-2</v>
      </c>
      <c r="I32" s="12"/>
      <c r="J32" s="12"/>
      <c r="K32" s="12">
        <v>32.266666665673256</v>
      </c>
      <c r="L32" s="8" t="s">
        <v>12</v>
      </c>
      <c r="M32" s="41">
        <v>0.25</v>
      </c>
      <c r="N32" s="47"/>
      <c r="O32" s="47" t="str">
        <f>RIGHT(A32,2)</f>
        <v>04</v>
      </c>
      <c r="P32" s="43" t="str">
        <f>VLOOKUP(L32,'Issue Resolution'!$A$2:$A$999,1,FALSE)</f>
        <v>Wi-MAX data drops</v>
      </c>
    </row>
    <row r="33" spans="1:16" x14ac:dyDescent="0.25">
      <c r="A33" s="10" t="s">
        <v>275</v>
      </c>
      <c r="B33" s="48">
        <v>4029</v>
      </c>
      <c r="C33" s="42">
        <v>42555.714953703704</v>
      </c>
      <c r="D33" s="42">
        <v>42555.749027777776</v>
      </c>
      <c r="E33" s="48">
        <v>0</v>
      </c>
      <c r="F33" s="10" t="s">
        <v>33</v>
      </c>
      <c r="G33" s="10" t="s">
        <v>442</v>
      </c>
      <c r="H33" s="22">
        <v>3.407407407212304E-2</v>
      </c>
      <c r="I33" s="12"/>
      <c r="J33" s="12"/>
      <c r="K33" s="12">
        <v>50.466666666325182</v>
      </c>
      <c r="L33" s="40" t="s">
        <v>47</v>
      </c>
      <c r="M33" s="41">
        <v>0</v>
      </c>
      <c r="N33" s="47"/>
      <c r="O33" s="47" t="str">
        <f>RIGHT(A33,2)</f>
        <v>04</v>
      </c>
      <c r="P33" s="43" t="str">
        <f>VLOOKUP(L33,'Issue Resolution'!$A$2:$A$999,1,FALSE)</f>
        <v>Onboard in-route failure</v>
      </c>
    </row>
    <row r="34" spans="1:16" x14ac:dyDescent="0.25">
      <c r="A34" s="23" t="s">
        <v>629</v>
      </c>
      <c r="B34" s="10">
        <v>4040</v>
      </c>
      <c r="C34" s="13">
        <v>42555.790532407409</v>
      </c>
      <c r="D34" s="13">
        <v>42555.792314814818</v>
      </c>
      <c r="E34" s="10">
        <v>0</v>
      </c>
      <c r="F34" s="10" t="s">
        <v>44</v>
      </c>
      <c r="G34" s="10" t="s">
        <v>404</v>
      </c>
      <c r="H34" s="22">
        <v>1.7824074093368836E-3</v>
      </c>
      <c r="I34" s="12"/>
      <c r="J34" s="12"/>
      <c r="K34" s="12">
        <v>3.5666666622273624</v>
      </c>
      <c r="L34" s="40" t="s">
        <v>47</v>
      </c>
      <c r="M34" s="41">
        <v>0</v>
      </c>
      <c r="N34" s="47"/>
      <c r="O34" s="47" t="str">
        <f>RIGHT(A34,2)</f>
        <v>04</v>
      </c>
      <c r="P34" s="43" t="str">
        <f>VLOOKUP(L34,'Issue Resolution'!$A$2:$A$999,1,FALSE)</f>
        <v>Onboard in-route failure</v>
      </c>
    </row>
    <row r="35" spans="1:16" x14ac:dyDescent="0.25">
      <c r="A35" s="23" t="s">
        <v>276</v>
      </c>
      <c r="B35" s="10">
        <v>4018</v>
      </c>
      <c r="C35" s="13">
        <v>42556.13113425926</v>
      </c>
      <c r="D35" s="13">
        <v>42556.159571759257</v>
      </c>
      <c r="E35" s="10">
        <v>0</v>
      </c>
      <c r="F35" s="10" t="s">
        <v>41</v>
      </c>
      <c r="G35" s="10" t="s">
        <v>459</v>
      </c>
      <c r="H35" s="22">
        <v>2.8437499997380655E-2</v>
      </c>
      <c r="I35" s="12"/>
      <c r="J35" s="12"/>
      <c r="K35" s="12">
        <v>40.949999996228144</v>
      </c>
      <c r="L35" s="35" t="s">
        <v>1767</v>
      </c>
      <c r="M35" s="41">
        <v>1</v>
      </c>
      <c r="N35" s="47"/>
      <c r="O35" s="47" t="str">
        <f>RIGHT(A35,2)</f>
        <v>05</v>
      </c>
      <c r="P35" s="43" t="str">
        <f>VLOOKUP(L35,'Issue Resolution'!$A$2:$A$999,1,FALSE)</f>
        <v>Signaling system failures</v>
      </c>
    </row>
    <row r="36" spans="1:16" x14ac:dyDescent="0.25">
      <c r="A36" s="23" t="s">
        <v>630</v>
      </c>
      <c r="B36" s="10">
        <v>4020</v>
      </c>
      <c r="C36" s="13">
        <v>42556.15215277778</v>
      </c>
      <c r="D36" s="13">
        <v>42556.179571759261</v>
      </c>
      <c r="E36" s="10">
        <v>1</v>
      </c>
      <c r="F36" s="10" t="s">
        <v>32</v>
      </c>
      <c r="G36" s="10" t="s">
        <v>415</v>
      </c>
      <c r="H36" s="22">
        <v>2.7418981480877846E-2</v>
      </c>
      <c r="I36" s="12"/>
      <c r="J36" s="12"/>
      <c r="K36" s="12">
        <v>39.483333332464099</v>
      </c>
      <c r="L36" s="35" t="s">
        <v>1767</v>
      </c>
      <c r="M36" s="41">
        <v>1</v>
      </c>
      <c r="N36" s="47"/>
      <c r="O36" s="47" t="str">
        <f>RIGHT(A36,2)</f>
        <v>05</v>
      </c>
      <c r="P36" s="43" t="str">
        <f>VLOOKUP(L36,'Issue Resolution'!$A$2:$A$999,1,FALSE)</f>
        <v>Signaling system failures</v>
      </c>
    </row>
    <row r="37" spans="1:16" x14ac:dyDescent="0.25">
      <c r="A37" s="23" t="s">
        <v>631</v>
      </c>
      <c r="B37" s="10">
        <v>4044</v>
      </c>
      <c r="C37" s="13">
        <v>42556.173020833332</v>
      </c>
      <c r="D37" s="13">
        <v>42556.198923611111</v>
      </c>
      <c r="E37" s="10">
        <v>0</v>
      </c>
      <c r="F37" s="10" t="s">
        <v>42</v>
      </c>
      <c r="G37" s="10" t="s">
        <v>453</v>
      </c>
      <c r="H37" s="22">
        <v>2.5902777779265307E-2</v>
      </c>
      <c r="I37" s="12"/>
      <c r="J37" s="12"/>
      <c r="K37" s="12">
        <v>37.300000002142042</v>
      </c>
      <c r="L37" s="35" t="s">
        <v>1767</v>
      </c>
      <c r="M37" s="41">
        <v>1</v>
      </c>
      <c r="N37" s="47"/>
      <c r="O37" s="47" t="str">
        <f>RIGHT(A37,2)</f>
        <v>05</v>
      </c>
      <c r="P37" s="43" t="str">
        <f>VLOOKUP(L37,'Issue Resolution'!$A$2:$A$999,1,FALSE)</f>
        <v>Signaling system failures</v>
      </c>
    </row>
    <row r="38" spans="1:16" x14ac:dyDescent="0.25">
      <c r="A38" s="23" t="s">
        <v>632</v>
      </c>
      <c r="B38" s="10">
        <v>4038</v>
      </c>
      <c r="C38" s="13">
        <v>42556.18550925926</v>
      </c>
      <c r="D38" s="13">
        <v>42556.187939814816</v>
      </c>
      <c r="E38" s="10">
        <v>0</v>
      </c>
      <c r="F38" s="10" t="s">
        <v>35</v>
      </c>
      <c r="G38" s="10" t="s">
        <v>469</v>
      </c>
      <c r="H38" s="22">
        <v>2.4305555562023073E-3</v>
      </c>
      <c r="I38" s="12"/>
      <c r="J38" s="12"/>
      <c r="K38" s="12">
        <v>3.5000000009313226</v>
      </c>
      <c r="L38" s="8" t="s">
        <v>8</v>
      </c>
      <c r="M38" s="41">
        <v>0</v>
      </c>
      <c r="N38" s="47"/>
      <c r="O38" s="47" t="str">
        <f>RIGHT(A38,2)</f>
        <v>05</v>
      </c>
      <c r="P38" s="43" t="str">
        <f>VLOOKUP(L38,'Issue Resolution'!$A$2:$A$999,1,FALSE)</f>
        <v>Inefficient dispatching</v>
      </c>
    </row>
    <row r="39" spans="1:16" x14ac:dyDescent="0.25">
      <c r="A39" s="23" t="s">
        <v>632</v>
      </c>
      <c r="B39" s="10">
        <v>4038</v>
      </c>
      <c r="C39" s="13">
        <v>42556.191678240742</v>
      </c>
      <c r="D39" s="13">
        <v>42556.210023148145</v>
      </c>
      <c r="E39" s="10">
        <v>0</v>
      </c>
      <c r="F39" s="10" t="s">
        <v>35</v>
      </c>
      <c r="G39" s="10" t="s">
        <v>469</v>
      </c>
      <c r="H39" s="22">
        <v>1.8344907402934041E-2</v>
      </c>
      <c r="I39" s="12"/>
      <c r="J39" s="12"/>
      <c r="K39" s="12">
        <v>26.416666660225019</v>
      </c>
      <c r="L39" s="35" t="s">
        <v>1767</v>
      </c>
      <c r="M39" s="41">
        <v>1</v>
      </c>
      <c r="N39" s="47"/>
      <c r="O39" s="47" t="str">
        <f>RIGHT(A39,2)</f>
        <v>05</v>
      </c>
      <c r="P39" s="43" t="str">
        <f>VLOOKUP(L39,'Issue Resolution'!$A$2:$A$999,1,FALSE)</f>
        <v>Signaling system failures</v>
      </c>
    </row>
    <row r="40" spans="1:16" x14ac:dyDescent="0.25">
      <c r="A40" s="23" t="s">
        <v>277</v>
      </c>
      <c r="B40" s="10">
        <v>4027</v>
      </c>
      <c r="C40" s="13">
        <v>42556.190266203703</v>
      </c>
      <c r="D40" s="13">
        <v>42556.2190625</v>
      </c>
      <c r="E40" s="10">
        <v>0</v>
      </c>
      <c r="F40" s="10" t="s">
        <v>36</v>
      </c>
      <c r="G40" s="10" t="s">
        <v>463</v>
      </c>
      <c r="H40" s="22">
        <v>2.8796296297514345E-2</v>
      </c>
      <c r="I40" s="12"/>
      <c r="J40" s="12"/>
      <c r="K40" s="12">
        <v>41.466666668420658</v>
      </c>
      <c r="L40" s="35" t="s">
        <v>1767</v>
      </c>
      <c r="M40" s="41">
        <v>1</v>
      </c>
      <c r="N40" s="47"/>
      <c r="O40" s="47" t="str">
        <f>RIGHT(A40,2)</f>
        <v>05</v>
      </c>
      <c r="P40" s="43" t="str">
        <f>VLOOKUP(L40,'Issue Resolution'!$A$2:$A$999,1,FALSE)</f>
        <v>Signaling system failures</v>
      </c>
    </row>
    <row r="41" spans="1:16" x14ac:dyDescent="0.25">
      <c r="A41" s="23" t="s">
        <v>633</v>
      </c>
      <c r="B41" s="10">
        <v>4028</v>
      </c>
      <c r="C41" s="13">
        <v>42556.250717592593</v>
      </c>
      <c r="D41" s="13">
        <v>42556.266250000001</v>
      </c>
      <c r="E41" s="10">
        <v>0</v>
      </c>
      <c r="F41" s="10" t="s">
        <v>36</v>
      </c>
      <c r="G41" s="10" t="s">
        <v>463</v>
      </c>
      <c r="H41" s="22">
        <v>1.5532407407590654E-2</v>
      </c>
      <c r="I41" s="12"/>
      <c r="J41" s="12"/>
      <c r="K41" s="12">
        <v>22.366666666930541</v>
      </c>
      <c r="L41" s="8" t="s">
        <v>10</v>
      </c>
      <c r="M41" s="41">
        <v>1</v>
      </c>
      <c r="N41" s="47"/>
      <c r="O41" s="47" t="str">
        <f>RIGHT(A41,2)</f>
        <v>05</v>
      </c>
      <c r="P41" s="43" t="str">
        <f>VLOOKUP(L41,'Issue Resolution'!$A$2:$A$999,1,FALSE)</f>
        <v>Dispatcher error preventing initialization at terminals</v>
      </c>
    </row>
    <row r="42" spans="1:16" x14ac:dyDescent="0.25">
      <c r="A42" s="23" t="s">
        <v>72</v>
      </c>
      <c r="B42" s="10">
        <v>4018</v>
      </c>
      <c r="C42" s="13">
        <v>42556.208067129628</v>
      </c>
      <c r="D42" s="13">
        <v>42556.23164351852</v>
      </c>
      <c r="E42" s="10">
        <v>0</v>
      </c>
      <c r="F42" s="10" t="s">
        <v>41</v>
      </c>
      <c r="G42" s="10" t="s">
        <v>475</v>
      </c>
      <c r="H42" s="22">
        <v>2.3576388892251998E-2</v>
      </c>
      <c r="I42" s="12"/>
      <c r="J42" s="12"/>
      <c r="K42" s="12">
        <v>33.950000004842877</v>
      </c>
      <c r="L42" s="35" t="s">
        <v>1767</v>
      </c>
      <c r="M42" s="41">
        <v>1</v>
      </c>
      <c r="N42" s="47"/>
      <c r="O42" s="47" t="str">
        <f>RIGHT(A42,2)</f>
        <v>05</v>
      </c>
      <c r="P42" s="43" t="str">
        <f>VLOOKUP(L42,'Issue Resolution'!$A$2:$A$999,1,FALSE)</f>
        <v>Signaling system failures</v>
      </c>
    </row>
    <row r="43" spans="1:16" x14ac:dyDescent="0.25">
      <c r="A43" s="23" t="s">
        <v>634</v>
      </c>
      <c r="B43" s="10">
        <v>4014</v>
      </c>
      <c r="C43" s="13">
        <v>42556.214745370373</v>
      </c>
      <c r="D43" s="13">
        <v>42556.242962962962</v>
      </c>
      <c r="E43" s="10">
        <v>0</v>
      </c>
      <c r="F43" s="10" t="s">
        <v>39</v>
      </c>
      <c r="G43" s="10" t="s">
        <v>459</v>
      </c>
      <c r="H43" s="22">
        <v>2.8217592589498963E-2</v>
      </c>
      <c r="I43" s="12"/>
      <c r="J43" s="12"/>
      <c r="K43" s="12">
        <v>40.633333328878507</v>
      </c>
      <c r="L43" s="35" t="s">
        <v>1767</v>
      </c>
      <c r="M43" s="41">
        <v>1</v>
      </c>
      <c r="N43" s="47"/>
      <c r="O43" s="47" t="str">
        <f>RIGHT(A43,2)</f>
        <v>05</v>
      </c>
      <c r="P43" s="43" t="str">
        <f>VLOOKUP(L43,'Issue Resolution'!$A$2:$A$999,1,FALSE)</f>
        <v>Signaling system failures</v>
      </c>
    </row>
    <row r="44" spans="1:16" x14ac:dyDescent="0.25">
      <c r="A44" s="23" t="s">
        <v>635</v>
      </c>
      <c r="B44" s="10">
        <v>4020</v>
      </c>
      <c r="C44" s="13">
        <v>42556.227916666663</v>
      </c>
      <c r="D44" s="13">
        <v>42556.252326388887</v>
      </c>
      <c r="E44" s="10">
        <v>0</v>
      </c>
      <c r="F44" s="10" t="s">
        <v>32</v>
      </c>
      <c r="G44" s="10" t="s">
        <v>444</v>
      </c>
      <c r="H44" s="22">
        <v>2.4409722223936114E-2</v>
      </c>
      <c r="I44" s="12"/>
      <c r="J44" s="12"/>
      <c r="K44" s="12">
        <v>35.150000002468005</v>
      </c>
      <c r="L44" s="35" t="s">
        <v>1767</v>
      </c>
      <c r="M44" s="41">
        <v>1</v>
      </c>
      <c r="N44" s="47"/>
      <c r="O44" s="47" t="str">
        <f>RIGHT(A44,2)</f>
        <v>05</v>
      </c>
      <c r="P44" s="43" t="str">
        <f>VLOOKUP(L44,'Issue Resolution'!$A$2:$A$999,1,FALSE)</f>
        <v>Signaling system failures</v>
      </c>
    </row>
    <row r="45" spans="1:16" x14ac:dyDescent="0.25">
      <c r="A45" s="23" t="s">
        <v>636</v>
      </c>
      <c r="B45" s="10">
        <v>4031</v>
      </c>
      <c r="C45" s="13">
        <v>42556.232789351852</v>
      </c>
      <c r="D45" s="13">
        <v>42556.262430555558</v>
      </c>
      <c r="E45" s="10">
        <v>1</v>
      </c>
      <c r="F45" s="10" t="s">
        <v>38</v>
      </c>
      <c r="G45" s="10" t="s">
        <v>442</v>
      </c>
      <c r="H45" s="22">
        <v>2.9641203705978114E-2</v>
      </c>
      <c r="I45" s="12"/>
      <c r="J45" s="12"/>
      <c r="K45" s="12">
        <v>42.683333336608484</v>
      </c>
      <c r="L45" s="35" t="s">
        <v>1767</v>
      </c>
      <c r="M45" s="41">
        <v>1</v>
      </c>
      <c r="N45" s="47"/>
      <c r="O45" s="47" t="str">
        <f>RIGHT(A45,2)</f>
        <v>05</v>
      </c>
      <c r="P45" s="43" t="str">
        <f>VLOOKUP(L45,'Issue Resolution'!$A$2:$A$999,1,FALSE)</f>
        <v>Signaling system failures</v>
      </c>
    </row>
    <row r="46" spans="1:16" x14ac:dyDescent="0.25">
      <c r="A46" s="23" t="s">
        <v>637</v>
      </c>
      <c r="B46" s="10">
        <v>4044</v>
      </c>
      <c r="C46" s="13">
        <v>42556.24690972222</v>
      </c>
      <c r="D46" s="13">
        <v>42556.271412037036</v>
      </c>
      <c r="E46" s="10">
        <v>0</v>
      </c>
      <c r="F46" s="10" t="s">
        <v>42</v>
      </c>
      <c r="G46" s="10" t="s">
        <v>453</v>
      </c>
      <c r="H46" s="22">
        <v>2.4502314816345461E-2</v>
      </c>
      <c r="I46" s="12"/>
      <c r="J46" s="12"/>
      <c r="K46" s="12">
        <v>35.283333335537463</v>
      </c>
      <c r="L46" s="35" t="s">
        <v>1767</v>
      </c>
      <c r="M46" s="41">
        <v>1</v>
      </c>
      <c r="N46" s="47"/>
      <c r="O46" s="47" t="str">
        <f>RIGHT(A46,2)</f>
        <v>05</v>
      </c>
      <c r="P46" s="43" t="str">
        <f>VLOOKUP(L46,'Issue Resolution'!$A$2:$A$999,1,FALSE)</f>
        <v>Signaling system failures</v>
      </c>
    </row>
    <row r="47" spans="1:16" x14ac:dyDescent="0.25">
      <c r="A47" s="23" t="s">
        <v>638</v>
      </c>
      <c r="B47" s="10">
        <v>4043</v>
      </c>
      <c r="C47" s="13">
        <v>42556.288124999999</v>
      </c>
      <c r="D47" s="13">
        <v>42556.292222222219</v>
      </c>
      <c r="E47" s="10">
        <v>1</v>
      </c>
      <c r="F47" s="10" t="s">
        <v>42</v>
      </c>
      <c r="G47" s="10" t="s">
        <v>453</v>
      </c>
      <c r="H47" s="22">
        <v>4.0972222195705399E-3</v>
      </c>
      <c r="I47" s="12"/>
      <c r="J47" s="12"/>
      <c r="K47" s="12">
        <v>5.8999999961815774</v>
      </c>
      <c r="L47" s="34" t="s">
        <v>387</v>
      </c>
      <c r="M47" s="41">
        <v>0</v>
      </c>
      <c r="N47" s="47"/>
      <c r="O47" s="47" t="str">
        <f>RIGHT(A47,2)</f>
        <v>05</v>
      </c>
      <c r="P47" s="43" t="str">
        <f>VLOOKUP(L47,'Issue Resolution'!$A$2:$A$999,1,FALSE)</f>
        <v>Planned maintenance</v>
      </c>
    </row>
    <row r="48" spans="1:16" x14ac:dyDescent="0.25">
      <c r="A48" s="23" t="s">
        <v>639</v>
      </c>
      <c r="B48" s="10">
        <v>4038</v>
      </c>
      <c r="C48" s="13">
        <v>42556.258657407408</v>
      </c>
      <c r="D48" s="13">
        <v>42556.281493055554</v>
      </c>
      <c r="E48" s="10">
        <v>0</v>
      </c>
      <c r="F48" s="10" t="s">
        <v>35</v>
      </c>
      <c r="G48" s="10" t="s">
        <v>469</v>
      </c>
      <c r="H48" s="22">
        <v>2.2835648145701271E-2</v>
      </c>
      <c r="I48" s="12"/>
      <c r="J48" s="12"/>
      <c r="K48" s="12">
        <v>32.88333332980983</v>
      </c>
      <c r="L48" s="35" t="s">
        <v>1767</v>
      </c>
      <c r="M48" s="41">
        <v>1</v>
      </c>
      <c r="N48" s="47"/>
      <c r="O48" s="47" t="str">
        <f>RIGHT(A48,2)</f>
        <v>05</v>
      </c>
      <c r="P48" s="43" t="str">
        <f>VLOOKUP(L48,'Issue Resolution'!$A$2:$A$999,1,FALSE)</f>
        <v>Signaling system failures</v>
      </c>
    </row>
    <row r="49" spans="1:16" x14ac:dyDescent="0.25">
      <c r="A49" s="23" t="s">
        <v>640</v>
      </c>
      <c r="B49" s="10">
        <v>4037</v>
      </c>
      <c r="C49" s="13">
        <v>42556.308217592596</v>
      </c>
      <c r="D49" s="13">
        <v>42556.327256944445</v>
      </c>
      <c r="E49" s="10">
        <v>0</v>
      </c>
      <c r="F49" s="10" t="s">
        <v>35</v>
      </c>
      <c r="G49" s="10" t="s">
        <v>469</v>
      </c>
      <c r="H49" s="22">
        <v>1.9039351849642117E-2</v>
      </c>
      <c r="I49" s="12"/>
      <c r="J49" s="12"/>
      <c r="K49" s="12">
        <v>33.249999998370185</v>
      </c>
      <c r="L49" s="40" t="s">
        <v>1770</v>
      </c>
      <c r="M49" s="41">
        <v>1</v>
      </c>
      <c r="N49" s="47"/>
      <c r="O49" s="47" t="str">
        <f>RIGHT(A49,2)</f>
        <v>05</v>
      </c>
      <c r="P49" s="43" t="str">
        <f>VLOOKUP(L49,'Issue Resolution'!$A$2:$A$999,1,FALSE)</f>
        <v>Operational Issue</v>
      </c>
    </row>
    <row r="50" spans="1:16" x14ac:dyDescent="0.25">
      <c r="A50" s="23" t="s">
        <v>641</v>
      </c>
      <c r="B50" s="10">
        <v>4027</v>
      </c>
      <c r="C50" s="13">
        <v>42556.269004629627</v>
      </c>
      <c r="D50" s="13">
        <v>42556.292962962965</v>
      </c>
      <c r="E50" s="10">
        <v>0</v>
      </c>
      <c r="F50" s="10" t="s">
        <v>36</v>
      </c>
      <c r="G50" s="10" t="s">
        <v>463</v>
      </c>
      <c r="H50" s="22">
        <v>2.3958333338669036E-2</v>
      </c>
      <c r="I50" s="12"/>
      <c r="J50" s="12"/>
      <c r="K50" s="12">
        <v>34.500000007683411</v>
      </c>
      <c r="L50" s="34" t="s">
        <v>387</v>
      </c>
      <c r="M50" s="41">
        <v>1</v>
      </c>
      <c r="N50" s="47"/>
      <c r="O50" s="47" t="str">
        <f>RIGHT(A50,2)</f>
        <v>05</v>
      </c>
      <c r="P50" s="43" t="str">
        <f>VLOOKUP(L50,'Issue Resolution'!$A$2:$A$999,1,FALSE)</f>
        <v>Planned maintenance</v>
      </c>
    </row>
    <row r="51" spans="1:16" x14ac:dyDescent="0.25">
      <c r="A51" s="49" t="s">
        <v>642</v>
      </c>
      <c r="B51" s="10">
        <v>4028</v>
      </c>
      <c r="C51" s="13">
        <v>42556.318240740744</v>
      </c>
      <c r="D51" s="13">
        <v>42556.337048611109</v>
      </c>
      <c r="E51" s="10">
        <v>0</v>
      </c>
      <c r="F51" s="10" t="s">
        <v>36</v>
      </c>
      <c r="G51" s="10" t="s">
        <v>463</v>
      </c>
      <c r="H51" s="22">
        <v>1.8807870364980772E-2</v>
      </c>
      <c r="I51" s="12"/>
      <c r="J51" s="12"/>
      <c r="K51" s="12">
        <v>38.849999987287447</v>
      </c>
      <c r="L51" s="34" t="s">
        <v>387</v>
      </c>
      <c r="M51" s="41">
        <v>1</v>
      </c>
      <c r="N51" s="47"/>
      <c r="O51" s="47" t="str">
        <f>RIGHT(A51,2)</f>
        <v>05</v>
      </c>
      <c r="P51" s="43" t="str">
        <f>VLOOKUP(L51,'Issue Resolution'!$A$2:$A$999,1,FALSE)</f>
        <v>Planned maintenance</v>
      </c>
    </row>
    <row r="52" spans="1:16" x14ac:dyDescent="0.25">
      <c r="A52" s="23" t="s">
        <v>643</v>
      </c>
      <c r="B52" s="10">
        <v>4017</v>
      </c>
      <c r="C52" s="13">
        <v>42556.332199074073</v>
      </c>
      <c r="D52" s="13">
        <v>42556.348506944443</v>
      </c>
      <c r="E52" s="10">
        <v>0</v>
      </c>
      <c r="F52" s="10" t="s">
        <v>41</v>
      </c>
      <c r="G52" s="10" t="s">
        <v>475</v>
      </c>
      <c r="H52" s="22">
        <v>1.6307870369928423E-2</v>
      </c>
      <c r="I52" s="12"/>
      <c r="J52" s="12"/>
      <c r="K52" s="12">
        <v>33.099999994738027</v>
      </c>
      <c r="L52" s="34" t="s">
        <v>387</v>
      </c>
      <c r="M52" s="41">
        <v>1</v>
      </c>
      <c r="N52" s="47"/>
      <c r="O52" s="47" t="str">
        <f>RIGHT(A52,2)</f>
        <v>05</v>
      </c>
      <c r="P52" s="43" t="str">
        <f>VLOOKUP(L52,'Issue Resolution'!$A$2:$A$999,1,FALSE)</f>
        <v>Planned maintenance</v>
      </c>
    </row>
    <row r="53" spans="1:16" x14ac:dyDescent="0.25">
      <c r="A53" s="23" t="s">
        <v>156</v>
      </c>
      <c r="B53" s="10">
        <v>4014</v>
      </c>
      <c r="C53" s="13">
        <v>42556.289548611108</v>
      </c>
      <c r="D53" s="13">
        <v>42556.315428240741</v>
      </c>
      <c r="E53" s="10">
        <v>0</v>
      </c>
      <c r="F53" s="10" t="s">
        <v>39</v>
      </c>
      <c r="G53" s="10" t="s">
        <v>459</v>
      </c>
      <c r="H53" s="22">
        <v>2.587962963298196E-2</v>
      </c>
      <c r="I53" s="12"/>
      <c r="J53" s="12"/>
      <c r="K53" s="12">
        <v>37.266666671494022</v>
      </c>
      <c r="L53" s="34" t="s">
        <v>387</v>
      </c>
      <c r="M53" s="41">
        <v>1</v>
      </c>
      <c r="N53" s="47"/>
      <c r="O53" s="47" t="str">
        <f>RIGHT(A53,2)</f>
        <v>05</v>
      </c>
      <c r="P53" s="43" t="str">
        <f>VLOOKUP(L53,'Issue Resolution'!$A$2:$A$999,1,FALSE)</f>
        <v>Planned maintenance</v>
      </c>
    </row>
    <row r="54" spans="1:16" x14ac:dyDescent="0.25">
      <c r="A54" s="23" t="s">
        <v>644</v>
      </c>
      <c r="B54" s="10">
        <v>4020</v>
      </c>
      <c r="C54" s="13">
        <v>42556.30097222222</v>
      </c>
      <c r="D54" s="13">
        <v>42556.321597222224</v>
      </c>
      <c r="E54" s="10">
        <v>0</v>
      </c>
      <c r="F54" s="10" t="s">
        <v>32</v>
      </c>
      <c r="G54" s="10" t="s">
        <v>444</v>
      </c>
      <c r="H54" s="22">
        <v>2.0625000004656613E-2</v>
      </c>
      <c r="I54" s="12"/>
      <c r="J54" s="12"/>
      <c r="K54" s="12">
        <v>29.700000006705523</v>
      </c>
      <c r="L54" s="33" t="s">
        <v>386</v>
      </c>
      <c r="M54" s="41">
        <v>1</v>
      </c>
      <c r="N54" s="47"/>
      <c r="O54" s="47" t="str">
        <f>RIGHT(A54,2)</f>
        <v>05</v>
      </c>
      <c r="P54" s="43" t="str">
        <f>VLOOKUP(L54,'Issue Resolution'!$A$2:$A$999,1,FALSE)</f>
        <v>Operational Issue</v>
      </c>
    </row>
    <row r="55" spans="1:16" x14ac:dyDescent="0.25">
      <c r="A55" s="23" t="s">
        <v>645</v>
      </c>
      <c r="B55" s="10">
        <v>4032</v>
      </c>
      <c r="C55" s="13">
        <v>42556.350381944445</v>
      </c>
      <c r="D55" s="13">
        <v>42556.351655092592</v>
      </c>
      <c r="E55" s="10">
        <v>3</v>
      </c>
      <c r="F55" s="10" t="s">
        <v>38</v>
      </c>
      <c r="G55" s="10" t="s">
        <v>415</v>
      </c>
      <c r="H55" s="22">
        <v>1.2731481474475004E-3</v>
      </c>
      <c r="I55" s="12"/>
      <c r="J55" s="12"/>
      <c r="K55" s="12">
        <v>1.8333333323244005</v>
      </c>
      <c r="L55" s="40" t="s">
        <v>47</v>
      </c>
      <c r="M55" s="41">
        <v>0</v>
      </c>
      <c r="N55" s="47"/>
      <c r="O55" s="47" t="str">
        <f>RIGHT(A55,2)</f>
        <v>05</v>
      </c>
      <c r="P55" s="43" t="str">
        <f>VLOOKUP(L55,'Issue Resolution'!$A$2:$A$999,1,FALSE)</f>
        <v>Onboard in-route failure</v>
      </c>
    </row>
    <row r="56" spans="1:16" x14ac:dyDescent="0.25">
      <c r="A56" s="23" t="s">
        <v>646</v>
      </c>
      <c r="B56" s="10">
        <v>4017</v>
      </c>
      <c r="C56" s="13">
        <v>42556.463067129633</v>
      </c>
      <c r="D56" s="13">
        <v>42556.485231481478</v>
      </c>
      <c r="E56" s="10">
        <v>0</v>
      </c>
      <c r="F56" s="10" t="s">
        <v>41</v>
      </c>
      <c r="G56" s="10" t="s">
        <v>434</v>
      </c>
      <c r="H56" s="22">
        <v>2.2164351845276542E-2</v>
      </c>
      <c r="I56" s="12"/>
      <c r="J56" s="12"/>
      <c r="K56" s="12">
        <v>31.91666665719822</v>
      </c>
      <c r="L56" s="8" t="s">
        <v>47</v>
      </c>
      <c r="M56" s="41">
        <v>0.25</v>
      </c>
      <c r="N56" s="47"/>
      <c r="O56" s="47" t="str">
        <f>RIGHT(A56,2)</f>
        <v>05</v>
      </c>
      <c r="P56" s="43" t="str">
        <f>VLOOKUP(L56,'Issue Resolution'!$A$2:$A$999,1,FALSE)</f>
        <v>Onboard in-route failure</v>
      </c>
    </row>
    <row r="57" spans="1:16" x14ac:dyDescent="0.25">
      <c r="A57" s="10" t="s">
        <v>648</v>
      </c>
      <c r="B57" s="48">
        <v>4019</v>
      </c>
      <c r="C57" s="42">
        <v>42556.627314814818</v>
      </c>
      <c r="D57" s="42">
        <v>42556.65425925926</v>
      </c>
      <c r="E57" s="48">
        <v>0</v>
      </c>
      <c r="F57" s="10" t="s">
        <v>32</v>
      </c>
      <c r="G57" s="10" t="s">
        <v>552</v>
      </c>
      <c r="H57" s="22">
        <v>2.6944444442051463E-2</v>
      </c>
      <c r="I57" s="12"/>
      <c r="J57" s="12"/>
      <c r="K57" s="12">
        <v>38.799999996554106</v>
      </c>
      <c r="L57" s="8" t="s">
        <v>11</v>
      </c>
      <c r="M57" s="41">
        <v>0.75</v>
      </c>
      <c r="N57" s="47"/>
      <c r="O57" s="47" t="str">
        <f>RIGHT(A57,2)</f>
        <v>05</v>
      </c>
      <c r="P57" s="43" t="str">
        <f>VLOOKUP(L57,'Issue Resolution'!$A$2:$A$999,1,FALSE)</f>
        <v>Link failures in wayside equipment</v>
      </c>
    </row>
    <row r="58" spans="1:16" x14ac:dyDescent="0.25">
      <c r="A58" s="10" t="s">
        <v>157</v>
      </c>
      <c r="B58" s="48">
        <v>4027</v>
      </c>
      <c r="C58" s="42">
        <v>42556.648680555554</v>
      </c>
      <c r="D58" s="42">
        <v>42556.653483796297</v>
      </c>
      <c r="E58" s="48">
        <v>1</v>
      </c>
      <c r="F58" s="10" t="s">
        <v>36</v>
      </c>
      <c r="G58" s="10" t="s">
        <v>425</v>
      </c>
      <c r="H58" s="22">
        <v>4.803240743058268E-3</v>
      </c>
      <c r="I58" s="12"/>
      <c r="J58" s="12"/>
      <c r="K58" s="12">
        <v>32.88333332980983</v>
      </c>
      <c r="L58" s="8" t="s">
        <v>11</v>
      </c>
      <c r="M58" s="41">
        <v>0.5</v>
      </c>
      <c r="N58" s="47"/>
      <c r="O58" s="47" t="str">
        <f>RIGHT(A58,2)</f>
        <v>05</v>
      </c>
      <c r="P58" s="43" t="str">
        <f>VLOOKUP(L58,'Issue Resolution'!$A$2:$A$999,1,FALSE)</f>
        <v>Link failures in wayside equipment</v>
      </c>
    </row>
    <row r="59" spans="1:16" x14ac:dyDescent="0.25">
      <c r="A59" s="10" t="s">
        <v>650</v>
      </c>
      <c r="B59" s="48">
        <v>4017</v>
      </c>
      <c r="C59" s="42">
        <v>42556.687627314815</v>
      </c>
      <c r="D59" s="42">
        <v>42556.714282407411</v>
      </c>
      <c r="E59" s="48">
        <v>1</v>
      </c>
      <c r="F59" s="10" t="s">
        <v>41</v>
      </c>
      <c r="G59" s="10" t="s">
        <v>434</v>
      </c>
      <c r="H59" s="22">
        <v>2.6655092595319729E-2</v>
      </c>
      <c r="I59" s="12"/>
      <c r="J59" s="12"/>
      <c r="K59" s="12">
        <v>38.38333333726041</v>
      </c>
      <c r="L59" s="35" t="s">
        <v>1767</v>
      </c>
      <c r="M59" s="41">
        <v>1</v>
      </c>
      <c r="N59" s="47"/>
      <c r="O59" s="47" t="str">
        <f>RIGHT(A59,2)</f>
        <v>05</v>
      </c>
      <c r="P59" s="43" t="str">
        <f>VLOOKUP(L59,'Issue Resolution'!$A$2:$A$999,1,FALSE)</f>
        <v>Signaling system failures</v>
      </c>
    </row>
    <row r="60" spans="1:16" x14ac:dyDescent="0.25">
      <c r="A60" s="10" t="s">
        <v>281</v>
      </c>
      <c r="B60" s="48">
        <v>4013</v>
      </c>
      <c r="C60" s="42">
        <v>42556.708414351851</v>
      </c>
      <c r="D60" s="42">
        <v>42556.722800925927</v>
      </c>
      <c r="E60" s="48">
        <v>0</v>
      </c>
      <c r="F60" s="10" t="s">
        <v>39</v>
      </c>
      <c r="G60" s="10" t="s">
        <v>404</v>
      </c>
      <c r="H60" s="22">
        <v>1.4386574075615499E-2</v>
      </c>
      <c r="I60" s="12"/>
      <c r="J60" s="12"/>
      <c r="K60" s="12">
        <v>20.716666668886319</v>
      </c>
      <c r="L60" s="35" t="s">
        <v>1767</v>
      </c>
      <c r="M60" s="41">
        <v>1</v>
      </c>
      <c r="N60" s="47"/>
      <c r="O60" s="47" t="str">
        <f>RIGHT(A60,2)</f>
        <v>05</v>
      </c>
      <c r="P60" s="43" t="str">
        <f>VLOOKUP(L60,'Issue Resolution'!$A$2:$A$999,1,FALSE)</f>
        <v>Signaling system failures</v>
      </c>
    </row>
    <row r="61" spans="1:16" x14ac:dyDescent="0.25">
      <c r="A61" s="10" t="s">
        <v>158</v>
      </c>
      <c r="B61" s="48">
        <v>4019</v>
      </c>
      <c r="C61" s="42">
        <v>42556.701516203706</v>
      </c>
      <c r="D61" s="42">
        <v>42556.729953703703</v>
      </c>
      <c r="E61" s="48">
        <v>0</v>
      </c>
      <c r="F61" s="10" t="s">
        <v>32</v>
      </c>
      <c r="G61" s="10" t="s">
        <v>552</v>
      </c>
      <c r="H61" s="22">
        <v>2.8437499997380655E-2</v>
      </c>
      <c r="I61" s="12"/>
      <c r="J61" s="12"/>
      <c r="K61" s="12">
        <v>40.949999996228144</v>
      </c>
      <c r="L61" s="35" t="s">
        <v>1767</v>
      </c>
      <c r="M61" s="41">
        <v>1</v>
      </c>
      <c r="N61" s="47"/>
      <c r="O61" s="47" t="str">
        <f>RIGHT(A61,2)</f>
        <v>05</v>
      </c>
      <c r="P61" s="43" t="str">
        <f>VLOOKUP(L61,'Issue Resolution'!$A$2:$A$999,1,FALSE)</f>
        <v>Signaling system failures</v>
      </c>
    </row>
    <row r="62" spans="1:16" x14ac:dyDescent="0.25">
      <c r="A62" s="10" t="s">
        <v>651</v>
      </c>
      <c r="B62" s="48">
        <v>4031</v>
      </c>
      <c r="C62" s="42">
        <v>42556.682118055556</v>
      </c>
      <c r="D62" s="42">
        <v>42556.703969907408</v>
      </c>
      <c r="E62" s="48">
        <v>1</v>
      </c>
      <c r="F62" s="10" t="s">
        <v>38</v>
      </c>
      <c r="G62" s="10" t="s">
        <v>506</v>
      </c>
      <c r="H62" s="22">
        <v>2.1851851852261461E-2</v>
      </c>
      <c r="I62" s="12"/>
      <c r="J62" s="12"/>
      <c r="K62" s="12">
        <v>31.466666667256504</v>
      </c>
      <c r="L62" s="35" t="s">
        <v>1767</v>
      </c>
      <c r="M62" s="41">
        <v>1</v>
      </c>
      <c r="N62" s="47"/>
      <c r="O62" s="47" t="str">
        <f>RIGHT(A62,2)</f>
        <v>05</v>
      </c>
      <c r="P62" s="43" t="str">
        <f>VLOOKUP(L62,'Issue Resolution'!$A$2:$A$999,1,FALSE)</f>
        <v>Signaling system failures</v>
      </c>
    </row>
    <row r="63" spans="1:16" x14ac:dyDescent="0.25">
      <c r="A63" s="10" t="s">
        <v>73</v>
      </c>
      <c r="B63" s="48">
        <v>4044</v>
      </c>
      <c r="C63" s="42">
        <v>42556.694652777776</v>
      </c>
      <c r="D63" s="42">
        <v>42556.719502314816</v>
      </c>
      <c r="E63" s="48">
        <v>0</v>
      </c>
      <c r="F63" s="10" t="s">
        <v>42</v>
      </c>
      <c r="G63" s="10" t="s">
        <v>440</v>
      </c>
      <c r="H63" s="22">
        <v>2.4849537039699499E-2</v>
      </c>
      <c r="I63" s="12"/>
      <c r="J63" s="12"/>
      <c r="K63" s="12">
        <v>35.783333337167278</v>
      </c>
      <c r="L63" s="35" t="s">
        <v>1767</v>
      </c>
      <c r="M63" s="41">
        <v>1</v>
      </c>
      <c r="N63" s="47"/>
      <c r="O63" s="47" t="str">
        <f>RIGHT(A63,2)</f>
        <v>05</v>
      </c>
      <c r="P63" s="43" t="str">
        <f>VLOOKUP(L63,'Issue Resolution'!$A$2:$A$999,1,FALSE)</f>
        <v>Signaling system failures</v>
      </c>
    </row>
    <row r="64" spans="1:16" x14ac:dyDescent="0.25">
      <c r="A64" s="10" t="s">
        <v>652</v>
      </c>
      <c r="B64" s="48">
        <v>4043</v>
      </c>
      <c r="C64" s="42">
        <v>42556.72383101852</v>
      </c>
      <c r="D64" s="42">
        <v>42556.765162037038</v>
      </c>
      <c r="E64" s="48">
        <v>0</v>
      </c>
      <c r="F64" s="10" t="s">
        <v>42</v>
      </c>
      <c r="G64" s="10" t="s">
        <v>440</v>
      </c>
      <c r="H64" s="22">
        <v>4.1331018517666962E-2</v>
      </c>
      <c r="I64" s="12"/>
      <c r="J64" s="12"/>
      <c r="K64" s="12">
        <v>59.516666665440425</v>
      </c>
      <c r="L64" s="35" t="s">
        <v>1767</v>
      </c>
      <c r="M64" s="41">
        <v>1</v>
      </c>
      <c r="N64" s="47"/>
      <c r="O64" s="47" t="str">
        <f>RIGHT(A64,2)</f>
        <v>05</v>
      </c>
      <c r="P64" s="43" t="str">
        <f>VLOOKUP(L64,'Issue Resolution'!$A$2:$A$999,1,FALSE)</f>
        <v>Signaling system failures</v>
      </c>
    </row>
    <row r="65" spans="1:16" x14ac:dyDescent="0.25">
      <c r="A65" s="10" t="s">
        <v>653</v>
      </c>
      <c r="B65" s="48">
        <v>4038</v>
      </c>
      <c r="C65" s="42">
        <v>42556.703842592593</v>
      </c>
      <c r="D65" s="42">
        <v>42556.725937499999</v>
      </c>
      <c r="E65" s="48">
        <v>1</v>
      </c>
      <c r="F65" s="10" t="s">
        <v>35</v>
      </c>
      <c r="G65" s="10" t="s">
        <v>442</v>
      </c>
      <c r="H65" s="22">
        <v>2.2094907406426501E-2</v>
      </c>
      <c r="I65" s="12"/>
      <c r="J65" s="12"/>
      <c r="K65" s="12">
        <v>31.816666665254161</v>
      </c>
      <c r="L65" s="35" t="s">
        <v>1767</v>
      </c>
      <c r="M65" s="41">
        <v>1</v>
      </c>
      <c r="N65" s="47"/>
      <c r="O65" s="47" t="str">
        <f>RIGHT(A65,2)</f>
        <v>05</v>
      </c>
      <c r="P65" s="43" t="str">
        <f>VLOOKUP(L65,'Issue Resolution'!$A$2:$A$999,1,FALSE)</f>
        <v>Signaling system failures</v>
      </c>
    </row>
    <row r="66" spans="1:16" x14ac:dyDescent="0.25">
      <c r="A66" s="10" t="s">
        <v>282</v>
      </c>
      <c r="B66" s="48">
        <v>4027</v>
      </c>
      <c r="C66" s="42">
        <v>42556.727210648147</v>
      </c>
      <c r="D66" s="42">
        <v>42556.756747685184</v>
      </c>
      <c r="E66" s="48">
        <v>4</v>
      </c>
      <c r="F66" s="10" t="s">
        <v>36</v>
      </c>
      <c r="G66" s="10" t="s">
        <v>425</v>
      </c>
      <c r="H66" s="22">
        <v>2.9537037036789116E-2</v>
      </c>
      <c r="I66" s="12"/>
      <c r="J66" s="12"/>
      <c r="K66" s="12">
        <v>42.533333332976326</v>
      </c>
      <c r="L66" s="35" t="s">
        <v>1767</v>
      </c>
      <c r="M66" s="41">
        <v>1</v>
      </c>
      <c r="N66" s="47"/>
      <c r="O66" s="47" t="str">
        <f>RIGHT(A66,2)</f>
        <v>05</v>
      </c>
      <c r="P66" s="43" t="str">
        <f>VLOOKUP(L66,'Issue Resolution'!$A$2:$A$999,1,FALSE)</f>
        <v>Signaling system failures</v>
      </c>
    </row>
    <row r="67" spans="1:16" x14ac:dyDescent="0.25">
      <c r="A67" s="10" t="s">
        <v>654</v>
      </c>
      <c r="B67" s="48">
        <v>4018</v>
      </c>
      <c r="C67" s="42">
        <v>42556.732939814814</v>
      </c>
      <c r="D67" s="42">
        <v>42556.759398148148</v>
      </c>
      <c r="E67" s="48">
        <v>1</v>
      </c>
      <c r="F67" s="10" t="s">
        <v>41</v>
      </c>
      <c r="G67" s="10" t="s">
        <v>504</v>
      </c>
      <c r="H67" s="22">
        <v>2.6458333333721384E-2</v>
      </c>
      <c r="I67" s="12"/>
      <c r="J67" s="12"/>
      <c r="K67" s="12">
        <v>38.100000000558794</v>
      </c>
      <c r="L67" s="35" t="s">
        <v>1767</v>
      </c>
      <c r="M67" s="41">
        <v>1</v>
      </c>
      <c r="N67" s="47"/>
      <c r="O67" s="47" t="str">
        <f>RIGHT(A67,2)</f>
        <v>05</v>
      </c>
      <c r="P67" s="43" t="str">
        <f>VLOOKUP(L67,'Issue Resolution'!$A$2:$A$999,1,FALSE)</f>
        <v>Signaling system failures</v>
      </c>
    </row>
    <row r="68" spans="1:16" x14ac:dyDescent="0.25">
      <c r="A68" s="23" t="s">
        <v>655</v>
      </c>
      <c r="B68" s="10">
        <v>4014</v>
      </c>
      <c r="C68" s="13">
        <v>42556.768020833333</v>
      </c>
      <c r="D68" s="13">
        <v>42556.788263888891</v>
      </c>
      <c r="E68" s="10">
        <v>0</v>
      </c>
      <c r="F68" s="10" t="s">
        <v>39</v>
      </c>
      <c r="G68" s="10" t="s">
        <v>404</v>
      </c>
      <c r="H68" s="22">
        <v>2.0243055558239575E-2</v>
      </c>
      <c r="I68" s="12"/>
      <c r="J68" s="12"/>
      <c r="K68" s="12">
        <v>29.150000003864989</v>
      </c>
      <c r="L68" s="33" t="s">
        <v>386</v>
      </c>
      <c r="M68" s="41">
        <v>0.75</v>
      </c>
      <c r="N68" s="47"/>
      <c r="O68" s="47" t="str">
        <f>RIGHT(A68,2)</f>
        <v>05</v>
      </c>
      <c r="P68" s="43" t="str">
        <f>VLOOKUP(L68,'Issue Resolution'!$A$2:$A$999,1,FALSE)</f>
        <v>Operational Issue</v>
      </c>
    </row>
    <row r="69" spans="1:16" x14ac:dyDescent="0.25">
      <c r="A69" s="23" t="s">
        <v>656</v>
      </c>
      <c r="B69" s="10">
        <v>4038</v>
      </c>
      <c r="C69" s="13">
        <v>42556.786145833335</v>
      </c>
      <c r="D69" s="13">
        <v>42556.818194444444</v>
      </c>
      <c r="E69" s="10">
        <v>0</v>
      </c>
      <c r="F69" s="10" t="s">
        <v>35</v>
      </c>
      <c r="G69" s="10" t="s">
        <v>423</v>
      </c>
      <c r="H69" s="22">
        <v>3.2048611108621117E-2</v>
      </c>
      <c r="I69" s="12"/>
      <c r="J69" s="12"/>
      <c r="K69" s="12">
        <v>46.149999996414408</v>
      </c>
      <c r="L69" s="8" t="s">
        <v>8</v>
      </c>
      <c r="M69" s="41">
        <v>1</v>
      </c>
      <c r="N69" s="47"/>
      <c r="O69" s="47" t="str">
        <f>RIGHT(A69,2)</f>
        <v>05</v>
      </c>
      <c r="P69" s="43" t="str">
        <f>VLOOKUP(L69,'Issue Resolution'!$A$2:$A$999,1,FALSE)</f>
        <v>Inefficient dispatching</v>
      </c>
    </row>
    <row r="70" spans="1:16" x14ac:dyDescent="0.25">
      <c r="A70" s="23" t="s">
        <v>657</v>
      </c>
      <c r="B70" s="10">
        <v>4027</v>
      </c>
      <c r="C70" s="13">
        <v>42556.817141203705</v>
      </c>
      <c r="D70" s="13">
        <v>42556.837870370371</v>
      </c>
      <c r="E70" s="10">
        <v>0</v>
      </c>
      <c r="F70" s="10" t="s">
        <v>36</v>
      </c>
      <c r="G70" s="10" t="s">
        <v>504</v>
      </c>
      <c r="H70" s="22">
        <v>2.0729166666569654E-2</v>
      </c>
      <c r="I70" s="12"/>
      <c r="J70" s="12"/>
      <c r="K70" s="12">
        <v>29.849999999860302</v>
      </c>
      <c r="L70" s="8" t="s">
        <v>12</v>
      </c>
      <c r="M70" s="41">
        <v>1</v>
      </c>
      <c r="N70" s="47"/>
      <c r="O70" s="47" t="str">
        <f>RIGHT(A70,2)</f>
        <v>05</v>
      </c>
      <c r="P70" s="43" t="str">
        <f>VLOOKUP(L70,'Issue Resolution'!$A$2:$A$999,1,FALSE)</f>
        <v>Wi-MAX data drops</v>
      </c>
    </row>
    <row r="71" spans="1:16" x14ac:dyDescent="0.25">
      <c r="A71" s="23" t="s">
        <v>658</v>
      </c>
      <c r="B71" s="10">
        <v>4020</v>
      </c>
      <c r="C71" s="13">
        <v>42556.933981481481</v>
      </c>
      <c r="D71" s="13">
        <v>42556.945752314816</v>
      </c>
      <c r="E71" s="10">
        <v>0</v>
      </c>
      <c r="F71" s="10" t="s">
        <v>32</v>
      </c>
      <c r="G71" s="10" t="s">
        <v>551</v>
      </c>
      <c r="H71" s="22">
        <v>1.1770833334594499E-2</v>
      </c>
      <c r="I71" s="12"/>
      <c r="J71" s="12"/>
      <c r="K71" s="12">
        <v>45.083333331858739</v>
      </c>
      <c r="L71" s="33" t="s">
        <v>386</v>
      </c>
      <c r="M71" s="41">
        <v>0.41666666666666669</v>
      </c>
      <c r="N71" s="47"/>
      <c r="O71" s="47" t="str">
        <f>RIGHT(A71,2)</f>
        <v>05</v>
      </c>
      <c r="P71" s="43" t="str">
        <f>VLOOKUP(L71,'Issue Resolution'!$A$2:$A$999,1,FALSE)</f>
        <v>Operational Issue</v>
      </c>
    </row>
    <row r="72" spans="1:16" x14ac:dyDescent="0.25">
      <c r="A72" s="23" t="s">
        <v>659</v>
      </c>
      <c r="B72" s="10">
        <v>4040</v>
      </c>
      <c r="C72" s="13">
        <v>42557.182349537034</v>
      </c>
      <c r="D72" s="13">
        <v>42557.215497685182</v>
      </c>
      <c r="E72" s="10">
        <v>0</v>
      </c>
      <c r="F72" s="10" t="s">
        <v>44</v>
      </c>
      <c r="G72" s="10" t="s">
        <v>428</v>
      </c>
      <c r="H72" s="22">
        <v>3.3148148148029577E-2</v>
      </c>
      <c r="I72" s="12"/>
      <c r="J72" s="12"/>
      <c r="K72" s="12">
        <v>47.733333333162591</v>
      </c>
      <c r="L72" s="8" t="s">
        <v>8</v>
      </c>
      <c r="M72" s="41">
        <v>1</v>
      </c>
      <c r="N72" s="47"/>
      <c r="O72" s="47" t="str">
        <f>RIGHT(A72,2)</f>
        <v>06</v>
      </c>
      <c r="P72" s="43" t="str">
        <f>VLOOKUP(L72,'Issue Resolution'!$A$2:$A$999,1,FALSE)</f>
        <v>Inefficient dispatching</v>
      </c>
    </row>
    <row r="73" spans="1:16" x14ac:dyDescent="0.25">
      <c r="A73" s="23" t="s">
        <v>660</v>
      </c>
      <c r="B73" s="10">
        <v>4011</v>
      </c>
      <c r="C73" s="13">
        <v>42557.229444444441</v>
      </c>
      <c r="D73" s="13">
        <v>42557.256574074076</v>
      </c>
      <c r="E73" s="10">
        <v>0</v>
      </c>
      <c r="F73" s="10" t="s">
        <v>40</v>
      </c>
      <c r="G73" s="10" t="s">
        <v>453</v>
      </c>
      <c r="H73" s="22">
        <v>2.7129629634146113E-2</v>
      </c>
      <c r="I73" s="12"/>
      <c r="J73" s="12"/>
      <c r="K73" s="12">
        <v>39.066666673170403</v>
      </c>
      <c r="L73" s="8" t="s">
        <v>8</v>
      </c>
      <c r="M73" s="41">
        <v>1</v>
      </c>
      <c r="N73" s="47"/>
      <c r="O73" s="47" t="str">
        <f>RIGHT(A73,2)</f>
        <v>06</v>
      </c>
      <c r="P73" s="43" t="str">
        <f>VLOOKUP(L73,'Issue Resolution'!$A$2:$A$999,1,FALSE)</f>
        <v>Inefficient dispatching</v>
      </c>
    </row>
    <row r="74" spans="1:16" x14ac:dyDescent="0.25">
      <c r="A74" s="23" t="s">
        <v>283</v>
      </c>
      <c r="B74" s="10">
        <v>4012</v>
      </c>
      <c r="C74" s="13">
        <v>42557.267233796294</v>
      </c>
      <c r="D74" s="13">
        <v>42557.28974537037</v>
      </c>
      <c r="E74" s="10">
        <v>0</v>
      </c>
      <c r="F74" s="10" t="s">
        <v>40</v>
      </c>
      <c r="G74" s="10" t="s">
        <v>453</v>
      </c>
      <c r="H74" s="22">
        <v>2.2511574075906537E-2</v>
      </c>
      <c r="I74" s="12"/>
      <c r="J74" s="12"/>
      <c r="K74" s="12">
        <v>32.416666669305414</v>
      </c>
      <c r="L74" s="33" t="s">
        <v>386</v>
      </c>
      <c r="M74" s="41">
        <v>1</v>
      </c>
      <c r="N74" s="47"/>
      <c r="O74" s="47" t="str">
        <f>RIGHT(A74,2)</f>
        <v>06</v>
      </c>
      <c r="P74" s="43" t="str">
        <f>VLOOKUP(L74,'Issue Resolution'!$A$2:$A$999,1,FALSE)</f>
        <v>Operational Issue</v>
      </c>
    </row>
    <row r="75" spans="1:16" x14ac:dyDescent="0.25">
      <c r="A75" s="49" t="s">
        <v>286</v>
      </c>
      <c r="B75" s="10">
        <v>4043</v>
      </c>
      <c r="C75" s="13">
        <v>42557.390787037039</v>
      </c>
      <c r="D75" s="13">
        <v>42557.427083333336</v>
      </c>
      <c r="E75" s="10">
        <v>0</v>
      </c>
      <c r="F75" s="10" t="s">
        <v>42</v>
      </c>
      <c r="G75" s="10" t="s">
        <v>398</v>
      </c>
      <c r="H75" s="22">
        <v>3.6296296297223307E-2</v>
      </c>
      <c r="I75" s="12"/>
      <c r="J75" s="12"/>
      <c r="K75" s="12">
        <v>52.266666668001562</v>
      </c>
      <c r="L75" s="33" t="s">
        <v>386</v>
      </c>
      <c r="M75" s="41">
        <v>1</v>
      </c>
      <c r="N75" s="47"/>
      <c r="O75" s="47" t="str">
        <f>RIGHT(A75,2)</f>
        <v>06</v>
      </c>
      <c r="P75" s="43" t="str">
        <f>VLOOKUP(L75,'Issue Resolution'!$A$2:$A$999,1,FALSE)</f>
        <v>Operational Issue</v>
      </c>
    </row>
    <row r="76" spans="1:16" x14ac:dyDescent="0.25">
      <c r="A76" s="23" t="s">
        <v>661</v>
      </c>
      <c r="B76" s="10">
        <v>4011</v>
      </c>
      <c r="C76" s="13">
        <v>42557.484039351853</v>
      </c>
      <c r="D76" s="13">
        <v>42557.515335648146</v>
      </c>
      <c r="E76" s="10">
        <v>0</v>
      </c>
      <c r="F76" s="10" t="s">
        <v>40</v>
      </c>
      <c r="G76" s="10" t="s">
        <v>662</v>
      </c>
      <c r="H76" s="22">
        <v>3.1296296292566694E-2</v>
      </c>
      <c r="I76" s="12"/>
      <c r="J76" s="12"/>
      <c r="K76" s="12">
        <v>45.06666666129604</v>
      </c>
      <c r="L76" s="33" t="s">
        <v>386</v>
      </c>
      <c r="M76" s="41">
        <v>1</v>
      </c>
      <c r="N76" s="47"/>
      <c r="O76" s="47" t="str">
        <f>RIGHT(A76,2)</f>
        <v>06</v>
      </c>
      <c r="P76" s="43" t="str">
        <f>VLOOKUP(L76,'Issue Resolution'!$A$2:$A$999,1,FALSE)</f>
        <v>Operational Issue</v>
      </c>
    </row>
    <row r="77" spans="1:16" x14ac:dyDescent="0.25">
      <c r="A77" s="23" t="s">
        <v>287</v>
      </c>
      <c r="B77" s="10">
        <v>4040</v>
      </c>
      <c r="C77" s="13">
        <v>42557.548356481479</v>
      </c>
      <c r="D77" s="13">
        <v>42557.564328703702</v>
      </c>
      <c r="E77" s="10">
        <v>1</v>
      </c>
      <c r="F77" s="10" t="s">
        <v>44</v>
      </c>
      <c r="G77" s="10" t="s">
        <v>425</v>
      </c>
      <c r="H77" s="22">
        <v>1.5972222223354038E-2</v>
      </c>
      <c r="I77" s="12"/>
      <c r="J77" s="12"/>
      <c r="K77" s="12">
        <v>42.850000000325963</v>
      </c>
      <c r="L77" s="8" t="s">
        <v>12</v>
      </c>
      <c r="M77" s="41">
        <v>1</v>
      </c>
      <c r="N77" s="47"/>
      <c r="O77" s="47" t="str">
        <f>RIGHT(A77,2)</f>
        <v>06</v>
      </c>
      <c r="P77" s="43" t="str">
        <f>VLOOKUP(L77,'Issue Resolution'!$A$2:$A$999,1,FALSE)</f>
        <v>Wi-MAX data drops</v>
      </c>
    </row>
    <row r="78" spans="1:16" x14ac:dyDescent="0.25">
      <c r="A78" s="10" t="s">
        <v>663</v>
      </c>
      <c r="B78" s="48">
        <v>4032</v>
      </c>
      <c r="C78" s="42">
        <v>42557.673854166664</v>
      </c>
      <c r="D78" s="42">
        <v>42557.691296296296</v>
      </c>
      <c r="E78" s="48">
        <v>1</v>
      </c>
      <c r="F78" s="10" t="s">
        <v>38</v>
      </c>
      <c r="G78" s="10" t="s">
        <v>506</v>
      </c>
      <c r="H78" s="22">
        <v>1.7442129632399883E-2</v>
      </c>
      <c r="I78" s="12">
        <v>25.116666670655832</v>
      </c>
      <c r="J78" s="12"/>
      <c r="K78" s="12">
        <v>25.116666670655832</v>
      </c>
      <c r="L78" s="8" t="s">
        <v>47</v>
      </c>
      <c r="M78" s="41">
        <v>0.25</v>
      </c>
      <c r="N78" s="47"/>
      <c r="O78" s="47" t="str">
        <f>RIGHT(A78,2)</f>
        <v>06</v>
      </c>
      <c r="P78" s="43" t="str">
        <f>VLOOKUP(L78,'Issue Resolution'!$A$2:$A$999,1,FALSE)</f>
        <v>Onboard in-route failure</v>
      </c>
    </row>
    <row r="79" spans="1:16" x14ac:dyDescent="0.25">
      <c r="A79" s="10" t="s">
        <v>288</v>
      </c>
      <c r="B79" s="48">
        <v>4013</v>
      </c>
      <c r="C79" s="42">
        <v>42557.72928240741</v>
      </c>
      <c r="D79" s="42">
        <v>42557.747557870367</v>
      </c>
      <c r="E79" s="48">
        <v>0</v>
      </c>
      <c r="F79" s="10" t="s">
        <v>39</v>
      </c>
      <c r="G79" s="10" t="s">
        <v>404</v>
      </c>
      <c r="H79" s="22">
        <v>1.8275462956808042E-2</v>
      </c>
      <c r="I79" s="12"/>
      <c r="J79" s="12"/>
      <c r="K79" s="12">
        <v>35.799999986775219</v>
      </c>
      <c r="L79" s="8" t="s">
        <v>12</v>
      </c>
      <c r="M79" s="41">
        <v>1</v>
      </c>
      <c r="N79" s="47"/>
      <c r="O79" s="47" t="str">
        <f>RIGHT(A79,2)</f>
        <v>06</v>
      </c>
      <c r="P79" s="43" t="str">
        <f>VLOOKUP(L79,'Issue Resolution'!$A$2:$A$999,1,FALSE)</f>
        <v>Wi-MAX data drops</v>
      </c>
    </row>
    <row r="80" spans="1:16" x14ac:dyDescent="0.25">
      <c r="A80" s="23" t="s">
        <v>664</v>
      </c>
      <c r="B80" s="10">
        <v>4017</v>
      </c>
      <c r="C80" s="13">
        <v>42557.798784722225</v>
      </c>
      <c r="D80" s="13">
        <v>42557.798900462964</v>
      </c>
      <c r="E80" s="10">
        <v>0</v>
      </c>
      <c r="F80" s="10" t="s">
        <v>41</v>
      </c>
      <c r="G80" s="10" t="s">
        <v>558</v>
      </c>
      <c r="H80" s="22">
        <v>1.1574073869269341E-4</v>
      </c>
      <c r="I80" s="12"/>
      <c r="J80" s="12"/>
      <c r="K80" s="12">
        <v>0.16666666371747851</v>
      </c>
      <c r="L80" s="40" t="s">
        <v>47</v>
      </c>
      <c r="M80" s="41">
        <v>0</v>
      </c>
      <c r="N80" s="47"/>
      <c r="O80" s="47" t="str">
        <f>RIGHT(A80,2)</f>
        <v>06</v>
      </c>
      <c r="P80" s="43" t="str">
        <f>VLOOKUP(L80,'Issue Resolution'!$A$2:$A$999,1,FALSE)</f>
        <v>Onboard in-route failure</v>
      </c>
    </row>
    <row r="81" spans="1:16" x14ac:dyDescent="0.25">
      <c r="A81" s="23" t="s">
        <v>665</v>
      </c>
      <c r="B81" s="10">
        <v>4011</v>
      </c>
      <c r="C81" s="13">
        <v>42557.795856481483</v>
      </c>
      <c r="D81" s="13">
        <v>42557.818425925929</v>
      </c>
      <c r="E81" s="10">
        <v>0</v>
      </c>
      <c r="F81" s="10" t="s">
        <v>40</v>
      </c>
      <c r="G81" s="10" t="s">
        <v>423</v>
      </c>
      <c r="H81" s="22">
        <v>2.2569444445252884E-2</v>
      </c>
      <c r="I81" s="12"/>
      <c r="J81" s="12"/>
      <c r="K81" s="12">
        <v>32.500000001164153</v>
      </c>
      <c r="L81" s="8" t="s">
        <v>10</v>
      </c>
      <c r="M81" s="41">
        <v>1</v>
      </c>
      <c r="N81" s="47"/>
      <c r="O81" s="47" t="str">
        <f>RIGHT(A81,2)</f>
        <v>06</v>
      </c>
      <c r="P81" s="43" t="str">
        <f>VLOOKUP(L81,'Issue Resolution'!$A$2:$A$999,1,FALSE)</f>
        <v>Dispatcher error preventing initialization at terminals</v>
      </c>
    </row>
    <row r="82" spans="1:16" x14ac:dyDescent="0.25">
      <c r="A82" s="23" t="s">
        <v>666</v>
      </c>
      <c r="B82" s="10">
        <v>4043</v>
      </c>
      <c r="C82" s="13">
        <v>42558.184027777781</v>
      </c>
      <c r="D82" s="13">
        <v>42558.204305555555</v>
      </c>
      <c r="E82" s="10">
        <v>2</v>
      </c>
      <c r="F82" s="10" t="s">
        <v>42</v>
      </c>
      <c r="G82" s="10" t="s">
        <v>667</v>
      </c>
      <c r="H82" s="22">
        <v>2.0277777774026617E-2</v>
      </c>
      <c r="I82" s="12"/>
      <c r="J82" s="12"/>
      <c r="K82" s="12">
        <v>43.066666665254161</v>
      </c>
      <c r="L82" s="8" t="s">
        <v>12</v>
      </c>
      <c r="M82" s="41">
        <v>1</v>
      </c>
      <c r="N82" s="47"/>
      <c r="O82" s="47" t="str">
        <f>RIGHT(A82,2)</f>
        <v>07</v>
      </c>
      <c r="P82" s="43" t="str">
        <f>VLOOKUP(L82,'Issue Resolution'!$A$2:$A$999,1,FALSE)</f>
        <v>Wi-MAX data drops</v>
      </c>
    </row>
    <row r="83" spans="1:16" x14ac:dyDescent="0.25">
      <c r="A83" s="23" t="s">
        <v>668</v>
      </c>
      <c r="B83" s="10">
        <v>4031</v>
      </c>
      <c r="C83" s="13">
        <v>42558.160925925928</v>
      </c>
      <c r="D83" s="13">
        <v>42558.175891203704</v>
      </c>
      <c r="E83" s="10">
        <v>1</v>
      </c>
      <c r="F83" s="10" t="s">
        <v>38</v>
      </c>
      <c r="G83" s="10" t="s">
        <v>415</v>
      </c>
      <c r="H83" s="22">
        <v>1.4965277776354924E-2</v>
      </c>
      <c r="I83" s="12"/>
      <c r="J83" s="12"/>
      <c r="K83" s="12">
        <v>25.516666669864208</v>
      </c>
      <c r="L83" s="8" t="s">
        <v>8</v>
      </c>
      <c r="M83" s="41">
        <v>1</v>
      </c>
      <c r="N83" s="47"/>
      <c r="O83" s="47" t="str">
        <f>RIGHT(A83,2)</f>
        <v>07</v>
      </c>
      <c r="P83" s="43" t="str">
        <f>VLOOKUP(L83,'Issue Resolution'!$A$2:$A$999,1,FALSE)</f>
        <v>Inefficient dispatching</v>
      </c>
    </row>
    <row r="84" spans="1:16" x14ac:dyDescent="0.25">
      <c r="A84" s="23" t="s">
        <v>669</v>
      </c>
      <c r="B84" s="10">
        <v>4038</v>
      </c>
      <c r="C84" s="13">
        <v>42558.171967592592</v>
      </c>
      <c r="D84" s="13">
        <v>42558.195613425924</v>
      </c>
      <c r="E84" s="10">
        <v>0</v>
      </c>
      <c r="F84" s="10" t="s">
        <v>35</v>
      </c>
      <c r="G84" s="10" t="s">
        <v>398</v>
      </c>
      <c r="H84" s="22">
        <v>2.364583333110204E-2</v>
      </c>
      <c r="I84" s="12"/>
      <c r="J84" s="12"/>
      <c r="K84" s="12">
        <v>34.049999996786937</v>
      </c>
      <c r="L84" s="8" t="s">
        <v>12</v>
      </c>
      <c r="M84" s="41">
        <v>1</v>
      </c>
      <c r="N84" s="47"/>
      <c r="O84" s="47" t="str">
        <f>RIGHT(A84,2)</f>
        <v>07</v>
      </c>
      <c r="P84" s="43" t="str">
        <f>VLOOKUP(L84,'Issue Resolution'!$A$2:$A$999,1,FALSE)</f>
        <v>Wi-MAX data drops</v>
      </c>
    </row>
    <row r="85" spans="1:16" x14ac:dyDescent="0.25">
      <c r="A85" s="23" t="s">
        <v>160</v>
      </c>
      <c r="B85" s="10">
        <v>4032</v>
      </c>
      <c r="C85" s="13">
        <v>42558.496053240742</v>
      </c>
      <c r="D85" s="13">
        <v>42558.515983796293</v>
      </c>
      <c r="E85" s="10">
        <v>1</v>
      </c>
      <c r="F85" s="10" t="s">
        <v>38</v>
      </c>
      <c r="G85" s="10" t="s">
        <v>409</v>
      </c>
      <c r="H85" s="22">
        <v>1.993055555067258E-2</v>
      </c>
      <c r="I85" s="12"/>
      <c r="J85" s="12"/>
      <c r="K85" s="12">
        <v>28.699999992968515</v>
      </c>
      <c r="L85" s="8" t="s">
        <v>12</v>
      </c>
      <c r="M85" s="41">
        <v>1</v>
      </c>
      <c r="N85" s="47"/>
      <c r="O85" s="47" t="str">
        <f>RIGHT(A85,2)</f>
        <v>07</v>
      </c>
      <c r="P85" s="43" t="str">
        <f>VLOOKUP(L85,'Issue Resolution'!$A$2:$A$999,1,FALSE)</f>
        <v>Wi-MAX data drops</v>
      </c>
    </row>
    <row r="86" spans="1:16" x14ac:dyDescent="0.25">
      <c r="A86" s="23" t="s">
        <v>670</v>
      </c>
      <c r="B86" s="10">
        <v>4028</v>
      </c>
      <c r="C86" s="13">
        <v>42558.49627314815</v>
      </c>
      <c r="D86" s="13">
        <v>42558.522430555553</v>
      </c>
      <c r="E86" s="10">
        <v>0</v>
      </c>
      <c r="F86" s="10" t="s">
        <v>36</v>
      </c>
      <c r="G86" s="10" t="s">
        <v>396</v>
      </c>
      <c r="H86" s="22">
        <v>2.6157407402934041E-2</v>
      </c>
      <c r="I86" s="12"/>
      <c r="J86" s="12"/>
      <c r="K86" s="12">
        <v>37.666666660225019</v>
      </c>
      <c r="L86" s="8" t="s">
        <v>12</v>
      </c>
      <c r="M86" s="41">
        <v>1</v>
      </c>
      <c r="N86" s="47"/>
      <c r="O86" s="47" t="str">
        <f>RIGHT(A86,2)</f>
        <v>07</v>
      </c>
      <c r="P86" s="43" t="str">
        <f>VLOOKUP(L86,'Issue Resolution'!$A$2:$A$999,1,FALSE)</f>
        <v>Wi-MAX data drops</v>
      </c>
    </row>
    <row r="87" spans="1:16" x14ac:dyDescent="0.25">
      <c r="A87" s="23" t="s">
        <v>671</v>
      </c>
      <c r="B87" s="10">
        <v>4037</v>
      </c>
      <c r="C87" s="13">
        <v>42558.516122685185</v>
      </c>
      <c r="D87" s="13">
        <v>42558.522430555553</v>
      </c>
      <c r="E87" s="10">
        <v>1</v>
      </c>
      <c r="F87" s="10" t="s">
        <v>35</v>
      </c>
      <c r="G87" s="10" t="s">
        <v>444</v>
      </c>
      <c r="H87" s="22">
        <v>6.3078703678911552E-3</v>
      </c>
      <c r="I87" s="12"/>
      <c r="J87" s="12"/>
      <c r="K87" s="12">
        <v>9.0833333297632635</v>
      </c>
      <c r="L87" s="8" t="s">
        <v>12</v>
      </c>
      <c r="M87" s="41">
        <v>0</v>
      </c>
      <c r="N87" s="47"/>
      <c r="O87" s="47" t="str">
        <f>RIGHT(A87,2)</f>
        <v>07</v>
      </c>
      <c r="P87" s="43" t="str">
        <f>VLOOKUP(L87,'Issue Resolution'!$A$2:$A$999,1,FALSE)</f>
        <v>Wi-MAX data drops</v>
      </c>
    </row>
    <row r="88" spans="1:16" x14ac:dyDescent="0.25">
      <c r="A88" s="23" t="s">
        <v>672</v>
      </c>
      <c r="B88" s="10">
        <v>4007</v>
      </c>
      <c r="C88" s="13">
        <v>42558.498379629629</v>
      </c>
      <c r="D88" s="13">
        <v>42558.522546296299</v>
      </c>
      <c r="E88" s="10">
        <v>1</v>
      </c>
      <c r="F88" s="10" t="s">
        <v>34</v>
      </c>
      <c r="G88" s="10" t="s">
        <v>453</v>
      </c>
      <c r="H88" s="22">
        <v>2.4166666669771075E-2</v>
      </c>
      <c r="I88" s="12"/>
      <c r="J88" s="12"/>
      <c r="K88" s="12">
        <v>34.800000004470348</v>
      </c>
      <c r="L88" s="8" t="s">
        <v>12</v>
      </c>
      <c r="M88" s="41">
        <v>1</v>
      </c>
      <c r="N88" s="47"/>
      <c r="O88" s="47" t="str">
        <f>RIGHT(A88,2)</f>
        <v>07</v>
      </c>
      <c r="P88" s="43" t="str">
        <f>VLOOKUP(L88,'Issue Resolution'!$A$2:$A$999,1,FALSE)</f>
        <v>Wi-MAX data drops</v>
      </c>
    </row>
    <row r="89" spans="1:16" x14ac:dyDescent="0.25">
      <c r="A89" s="23" t="s">
        <v>74</v>
      </c>
      <c r="B89" s="10">
        <v>4044</v>
      </c>
      <c r="C89" s="13">
        <v>42558.507268518515</v>
      </c>
      <c r="D89" s="13">
        <v>42558.522696759261</v>
      </c>
      <c r="E89" s="10">
        <v>2</v>
      </c>
      <c r="F89" s="10" t="s">
        <v>42</v>
      </c>
      <c r="G89" s="10" t="s">
        <v>463</v>
      </c>
      <c r="H89" s="22">
        <v>1.5428240745677613E-2</v>
      </c>
      <c r="I89" s="12"/>
      <c r="J89" s="12"/>
      <c r="K89" s="12">
        <v>22.216666673775762</v>
      </c>
      <c r="L89" s="8" t="s">
        <v>12</v>
      </c>
      <c r="M89" s="41">
        <v>0.75</v>
      </c>
      <c r="N89" s="47"/>
      <c r="O89" s="47" t="str">
        <f>RIGHT(A89,2)</f>
        <v>07</v>
      </c>
      <c r="P89" s="43" t="str">
        <f>VLOOKUP(L89,'Issue Resolution'!$A$2:$A$999,1,FALSE)</f>
        <v>Wi-MAX data drops</v>
      </c>
    </row>
    <row r="90" spans="1:16" x14ac:dyDescent="0.25">
      <c r="A90" s="10" t="s">
        <v>673</v>
      </c>
      <c r="B90" s="10">
        <v>4012</v>
      </c>
      <c r="C90" s="13">
        <v>42558.610462962963</v>
      </c>
      <c r="D90" s="13">
        <v>42558.63181712963</v>
      </c>
      <c r="E90" s="10">
        <v>1</v>
      </c>
      <c r="F90" s="10" t="s">
        <v>40</v>
      </c>
      <c r="G90" s="10" t="s">
        <v>506</v>
      </c>
      <c r="H90" s="22">
        <v>2.1354166667151731E-2</v>
      </c>
      <c r="I90" s="12"/>
      <c r="J90" s="12"/>
      <c r="K90" s="12">
        <v>40.983333337353542</v>
      </c>
      <c r="L90" s="8" t="s">
        <v>12</v>
      </c>
      <c r="M90" s="41">
        <v>1</v>
      </c>
      <c r="N90" s="47"/>
      <c r="O90" s="47" t="str">
        <f>RIGHT(A90,2)</f>
        <v>07</v>
      </c>
      <c r="P90" s="43" t="str">
        <f>VLOOKUP(L90,'Issue Resolution'!$A$2:$A$999,1,FALSE)</f>
        <v>Wi-MAX data drops</v>
      </c>
    </row>
    <row r="91" spans="1:16" x14ac:dyDescent="0.25">
      <c r="A91" s="10" t="s">
        <v>674</v>
      </c>
      <c r="B91" s="48">
        <v>4013</v>
      </c>
      <c r="C91" s="42">
        <v>42558.694166666668</v>
      </c>
      <c r="D91" s="42">
        <v>42558.712905092594</v>
      </c>
      <c r="E91" s="48">
        <v>2</v>
      </c>
      <c r="F91" s="10" t="s">
        <v>39</v>
      </c>
      <c r="G91" s="10" t="s">
        <v>453</v>
      </c>
      <c r="H91" s="22">
        <v>1.8738425926130731E-2</v>
      </c>
      <c r="I91" s="12"/>
      <c r="J91" s="12"/>
      <c r="K91" s="12">
        <v>26.983333333628252</v>
      </c>
      <c r="L91" s="8" t="s">
        <v>12</v>
      </c>
      <c r="M91" s="41">
        <v>1</v>
      </c>
      <c r="N91" s="47"/>
      <c r="O91" s="47" t="str">
        <f>RIGHT(A91,2)</f>
        <v>07</v>
      </c>
      <c r="P91" s="43" t="str">
        <f>VLOOKUP(L91,'Issue Resolution'!$A$2:$A$999,1,FALSE)</f>
        <v>Wi-MAX data drops</v>
      </c>
    </row>
    <row r="92" spans="1:16" x14ac:dyDescent="0.25">
      <c r="A92" s="23" t="s">
        <v>675</v>
      </c>
      <c r="B92" s="10">
        <v>4031</v>
      </c>
      <c r="C92" s="13">
        <v>42558.73641203704</v>
      </c>
      <c r="D92" s="13">
        <v>42558.748182870368</v>
      </c>
      <c r="E92" s="10">
        <v>1</v>
      </c>
      <c r="F92" s="10" t="s">
        <v>38</v>
      </c>
      <c r="G92" s="10" t="s">
        <v>558</v>
      </c>
      <c r="H92" s="22">
        <v>1.1770833327318542E-2</v>
      </c>
      <c r="I92" s="12"/>
      <c r="J92" s="12"/>
      <c r="K92" s="12">
        <v>16.9499999913387</v>
      </c>
      <c r="L92" s="40" t="s">
        <v>47</v>
      </c>
      <c r="M92" s="41">
        <v>0.33333333333333331</v>
      </c>
      <c r="N92" s="47"/>
      <c r="O92" s="47" t="str">
        <f>RIGHT(A92,2)</f>
        <v>07</v>
      </c>
      <c r="P92" s="43" t="str">
        <f>VLOOKUP(L92,'Issue Resolution'!$A$2:$A$999,1,FALSE)</f>
        <v>Onboard in-route failure</v>
      </c>
    </row>
    <row r="93" spans="1:16" x14ac:dyDescent="0.25">
      <c r="A93" s="23" t="s">
        <v>676</v>
      </c>
      <c r="B93" s="12">
        <v>4011</v>
      </c>
      <c r="C93" s="13">
        <v>42559.127754629626</v>
      </c>
      <c r="D93" s="13">
        <v>42559.152418981481</v>
      </c>
      <c r="E93" s="12">
        <v>1</v>
      </c>
      <c r="F93" s="10" t="s">
        <v>40</v>
      </c>
      <c r="G93" s="10" t="s">
        <v>398</v>
      </c>
      <c r="H93" s="22">
        <v>2.4664351854880806E-2</v>
      </c>
      <c r="I93" s="12"/>
      <c r="J93" s="12"/>
      <c r="K93" s="12">
        <v>35.516666671028361</v>
      </c>
      <c r="L93" s="8" t="s">
        <v>47</v>
      </c>
      <c r="M93" s="41">
        <v>1</v>
      </c>
      <c r="N93" s="47"/>
      <c r="O93" s="47" t="str">
        <f>RIGHT(A93,2)</f>
        <v>08</v>
      </c>
      <c r="P93" s="43" t="str">
        <f>VLOOKUP(L93,'Issue Resolution'!$A$2:$A$999,1,FALSE)</f>
        <v>Onboard in-route failure</v>
      </c>
    </row>
    <row r="94" spans="1:16" x14ac:dyDescent="0.25">
      <c r="A94" s="23" t="s">
        <v>677</v>
      </c>
      <c r="B94" s="12">
        <v>4028</v>
      </c>
      <c r="C94" s="13">
        <v>42559.164178240739</v>
      </c>
      <c r="D94" s="13">
        <v>42559.191296296296</v>
      </c>
      <c r="E94" s="12">
        <v>1</v>
      </c>
      <c r="F94" s="10" t="s">
        <v>36</v>
      </c>
      <c r="G94" s="10" t="s">
        <v>398</v>
      </c>
      <c r="H94" s="22">
        <v>2.7118055557366461E-2</v>
      </c>
      <c r="I94" s="12"/>
      <c r="J94" s="12"/>
      <c r="K94" s="12">
        <v>39.050000002607703</v>
      </c>
      <c r="L94" s="8" t="s">
        <v>12</v>
      </c>
      <c r="M94" s="41">
        <v>0.25</v>
      </c>
      <c r="N94" s="47"/>
      <c r="O94" s="47" t="str">
        <f>RIGHT(A94,2)</f>
        <v>08</v>
      </c>
      <c r="P94" s="43" t="str">
        <f>VLOOKUP(L94,'Issue Resolution'!$A$2:$A$999,1,FALSE)</f>
        <v>Wi-MAX data drops</v>
      </c>
    </row>
    <row r="95" spans="1:16" x14ac:dyDescent="0.25">
      <c r="A95" s="23" t="s">
        <v>678</v>
      </c>
      <c r="B95" s="12">
        <v>4014</v>
      </c>
      <c r="C95" s="13">
        <v>42559.198182870372</v>
      </c>
      <c r="D95" s="13">
        <v>42559.223321759258</v>
      </c>
      <c r="E95" s="12">
        <v>0</v>
      </c>
      <c r="F95" s="10" t="s">
        <v>39</v>
      </c>
      <c r="G95" s="10" t="s">
        <v>396</v>
      </c>
      <c r="H95" s="22">
        <v>2.5138888886431232E-2</v>
      </c>
      <c r="I95" s="12"/>
      <c r="J95" s="12"/>
      <c r="K95" s="12">
        <v>36.199999996460974</v>
      </c>
      <c r="L95" s="8" t="s">
        <v>12</v>
      </c>
      <c r="M95" s="41">
        <v>1</v>
      </c>
      <c r="N95" s="47"/>
      <c r="O95" s="47" t="str">
        <f>RIGHT(A95,2)</f>
        <v>08</v>
      </c>
      <c r="P95" s="43" t="str">
        <f>VLOOKUP(L95,'Issue Resolution'!$A$2:$A$999,1,FALSE)</f>
        <v>Wi-MAX data drops</v>
      </c>
    </row>
    <row r="96" spans="1:16" x14ac:dyDescent="0.25">
      <c r="A96" s="23" t="s">
        <v>295</v>
      </c>
      <c r="B96" s="12">
        <v>4026</v>
      </c>
      <c r="C96" s="13">
        <v>42559.434525462966</v>
      </c>
      <c r="D96" s="13">
        <v>42559.447395833333</v>
      </c>
      <c r="E96" s="12">
        <v>1</v>
      </c>
      <c r="F96" s="10" t="s">
        <v>37</v>
      </c>
      <c r="G96" s="10" t="s">
        <v>459</v>
      </c>
      <c r="H96" s="22">
        <v>1.2870370366727002E-2</v>
      </c>
      <c r="I96" s="12"/>
      <c r="J96" s="12"/>
      <c r="K96" s="12">
        <v>38.46666665864177</v>
      </c>
      <c r="L96" s="8" t="s">
        <v>12</v>
      </c>
      <c r="M96" s="41">
        <v>0.91666666666666663</v>
      </c>
      <c r="N96" s="47"/>
      <c r="O96" s="47" t="str">
        <f>RIGHT(A96,2)</f>
        <v>08</v>
      </c>
      <c r="P96" s="43" t="str">
        <f>VLOOKUP(L96,'Issue Resolution'!$A$2:$A$999,1,FALSE)</f>
        <v>Wi-MAX data drops</v>
      </c>
    </row>
    <row r="97" spans="1:16" x14ac:dyDescent="0.25">
      <c r="A97" s="23" t="s">
        <v>679</v>
      </c>
      <c r="B97" s="12">
        <v>4043</v>
      </c>
      <c r="C97" s="13">
        <v>42559.665219907409</v>
      </c>
      <c r="D97" s="13">
        <v>42559.696400462963</v>
      </c>
      <c r="E97" s="12">
        <v>1</v>
      </c>
      <c r="F97" s="10" t="s">
        <v>42</v>
      </c>
      <c r="G97" s="10" t="s">
        <v>444</v>
      </c>
      <c r="H97" s="22">
        <v>3.1180555553874001E-2</v>
      </c>
      <c r="I97" s="12"/>
      <c r="J97" s="12"/>
      <c r="K97" s="12">
        <v>54.516666670097038</v>
      </c>
      <c r="L97" s="8" t="s">
        <v>12</v>
      </c>
      <c r="M97" s="41">
        <v>1</v>
      </c>
      <c r="N97" s="47"/>
      <c r="O97" s="47" t="str">
        <f>RIGHT(A97,2)</f>
        <v>08</v>
      </c>
      <c r="P97" s="43" t="str">
        <f>VLOOKUP(L97,'Issue Resolution'!$A$2:$A$999,1,FALSE)</f>
        <v>Wi-MAX data drops</v>
      </c>
    </row>
    <row r="98" spans="1:16" x14ac:dyDescent="0.25">
      <c r="A98" s="23" t="s">
        <v>680</v>
      </c>
      <c r="B98" s="12">
        <v>4044</v>
      </c>
      <c r="C98" s="13">
        <v>42559.703217592592</v>
      </c>
      <c r="D98" s="13">
        <v>42559.706377314818</v>
      </c>
      <c r="E98" s="12">
        <v>0</v>
      </c>
      <c r="F98" s="10" t="s">
        <v>42</v>
      </c>
      <c r="G98" s="10" t="s">
        <v>444</v>
      </c>
      <c r="H98" s="22">
        <v>3.1597222259733826E-3</v>
      </c>
      <c r="I98" s="12"/>
      <c r="J98" s="12"/>
      <c r="K98" s="12">
        <v>4.5500000054016709</v>
      </c>
      <c r="L98" s="33" t="s">
        <v>386</v>
      </c>
      <c r="M98" s="41">
        <v>0</v>
      </c>
      <c r="N98" s="47"/>
      <c r="O98" s="47" t="str">
        <f>RIGHT(A98,2)</f>
        <v>08</v>
      </c>
      <c r="P98" s="43" t="str">
        <f>VLOOKUP(L98,'Issue Resolution'!$A$2:$A$999,1,FALSE)</f>
        <v>Operational Issue</v>
      </c>
    </row>
    <row r="99" spans="1:16" x14ac:dyDescent="0.25">
      <c r="A99" s="23" t="s">
        <v>681</v>
      </c>
      <c r="B99" s="12">
        <v>4020</v>
      </c>
      <c r="C99" s="13">
        <v>42560.269328703704</v>
      </c>
      <c r="D99" s="13">
        <v>42560.281261574077</v>
      </c>
      <c r="E99" s="12">
        <v>1</v>
      </c>
      <c r="F99" s="10" t="s">
        <v>32</v>
      </c>
      <c r="G99" s="10" t="s">
        <v>396</v>
      </c>
      <c r="H99" s="22">
        <v>1.1932870373129845E-2</v>
      </c>
      <c r="I99" s="12"/>
      <c r="J99" s="12"/>
      <c r="K99" s="12">
        <v>17.183333337306976</v>
      </c>
      <c r="L99" s="8" t="s">
        <v>12</v>
      </c>
      <c r="M99" s="41">
        <v>0.75</v>
      </c>
      <c r="N99" s="47"/>
      <c r="O99" s="47" t="str">
        <f>RIGHT(A99,2)</f>
        <v>09</v>
      </c>
      <c r="P99" s="43" t="str">
        <f>VLOOKUP(L99,'Issue Resolution'!$A$2:$A$999,1,FALSE)</f>
        <v>Wi-MAX data drops</v>
      </c>
    </row>
    <row r="100" spans="1:16" x14ac:dyDescent="0.25">
      <c r="A100" s="23" t="s">
        <v>682</v>
      </c>
      <c r="B100" s="12">
        <v>4032</v>
      </c>
      <c r="C100" s="13">
        <v>42560.424409722225</v>
      </c>
      <c r="D100" s="13">
        <v>42560.44091435185</v>
      </c>
      <c r="E100" s="12">
        <v>0</v>
      </c>
      <c r="F100" s="10" t="s">
        <v>38</v>
      </c>
      <c r="G100" s="10" t="s">
        <v>398</v>
      </c>
      <c r="H100" s="22">
        <v>1.6504629624250811E-2</v>
      </c>
      <c r="I100" s="12"/>
      <c r="J100" s="12"/>
      <c r="K100" s="12">
        <v>37.466666655382141</v>
      </c>
      <c r="L100" s="8" t="s">
        <v>12</v>
      </c>
      <c r="M100" s="41">
        <v>0.75</v>
      </c>
      <c r="N100" s="47"/>
      <c r="O100" s="47" t="str">
        <f>RIGHT(A100,2)</f>
        <v>09</v>
      </c>
      <c r="P100" s="43" t="str">
        <f>VLOOKUP(L100,'Issue Resolution'!$A$2:$A$999,1,FALSE)</f>
        <v>Wi-MAX data drops</v>
      </c>
    </row>
    <row r="101" spans="1:16" x14ac:dyDescent="0.25">
      <c r="A101" s="23" t="s">
        <v>683</v>
      </c>
      <c r="B101" s="12">
        <v>4007</v>
      </c>
      <c r="C101" s="13">
        <v>42560.453194444446</v>
      </c>
      <c r="D101" s="13">
        <v>42560.460810185185</v>
      </c>
      <c r="E101" s="12">
        <v>1</v>
      </c>
      <c r="F101" s="10" t="s">
        <v>34</v>
      </c>
      <c r="G101" s="10" t="s">
        <v>411</v>
      </c>
      <c r="H101" s="22">
        <v>7.6157407384016551E-3</v>
      </c>
      <c r="I101" s="12"/>
      <c r="J101" s="12"/>
      <c r="K101" s="12">
        <v>38.600000002188608</v>
      </c>
      <c r="L101" s="8" t="s">
        <v>11</v>
      </c>
      <c r="M101" s="41">
        <v>1</v>
      </c>
      <c r="N101" s="47"/>
      <c r="O101" s="47" t="str">
        <f>RIGHT(A101,2)</f>
        <v>09</v>
      </c>
      <c r="P101" s="43" t="str">
        <f>VLOOKUP(L101,'Issue Resolution'!$A$2:$A$999,1,FALSE)</f>
        <v>Link failures in wayside equipment</v>
      </c>
    </row>
    <row r="102" spans="1:16" x14ac:dyDescent="0.25">
      <c r="A102" s="23" t="s">
        <v>685</v>
      </c>
      <c r="B102" s="12">
        <v>4040</v>
      </c>
      <c r="C102" s="13">
        <v>42560.443124999998</v>
      </c>
      <c r="D102" s="13">
        <v>42560.467488425929</v>
      </c>
      <c r="E102" s="12">
        <v>1</v>
      </c>
      <c r="F102" s="10" t="s">
        <v>44</v>
      </c>
      <c r="G102" s="10" t="s">
        <v>418</v>
      </c>
      <c r="H102" s="22">
        <v>2.436342593136942E-2</v>
      </c>
      <c r="I102" s="12"/>
      <c r="J102" s="12"/>
      <c r="K102" s="12">
        <v>35.083333341171965</v>
      </c>
      <c r="L102" s="8" t="s">
        <v>12</v>
      </c>
      <c r="M102" s="41">
        <v>1</v>
      </c>
      <c r="N102" s="47"/>
      <c r="O102" s="47" t="str">
        <f>RIGHT(A102,2)</f>
        <v>09</v>
      </c>
      <c r="P102" s="43" t="str">
        <f>VLOOKUP(L102,'Issue Resolution'!$A$2:$A$999,1,FALSE)</f>
        <v>Wi-MAX data drops</v>
      </c>
    </row>
    <row r="103" spans="1:16" x14ac:dyDescent="0.25">
      <c r="A103" s="23" t="s">
        <v>686</v>
      </c>
      <c r="B103" s="12">
        <v>4040</v>
      </c>
      <c r="C103" s="13">
        <v>42560.889988425923</v>
      </c>
      <c r="D103" s="13">
        <v>42560.919722222221</v>
      </c>
      <c r="E103" s="12">
        <v>0</v>
      </c>
      <c r="F103" s="10" t="s">
        <v>44</v>
      </c>
      <c r="G103" s="10" t="s">
        <v>504</v>
      </c>
      <c r="H103" s="22">
        <v>2.973379629838746E-2</v>
      </c>
      <c r="I103" s="12"/>
      <c r="J103" s="12"/>
      <c r="K103" s="12">
        <v>42.816666669677943</v>
      </c>
      <c r="L103" s="8" t="s">
        <v>12</v>
      </c>
      <c r="M103" s="41">
        <v>1</v>
      </c>
      <c r="N103" s="47"/>
      <c r="O103" s="47" t="str">
        <f>RIGHT(A103,2)</f>
        <v>09</v>
      </c>
      <c r="P103" s="43" t="str">
        <f>VLOOKUP(L103,'Issue Resolution'!$A$2:$A$999,1,FALSE)</f>
        <v>Wi-MAX data drops</v>
      </c>
    </row>
    <row r="104" spans="1:16" x14ac:dyDescent="0.25">
      <c r="A104" s="23" t="s">
        <v>412</v>
      </c>
      <c r="B104" s="12">
        <v>4008</v>
      </c>
      <c r="C104" s="13">
        <v>42561.081377314818</v>
      </c>
      <c r="D104" s="13">
        <v>42561.090821759259</v>
      </c>
      <c r="E104" s="12">
        <v>2</v>
      </c>
      <c r="F104" s="10" t="s">
        <v>34</v>
      </c>
      <c r="G104" s="10" t="s">
        <v>413</v>
      </c>
      <c r="H104" s="22">
        <v>9.444444440305233E-3</v>
      </c>
      <c r="I104" s="12"/>
      <c r="J104" s="12"/>
      <c r="K104" s="12">
        <v>14.899999994086102</v>
      </c>
      <c r="L104" s="8" t="s">
        <v>12</v>
      </c>
      <c r="M104" s="41">
        <v>0</v>
      </c>
      <c r="N104" s="47" t="str">
        <f>VLOOKUP(L104,'Issue Resolution'!$A$2:$A$9,1,FALSE)</f>
        <v>Wi-MAX data drops</v>
      </c>
      <c r="O104" s="47" t="str">
        <f>RIGHT(A104,2)</f>
        <v>09</v>
      </c>
      <c r="P104" s="43" t="str">
        <f>VLOOKUP(L104,'Issue Resolution'!$A$2:$A$999,1,FALSE)</f>
        <v>Wi-MAX data drops</v>
      </c>
    </row>
    <row r="105" spans="1:16" x14ac:dyDescent="0.25">
      <c r="A105" s="23" t="s">
        <v>412</v>
      </c>
      <c r="B105" s="12">
        <v>4008</v>
      </c>
      <c r="C105" s="13">
        <v>42561.081377314818</v>
      </c>
      <c r="D105" s="13">
        <v>42561.090821759259</v>
      </c>
      <c r="E105" s="12">
        <v>2</v>
      </c>
      <c r="F105" s="10" t="s">
        <v>34</v>
      </c>
      <c r="G105" s="10" t="s">
        <v>413</v>
      </c>
      <c r="H105" s="22">
        <v>9.444444440305233E-3</v>
      </c>
      <c r="I105" s="12"/>
      <c r="J105" s="12"/>
      <c r="K105" s="12">
        <v>14.899999994086102</v>
      </c>
      <c r="L105" s="8" t="s">
        <v>12</v>
      </c>
      <c r="M105" s="41">
        <v>0</v>
      </c>
      <c r="N105" s="47"/>
      <c r="O105" s="47" t="str">
        <f>RIGHT(A105,2)</f>
        <v>09</v>
      </c>
      <c r="P105" s="43" t="str">
        <f>VLOOKUP(L105,'Issue Resolution'!$A$2:$A$999,1,FALSE)</f>
        <v>Wi-MAX data drops</v>
      </c>
    </row>
    <row r="106" spans="1:16" x14ac:dyDescent="0.25">
      <c r="A106" s="23" t="s">
        <v>168</v>
      </c>
      <c r="B106" s="12">
        <v>4026</v>
      </c>
      <c r="C106" s="13">
        <v>42561.24181712963</v>
      </c>
      <c r="D106" s="13">
        <v>42561.265069444446</v>
      </c>
      <c r="E106" s="12">
        <v>1</v>
      </c>
      <c r="F106" s="10" t="s">
        <v>37</v>
      </c>
      <c r="G106" s="10" t="s">
        <v>396</v>
      </c>
      <c r="H106" s="22">
        <v>2.3252314815181307E-2</v>
      </c>
      <c r="I106" s="12"/>
      <c r="J106" s="12"/>
      <c r="K106" s="12">
        <v>34.433333335909992</v>
      </c>
      <c r="L106" s="8" t="s">
        <v>12</v>
      </c>
      <c r="M106" s="41">
        <v>1</v>
      </c>
      <c r="N106" s="47" t="str">
        <f>VLOOKUP(L106,'Issue Resolution'!$A$2:$A$99,1,FALSE)</f>
        <v>Wi-MAX data drops</v>
      </c>
      <c r="O106" s="47" t="str">
        <f>RIGHT(A106,2)</f>
        <v>10</v>
      </c>
      <c r="P106" s="43" t="str">
        <f>VLOOKUP(L106,'Issue Resolution'!$A$2:$A$999,1,FALSE)</f>
        <v>Wi-MAX data drops</v>
      </c>
    </row>
    <row r="107" spans="1:16" x14ac:dyDescent="0.25">
      <c r="A107" s="23" t="s">
        <v>397</v>
      </c>
      <c r="B107" s="12">
        <v>4018</v>
      </c>
      <c r="C107" s="13">
        <v>42561.227152777778</v>
      </c>
      <c r="D107" s="13">
        <v>42561.243333333332</v>
      </c>
      <c r="E107" s="12">
        <v>0</v>
      </c>
      <c r="F107" s="10" t="s">
        <v>41</v>
      </c>
      <c r="G107" s="10" t="s">
        <v>398</v>
      </c>
      <c r="H107" s="22">
        <v>1.6180555554456078E-2</v>
      </c>
      <c r="I107" s="12"/>
      <c r="J107" s="12"/>
      <c r="K107" s="12">
        <v>23.299999998416752</v>
      </c>
      <c r="L107" s="8" t="s">
        <v>12</v>
      </c>
      <c r="M107" s="41">
        <v>0.91666666666666663</v>
      </c>
      <c r="N107" s="47" t="str">
        <f>VLOOKUP(L107,'Issue Resolution'!$A$2:$A$99,1,FALSE)</f>
        <v>Wi-MAX data drops</v>
      </c>
      <c r="O107" s="47" t="str">
        <f>RIGHT(A107,2)</f>
        <v>10</v>
      </c>
      <c r="P107" s="43" t="str">
        <f>VLOOKUP(L107,'Issue Resolution'!$A$2:$A$999,1,FALSE)</f>
        <v>Wi-MAX data drops</v>
      </c>
    </row>
    <row r="108" spans="1:16" x14ac:dyDescent="0.25">
      <c r="A108" s="23" t="s">
        <v>399</v>
      </c>
      <c r="B108" s="12">
        <v>4031</v>
      </c>
      <c r="C108" s="13">
        <v>42561.309259259258</v>
      </c>
      <c r="D108" s="13">
        <v>42561.335752314815</v>
      </c>
      <c r="E108" s="12">
        <v>0</v>
      </c>
      <c r="F108" s="10" t="s">
        <v>38</v>
      </c>
      <c r="G108" s="10" t="s">
        <v>400</v>
      </c>
      <c r="H108" s="22">
        <v>2.6493055556784384E-2</v>
      </c>
      <c r="I108" s="12"/>
      <c r="J108" s="12"/>
      <c r="K108" s="12">
        <v>38.150000001769513</v>
      </c>
      <c r="L108" s="40" t="s">
        <v>8</v>
      </c>
      <c r="M108" s="41">
        <v>1</v>
      </c>
      <c r="N108" s="47" t="str">
        <f>VLOOKUP(L108,'Issue Resolution'!$A$2:$A$9,1,FALSE)</f>
        <v>Inefficient dispatching</v>
      </c>
      <c r="O108" s="47" t="str">
        <f>RIGHT(A108,2)</f>
        <v>10</v>
      </c>
      <c r="P108" s="43" t="str">
        <f>VLOOKUP(L108,'Issue Resolution'!$A$2:$A$999,1,FALSE)</f>
        <v>Inefficient dispatching</v>
      </c>
    </row>
    <row r="109" spans="1:16" x14ac:dyDescent="0.25">
      <c r="A109" s="23" t="s">
        <v>401</v>
      </c>
      <c r="B109" s="12">
        <v>4032</v>
      </c>
      <c r="C109" s="13">
        <v>42561.489062499997</v>
      </c>
      <c r="D109" s="13">
        <v>42561.584675925929</v>
      </c>
      <c r="E109" s="12">
        <v>1</v>
      </c>
      <c r="F109" s="10" t="s">
        <v>38</v>
      </c>
      <c r="G109" s="10" t="s">
        <v>402</v>
      </c>
      <c r="H109" s="22">
        <v>9.5613425932242535E-2</v>
      </c>
      <c r="I109" s="12"/>
      <c r="J109" s="12"/>
      <c r="K109" s="12">
        <v>137.68333334242925</v>
      </c>
      <c r="L109" s="8" t="s">
        <v>8</v>
      </c>
      <c r="M109" s="41">
        <v>8.3333333333333329E-2</v>
      </c>
      <c r="N109" s="47" t="str">
        <f>VLOOKUP(L109,'Issue Resolution'!$A$2:$A$9,1,FALSE)</f>
        <v>Inefficient dispatching</v>
      </c>
      <c r="O109" s="47" t="str">
        <f>RIGHT(A109,2)</f>
        <v>10</v>
      </c>
      <c r="P109" s="43" t="str">
        <f>VLOOKUP(L109,'Issue Resolution'!$A$2:$A$999,1,FALSE)</f>
        <v>Inefficient dispatching</v>
      </c>
    </row>
    <row r="110" spans="1:16" x14ac:dyDescent="0.25">
      <c r="A110" s="23" t="s">
        <v>403</v>
      </c>
      <c r="B110" s="12">
        <v>4019</v>
      </c>
      <c r="C110" s="13">
        <v>42561.531423611108</v>
      </c>
      <c r="D110" s="13">
        <v>42561.552662037036</v>
      </c>
      <c r="E110" s="12">
        <v>0</v>
      </c>
      <c r="F110" s="10" t="s">
        <v>32</v>
      </c>
      <c r="G110" s="10" t="s">
        <v>404</v>
      </c>
      <c r="H110" s="22">
        <v>2.1238425928459037E-2</v>
      </c>
      <c r="I110" s="12"/>
      <c r="J110" s="12"/>
      <c r="K110" s="12">
        <v>30.583333336981013</v>
      </c>
      <c r="L110" s="8" t="s">
        <v>8</v>
      </c>
      <c r="M110" s="41">
        <v>8.3333333333333329E-2</v>
      </c>
      <c r="N110" s="47" t="str">
        <f>VLOOKUP(L110,'Issue Resolution'!$A$2:$A$9,1,FALSE)</f>
        <v>Inefficient dispatching</v>
      </c>
      <c r="O110" s="47" t="str">
        <f>RIGHT(A110,2)</f>
        <v>10</v>
      </c>
      <c r="P110" s="43" t="str">
        <f>VLOOKUP(L110,'Issue Resolution'!$A$2:$A$999,1,FALSE)</f>
        <v>Inefficient dispatching</v>
      </c>
    </row>
    <row r="111" spans="1:16" x14ac:dyDescent="0.25">
      <c r="A111" s="23" t="s">
        <v>167</v>
      </c>
      <c r="B111" s="12">
        <v>4012</v>
      </c>
      <c r="C111" s="13">
        <v>42561.541631944441</v>
      </c>
      <c r="D111" s="13">
        <v>42561.562777777777</v>
      </c>
      <c r="E111" s="12">
        <v>1</v>
      </c>
      <c r="F111" s="10" t="s">
        <v>40</v>
      </c>
      <c r="G111" s="10" t="s">
        <v>405</v>
      </c>
      <c r="H111" s="22">
        <v>2.1145833336049691E-2</v>
      </c>
      <c r="I111" s="12"/>
      <c r="J111" s="12"/>
      <c r="K111" s="12">
        <v>30.450000003911555</v>
      </c>
      <c r="L111" s="8" t="s">
        <v>8</v>
      </c>
      <c r="M111" s="41">
        <v>8.3333333333333329E-2</v>
      </c>
      <c r="N111" s="47" t="str">
        <f>VLOOKUP(L111,'Issue Resolution'!$A$2:$A$8,1,FALSE)</f>
        <v>Inefficient dispatching</v>
      </c>
      <c r="O111" s="47" t="str">
        <f>RIGHT(A111,2)</f>
        <v>10</v>
      </c>
      <c r="P111" s="43" t="str">
        <f>VLOOKUP(L111,'Issue Resolution'!$A$2:$A$999,1,FALSE)</f>
        <v>Inefficient dispatching</v>
      </c>
    </row>
    <row r="112" spans="1:16" x14ac:dyDescent="0.25">
      <c r="A112" s="23" t="s">
        <v>406</v>
      </c>
      <c r="B112" s="12">
        <v>4017</v>
      </c>
      <c r="C112" s="13">
        <v>42561.555266203701</v>
      </c>
      <c r="D112" s="13">
        <v>42561.573483796295</v>
      </c>
      <c r="E112" s="12">
        <v>0</v>
      </c>
      <c r="F112" s="10" t="s">
        <v>41</v>
      </c>
      <c r="G112" s="10" t="s">
        <v>407</v>
      </c>
      <c r="H112" s="22">
        <v>1.8217592594737653E-2</v>
      </c>
      <c r="I112" s="12"/>
      <c r="J112" s="12"/>
      <c r="K112" s="12">
        <v>26.23333333642222</v>
      </c>
      <c r="L112" s="8" t="s">
        <v>8</v>
      </c>
      <c r="M112" s="41">
        <v>8.3333333333333329E-2</v>
      </c>
      <c r="N112" s="47" t="str">
        <f>VLOOKUP(L112,'Issue Resolution'!$A$2:$A$8,1,FALSE)</f>
        <v>Inefficient dispatching</v>
      </c>
      <c r="O112" s="47" t="str">
        <f>RIGHT(A112,2)</f>
        <v>10</v>
      </c>
      <c r="P112" s="43" t="str">
        <f>VLOOKUP(L112,'Issue Resolution'!$A$2:$A$999,1,FALSE)</f>
        <v>Inefficient dispatching</v>
      </c>
    </row>
    <row r="113" spans="1:16" x14ac:dyDescent="0.25">
      <c r="A113" s="23" t="s">
        <v>408</v>
      </c>
      <c r="B113" s="12">
        <v>4032</v>
      </c>
      <c r="C113" s="13">
        <v>42561.56559027778</v>
      </c>
      <c r="D113" s="13">
        <v>42561.584675925929</v>
      </c>
      <c r="E113" s="12">
        <v>0</v>
      </c>
      <c r="F113" s="10" t="s">
        <v>38</v>
      </c>
      <c r="G113" s="10" t="s">
        <v>409</v>
      </c>
      <c r="H113" s="22">
        <v>1.9085648149484769E-2</v>
      </c>
      <c r="I113" s="12"/>
      <c r="J113" s="12"/>
      <c r="K113" s="12">
        <v>46.683333328692243</v>
      </c>
      <c r="L113" s="8" t="s">
        <v>8</v>
      </c>
      <c r="M113" s="41">
        <v>0.91666666666666663</v>
      </c>
      <c r="N113" s="47" t="str">
        <f>VLOOKUP(L113,'Issue Resolution'!$A$2:$A$8,1,FALSE)</f>
        <v>Inefficient dispatching</v>
      </c>
      <c r="O113" s="47" t="str">
        <f>RIGHT(A113,2)</f>
        <v>10</v>
      </c>
      <c r="P113" s="43" t="str">
        <f>VLOOKUP(L113,'Issue Resolution'!$A$2:$A$999,1,FALSE)</f>
        <v>Inefficient dispatching</v>
      </c>
    </row>
    <row r="114" spans="1:16" x14ac:dyDescent="0.25">
      <c r="A114" s="23" t="s">
        <v>410</v>
      </c>
      <c r="B114" s="12">
        <v>4030</v>
      </c>
      <c r="C114" s="13">
        <v>42561.955717592595</v>
      </c>
      <c r="D114" s="13">
        <v>42561.984201388892</v>
      </c>
      <c r="E114" s="12">
        <v>1</v>
      </c>
      <c r="F114" s="10" t="s">
        <v>33</v>
      </c>
      <c r="G114" s="10" t="s">
        <v>411</v>
      </c>
      <c r="H114" s="22">
        <v>2.8483796297223307E-2</v>
      </c>
      <c r="I114" s="12"/>
      <c r="J114" s="12"/>
      <c r="K114" s="12">
        <v>41.016666668001562</v>
      </c>
      <c r="L114" s="40" t="s">
        <v>47</v>
      </c>
      <c r="M114" s="41">
        <v>0.75</v>
      </c>
      <c r="N114" s="47" t="str">
        <f>VLOOKUP(L114,'Issue Resolution'!$A$2:$A$9,1,FALSE)</f>
        <v>Onboard in-route failure</v>
      </c>
      <c r="O114" s="47" t="str">
        <f>RIGHT(A114,2)</f>
        <v>10</v>
      </c>
      <c r="P114" s="43" t="str">
        <f>VLOOKUP(L114,'Issue Resolution'!$A$2:$A$999,1,FALSE)</f>
        <v>Onboard in-route failure</v>
      </c>
    </row>
    <row r="115" spans="1:16" x14ac:dyDescent="0.25">
      <c r="A115" s="23" t="s">
        <v>414</v>
      </c>
      <c r="B115" s="12">
        <v>4016</v>
      </c>
      <c r="C115" s="13">
        <v>42562.213287037041</v>
      </c>
      <c r="D115" s="13">
        <v>42562.236875000002</v>
      </c>
      <c r="E115" s="12">
        <v>2</v>
      </c>
      <c r="F115" s="10" t="s">
        <v>46</v>
      </c>
      <c r="G115" s="10" t="s">
        <v>415</v>
      </c>
      <c r="H115" s="22">
        <v>2.3587962961755693E-2</v>
      </c>
      <c r="I115" s="12"/>
      <c r="J115" s="12"/>
      <c r="K115" s="12">
        <v>36.383333330741152</v>
      </c>
      <c r="L115" s="8" t="s">
        <v>8</v>
      </c>
      <c r="M115" s="41">
        <v>1</v>
      </c>
      <c r="N115" s="47" t="str">
        <f>VLOOKUP(L115,'Issue Resolution'!$A$2:$A$9,1,FALSE)</f>
        <v>Inefficient dispatching</v>
      </c>
      <c r="O115" s="47" t="str">
        <f>RIGHT(A115,2)</f>
        <v>11</v>
      </c>
      <c r="P115" s="43" t="str">
        <f>VLOOKUP(L115,'Issue Resolution'!$A$2:$A$999,1,FALSE)</f>
        <v>Inefficient dispatching</v>
      </c>
    </row>
    <row r="116" spans="1:16" x14ac:dyDescent="0.25">
      <c r="A116" s="23" t="s">
        <v>416</v>
      </c>
      <c r="B116" s="12">
        <v>4013</v>
      </c>
      <c r="C116" s="13">
        <v>42562.436608796299</v>
      </c>
      <c r="D116" s="13">
        <v>42562.452835648146</v>
      </c>
      <c r="E116" s="12">
        <v>0</v>
      </c>
      <c r="F116" s="10" t="s">
        <v>39</v>
      </c>
      <c r="G116" s="10" t="s">
        <v>400</v>
      </c>
      <c r="H116" s="22">
        <v>1.6226851847022772E-2</v>
      </c>
      <c r="I116" s="12"/>
      <c r="J116" s="12"/>
      <c r="K116" s="12">
        <v>29.933333331719041</v>
      </c>
      <c r="L116" s="8" t="s">
        <v>12</v>
      </c>
      <c r="M116" s="41">
        <v>1</v>
      </c>
      <c r="N116" s="47" t="str">
        <f>VLOOKUP(L116,'Issue Resolution'!$A$2:$A$8,1,FALSE)</f>
        <v>Wi-MAX data drops</v>
      </c>
      <c r="O116" s="47" t="str">
        <f>RIGHT(A116,2)</f>
        <v>11</v>
      </c>
      <c r="P116" s="43" t="str">
        <f>VLOOKUP(L116,'Issue Resolution'!$A$2:$A$999,1,FALSE)</f>
        <v>Wi-MAX data drops</v>
      </c>
    </row>
    <row r="117" spans="1:16" x14ac:dyDescent="0.25">
      <c r="A117" s="23" t="s">
        <v>417</v>
      </c>
      <c r="B117" s="12">
        <v>4026</v>
      </c>
      <c r="C117" s="13">
        <v>42562.434282407405</v>
      </c>
      <c r="D117" s="13">
        <v>42562.4371875</v>
      </c>
      <c r="E117" s="12">
        <v>0</v>
      </c>
      <c r="F117" s="10" t="s">
        <v>37</v>
      </c>
      <c r="G117" s="10" t="s">
        <v>418</v>
      </c>
      <c r="H117" s="22">
        <v>2.905092595028691E-3</v>
      </c>
      <c r="I117" s="12"/>
      <c r="J117" s="12"/>
      <c r="K117" s="12">
        <v>4.183333336841315</v>
      </c>
      <c r="L117" s="8" t="s">
        <v>12</v>
      </c>
      <c r="M117" s="41">
        <v>0</v>
      </c>
      <c r="N117" s="47" t="str">
        <f>VLOOKUP(L117,'Issue Resolution'!$A$2:$A$9,1,FALSE)</f>
        <v>Wi-MAX data drops</v>
      </c>
      <c r="O117" s="47" t="str">
        <f>RIGHT(A117,2)</f>
        <v>11</v>
      </c>
      <c r="P117" s="43" t="str">
        <f>VLOOKUP(L117,'Issue Resolution'!$A$2:$A$999,1,FALSE)</f>
        <v>Wi-MAX data drops</v>
      </c>
    </row>
    <row r="118" spans="1:16" x14ac:dyDescent="0.25">
      <c r="A118" s="23" t="s">
        <v>419</v>
      </c>
      <c r="B118" s="12">
        <v>4032</v>
      </c>
      <c r="C118" s="13">
        <v>42562.703622685185</v>
      </c>
      <c r="D118" s="13">
        <v>42562.73814814815</v>
      </c>
      <c r="E118" s="12">
        <v>0</v>
      </c>
      <c r="F118" s="10" t="s">
        <v>38</v>
      </c>
      <c r="G118" s="10" t="s">
        <v>420</v>
      </c>
      <c r="H118" s="22">
        <v>3.4525462964666076E-2</v>
      </c>
      <c r="I118" s="12"/>
      <c r="J118" s="12"/>
      <c r="K118" s="12">
        <v>49.716666669119149</v>
      </c>
      <c r="L118" s="35" t="s">
        <v>1767</v>
      </c>
      <c r="M118" s="41">
        <v>1</v>
      </c>
      <c r="N118" s="47" t="e">
        <f>VLOOKUP(L118,'Issue Resolution'!$A$2:$A$9,1,FALSE)</f>
        <v>#N/A</v>
      </c>
      <c r="O118" s="47" t="str">
        <f>RIGHT(A118,2)</f>
        <v>11</v>
      </c>
      <c r="P118" s="43" t="str">
        <f>VLOOKUP(L118,'Issue Resolution'!$A$2:$A$999,1,FALSE)</f>
        <v>Signaling system failures</v>
      </c>
    </row>
    <row r="119" spans="1:16" x14ac:dyDescent="0.25">
      <c r="A119" s="23" t="s">
        <v>421</v>
      </c>
      <c r="B119" s="12">
        <v>4013</v>
      </c>
      <c r="C119" s="13">
        <v>42562.713750000003</v>
      </c>
      <c r="D119" s="13">
        <v>42562.743333333332</v>
      </c>
      <c r="E119" s="12">
        <v>0</v>
      </c>
      <c r="F119" s="10" t="s">
        <v>39</v>
      </c>
      <c r="G119" s="10" t="s">
        <v>409</v>
      </c>
      <c r="H119" s="22">
        <v>2.958333332935581E-2</v>
      </c>
      <c r="I119" s="12"/>
      <c r="J119" s="12"/>
      <c r="K119" s="12">
        <v>42.599999994272366</v>
      </c>
      <c r="L119" s="35" t="s">
        <v>1767</v>
      </c>
      <c r="M119" s="41">
        <v>1</v>
      </c>
      <c r="N119" s="47" t="e">
        <f>VLOOKUP(L119,'Issue Resolution'!$A$2:$A$9,1,FALSE)</f>
        <v>#N/A</v>
      </c>
      <c r="O119" s="47" t="str">
        <f>RIGHT(A119,2)</f>
        <v>11</v>
      </c>
      <c r="P119" s="43" t="str">
        <f>VLOOKUP(L119,'Issue Resolution'!$A$2:$A$999,1,FALSE)</f>
        <v>Signaling system failures</v>
      </c>
    </row>
    <row r="120" spans="1:16" x14ac:dyDescent="0.25">
      <c r="A120" s="23" t="s">
        <v>422</v>
      </c>
      <c r="B120" s="12">
        <v>4026</v>
      </c>
      <c r="C120" s="13">
        <v>42562.722337962965</v>
      </c>
      <c r="D120" s="13">
        <v>42562.759942129633</v>
      </c>
      <c r="E120" s="12">
        <v>0</v>
      </c>
      <c r="F120" s="10" t="s">
        <v>37</v>
      </c>
      <c r="G120" s="10" t="s">
        <v>423</v>
      </c>
      <c r="H120" s="22">
        <v>3.7604166667733807E-2</v>
      </c>
      <c r="I120" s="12"/>
      <c r="J120" s="12"/>
      <c r="K120" s="12">
        <v>54.150000001536682</v>
      </c>
      <c r="L120" s="35" t="s">
        <v>1767</v>
      </c>
      <c r="M120" s="41">
        <v>1</v>
      </c>
      <c r="N120" s="47" t="e">
        <f>VLOOKUP(L120,'Issue Resolution'!$A$2:$A$8,1,FALSE)</f>
        <v>#N/A</v>
      </c>
      <c r="O120" s="47" t="str">
        <f>RIGHT(A120,2)</f>
        <v>11</v>
      </c>
      <c r="P120" s="43" t="str">
        <f>VLOOKUP(L120,'Issue Resolution'!$A$2:$A$999,1,FALSE)</f>
        <v>Signaling system failures</v>
      </c>
    </row>
    <row r="121" spans="1:16" x14ac:dyDescent="0.25">
      <c r="A121" s="23" t="s">
        <v>424</v>
      </c>
      <c r="B121" s="12">
        <v>4019</v>
      </c>
      <c r="C121" s="13">
        <v>42562.732546296298</v>
      </c>
      <c r="D121" s="13">
        <v>42562.769479166665</v>
      </c>
      <c r="E121" s="12">
        <v>0</v>
      </c>
      <c r="F121" s="10" t="s">
        <v>32</v>
      </c>
      <c r="G121" s="10" t="s">
        <v>425</v>
      </c>
      <c r="H121" s="22">
        <v>3.6932870367309079E-2</v>
      </c>
      <c r="I121" s="12"/>
      <c r="J121" s="12"/>
      <c r="K121" s="12">
        <v>53.183333328925073</v>
      </c>
      <c r="L121" s="35" t="s">
        <v>1767</v>
      </c>
      <c r="M121" s="41">
        <v>1</v>
      </c>
      <c r="N121" s="47" t="e">
        <f>VLOOKUP(L121,'Issue Resolution'!$A$2:$A$9,1,FALSE)</f>
        <v>#N/A</v>
      </c>
      <c r="O121" s="47" t="str">
        <f>RIGHT(A121,2)</f>
        <v>11</v>
      </c>
      <c r="P121" s="43" t="str">
        <f>VLOOKUP(L121,'Issue Resolution'!$A$2:$A$999,1,FALSE)</f>
        <v>Signaling system failures</v>
      </c>
    </row>
    <row r="122" spans="1:16" x14ac:dyDescent="0.25">
      <c r="A122" s="23" t="s">
        <v>426</v>
      </c>
      <c r="B122" s="12">
        <v>4017</v>
      </c>
      <c r="C122" s="13">
        <v>42562.746400462966</v>
      </c>
      <c r="D122" s="13">
        <v>42562.775231481479</v>
      </c>
      <c r="E122" s="12">
        <v>2</v>
      </c>
      <c r="F122" s="10" t="s">
        <v>41</v>
      </c>
      <c r="G122" s="10" t="s">
        <v>405</v>
      </c>
      <c r="H122" s="22">
        <v>2.8831018513301387E-2</v>
      </c>
      <c r="I122" s="12"/>
      <c r="J122" s="12"/>
      <c r="K122" s="12">
        <v>41.516666659153998</v>
      </c>
      <c r="L122" s="35" t="s">
        <v>1767</v>
      </c>
      <c r="M122" s="41">
        <v>1</v>
      </c>
      <c r="N122" s="47" t="e">
        <f>VLOOKUP(L122,'Issue Resolution'!$A$2:$A$9,1,FALSE)</f>
        <v>#N/A</v>
      </c>
      <c r="O122" s="47" t="str">
        <f>RIGHT(A122,2)</f>
        <v>11</v>
      </c>
      <c r="P122" s="43" t="str">
        <f>VLOOKUP(L122,'Issue Resolution'!$A$2:$A$999,1,FALSE)</f>
        <v>Signaling system failures</v>
      </c>
    </row>
    <row r="123" spans="1:16" x14ac:dyDescent="0.25">
      <c r="A123" s="23" t="s">
        <v>427</v>
      </c>
      <c r="B123" s="12">
        <v>4015</v>
      </c>
      <c r="C123" s="13">
        <v>42562.756215277775</v>
      </c>
      <c r="D123" s="13">
        <v>42562.782546296294</v>
      </c>
      <c r="E123" s="12">
        <v>0</v>
      </c>
      <c r="F123" s="10" t="s">
        <v>46</v>
      </c>
      <c r="G123" s="10" t="s">
        <v>428</v>
      </c>
      <c r="H123" s="22">
        <v>2.6331018518249039E-2</v>
      </c>
      <c r="I123" s="12"/>
      <c r="J123" s="12"/>
      <c r="K123" s="12">
        <v>37.916666666278616</v>
      </c>
      <c r="L123" s="35" t="s">
        <v>1767</v>
      </c>
      <c r="M123" s="41">
        <v>1</v>
      </c>
      <c r="N123" s="47" t="e">
        <f>VLOOKUP(L123,'Issue Resolution'!$A$2:$A$9,1,FALSE)</f>
        <v>#N/A</v>
      </c>
      <c r="O123" s="47" t="str">
        <f>RIGHT(A123,2)</f>
        <v>11</v>
      </c>
      <c r="P123" s="43" t="str">
        <f>VLOOKUP(L123,'Issue Resolution'!$A$2:$A$999,1,FALSE)</f>
        <v>Signaling system failures</v>
      </c>
    </row>
    <row r="124" spans="1:16" x14ac:dyDescent="0.25">
      <c r="A124" s="23" t="s">
        <v>307</v>
      </c>
      <c r="B124" s="12">
        <v>4009</v>
      </c>
      <c r="C124" s="13">
        <v>42562.736597222225</v>
      </c>
      <c r="D124" s="13">
        <v>42562.76290509259</v>
      </c>
      <c r="E124" s="12">
        <v>0</v>
      </c>
      <c r="F124" s="10" t="s">
        <v>45</v>
      </c>
      <c r="G124" s="10" t="s">
        <v>404</v>
      </c>
      <c r="H124" s="22">
        <v>2.6307870364689734E-2</v>
      </c>
      <c r="I124" s="12"/>
      <c r="J124" s="12"/>
      <c r="K124" s="12">
        <v>37.883333325153217</v>
      </c>
      <c r="L124" s="35" t="s">
        <v>1767</v>
      </c>
      <c r="M124" s="41">
        <v>1</v>
      </c>
      <c r="N124" s="47" t="e">
        <f>VLOOKUP(L124,'Issue Resolution'!$A$2:$A$9,1,FALSE)</f>
        <v>#N/A</v>
      </c>
      <c r="O124" s="47" t="str">
        <f>RIGHT(A124,2)</f>
        <v>11</v>
      </c>
      <c r="P124" s="43" t="str">
        <f>VLOOKUP(L124,'Issue Resolution'!$A$2:$A$999,1,FALSE)</f>
        <v>Signaling system failures</v>
      </c>
    </row>
    <row r="125" spans="1:16" x14ac:dyDescent="0.25">
      <c r="A125" s="23" t="s">
        <v>429</v>
      </c>
      <c r="B125" s="12">
        <v>4031</v>
      </c>
      <c r="C125" s="13">
        <v>42562.758553240739</v>
      </c>
      <c r="D125" s="13">
        <v>42562.776388888888</v>
      </c>
      <c r="E125" s="12">
        <v>0</v>
      </c>
      <c r="F125" s="10" t="s">
        <v>38</v>
      </c>
      <c r="G125" s="10" t="s">
        <v>411</v>
      </c>
      <c r="H125" s="22">
        <v>1.7835648148320615E-2</v>
      </c>
      <c r="I125" s="12"/>
      <c r="J125" s="12"/>
      <c r="K125" s="12">
        <v>25.683333333581686</v>
      </c>
      <c r="L125" s="35" t="s">
        <v>1767</v>
      </c>
      <c r="M125" s="41">
        <v>0.75</v>
      </c>
      <c r="N125" s="47" t="e">
        <f>VLOOKUP(L125,'Issue Resolution'!$A$2:$A$9,1,FALSE)</f>
        <v>#N/A</v>
      </c>
      <c r="O125" s="47" t="str">
        <f>RIGHT(A125,2)</f>
        <v>11</v>
      </c>
      <c r="P125" s="43" t="str">
        <f>VLOOKUP(L125,'Issue Resolution'!$A$2:$A$999,1,FALSE)</f>
        <v>Signaling system failures</v>
      </c>
    </row>
    <row r="126" spans="1:16" x14ac:dyDescent="0.25">
      <c r="A126" s="23" t="s">
        <v>430</v>
      </c>
      <c r="B126" s="12">
        <v>4014</v>
      </c>
      <c r="C126" s="13">
        <v>42562.767546296294</v>
      </c>
      <c r="D126" s="13">
        <v>42562.789722222224</v>
      </c>
      <c r="E126" s="12">
        <v>0</v>
      </c>
      <c r="F126" s="10" t="s">
        <v>39</v>
      </c>
      <c r="G126" s="10" t="s">
        <v>420</v>
      </c>
      <c r="H126" s="22">
        <v>2.2175925929332152E-2</v>
      </c>
      <c r="I126" s="12"/>
      <c r="J126" s="12"/>
      <c r="K126" s="12">
        <v>36.45000001299195</v>
      </c>
      <c r="L126" s="35" t="s">
        <v>1767</v>
      </c>
      <c r="M126" s="41">
        <v>1</v>
      </c>
      <c r="N126" s="47" t="e">
        <f>VLOOKUP(L126,'Issue Resolution'!$A$2:$A$9,1,FALSE)</f>
        <v>#N/A</v>
      </c>
      <c r="O126" s="47" t="str">
        <f>RIGHT(A126,2)</f>
        <v>11</v>
      </c>
      <c r="P126" s="43" t="str">
        <f>VLOOKUP(L126,'Issue Resolution'!$A$2:$A$999,1,FALSE)</f>
        <v>Signaling system failures</v>
      </c>
    </row>
    <row r="127" spans="1:16" x14ac:dyDescent="0.25">
      <c r="A127" s="23" t="s">
        <v>431</v>
      </c>
      <c r="B127" s="12">
        <v>4025</v>
      </c>
      <c r="C127" s="13">
        <v>42562.770543981482</v>
      </c>
      <c r="D127" s="13">
        <v>42562.772349537037</v>
      </c>
      <c r="E127" s="12">
        <v>0</v>
      </c>
      <c r="F127" s="10" t="s">
        <v>37</v>
      </c>
      <c r="G127" s="10" t="s">
        <v>432</v>
      </c>
      <c r="H127" s="22">
        <v>1.8055555556202307E-3</v>
      </c>
      <c r="I127" s="12"/>
      <c r="J127" s="12"/>
      <c r="K127" s="12">
        <v>39.533333333674818</v>
      </c>
      <c r="L127" s="35" t="s">
        <v>1767</v>
      </c>
      <c r="M127" s="41">
        <v>1</v>
      </c>
      <c r="N127" s="47" t="e">
        <f>VLOOKUP(L127,'Issue Resolution'!$A$2:$A$9,1,FALSE)</f>
        <v>#N/A</v>
      </c>
      <c r="O127" s="47" t="str">
        <f>RIGHT(A127,2)</f>
        <v>11</v>
      </c>
      <c r="P127" s="43" t="str">
        <f>VLOOKUP(L127,'Issue Resolution'!$A$2:$A$999,1,FALSE)</f>
        <v>Signaling system failures</v>
      </c>
    </row>
    <row r="128" spans="1:16" x14ac:dyDescent="0.25">
      <c r="A128" s="23" t="s">
        <v>433</v>
      </c>
      <c r="B128" s="12">
        <v>4020</v>
      </c>
      <c r="C128" s="13">
        <v>42562.781851851854</v>
      </c>
      <c r="D128" s="13">
        <v>42562.808009259257</v>
      </c>
      <c r="E128" s="12">
        <v>0</v>
      </c>
      <c r="F128" s="10" t="s">
        <v>32</v>
      </c>
      <c r="G128" s="10" t="s">
        <v>434</v>
      </c>
      <c r="H128" s="22">
        <v>2.6157407402934041E-2</v>
      </c>
      <c r="I128" s="12"/>
      <c r="J128" s="12"/>
      <c r="K128" s="12">
        <v>42.016666660783812</v>
      </c>
      <c r="L128" s="35" t="s">
        <v>1767</v>
      </c>
      <c r="M128" s="41">
        <v>1</v>
      </c>
      <c r="N128" s="47" t="e">
        <f>VLOOKUP(L128,'Issue Resolution'!$A$2:$A$8,1,FALSE)</f>
        <v>#N/A</v>
      </c>
      <c r="O128" s="47" t="str">
        <f>RIGHT(A128,2)</f>
        <v>11</v>
      </c>
      <c r="P128" s="43" t="str">
        <f>VLOOKUP(L128,'Issue Resolution'!$A$2:$A$999,1,FALSE)</f>
        <v>Signaling system failures</v>
      </c>
    </row>
    <row r="129" spans="1:16" x14ac:dyDescent="0.25">
      <c r="A129" s="23" t="s">
        <v>443</v>
      </c>
      <c r="B129" s="12">
        <v>4012</v>
      </c>
      <c r="C129" s="13">
        <v>42563.457245370373</v>
      </c>
      <c r="D129" s="13">
        <v>42563.475416666668</v>
      </c>
      <c r="E129" s="12">
        <v>0</v>
      </c>
      <c r="F129" s="10" t="s">
        <v>40</v>
      </c>
      <c r="G129" s="10" t="s">
        <v>444</v>
      </c>
      <c r="H129" s="22">
        <v>1.8171296294895001E-2</v>
      </c>
      <c r="I129" s="12"/>
      <c r="J129" s="12"/>
      <c r="K129" s="12">
        <v>28.15000000060536</v>
      </c>
      <c r="L129" s="8" t="s">
        <v>12</v>
      </c>
      <c r="M129" s="41">
        <v>1</v>
      </c>
      <c r="N129" s="47" t="str">
        <f>VLOOKUP(L129,'Issue Resolution'!$A$2:$A$9,1,FALSE)</f>
        <v>Wi-MAX data drops</v>
      </c>
      <c r="O129" s="47" t="str">
        <f>RIGHT(A129,2)</f>
        <v>12</v>
      </c>
      <c r="P129" s="43" t="str">
        <f>VLOOKUP(L129,'Issue Resolution'!$A$2:$A$999,1,FALSE)</f>
        <v>Wi-MAX data drops</v>
      </c>
    </row>
    <row r="130" spans="1:16" x14ac:dyDescent="0.25">
      <c r="A130" s="23" t="s">
        <v>82</v>
      </c>
      <c r="B130" s="12">
        <v>4015</v>
      </c>
      <c r="C130" s="13">
        <v>42563.522048611114</v>
      </c>
      <c r="D130" s="13">
        <v>42563.550428240742</v>
      </c>
      <c r="E130" s="12">
        <v>0</v>
      </c>
      <c r="F130" s="10" t="s">
        <v>46</v>
      </c>
      <c r="G130" s="10" t="s">
        <v>425</v>
      </c>
      <c r="H130" s="22">
        <v>2.8379629628034309E-2</v>
      </c>
      <c r="I130" s="12"/>
      <c r="J130" s="12"/>
      <c r="K130" s="12">
        <v>40.866666664369404</v>
      </c>
      <c r="L130" s="40" t="s">
        <v>47</v>
      </c>
      <c r="M130" s="41">
        <v>0.75</v>
      </c>
      <c r="N130" s="47" t="str">
        <f>VLOOKUP(L130,'Issue Resolution'!$A$2:$A$9,1,FALSE)</f>
        <v>Onboard in-route failure</v>
      </c>
      <c r="O130" s="47" t="str">
        <f>RIGHT(A130,2)</f>
        <v>12</v>
      </c>
      <c r="P130" s="43" t="str">
        <f>VLOOKUP(L130,'Issue Resolution'!$A$2:$A$999,1,FALSE)</f>
        <v>Onboard in-route failure</v>
      </c>
    </row>
    <row r="131" spans="1:16" x14ac:dyDescent="0.25">
      <c r="A131" s="23" t="s">
        <v>441</v>
      </c>
      <c r="B131" s="12">
        <v>4012</v>
      </c>
      <c r="C131" s="13">
        <v>42563.598483796297</v>
      </c>
      <c r="D131" s="13">
        <v>42563.620451388888</v>
      </c>
      <c r="E131" s="12">
        <v>0</v>
      </c>
      <c r="F131" s="10" t="s">
        <v>40</v>
      </c>
      <c r="G131" s="10" t="s">
        <v>442</v>
      </c>
      <c r="H131" s="22">
        <v>2.1967592590954155E-2</v>
      </c>
      <c r="I131" s="12"/>
      <c r="J131" s="12"/>
      <c r="K131" s="12">
        <v>31.633333330973983</v>
      </c>
      <c r="L131" s="33" t="s">
        <v>386</v>
      </c>
      <c r="M131" s="41">
        <v>1</v>
      </c>
      <c r="N131" s="47" t="e">
        <f>VLOOKUP(L131,'Issue Resolution'!$A$2:$A$9,1,FALSE)</f>
        <v>#N/A</v>
      </c>
      <c r="O131" s="47" t="str">
        <f>RIGHT(A131,2)</f>
        <v>12</v>
      </c>
      <c r="P131" s="43" t="str">
        <f>VLOOKUP(L131,'Issue Resolution'!$A$2:$A$999,1,FALSE)</f>
        <v>Operational Issue</v>
      </c>
    </row>
    <row r="132" spans="1:16" x14ac:dyDescent="0.25">
      <c r="A132" s="23" t="s">
        <v>445</v>
      </c>
      <c r="B132" s="12">
        <v>4015</v>
      </c>
      <c r="C132" s="13">
        <v>42563.611296296294</v>
      </c>
      <c r="D132" s="13">
        <v>42563.634062500001</v>
      </c>
      <c r="E132" s="12">
        <v>0</v>
      </c>
      <c r="F132" s="10" t="s">
        <v>46</v>
      </c>
      <c r="G132" s="10" t="s">
        <v>425</v>
      </c>
      <c r="H132" s="22">
        <v>2.2766203706851229E-2</v>
      </c>
      <c r="I132" s="12"/>
      <c r="J132" s="12"/>
      <c r="K132" s="12">
        <v>48.466666670283303</v>
      </c>
      <c r="L132" s="8" t="s">
        <v>12</v>
      </c>
      <c r="M132" s="41">
        <v>1</v>
      </c>
      <c r="N132" s="47" t="str">
        <f>VLOOKUP(L132,'Issue Resolution'!$A$2:$A$9,1,FALSE)</f>
        <v>Wi-MAX data drops</v>
      </c>
      <c r="O132" s="47" t="str">
        <f>RIGHT(A132,2)</f>
        <v>12</v>
      </c>
      <c r="P132" s="43" t="str">
        <f>VLOOKUP(L132,'Issue Resolution'!$A$2:$A$999,1,FALSE)</f>
        <v>Wi-MAX data drops</v>
      </c>
    </row>
    <row r="133" spans="1:16" x14ac:dyDescent="0.25">
      <c r="A133" s="23" t="s">
        <v>435</v>
      </c>
      <c r="B133" s="12">
        <v>4041</v>
      </c>
      <c r="C133" s="13">
        <v>42563.632511574076</v>
      </c>
      <c r="D133" s="13">
        <v>42563.656458333331</v>
      </c>
      <c r="E133" s="12">
        <v>2</v>
      </c>
      <c r="F133" s="10" t="s">
        <v>49</v>
      </c>
      <c r="G133" s="10" t="s">
        <v>436</v>
      </c>
      <c r="H133" s="22">
        <v>2.3946759254613426E-2</v>
      </c>
      <c r="I133" s="12"/>
      <c r="J133" s="12"/>
      <c r="K133" s="12">
        <v>40.250000000232831</v>
      </c>
      <c r="L133" s="34" t="s">
        <v>234</v>
      </c>
      <c r="M133" s="41">
        <v>1</v>
      </c>
      <c r="N133" s="47" t="str">
        <f>VLOOKUP(L133,'Issue Resolution'!$A$2:$A$9,1,FALSE)</f>
        <v>Office System Issue</v>
      </c>
      <c r="O133" s="47" t="str">
        <f>RIGHT(A133,2)</f>
        <v>12</v>
      </c>
      <c r="P133" s="43" t="str">
        <f>VLOOKUP(L133,'Issue Resolution'!$A$2:$A$999,1,FALSE)</f>
        <v>Office System Issue</v>
      </c>
    </row>
    <row r="134" spans="1:16" x14ac:dyDescent="0.25">
      <c r="A134" s="23" t="s">
        <v>439</v>
      </c>
      <c r="B134" s="12">
        <v>4010</v>
      </c>
      <c r="C134" s="13">
        <v>42563.649421296293</v>
      </c>
      <c r="D134" s="13">
        <v>42563.668877314813</v>
      </c>
      <c r="E134" s="12">
        <v>0</v>
      </c>
      <c r="F134" s="10" t="s">
        <v>45</v>
      </c>
      <c r="G134" s="10" t="s">
        <v>440</v>
      </c>
      <c r="H134" s="22">
        <v>1.9456018519122154E-2</v>
      </c>
      <c r="I134" s="12"/>
      <c r="J134" s="12"/>
      <c r="K134" s="12">
        <v>29.566666673636064</v>
      </c>
      <c r="L134" s="40" t="s">
        <v>47</v>
      </c>
      <c r="M134" s="41">
        <v>1</v>
      </c>
      <c r="N134" s="47" t="str">
        <f>VLOOKUP(L134,'Issue Resolution'!$A$2:$A$9,1,FALSE)</f>
        <v>Onboard in-route failure</v>
      </c>
      <c r="O134" s="47" t="str">
        <f>RIGHT(A134,2)</f>
        <v>12</v>
      </c>
      <c r="P134" s="43" t="str">
        <f>VLOOKUP(L134,'Issue Resolution'!$A$2:$A$999,1,FALSE)</f>
        <v>Onboard in-route failure</v>
      </c>
    </row>
    <row r="135" spans="1:16" x14ac:dyDescent="0.25">
      <c r="A135" s="23" t="s">
        <v>309</v>
      </c>
      <c r="B135" s="12">
        <v>4009</v>
      </c>
      <c r="C135" s="13">
        <v>42563.680046296293</v>
      </c>
      <c r="D135" s="13">
        <v>42563.701828703706</v>
      </c>
      <c r="E135" s="12">
        <v>0</v>
      </c>
      <c r="F135" s="10" t="s">
        <v>45</v>
      </c>
      <c r="G135" s="10" t="s">
        <v>440</v>
      </c>
      <c r="H135" s="22">
        <v>2.178240741341142E-2</v>
      </c>
      <c r="I135" s="12"/>
      <c r="J135" s="12"/>
      <c r="K135" s="12">
        <v>31.366666675312445</v>
      </c>
      <c r="L135" s="40" t="s">
        <v>47</v>
      </c>
      <c r="M135" s="41">
        <v>1</v>
      </c>
      <c r="N135" s="47" t="str">
        <f>VLOOKUP(L135,'Issue Resolution'!$A$2:$A$9,1,FALSE)</f>
        <v>Onboard in-route failure</v>
      </c>
      <c r="O135" s="47" t="str">
        <f>RIGHT(A135,2)</f>
        <v>12</v>
      </c>
      <c r="P135" s="43" t="str">
        <f>VLOOKUP(L135,'Issue Resolution'!$A$2:$A$999,1,FALSE)</f>
        <v>Onboard in-route failure</v>
      </c>
    </row>
    <row r="136" spans="1:16" x14ac:dyDescent="0.25">
      <c r="A136" s="23" t="s">
        <v>446</v>
      </c>
      <c r="B136" s="12">
        <v>4011</v>
      </c>
      <c r="C136" s="13">
        <v>42563.696944444448</v>
      </c>
      <c r="D136" s="13">
        <v>42563.717627314814</v>
      </c>
      <c r="E136" s="12">
        <v>1</v>
      </c>
      <c r="F136" s="10" t="s">
        <v>40</v>
      </c>
      <c r="G136" s="10" t="s">
        <v>442</v>
      </c>
      <c r="H136" s="22">
        <v>2.0682870366727002E-2</v>
      </c>
      <c r="I136" s="12"/>
      <c r="J136" s="12"/>
      <c r="K136" s="12">
        <v>66.483333326177672</v>
      </c>
      <c r="L136" s="8" t="s">
        <v>12</v>
      </c>
      <c r="M136" s="41">
        <v>1</v>
      </c>
      <c r="N136" s="47" t="str">
        <f>VLOOKUP(L136,'Issue Resolution'!$A$2:$A$8,1,FALSE)</f>
        <v>Wi-MAX data drops</v>
      </c>
      <c r="O136" s="47" t="str">
        <f>RIGHT(A136,2)</f>
        <v>12</v>
      </c>
      <c r="P136" s="43" t="str">
        <f>VLOOKUP(L136,'Issue Resolution'!$A$2:$A$999,1,FALSE)</f>
        <v>Wi-MAX data drops</v>
      </c>
    </row>
    <row r="137" spans="1:16" x14ac:dyDescent="0.25">
      <c r="A137" s="23" t="s">
        <v>437</v>
      </c>
      <c r="B137" s="12">
        <v>4041</v>
      </c>
      <c r="C137" s="13">
        <v>42563.76085648148</v>
      </c>
      <c r="D137" s="13">
        <v>42563.77071759259</v>
      </c>
      <c r="E137" s="12">
        <v>1</v>
      </c>
      <c r="F137" s="10" t="s">
        <v>49</v>
      </c>
      <c r="G137" s="10" t="s">
        <v>404</v>
      </c>
      <c r="H137" s="22">
        <v>9.8611111097852699E-3</v>
      </c>
      <c r="I137" s="12"/>
      <c r="J137" s="12"/>
      <c r="K137" s="12">
        <v>67.383333337493241</v>
      </c>
      <c r="L137" s="8" t="s">
        <v>47</v>
      </c>
      <c r="M137" s="41">
        <v>1</v>
      </c>
      <c r="N137" s="47" t="str">
        <f>VLOOKUP(L137,'Issue Resolution'!$A$2:$A$9,1,FALSE)</f>
        <v>Onboard in-route failure</v>
      </c>
      <c r="O137" s="47" t="str">
        <f>RIGHT(A137,2)</f>
        <v>12</v>
      </c>
      <c r="P137" s="43" t="str">
        <f>VLOOKUP(L137,'Issue Resolution'!$A$2:$A$999,1,FALSE)</f>
        <v>Onboard in-route failure</v>
      </c>
    </row>
    <row r="138" spans="1:16" x14ac:dyDescent="0.25">
      <c r="A138" s="23" t="s">
        <v>83</v>
      </c>
      <c r="B138" s="12">
        <v>4043</v>
      </c>
      <c r="C138" s="13">
        <v>42563.827557870369</v>
      </c>
      <c r="D138" s="13">
        <v>42563.845543981479</v>
      </c>
      <c r="E138" s="12">
        <v>0</v>
      </c>
      <c r="F138" s="10" t="s">
        <v>42</v>
      </c>
      <c r="G138" s="10" t="s">
        <v>428</v>
      </c>
      <c r="H138" s="22">
        <v>1.7986111110076308E-2</v>
      </c>
      <c r="I138" s="12"/>
      <c r="J138" s="12"/>
      <c r="K138" s="12">
        <v>25.899999998509884</v>
      </c>
      <c r="L138" s="8" t="s">
        <v>12</v>
      </c>
      <c r="M138" s="41">
        <v>8.3333333333333329E-2</v>
      </c>
      <c r="N138" s="47" t="str">
        <f>VLOOKUP(L138,'Issue Resolution'!$A$2:$A$9,1,FALSE)</f>
        <v>Wi-MAX data drops</v>
      </c>
      <c r="O138" s="47" t="str">
        <f>RIGHT(A138,2)</f>
        <v>12</v>
      </c>
      <c r="P138" s="43" t="str">
        <f>VLOOKUP(L138,'Issue Resolution'!$A$2:$A$999,1,FALSE)</f>
        <v>Wi-MAX data drops</v>
      </c>
    </row>
    <row r="139" spans="1:16" x14ac:dyDescent="0.25">
      <c r="A139" s="23" t="s">
        <v>438</v>
      </c>
      <c r="B139" s="12">
        <v>4018</v>
      </c>
      <c r="C139" s="13">
        <v>42563.852048611108</v>
      </c>
      <c r="D139" s="13">
        <v>42563.861689814818</v>
      </c>
      <c r="E139" s="12">
        <v>0</v>
      </c>
      <c r="F139" s="10" t="s">
        <v>41</v>
      </c>
      <c r="G139" s="10" t="s">
        <v>434</v>
      </c>
      <c r="H139" s="22">
        <v>9.6412037091795355E-3</v>
      </c>
      <c r="I139" s="12"/>
      <c r="J139" s="12"/>
      <c r="K139" s="12">
        <v>62.816666672006249</v>
      </c>
      <c r="L139" s="35" t="s">
        <v>1767</v>
      </c>
      <c r="M139" s="41">
        <v>1</v>
      </c>
      <c r="N139" s="47" t="e">
        <f>VLOOKUP(L139,'Issue Resolution'!$A$2:$A$9,1,FALSE)</f>
        <v>#N/A</v>
      </c>
      <c r="O139" s="47" t="str">
        <f>RIGHT(A139,2)</f>
        <v>12</v>
      </c>
      <c r="P139" s="43" t="str">
        <f>VLOOKUP(L139,'Issue Resolution'!$A$2:$A$999,1,FALSE)</f>
        <v>Signaling system failures</v>
      </c>
    </row>
    <row r="140" spans="1:16" x14ac:dyDescent="0.25">
      <c r="A140" s="23" t="s">
        <v>447</v>
      </c>
      <c r="B140" s="12">
        <v>4015</v>
      </c>
      <c r="C140" s="13">
        <v>42564.62127314815</v>
      </c>
      <c r="D140" s="13">
        <v>42564.648599537039</v>
      </c>
      <c r="E140" s="12">
        <v>1</v>
      </c>
      <c r="F140" s="10" t="s">
        <v>46</v>
      </c>
      <c r="G140" s="10" t="s">
        <v>404</v>
      </c>
      <c r="H140" s="22">
        <v>2.73263888884685E-2</v>
      </c>
      <c r="I140" s="12"/>
      <c r="J140" s="12"/>
      <c r="K140" s="12">
        <v>39.34999999939464</v>
      </c>
      <c r="L140" s="8" t="s">
        <v>12</v>
      </c>
      <c r="M140" s="41">
        <v>1</v>
      </c>
      <c r="N140" s="47" t="str">
        <f>VLOOKUP(L140,'Issue Resolution'!$A$2:$A$8,1,FALSE)</f>
        <v>Wi-MAX data drops</v>
      </c>
      <c r="O140" s="47" t="str">
        <f>RIGHT(A140,2)</f>
        <v>13</v>
      </c>
      <c r="P140" s="43" t="str">
        <f>VLOOKUP(L140,'Issue Resolution'!$A$2:$A$999,1,FALSE)</f>
        <v>Wi-MAX data drops</v>
      </c>
    </row>
    <row r="141" spans="1:16" x14ac:dyDescent="0.25">
      <c r="A141" s="23" t="s">
        <v>449</v>
      </c>
      <c r="B141" s="12">
        <v>4026</v>
      </c>
      <c r="C141" s="13">
        <v>42564.617835648147</v>
      </c>
      <c r="D141" s="13">
        <v>42564.638495370367</v>
      </c>
      <c r="E141" s="12">
        <v>0</v>
      </c>
      <c r="F141" s="10" t="s">
        <v>37</v>
      </c>
      <c r="G141" s="10" t="s">
        <v>450</v>
      </c>
      <c r="H141" s="22">
        <v>2.0659722220443655E-2</v>
      </c>
      <c r="I141" s="12"/>
      <c r="J141" s="12"/>
      <c r="K141" s="12">
        <v>48.866666669491678</v>
      </c>
      <c r="L141" s="35" t="s">
        <v>1767</v>
      </c>
      <c r="M141" s="41">
        <v>0.91666666666666663</v>
      </c>
      <c r="N141" s="47" t="e">
        <f>VLOOKUP(L141,'Issue Resolution'!$A$2:$A$8,1,FALSE)</f>
        <v>#N/A</v>
      </c>
      <c r="O141" s="47" t="str">
        <f>RIGHT(A141,2)</f>
        <v>13</v>
      </c>
      <c r="P141" s="43" t="str">
        <f>VLOOKUP(L141,'Issue Resolution'!$A$2:$A$999,1,FALSE)</f>
        <v>Signaling system failures</v>
      </c>
    </row>
    <row r="142" spans="1:16" x14ac:dyDescent="0.25">
      <c r="A142" s="23" t="s">
        <v>451</v>
      </c>
      <c r="B142" s="12">
        <v>4014</v>
      </c>
      <c r="C142" s="13">
        <v>42564.645891203705</v>
      </c>
      <c r="D142" s="13">
        <v>42564.656736111108</v>
      </c>
      <c r="E142" s="12">
        <v>1</v>
      </c>
      <c r="F142" s="10" t="s">
        <v>39</v>
      </c>
      <c r="G142" s="10" t="s">
        <v>442</v>
      </c>
      <c r="H142" s="22">
        <v>1.0844907403225079E-2</v>
      </c>
      <c r="I142" s="12"/>
      <c r="J142" s="12"/>
      <c r="K142" s="12">
        <v>39.333333328831941</v>
      </c>
      <c r="L142" s="35" t="s">
        <v>1767</v>
      </c>
      <c r="M142" s="41">
        <v>0.83333333333333337</v>
      </c>
      <c r="N142" s="47" t="e">
        <f>VLOOKUP(L142,'Issue Resolution'!$A$2:$A$8,1,FALSE)</f>
        <v>#N/A</v>
      </c>
      <c r="O142" s="47" t="str">
        <f>RIGHT(A142,2)</f>
        <v>13</v>
      </c>
      <c r="P142" s="43" t="str">
        <f>VLOOKUP(L142,'Issue Resolution'!$A$2:$A$999,1,FALSE)</f>
        <v>Signaling system failures</v>
      </c>
    </row>
    <row r="143" spans="1:16" x14ac:dyDescent="0.25">
      <c r="A143" s="23" t="s">
        <v>452</v>
      </c>
      <c r="B143" s="12">
        <v>4029</v>
      </c>
      <c r="C143" s="13">
        <v>42564.744733796295</v>
      </c>
      <c r="D143" s="13">
        <v>42564.745821759258</v>
      </c>
      <c r="E143" s="12">
        <v>1</v>
      </c>
      <c r="F143" s="10" t="s">
        <v>33</v>
      </c>
      <c r="G143" s="10" t="s">
        <v>434</v>
      </c>
      <c r="H143" s="22">
        <v>1.0879629626288079E-3</v>
      </c>
      <c r="I143" s="12"/>
      <c r="J143" s="12"/>
      <c r="K143" s="12">
        <v>25.083333340007812</v>
      </c>
      <c r="L143" s="40" t="s">
        <v>47</v>
      </c>
      <c r="M143" s="41">
        <v>0.25</v>
      </c>
      <c r="N143" s="47" t="str">
        <f>VLOOKUP(L143,'Issue Resolution'!$A$2:$A$9,1,FALSE)</f>
        <v>Onboard in-route failure</v>
      </c>
      <c r="O143" s="47" t="str">
        <f>RIGHT(A143,2)</f>
        <v>13</v>
      </c>
      <c r="P143" s="43" t="str">
        <f>VLOOKUP(L143,'Issue Resolution'!$A$2:$A$999,1,FALSE)</f>
        <v>Onboard in-route failure</v>
      </c>
    </row>
    <row r="144" spans="1:16" x14ac:dyDescent="0.25">
      <c r="A144" s="23" t="s">
        <v>62</v>
      </c>
      <c r="B144" s="12">
        <v>4040</v>
      </c>
      <c r="C144" s="13">
        <v>42565.203055555554</v>
      </c>
      <c r="D144" s="13">
        <v>42565.223622685182</v>
      </c>
      <c r="E144" s="12">
        <v>1</v>
      </c>
      <c r="F144" s="10" t="s">
        <v>44</v>
      </c>
      <c r="G144" s="10" t="s">
        <v>453</v>
      </c>
      <c r="H144" s="22">
        <v>2.0567129628034309E-2</v>
      </c>
      <c r="I144" s="12"/>
      <c r="J144" s="12"/>
      <c r="K144" s="12">
        <v>29.616666664369404</v>
      </c>
      <c r="L144" s="40" t="s">
        <v>47</v>
      </c>
      <c r="M144" s="41">
        <v>1</v>
      </c>
      <c r="N144" s="47" t="str">
        <f>VLOOKUP(L144,'Issue Resolution'!$A$2:$A$9,1,FALSE)</f>
        <v>Onboard in-route failure</v>
      </c>
      <c r="O144" s="47" t="str">
        <f>RIGHT(A144,2)</f>
        <v>14</v>
      </c>
      <c r="P144" s="43" t="str">
        <f>VLOOKUP(L144,'Issue Resolution'!$A$2:$A$999,1,FALSE)</f>
        <v>Onboard in-route failure</v>
      </c>
    </row>
    <row r="145" spans="1:16" x14ac:dyDescent="0.25">
      <c r="A145" s="23" t="s">
        <v>454</v>
      </c>
      <c r="B145" s="12">
        <v>4031</v>
      </c>
      <c r="C145" s="13">
        <v>42565.360706018517</v>
      </c>
      <c r="D145" s="13">
        <v>42565.362060185187</v>
      </c>
      <c r="E145" s="12">
        <v>1</v>
      </c>
      <c r="F145" s="10" t="s">
        <v>38</v>
      </c>
      <c r="G145" s="10" t="s">
        <v>415</v>
      </c>
      <c r="H145" s="22">
        <v>1.3541666703531519E-3</v>
      </c>
      <c r="I145" s="12"/>
      <c r="J145" s="12"/>
      <c r="K145" s="12">
        <v>1.9500000053085387</v>
      </c>
      <c r="L145" s="40" t="s">
        <v>47</v>
      </c>
      <c r="M145" s="41">
        <v>0</v>
      </c>
      <c r="N145" s="47" t="str">
        <f>VLOOKUP(L145,'Issue Resolution'!$A$2:$A$9,1,FALSE)</f>
        <v>Onboard in-route failure</v>
      </c>
      <c r="O145" s="47" t="str">
        <f>RIGHT(A145,2)</f>
        <v>14</v>
      </c>
      <c r="P145" s="43" t="str">
        <f>VLOOKUP(L145,'Issue Resolution'!$A$2:$A$999,1,FALSE)</f>
        <v>Onboard in-route failure</v>
      </c>
    </row>
    <row r="146" spans="1:16" x14ac:dyDescent="0.25">
      <c r="A146" s="23" t="s">
        <v>316</v>
      </c>
      <c r="B146" s="12">
        <v>4044</v>
      </c>
      <c r="C146" s="13">
        <v>42565.537499999999</v>
      </c>
      <c r="D146" s="13">
        <v>42565.559745370374</v>
      </c>
      <c r="E146" s="12">
        <v>0</v>
      </c>
      <c r="F146" s="10" t="s">
        <v>42</v>
      </c>
      <c r="G146" s="10" t="s">
        <v>425</v>
      </c>
      <c r="H146" s="22">
        <v>2.2245370375458151E-2</v>
      </c>
      <c r="I146" s="12"/>
      <c r="J146" s="12"/>
      <c r="K146" s="12">
        <v>1</v>
      </c>
      <c r="L146" s="40" t="s">
        <v>47</v>
      </c>
      <c r="M146" s="41">
        <v>0</v>
      </c>
      <c r="N146" s="47" t="str">
        <f>VLOOKUP(L146,'Issue Resolution'!$A$2:$A$9,1,FALSE)</f>
        <v>Onboard in-route failure</v>
      </c>
      <c r="O146" s="47" t="str">
        <f>RIGHT(A146,2)</f>
        <v>14</v>
      </c>
      <c r="P146" s="43" t="str">
        <f>VLOOKUP(L146,'Issue Resolution'!$A$2:$A$999,1,FALSE)</f>
        <v>Onboard in-route failure</v>
      </c>
    </row>
    <row r="147" spans="1:16" x14ac:dyDescent="0.25">
      <c r="A147" s="23" t="s">
        <v>455</v>
      </c>
      <c r="B147" s="12">
        <v>4044</v>
      </c>
      <c r="C147" s="13">
        <v>42565.537546296298</v>
      </c>
      <c r="D147" s="13">
        <v>42565.559791666667</v>
      </c>
      <c r="E147" s="12">
        <v>0</v>
      </c>
      <c r="F147" s="10" t="s">
        <v>42</v>
      </c>
      <c r="G147" s="10" t="s">
        <v>425</v>
      </c>
      <c r="H147" s="22">
        <v>2.2245370368182193E-2</v>
      </c>
      <c r="I147" s="12"/>
      <c r="J147" s="12"/>
      <c r="K147" s="12">
        <v>43.416666663251817</v>
      </c>
      <c r="L147" s="8" t="s">
        <v>8</v>
      </c>
      <c r="M147" s="41">
        <v>1</v>
      </c>
      <c r="N147" s="47" t="str">
        <f>VLOOKUP(L147,'Issue Resolution'!$A$2:$A$9,1,FALSE)</f>
        <v>Inefficient dispatching</v>
      </c>
      <c r="O147" s="47" t="str">
        <f>RIGHT(A147,2)</f>
        <v>14</v>
      </c>
      <c r="P147" s="43" t="str">
        <f>VLOOKUP(L147,'Issue Resolution'!$A$2:$A$999,1,FALSE)</f>
        <v>Inefficient dispatching</v>
      </c>
    </row>
    <row r="148" spans="1:16" x14ac:dyDescent="0.25">
      <c r="A148" s="23" t="s">
        <v>456</v>
      </c>
      <c r="B148" s="12">
        <v>4018</v>
      </c>
      <c r="C148" s="13">
        <v>42565.588240740741</v>
      </c>
      <c r="D148" s="13">
        <v>42565.610358796293</v>
      </c>
      <c r="E148" s="12">
        <v>0</v>
      </c>
      <c r="F148" s="10" t="s">
        <v>41</v>
      </c>
      <c r="G148" s="10" t="s">
        <v>413</v>
      </c>
      <c r="H148" s="22">
        <v>2.2118055552709848E-2</v>
      </c>
      <c r="I148" s="12"/>
      <c r="J148" s="12"/>
      <c r="K148" s="12">
        <v>34.533333338331431</v>
      </c>
      <c r="L148" s="8" t="s">
        <v>8</v>
      </c>
      <c r="M148" s="41">
        <v>1</v>
      </c>
      <c r="N148" s="47" t="str">
        <f>VLOOKUP(L148,'Issue Resolution'!$A$2:$A$9,1,FALSE)</f>
        <v>Inefficient dispatching</v>
      </c>
      <c r="O148" s="47" t="str">
        <f>RIGHT(A148,2)</f>
        <v>14</v>
      </c>
      <c r="P148" s="43" t="str">
        <f>VLOOKUP(L148,'Issue Resolution'!$A$2:$A$999,1,FALSE)</f>
        <v>Inefficient dispatching</v>
      </c>
    </row>
    <row r="149" spans="1:16" x14ac:dyDescent="0.25">
      <c r="A149" s="23" t="s">
        <v>457</v>
      </c>
      <c r="B149" s="12">
        <v>4037</v>
      </c>
      <c r="C149" s="13">
        <v>42565.647812499999</v>
      </c>
      <c r="D149" s="13">
        <v>42565.672013888892</v>
      </c>
      <c r="E149" s="12">
        <v>0</v>
      </c>
      <c r="F149" s="10" t="s">
        <v>35</v>
      </c>
      <c r="G149" s="10" t="s">
        <v>420</v>
      </c>
      <c r="H149" s="22">
        <v>2.4201388892834075E-2</v>
      </c>
      <c r="I149" s="12"/>
      <c r="J149" s="12"/>
      <c r="K149" s="12">
        <v>34.850000005681068</v>
      </c>
      <c r="L149" s="40" t="s">
        <v>47</v>
      </c>
      <c r="M149" s="41">
        <v>0.5</v>
      </c>
      <c r="N149" s="47" t="str">
        <f>VLOOKUP(L149,'Issue Resolution'!$A$2:$A$9,1,FALSE)</f>
        <v>Onboard in-route failure</v>
      </c>
      <c r="O149" s="47" t="str">
        <f>RIGHT(A149,2)</f>
        <v>14</v>
      </c>
      <c r="P149" s="43" t="str">
        <f>VLOOKUP(L149,'Issue Resolution'!$A$2:$A$999,1,FALSE)</f>
        <v>Onboard in-route failure</v>
      </c>
    </row>
    <row r="150" spans="1:16" x14ac:dyDescent="0.25">
      <c r="A150" s="23" t="s">
        <v>458</v>
      </c>
      <c r="B150" s="12">
        <v>4026</v>
      </c>
      <c r="C150" s="13">
        <v>42565.827384259261</v>
      </c>
      <c r="D150" s="13">
        <v>42565.845706018517</v>
      </c>
      <c r="E150" s="12">
        <v>0</v>
      </c>
      <c r="F150" s="10" t="s">
        <v>37</v>
      </c>
      <c r="G150" s="10" t="s">
        <v>459</v>
      </c>
      <c r="H150" s="22">
        <v>1.8321759256650694E-2</v>
      </c>
      <c r="I150" s="12"/>
      <c r="J150" s="12"/>
      <c r="K150" s="12">
        <v>51.68333332403563</v>
      </c>
      <c r="L150" s="8" t="s">
        <v>12</v>
      </c>
      <c r="M150" s="41">
        <v>1</v>
      </c>
      <c r="N150" s="47" t="str">
        <f>VLOOKUP(L150,'Issue Resolution'!$A$2:$A$8,1,FALSE)</f>
        <v>Wi-MAX data drops</v>
      </c>
      <c r="O150" s="47" t="str">
        <f>RIGHT(A150,2)</f>
        <v>14</v>
      </c>
      <c r="P150" s="43" t="str">
        <f>VLOOKUP(L150,'Issue Resolution'!$A$2:$A$999,1,FALSE)</f>
        <v>Wi-MAX data drops</v>
      </c>
    </row>
    <row r="151" spans="1:16" x14ac:dyDescent="0.25">
      <c r="A151" s="23" t="s">
        <v>460</v>
      </c>
      <c r="B151" s="12">
        <v>4020</v>
      </c>
      <c r="C151" s="13">
        <v>42565.787094907406</v>
      </c>
      <c r="D151" s="13">
        <v>42565.813831018517</v>
      </c>
      <c r="E151" s="12">
        <v>0</v>
      </c>
      <c r="F151" s="10" t="s">
        <v>32</v>
      </c>
      <c r="G151" s="10" t="s">
        <v>428</v>
      </c>
      <c r="H151" s="22">
        <v>2.6736111110949423E-2</v>
      </c>
      <c r="I151" s="12"/>
      <c r="J151" s="12"/>
      <c r="K151" s="12">
        <v>38.499999999767169</v>
      </c>
      <c r="L151" s="35" t="s">
        <v>1767</v>
      </c>
      <c r="M151" s="41">
        <v>1</v>
      </c>
      <c r="N151" s="47" t="e">
        <f>VLOOKUP(L151,'Issue Resolution'!$A$2:$A$8,1,FALSE)</f>
        <v>#N/A</v>
      </c>
      <c r="O151" s="47" t="str">
        <f>RIGHT(A151,2)</f>
        <v>14</v>
      </c>
      <c r="P151" s="43" t="str">
        <f>VLOOKUP(L151,'Issue Resolution'!$A$2:$A$999,1,FALSE)</f>
        <v>Signaling system failures</v>
      </c>
    </row>
    <row r="152" spans="1:16" x14ac:dyDescent="0.25">
      <c r="A152" s="23" t="s">
        <v>462</v>
      </c>
      <c r="B152" s="12">
        <v>4030</v>
      </c>
      <c r="C152" s="13">
        <v>42566.206770833334</v>
      </c>
      <c r="D152" s="13">
        <v>42566.223113425927</v>
      </c>
      <c r="E152" s="12">
        <v>0</v>
      </c>
      <c r="F152" s="10" t="s">
        <v>33</v>
      </c>
      <c r="G152" s="10" t="s">
        <v>463</v>
      </c>
      <c r="H152" s="22">
        <v>1.6342592592991423E-2</v>
      </c>
      <c r="I152" s="12"/>
      <c r="J152" s="12"/>
      <c r="K152" s="12">
        <v>23.533333333907649</v>
      </c>
      <c r="L152" s="40" t="s">
        <v>47</v>
      </c>
      <c r="M152" s="41">
        <v>1</v>
      </c>
      <c r="N152" s="41">
        <v>1</v>
      </c>
      <c r="O152" s="47" t="str">
        <f>RIGHT(A152,2)</f>
        <v>15</v>
      </c>
      <c r="P152" s="43" t="str">
        <f>VLOOKUP(L152,'Issue Resolution'!$A$2:$A$999,1,FALSE)</f>
        <v>Onboard in-route failure</v>
      </c>
    </row>
    <row r="153" spans="1:16" x14ac:dyDescent="0.25">
      <c r="A153" s="23" t="s">
        <v>464</v>
      </c>
      <c r="B153" s="12">
        <v>4007</v>
      </c>
      <c r="C153" s="13">
        <v>42566.239652777775</v>
      </c>
      <c r="D153" s="13">
        <v>42566.260833333334</v>
      </c>
      <c r="E153" s="12">
        <v>0</v>
      </c>
      <c r="F153" s="10" t="s">
        <v>34</v>
      </c>
      <c r="G153" s="10" t="s">
        <v>463</v>
      </c>
      <c r="H153" s="22">
        <v>2.118055555911269E-2</v>
      </c>
      <c r="I153" s="12"/>
      <c r="J153" s="12"/>
      <c r="K153" s="12">
        <v>30.500000005122274</v>
      </c>
      <c r="L153" s="33" t="s">
        <v>386</v>
      </c>
      <c r="M153" s="41">
        <v>1</v>
      </c>
      <c r="N153" s="41">
        <v>1</v>
      </c>
      <c r="O153" s="47" t="str">
        <f>RIGHT(A153,2)</f>
        <v>15</v>
      </c>
      <c r="P153" s="43" t="str">
        <f>VLOOKUP(L153,'Issue Resolution'!$A$2:$A$999,1,FALSE)</f>
        <v>Operational Issue</v>
      </c>
    </row>
    <row r="154" spans="1:16" x14ac:dyDescent="0.25">
      <c r="A154" s="23" t="s">
        <v>322</v>
      </c>
      <c r="B154" s="12">
        <v>4015</v>
      </c>
      <c r="C154" s="13">
        <v>42566.676087962966</v>
      </c>
      <c r="D154" s="13">
        <v>42566.69222222222</v>
      </c>
      <c r="E154" s="12">
        <v>0</v>
      </c>
      <c r="F154" s="10" t="s">
        <v>46</v>
      </c>
      <c r="G154" s="10" t="s">
        <v>425</v>
      </c>
      <c r="H154" s="22">
        <v>1.6134259254613426E-2</v>
      </c>
      <c r="I154" s="12"/>
      <c r="J154" s="12"/>
      <c r="K154" s="12">
        <v>33.166666656034067</v>
      </c>
      <c r="L154" s="8" t="s">
        <v>12</v>
      </c>
      <c r="M154" s="41">
        <v>1</v>
      </c>
      <c r="N154" s="41">
        <v>1</v>
      </c>
      <c r="O154" s="47" t="str">
        <f>RIGHT(A154,2)</f>
        <v>15</v>
      </c>
      <c r="P154" s="43" t="str">
        <f>VLOOKUP(L154,'Issue Resolution'!$A$2:$A$999,1,FALSE)</f>
        <v>Wi-MAX data drops</v>
      </c>
    </row>
    <row r="155" spans="1:16" x14ac:dyDescent="0.25">
      <c r="A155" s="23" t="s">
        <v>465</v>
      </c>
      <c r="B155" s="12">
        <v>4018</v>
      </c>
      <c r="C155" s="13">
        <v>42566.734861111108</v>
      </c>
      <c r="D155" s="13">
        <v>42566.741898148146</v>
      </c>
      <c r="E155" s="12">
        <v>0</v>
      </c>
      <c r="F155" s="10" t="s">
        <v>41</v>
      </c>
      <c r="G155" s="10" t="s">
        <v>434</v>
      </c>
      <c r="H155" s="22">
        <v>7.0370370376622304E-3</v>
      </c>
      <c r="I155" s="12"/>
      <c r="J155" s="12"/>
      <c r="K155" s="12">
        <v>41.583333330927417</v>
      </c>
      <c r="L155" s="40" t="s">
        <v>1770</v>
      </c>
      <c r="M155" s="41">
        <v>0.75</v>
      </c>
      <c r="N155" s="41">
        <v>0.75</v>
      </c>
      <c r="O155" s="47" t="str">
        <f>RIGHT(A155,2)</f>
        <v>15</v>
      </c>
      <c r="P155" s="43" t="str">
        <f>VLOOKUP(L155,'Issue Resolution'!$A$2:$A$999,1,FALSE)</f>
        <v>Operational Issue</v>
      </c>
    </row>
    <row r="156" spans="1:16" x14ac:dyDescent="0.25">
      <c r="A156" s="23" t="s">
        <v>466</v>
      </c>
      <c r="B156" s="12">
        <v>4010</v>
      </c>
      <c r="C156" s="13">
        <v>42566.757210648146</v>
      </c>
      <c r="D156" s="13">
        <v>42566.776736111111</v>
      </c>
      <c r="E156" s="12">
        <v>0</v>
      </c>
      <c r="F156" s="10" t="s">
        <v>45</v>
      </c>
      <c r="G156" s="10" t="s">
        <v>413</v>
      </c>
      <c r="H156" s="22">
        <v>1.9525462965248153E-2</v>
      </c>
      <c r="I156" s="12"/>
      <c r="J156" s="12"/>
      <c r="K156" s="12">
        <v>28.11666666995734</v>
      </c>
      <c r="L156" s="8" t="s">
        <v>9</v>
      </c>
      <c r="M156" s="41">
        <v>0.33333333333333331</v>
      </c>
      <c r="N156" s="41">
        <v>0.33333333333333331</v>
      </c>
      <c r="O156" s="47" t="str">
        <f>RIGHT(A156,2)</f>
        <v>15</v>
      </c>
      <c r="P156" s="43" t="str">
        <f>VLOOKUP(L156,'Issue Resolution'!$A$2:$A$999,1,FALSE)</f>
        <v>Improper execution of bulletins</v>
      </c>
    </row>
    <row r="157" spans="1:16" x14ac:dyDescent="0.25">
      <c r="A157" s="23" t="s">
        <v>467</v>
      </c>
      <c r="B157" s="12">
        <v>4037</v>
      </c>
      <c r="C157" s="13">
        <v>42566.763020833336</v>
      </c>
      <c r="D157" s="13">
        <v>42566.786539351851</v>
      </c>
      <c r="E157" s="12">
        <v>0</v>
      </c>
      <c r="F157" s="10" t="s">
        <v>35</v>
      </c>
      <c r="G157" s="10" t="s">
        <v>468</v>
      </c>
      <c r="H157" s="22">
        <v>2.3518518515629694E-2</v>
      </c>
      <c r="I157" s="12"/>
      <c r="J157" s="12"/>
      <c r="K157" s="12">
        <v>46.89999999362044</v>
      </c>
      <c r="L157" s="8" t="s">
        <v>9</v>
      </c>
      <c r="M157" s="41">
        <v>0.58333333333333337</v>
      </c>
      <c r="N157" s="41">
        <v>0.58333333333333337</v>
      </c>
      <c r="O157" s="47" t="str">
        <f>RIGHT(A157,2)</f>
        <v>15</v>
      </c>
      <c r="P157" s="43" t="str">
        <f>VLOOKUP(L157,'Issue Resolution'!$A$2:$A$999,1,FALSE)</f>
        <v>Improper execution of bulletins</v>
      </c>
    </row>
    <row r="158" spans="1:16" x14ac:dyDescent="0.25">
      <c r="A158" s="23" t="s">
        <v>85</v>
      </c>
      <c r="B158" s="12">
        <v>4043</v>
      </c>
      <c r="C158" s="13">
        <v>42566.77621527778</v>
      </c>
      <c r="D158" s="13">
        <v>42566.795069444444</v>
      </c>
      <c r="E158" s="12">
        <v>0</v>
      </c>
      <c r="F158" s="10" t="s">
        <v>42</v>
      </c>
      <c r="G158" s="10" t="s">
        <v>469</v>
      </c>
      <c r="H158" s="22">
        <v>1.8854166664823424E-2</v>
      </c>
      <c r="I158" s="12"/>
      <c r="J158" s="12"/>
      <c r="K158" s="12">
        <v>37.56666665780358</v>
      </c>
      <c r="L158" s="40" t="s">
        <v>1770</v>
      </c>
      <c r="M158" s="41">
        <v>0.5</v>
      </c>
      <c r="N158" s="41">
        <v>0.5</v>
      </c>
      <c r="O158" s="47" t="str">
        <f>RIGHT(A158,2)</f>
        <v>15</v>
      </c>
      <c r="P158" s="43" t="str">
        <f>VLOOKUP(L158,'Issue Resolution'!$A$2:$A$999,1,FALSE)</f>
        <v>Operational Issue</v>
      </c>
    </row>
    <row r="159" spans="1:16" x14ac:dyDescent="0.25">
      <c r="A159" s="23" t="s">
        <v>470</v>
      </c>
      <c r="B159" s="12">
        <v>4028</v>
      </c>
      <c r="C159" s="13">
        <v>42566.798032407409</v>
      </c>
      <c r="D159" s="13">
        <v>42566.816840277781</v>
      </c>
      <c r="E159" s="12">
        <v>0</v>
      </c>
      <c r="F159" s="10" t="s">
        <v>36</v>
      </c>
      <c r="G159" s="10" t="s">
        <v>432</v>
      </c>
      <c r="H159" s="22">
        <v>1.880787037225673E-2</v>
      </c>
      <c r="I159" s="12"/>
      <c r="J159" s="12"/>
      <c r="K159" s="12">
        <v>27.083333336049691</v>
      </c>
      <c r="L159" s="8" t="s">
        <v>9</v>
      </c>
      <c r="M159" s="41">
        <v>0.33333333333333331</v>
      </c>
      <c r="N159" s="41">
        <v>0.33333333333333331</v>
      </c>
      <c r="O159" s="47" t="str">
        <f>RIGHT(A159,2)</f>
        <v>15</v>
      </c>
      <c r="P159" s="43" t="str">
        <f>VLOOKUP(L159,'Issue Resolution'!$A$2:$A$999,1,FALSE)</f>
        <v>Improper execution of bulletins</v>
      </c>
    </row>
    <row r="160" spans="1:16" x14ac:dyDescent="0.25">
      <c r="A160" s="23" t="s">
        <v>86</v>
      </c>
      <c r="B160" s="12">
        <v>4015</v>
      </c>
      <c r="C160" s="13">
        <v>42566.808530092596</v>
      </c>
      <c r="D160" s="13">
        <v>42566.826226851852</v>
      </c>
      <c r="E160" s="12">
        <v>0</v>
      </c>
      <c r="F160" s="10" t="s">
        <v>46</v>
      </c>
      <c r="G160" s="10" t="s">
        <v>428</v>
      </c>
      <c r="H160" s="22">
        <v>1.7696759256068617E-2</v>
      </c>
      <c r="I160" s="12"/>
      <c r="J160" s="12"/>
      <c r="K160" s="12">
        <v>25.483333328738809</v>
      </c>
      <c r="L160" s="8" t="s">
        <v>9</v>
      </c>
      <c r="M160" s="41">
        <v>0.25</v>
      </c>
      <c r="N160" s="41">
        <v>0.25</v>
      </c>
      <c r="O160" s="47" t="str">
        <f>RIGHT(A160,2)</f>
        <v>15</v>
      </c>
      <c r="P160" s="43" t="str">
        <f>VLOOKUP(L160,'Issue Resolution'!$A$2:$A$999,1,FALSE)</f>
        <v>Improper execution of bulletins</v>
      </c>
    </row>
    <row r="161" spans="1:16" x14ac:dyDescent="0.25">
      <c r="A161" s="23" t="s">
        <v>471</v>
      </c>
      <c r="B161" s="12">
        <v>4028</v>
      </c>
      <c r="C161" s="13">
        <v>42566.885405092595</v>
      </c>
      <c r="D161" s="13">
        <v>42566.905451388891</v>
      </c>
      <c r="E161" s="12">
        <v>0</v>
      </c>
      <c r="F161" s="10" t="s">
        <v>36</v>
      </c>
      <c r="G161" s="10" t="s">
        <v>432</v>
      </c>
      <c r="H161" s="22">
        <v>2.0046296296641231E-2</v>
      </c>
      <c r="I161" s="12"/>
      <c r="J161" s="12"/>
      <c r="K161" s="12">
        <v>28.866666667163372</v>
      </c>
      <c r="L161" s="8" t="s">
        <v>12</v>
      </c>
      <c r="M161" s="41">
        <v>1</v>
      </c>
      <c r="N161" s="41">
        <v>1</v>
      </c>
      <c r="O161" s="47" t="str">
        <f>RIGHT(A161,2)</f>
        <v>15</v>
      </c>
      <c r="P161" s="43" t="str">
        <f>VLOOKUP(L161,'Issue Resolution'!$A$2:$A$999,1,FALSE)</f>
        <v>Wi-MAX data drops</v>
      </c>
    </row>
    <row r="162" spans="1:16" x14ac:dyDescent="0.25">
      <c r="A162" s="23" t="s">
        <v>472</v>
      </c>
      <c r="B162" s="12">
        <v>4010</v>
      </c>
      <c r="C162" s="13">
        <v>42567.077881944446</v>
      </c>
      <c r="D162" s="13">
        <v>42567.105729166666</v>
      </c>
      <c r="E162" s="12">
        <v>1</v>
      </c>
      <c r="F162" s="10" t="s">
        <v>45</v>
      </c>
      <c r="G162" s="10" t="s">
        <v>473</v>
      </c>
      <c r="H162" s="22">
        <v>2.7847222219861578E-2</v>
      </c>
      <c r="I162" s="12"/>
      <c r="J162" s="12"/>
      <c r="K162" s="12">
        <v>40.099999996600673</v>
      </c>
      <c r="L162" s="33" t="s">
        <v>386</v>
      </c>
      <c r="M162" s="41">
        <v>1</v>
      </c>
      <c r="N162" s="41">
        <v>1</v>
      </c>
      <c r="O162" s="47" t="str">
        <f>RIGHT(A162,2)</f>
        <v>15</v>
      </c>
      <c r="P162" s="43" t="str">
        <f>VLOOKUP(L162,'Issue Resolution'!$A$2:$A$999,1,FALSE)</f>
        <v>Operational Issue</v>
      </c>
    </row>
    <row r="163" spans="1:16" x14ac:dyDescent="0.25">
      <c r="A163" s="23" t="s">
        <v>472</v>
      </c>
      <c r="B163" s="12">
        <v>4010</v>
      </c>
      <c r="C163" s="13">
        <v>42567.077881944446</v>
      </c>
      <c r="D163" s="13">
        <v>42567.105729166666</v>
      </c>
      <c r="E163" s="12">
        <v>1</v>
      </c>
      <c r="F163" s="10" t="s">
        <v>45</v>
      </c>
      <c r="G163" s="10" t="s">
        <v>473</v>
      </c>
      <c r="H163" s="22">
        <v>2.7847222219861578E-2</v>
      </c>
      <c r="I163" s="12"/>
      <c r="J163" s="12"/>
      <c r="K163" s="12">
        <v>40.099999996600673</v>
      </c>
      <c r="L163" s="33" t="s">
        <v>386</v>
      </c>
      <c r="M163" s="41">
        <v>1</v>
      </c>
      <c r="N163" s="47" t="str">
        <f>VLOOKUP(L163,'Issue Resolution'!$A$2:$A$99,1,FALSE)</f>
        <v>Operational Issue</v>
      </c>
      <c r="O163" s="47" t="str">
        <f>RIGHT(A163,2)</f>
        <v>15</v>
      </c>
      <c r="P163" s="43" t="str">
        <f>VLOOKUP(L163,'Issue Resolution'!$A$2:$A$999,1,FALSE)</f>
        <v>Operational Issue</v>
      </c>
    </row>
    <row r="164" spans="1:16" x14ac:dyDescent="0.25">
      <c r="A164" s="23" t="s">
        <v>474</v>
      </c>
      <c r="B164" s="12">
        <v>4032</v>
      </c>
      <c r="C164" s="13">
        <v>42567.212500000001</v>
      </c>
      <c r="D164" s="13">
        <v>42567.234247685185</v>
      </c>
      <c r="E164" s="12">
        <v>0</v>
      </c>
      <c r="F164" s="10" t="s">
        <v>38</v>
      </c>
      <c r="G164" s="10" t="s">
        <v>400</v>
      </c>
      <c r="H164" s="22">
        <v>2.1747685183072463E-2</v>
      </c>
      <c r="I164" s="12"/>
      <c r="J164" s="12"/>
      <c r="K164" s="12">
        <v>41.716666663996875</v>
      </c>
      <c r="L164" s="8" t="s">
        <v>9</v>
      </c>
      <c r="M164" s="41">
        <v>0.41666666666666669</v>
      </c>
      <c r="N164" s="47" t="str">
        <f>VLOOKUP(L164,'Issue Resolution'!$A$2:$A$9,1,FALSE)</f>
        <v>Improper execution of bulletins</v>
      </c>
      <c r="O164" s="47" t="str">
        <f>RIGHT(A164,2)</f>
        <v>16</v>
      </c>
      <c r="P164" s="43" t="str">
        <f>VLOOKUP(L164,'Issue Resolution'!$A$2:$A$999,1,FALSE)</f>
        <v>Improper execution of bulletins</v>
      </c>
    </row>
    <row r="165" spans="1:16" x14ac:dyDescent="0.25">
      <c r="A165" s="23" t="s">
        <v>328</v>
      </c>
      <c r="B165" s="12">
        <v>4013</v>
      </c>
      <c r="C165" s="13">
        <v>42567.403831018521</v>
      </c>
      <c r="D165" s="13">
        <v>42567.41988425926</v>
      </c>
      <c r="E165" s="12">
        <v>0</v>
      </c>
      <c r="F165" s="10" t="s">
        <v>39</v>
      </c>
      <c r="G165" s="10" t="s">
        <v>475</v>
      </c>
      <c r="H165" s="22">
        <v>1.6053240738983732E-2</v>
      </c>
      <c r="I165" s="12"/>
      <c r="J165" s="12"/>
      <c r="K165" s="12">
        <v>23.116666664136574</v>
      </c>
      <c r="L165" s="8" t="s">
        <v>10</v>
      </c>
      <c r="M165" s="41">
        <v>1</v>
      </c>
      <c r="N165" s="47" t="str">
        <f>VLOOKUP(L165,'Issue Resolution'!$A$2:$A$9,1,FALSE)</f>
        <v>Dispatcher error preventing initialization at terminals</v>
      </c>
      <c r="O165" s="47" t="str">
        <f>RIGHT(A165,2)</f>
        <v>16</v>
      </c>
      <c r="P165" s="43" t="str">
        <f>VLOOKUP(L165,'Issue Resolution'!$A$2:$A$999,1,FALSE)</f>
        <v>Dispatcher error preventing initialization at terminals</v>
      </c>
    </row>
    <row r="166" spans="1:16" x14ac:dyDescent="0.25">
      <c r="A166" s="23" t="s">
        <v>476</v>
      </c>
      <c r="B166" s="12">
        <v>4029</v>
      </c>
      <c r="C166" s="13">
        <v>42567.527245370373</v>
      </c>
      <c r="D166" s="13">
        <v>42567.53601851852</v>
      </c>
      <c r="E166" s="12">
        <v>0</v>
      </c>
      <c r="F166" s="10" t="s">
        <v>33</v>
      </c>
      <c r="G166" s="10" t="s">
        <v>409</v>
      </c>
      <c r="H166" s="22">
        <v>8.7731481471564621E-3</v>
      </c>
      <c r="I166" s="12"/>
      <c r="J166" s="12"/>
      <c r="K166" s="12">
        <v>12.633333331905305</v>
      </c>
      <c r="L166" s="40" t="s">
        <v>47</v>
      </c>
      <c r="M166" s="41">
        <v>0</v>
      </c>
      <c r="N166" s="47" t="str">
        <f>VLOOKUP(L166,'Issue Resolution'!$A$2:$A$8,1,FALSE)</f>
        <v>Onboard in-route failure</v>
      </c>
      <c r="O166" s="47" t="str">
        <f>RIGHT(A166,2)</f>
        <v>16</v>
      </c>
      <c r="P166" s="43" t="str">
        <f>VLOOKUP(L166,'Issue Resolution'!$A$2:$A$999,1,FALSE)</f>
        <v>Onboard in-route failure</v>
      </c>
    </row>
    <row r="167" spans="1:16" x14ac:dyDescent="0.25">
      <c r="A167" s="23" t="s">
        <v>477</v>
      </c>
      <c r="B167" s="12">
        <v>4030</v>
      </c>
      <c r="C167" s="13">
        <v>42567.569710648146</v>
      </c>
      <c r="D167" s="13">
        <v>42567.593333333331</v>
      </c>
      <c r="E167" s="12">
        <v>0</v>
      </c>
      <c r="F167" s="10" t="s">
        <v>33</v>
      </c>
      <c r="G167" s="10" t="s">
        <v>409</v>
      </c>
      <c r="H167" s="22">
        <v>2.3622685184818693E-2</v>
      </c>
      <c r="I167" s="12"/>
      <c r="J167" s="12"/>
      <c r="K167" s="12">
        <v>46.116666665766388</v>
      </c>
      <c r="L167" s="8" t="s">
        <v>9</v>
      </c>
      <c r="M167" s="41">
        <v>0.58333333333333337</v>
      </c>
      <c r="N167" s="47" t="str">
        <f>VLOOKUP(L167,'Issue Resolution'!$A$2:$A$9,1,FALSE)</f>
        <v>Improper execution of bulletins</v>
      </c>
      <c r="O167" s="47" t="str">
        <f>RIGHT(A167,2)</f>
        <v>16</v>
      </c>
      <c r="P167" s="43" t="str">
        <f>VLOOKUP(L167,'Issue Resolution'!$A$2:$A$999,1,FALSE)</f>
        <v>Improper execution of bulletins</v>
      </c>
    </row>
    <row r="168" spans="1:16" x14ac:dyDescent="0.25">
      <c r="A168" s="23" t="s">
        <v>478</v>
      </c>
      <c r="B168" s="12">
        <v>4018</v>
      </c>
      <c r="C168" s="13">
        <v>42567.547708333332</v>
      </c>
      <c r="D168" s="13">
        <v>42567.571412037039</v>
      </c>
      <c r="E168" s="12">
        <v>0</v>
      </c>
      <c r="F168" s="10" t="s">
        <v>41</v>
      </c>
      <c r="G168" s="10" t="s">
        <v>436</v>
      </c>
      <c r="H168" s="22">
        <v>2.3703703707724344E-2</v>
      </c>
      <c r="I168" s="12"/>
      <c r="J168" s="12"/>
      <c r="K168" s="12">
        <v>34.133333339123055</v>
      </c>
      <c r="L168" s="8" t="s">
        <v>10</v>
      </c>
      <c r="M168" s="41">
        <v>1</v>
      </c>
      <c r="N168" s="47" t="str">
        <f>VLOOKUP(L168,'Issue Resolution'!$A$2:$A$8,1,FALSE)</f>
        <v>Dispatcher error preventing initialization at terminals</v>
      </c>
      <c r="O168" s="47" t="str">
        <f>RIGHT(A168,2)</f>
        <v>16</v>
      </c>
      <c r="P168" s="43" t="str">
        <f>VLOOKUP(L168,'Issue Resolution'!$A$2:$A$999,1,FALSE)</f>
        <v>Dispatcher error preventing initialization at terminals</v>
      </c>
    </row>
    <row r="169" spans="1:16" x14ac:dyDescent="0.25">
      <c r="A169" s="23" t="s">
        <v>87</v>
      </c>
      <c r="B169" s="12">
        <v>4013</v>
      </c>
      <c r="C169" s="13">
        <v>42567.609722222223</v>
      </c>
      <c r="D169" s="13">
        <v>42567.635115740741</v>
      </c>
      <c r="E169" s="12">
        <v>0</v>
      </c>
      <c r="F169" s="10" t="s">
        <v>39</v>
      </c>
      <c r="G169" s="10" t="s">
        <v>450</v>
      </c>
      <c r="H169" s="22">
        <v>2.5393518517375924E-2</v>
      </c>
      <c r="I169" s="12"/>
      <c r="J169" s="12"/>
      <c r="K169" s="12">
        <v>93.433333329157904</v>
      </c>
      <c r="L169" s="8" t="s">
        <v>9</v>
      </c>
      <c r="M169" s="41">
        <v>0.33333333333333331</v>
      </c>
      <c r="N169" s="47" t="str">
        <f>VLOOKUP(L169,'Issue Resolution'!$A$2:$A$8,1,FALSE)</f>
        <v>Improper execution of bulletins</v>
      </c>
      <c r="O169" s="47" t="str">
        <f>RIGHT(A169,2)</f>
        <v>16</v>
      </c>
      <c r="P169" s="43" t="str">
        <f>VLOOKUP(L169,'Issue Resolution'!$A$2:$A$999,1,FALSE)</f>
        <v>Improper execution of bulletins</v>
      </c>
    </row>
    <row r="170" spans="1:16" x14ac:dyDescent="0.25">
      <c r="A170" s="23" t="s">
        <v>479</v>
      </c>
      <c r="B170" s="12">
        <v>4019</v>
      </c>
      <c r="C170" s="13">
        <v>42567.620798611111</v>
      </c>
      <c r="D170" s="13">
        <v>42567.654120370367</v>
      </c>
      <c r="E170" s="12">
        <v>0</v>
      </c>
      <c r="F170" s="10" t="s">
        <v>32</v>
      </c>
      <c r="G170" s="10" t="s">
        <v>405</v>
      </c>
      <c r="H170" s="22">
        <v>3.3321759256068617E-2</v>
      </c>
      <c r="I170" s="12"/>
      <c r="J170" s="12"/>
      <c r="K170" s="12">
        <v>73.833333326037973</v>
      </c>
      <c r="L170" s="8" t="s">
        <v>8</v>
      </c>
      <c r="M170" s="41">
        <v>1</v>
      </c>
      <c r="N170" s="47" t="str">
        <f>VLOOKUP(L170,'Issue Resolution'!$A$2:$A$99,1,FALSE)</f>
        <v>Inefficient dispatching</v>
      </c>
      <c r="O170" s="47" t="str">
        <f>RIGHT(A170,2)</f>
        <v>16</v>
      </c>
      <c r="P170" s="43" t="str">
        <f>VLOOKUP(L170,'Issue Resolution'!$A$2:$A$999,1,FALSE)</f>
        <v>Inefficient dispatching</v>
      </c>
    </row>
    <row r="171" spans="1:16" x14ac:dyDescent="0.25">
      <c r="A171" s="23" t="s">
        <v>88</v>
      </c>
      <c r="B171" s="12">
        <v>4032</v>
      </c>
      <c r="C171" s="13">
        <v>42567.631666666668</v>
      </c>
      <c r="D171" s="13">
        <v>42567.673020833332</v>
      </c>
      <c r="E171" s="12">
        <v>0</v>
      </c>
      <c r="F171" s="10" t="s">
        <v>38</v>
      </c>
      <c r="G171" s="10" t="s">
        <v>480</v>
      </c>
      <c r="H171" s="22">
        <v>4.1354166663950309E-2</v>
      </c>
      <c r="I171" s="12"/>
      <c r="J171" s="12"/>
      <c r="K171" s="12">
        <v>80.499999989988282</v>
      </c>
      <c r="L171" s="8" t="s">
        <v>8</v>
      </c>
      <c r="M171" s="41">
        <v>1</v>
      </c>
      <c r="N171" s="47" t="str">
        <f>VLOOKUP(L171,'Issue Resolution'!$A$2:$A$9,1,FALSE)</f>
        <v>Inefficient dispatching</v>
      </c>
      <c r="O171" s="47" t="str">
        <f>RIGHT(A171,2)</f>
        <v>16</v>
      </c>
      <c r="P171" s="43" t="str">
        <f>VLOOKUP(L171,'Issue Resolution'!$A$2:$A$999,1,FALSE)</f>
        <v>Inefficient dispatching</v>
      </c>
    </row>
    <row r="172" spans="1:16" x14ac:dyDescent="0.25">
      <c r="A172" s="23" t="s">
        <v>481</v>
      </c>
      <c r="B172" s="12">
        <v>4029</v>
      </c>
      <c r="C172" s="13">
        <v>42567.611226851855</v>
      </c>
      <c r="D172" s="13">
        <v>42567.614733796298</v>
      </c>
      <c r="E172" s="12">
        <v>1</v>
      </c>
      <c r="F172" s="10" t="s">
        <v>33</v>
      </c>
      <c r="G172" s="10" t="s">
        <v>409</v>
      </c>
      <c r="H172" s="22">
        <v>3.5069444420514628E-3</v>
      </c>
      <c r="I172" s="12"/>
      <c r="J172" s="12"/>
      <c r="K172" s="12">
        <v>5.0499999965541065</v>
      </c>
      <c r="L172" s="40" t="s">
        <v>47</v>
      </c>
      <c r="M172" s="41">
        <v>0</v>
      </c>
      <c r="N172" s="47" t="str">
        <f>VLOOKUP(L172,'Issue Resolution'!$A$2:$A$9,1,FALSE)</f>
        <v>Onboard in-route failure</v>
      </c>
      <c r="O172" s="47" t="str">
        <f>RIGHT(A172,2)</f>
        <v>16</v>
      </c>
      <c r="P172" s="43" t="str">
        <f>VLOOKUP(L172,'Issue Resolution'!$A$2:$A$999,1,FALSE)</f>
        <v>Onboard in-route failure</v>
      </c>
    </row>
    <row r="173" spans="1:16" x14ac:dyDescent="0.25">
      <c r="A173" s="23" t="s">
        <v>89</v>
      </c>
      <c r="B173" s="12">
        <v>4030</v>
      </c>
      <c r="C173" s="13">
        <v>42567.652222222219</v>
      </c>
      <c r="D173" s="13">
        <v>42567.698229166665</v>
      </c>
      <c r="E173" s="12">
        <v>0</v>
      </c>
      <c r="F173" s="10" t="s">
        <v>33</v>
      </c>
      <c r="G173" s="10" t="s">
        <v>409</v>
      </c>
      <c r="H173" s="22">
        <v>4.6006944445252884E-2</v>
      </c>
      <c r="I173" s="12"/>
      <c r="J173" s="12"/>
      <c r="K173" s="12">
        <v>66.250000001164153</v>
      </c>
      <c r="L173" s="40" t="s">
        <v>47</v>
      </c>
      <c r="M173" s="41">
        <v>0.91666666666666663</v>
      </c>
      <c r="N173" s="47" t="str">
        <f>VLOOKUP(L173,'Issue Resolution'!$A$2:$A$9,1,FALSE)</f>
        <v>Onboard in-route failure</v>
      </c>
      <c r="O173" s="47" t="str">
        <f>RIGHT(A173,2)</f>
        <v>16</v>
      </c>
      <c r="P173" s="43" t="str">
        <f>VLOOKUP(L173,'Issue Resolution'!$A$2:$A$999,1,FALSE)</f>
        <v>Onboard in-route failure</v>
      </c>
    </row>
    <row r="174" spans="1:16" x14ac:dyDescent="0.25">
      <c r="A174" s="23" t="s">
        <v>90</v>
      </c>
      <c r="B174" s="12">
        <v>4017</v>
      </c>
      <c r="C174" s="13">
        <v>42567.663518518515</v>
      </c>
      <c r="D174" s="13">
        <v>42567.715474537035</v>
      </c>
      <c r="E174" s="12">
        <v>4</v>
      </c>
      <c r="F174" s="10" t="s">
        <v>41</v>
      </c>
      <c r="G174" s="10" t="s">
        <v>436</v>
      </c>
      <c r="H174" s="22">
        <v>5.1956018520286307E-2</v>
      </c>
      <c r="I174" s="12"/>
      <c r="J174" s="12"/>
      <c r="K174" s="12">
        <v>74.816666669212282</v>
      </c>
      <c r="L174" s="8" t="s">
        <v>8</v>
      </c>
      <c r="M174" s="41">
        <v>0.25</v>
      </c>
      <c r="N174" s="47" t="str">
        <f>VLOOKUP(L174,'Issue Resolution'!$A$2:$A$99,1,FALSE)</f>
        <v>Inefficient dispatching</v>
      </c>
      <c r="O174" s="47" t="str">
        <f>RIGHT(A174,2)</f>
        <v>16</v>
      </c>
      <c r="P174" s="43" t="str">
        <f>VLOOKUP(L174,'Issue Resolution'!$A$2:$A$999,1,FALSE)</f>
        <v>Inefficient dispatching</v>
      </c>
    </row>
    <row r="175" spans="1:16" x14ac:dyDescent="0.25">
      <c r="A175" s="23" t="s">
        <v>91</v>
      </c>
      <c r="B175" s="12">
        <v>4026</v>
      </c>
      <c r="C175" s="13">
        <v>42567.673263888886</v>
      </c>
      <c r="D175" s="13">
        <v>42567.728912037041</v>
      </c>
      <c r="E175" s="12">
        <v>1</v>
      </c>
      <c r="F175" s="10" t="s">
        <v>37</v>
      </c>
      <c r="G175" s="10" t="s">
        <v>420</v>
      </c>
      <c r="H175" s="22">
        <v>5.564814815443242E-2</v>
      </c>
      <c r="I175" s="12"/>
      <c r="J175" s="12"/>
      <c r="K175" s="12">
        <v>90.88333334075287</v>
      </c>
      <c r="L175" s="8" t="s">
        <v>8</v>
      </c>
      <c r="M175" s="41">
        <v>0.41666666666666669</v>
      </c>
      <c r="N175" s="47" t="str">
        <f>VLOOKUP(L175,'Issue Resolution'!$A$2:$A$8,1,FALSE)</f>
        <v>Inefficient dispatching</v>
      </c>
      <c r="O175" s="47" t="str">
        <f>RIGHT(A175,2)</f>
        <v>16</v>
      </c>
      <c r="P175" s="43" t="str">
        <f>VLOOKUP(L175,'Issue Resolution'!$A$2:$A$999,1,FALSE)</f>
        <v>Inefficient dispatching</v>
      </c>
    </row>
    <row r="176" spans="1:16" x14ac:dyDescent="0.25">
      <c r="A176" s="23" t="s">
        <v>185</v>
      </c>
      <c r="B176" s="12">
        <v>4041</v>
      </c>
      <c r="C176" s="13">
        <v>42567.684224537035</v>
      </c>
      <c r="D176" s="13">
        <v>42567.694699074076</v>
      </c>
      <c r="E176" s="12">
        <v>2</v>
      </c>
      <c r="F176" s="10" t="s">
        <v>49</v>
      </c>
      <c r="G176" s="10" t="s">
        <v>468</v>
      </c>
      <c r="H176" s="22">
        <v>1.0474537040863652E-2</v>
      </c>
      <c r="I176" s="12"/>
      <c r="J176" s="12"/>
      <c r="K176" s="12">
        <v>15.083333338843659</v>
      </c>
      <c r="L176" s="34" t="s">
        <v>234</v>
      </c>
      <c r="M176" s="41">
        <v>0</v>
      </c>
      <c r="N176" s="47" t="e">
        <f>VLOOKUP(L176,'Issue Resolution'!$A$2:$A$8,1,FALSE)</f>
        <v>#N/A</v>
      </c>
      <c r="O176" s="47" t="str">
        <f>RIGHT(A176,2)</f>
        <v>16</v>
      </c>
      <c r="P176" s="43" t="str">
        <f>VLOOKUP(L176,'Issue Resolution'!$A$2:$A$999,1,FALSE)</f>
        <v>Office System Issue</v>
      </c>
    </row>
    <row r="177" spans="1:16" x14ac:dyDescent="0.25">
      <c r="A177" s="23" t="s">
        <v>484</v>
      </c>
      <c r="B177" s="12">
        <v>4041</v>
      </c>
      <c r="C177" s="13">
        <v>42567.701643518521</v>
      </c>
      <c r="D177" s="13">
        <v>42567.741296296299</v>
      </c>
      <c r="E177" s="12">
        <v>0</v>
      </c>
      <c r="F177" s="10" t="s">
        <v>49</v>
      </c>
      <c r="G177" s="10" t="s">
        <v>468</v>
      </c>
      <c r="H177" s="22">
        <v>3.9652777777519077E-2</v>
      </c>
      <c r="I177" s="12"/>
      <c r="J177" s="12"/>
      <c r="K177" s="12">
        <v>72.066666665486991</v>
      </c>
      <c r="L177" s="8" t="s">
        <v>8</v>
      </c>
      <c r="M177" s="41">
        <v>0.83333333333333337</v>
      </c>
      <c r="N177" s="47" t="str">
        <f>VLOOKUP(L177,'Issue Resolution'!$A$2:$A$99,1,FALSE)</f>
        <v>Inefficient dispatching</v>
      </c>
      <c r="O177" s="47" t="str">
        <f>RIGHT(A177,2)</f>
        <v>16</v>
      </c>
      <c r="P177" s="43" t="str">
        <f>VLOOKUP(L177,'Issue Resolution'!$A$2:$A$999,1,FALSE)</f>
        <v>Inefficient dispatching</v>
      </c>
    </row>
    <row r="178" spans="1:16" x14ac:dyDescent="0.25">
      <c r="A178" s="23" t="s">
        <v>65</v>
      </c>
      <c r="B178" s="12">
        <v>4031</v>
      </c>
      <c r="C178" s="13">
        <v>42567.695243055554</v>
      </c>
      <c r="D178" s="13">
        <v>42567.721319444441</v>
      </c>
      <c r="E178" s="12">
        <v>0</v>
      </c>
      <c r="F178" s="10" t="s">
        <v>38</v>
      </c>
      <c r="G178" s="10" t="s">
        <v>480</v>
      </c>
      <c r="H178" s="22">
        <v>2.6076388887304347E-2</v>
      </c>
      <c r="I178" s="12"/>
      <c r="J178" s="12"/>
      <c r="K178" s="12">
        <v>57.23333333269693</v>
      </c>
      <c r="L178" s="8" t="s">
        <v>8</v>
      </c>
      <c r="M178" s="41">
        <v>0.66666666666666663</v>
      </c>
      <c r="N178" s="47" t="str">
        <f>VLOOKUP(L178,'Issue Resolution'!$A$2:$A$99,1,FALSE)</f>
        <v>Inefficient dispatching</v>
      </c>
      <c r="O178" s="47" t="str">
        <f>RIGHT(A178,2)</f>
        <v>16</v>
      </c>
      <c r="P178" s="43" t="str">
        <f>VLOOKUP(L178,'Issue Resolution'!$A$2:$A$999,1,FALSE)</f>
        <v>Inefficient dispatching</v>
      </c>
    </row>
    <row r="179" spans="1:16" x14ac:dyDescent="0.25">
      <c r="A179" s="23" t="s">
        <v>486</v>
      </c>
      <c r="B179" s="12">
        <v>4040</v>
      </c>
      <c r="C179" s="13">
        <v>42567.713738425926</v>
      </c>
      <c r="D179" s="13">
        <v>42567.74590277778</v>
      </c>
      <c r="E179" s="12">
        <v>0</v>
      </c>
      <c r="F179" s="10" t="s">
        <v>44</v>
      </c>
      <c r="G179" s="10" t="s">
        <v>450</v>
      </c>
      <c r="H179" s="22">
        <v>3.2164351854589768E-2</v>
      </c>
      <c r="I179" s="12"/>
      <c r="J179" s="12"/>
      <c r="K179" s="12">
        <v>70.550000000512227</v>
      </c>
      <c r="L179" s="8" t="s">
        <v>8</v>
      </c>
      <c r="M179" s="41">
        <v>0.66666666666666663</v>
      </c>
      <c r="N179" s="47" t="str">
        <f>VLOOKUP(L179,'Issue Resolution'!$A$2:$A$99,1,FALSE)</f>
        <v>Inefficient dispatching</v>
      </c>
      <c r="O179" s="47" t="str">
        <f>RIGHT(A179,2)</f>
        <v>16</v>
      </c>
      <c r="P179" s="43" t="str">
        <f>VLOOKUP(L179,'Issue Resolution'!$A$2:$A$999,1,FALSE)</f>
        <v>Inefficient dispatching</v>
      </c>
    </row>
    <row r="180" spans="1:16" x14ac:dyDescent="0.25">
      <c r="A180" s="23" t="s">
        <v>323</v>
      </c>
      <c r="B180" s="12">
        <v>4038</v>
      </c>
      <c r="C180" s="13">
        <v>42567.719768518517</v>
      </c>
      <c r="D180" s="13">
        <v>42567.746087962965</v>
      </c>
      <c r="E180" s="12">
        <v>0</v>
      </c>
      <c r="F180" s="10" t="s">
        <v>35</v>
      </c>
      <c r="G180" s="10" t="s">
        <v>434</v>
      </c>
      <c r="H180" s="22">
        <v>2.6319444448745344E-2</v>
      </c>
      <c r="I180" s="12"/>
      <c r="J180" s="12"/>
      <c r="K180" s="12">
        <v>63.300000003073364</v>
      </c>
      <c r="L180" s="33" t="s">
        <v>386</v>
      </c>
      <c r="M180" s="41">
        <v>0.58333333333333337</v>
      </c>
      <c r="N180" s="47" t="str">
        <f>VLOOKUP(L180,'Issue Resolution'!$A$2:$A$99,1,FALSE)</f>
        <v>Operational Issue</v>
      </c>
      <c r="O180" s="47" t="str">
        <f>RIGHT(A180,2)</f>
        <v>16</v>
      </c>
      <c r="P180" s="43" t="str">
        <f>VLOOKUP(L180,'Issue Resolution'!$A$2:$A$999,1,FALSE)</f>
        <v>Operational Issue</v>
      </c>
    </row>
    <row r="181" spans="1:16" x14ac:dyDescent="0.25">
      <c r="A181" s="23" t="s">
        <v>487</v>
      </c>
      <c r="B181" s="12">
        <v>4029</v>
      </c>
      <c r="C181" s="13">
        <v>42567.739201388889</v>
      </c>
      <c r="D181" s="13">
        <v>42567.751099537039</v>
      </c>
      <c r="E181" s="12">
        <v>0</v>
      </c>
      <c r="F181" s="10" t="s">
        <v>33</v>
      </c>
      <c r="G181" s="10" t="s">
        <v>411</v>
      </c>
      <c r="H181" s="22">
        <v>1.1898148150066845E-2</v>
      </c>
      <c r="I181" s="12"/>
      <c r="J181" s="12"/>
      <c r="K181" s="12">
        <v>47.416666665812954</v>
      </c>
      <c r="L181" s="8" t="s">
        <v>8</v>
      </c>
      <c r="M181" s="41">
        <v>0.66666666666666663</v>
      </c>
      <c r="N181" s="47" t="str">
        <f>VLOOKUP(L181,'Issue Resolution'!$A$2:$A$99,1,FALSE)</f>
        <v>Inefficient dispatching</v>
      </c>
      <c r="O181" s="47" t="str">
        <f>RIGHT(A181,2)</f>
        <v>16</v>
      </c>
      <c r="P181" s="43" t="str">
        <f>VLOOKUP(L181,'Issue Resolution'!$A$2:$A$999,1,FALSE)</f>
        <v>Inefficient dispatching</v>
      </c>
    </row>
    <row r="182" spans="1:16" x14ac:dyDescent="0.25">
      <c r="A182" s="23" t="s">
        <v>488</v>
      </c>
      <c r="B182" s="12">
        <v>4028</v>
      </c>
      <c r="C182" s="13">
        <v>42568.191967592589</v>
      </c>
      <c r="D182" s="13">
        <v>42568.2109837963</v>
      </c>
      <c r="E182" s="12">
        <v>1</v>
      </c>
      <c r="F182" s="10" t="s">
        <v>36</v>
      </c>
      <c r="G182" s="10" t="s">
        <v>400</v>
      </c>
      <c r="H182" s="22">
        <v>1.9016203710634727E-2</v>
      </c>
      <c r="I182" s="12"/>
      <c r="J182" s="12"/>
      <c r="K182" s="12">
        <v>27.383333343314007</v>
      </c>
      <c r="L182" s="8" t="s">
        <v>12</v>
      </c>
      <c r="M182" s="41">
        <v>0.25</v>
      </c>
      <c r="N182" s="47" t="str">
        <f>VLOOKUP(L182,'Issue Resolution'!$A$2:$A$99,1,FALSE)</f>
        <v>Wi-MAX data drops</v>
      </c>
      <c r="O182" s="47" t="str">
        <f>RIGHT(A182,2)</f>
        <v>17</v>
      </c>
      <c r="P182" s="43" t="str">
        <f>VLOOKUP(L182,'Issue Resolution'!$A$2:$A$999,1,FALSE)</f>
        <v>Wi-MAX data drops</v>
      </c>
    </row>
    <row r="183" spans="1:16" x14ac:dyDescent="0.25">
      <c r="A183" s="23" t="s">
        <v>489</v>
      </c>
      <c r="B183" s="12">
        <v>4007</v>
      </c>
      <c r="C183" s="13">
        <v>42568.188680555555</v>
      </c>
      <c r="D183" s="13">
        <v>42568.208865740744</v>
      </c>
      <c r="E183" s="12">
        <v>0</v>
      </c>
      <c r="F183" s="10" t="s">
        <v>34</v>
      </c>
      <c r="G183" s="10" t="s">
        <v>428</v>
      </c>
      <c r="H183" s="22">
        <v>2.0185185188893229E-2</v>
      </c>
      <c r="I183" s="12"/>
      <c r="J183" s="12"/>
      <c r="K183" s="12">
        <v>47.80000000493601</v>
      </c>
      <c r="L183" s="8" t="s">
        <v>12</v>
      </c>
      <c r="M183" s="41">
        <v>0.5</v>
      </c>
      <c r="N183" s="47" t="str">
        <f>VLOOKUP(L183,'Issue Resolution'!$A$2:$A$99,1,FALSE)</f>
        <v>Wi-MAX data drops</v>
      </c>
      <c r="O183" s="47" t="str">
        <f>RIGHT(A183,2)</f>
        <v>17</v>
      </c>
      <c r="P183" s="43" t="str">
        <f>VLOOKUP(L183,'Issue Resolution'!$A$2:$A$999,1,FALSE)</f>
        <v>Wi-MAX data drops</v>
      </c>
    </row>
    <row r="184" spans="1:16" x14ac:dyDescent="0.25">
      <c r="A184" s="23" t="s">
        <v>189</v>
      </c>
      <c r="B184" s="12">
        <v>4010</v>
      </c>
      <c r="C184" s="13">
        <v>42568.388009259259</v>
      </c>
      <c r="D184" s="13">
        <v>42568.414942129632</v>
      </c>
      <c r="E184" s="12">
        <v>0</v>
      </c>
      <c r="F184" s="10" t="s">
        <v>45</v>
      </c>
      <c r="G184" s="10" t="s">
        <v>490</v>
      </c>
      <c r="H184" s="22">
        <v>2.6932870372547768E-2</v>
      </c>
      <c r="I184" s="12"/>
      <c r="J184" s="12"/>
      <c r="K184" s="12">
        <v>38.783333336468786</v>
      </c>
      <c r="L184" s="8" t="s">
        <v>47</v>
      </c>
      <c r="M184" s="41">
        <v>1</v>
      </c>
      <c r="N184" s="47" t="str">
        <f>VLOOKUP(L184,'Issue Resolution'!$A$2:$A$99,1,FALSE)</f>
        <v>Onboard in-route failure</v>
      </c>
      <c r="O184" s="47" t="str">
        <f>RIGHT(A184,2)</f>
        <v>17</v>
      </c>
      <c r="P184" s="43" t="str">
        <f>VLOOKUP(L184,'Issue Resolution'!$A$2:$A$999,1,FALSE)</f>
        <v>Onboard in-route failure</v>
      </c>
    </row>
    <row r="185" spans="1:16" x14ac:dyDescent="0.25">
      <c r="A185" s="23" t="s">
        <v>235</v>
      </c>
      <c r="B185" s="12">
        <v>4015</v>
      </c>
      <c r="C185" s="13">
        <v>42568.465324074074</v>
      </c>
      <c r="D185" s="13">
        <v>42568.492627314816</v>
      </c>
      <c r="E185" s="12">
        <v>0</v>
      </c>
      <c r="F185" s="10" t="s">
        <v>46</v>
      </c>
      <c r="G185" s="10" t="s">
        <v>405</v>
      </c>
      <c r="H185" s="22">
        <v>2.7303240742185153E-2</v>
      </c>
      <c r="I185" s="12"/>
      <c r="J185" s="12"/>
      <c r="K185" s="12">
        <v>39.31666666874662</v>
      </c>
      <c r="L185" s="8" t="s">
        <v>47</v>
      </c>
      <c r="M185" s="41">
        <v>0.25</v>
      </c>
      <c r="N185" s="47" t="str">
        <f>VLOOKUP(L185,'Issue Resolution'!$A$2:$A$8,1,FALSE)</f>
        <v>Onboard in-route failure</v>
      </c>
      <c r="O185" s="47" t="str">
        <f>RIGHT(A185,2)</f>
        <v>17</v>
      </c>
      <c r="P185" s="43" t="str">
        <f>VLOOKUP(L185,'Issue Resolution'!$A$2:$A$999,1,FALSE)</f>
        <v>Onboard in-route failure</v>
      </c>
    </row>
    <row r="186" spans="1:16" x14ac:dyDescent="0.25">
      <c r="A186" s="23" t="s">
        <v>492</v>
      </c>
      <c r="B186" s="12">
        <v>4007</v>
      </c>
      <c r="C186" s="13">
        <v>42568.464467592596</v>
      </c>
      <c r="D186" s="13">
        <v>42568.472905092596</v>
      </c>
      <c r="E186" s="12">
        <v>0</v>
      </c>
      <c r="F186" s="10" t="s">
        <v>34</v>
      </c>
      <c r="G186" s="10" t="s">
        <v>436</v>
      </c>
      <c r="H186" s="22">
        <v>8.4375000005820766E-3</v>
      </c>
      <c r="I186" s="12"/>
      <c r="J186" s="12"/>
      <c r="K186" s="12">
        <v>12.15000000083819</v>
      </c>
      <c r="L186" s="8" t="s">
        <v>47</v>
      </c>
      <c r="M186" s="41">
        <v>0</v>
      </c>
      <c r="N186" s="47" t="str">
        <f>VLOOKUP(L186,'Issue Resolution'!$A$2:$A$9,1,FALSE)</f>
        <v>Onboard in-route failure</v>
      </c>
      <c r="O186" s="47" t="str">
        <f>RIGHT(A186,2)</f>
        <v>17</v>
      </c>
      <c r="P186" s="43" t="str">
        <f>VLOOKUP(L186,'Issue Resolution'!$A$2:$A$999,1,FALSE)</f>
        <v>Onboard in-route failure</v>
      </c>
    </row>
    <row r="187" spans="1:16" x14ac:dyDescent="0.25">
      <c r="A187" s="23" t="s">
        <v>236</v>
      </c>
      <c r="B187" s="12">
        <v>4014</v>
      </c>
      <c r="C187" s="13">
        <v>42568.508032407408</v>
      </c>
      <c r="D187" s="13">
        <v>42568.518449074072</v>
      </c>
      <c r="E187" s="12">
        <v>0</v>
      </c>
      <c r="F187" s="10" t="s">
        <v>39</v>
      </c>
      <c r="G187" s="10" t="s">
        <v>493</v>
      </c>
      <c r="H187" s="22">
        <v>1.0416666664241347E-2</v>
      </c>
      <c r="I187" s="12"/>
      <c r="J187" s="12"/>
      <c r="K187" s="12">
        <v>44.483333327807486</v>
      </c>
      <c r="L187" s="8" t="s">
        <v>11</v>
      </c>
      <c r="M187" s="41">
        <v>1</v>
      </c>
      <c r="N187" s="47" t="str">
        <f>VLOOKUP(L187,'Issue Resolution'!$A$2:$A$9,1,FALSE)</f>
        <v>Link failures in wayside equipment</v>
      </c>
      <c r="O187" s="47" t="str">
        <f>RIGHT(A187,2)</f>
        <v>17</v>
      </c>
      <c r="P187" s="43" t="str">
        <f>VLOOKUP(L187,'Issue Resolution'!$A$2:$A$999,1,FALSE)</f>
        <v>Link failures in wayside equipment</v>
      </c>
    </row>
    <row r="188" spans="1:16" x14ac:dyDescent="0.25">
      <c r="A188" s="23" t="s">
        <v>495</v>
      </c>
      <c r="B188" s="12">
        <v>4008</v>
      </c>
      <c r="C188" s="13">
        <v>42568.577789351853</v>
      </c>
      <c r="D188" s="13">
        <v>42568.597777777781</v>
      </c>
      <c r="E188" s="12">
        <v>0</v>
      </c>
      <c r="F188" s="10" t="s">
        <v>34</v>
      </c>
      <c r="G188" s="10" t="s">
        <v>436</v>
      </c>
      <c r="H188" s="22">
        <v>1.9988425927294884E-2</v>
      </c>
      <c r="I188" s="12"/>
      <c r="J188" s="12"/>
      <c r="K188" s="12">
        <v>39.450000001816079</v>
      </c>
      <c r="L188" s="40" t="s">
        <v>1770</v>
      </c>
      <c r="M188" s="41">
        <v>0.5</v>
      </c>
      <c r="N188" s="47" t="e">
        <f>VLOOKUP(L188,'Issue Resolution'!$A$2:$A$8,1,FALSE)</f>
        <v>#N/A</v>
      </c>
      <c r="O188" s="47" t="str">
        <f>RIGHT(A188,2)</f>
        <v>17</v>
      </c>
      <c r="P188" s="43" t="str">
        <f>VLOOKUP(L188,'Issue Resolution'!$A$2:$A$999,1,FALSE)</f>
        <v>Operational Issue</v>
      </c>
    </row>
    <row r="189" spans="1:16" x14ac:dyDescent="0.25">
      <c r="A189" s="23" t="s">
        <v>496</v>
      </c>
      <c r="B189" s="12">
        <v>4032</v>
      </c>
      <c r="C189" s="13">
        <v>42568.588773148149</v>
      </c>
      <c r="D189" s="13">
        <v>42568.609513888892</v>
      </c>
      <c r="E189" s="12">
        <v>0</v>
      </c>
      <c r="F189" s="10" t="s">
        <v>38</v>
      </c>
      <c r="G189" s="10" t="s">
        <v>450</v>
      </c>
      <c r="H189" s="22">
        <v>2.0740740743349306E-2</v>
      </c>
      <c r="I189" s="12"/>
      <c r="J189" s="12"/>
      <c r="K189" s="12">
        <v>29.866666670423001</v>
      </c>
      <c r="L189" s="8" t="s">
        <v>8</v>
      </c>
      <c r="M189" s="41">
        <v>0.33333333333333331</v>
      </c>
      <c r="N189" s="47" t="str">
        <f>VLOOKUP(L189,'Issue Resolution'!$A$2:$A$8,1,FALSE)</f>
        <v>Inefficient dispatching</v>
      </c>
      <c r="O189" s="47" t="str">
        <f>RIGHT(A189,2)</f>
        <v>17</v>
      </c>
      <c r="P189" s="43" t="str">
        <f>VLOOKUP(L189,'Issue Resolution'!$A$2:$A$999,1,FALSE)</f>
        <v>Inefficient dispatching</v>
      </c>
    </row>
    <row r="190" spans="1:16" x14ac:dyDescent="0.25">
      <c r="A190" s="23" t="s">
        <v>188</v>
      </c>
      <c r="B190" s="12">
        <v>4013</v>
      </c>
      <c r="C190" s="13">
        <v>42568.598877314813</v>
      </c>
      <c r="D190" s="13">
        <v>42568.625254629631</v>
      </c>
      <c r="E190" s="12">
        <v>0</v>
      </c>
      <c r="F190" s="10" t="s">
        <v>39</v>
      </c>
      <c r="G190" s="10" t="s">
        <v>493</v>
      </c>
      <c r="H190" s="22">
        <v>2.6377314818091691E-2</v>
      </c>
      <c r="I190" s="12"/>
      <c r="J190" s="12"/>
      <c r="K190" s="12">
        <v>48.083333341637626</v>
      </c>
      <c r="L190" s="8" t="s">
        <v>8</v>
      </c>
      <c r="M190" s="41">
        <v>0.5</v>
      </c>
      <c r="N190" s="47" t="str">
        <f>VLOOKUP(L190,'Issue Resolution'!$A$2:$A$99,1,FALSE)</f>
        <v>Inefficient dispatching</v>
      </c>
      <c r="O190" s="47" t="str">
        <f>RIGHT(A190,2)</f>
        <v>17</v>
      </c>
      <c r="P190" s="43" t="str">
        <f>VLOOKUP(L190,'Issue Resolution'!$A$2:$A$999,1,FALSE)</f>
        <v>Inefficient dispatching</v>
      </c>
    </row>
    <row r="191" spans="1:16" x14ac:dyDescent="0.25">
      <c r="A191" s="23" t="s">
        <v>497</v>
      </c>
      <c r="B191" s="12">
        <v>4010</v>
      </c>
      <c r="C191" s="13">
        <v>42568.607256944444</v>
      </c>
      <c r="D191" s="13">
        <v>42568.636319444442</v>
      </c>
      <c r="E191" s="12">
        <v>0</v>
      </c>
      <c r="F191" s="10" t="s">
        <v>45</v>
      </c>
      <c r="G191" s="10" t="s">
        <v>420</v>
      </c>
      <c r="H191" s="22">
        <v>2.9062499997962732E-2</v>
      </c>
      <c r="I191" s="12"/>
      <c r="J191" s="12"/>
      <c r="K191" s="12">
        <v>51.500000000232831</v>
      </c>
      <c r="L191" s="8" t="s">
        <v>8</v>
      </c>
      <c r="M191" s="41">
        <v>0.58333333333333337</v>
      </c>
      <c r="N191" s="47" t="str">
        <f>VLOOKUP(L191,'Issue Resolution'!$A$2:$A$99,1,FALSE)</f>
        <v>Inefficient dispatching</v>
      </c>
      <c r="O191" s="47" t="str">
        <f>RIGHT(A191,2)</f>
        <v>17</v>
      </c>
      <c r="P191" s="43" t="str">
        <f>VLOOKUP(L191,'Issue Resolution'!$A$2:$A$999,1,FALSE)</f>
        <v>Inefficient dispatching</v>
      </c>
    </row>
    <row r="192" spans="1:16" x14ac:dyDescent="0.25">
      <c r="A192" s="23" t="s">
        <v>498</v>
      </c>
      <c r="B192" s="12">
        <v>4015</v>
      </c>
      <c r="C192" s="13">
        <v>42568.649085648147</v>
      </c>
      <c r="D192" s="13">
        <v>42568.652974537035</v>
      </c>
      <c r="E192" s="12">
        <v>1</v>
      </c>
      <c r="F192" s="10" t="s">
        <v>46</v>
      </c>
      <c r="G192" s="10" t="s">
        <v>405</v>
      </c>
      <c r="H192" s="22">
        <v>3.8888888884685002E-3</v>
      </c>
      <c r="I192" s="12"/>
      <c r="J192" s="12"/>
      <c r="K192" s="12">
        <v>35.783333326689899</v>
      </c>
      <c r="L192" s="8" t="s">
        <v>8</v>
      </c>
      <c r="M192" s="41">
        <v>0.25</v>
      </c>
      <c r="N192" s="47" t="str">
        <f>VLOOKUP(L192,'Issue Resolution'!$A$2:$A$8,1,FALSE)</f>
        <v>Inefficient dispatching</v>
      </c>
      <c r="O192" s="47" t="str">
        <f>RIGHT(A192,2)</f>
        <v>17</v>
      </c>
      <c r="P192" s="43" t="str">
        <f>VLOOKUP(L192,'Issue Resolution'!$A$2:$A$999,1,FALSE)</f>
        <v>Inefficient dispatching</v>
      </c>
    </row>
    <row r="193" spans="1:16" x14ac:dyDescent="0.25">
      <c r="A193" s="23" t="s">
        <v>75</v>
      </c>
      <c r="B193" s="12">
        <v>4042</v>
      </c>
      <c r="C193" s="13">
        <v>42568.588865740741</v>
      </c>
      <c r="D193" s="13">
        <v>42568.605046296296</v>
      </c>
      <c r="E193" s="12">
        <v>0</v>
      </c>
      <c r="F193" s="10" t="s">
        <v>49</v>
      </c>
      <c r="G193" s="10" t="s">
        <v>434</v>
      </c>
      <c r="H193" s="22">
        <v>1.6180555554456078E-2</v>
      </c>
      <c r="I193" s="12"/>
      <c r="J193" s="12"/>
      <c r="K193" s="12">
        <v>47.116666658548638</v>
      </c>
      <c r="L193" s="8" t="s">
        <v>8</v>
      </c>
      <c r="M193" s="41">
        <v>0.66666666666666663</v>
      </c>
      <c r="N193" s="47" t="str">
        <f>VLOOKUP(L193,'Issue Resolution'!$A$2:$A$8,1,FALSE)</f>
        <v>Inefficient dispatching</v>
      </c>
      <c r="O193" s="47" t="str">
        <f>RIGHT(A193,2)</f>
        <v>17</v>
      </c>
      <c r="P193" s="43" t="str">
        <f>VLOOKUP(L193,'Issue Resolution'!$A$2:$A$999,1,FALSE)</f>
        <v>Inefficient dispatching</v>
      </c>
    </row>
    <row r="194" spans="1:16" x14ac:dyDescent="0.25">
      <c r="A194" s="23" t="s">
        <v>499</v>
      </c>
      <c r="B194" s="12">
        <v>4041</v>
      </c>
      <c r="C194" s="13">
        <v>42568.630740740744</v>
      </c>
      <c r="D194" s="13">
        <v>42568.651724537034</v>
      </c>
      <c r="E194" s="12">
        <v>1</v>
      </c>
      <c r="F194" s="10" t="s">
        <v>49</v>
      </c>
      <c r="G194" s="10" t="s">
        <v>434</v>
      </c>
      <c r="H194" s="22">
        <v>2.0983796290238388E-2</v>
      </c>
      <c r="I194" s="12"/>
      <c r="J194" s="12"/>
      <c r="K194" s="12">
        <v>40.733333331299946</v>
      </c>
      <c r="L194" s="8" t="s">
        <v>8</v>
      </c>
      <c r="M194" s="41">
        <v>0.5</v>
      </c>
      <c r="N194" s="47" t="str">
        <f>VLOOKUP(L194,'Issue Resolution'!$A$2:$A$9,1,FALSE)</f>
        <v>Inefficient dispatching</v>
      </c>
      <c r="O194" s="47" t="str">
        <f>RIGHT(A194,2)</f>
        <v>17</v>
      </c>
      <c r="P194" s="43" t="str">
        <f>VLOOKUP(L194,'Issue Resolution'!$A$2:$A$999,1,FALSE)</f>
        <v>Inefficient dispatching</v>
      </c>
    </row>
    <row r="195" spans="1:16" x14ac:dyDescent="0.25">
      <c r="A195" s="23" t="s">
        <v>76</v>
      </c>
      <c r="B195" s="12">
        <v>4027</v>
      </c>
      <c r="C195" s="13">
        <v>42568.60229166667</v>
      </c>
      <c r="D195" s="13">
        <v>42568.614155092589</v>
      </c>
      <c r="E195" s="12">
        <v>0</v>
      </c>
      <c r="F195" s="10" t="s">
        <v>36</v>
      </c>
      <c r="G195" s="10" t="s">
        <v>409</v>
      </c>
      <c r="H195" s="22">
        <v>1.1863425919727888E-2</v>
      </c>
      <c r="I195" s="12"/>
      <c r="J195" s="12"/>
      <c r="K195" s="12">
        <v>45.866666659712791</v>
      </c>
      <c r="L195" s="8" t="s">
        <v>8</v>
      </c>
      <c r="M195" s="41">
        <v>0.75</v>
      </c>
      <c r="N195" s="47" t="str">
        <f>VLOOKUP(L195,'Issue Resolution'!$A$2:$A$8,1,FALSE)</f>
        <v>Inefficient dispatching</v>
      </c>
      <c r="O195" s="47" t="str">
        <f>RIGHT(A195,2)</f>
        <v>17</v>
      </c>
      <c r="P195" s="43" t="str">
        <f>VLOOKUP(L195,'Issue Resolution'!$A$2:$A$999,1,FALSE)</f>
        <v>Inefficient dispatching</v>
      </c>
    </row>
    <row r="196" spans="1:16" x14ac:dyDescent="0.25">
      <c r="A196" s="23" t="s">
        <v>500</v>
      </c>
      <c r="B196" s="12">
        <v>4028</v>
      </c>
      <c r="C196" s="13">
        <v>42568.641377314816</v>
      </c>
      <c r="D196" s="13">
        <v>42568.660509259258</v>
      </c>
      <c r="E196" s="12">
        <v>0</v>
      </c>
      <c r="F196" s="10" t="s">
        <v>36</v>
      </c>
      <c r="G196" s="10" t="s">
        <v>409</v>
      </c>
      <c r="H196" s="22">
        <v>1.9131944442051463E-2</v>
      </c>
      <c r="I196" s="12"/>
      <c r="J196" s="12"/>
      <c r="K196" s="12">
        <v>37.633333329576999</v>
      </c>
      <c r="L196" s="8" t="s">
        <v>8</v>
      </c>
      <c r="M196" s="41">
        <v>0.5</v>
      </c>
      <c r="N196" s="47" t="str">
        <f>VLOOKUP(L196,'Issue Resolution'!$A$2:$A$99,1,FALSE)</f>
        <v>Inefficient dispatching</v>
      </c>
      <c r="O196" s="47" t="str">
        <f>RIGHT(A196,2)</f>
        <v>17</v>
      </c>
      <c r="P196" s="43" t="str">
        <f>VLOOKUP(L196,'Issue Resolution'!$A$2:$A$999,1,FALSE)</f>
        <v>Inefficient dispatching</v>
      </c>
    </row>
    <row r="197" spans="1:16" x14ac:dyDescent="0.25">
      <c r="A197" s="23" t="s">
        <v>77</v>
      </c>
      <c r="B197" s="12">
        <v>4007</v>
      </c>
      <c r="C197" s="13">
        <v>42568.613518518519</v>
      </c>
      <c r="D197" s="13">
        <v>42568.624340277776</v>
      </c>
      <c r="E197" s="12">
        <v>0</v>
      </c>
      <c r="F197" s="10" t="s">
        <v>34</v>
      </c>
      <c r="G197" s="10" t="s">
        <v>436</v>
      </c>
      <c r="H197" s="22">
        <v>1.0821759256941732E-2</v>
      </c>
      <c r="I197" s="12"/>
      <c r="J197" s="12"/>
      <c r="K197" s="12">
        <v>44.533333329018205</v>
      </c>
      <c r="L197" s="8" t="s">
        <v>8</v>
      </c>
      <c r="M197" s="41">
        <v>0.75</v>
      </c>
      <c r="N197" s="47" t="str">
        <f>VLOOKUP(L197,'Issue Resolution'!$A$2:$A$8,1,FALSE)</f>
        <v>Inefficient dispatching</v>
      </c>
      <c r="O197" s="47" t="str">
        <f>RIGHT(A197,2)</f>
        <v>17</v>
      </c>
      <c r="P197" s="43" t="str">
        <f>VLOOKUP(L197,'Issue Resolution'!$A$2:$A$999,1,FALSE)</f>
        <v>Inefficient dispatching</v>
      </c>
    </row>
    <row r="198" spans="1:16" x14ac:dyDescent="0.25">
      <c r="A198" s="23" t="s">
        <v>78</v>
      </c>
      <c r="B198" s="12">
        <v>4031</v>
      </c>
      <c r="C198" s="13">
        <v>42568.624120370368</v>
      </c>
      <c r="D198" s="13">
        <v>42568.636203703703</v>
      </c>
      <c r="E198" s="12">
        <v>0</v>
      </c>
      <c r="F198" s="10" t="s">
        <v>38</v>
      </c>
      <c r="G198" s="10" t="s">
        <v>450</v>
      </c>
      <c r="H198" s="22">
        <v>1.2083333334885538E-2</v>
      </c>
      <c r="I198" s="12"/>
      <c r="J198" s="12"/>
      <c r="K198" s="12">
        <v>45.200000004842877</v>
      </c>
      <c r="L198" s="8" t="s">
        <v>8</v>
      </c>
      <c r="M198" s="41">
        <v>0.75</v>
      </c>
      <c r="N198" s="47" t="str">
        <f>VLOOKUP(L198,'Issue Resolution'!$A$2:$A$9,1,FALSE)</f>
        <v>Inefficient dispatching</v>
      </c>
      <c r="O198" s="47" t="str">
        <f>RIGHT(A198,2)</f>
        <v>17</v>
      </c>
      <c r="P198" s="43" t="str">
        <f>VLOOKUP(L198,'Issue Resolution'!$A$2:$A$999,1,FALSE)</f>
        <v>Inefficient dispatching</v>
      </c>
    </row>
    <row r="199" spans="1:16" x14ac:dyDescent="0.25">
      <c r="A199" s="23" t="s">
        <v>501</v>
      </c>
      <c r="B199" s="12">
        <v>4014</v>
      </c>
      <c r="C199" s="13">
        <v>42568.64167824074</v>
      </c>
      <c r="D199" s="13">
        <v>42568.65148148148</v>
      </c>
      <c r="E199" s="12">
        <v>0</v>
      </c>
      <c r="F199" s="10" t="s">
        <v>39</v>
      </c>
      <c r="G199" s="10" t="s">
        <v>493</v>
      </c>
      <c r="H199" s="22">
        <v>9.8032407404389232E-3</v>
      </c>
      <c r="I199" s="12"/>
      <c r="J199" s="12"/>
      <c r="K199" s="12">
        <v>36.483333333162591</v>
      </c>
      <c r="L199" s="8" t="s">
        <v>8</v>
      </c>
      <c r="M199" s="41">
        <v>0.75</v>
      </c>
      <c r="N199" s="47" t="str">
        <f>VLOOKUP(L199,'Issue Resolution'!$A$2:$A$9,1,FALSE)</f>
        <v>Inefficient dispatching</v>
      </c>
      <c r="O199" s="47" t="str">
        <f>RIGHT(A199,2)</f>
        <v>17</v>
      </c>
      <c r="P199" s="43" t="str">
        <f>VLOOKUP(L199,'Issue Resolution'!$A$2:$A$999,1,FALSE)</f>
        <v>Inefficient dispatching</v>
      </c>
    </row>
    <row r="200" spans="1:16" x14ac:dyDescent="0.25">
      <c r="A200" s="23" t="s">
        <v>502</v>
      </c>
      <c r="B200" s="12">
        <v>4009</v>
      </c>
      <c r="C200" s="13">
        <v>42568.650046296294</v>
      </c>
      <c r="D200" s="13">
        <v>42568.662916666668</v>
      </c>
      <c r="E200" s="12">
        <v>0</v>
      </c>
      <c r="F200" s="10" t="s">
        <v>45</v>
      </c>
      <c r="G200" s="10" t="s">
        <v>420</v>
      </c>
      <c r="H200" s="22">
        <v>1.287037037400296E-2</v>
      </c>
      <c r="I200" s="12"/>
      <c r="J200" s="12"/>
      <c r="K200" s="12">
        <v>41.200000012759119</v>
      </c>
      <c r="L200" s="8" t="s">
        <v>8</v>
      </c>
      <c r="M200" s="41">
        <v>0.75</v>
      </c>
      <c r="N200" s="47" t="str">
        <f>VLOOKUP(L200,'Issue Resolution'!$A$2:$A$9,1,FALSE)</f>
        <v>Inefficient dispatching</v>
      </c>
      <c r="O200" s="47" t="str">
        <f>RIGHT(A200,2)</f>
        <v>17</v>
      </c>
      <c r="P200" s="43" t="str">
        <f>VLOOKUP(L200,'Issue Resolution'!$A$2:$A$999,1,FALSE)</f>
        <v>Inefficient dispatching</v>
      </c>
    </row>
    <row r="201" spans="1:16" x14ac:dyDescent="0.25">
      <c r="A201" s="23" t="s">
        <v>79</v>
      </c>
      <c r="B201" s="12">
        <v>4031</v>
      </c>
      <c r="C201" s="13">
        <v>42568.695752314816</v>
      </c>
      <c r="D201" s="13">
        <v>42568.709131944444</v>
      </c>
      <c r="E201" s="12">
        <v>0</v>
      </c>
      <c r="F201" s="10" t="s">
        <v>38</v>
      </c>
      <c r="G201" s="10" t="s">
        <v>450</v>
      </c>
      <c r="H201" s="22">
        <v>1.3379629628616385E-2</v>
      </c>
      <c r="I201" s="12"/>
      <c r="J201" s="12"/>
      <c r="K201" s="12">
        <v>42.950000002747402</v>
      </c>
      <c r="L201" s="8" t="s">
        <v>8</v>
      </c>
      <c r="M201" s="41">
        <v>0.75</v>
      </c>
      <c r="N201" s="47" t="str">
        <f>VLOOKUP(L201,'Issue Resolution'!$A$2:$A$8,1,FALSE)</f>
        <v>Inefficient dispatching</v>
      </c>
      <c r="O201" s="47" t="str">
        <f>RIGHT(A201,2)</f>
        <v>17</v>
      </c>
      <c r="P201" s="43" t="str">
        <f>VLOOKUP(L201,'Issue Resolution'!$A$2:$A$999,1,FALSE)</f>
        <v>Inefficient dispatching</v>
      </c>
    </row>
    <row r="202" spans="1:16" x14ac:dyDescent="0.25">
      <c r="A202" s="23" t="s">
        <v>503</v>
      </c>
      <c r="B202" s="12">
        <v>4010</v>
      </c>
      <c r="C202" s="13">
        <v>42568.751296296294</v>
      </c>
      <c r="D202" s="13">
        <v>42568.765300925923</v>
      </c>
      <c r="E202" s="12">
        <v>0</v>
      </c>
      <c r="F202" s="10" t="s">
        <v>45</v>
      </c>
      <c r="G202" s="10" t="s">
        <v>504</v>
      </c>
      <c r="H202" s="22">
        <v>1.4004629629198462E-2</v>
      </c>
      <c r="I202" s="12"/>
      <c r="J202" s="12"/>
      <c r="K202" s="12">
        <v>20.166666666045785</v>
      </c>
      <c r="L202" s="8" t="s">
        <v>12</v>
      </c>
      <c r="M202" s="41">
        <v>0</v>
      </c>
      <c r="N202" s="47" t="str">
        <f>VLOOKUP(L202,'Issue Resolution'!$A$2:$A$8,1,FALSE)</f>
        <v>Wi-MAX data drops</v>
      </c>
      <c r="O202" s="47" t="str">
        <f>RIGHT(A202,2)</f>
        <v>17</v>
      </c>
      <c r="P202" s="43" t="str">
        <f>VLOOKUP(L202,'Issue Resolution'!$A$2:$A$999,1,FALSE)</f>
        <v>Wi-MAX data drops</v>
      </c>
    </row>
    <row r="203" spans="1:16" x14ac:dyDescent="0.25">
      <c r="A203" s="23" t="s">
        <v>505</v>
      </c>
      <c r="B203" s="12">
        <v>4044</v>
      </c>
      <c r="C203" s="13">
        <v>42568.755335648151</v>
      </c>
      <c r="D203" s="13">
        <v>42568.762060185189</v>
      </c>
      <c r="E203" s="12">
        <v>1</v>
      </c>
      <c r="F203" s="10" t="s">
        <v>42</v>
      </c>
      <c r="G203" s="10" t="s">
        <v>411</v>
      </c>
      <c r="H203" s="22">
        <v>6.7245370373711921E-3</v>
      </c>
      <c r="I203" s="12"/>
      <c r="J203" s="12"/>
      <c r="K203" s="12">
        <v>38.533333330415189</v>
      </c>
      <c r="L203" s="33" t="s">
        <v>386</v>
      </c>
      <c r="M203" s="41">
        <v>0.75</v>
      </c>
      <c r="N203" s="47" t="e">
        <f>VLOOKUP(L203,'Issue Resolution'!$A$2:$A$9,1,FALSE)</f>
        <v>#N/A</v>
      </c>
      <c r="O203" s="47" t="str">
        <f>RIGHT(A203,2)</f>
        <v>17</v>
      </c>
      <c r="P203" s="43" t="str">
        <f>VLOOKUP(L203,'Issue Resolution'!$A$2:$A$999,1,FALSE)</f>
        <v>Operational Issue</v>
      </c>
    </row>
    <row r="204" spans="1:16" x14ac:dyDescent="0.25">
      <c r="A204" s="23" t="s">
        <v>239</v>
      </c>
      <c r="B204" s="12">
        <v>4041</v>
      </c>
      <c r="C204" s="13">
        <v>42568.943611111114</v>
      </c>
      <c r="D204" s="13">
        <v>42568.963564814818</v>
      </c>
      <c r="E204" s="12">
        <v>1</v>
      </c>
      <c r="F204" s="10" t="s">
        <v>49</v>
      </c>
      <c r="G204" s="10" t="s">
        <v>506</v>
      </c>
      <c r="H204" s="22">
        <v>1.9953703704231884E-2</v>
      </c>
      <c r="I204" s="12"/>
      <c r="J204" s="12"/>
      <c r="K204" s="12">
        <v>28.733333334093913</v>
      </c>
      <c r="L204" s="40" t="s">
        <v>47</v>
      </c>
      <c r="M204" s="41">
        <v>1</v>
      </c>
      <c r="N204" s="47" t="str">
        <f>VLOOKUP(L204,'Issue Resolution'!$A$2:$A$9,1,FALSE)</f>
        <v>Onboard in-route failure</v>
      </c>
      <c r="O204" s="47" t="str">
        <f>RIGHT(A204,2)</f>
        <v>17</v>
      </c>
      <c r="P204" s="43" t="str">
        <f>VLOOKUP(L204,'Issue Resolution'!$A$2:$A$999,1,FALSE)</f>
        <v>Onboard in-route failure</v>
      </c>
    </row>
    <row r="205" spans="1:16" x14ac:dyDescent="0.25">
      <c r="A205" s="23" t="s">
        <v>240</v>
      </c>
      <c r="B205" s="12">
        <v>4043</v>
      </c>
      <c r="C205" s="13">
        <v>42568.943784722222</v>
      </c>
      <c r="D205" s="13">
        <v>42568.963518518518</v>
      </c>
      <c r="E205" s="12">
        <v>2</v>
      </c>
      <c r="F205" s="10" t="s">
        <v>42</v>
      </c>
      <c r="G205" s="10" t="s">
        <v>411</v>
      </c>
      <c r="H205" s="22">
        <v>1.9733796296350192E-2</v>
      </c>
      <c r="I205" s="12"/>
      <c r="J205" s="12"/>
      <c r="K205" s="12">
        <v>29.616666664369404</v>
      </c>
      <c r="L205" s="8" t="s">
        <v>12</v>
      </c>
      <c r="M205" s="41">
        <v>0</v>
      </c>
      <c r="N205" s="47" t="str">
        <f>VLOOKUP(L205,'Issue Resolution'!$A$2:$A$8,1,FALSE)</f>
        <v>Wi-MAX data drops</v>
      </c>
      <c r="O205" s="47" t="str">
        <f>RIGHT(A205,2)</f>
        <v>17</v>
      </c>
      <c r="P205" s="43" t="str">
        <f>VLOOKUP(L205,'Issue Resolution'!$A$2:$A$999,1,FALSE)</f>
        <v>Wi-MAX data drops</v>
      </c>
    </row>
    <row r="206" spans="1:16" x14ac:dyDescent="0.25">
      <c r="A206" s="23" t="s">
        <v>507</v>
      </c>
      <c r="B206" s="12">
        <v>4032</v>
      </c>
      <c r="C206" s="13">
        <v>42568.973530092589</v>
      </c>
      <c r="D206" s="13">
        <v>42568.983101851853</v>
      </c>
      <c r="E206" s="12">
        <v>1</v>
      </c>
      <c r="F206" s="10" t="s">
        <v>38</v>
      </c>
      <c r="G206" s="10" t="s">
        <v>432</v>
      </c>
      <c r="H206" s="22">
        <v>9.5717592630535364E-3</v>
      </c>
      <c r="I206" s="12"/>
      <c r="J206" s="12"/>
      <c r="K206" s="12">
        <v>32.749999996740371</v>
      </c>
      <c r="L206" s="8" t="s">
        <v>12</v>
      </c>
      <c r="M206" s="41">
        <v>0.83333333333333337</v>
      </c>
      <c r="N206" s="47" t="str">
        <f>VLOOKUP(L206,'Issue Resolution'!$A$2:$A$8,1,FALSE)</f>
        <v>Wi-MAX data drops</v>
      </c>
      <c r="O206" s="47" t="str">
        <f>RIGHT(A206,2)</f>
        <v>17</v>
      </c>
      <c r="P206" s="43" t="str">
        <f>VLOOKUP(L206,'Issue Resolution'!$A$2:$A$999,1,FALSE)</f>
        <v>Wi-MAX data drops</v>
      </c>
    </row>
    <row r="207" spans="1:16" x14ac:dyDescent="0.25">
      <c r="A207" s="23" t="s">
        <v>508</v>
      </c>
      <c r="B207" s="12">
        <v>4037</v>
      </c>
      <c r="C207" s="13">
        <v>42569.008206018516</v>
      </c>
      <c r="D207" s="13">
        <v>42569.02648148148</v>
      </c>
      <c r="E207" s="12">
        <v>0</v>
      </c>
      <c r="F207" s="10" t="s">
        <v>35</v>
      </c>
      <c r="G207" s="10" t="s">
        <v>504</v>
      </c>
      <c r="H207" s="22">
        <v>1.8275462964083999E-2</v>
      </c>
      <c r="I207" s="12"/>
      <c r="J207" s="12"/>
      <c r="K207" s="12">
        <v>33.616666666930541</v>
      </c>
      <c r="L207" s="8" t="s">
        <v>12</v>
      </c>
      <c r="M207" s="41">
        <v>1</v>
      </c>
      <c r="N207" s="47" t="str">
        <f>VLOOKUP(L207,'Issue Resolution'!$A$2:$A$8,1,FALSE)</f>
        <v>Wi-MAX data drops</v>
      </c>
      <c r="O207" s="47" t="str">
        <f>RIGHT(A207,2)</f>
        <v>17</v>
      </c>
      <c r="P207" s="43" t="str">
        <f>VLOOKUP(L207,'Issue Resolution'!$A$2:$A$999,1,FALSE)</f>
        <v>Wi-MAX data drops</v>
      </c>
    </row>
    <row r="208" spans="1:16" x14ac:dyDescent="0.25">
      <c r="A208" s="23" t="s">
        <v>509</v>
      </c>
      <c r="B208" s="12">
        <v>4041</v>
      </c>
      <c r="C208" s="13">
        <v>42569.02888888889</v>
      </c>
      <c r="D208" s="13">
        <v>42569.044618055559</v>
      </c>
      <c r="E208" s="12">
        <v>0</v>
      </c>
      <c r="F208" s="10" t="s">
        <v>49</v>
      </c>
      <c r="G208" s="10" t="s">
        <v>506</v>
      </c>
      <c r="H208" s="22">
        <v>1.5729166669188999E-2</v>
      </c>
      <c r="I208" s="12"/>
      <c r="J208" s="12"/>
      <c r="K208" s="12">
        <v>32.699999995529652</v>
      </c>
      <c r="L208" s="8" t="s">
        <v>12</v>
      </c>
      <c r="M208" s="41">
        <v>1</v>
      </c>
      <c r="N208" s="47" t="str">
        <f>VLOOKUP(L208,'Issue Resolution'!$A$2:$A$8,1,FALSE)</f>
        <v>Wi-MAX data drops</v>
      </c>
      <c r="O208" s="47" t="str">
        <f>RIGHT(A208,2)</f>
        <v>17</v>
      </c>
      <c r="P208" s="43" t="str">
        <f>VLOOKUP(L208,'Issue Resolution'!$A$2:$A$999,1,FALSE)</f>
        <v>Wi-MAX data drops</v>
      </c>
    </row>
    <row r="209" spans="1:16" x14ac:dyDescent="0.25">
      <c r="A209" s="23" t="s">
        <v>510</v>
      </c>
      <c r="B209" s="12">
        <v>4043</v>
      </c>
      <c r="C209" s="13">
        <v>42569.049583333333</v>
      </c>
      <c r="D209" s="13">
        <v>42569.066168981481</v>
      </c>
      <c r="E209" s="12">
        <v>1</v>
      </c>
      <c r="F209" s="10" t="s">
        <v>42</v>
      </c>
      <c r="G209" s="10" t="s">
        <v>411</v>
      </c>
      <c r="H209" s="22">
        <v>1.6585648147156462E-2</v>
      </c>
      <c r="I209" s="12"/>
      <c r="J209" s="12"/>
      <c r="K209" s="12">
        <v>41.116666670423001</v>
      </c>
      <c r="L209" s="8" t="s">
        <v>12</v>
      </c>
      <c r="M209" s="41">
        <v>1</v>
      </c>
      <c r="N209" s="50" t="str">
        <f>VLOOKUP(L209,'Issue Resolution'!$A$2:$A$9,1,FALSE)</f>
        <v>Wi-MAX data drops</v>
      </c>
      <c r="O209" s="47" t="str">
        <f>RIGHT(A209,2)</f>
        <v>17</v>
      </c>
      <c r="P209" s="43" t="str">
        <f>VLOOKUP(L209,'Issue Resolution'!$A$2:$A$999,1,FALSE)</f>
        <v>Wi-MAX data drops</v>
      </c>
    </row>
    <row r="210" spans="1:16" x14ac:dyDescent="0.25">
      <c r="A210" s="23" t="s">
        <v>511</v>
      </c>
      <c r="B210" s="12">
        <v>4032</v>
      </c>
      <c r="C210" s="13">
        <v>42569.071331018517</v>
      </c>
      <c r="D210" s="13">
        <v>42569.087291666663</v>
      </c>
      <c r="E210" s="12">
        <v>1</v>
      </c>
      <c r="F210" s="10" t="s">
        <v>38</v>
      </c>
      <c r="G210" s="10" t="s">
        <v>432</v>
      </c>
      <c r="H210" s="22">
        <v>1.5960648146574385E-2</v>
      </c>
      <c r="I210" s="12"/>
      <c r="J210" s="12"/>
      <c r="K210" s="12">
        <v>33.416666662087664</v>
      </c>
      <c r="L210" s="8" t="s">
        <v>12</v>
      </c>
      <c r="M210" s="41">
        <v>1</v>
      </c>
      <c r="N210" s="50" t="str">
        <f>VLOOKUP(L210,'Issue Resolution'!$A$2:$A$8,1,FALSE)</f>
        <v>Wi-MAX data drops</v>
      </c>
      <c r="O210" s="47" t="str">
        <f>RIGHT(A210,2)</f>
        <v>17</v>
      </c>
      <c r="P210" s="43" t="str">
        <f>VLOOKUP(L210,'Issue Resolution'!$A$2:$A$999,1,FALSE)</f>
        <v>Wi-MAX data drops</v>
      </c>
    </row>
    <row r="211" spans="1:16" x14ac:dyDescent="0.25">
      <c r="A211" s="23" t="s">
        <v>512</v>
      </c>
      <c r="B211" s="12">
        <v>4026</v>
      </c>
      <c r="C211" s="13">
        <v>42569.206087962964</v>
      </c>
      <c r="D211" s="13">
        <v>42569.222719907404</v>
      </c>
      <c r="E211" s="12">
        <v>0</v>
      </c>
      <c r="F211" s="10" t="s">
        <v>37</v>
      </c>
      <c r="G211" s="10" t="s">
        <v>400</v>
      </c>
      <c r="H211" s="22">
        <v>1.6631944439723156E-2</v>
      </c>
      <c r="I211" s="12"/>
      <c r="J211" s="12"/>
      <c r="K211" s="12">
        <v>35.766666666604578</v>
      </c>
      <c r="L211" s="8" t="s">
        <v>12</v>
      </c>
      <c r="M211" s="41">
        <v>1</v>
      </c>
      <c r="N211" s="50" t="str">
        <f>VLOOKUP(L211,'Issue Resolution'!$A$2:$A$8,1,FALSE)</f>
        <v>Wi-MAX data drops</v>
      </c>
      <c r="O211" s="47" t="str">
        <f>RIGHT(A211,2)</f>
        <v>18</v>
      </c>
      <c r="P211" s="43" t="str">
        <f>VLOOKUP(L211,'Issue Resolution'!$A$2:$A$999,1,FALSE)</f>
        <v>Wi-MAX data drops</v>
      </c>
    </row>
    <row r="212" spans="1:16" x14ac:dyDescent="0.25">
      <c r="A212" s="23" t="s">
        <v>513</v>
      </c>
      <c r="B212" s="12">
        <v>4039</v>
      </c>
      <c r="C212" s="13">
        <v>42569.228680555556</v>
      </c>
      <c r="D212" s="13">
        <v>42569.244710648149</v>
      </c>
      <c r="E212" s="12">
        <v>0</v>
      </c>
      <c r="F212" s="10" t="s">
        <v>44</v>
      </c>
      <c r="G212" s="10" t="s">
        <v>418</v>
      </c>
      <c r="H212" s="22">
        <v>1.6030092592700385E-2</v>
      </c>
      <c r="I212" s="12"/>
      <c r="J212" s="12"/>
      <c r="K212" s="12">
        <v>33.583333336282521</v>
      </c>
      <c r="L212" s="8" t="s">
        <v>12</v>
      </c>
      <c r="M212" s="41">
        <v>1</v>
      </c>
      <c r="N212" s="50" t="str">
        <f>VLOOKUP(L212,'Issue Resolution'!$A$2:$A$99,1,FALSE)</f>
        <v>Wi-MAX data drops</v>
      </c>
      <c r="O212" s="47" t="str">
        <f>RIGHT(A212,2)</f>
        <v>18</v>
      </c>
      <c r="P212" s="43" t="str">
        <f>VLOOKUP(L212,'Issue Resolution'!$A$2:$A$999,1,FALSE)</f>
        <v>Wi-MAX data drops</v>
      </c>
    </row>
    <row r="213" spans="1:16" x14ac:dyDescent="0.25">
      <c r="A213" s="23" t="s">
        <v>514</v>
      </c>
      <c r="B213" s="12">
        <v>4018</v>
      </c>
      <c r="C213" s="13">
        <v>42569.235046296293</v>
      </c>
      <c r="D213" s="13">
        <v>42569.242754629631</v>
      </c>
      <c r="E213" s="12">
        <v>2</v>
      </c>
      <c r="F213" s="10" t="s">
        <v>41</v>
      </c>
      <c r="G213" s="10" t="s">
        <v>415</v>
      </c>
      <c r="H213" s="22">
        <v>7.708333338086959E-3</v>
      </c>
      <c r="I213" s="12"/>
      <c r="J213" s="12"/>
      <c r="K213" s="12">
        <v>36.033333343220875</v>
      </c>
      <c r="L213" s="8" t="s">
        <v>8</v>
      </c>
      <c r="M213" s="41">
        <v>1</v>
      </c>
      <c r="N213" s="50" t="str">
        <f>VLOOKUP(L213,'Issue Resolution'!$A$2:$A$9,1,FALSE)</f>
        <v>Inefficient dispatching</v>
      </c>
      <c r="O213" s="47" t="str">
        <f>RIGHT(A213,2)</f>
        <v>18</v>
      </c>
      <c r="P213" s="43" t="str">
        <f>VLOOKUP(L213,'Issue Resolution'!$A$2:$A$999,1,FALSE)</f>
        <v>Inefficient dispatching</v>
      </c>
    </row>
    <row r="214" spans="1:16" x14ac:dyDescent="0.25">
      <c r="A214" s="23" t="s">
        <v>515</v>
      </c>
      <c r="B214" s="12">
        <v>4029</v>
      </c>
      <c r="C214" s="13">
        <v>42569.210925925923</v>
      </c>
      <c r="D214" s="13">
        <v>42569.240578703706</v>
      </c>
      <c r="E214" s="12">
        <v>1</v>
      </c>
      <c r="F214" s="10" t="s">
        <v>33</v>
      </c>
      <c r="G214" s="10" t="s">
        <v>473</v>
      </c>
      <c r="H214" s="22">
        <v>2.9652777782757767E-2</v>
      </c>
      <c r="I214" s="12"/>
      <c r="J214" s="12"/>
      <c r="K214" s="12">
        <v>42.700000007171184</v>
      </c>
      <c r="L214" s="40" t="s">
        <v>47</v>
      </c>
      <c r="M214" s="41">
        <v>1</v>
      </c>
      <c r="N214" s="50" t="str">
        <f>VLOOKUP(L214,'Issue Resolution'!$A$2:$A$8,1,FALSE)</f>
        <v>Onboard in-route failure</v>
      </c>
      <c r="O214" s="47" t="str">
        <f>RIGHT(A214,2)</f>
        <v>18</v>
      </c>
      <c r="P214" s="43" t="str">
        <f>VLOOKUP(L214,'Issue Resolution'!$A$2:$A$999,1,FALSE)</f>
        <v>Onboard in-route failure</v>
      </c>
    </row>
    <row r="215" spans="1:16" x14ac:dyDescent="0.25">
      <c r="A215" s="23" t="s">
        <v>516</v>
      </c>
      <c r="B215" s="12">
        <v>4013</v>
      </c>
      <c r="C215" s="13">
        <v>42569.609236111108</v>
      </c>
      <c r="D215" s="13">
        <v>42569.60974537037</v>
      </c>
      <c r="E215" s="12">
        <v>1</v>
      </c>
      <c r="F215" s="10" t="s">
        <v>39</v>
      </c>
      <c r="G215" s="10" t="s">
        <v>436</v>
      </c>
      <c r="H215" s="22">
        <v>5.092592618893832E-4</v>
      </c>
      <c r="I215" s="12"/>
      <c r="J215" s="12"/>
      <c r="K215" s="12">
        <v>38.866666668327525</v>
      </c>
      <c r="L215" s="8" t="s">
        <v>11</v>
      </c>
      <c r="M215" s="41">
        <v>0.75</v>
      </c>
      <c r="N215" s="50" t="str">
        <f>VLOOKUP(L215,'Issue Resolution'!$A$2:$A$9,1,FALSE)</f>
        <v>Link failures in wayside equipment</v>
      </c>
      <c r="O215" s="47" t="str">
        <f>RIGHT(A215,2)</f>
        <v>18</v>
      </c>
      <c r="P215" s="43" t="str">
        <f>VLOOKUP(L215,'Issue Resolution'!$A$2:$A$999,1,FALSE)</f>
        <v>Link failures in wayside equipment</v>
      </c>
    </row>
    <row r="216" spans="1:16" x14ac:dyDescent="0.25">
      <c r="A216" s="23" t="s">
        <v>518</v>
      </c>
      <c r="B216" s="12">
        <v>4029</v>
      </c>
      <c r="C216" s="13">
        <v>42569.587465277778</v>
      </c>
      <c r="D216" s="13">
        <v>42569.609837962962</v>
      </c>
      <c r="E216" s="12">
        <v>1</v>
      </c>
      <c r="F216" s="10" t="s">
        <v>33</v>
      </c>
      <c r="G216" s="10" t="s">
        <v>442</v>
      </c>
      <c r="H216" s="22">
        <v>2.2372685183654539E-2</v>
      </c>
      <c r="I216" s="12"/>
      <c r="J216" s="12"/>
      <c r="K216" s="12">
        <v>32.216666664462537</v>
      </c>
      <c r="L216" s="40" t="s">
        <v>47</v>
      </c>
      <c r="M216" s="41">
        <v>1</v>
      </c>
      <c r="N216" s="50" t="str">
        <f>VLOOKUP(L216,'Issue Resolution'!$A$2:$A$8,1,FALSE)</f>
        <v>Onboard in-route failure</v>
      </c>
      <c r="O216" s="47" t="str">
        <f>RIGHT(A216,2)</f>
        <v>18</v>
      </c>
      <c r="P216" s="43" t="str">
        <f>VLOOKUP(L216,'Issue Resolution'!$A$2:$A$999,1,FALSE)</f>
        <v>Onboard in-route failure</v>
      </c>
    </row>
    <row r="217" spans="1:16" x14ac:dyDescent="0.25">
      <c r="A217" s="23" t="s">
        <v>519</v>
      </c>
      <c r="B217" s="12">
        <v>4014</v>
      </c>
      <c r="C217" s="13">
        <v>42569.695428240739</v>
      </c>
      <c r="D217" s="13">
        <v>42569.719907407409</v>
      </c>
      <c r="E217" s="12">
        <v>1</v>
      </c>
      <c r="F217" s="10" t="s">
        <v>39</v>
      </c>
      <c r="G217" s="10" t="s">
        <v>436</v>
      </c>
      <c r="H217" s="22">
        <v>2.4479166670062114E-2</v>
      </c>
      <c r="I217" s="12"/>
      <c r="J217" s="12"/>
      <c r="K217" s="12">
        <v>35.250000004889444</v>
      </c>
      <c r="L217" s="40" t="s">
        <v>47</v>
      </c>
      <c r="M217" s="41">
        <v>1</v>
      </c>
      <c r="N217" s="50" t="str">
        <f>VLOOKUP(L217,'Issue Resolution'!$A$2:$A$9,1,FALSE)</f>
        <v>Onboard in-route failure</v>
      </c>
      <c r="O217" s="47" t="str">
        <f>RIGHT(A217,2)</f>
        <v>18</v>
      </c>
      <c r="P217" s="43" t="str">
        <f>VLOOKUP(L217,'Issue Resolution'!$A$2:$A$999,1,FALSE)</f>
        <v>Onboard in-route failure</v>
      </c>
    </row>
    <row r="218" spans="1:16" x14ac:dyDescent="0.25">
      <c r="A218" s="23" t="s">
        <v>520</v>
      </c>
      <c r="B218" s="12">
        <v>4028</v>
      </c>
      <c r="C218" s="13">
        <v>42570.245636574073</v>
      </c>
      <c r="D218" s="13">
        <v>42570.264004629629</v>
      </c>
      <c r="E218" s="12">
        <v>0</v>
      </c>
      <c r="F218" s="10" t="s">
        <v>36</v>
      </c>
      <c r="G218" s="10" t="s">
        <v>475</v>
      </c>
      <c r="H218" s="22">
        <v>1.8368055556493346E-2</v>
      </c>
      <c r="I218" s="12"/>
      <c r="J218" s="12"/>
      <c r="K218" s="12">
        <v>26.450000001350418</v>
      </c>
      <c r="L218" s="8" t="s">
        <v>9</v>
      </c>
      <c r="M218" s="41">
        <v>0.25</v>
      </c>
      <c r="N218" s="50" t="str">
        <f>VLOOKUP(L218,'Issue Resolution'!$A$2:$A$9,1,FALSE)</f>
        <v>Improper execution of bulletins</v>
      </c>
      <c r="O218" s="47" t="str">
        <f>RIGHT(A218,2)</f>
        <v>19</v>
      </c>
      <c r="P218" s="43" t="str">
        <f>VLOOKUP(L218,'Issue Resolution'!$A$2:$A$999,1,FALSE)</f>
        <v>Improper execution of bulletins</v>
      </c>
    </row>
    <row r="219" spans="1:16" x14ac:dyDescent="0.25">
      <c r="A219" s="23" t="s">
        <v>521</v>
      </c>
      <c r="B219" s="12">
        <v>4008</v>
      </c>
      <c r="C219" s="13">
        <v>42570.255393518521</v>
      </c>
      <c r="D219" s="13">
        <v>42570.272546296299</v>
      </c>
      <c r="E219" s="12">
        <v>0</v>
      </c>
      <c r="F219" s="10" t="s">
        <v>34</v>
      </c>
      <c r="G219" s="10" t="s">
        <v>463</v>
      </c>
      <c r="H219" s="22">
        <v>1.7152777778392192E-2</v>
      </c>
      <c r="I219" s="12"/>
      <c r="J219" s="12"/>
      <c r="K219" s="12">
        <v>24.700000000884756</v>
      </c>
      <c r="L219" s="8" t="s">
        <v>9</v>
      </c>
      <c r="M219" s="41">
        <v>0.16666666666666666</v>
      </c>
      <c r="N219" s="50" t="str">
        <f>VLOOKUP(L219,'Issue Resolution'!$A$2:$A$9,1,FALSE)</f>
        <v>Improper execution of bulletins</v>
      </c>
      <c r="O219" s="47" t="str">
        <f>RIGHT(A219,2)</f>
        <v>19</v>
      </c>
      <c r="P219" s="43" t="str">
        <f>VLOOKUP(L219,'Issue Resolution'!$A$2:$A$999,1,FALSE)</f>
        <v>Improper execution of bulletins</v>
      </c>
    </row>
    <row r="220" spans="1:16" x14ac:dyDescent="0.25">
      <c r="A220" s="23" t="s">
        <v>522</v>
      </c>
      <c r="B220" s="12">
        <v>4038</v>
      </c>
      <c r="C220" s="13">
        <v>42570.313657407409</v>
      </c>
      <c r="D220" s="13">
        <v>42570.317719907405</v>
      </c>
      <c r="E220" s="12">
        <v>2</v>
      </c>
      <c r="F220" s="10" t="s">
        <v>35</v>
      </c>
      <c r="G220" s="10" t="s">
        <v>453</v>
      </c>
      <c r="H220" s="22">
        <v>4.0624999965075403E-3</v>
      </c>
      <c r="I220" s="12"/>
      <c r="J220" s="12"/>
      <c r="K220" s="12">
        <v>39.516666663112119</v>
      </c>
      <c r="L220" s="33" t="s">
        <v>386</v>
      </c>
      <c r="M220" s="41">
        <v>1</v>
      </c>
      <c r="N220" s="50" t="e">
        <f>VLOOKUP(L220,'Issue Resolution'!$A$2:$A$8,1,FALSE)</f>
        <v>#N/A</v>
      </c>
      <c r="O220" s="47" t="str">
        <f>RIGHT(A220,2)</f>
        <v>19</v>
      </c>
      <c r="P220" s="43" t="str">
        <f>VLOOKUP(L220,'Issue Resolution'!$A$2:$A$999,1,FALSE)</f>
        <v>Operational Issue</v>
      </c>
    </row>
    <row r="221" spans="1:16" x14ac:dyDescent="0.25">
      <c r="A221" s="23" t="s">
        <v>192</v>
      </c>
      <c r="B221" s="12">
        <v>4011</v>
      </c>
      <c r="C221" s="13">
        <v>42570.328368055554</v>
      </c>
      <c r="D221" s="13">
        <v>42570.350127314814</v>
      </c>
      <c r="E221" s="12">
        <v>0</v>
      </c>
      <c r="F221" s="10" t="s">
        <v>40</v>
      </c>
      <c r="G221" s="10" t="s">
        <v>400</v>
      </c>
      <c r="H221" s="22">
        <v>2.1759259259852115E-2</v>
      </c>
      <c r="I221" s="12"/>
      <c r="J221" s="12"/>
      <c r="K221" s="12">
        <v>31.333333334187046</v>
      </c>
      <c r="L221" s="33" t="s">
        <v>386</v>
      </c>
      <c r="M221" s="41">
        <v>1</v>
      </c>
      <c r="N221" s="50" t="e">
        <f>VLOOKUP(L221,'Issue Resolution'!$A$2:$A$8,1,FALSE)</f>
        <v>#N/A</v>
      </c>
      <c r="O221" s="47" t="str">
        <f>RIGHT(A221,2)</f>
        <v>19</v>
      </c>
      <c r="P221" s="43" t="str">
        <f>VLOOKUP(L221,'Issue Resolution'!$A$2:$A$999,1,FALSE)</f>
        <v>Operational Issue</v>
      </c>
    </row>
    <row r="222" spans="1:16" x14ac:dyDescent="0.25">
      <c r="A222" s="23" t="s">
        <v>524</v>
      </c>
      <c r="B222" s="12">
        <v>4012</v>
      </c>
      <c r="C222" s="13">
        <v>42570.356759259259</v>
      </c>
      <c r="D222" s="13">
        <v>42570.38071759259</v>
      </c>
      <c r="E222" s="12">
        <v>1</v>
      </c>
      <c r="F222" s="10" t="s">
        <v>40</v>
      </c>
      <c r="G222" s="10" t="s">
        <v>400</v>
      </c>
      <c r="H222" s="22">
        <v>2.3958333331393078E-2</v>
      </c>
      <c r="I222" s="12"/>
      <c r="J222" s="12"/>
      <c r="K222" s="12">
        <v>34.499999997206032</v>
      </c>
      <c r="L222" s="8" t="s">
        <v>12</v>
      </c>
      <c r="M222" s="41">
        <v>0.75</v>
      </c>
      <c r="N222" s="50" t="str">
        <f>VLOOKUP(L222,'Issue Resolution'!$A$2:$A$99,1,FALSE)</f>
        <v>Wi-MAX data drops</v>
      </c>
      <c r="O222" s="47" t="str">
        <f>RIGHT(A222,2)</f>
        <v>19</v>
      </c>
      <c r="P222" s="43" t="str">
        <f>VLOOKUP(L222,'Issue Resolution'!$A$2:$A$999,1,FALSE)</f>
        <v>Wi-MAX data drops</v>
      </c>
    </row>
    <row r="223" spans="1:16" x14ac:dyDescent="0.25">
      <c r="A223" s="23" t="s">
        <v>66</v>
      </c>
      <c r="B223" s="12">
        <v>4027</v>
      </c>
      <c r="C223" s="13">
        <v>42570.583761574075</v>
      </c>
      <c r="D223" s="13">
        <v>42570.590601851851</v>
      </c>
      <c r="E223" s="12">
        <v>0</v>
      </c>
      <c r="F223" s="10" t="s">
        <v>36</v>
      </c>
      <c r="G223" s="10" t="s">
        <v>405</v>
      </c>
      <c r="H223" s="22">
        <v>6.8402777760638855E-3</v>
      </c>
      <c r="I223" s="12"/>
      <c r="J223" s="12"/>
      <c r="K223" s="12">
        <v>31.533333328552544</v>
      </c>
      <c r="L223" s="40" t="s">
        <v>47</v>
      </c>
      <c r="M223" s="41">
        <v>0.41666666666666669</v>
      </c>
      <c r="N223" s="50" t="str">
        <f>VLOOKUP(L223,'Issue Resolution'!$A$2:$A$99,1,FALSE)</f>
        <v>Onboard in-route failure</v>
      </c>
      <c r="O223" s="47" t="str">
        <f>RIGHT(A223,2)</f>
        <v>19</v>
      </c>
      <c r="P223" s="43" t="str">
        <f>VLOOKUP(L223,'Issue Resolution'!$A$2:$A$999,1,FALSE)</f>
        <v>Onboard in-route failure</v>
      </c>
    </row>
    <row r="224" spans="1:16" x14ac:dyDescent="0.25">
      <c r="A224" s="23" t="s">
        <v>525</v>
      </c>
      <c r="B224" s="12">
        <v>4007</v>
      </c>
      <c r="C224" s="13">
        <v>42570.744756944441</v>
      </c>
      <c r="D224" s="13">
        <v>42570.765613425923</v>
      </c>
      <c r="E224" s="12">
        <v>0</v>
      </c>
      <c r="F224" s="10" t="s">
        <v>34</v>
      </c>
      <c r="G224" s="10" t="s">
        <v>506</v>
      </c>
      <c r="H224" s="22">
        <v>2.0856481482042E-2</v>
      </c>
      <c r="I224" s="12"/>
      <c r="J224" s="12"/>
      <c r="K224" s="12">
        <v>30.03333333414048</v>
      </c>
      <c r="L224" s="40" t="s">
        <v>47</v>
      </c>
      <c r="M224" s="41">
        <v>1</v>
      </c>
      <c r="N224" s="50" t="str">
        <f>VLOOKUP(L224,'Issue Resolution'!$A$2:$A$99,1,FALSE)</f>
        <v>Onboard in-route failure</v>
      </c>
      <c r="O224" s="47" t="str">
        <f>RIGHT(A224,2)</f>
        <v>19</v>
      </c>
      <c r="P224" s="43" t="str">
        <f>VLOOKUP(L224,'Issue Resolution'!$A$2:$A$999,1,FALSE)</f>
        <v>Onboard in-route failure</v>
      </c>
    </row>
    <row r="225" spans="1:16" x14ac:dyDescent="0.25">
      <c r="A225" s="23" t="s">
        <v>526</v>
      </c>
      <c r="B225" s="12">
        <v>4008</v>
      </c>
      <c r="C225" s="13">
        <v>42570.778599537036</v>
      </c>
      <c r="D225" s="13">
        <v>42570.79582175926</v>
      </c>
      <c r="E225" s="12">
        <v>0</v>
      </c>
      <c r="F225" s="10" t="s">
        <v>34</v>
      </c>
      <c r="G225" s="10" t="s">
        <v>506</v>
      </c>
      <c r="H225" s="22">
        <v>1.7222222224518191E-2</v>
      </c>
      <c r="I225" s="12"/>
      <c r="J225" s="12"/>
      <c r="K225" s="12">
        <v>34.716666672611609</v>
      </c>
      <c r="L225" s="8" t="s">
        <v>9</v>
      </c>
      <c r="M225" s="41">
        <v>0.5</v>
      </c>
      <c r="N225" s="50" t="str">
        <f>VLOOKUP(L225,'Issue Resolution'!$A$2:$A$99,1,FALSE)</f>
        <v>Improper execution of bulletins</v>
      </c>
      <c r="O225" s="47" t="str">
        <f>RIGHT(A225,2)</f>
        <v>19</v>
      </c>
      <c r="P225" s="43" t="str">
        <f>VLOOKUP(L225,'Issue Resolution'!$A$2:$A$999,1,FALSE)</f>
        <v>Improper execution of bulletins</v>
      </c>
    </row>
    <row r="226" spans="1:16" x14ac:dyDescent="0.25">
      <c r="A226" s="23" t="s">
        <v>527</v>
      </c>
      <c r="B226" s="12">
        <v>4037</v>
      </c>
      <c r="C226" s="13">
        <v>42570.784722222219</v>
      </c>
      <c r="D226" s="13">
        <v>42570.808356481481</v>
      </c>
      <c r="E226" s="12">
        <v>1</v>
      </c>
      <c r="F226" s="10" t="s">
        <v>35</v>
      </c>
      <c r="G226" s="10" t="s">
        <v>425</v>
      </c>
      <c r="H226" s="22">
        <v>2.3634259261598345E-2</v>
      </c>
      <c r="I226" s="12"/>
      <c r="J226" s="12"/>
      <c r="K226" s="12">
        <v>45.166666674194857</v>
      </c>
      <c r="L226" s="8" t="s">
        <v>9</v>
      </c>
      <c r="M226" s="41">
        <v>0.5</v>
      </c>
      <c r="N226" s="50" t="str">
        <f>VLOOKUP(L226,'Issue Resolution'!$A$2:$A$8,1,FALSE)</f>
        <v>Improper execution of bulletins</v>
      </c>
      <c r="O226" s="47" t="str">
        <f>RIGHT(A226,2)</f>
        <v>19</v>
      </c>
      <c r="P226" s="43" t="str">
        <f>VLOOKUP(L226,'Issue Resolution'!$A$2:$A$999,1,FALSE)</f>
        <v>Improper execution of bulletins</v>
      </c>
    </row>
    <row r="227" spans="1:16" x14ac:dyDescent="0.25">
      <c r="A227" s="23" t="s">
        <v>528</v>
      </c>
      <c r="B227" s="12">
        <v>4012</v>
      </c>
      <c r="C227" s="13">
        <v>42570.787222222221</v>
      </c>
      <c r="D227" s="13">
        <v>42570.815162037034</v>
      </c>
      <c r="E227" s="12">
        <v>0</v>
      </c>
      <c r="F227" s="10" t="s">
        <v>40</v>
      </c>
      <c r="G227" s="10" t="s">
        <v>469</v>
      </c>
      <c r="H227" s="22">
        <v>2.7939814812270924E-2</v>
      </c>
      <c r="I227" s="12"/>
      <c r="J227" s="12"/>
      <c r="K227" s="12">
        <v>40.233333329670131</v>
      </c>
      <c r="L227" s="8" t="s">
        <v>9</v>
      </c>
      <c r="M227" s="41">
        <v>0.25</v>
      </c>
      <c r="N227" s="50" t="str">
        <f>VLOOKUP(L227,'Issue Resolution'!$A$2:$A$99,1,FALSE)</f>
        <v>Improper execution of bulletins</v>
      </c>
      <c r="O227" s="47" t="str">
        <f>RIGHT(A227,2)</f>
        <v>19</v>
      </c>
      <c r="P227" s="43" t="str">
        <f>VLOOKUP(L227,'Issue Resolution'!$A$2:$A$999,1,FALSE)</f>
        <v>Improper execution of bulletins</v>
      </c>
    </row>
    <row r="228" spans="1:16" x14ac:dyDescent="0.25">
      <c r="A228" s="23" t="s">
        <v>529</v>
      </c>
      <c r="B228" s="12">
        <v>4015</v>
      </c>
      <c r="C228" s="13">
        <v>42570.973645833335</v>
      </c>
      <c r="D228" s="13">
        <v>42570.990428240744</v>
      </c>
      <c r="E228" s="12">
        <v>1</v>
      </c>
      <c r="F228" s="10" t="s">
        <v>46</v>
      </c>
      <c r="G228" s="10" t="s">
        <v>432</v>
      </c>
      <c r="H228" s="22">
        <v>1.6782407408754807E-2</v>
      </c>
      <c r="I228" s="12"/>
      <c r="J228" s="12"/>
      <c r="K228" s="12">
        <v>39.249999996973202</v>
      </c>
      <c r="L228" s="8" t="s">
        <v>12</v>
      </c>
      <c r="M228" s="41">
        <v>0.91666666666666663</v>
      </c>
      <c r="N228" s="50" t="str">
        <f>VLOOKUP(L228,'Issue Resolution'!$A$2:$A$99,1,FALSE)</f>
        <v>Wi-MAX data drops</v>
      </c>
      <c r="O228" s="47" t="str">
        <f>RIGHT(A228,2)</f>
        <v>19</v>
      </c>
      <c r="P228" s="43" t="str">
        <f>VLOOKUP(L228,'Issue Resolution'!$A$2:$A$999,1,FALSE)</f>
        <v>Wi-MAX data drops</v>
      </c>
    </row>
    <row r="229" spans="1:16" x14ac:dyDescent="0.25">
      <c r="A229" s="23" t="s">
        <v>530</v>
      </c>
      <c r="B229" s="12">
        <v>4029</v>
      </c>
      <c r="C229" s="13">
        <v>42571.414039351854</v>
      </c>
      <c r="D229" s="13">
        <v>42571.437048611115</v>
      </c>
      <c r="E229" s="12">
        <v>1</v>
      </c>
      <c r="F229" s="10" t="s">
        <v>33</v>
      </c>
      <c r="G229" s="10" t="s">
        <v>490</v>
      </c>
      <c r="H229" s="22">
        <v>2.3009259261016268E-2</v>
      </c>
      <c r="I229" s="12"/>
      <c r="J229" s="12"/>
      <c r="K229" s="12">
        <v>59.98333333642222</v>
      </c>
      <c r="L229" s="8" t="s">
        <v>8</v>
      </c>
      <c r="M229" s="41">
        <v>1</v>
      </c>
      <c r="N229" s="50" t="str">
        <f>VLOOKUP(L229,'Issue Resolution'!$A$2:$A$99,1,FALSE)</f>
        <v>Inefficient dispatching</v>
      </c>
      <c r="O229" s="47" t="str">
        <f>RIGHT(A229,2)</f>
        <v>20</v>
      </c>
      <c r="P229" s="43" t="str">
        <f>VLOOKUP(L229,'Issue Resolution'!$A$2:$A$999,1,FALSE)</f>
        <v>Inefficient dispatching</v>
      </c>
    </row>
    <row r="230" spans="1:16" x14ac:dyDescent="0.25">
      <c r="A230" s="23" t="s">
        <v>531</v>
      </c>
      <c r="B230" s="12">
        <v>4009</v>
      </c>
      <c r="C230" s="13">
        <v>42571.460740740738</v>
      </c>
      <c r="D230" s="13">
        <v>42571.470046296294</v>
      </c>
      <c r="E230" s="12">
        <v>0</v>
      </c>
      <c r="F230" s="10" t="s">
        <v>45</v>
      </c>
      <c r="G230" s="10" t="s">
        <v>453</v>
      </c>
      <c r="H230" s="22">
        <v>9.3055555553291924E-3</v>
      </c>
      <c r="I230" s="12"/>
      <c r="J230" s="12"/>
      <c r="K230" s="12">
        <v>44.416666666511446</v>
      </c>
      <c r="L230" s="8" t="s">
        <v>8</v>
      </c>
      <c r="M230" s="41">
        <v>0.91666666666666663</v>
      </c>
      <c r="N230" s="50" t="str">
        <f>VLOOKUP(L230,'Issue Resolution'!$A$2:$A$99,1,FALSE)</f>
        <v>Inefficient dispatching</v>
      </c>
      <c r="O230" s="47" t="str">
        <f>RIGHT(A230,2)</f>
        <v>20</v>
      </c>
      <c r="P230" s="43" t="str">
        <f>VLOOKUP(L230,'Issue Resolution'!$A$2:$A$999,1,FALSE)</f>
        <v>Inefficient dispatching</v>
      </c>
    </row>
    <row r="231" spans="1:16" x14ac:dyDescent="0.25">
      <c r="A231" s="23" t="s">
        <v>195</v>
      </c>
      <c r="B231" s="12">
        <v>4042</v>
      </c>
      <c r="C231" s="13">
        <v>42571.4453587963</v>
      </c>
      <c r="D231" s="13">
        <v>42571.460416666669</v>
      </c>
      <c r="E231" s="12">
        <v>0</v>
      </c>
      <c r="F231" s="10" t="s">
        <v>49</v>
      </c>
      <c r="G231" s="10" t="s">
        <v>415</v>
      </c>
      <c r="H231" s="22">
        <v>1.505787036876427E-2</v>
      </c>
      <c r="I231" s="12"/>
      <c r="J231" s="12"/>
      <c r="K231" s="12">
        <v>41.699999993434176</v>
      </c>
      <c r="L231" s="8" t="s">
        <v>8</v>
      </c>
      <c r="M231" s="41">
        <v>0.91666666666666663</v>
      </c>
      <c r="N231" s="50" t="str">
        <f>VLOOKUP(L231,'Issue Resolution'!$A$2:$A$99,1,FALSE)</f>
        <v>Inefficient dispatching</v>
      </c>
      <c r="O231" s="47" t="str">
        <f>RIGHT(A231,2)</f>
        <v>20</v>
      </c>
      <c r="P231" s="43" t="str">
        <f>VLOOKUP(L231,'Issue Resolution'!$A$2:$A$999,1,FALSE)</f>
        <v>Inefficient dispatching</v>
      </c>
    </row>
    <row r="232" spans="1:16" x14ac:dyDescent="0.25">
      <c r="A232" s="23" t="s">
        <v>335</v>
      </c>
      <c r="B232" s="12">
        <v>4026</v>
      </c>
      <c r="C232" s="13">
        <v>42571.495312500003</v>
      </c>
      <c r="D232" s="13">
        <v>42571.496701388889</v>
      </c>
      <c r="E232" s="12">
        <v>1</v>
      </c>
      <c r="F232" s="10" t="s">
        <v>37</v>
      </c>
      <c r="G232" s="10" t="s">
        <v>418</v>
      </c>
      <c r="H232" s="22">
        <v>1.3888888861401938E-3</v>
      </c>
      <c r="I232" s="12"/>
      <c r="J232" s="12"/>
      <c r="K232" s="12">
        <v>1.9999999960418791</v>
      </c>
      <c r="L232" s="40" t="s">
        <v>47</v>
      </c>
      <c r="M232" s="41">
        <v>0</v>
      </c>
      <c r="N232" s="50" t="str">
        <f>VLOOKUP(L232,'Issue Resolution'!$A$2:$A$99,1,FALSE)</f>
        <v>Onboard in-route failure</v>
      </c>
      <c r="O232" s="47" t="str">
        <f>RIGHT(A232,2)</f>
        <v>20</v>
      </c>
      <c r="P232" s="43" t="str">
        <f>VLOOKUP(L232,'Issue Resolution'!$A$2:$A$999,1,FALSE)</f>
        <v>Onboard in-route failure</v>
      </c>
    </row>
    <row r="233" spans="1:16" x14ac:dyDescent="0.25">
      <c r="A233" s="23" t="s">
        <v>532</v>
      </c>
      <c r="B233" s="12">
        <v>4009</v>
      </c>
      <c r="C233" s="13">
        <v>42571.677754629629</v>
      </c>
      <c r="D233" s="13">
        <v>42571.67900462963</v>
      </c>
      <c r="E233" s="12">
        <v>1</v>
      </c>
      <c r="F233" s="10" t="s">
        <v>45</v>
      </c>
      <c r="G233" s="10" t="s">
        <v>404</v>
      </c>
      <c r="H233" s="22">
        <v>1.2500000011641532E-3</v>
      </c>
      <c r="I233" s="12"/>
      <c r="J233" s="12"/>
      <c r="K233" s="12">
        <v>26.550000003771856</v>
      </c>
      <c r="L233" s="8" t="s">
        <v>9</v>
      </c>
      <c r="M233" s="41">
        <v>0.91666666666666663</v>
      </c>
      <c r="N233" s="50" t="str">
        <f>VLOOKUP(L233,'Issue Resolution'!$A$2:$A$99,1,FALSE)</f>
        <v>Improper execution of bulletins</v>
      </c>
      <c r="O233" s="47" t="str">
        <f>RIGHT(A233,2)</f>
        <v>20</v>
      </c>
      <c r="P233" s="43" t="str">
        <f>VLOOKUP(L233,'Issue Resolution'!$A$2:$A$999,1,FALSE)</f>
        <v>Improper execution of bulletins</v>
      </c>
    </row>
    <row r="234" spans="1:16" x14ac:dyDescent="0.25">
      <c r="A234" s="23" t="s">
        <v>338</v>
      </c>
      <c r="B234" s="12">
        <v>4010</v>
      </c>
      <c r="C234" s="13">
        <v>42571.70826388889</v>
      </c>
      <c r="D234" s="13">
        <v>42571.725775462961</v>
      </c>
      <c r="E234" s="12">
        <v>1</v>
      </c>
      <c r="F234" s="10" t="s">
        <v>45</v>
      </c>
      <c r="G234" s="10" t="s">
        <v>404</v>
      </c>
      <c r="H234" s="22">
        <v>1.7511574071249925E-2</v>
      </c>
      <c r="I234" s="12"/>
      <c r="J234" s="12"/>
      <c r="K234" s="12">
        <v>25.216666662599891</v>
      </c>
      <c r="L234" s="8" t="s">
        <v>10</v>
      </c>
      <c r="M234" s="41">
        <v>1</v>
      </c>
      <c r="N234" s="50" t="str">
        <f>VLOOKUP(L234,'Issue Resolution'!$A$2:$A$99,1,FALSE)</f>
        <v>Dispatcher error preventing initialization at terminals</v>
      </c>
      <c r="O234" s="47" t="str">
        <f>RIGHT(A234,2)</f>
        <v>20</v>
      </c>
      <c r="P234" s="43" t="str">
        <f>VLOOKUP(L234,'Issue Resolution'!$A$2:$A$999,1,FALSE)</f>
        <v>Dispatcher error preventing initialization at terminals</v>
      </c>
    </row>
    <row r="235" spans="1:16" x14ac:dyDescent="0.25">
      <c r="A235" s="23" t="s">
        <v>533</v>
      </c>
      <c r="B235" s="12">
        <v>4027</v>
      </c>
      <c r="C235" s="13">
        <v>42571.689247685186</v>
      </c>
      <c r="D235" s="13">
        <v>42571.712187500001</v>
      </c>
      <c r="E235" s="12">
        <v>1</v>
      </c>
      <c r="F235" s="10" t="s">
        <v>36</v>
      </c>
      <c r="G235" s="10" t="s">
        <v>420</v>
      </c>
      <c r="H235" s="22">
        <v>2.2939814814890269E-2</v>
      </c>
      <c r="I235" s="12"/>
      <c r="J235" s="12"/>
      <c r="K235" s="12">
        <v>33.033333333441988</v>
      </c>
      <c r="L235" s="40" t="s">
        <v>47</v>
      </c>
      <c r="M235" s="41">
        <v>0.83333333333333337</v>
      </c>
      <c r="N235" s="50" t="str">
        <f>VLOOKUP(L235,'Issue Resolution'!$A$2:$A$99,1,FALSE)</f>
        <v>Onboard in-route failure</v>
      </c>
      <c r="O235" s="47" t="str">
        <f>RIGHT(A235,2)</f>
        <v>20</v>
      </c>
      <c r="P235" s="43" t="str">
        <f>VLOOKUP(L235,'Issue Resolution'!$A$2:$A$999,1,FALSE)</f>
        <v>Onboard in-route failure</v>
      </c>
    </row>
    <row r="236" spans="1:16" x14ac:dyDescent="0.25">
      <c r="A236" s="23" t="s">
        <v>534</v>
      </c>
      <c r="B236" s="12">
        <v>4028</v>
      </c>
      <c r="C236" s="13">
        <v>42571.972928240742</v>
      </c>
      <c r="D236" s="13">
        <v>42571.998541666668</v>
      </c>
      <c r="E236" s="12">
        <v>0</v>
      </c>
      <c r="F236" s="10" t="s">
        <v>36</v>
      </c>
      <c r="G236" s="10" t="s">
        <v>506</v>
      </c>
      <c r="H236" s="22">
        <v>2.5613425925257616E-2</v>
      </c>
      <c r="I236" s="12"/>
      <c r="J236" s="12"/>
      <c r="K236" s="12">
        <v>36.883333332370967</v>
      </c>
      <c r="L236" s="40" t="s">
        <v>1770</v>
      </c>
      <c r="M236" s="41">
        <v>1</v>
      </c>
      <c r="N236" s="50" t="str">
        <f>VLOOKUP(L236,'Issue Resolution'!$A$2:$A$99,1,FALSE)</f>
        <v>Operational Issue</v>
      </c>
      <c r="O236" s="47" t="str">
        <f>RIGHT(A236,2)</f>
        <v>20</v>
      </c>
      <c r="P236" s="43" t="str">
        <f>VLOOKUP(L236,'Issue Resolution'!$A$2:$A$999,1,FALSE)</f>
        <v>Operational Issue</v>
      </c>
    </row>
    <row r="237" spans="1:16" x14ac:dyDescent="0.25">
      <c r="A237" s="23" t="s">
        <v>535</v>
      </c>
      <c r="B237" s="12">
        <v>4029</v>
      </c>
      <c r="C237" s="13">
        <v>42571.950150462966</v>
      </c>
      <c r="D237" s="13">
        <v>42571.981354166666</v>
      </c>
      <c r="E237" s="12">
        <v>1</v>
      </c>
      <c r="F237" s="10" t="s">
        <v>33</v>
      </c>
      <c r="G237" s="10" t="s">
        <v>459</v>
      </c>
      <c r="H237" s="22">
        <v>3.1203703700157348E-2</v>
      </c>
      <c r="I237" s="12"/>
      <c r="J237" s="12"/>
      <c r="K237" s="12">
        <v>44.933333328226581</v>
      </c>
      <c r="L237" s="8" t="s">
        <v>12</v>
      </c>
      <c r="M237" s="41">
        <v>1</v>
      </c>
      <c r="N237" s="50" t="str">
        <f>VLOOKUP(L237,'Issue Resolution'!$A$2:$A$99,1,FALSE)</f>
        <v>Wi-MAX data drops</v>
      </c>
      <c r="O237" s="47" t="str">
        <f>RIGHT(A237,2)</f>
        <v>20</v>
      </c>
      <c r="P237" s="43" t="str">
        <f>VLOOKUP(L237,'Issue Resolution'!$A$2:$A$999,1,FALSE)</f>
        <v>Wi-MAX data drops</v>
      </c>
    </row>
    <row r="238" spans="1:16" x14ac:dyDescent="0.25">
      <c r="A238" s="23" t="s">
        <v>536</v>
      </c>
      <c r="B238" s="12">
        <v>4015</v>
      </c>
      <c r="C238" s="13">
        <v>42572.056435185186</v>
      </c>
      <c r="D238" s="13">
        <v>42572.082349537035</v>
      </c>
      <c r="E238" s="12">
        <v>0</v>
      </c>
      <c r="F238" s="10" t="s">
        <v>46</v>
      </c>
      <c r="G238" s="10" t="s">
        <v>506</v>
      </c>
      <c r="H238" s="22">
        <v>2.5914351848769002E-2</v>
      </c>
      <c r="I238" s="12"/>
      <c r="J238" s="12"/>
      <c r="K238" s="12">
        <v>37.316666662227362</v>
      </c>
      <c r="L238" s="40" t="s">
        <v>1770</v>
      </c>
      <c r="M238" s="41">
        <v>1</v>
      </c>
      <c r="N238" s="50" t="str">
        <f>VLOOKUP(L238,'Issue Resolution'!$A$2:$A$99,1,FALSE)</f>
        <v>Operational Issue</v>
      </c>
      <c r="O238" s="47" t="str">
        <f>RIGHT(A238,2)</f>
        <v>20</v>
      </c>
      <c r="P238" s="43" t="str">
        <f>VLOOKUP(L238,'Issue Resolution'!$A$2:$A$999,1,FALSE)</f>
        <v>Operational Issue</v>
      </c>
    </row>
    <row r="239" spans="1:16" x14ac:dyDescent="0.25">
      <c r="A239" s="23" t="s">
        <v>348</v>
      </c>
      <c r="B239" s="12">
        <v>4012</v>
      </c>
      <c r="C239" s="13">
        <v>42572.661041666666</v>
      </c>
      <c r="D239" s="13">
        <v>42572.688460648147</v>
      </c>
      <c r="E239" s="12">
        <v>1</v>
      </c>
      <c r="F239" s="10" t="s">
        <v>40</v>
      </c>
      <c r="G239" s="10" t="s">
        <v>473</v>
      </c>
      <c r="H239" s="22">
        <v>2.7418981480877846E-2</v>
      </c>
      <c r="I239" s="12"/>
      <c r="J239" s="12"/>
      <c r="K239" s="12">
        <v>39.483333332464099</v>
      </c>
      <c r="L239" s="40" t="s">
        <v>47</v>
      </c>
      <c r="M239" s="41">
        <v>0</v>
      </c>
      <c r="N239" s="50" t="str">
        <f>VLOOKUP(L239,'Issue Resolution'!$A$2:$A$99,1,FALSE)</f>
        <v>Onboard in-route failure</v>
      </c>
      <c r="O239" s="47" t="str">
        <f>RIGHT(A239,2)</f>
        <v>21</v>
      </c>
      <c r="P239" s="43" t="str">
        <f>VLOOKUP(L239,'Issue Resolution'!$A$2:$A$999,1,FALSE)</f>
        <v>Onboard in-route failure</v>
      </c>
    </row>
    <row r="240" spans="1:16" x14ac:dyDescent="0.25">
      <c r="A240" s="23" t="s">
        <v>340</v>
      </c>
      <c r="B240" s="12">
        <v>4009</v>
      </c>
      <c r="C240" s="13">
        <v>42572.666145833333</v>
      </c>
      <c r="D240" s="13">
        <v>42572.667615740742</v>
      </c>
      <c r="E240" s="12">
        <v>0</v>
      </c>
      <c r="F240" s="10" t="s">
        <v>45</v>
      </c>
      <c r="G240" s="10" t="s">
        <v>480</v>
      </c>
      <c r="H240" s="22">
        <v>1.4699074090458453E-3</v>
      </c>
      <c r="I240" s="12"/>
      <c r="J240" s="12"/>
      <c r="K240" s="12">
        <v>2.1166666690260172</v>
      </c>
      <c r="L240" s="40" t="s">
        <v>47</v>
      </c>
      <c r="M240" s="41">
        <v>0</v>
      </c>
      <c r="N240" s="50" t="str">
        <f>VLOOKUP(L240,'Issue Resolution'!$A$2:$A$99,1,FALSE)</f>
        <v>Onboard in-route failure</v>
      </c>
      <c r="O240" s="47" t="str">
        <f>RIGHT(A240,2)</f>
        <v>21</v>
      </c>
      <c r="P240" s="43" t="str">
        <f>VLOOKUP(L240,'Issue Resolution'!$A$2:$A$999,1,FALSE)</f>
        <v>Onboard in-route failure</v>
      </c>
    </row>
    <row r="241" spans="1:16" x14ac:dyDescent="0.25">
      <c r="A241" s="23" t="s">
        <v>345</v>
      </c>
      <c r="B241" s="12">
        <v>4026</v>
      </c>
      <c r="C241" s="13">
        <v>42572.789201388892</v>
      </c>
      <c r="D241" s="13">
        <v>42572.809953703705</v>
      </c>
      <c r="E241" s="12">
        <v>1</v>
      </c>
      <c r="F241" s="10" t="s">
        <v>37</v>
      </c>
      <c r="G241" s="10" t="s">
        <v>506</v>
      </c>
      <c r="H241" s="22">
        <v>2.0752314812853001E-2</v>
      </c>
      <c r="I241" s="12"/>
      <c r="J241" s="12"/>
      <c r="K241" s="12">
        <v>29.883333330508322</v>
      </c>
      <c r="L241" s="35" t="s">
        <v>1767</v>
      </c>
      <c r="M241" s="41">
        <v>0.25</v>
      </c>
      <c r="N241" s="50" t="e">
        <f>VLOOKUP(L241,'Issue Resolution'!$A$2:$A$9,1,FALSE)</f>
        <v>#N/A</v>
      </c>
      <c r="O241" s="47" t="str">
        <f>RIGHT(A241,2)</f>
        <v>21</v>
      </c>
      <c r="P241" s="43" t="str">
        <f>VLOOKUP(L241,'Issue Resolution'!$A$2:$A$999,1,FALSE)</f>
        <v>Signaling system failures</v>
      </c>
    </row>
    <row r="242" spans="1:16" x14ac:dyDescent="0.25">
      <c r="A242" s="23" t="s">
        <v>196</v>
      </c>
      <c r="B242" s="12">
        <v>4010</v>
      </c>
      <c r="C242" s="13">
        <v>42572.808368055557</v>
      </c>
      <c r="D242" s="13">
        <v>42572.811192129629</v>
      </c>
      <c r="E242" s="12">
        <v>1</v>
      </c>
      <c r="F242" s="10" t="s">
        <v>45</v>
      </c>
      <c r="G242" s="10" t="s">
        <v>480</v>
      </c>
      <c r="H242" s="22">
        <v>2.8240740721230395E-3</v>
      </c>
      <c r="I242" s="12"/>
      <c r="J242" s="12"/>
      <c r="K242" s="12">
        <v>4.0666666638571769</v>
      </c>
      <c r="L242" s="40" t="s">
        <v>47</v>
      </c>
      <c r="M242" s="41">
        <v>0</v>
      </c>
      <c r="N242" s="50" t="str">
        <f>VLOOKUP(L242,'Issue Resolution'!$A$2:$A$8,1,FALSE)</f>
        <v>Onboard in-route failure</v>
      </c>
      <c r="O242" s="47" t="str">
        <f>RIGHT(A242,2)</f>
        <v>21</v>
      </c>
      <c r="P242" s="43" t="str">
        <f>VLOOKUP(L242,'Issue Resolution'!$A$2:$A$999,1,FALSE)</f>
        <v>Onboard in-route failure</v>
      </c>
    </row>
    <row r="243" spans="1:16" x14ac:dyDescent="0.25">
      <c r="A243" s="23" t="s">
        <v>537</v>
      </c>
      <c r="B243" s="12">
        <v>4039</v>
      </c>
      <c r="C243" s="13">
        <v>42572.806851851848</v>
      </c>
      <c r="D243" s="13">
        <v>42572.827546296299</v>
      </c>
      <c r="E243" s="12">
        <v>0</v>
      </c>
      <c r="F243" s="10" t="s">
        <v>44</v>
      </c>
      <c r="G243" s="10" t="s">
        <v>538</v>
      </c>
      <c r="H243" s="22">
        <v>2.0694444450782612E-2</v>
      </c>
      <c r="I243" s="12"/>
      <c r="J243" s="12"/>
      <c r="K243" s="12">
        <v>46.050000004470348</v>
      </c>
      <c r="L243" s="35" t="s">
        <v>1767</v>
      </c>
      <c r="M243" s="41">
        <v>1</v>
      </c>
      <c r="N243" s="50" t="e">
        <f>VLOOKUP(L243,'Issue Resolution'!$A$2:$A$9,1,FALSE)</f>
        <v>#N/A</v>
      </c>
      <c r="O243" s="47" t="str">
        <f>RIGHT(A243,2)</f>
        <v>21</v>
      </c>
      <c r="P243" s="43" t="str">
        <f>VLOOKUP(L243,'Issue Resolution'!$A$2:$A$999,1,FALSE)</f>
        <v>Signaling system failures</v>
      </c>
    </row>
    <row r="244" spans="1:16" x14ac:dyDescent="0.25">
      <c r="A244" s="23" t="s">
        <v>539</v>
      </c>
      <c r="B244" s="12">
        <v>4040</v>
      </c>
      <c r="C244" s="13">
        <v>42573.400393518517</v>
      </c>
      <c r="D244" s="13">
        <v>42573.402881944443</v>
      </c>
      <c r="E244" s="12">
        <v>2</v>
      </c>
      <c r="F244" s="10" t="s">
        <v>44</v>
      </c>
      <c r="G244" s="10" t="s">
        <v>396</v>
      </c>
      <c r="H244" s="22">
        <v>2.488425925548654E-3</v>
      </c>
      <c r="I244" s="12"/>
      <c r="J244" s="12"/>
      <c r="K244" s="12">
        <v>40.883333324454725</v>
      </c>
      <c r="L244" s="8" t="s">
        <v>47</v>
      </c>
      <c r="M244" s="41">
        <v>0.75</v>
      </c>
      <c r="N244" s="50" t="str">
        <f>VLOOKUP(L244,'Issue Resolution'!$A$2:$A$9,1,FALSE)</f>
        <v>Onboard in-route failure</v>
      </c>
      <c r="O244" s="47" t="str">
        <f>RIGHT(A244,2)</f>
        <v>22</v>
      </c>
      <c r="P244" s="43" t="str">
        <f>VLOOKUP(L244,'Issue Resolution'!$A$2:$A$999,1,FALSE)</f>
        <v>Onboard in-route failure</v>
      </c>
    </row>
    <row r="245" spans="1:16" x14ac:dyDescent="0.25">
      <c r="A245" s="23" t="s">
        <v>540</v>
      </c>
      <c r="B245" s="12">
        <v>4016</v>
      </c>
      <c r="C245" s="13">
        <v>42573.763298611113</v>
      </c>
      <c r="D245" s="13">
        <v>42573.76390046296</v>
      </c>
      <c r="E245" s="12">
        <v>1</v>
      </c>
      <c r="F245" s="10" t="s">
        <v>46</v>
      </c>
      <c r="G245" s="10" t="s">
        <v>432</v>
      </c>
      <c r="H245" s="22">
        <v>6.0185184702277184E-4</v>
      </c>
      <c r="I245" s="12"/>
      <c r="J245" s="12"/>
      <c r="K245" s="12">
        <v>38.449999988079071</v>
      </c>
      <c r="L245" s="33" t="s">
        <v>386</v>
      </c>
      <c r="M245" s="41">
        <v>1</v>
      </c>
      <c r="N245" s="50" t="e">
        <f>VLOOKUP(L245,'Issue Resolution'!$A$2:$A$9,1,FALSE)</f>
        <v>#N/A</v>
      </c>
      <c r="O245" s="47" t="str">
        <f>RIGHT(A245,2)</f>
        <v>22</v>
      </c>
      <c r="P245" s="43" t="str">
        <f>VLOOKUP(L245,'Issue Resolution'!$A$2:$A$999,1,FALSE)</f>
        <v>Operational Issue</v>
      </c>
    </row>
    <row r="246" spans="1:16" x14ac:dyDescent="0.25">
      <c r="A246" s="10" t="s">
        <v>541</v>
      </c>
      <c r="B246" s="12">
        <v>4041</v>
      </c>
      <c r="C246" s="13">
        <v>42573.969282407408</v>
      </c>
      <c r="D246" s="13">
        <v>42573.995428240742</v>
      </c>
      <c r="E246" s="12">
        <v>0</v>
      </c>
      <c r="F246" s="10" t="s">
        <v>49</v>
      </c>
      <c r="G246" s="10" t="s">
        <v>459</v>
      </c>
      <c r="H246" s="22">
        <v>2.6145833333430346E-2</v>
      </c>
      <c r="I246" s="12"/>
      <c r="J246" s="12"/>
      <c r="K246" s="12">
        <v>37.650000000139698</v>
      </c>
      <c r="L246" s="40" t="s">
        <v>47</v>
      </c>
      <c r="M246" s="41">
        <v>0</v>
      </c>
      <c r="N246" s="50" t="str">
        <f>VLOOKUP(L246,'Issue Resolution'!$A$2:$A$8,1,FALSE)</f>
        <v>Onboard in-route failure</v>
      </c>
      <c r="O246" s="47" t="str">
        <f>RIGHT(A246,2)</f>
        <v>22</v>
      </c>
      <c r="P246" s="43" t="str">
        <f>VLOOKUP(L246,'Issue Resolution'!$A$2:$A$999,1,FALSE)</f>
        <v>Onboard in-route failure</v>
      </c>
    </row>
    <row r="247" spans="1:16" x14ac:dyDescent="0.25">
      <c r="A247" s="23" t="s">
        <v>542</v>
      </c>
      <c r="B247" s="12">
        <v>4040</v>
      </c>
      <c r="C247" s="13">
        <v>42574.361342592594</v>
      </c>
      <c r="D247" s="13">
        <v>42574.382650462961</v>
      </c>
      <c r="E247" s="12">
        <v>1</v>
      </c>
      <c r="F247" s="10" t="s">
        <v>44</v>
      </c>
      <c r="G247" s="10" t="s">
        <v>428</v>
      </c>
      <c r="H247" s="22">
        <v>2.1307870367309079E-2</v>
      </c>
      <c r="I247" s="12"/>
      <c r="J247" s="12"/>
      <c r="K247" s="12">
        <v>30.683333328925073</v>
      </c>
      <c r="L247" s="40" t="s">
        <v>1770</v>
      </c>
      <c r="M247" s="41">
        <v>1</v>
      </c>
      <c r="N247" s="50" t="e">
        <f>VLOOKUP(L247,'Issue Resolution'!$A$2:$A$8,1,FALSE)</f>
        <v>#N/A</v>
      </c>
      <c r="O247" s="47" t="str">
        <f>RIGHT(A247,2)</f>
        <v>23</v>
      </c>
      <c r="P247" s="43" t="str">
        <f>VLOOKUP(L247,'Issue Resolution'!$A$2:$A$999,1,FALSE)</f>
        <v>Operational Issue</v>
      </c>
    </row>
    <row r="248" spans="1:16" x14ac:dyDescent="0.25">
      <c r="A248" s="23" t="s">
        <v>544</v>
      </c>
      <c r="B248" s="12">
        <v>4013</v>
      </c>
      <c r="C248" s="13">
        <v>42574.467395833337</v>
      </c>
      <c r="D248" s="13">
        <v>42574.483229166668</v>
      </c>
      <c r="E248" s="12">
        <v>0</v>
      </c>
      <c r="F248" s="10" t="s">
        <v>39</v>
      </c>
      <c r="G248" s="10" t="s">
        <v>490</v>
      </c>
      <c r="H248" s="22">
        <v>1.583333333110204E-2</v>
      </c>
      <c r="I248" s="12"/>
      <c r="J248" s="12"/>
      <c r="K248" s="12">
        <v>22.799999996786937</v>
      </c>
      <c r="L248" s="40" t="s">
        <v>47</v>
      </c>
      <c r="M248" s="41">
        <v>1</v>
      </c>
      <c r="N248" s="50" t="str">
        <f>VLOOKUP(L248,'Issue Resolution'!$A$2:$A$9,1,FALSE)</f>
        <v>Onboard in-route failure</v>
      </c>
      <c r="O248" s="47" t="str">
        <f>RIGHT(A248,2)</f>
        <v>23</v>
      </c>
      <c r="P248" s="43" t="str">
        <f>VLOOKUP(L248,'Issue Resolution'!$A$2:$A$999,1,FALSE)</f>
        <v>Onboard in-route failure</v>
      </c>
    </row>
    <row r="249" spans="1:16" x14ac:dyDescent="0.25">
      <c r="A249" s="10" t="s">
        <v>545</v>
      </c>
      <c r="B249" s="12">
        <v>4029</v>
      </c>
      <c r="C249" s="13">
        <v>42574.664386574077</v>
      </c>
      <c r="D249" s="13">
        <v>42574.688055555554</v>
      </c>
      <c r="E249" s="12">
        <v>1</v>
      </c>
      <c r="F249" s="10" t="s">
        <v>33</v>
      </c>
      <c r="G249" s="10" t="s">
        <v>480</v>
      </c>
      <c r="H249" s="22">
        <v>2.3668981477385387E-2</v>
      </c>
      <c r="I249" s="12"/>
      <c r="J249" s="12"/>
      <c r="K249" s="12">
        <v>34.083333327434957</v>
      </c>
      <c r="L249" s="8" t="s">
        <v>12</v>
      </c>
      <c r="M249" s="41">
        <v>1</v>
      </c>
      <c r="N249" s="50" t="str">
        <f>VLOOKUP(L249,'Issue Resolution'!$A$2:$A$8,1,FALSE)</f>
        <v>Wi-MAX data drops</v>
      </c>
      <c r="O249" s="47" t="str">
        <f>RIGHT(A249,2)</f>
        <v>23</v>
      </c>
      <c r="P249" s="43" t="str">
        <f>VLOOKUP(L249,'Issue Resolution'!$A$2:$A$999,1,FALSE)</f>
        <v>Wi-MAX data drops</v>
      </c>
    </row>
    <row r="250" spans="1:16" x14ac:dyDescent="0.25">
      <c r="A250" s="10" t="s">
        <v>546</v>
      </c>
      <c r="B250" s="12">
        <v>4027</v>
      </c>
      <c r="C250" s="13">
        <v>42574.720185185186</v>
      </c>
      <c r="D250" s="13">
        <v>42574.743425925924</v>
      </c>
      <c r="E250" s="12">
        <v>0</v>
      </c>
      <c r="F250" s="10" t="s">
        <v>36</v>
      </c>
      <c r="G250" s="10" t="s">
        <v>425</v>
      </c>
      <c r="H250" s="22">
        <v>2.3240740738401655E-2</v>
      </c>
      <c r="I250" s="12"/>
      <c r="J250" s="12"/>
      <c r="K250" s="12">
        <v>33.516666664509103</v>
      </c>
      <c r="L250" s="33" t="s">
        <v>386</v>
      </c>
      <c r="M250" s="41">
        <v>1</v>
      </c>
      <c r="N250" s="50" t="e">
        <f>VLOOKUP(L250,'Issue Resolution'!$A$2:$A$9,1,FALSE)</f>
        <v>#N/A</v>
      </c>
      <c r="O250" s="47" t="str">
        <f>RIGHT(A250,2)</f>
        <v>23</v>
      </c>
      <c r="P250" s="43" t="str">
        <f>VLOOKUP(L250,'Issue Resolution'!$A$2:$A$999,1,FALSE)</f>
        <v>Operational Issue</v>
      </c>
    </row>
    <row r="251" spans="1:16" x14ac:dyDescent="0.25">
      <c r="A251" s="10" t="s">
        <v>201</v>
      </c>
      <c r="B251" s="12">
        <v>4017</v>
      </c>
      <c r="C251" s="13">
        <v>42574.890555555554</v>
      </c>
      <c r="D251" s="13">
        <v>42574.921226851853</v>
      </c>
      <c r="E251" s="12">
        <v>0</v>
      </c>
      <c r="F251" s="10" t="s">
        <v>41</v>
      </c>
      <c r="G251" s="10" t="s">
        <v>440</v>
      </c>
      <c r="H251" s="22">
        <v>3.0671296299260575E-2</v>
      </c>
      <c r="I251" s="12"/>
      <c r="J251" s="12"/>
      <c r="K251" s="12">
        <v>44.166666670935228</v>
      </c>
      <c r="L251" s="33" t="s">
        <v>386</v>
      </c>
      <c r="M251" s="41">
        <v>1</v>
      </c>
      <c r="N251" s="50" t="e">
        <f>VLOOKUP(L251,'Issue Resolution'!$A$2:$A$8,1,FALSE)</f>
        <v>#N/A</v>
      </c>
      <c r="O251" s="47" t="str">
        <f>RIGHT(A251,2)</f>
        <v>23</v>
      </c>
      <c r="P251" s="43" t="str">
        <f>VLOOKUP(L251,'Issue Resolution'!$A$2:$A$999,1,FALSE)</f>
        <v>Operational Issue</v>
      </c>
    </row>
    <row r="252" spans="1:16" x14ac:dyDescent="0.25">
      <c r="A252" s="23" t="s">
        <v>547</v>
      </c>
      <c r="B252" s="12">
        <v>4009</v>
      </c>
      <c r="C252" s="13">
        <v>42574.921793981484</v>
      </c>
      <c r="D252" s="13">
        <v>42574.945868055554</v>
      </c>
      <c r="E252" s="12">
        <v>0</v>
      </c>
      <c r="F252" s="10" t="s">
        <v>45</v>
      </c>
      <c r="G252" s="10" t="s">
        <v>411</v>
      </c>
      <c r="H252" s="22">
        <v>2.4074074070085771E-2</v>
      </c>
      <c r="I252" s="12"/>
      <c r="J252" s="12"/>
      <c r="K252" s="12">
        <v>52.58333332487382</v>
      </c>
      <c r="L252" s="8" t="s">
        <v>8</v>
      </c>
      <c r="M252" s="41">
        <v>1</v>
      </c>
      <c r="N252" s="50" t="str">
        <f>VLOOKUP(L252,'Issue Resolution'!$A$2:$A$99,1,FALSE)</f>
        <v>Inefficient dispatching</v>
      </c>
      <c r="O252" s="47" t="str">
        <f>RIGHT(A252,2)</f>
        <v>23</v>
      </c>
      <c r="P252" s="43" t="str">
        <f>VLOOKUP(L252,'Issue Resolution'!$A$2:$A$999,1,FALSE)</f>
        <v>Inefficient dispatching</v>
      </c>
    </row>
    <row r="253" spans="1:16" x14ac:dyDescent="0.25">
      <c r="A253" s="23" t="s">
        <v>548</v>
      </c>
      <c r="B253" s="12">
        <v>4040</v>
      </c>
      <c r="C253" s="13">
        <v>42575.25644675926</v>
      </c>
      <c r="D253" s="13">
        <v>42575.28328703704</v>
      </c>
      <c r="E253" s="12">
        <v>0</v>
      </c>
      <c r="F253" s="10" t="s">
        <v>44</v>
      </c>
      <c r="G253" s="10" t="s">
        <v>428</v>
      </c>
      <c r="H253" s="22">
        <v>2.6840277780138422E-2</v>
      </c>
      <c r="I253" s="12"/>
      <c r="J253" s="12"/>
      <c r="K253" s="12">
        <v>43.000000003958121</v>
      </c>
      <c r="L253" s="8" t="s">
        <v>8</v>
      </c>
      <c r="M253" s="41">
        <v>1</v>
      </c>
      <c r="N253" s="50" t="str">
        <f>VLOOKUP(L253,'Issue Resolution'!$A$2:$A$9,1,FALSE)</f>
        <v>Inefficient dispatching</v>
      </c>
      <c r="O253" s="47" t="str">
        <f>RIGHT(A253,2)</f>
        <v>24</v>
      </c>
      <c r="P253" s="43" t="str">
        <f>VLOOKUP(L253,'Issue Resolution'!$A$2:$A$999,1,FALSE)</f>
        <v>Inefficient dispatching</v>
      </c>
    </row>
    <row r="254" spans="1:16" x14ac:dyDescent="0.25">
      <c r="A254" s="23" t="s">
        <v>204</v>
      </c>
      <c r="B254" s="12">
        <v>4013</v>
      </c>
      <c r="C254" s="13">
        <v>42575.297268518516</v>
      </c>
      <c r="D254" s="13">
        <v>42575.326562499999</v>
      </c>
      <c r="E254" s="12">
        <v>0</v>
      </c>
      <c r="F254" s="10" t="s">
        <v>39</v>
      </c>
      <c r="G254" s="10" t="e">
        <v>#N/A</v>
      </c>
      <c r="H254" s="22">
        <v>2.9293981482624076E-2</v>
      </c>
      <c r="I254" s="12"/>
      <c r="J254" s="12"/>
      <c r="K254" s="12">
        <v>42.18333333497867</v>
      </c>
      <c r="L254" s="33" t="s">
        <v>386</v>
      </c>
      <c r="M254" s="41">
        <v>0</v>
      </c>
      <c r="N254" s="50" t="e">
        <f>VLOOKUP(L254,'Issue Resolution'!$A$2:$A$9,1,FALSE)</f>
        <v>#N/A</v>
      </c>
      <c r="O254" s="47" t="str">
        <f>RIGHT(A254,2)</f>
        <v>24</v>
      </c>
      <c r="P254" s="43" t="str">
        <f>VLOOKUP(L254,'Issue Resolution'!$A$2:$A$999,1,FALSE)</f>
        <v>Operational Issue</v>
      </c>
    </row>
    <row r="255" spans="1:16" x14ac:dyDescent="0.25">
      <c r="A255" s="23" t="s">
        <v>549</v>
      </c>
      <c r="B255" s="12">
        <v>4038</v>
      </c>
      <c r="C255" s="13">
        <v>42576.141296296293</v>
      </c>
      <c r="D255" s="13">
        <v>42576.164849537039</v>
      </c>
      <c r="E255" s="12">
        <v>0</v>
      </c>
      <c r="F255" s="10" t="s">
        <v>35</v>
      </c>
      <c r="G255" s="10" t="s">
        <v>459</v>
      </c>
      <c r="H255" s="22">
        <v>2.3553240745968651E-2</v>
      </c>
      <c r="I255" s="12"/>
      <c r="J255" s="12"/>
      <c r="K255" s="12">
        <v>33.916666674194857</v>
      </c>
      <c r="L255" s="33" t="s">
        <v>386</v>
      </c>
      <c r="M255" s="41">
        <v>1</v>
      </c>
      <c r="N255" s="50" t="e">
        <f>VLOOKUP(L255,'Issue Resolution'!$A$2:$A$9,1,FALSE)</f>
        <v>#N/A</v>
      </c>
      <c r="O255" s="47" t="str">
        <f>RIGHT(A255,2)</f>
        <v>25</v>
      </c>
      <c r="P255" s="43" t="str">
        <f>VLOOKUP(L255,'Issue Resolution'!$A$2:$A$999,1,FALSE)</f>
        <v>Operational Issue</v>
      </c>
    </row>
    <row r="256" spans="1:16" x14ac:dyDescent="0.25">
      <c r="A256" s="23" t="s">
        <v>207</v>
      </c>
      <c r="B256" s="12">
        <v>4030</v>
      </c>
      <c r="C256" s="13">
        <v>42576.229074074072</v>
      </c>
      <c r="D256" s="13">
        <v>42576.255706018521</v>
      </c>
      <c r="E256" s="12">
        <v>1</v>
      </c>
      <c r="F256" s="10" t="s">
        <v>33</v>
      </c>
      <c r="G256" s="10" t="s">
        <v>418</v>
      </c>
      <c r="H256" s="22">
        <v>2.6631944449036382E-2</v>
      </c>
      <c r="I256" s="12"/>
      <c r="J256" s="12"/>
      <c r="K256" s="12">
        <v>38.35000000661239</v>
      </c>
      <c r="L256" s="33" t="s">
        <v>386</v>
      </c>
      <c r="M256" s="41">
        <v>1</v>
      </c>
      <c r="N256" s="50" t="e">
        <f>VLOOKUP(L256,'Issue Resolution'!$A$2:$A$9,1,FALSE)</f>
        <v>#N/A</v>
      </c>
      <c r="O256" s="47" t="str">
        <f>RIGHT(A256,2)</f>
        <v>25</v>
      </c>
      <c r="P256" s="43" t="str">
        <f>VLOOKUP(L256,'Issue Resolution'!$A$2:$A$999,1,FALSE)</f>
        <v>Operational Issue</v>
      </c>
    </row>
    <row r="257" spans="1:16" x14ac:dyDescent="0.25">
      <c r="A257" s="23" t="s">
        <v>550</v>
      </c>
      <c r="B257" s="12">
        <v>4019</v>
      </c>
      <c r="C257" s="13">
        <v>42576.28460648148</v>
      </c>
      <c r="D257" s="13">
        <v>42576.296249999999</v>
      </c>
      <c r="E257" s="12">
        <v>0</v>
      </c>
      <c r="F257" s="10" t="s">
        <v>32</v>
      </c>
      <c r="G257" s="10" t="s">
        <v>551</v>
      </c>
      <c r="H257" s="22">
        <v>1.1643518519122154E-2</v>
      </c>
      <c r="I257" s="12"/>
      <c r="J257" s="12"/>
      <c r="K257" s="12">
        <v>16.766666667535901</v>
      </c>
      <c r="L257" s="8" t="s">
        <v>10</v>
      </c>
      <c r="M257" s="41">
        <v>0</v>
      </c>
      <c r="N257" s="50" t="str">
        <f>VLOOKUP(L257,'Issue Resolution'!$A$2:$A$8,1,FALSE)</f>
        <v>Dispatcher error preventing initialization at terminals</v>
      </c>
      <c r="O257" s="47" t="str">
        <f>RIGHT(A257,2)</f>
        <v>25</v>
      </c>
      <c r="P257" s="43" t="str">
        <f>VLOOKUP(L257,'Issue Resolution'!$A$2:$A$999,1,FALSE)</f>
        <v>Dispatcher error preventing initialization at terminals</v>
      </c>
    </row>
    <row r="258" spans="1:16" x14ac:dyDescent="0.25">
      <c r="A258" s="23" t="s">
        <v>247</v>
      </c>
      <c r="B258" s="12">
        <v>4037</v>
      </c>
      <c r="C258" s="13">
        <v>42576.401666666665</v>
      </c>
      <c r="D258" s="13">
        <v>42576.405277777776</v>
      </c>
      <c r="E258" s="12">
        <v>0</v>
      </c>
      <c r="F258" s="10" t="s">
        <v>35</v>
      </c>
      <c r="G258" s="10" t="s">
        <v>415</v>
      </c>
      <c r="H258" s="22">
        <v>3.6111111112404615E-3</v>
      </c>
      <c r="I258" s="12"/>
      <c r="J258" s="12"/>
      <c r="K258" s="12">
        <v>5.2000000001862645</v>
      </c>
      <c r="L258" s="40" t="s">
        <v>47</v>
      </c>
      <c r="M258" s="41">
        <v>0</v>
      </c>
      <c r="N258" s="50" t="str">
        <f>VLOOKUP(L258,'Issue Resolution'!$A$2:$A$9,1,FALSE)</f>
        <v>Onboard in-route failure</v>
      </c>
      <c r="O258" s="47" t="str">
        <f>RIGHT(A258,2)</f>
        <v>25</v>
      </c>
      <c r="P258" s="43" t="str">
        <f>VLOOKUP(L258,'Issue Resolution'!$A$2:$A$999,1,FALSE)</f>
        <v>Onboard in-route failure</v>
      </c>
    </row>
    <row r="259" spans="1:16" x14ac:dyDescent="0.25">
      <c r="A259" s="23" t="s">
        <v>56</v>
      </c>
      <c r="B259" s="12">
        <v>4019</v>
      </c>
      <c r="C259" s="13">
        <v>42576.524351851855</v>
      </c>
      <c r="D259" s="13">
        <v>42576.525648148148</v>
      </c>
      <c r="E259" s="12">
        <v>0</v>
      </c>
      <c r="F259" s="10" t="s">
        <v>32</v>
      </c>
      <c r="G259" s="10" t="s">
        <v>552</v>
      </c>
      <c r="H259" s="22">
        <v>1.2962962937308475E-3</v>
      </c>
      <c r="I259" s="12"/>
      <c r="J259" s="12"/>
      <c r="K259" s="12">
        <v>4.9999999953433871</v>
      </c>
      <c r="L259" s="40" t="s">
        <v>47</v>
      </c>
      <c r="M259" s="41">
        <v>0</v>
      </c>
      <c r="N259" s="50" t="str">
        <f>VLOOKUP(L259,'Issue Resolution'!$A$2:$A$9,1,FALSE)</f>
        <v>Onboard in-route failure</v>
      </c>
      <c r="O259" s="47" t="str">
        <f>RIGHT(A259,2)</f>
        <v>25</v>
      </c>
      <c r="P259" s="43" t="str">
        <f>VLOOKUP(L259,'Issue Resolution'!$A$2:$A$999,1,FALSE)</f>
        <v>Onboard in-route failure</v>
      </c>
    </row>
    <row r="260" spans="1:16" x14ac:dyDescent="0.25">
      <c r="A260" s="23" t="s">
        <v>553</v>
      </c>
      <c r="B260" s="12">
        <v>4038</v>
      </c>
      <c r="C260" s="13">
        <v>42576.582511574074</v>
      </c>
      <c r="D260" s="13">
        <v>42576.605590277781</v>
      </c>
      <c r="E260" s="12">
        <v>1</v>
      </c>
      <c r="F260" s="10" t="s">
        <v>35</v>
      </c>
      <c r="G260" s="10" t="s">
        <v>552</v>
      </c>
      <c r="H260" s="22">
        <v>2.3078703707142267E-2</v>
      </c>
      <c r="I260" s="12"/>
      <c r="J260" s="12"/>
      <c r="K260" s="12">
        <v>33.233333338284865</v>
      </c>
      <c r="L260" s="40" t="s">
        <v>1770</v>
      </c>
      <c r="M260" s="41">
        <v>1</v>
      </c>
      <c r="N260" s="50" t="str">
        <f>VLOOKUP(L260,'Issue Resolution'!$A$2:$A$99,1,FALSE)</f>
        <v>Operational Issue</v>
      </c>
      <c r="O260" s="47" t="str">
        <f>RIGHT(A260,2)</f>
        <v>25</v>
      </c>
      <c r="P260" s="43" t="str">
        <f>VLOOKUP(L260,'Issue Resolution'!$A$2:$A$999,1,FALSE)</f>
        <v>Operational Issue</v>
      </c>
    </row>
    <row r="261" spans="1:16" x14ac:dyDescent="0.25">
      <c r="A261" s="23" t="s">
        <v>554</v>
      </c>
      <c r="B261" s="12">
        <v>4010</v>
      </c>
      <c r="C261" s="13">
        <v>42576.782939814817</v>
      </c>
      <c r="D261" s="13">
        <v>42576.789594907408</v>
      </c>
      <c r="E261" s="12">
        <v>1</v>
      </c>
      <c r="F261" s="10" t="s">
        <v>45</v>
      </c>
      <c r="G261" s="10" t="s">
        <v>404</v>
      </c>
      <c r="H261" s="22">
        <v>6.655092591245193E-3</v>
      </c>
      <c r="I261" s="12"/>
      <c r="J261" s="12"/>
      <c r="K261" s="12">
        <v>9.583333331393078</v>
      </c>
      <c r="L261" s="40" t="s">
        <v>47</v>
      </c>
      <c r="M261" s="41">
        <v>1</v>
      </c>
      <c r="N261" s="50" t="str">
        <f>VLOOKUP(L261,'Issue Resolution'!$A$2:$A$99,1,FALSE)</f>
        <v>Onboard in-route failure</v>
      </c>
      <c r="O261" s="47" t="str">
        <f>RIGHT(A261,2)</f>
        <v>25</v>
      </c>
      <c r="P261" s="43" t="str">
        <f>VLOOKUP(L261,'Issue Resolution'!$A$2:$A$999,1,FALSE)</f>
        <v>Onboard in-route failure</v>
      </c>
    </row>
    <row r="262" spans="1:16" x14ac:dyDescent="0.25">
      <c r="A262" s="10" t="s">
        <v>555</v>
      </c>
      <c r="B262" s="12">
        <v>4041</v>
      </c>
      <c r="C262" s="13">
        <v>42576.508425925924</v>
      </c>
      <c r="D262" s="13">
        <v>42576.51866898148</v>
      </c>
      <c r="E262" s="12">
        <v>2</v>
      </c>
      <c r="F262" s="10" t="s">
        <v>49</v>
      </c>
      <c r="G262" s="10" t="s">
        <v>413</v>
      </c>
      <c r="H262" s="22">
        <v>1.0243055556202307E-2</v>
      </c>
      <c r="I262" s="12"/>
      <c r="J262" s="12"/>
      <c r="K262" s="12">
        <v>14.750000000931323</v>
      </c>
      <c r="L262" s="8" t="s">
        <v>12</v>
      </c>
      <c r="M262" s="41">
        <v>0</v>
      </c>
      <c r="N262" s="50" t="str">
        <f>VLOOKUP(L262,'Issue Resolution'!$A$2:$A$99,1,FALSE)</f>
        <v>Wi-MAX data drops</v>
      </c>
      <c r="O262" s="47" t="str">
        <f>RIGHT(A262,2)</f>
        <v>25</v>
      </c>
      <c r="P262" s="43" t="str">
        <f>VLOOKUP(L262,'Issue Resolution'!$A$2:$A$999,1,FALSE)</f>
        <v>Wi-MAX data drops</v>
      </c>
    </row>
    <row r="263" spans="1:16" x14ac:dyDescent="0.25">
      <c r="A263" s="10" t="s">
        <v>556</v>
      </c>
      <c r="B263" s="12">
        <v>4031</v>
      </c>
      <c r="C263" s="13">
        <v>42576.873530092591</v>
      </c>
      <c r="D263" s="13">
        <v>42576.876736111109</v>
      </c>
      <c r="E263" s="12">
        <v>2</v>
      </c>
      <c r="F263" s="10" t="s">
        <v>38</v>
      </c>
      <c r="G263" s="10" t="s">
        <v>450</v>
      </c>
      <c r="H263" s="22">
        <v>3.2060185185400769E-3</v>
      </c>
      <c r="I263" s="12"/>
      <c r="J263" s="12"/>
      <c r="K263" s="12">
        <v>4.6166666666977108</v>
      </c>
      <c r="L263" s="8" t="s">
        <v>12</v>
      </c>
      <c r="M263" s="41">
        <v>0</v>
      </c>
      <c r="N263" s="50" t="str">
        <f>VLOOKUP(L263,'Issue Resolution'!$A$2:$A$99,1,FALSE)</f>
        <v>Wi-MAX data drops</v>
      </c>
      <c r="O263" s="47" t="str">
        <f>RIGHT(A263,2)</f>
        <v>25</v>
      </c>
      <c r="P263" s="43" t="str">
        <f>VLOOKUP(L263,'Issue Resolution'!$A$2:$A$999,1,FALSE)</f>
        <v>Wi-MAX data drops</v>
      </c>
    </row>
    <row r="264" spans="1:16" x14ac:dyDescent="0.25">
      <c r="A264" s="23" t="s">
        <v>358</v>
      </c>
      <c r="B264" s="12">
        <v>4019</v>
      </c>
      <c r="C264" s="13">
        <v>42577.26421296296</v>
      </c>
      <c r="D264" s="13">
        <v>42577.293599537035</v>
      </c>
      <c r="E264" s="12">
        <v>1</v>
      </c>
      <c r="F264" s="10" t="s">
        <v>32</v>
      </c>
      <c r="G264" s="10" t="s">
        <v>551</v>
      </c>
      <c r="H264" s="22">
        <v>2.9386574075033423E-2</v>
      </c>
      <c r="I264" s="12"/>
      <c r="J264" s="12"/>
      <c r="K264" s="12">
        <v>42.316666668048128</v>
      </c>
      <c r="L264" s="8" t="s">
        <v>12</v>
      </c>
      <c r="M264" s="41">
        <v>1</v>
      </c>
      <c r="N264" s="50" t="str">
        <f>VLOOKUP(L264,'Issue Resolution'!$A$2:$A$99,1,FALSE)</f>
        <v>Wi-MAX data drops</v>
      </c>
      <c r="O264" s="47" t="str">
        <f>RIGHT(A264,2)</f>
        <v>26</v>
      </c>
      <c r="P264" s="43" t="str">
        <f>VLOOKUP(L264,'Issue Resolution'!$A$2:$A$999,1,FALSE)</f>
        <v>Wi-MAX data drops</v>
      </c>
    </row>
    <row r="265" spans="1:16" x14ac:dyDescent="0.25">
      <c r="A265" s="23" t="s">
        <v>557</v>
      </c>
      <c r="B265" s="12">
        <v>4026</v>
      </c>
      <c r="C265" s="13">
        <v>42577.29891203704</v>
      </c>
      <c r="D265" s="13">
        <v>42577.318888888891</v>
      </c>
      <c r="E265" s="12">
        <v>0</v>
      </c>
      <c r="F265" s="10" t="s">
        <v>37</v>
      </c>
      <c r="G265" s="10" t="s">
        <v>558</v>
      </c>
      <c r="H265" s="22">
        <v>1.9976851850515231E-2</v>
      </c>
      <c r="I265" s="12"/>
      <c r="J265" s="12"/>
      <c r="K265" s="12">
        <v>28.766666664741933</v>
      </c>
      <c r="L265" s="40" t="s">
        <v>47</v>
      </c>
      <c r="M265" s="41">
        <v>0</v>
      </c>
      <c r="N265" s="50" t="str">
        <f>VLOOKUP(L265,'Issue Resolution'!$A$2:$A$99,1,FALSE)</f>
        <v>Onboard in-route failure</v>
      </c>
      <c r="O265" s="47" t="str">
        <f>RIGHT(A265,2)</f>
        <v>26</v>
      </c>
      <c r="P265" s="43" t="str">
        <f>VLOOKUP(L265,'Issue Resolution'!$A$2:$A$999,1,FALSE)</f>
        <v>Onboard in-route failure</v>
      </c>
    </row>
    <row r="266" spans="1:16" x14ac:dyDescent="0.25">
      <c r="A266" s="23" t="s">
        <v>559</v>
      </c>
      <c r="B266" s="12">
        <v>4030</v>
      </c>
      <c r="C266" s="13">
        <v>42577.360868055555</v>
      </c>
      <c r="D266" s="13">
        <v>42577.382488425923</v>
      </c>
      <c r="E266" s="12">
        <v>1</v>
      </c>
      <c r="F266" s="10" t="s">
        <v>33</v>
      </c>
      <c r="G266" s="10" t="s">
        <v>400</v>
      </c>
      <c r="H266" s="22">
        <v>2.1620370367600117E-2</v>
      </c>
      <c r="I266" s="12"/>
      <c r="J266" s="12"/>
      <c r="K266" s="12">
        <v>31.133333329344168</v>
      </c>
      <c r="L266" s="8" t="s">
        <v>10</v>
      </c>
      <c r="M266" s="41">
        <v>1</v>
      </c>
      <c r="N266" s="50" t="str">
        <f>VLOOKUP(L266,'Issue Resolution'!$A$2:$A$99,1,FALSE)</f>
        <v>Dispatcher error preventing initialization at terminals</v>
      </c>
      <c r="O266" s="47" t="str">
        <f>RIGHT(A266,2)</f>
        <v>26</v>
      </c>
      <c r="P266" s="43" t="str">
        <f>VLOOKUP(L266,'Issue Resolution'!$A$2:$A$999,1,FALSE)</f>
        <v>Dispatcher error preventing initialization at terminals</v>
      </c>
    </row>
    <row r="267" spans="1:16" x14ac:dyDescent="0.25">
      <c r="A267" s="23" t="s">
        <v>560</v>
      </c>
      <c r="B267" s="12">
        <v>4020</v>
      </c>
      <c r="C267" s="13">
        <v>42577.446168981478</v>
      </c>
      <c r="D267" s="13">
        <v>42577.521979166668</v>
      </c>
      <c r="E267" s="12">
        <v>0</v>
      </c>
      <c r="F267" s="10" t="s">
        <v>32</v>
      </c>
      <c r="G267" s="10" t="s">
        <v>551</v>
      </c>
      <c r="H267" s="22">
        <v>7.5810185189766344E-2</v>
      </c>
      <c r="I267" s="12"/>
      <c r="J267" s="12"/>
      <c r="K267" s="12">
        <v>109.16666667326353</v>
      </c>
      <c r="L267" s="40" t="s">
        <v>47</v>
      </c>
      <c r="M267" s="41">
        <v>0</v>
      </c>
      <c r="N267" s="50" t="str">
        <f>VLOOKUP(L267,'Issue Resolution'!$A$2:$A$99,1,FALSE)</f>
        <v>Onboard in-route failure</v>
      </c>
      <c r="O267" s="47" t="str">
        <f>RIGHT(A267,2)</f>
        <v>26</v>
      </c>
      <c r="P267" s="43" t="str">
        <f>VLOOKUP(L267,'Issue Resolution'!$A$2:$A$999,1,FALSE)</f>
        <v>Onboard in-route failure</v>
      </c>
    </row>
    <row r="268" spans="1:16" x14ac:dyDescent="0.25">
      <c r="A268" s="23" t="s">
        <v>210</v>
      </c>
      <c r="B268" s="12">
        <v>4029</v>
      </c>
      <c r="C268" s="13">
        <v>42577.467106481483</v>
      </c>
      <c r="D268" s="13">
        <v>42577.492893518516</v>
      </c>
      <c r="E268" s="12">
        <v>0</v>
      </c>
      <c r="F268" s="10" t="s">
        <v>33</v>
      </c>
      <c r="G268" s="10" t="s">
        <v>423</v>
      </c>
      <c r="H268" s="22">
        <v>2.5787037033296656E-2</v>
      </c>
      <c r="I268" s="12"/>
      <c r="J268" s="12"/>
      <c r="K268" s="12">
        <v>37.133333327947184</v>
      </c>
      <c r="L268" s="8" t="s">
        <v>10</v>
      </c>
      <c r="M268" s="41">
        <v>1</v>
      </c>
      <c r="N268" s="50" t="str">
        <f>VLOOKUP(L268,'Issue Resolution'!$A$2:$A$9,1,FALSE)</f>
        <v>Dispatcher error preventing initialization at terminals</v>
      </c>
      <c r="O268" s="47" t="str">
        <f>RIGHT(A268,2)</f>
        <v>26</v>
      </c>
      <c r="P268" s="43" t="str">
        <f>VLOOKUP(L268,'Issue Resolution'!$A$2:$A$999,1,FALSE)</f>
        <v>Dispatcher error preventing initialization at terminals</v>
      </c>
    </row>
    <row r="269" spans="1:16" x14ac:dyDescent="0.25">
      <c r="A269" s="23" t="s">
        <v>561</v>
      </c>
      <c r="B269" s="12">
        <v>4020</v>
      </c>
      <c r="C269" s="13">
        <v>42577.525949074072</v>
      </c>
      <c r="D269" s="13">
        <v>42577.548726851855</v>
      </c>
      <c r="E269" s="12">
        <v>0</v>
      </c>
      <c r="F269" s="10" t="s">
        <v>32</v>
      </c>
      <c r="G269" s="10" t="s">
        <v>480</v>
      </c>
      <c r="H269" s="22">
        <v>2.2777777783630881E-2</v>
      </c>
      <c r="I269" s="12"/>
      <c r="J269" s="12"/>
      <c r="K269" s="12">
        <v>35.200000014156103</v>
      </c>
      <c r="L269" s="8" t="s">
        <v>8</v>
      </c>
      <c r="M269" s="41">
        <v>1</v>
      </c>
      <c r="N269" s="50" t="str">
        <f>VLOOKUP(L269,'Issue Resolution'!$A$2:$A$99,1,FALSE)</f>
        <v>Inefficient dispatching</v>
      </c>
      <c r="O269" s="47" t="str">
        <f>RIGHT(A269,2)</f>
        <v>26</v>
      </c>
      <c r="P269" s="43" t="str">
        <f>VLOOKUP(L269,'Issue Resolution'!$A$2:$A$999,1,FALSE)</f>
        <v>Inefficient dispatching</v>
      </c>
    </row>
    <row r="270" spans="1:16" x14ac:dyDescent="0.25">
      <c r="A270" s="23" t="s">
        <v>562</v>
      </c>
      <c r="B270" s="12">
        <v>4031</v>
      </c>
      <c r="C270" s="13">
        <v>42577.570543981485</v>
      </c>
      <c r="D270" s="13">
        <v>42577.59516203704</v>
      </c>
      <c r="E270" s="12">
        <v>0</v>
      </c>
      <c r="F270" s="10" t="s">
        <v>38</v>
      </c>
      <c r="G270" s="10" t="s">
        <v>552</v>
      </c>
      <c r="H270" s="22">
        <v>2.4618055555038154E-2</v>
      </c>
      <c r="I270" s="12"/>
      <c r="J270" s="12"/>
      <c r="K270" s="12">
        <v>44.733333333861083</v>
      </c>
      <c r="L270" s="8" t="s">
        <v>8</v>
      </c>
      <c r="M270" s="41">
        <v>1</v>
      </c>
      <c r="N270" s="50" t="str">
        <f>VLOOKUP(L270,'Issue Resolution'!$A$2:$A$9,1,FALSE)</f>
        <v>Inefficient dispatching</v>
      </c>
      <c r="O270" s="47" t="str">
        <f>RIGHT(A270,2)</f>
        <v>26</v>
      </c>
      <c r="P270" s="43" t="str">
        <f>VLOOKUP(L270,'Issue Resolution'!$A$2:$A$999,1,FALSE)</f>
        <v>Inefficient dispatching</v>
      </c>
    </row>
    <row r="271" spans="1:16" x14ac:dyDescent="0.25">
      <c r="A271" s="23" t="s">
        <v>209</v>
      </c>
      <c r="B271" s="12">
        <v>4041</v>
      </c>
      <c r="C271" s="13">
        <v>42577.661423611113</v>
      </c>
      <c r="D271" s="13">
        <v>42577.694560185184</v>
      </c>
      <c r="E271" s="12">
        <v>1</v>
      </c>
      <c r="F271" s="10" t="s">
        <v>49</v>
      </c>
      <c r="G271" s="10" t="s">
        <v>442</v>
      </c>
      <c r="H271" s="22">
        <v>3.3136574071249925E-2</v>
      </c>
      <c r="I271" s="12"/>
      <c r="J271" s="12"/>
      <c r="K271" s="12">
        <v>47.716666662599891</v>
      </c>
      <c r="L271" s="40" t="s">
        <v>47</v>
      </c>
      <c r="M271" s="41">
        <v>1</v>
      </c>
      <c r="N271" s="50" t="str">
        <f>VLOOKUP(L271,'Issue Resolution'!$A$2:$A$99,1,FALSE)</f>
        <v>Onboard in-route failure</v>
      </c>
      <c r="O271" s="47" t="str">
        <f>RIGHT(A271,2)</f>
        <v>26</v>
      </c>
      <c r="P271" s="43" t="str">
        <f>VLOOKUP(L271,'Issue Resolution'!$A$2:$A$999,1,FALSE)</f>
        <v>Onboard in-route failure</v>
      </c>
    </row>
    <row r="272" spans="1:16" x14ac:dyDescent="0.25">
      <c r="A272" s="23" t="s">
        <v>211</v>
      </c>
      <c r="B272" s="12" t="s">
        <v>571</v>
      </c>
      <c r="C272" s="13" t="s">
        <v>571</v>
      </c>
      <c r="D272" s="13" t="s">
        <v>571</v>
      </c>
      <c r="E272" s="12" t="s">
        <v>571</v>
      </c>
      <c r="F272" s="10" t="s">
        <v>571</v>
      </c>
      <c r="G272" s="10" t="s">
        <v>571</v>
      </c>
      <c r="H272" s="22" t="s">
        <v>571</v>
      </c>
      <c r="I272" s="12"/>
      <c r="J272" s="12"/>
      <c r="K272" s="12">
        <v>1</v>
      </c>
      <c r="L272" s="33" t="s">
        <v>386</v>
      </c>
      <c r="M272" s="41">
        <v>0</v>
      </c>
      <c r="N272" s="50" t="str">
        <f>VLOOKUP(L272,'Issue Resolution'!$A$2:$A$99,1,FALSE)</f>
        <v>Operational Issue</v>
      </c>
      <c r="O272" s="47" t="str">
        <f>RIGHT(A272,2)</f>
        <v>27</v>
      </c>
      <c r="P272" s="43" t="str">
        <f>VLOOKUP(L272,'Issue Resolution'!$A$2:$A$999,1,FALSE)</f>
        <v>Operational Issue</v>
      </c>
    </row>
    <row r="273" spans="1:16" x14ac:dyDescent="0.25">
      <c r="A273" s="23" t="s">
        <v>563</v>
      </c>
      <c r="B273" s="12" t="s">
        <v>571</v>
      </c>
      <c r="C273" s="13" t="s">
        <v>571</v>
      </c>
      <c r="D273" s="13" t="s">
        <v>571</v>
      </c>
      <c r="E273" s="12" t="s">
        <v>571</v>
      </c>
      <c r="F273" s="10" t="s">
        <v>571</v>
      </c>
      <c r="G273" s="10" t="s">
        <v>571</v>
      </c>
      <c r="H273" s="22" t="s">
        <v>571</v>
      </c>
      <c r="I273" s="12"/>
      <c r="J273" s="12"/>
      <c r="K273" s="12">
        <v>1</v>
      </c>
      <c r="L273" s="33" t="s">
        <v>386</v>
      </c>
      <c r="M273" s="41">
        <v>0</v>
      </c>
      <c r="N273" s="50" t="str">
        <f>VLOOKUP(L273,'Issue Resolution'!$A$2:$A$99,1,FALSE)</f>
        <v>Operational Issue</v>
      </c>
      <c r="O273" s="47" t="str">
        <f>RIGHT(A273,2)</f>
        <v>27</v>
      </c>
      <c r="P273" s="43" t="str">
        <f>VLOOKUP(L273,'Issue Resolution'!$A$2:$A$999,1,FALSE)</f>
        <v>Operational Issue</v>
      </c>
    </row>
    <row r="274" spans="1:16" x14ac:dyDescent="0.25">
      <c r="A274" s="23" t="s">
        <v>564</v>
      </c>
      <c r="B274" s="12" t="s">
        <v>571</v>
      </c>
      <c r="C274" s="13" t="s">
        <v>571</v>
      </c>
      <c r="D274" s="13" t="s">
        <v>571</v>
      </c>
      <c r="E274" s="12" t="s">
        <v>571</v>
      </c>
      <c r="F274" s="10" t="s">
        <v>571</v>
      </c>
      <c r="G274" s="10" t="s">
        <v>571</v>
      </c>
      <c r="H274" s="22" t="s">
        <v>571</v>
      </c>
      <c r="I274" s="12"/>
      <c r="J274" s="12"/>
      <c r="K274" s="12">
        <v>1</v>
      </c>
      <c r="L274" s="33" t="s">
        <v>386</v>
      </c>
      <c r="M274" s="41">
        <v>0</v>
      </c>
      <c r="N274" s="50" t="str">
        <f>VLOOKUP(L274,'Issue Resolution'!$A$2:$A$99,1,FALSE)</f>
        <v>Operational Issue</v>
      </c>
      <c r="O274" s="47" t="str">
        <f>RIGHT(A274,2)</f>
        <v>27</v>
      </c>
      <c r="P274" s="43" t="str">
        <f>VLOOKUP(L274,'Issue Resolution'!$A$2:$A$999,1,FALSE)</f>
        <v>Operational Issue</v>
      </c>
    </row>
    <row r="275" spans="1:16" x14ac:dyDescent="0.25">
      <c r="A275" s="23" t="s">
        <v>565</v>
      </c>
      <c r="B275" s="12">
        <v>4015</v>
      </c>
      <c r="C275" s="13">
        <v>42578.293657407405</v>
      </c>
      <c r="D275" s="13">
        <v>42578.315393518518</v>
      </c>
      <c r="E275" s="12">
        <v>0</v>
      </c>
      <c r="F275" s="10" t="s">
        <v>46</v>
      </c>
      <c r="G275" s="10" t="s">
        <v>444</v>
      </c>
      <c r="H275" s="22">
        <v>2.1736111113568768E-2</v>
      </c>
      <c r="I275" s="12"/>
      <c r="J275" s="12"/>
      <c r="K275" s="12">
        <v>46.533333346014842</v>
      </c>
      <c r="L275" s="35" t="s">
        <v>1767</v>
      </c>
      <c r="M275" s="41">
        <v>1</v>
      </c>
      <c r="N275" s="50" t="str">
        <f>VLOOKUP(L275,'Issue Resolution'!$A$2:$A$99,1,FALSE)</f>
        <v>Signaling system failures</v>
      </c>
      <c r="O275" s="47" t="str">
        <f>RIGHT(A275,2)</f>
        <v>27</v>
      </c>
      <c r="P275" s="43" t="str">
        <f>VLOOKUP(L275,'Issue Resolution'!$A$2:$A$999,1,FALSE)</f>
        <v>Signaling system failures</v>
      </c>
    </row>
    <row r="276" spans="1:16" x14ac:dyDescent="0.25">
      <c r="A276" s="23" t="s">
        <v>566</v>
      </c>
      <c r="B276" s="12">
        <v>4007</v>
      </c>
      <c r="C276" s="13">
        <v>42578.291261574072</v>
      </c>
      <c r="D276" s="13">
        <v>42578.313043981485</v>
      </c>
      <c r="E276" s="12">
        <v>2</v>
      </c>
      <c r="F276" s="10" t="s">
        <v>34</v>
      </c>
      <c r="G276" s="10" t="s">
        <v>453</v>
      </c>
      <c r="H276" s="22">
        <v>2.178240741341142E-2</v>
      </c>
      <c r="I276" s="12"/>
      <c r="J276" s="12"/>
      <c r="K276" s="12">
        <v>31.366666675312445</v>
      </c>
      <c r="L276" s="8" t="s">
        <v>10</v>
      </c>
      <c r="M276" s="41">
        <v>1</v>
      </c>
      <c r="N276" s="50" t="str">
        <f>VLOOKUP(L276,'Issue Resolution'!$A$2:$A$99,1,FALSE)</f>
        <v>Dispatcher error preventing initialization at terminals</v>
      </c>
      <c r="O276" s="47" t="str">
        <f>RIGHT(A276,2)</f>
        <v>27</v>
      </c>
      <c r="P276" s="43" t="str">
        <f>VLOOKUP(L276,'Issue Resolution'!$A$2:$A$999,1,FALSE)</f>
        <v>Dispatcher error preventing initialization at terminals</v>
      </c>
    </row>
    <row r="277" spans="1:16" x14ac:dyDescent="0.25">
      <c r="A277" s="23" t="s">
        <v>567</v>
      </c>
      <c r="B277" s="12">
        <v>4029</v>
      </c>
      <c r="C277" s="13">
        <v>42578.306400462963</v>
      </c>
      <c r="D277" s="13">
        <v>42578.32949074074</v>
      </c>
      <c r="E277" s="12">
        <v>1</v>
      </c>
      <c r="F277" s="10" t="s">
        <v>33</v>
      </c>
      <c r="G277" s="10" t="s">
        <v>418</v>
      </c>
      <c r="H277" s="22">
        <v>2.3090277776645962E-2</v>
      </c>
      <c r="I277" s="12"/>
      <c r="J277" s="12"/>
      <c r="K277" s="12">
        <v>33.249999998370185</v>
      </c>
      <c r="L277" s="8" t="s">
        <v>10</v>
      </c>
      <c r="M277" s="41">
        <v>1</v>
      </c>
      <c r="N277" s="50" t="str">
        <f>VLOOKUP(L277,'Issue Resolution'!$A$2:$A$99,1,FALSE)</f>
        <v>Dispatcher error preventing initialization at terminals</v>
      </c>
      <c r="O277" s="47" t="str">
        <f>RIGHT(A277,2)</f>
        <v>27</v>
      </c>
      <c r="P277" s="43" t="str">
        <f>VLOOKUP(L277,'Issue Resolution'!$A$2:$A$999,1,FALSE)</f>
        <v>Dispatcher error preventing initialization at terminals</v>
      </c>
    </row>
    <row r="278" spans="1:16" x14ac:dyDescent="0.25">
      <c r="A278" s="23" t="s">
        <v>568</v>
      </c>
      <c r="B278" s="12">
        <v>4008</v>
      </c>
      <c r="C278" s="13">
        <v>42578.391608796293</v>
      </c>
      <c r="D278" s="13">
        <v>42578.39230324074</v>
      </c>
      <c r="E278" s="12">
        <v>0</v>
      </c>
      <c r="F278" s="10" t="s">
        <v>34</v>
      </c>
      <c r="G278" s="10" t="s">
        <v>453</v>
      </c>
      <c r="H278" s="22">
        <v>6.944444467080757E-4</v>
      </c>
      <c r="I278" s="12"/>
      <c r="J278" s="12"/>
      <c r="K278" s="12">
        <v>1.000000003259629</v>
      </c>
      <c r="L278" s="40" t="s">
        <v>47</v>
      </c>
      <c r="M278" s="41">
        <v>0</v>
      </c>
      <c r="N278" s="50" t="str">
        <f>VLOOKUP(L278,'Issue Resolution'!$A$2:$A$99,1,FALSE)</f>
        <v>Onboard in-route failure</v>
      </c>
      <c r="O278" s="47" t="str">
        <f>RIGHT(A278,2)</f>
        <v>27</v>
      </c>
      <c r="P278" s="43" t="str">
        <f>VLOOKUP(L278,'Issue Resolution'!$A$2:$A$999,1,FALSE)</f>
        <v>Onboard in-route failure</v>
      </c>
    </row>
    <row r="279" spans="1:16" x14ac:dyDescent="0.25">
      <c r="A279" s="23" t="s">
        <v>362</v>
      </c>
      <c r="B279" s="12">
        <v>4010</v>
      </c>
      <c r="C279" s="13">
        <v>42578.474293981482</v>
      </c>
      <c r="D279" s="13">
        <v>42578.498680555553</v>
      </c>
      <c r="E279" s="12">
        <v>1</v>
      </c>
      <c r="F279" s="10" t="s">
        <v>45</v>
      </c>
      <c r="G279" s="10" t="s">
        <v>415</v>
      </c>
      <c r="H279" s="22">
        <v>2.438657407037681E-2</v>
      </c>
      <c r="I279" s="12"/>
      <c r="J279" s="12"/>
      <c r="K279" s="12">
        <v>35.116666661342606</v>
      </c>
      <c r="L279" s="40" t="s">
        <v>47</v>
      </c>
      <c r="M279" s="41">
        <v>0.75</v>
      </c>
      <c r="N279" s="50" t="str">
        <f>VLOOKUP(L279,'Issue Resolution'!$A$2:$A$99,1,FALSE)</f>
        <v>Onboard in-route failure</v>
      </c>
      <c r="O279" s="47" t="str">
        <f>RIGHT(A279,2)</f>
        <v>27</v>
      </c>
      <c r="P279" s="43" t="str">
        <f>VLOOKUP(L279,'Issue Resolution'!$A$2:$A$999,1,FALSE)</f>
        <v>Onboard in-route failure</v>
      </c>
    </row>
    <row r="280" spans="1:16" x14ac:dyDescent="0.25">
      <c r="A280" s="23" t="s">
        <v>363</v>
      </c>
      <c r="B280" s="12">
        <v>4007</v>
      </c>
      <c r="C280" s="13">
        <v>42578.720081018517</v>
      </c>
      <c r="D280" s="13">
        <v>42578.726412037038</v>
      </c>
      <c r="E280" s="12">
        <v>1</v>
      </c>
      <c r="F280" s="10" t="s">
        <v>34</v>
      </c>
      <c r="G280" s="10" t="s">
        <v>459</v>
      </c>
      <c r="H280" s="22">
        <v>6.33101852145046E-3</v>
      </c>
      <c r="I280" s="12"/>
      <c r="J280" s="12"/>
      <c r="K280" s="12">
        <v>9.1166666708886623</v>
      </c>
      <c r="L280" s="40" t="s">
        <v>47</v>
      </c>
      <c r="M280" s="41">
        <v>0</v>
      </c>
      <c r="N280" s="50" t="str">
        <f>VLOOKUP(L280,'Issue Resolution'!$A$2:$A$9,1,FALSE)</f>
        <v>Onboard in-route failure</v>
      </c>
      <c r="O280" s="47" t="str">
        <f>RIGHT(A280,2)</f>
        <v>27</v>
      </c>
      <c r="P280" s="43" t="str">
        <f>VLOOKUP(L280,'Issue Resolution'!$A$2:$A$999,1,FALSE)</f>
        <v>Onboard in-route failure</v>
      </c>
    </row>
    <row r="281" spans="1:16" x14ac:dyDescent="0.25">
      <c r="A281" s="10" t="s">
        <v>569</v>
      </c>
      <c r="B281" s="12">
        <v>4027</v>
      </c>
      <c r="C281" s="13">
        <v>42578.92359953704</v>
      </c>
      <c r="D281" s="13">
        <v>42578.949490740742</v>
      </c>
      <c r="E281" s="12">
        <v>0</v>
      </c>
      <c r="F281" s="10" t="s">
        <v>36</v>
      </c>
      <c r="G281" s="10" t="s">
        <v>538</v>
      </c>
      <c r="H281" s="22">
        <v>2.5891203702485655E-2</v>
      </c>
      <c r="I281" s="12"/>
      <c r="J281" s="12"/>
      <c r="K281" s="12">
        <v>40.099999996600673</v>
      </c>
      <c r="L281" s="8" t="s">
        <v>8</v>
      </c>
      <c r="M281" s="41">
        <v>1</v>
      </c>
      <c r="N281" s="50" t="str">
        <f>VLOOKUP(L281,'Issue Resolution'!$A$2:$A$9,1,FALSE)</f>
        <v>Inefficient dispatching</v>
      </c>
      <c r="O281" s="47" t="str">
        <f>RIGHT(A281,2)</f>
        <v>27</v>
      </c>
      <c r="P281" s="43" t="str">
        <f>VLOOKUP(L281,'Issue Resolution'!$A$2:$A$999,1,FALSE)</f>
        <v>Inefficient dispatching</v>
      </c>
    </row>
    <row r="282" spans="1:16" x14ac:dyDescent="0.25">
      <c r="A282" s="10" t="s">
        <v>570</v>
      </c>
      <c r="B282" s="12">
        <v>4019</v>
      </c>
      <c r="C282" s="13">
        <v>42578.328680555554</v>
      </c>
      <c r="D282" s="13">
        <v>42578.336481481485</v>
      </c>
      <c r="E282" s="12">
        <v>0</v>
      </c>
      <c r="F282" s="10" t="s">
        <v>32</v>
      </c>
      <c r="G282" s="10" t="s">
        <v>475</v>
      </c>
      <c r="H282" s="22">
        <v>7.8009259304963052E-3</v>
      </c>
      <c r="I282" s="12"/>
      <c r="J282" s="12"/>
      <c r="K282" s="12">
        <v>11.23333333991468</v>
      </c>
      <c r="L282" s="40" t="s">
        <v>47</v>
      </c>
      <c r="M282" s="41">
        <v>1</v>
      </c>
      <c r="N282" s="50" t="str">
        <f>VLOOKUP(L282,'Issue Resolution'!$A$2:$A$9,1,FALSE)</f>
        <v>Onboard in-route failure</v>
      </c>
      <c r="O282" s="47" t="str">
        <f>RIGHT(A282,2)</f>
        <v>27</v>
      </c>
      <c r="P282" s="43" t="str">
        <f>VLOOKUP(L282,'Issue Resolution'!$A$2:$A$999,1,FALSE)</f>
        <v>Onboard in-route failure</v>
      </c>
    </row>
    <row r="283" spans="1:16" x14ac:dyDescent="0.25">
      <c r="A283" s="23" t="s">
        <v>572</v>
      </c>
      <c r="B283" s="12">
        <v>4026</v>
      </c>
      <c r="C283" s="13">
        <v>42579.237002314818</v>
      </c>
      <c r="D283" s="13">
        <v>42579.237546296295</v>
      </c>
      <c r="E283" s="12">
        <v>0</v>
      </c>
      <c r="F283" s="10" t="s">
        <v>37</v>
      </c>
      <c r="G283" s="10" t="s">
        <v>453</v>
      </c>
      <c r="H283" s="22">
        <v>5.4398147767642513E-4</v>
      </c>
      <c r="I283" s="12"/>
      <c r="J283" s="12"/>
      <c r="K283" s="12">
        <v>0.78333332785405219</v>
      </c>
      <c r="L283" s="8" t="s">
        <v>47</v>
      </c>
      <c r="M283" s="41">
        <v>0</v>
      </c>
      <c r="N283" s="50" t="str">
        <f>VLOOKUP(L283,'Issue Resolution'!$A$2:$A$9,1,FALSE)</f>
        <v>Onboard in-route failure</v>
      </c>
      <c r="O283" s="47" t="str">
        <f>RIGHT(A283,2)</f>
        <v>28</v>
      </c>
      <c r="P283" s="43" t="str">
        <f>VLOOKUP(L283,'Issue Resolution'!$A$2:$A$999,1,FALSE)</f>
        <v>Onboard in-route failure</v>
      </c>
    </row>
    <row r="284" spans="1:16" x14ac:dyDescent="0.25">
      <c r="A284" s="23" t="s">
        <v>573</v>
      </c>
      <c r="B284" s="12">
        <v>4043</v>
      </c>
      <c r="C284" s="13">
        <v>42579.484826388885</v>
      </c>
      <c r="D284" s="13">
        <v>42579.50440972222</v>
      </c>
      <c r="E284" s="12">
        <v>0</v>
      </c>
      <c r="F284" s="10" t="s">
        <v>42</v>
      </c>
      <c r="G284" s="10" t="s">
        <v>398</v>
      </c>
      <c r="H284" s="22">
        <v>1.9583333334594499E-2</v>
      </c>
      <c r="I284" s="12"/>
      <c r="J284" s="12"/>
      <c r="K284" s="12">
        <v>48.216666664229706</v>
      </c>
      <c r="L284" s="8" t="s">
        <v>12</v>
      </c>
      <c r="M284" s="41">
        <v>1</v>
      </c>
      <c r="N284" s="50" t="str">
        <f>VLOOKUP(L284,'Issue Resolution'!$A$2:$A$9,1,FALSE)</f>
        <v>Wi-MAX data drops</v>
      </c>
      <c r="O284" s="47" t="str">
        <f>RIGHT(A284,2)</f>
        <v>28</v>
      </c>
      <c r="P284" s="43" t="str">
        <f>VLOOKUP(L284,'Issue Resolution'!$A$2:$A$999,1,FALSE)</f>
        <v>Wi-MAX data drops</v>
      </c>
    </row>
    <row r="285" spans="1:16" x14ac:dyDescent="0.25">
      <c r="A285" s="23" t="s">
        <v>574</v>
      </c>
      <c r="B285" s="12">
        <v>4009</v>
      </c>
      <c r="C285" s="13">
        <v>42579.45484953704</v>
      </c>
      <c r="D285" s="13">
        <v>42579.482615740744</v>
      </c>
      <c r="E285" s="12">
        <v>0</v>
      </c>
      <c r="F285" s="10" t="s">
        <v>45</v>
      </c>
      <c r="G285" s="10" t="s">
        <v>552</v>
      </c>
      <c r="H285" s="22">
        <v>2.7766203704231884E-2</v>
      </c>
      <c r="I285" s="12"/>
      <c r="J285" s="12"/>
      <c r="K285" s="12">
        <v>39.983333334093913</v>
      </c>
      <c r="L285" s="8" t="s">
        <v>12</v>
      </c>
      <c r="M285" s="41">
        <v>1</v>
      </c>
      <c r="N285" s="50" t="str">
        <f>VLOOKUP(L285,'Issue Resolution'!$A$2:$A$9,1,FALSE)</f>
        <v>Wi-MAX data drops</v>
      </c>
      <c r="O285" s="47" t="str">
        <f>RIGHT(A285,2)</f>
        <v>28</v>
      </c>
      <c r="P285" s="43" t="str">
        <f>VLOOKUP(L285,'Issue Resolution'!$A$2:$A$999,1,FALSE)</f>
        <v>Wi-MAX data drops</v>
      </c>
    </row>
    <row r="286" spans="1:16" x14ac:dyDescent="0.25">
      <c r="A286" s="10" t="s">
        <v>365</v>
      </c>
      <c r="B286" s="12">
        <v>4038</v>
      </c>
      <c r="C286" s="13">
        <v>42579.260138888887</v>
      </c>
      <c r="D286" s="13">
        <v>42579.267511574071</v>
      </c>
      <c r="E286" s="12">
        <v>0</v>
      </c>
      <c r="F286" s="10" t="s">
        <v>35</v>
      </c>
      <c r="G286" s="10" t="s">
        <v>575</v>
      </c>
      <c r="H286" s="22">
        <v>7.3726851842366159E-3</v>
      </c>
      <c r="I286" s="12"/>
      <c r="J286" s="12"/>
      <c r="K286" s="12">
        <v>10.616666665300727</v>
      </c>
      <c r="L286" s="8" t="s">
        <v>8</v>
      </c>
      <c r="M286" s="41">
        <v>0</v>
      </c>
      <c r="N286" s="50" t="str">
        <f>VLOOKUP(L286,'Issue Resolution'!$A$2:$A$9,1,FALSE)</f>
        <v>Inefficient dispatching</v>
      </c>
      <c r="O286" s="47" t="str">
        <f>RIGHT(A286,2)</f>
        <v>28</v>
      </c>
      <c r="P286" s="43" t="str">
        <f>VLOOKUP(L286,'Issue Resolution'!$A$2:$A$999,1,FALSE)</f>
        <v>Inefficient dispatching</v>
      </c>
    </row>
    <row r="287" spans="1:16" x14ac:dyDescent="0.25">
      <c r="A287" s="23" t="s">
        <v>374</v>
      </c>
      <c r="B287" s="12">
        <v>4015</v>
      </c>
      <c r="C287" s="13">
        <v>42580.227430555555</v>
      </c>
      <c r="D287" s="13">
        <v>42580.228865740741</v>
      </c>
      <c r="E287" s="12">
        <v>2</v>
      </c>
      <c r="F287" s="10" t="s">
        <v>46</v>
      </c>
      <c r="G287" s="10" t="s">
        <v>396</v>
      </c>
      <c r="H287" s="22">
        <v>1.4351851859828457E-3</v>
      </c>
      <c r="I287" s="12"/>
      <c r="J287" s="12"/>
      <c r="K287" s="12">
        <v>2.0666666678152978</v>
      </c>
      <c r="L287" s="8" t="s">
        <v>61</v>
      </c>
      <c r="M287" s="41">
        <v>0</v>
      </c>
      <c r="N287" s="50" t="str">
        <f>VLOOKUP(L287,'Issue Resolution'!$A$2:$A$9,1,FALSE)</f>
        <v>GPS signal at terminals</v>
      </c>
      <c r="O287" s="47" t="str">
        <f>RIGHT(A287,2)</f>
        <v>29</v>
      </c>
      <c r="P287" s="43" t="str">
        <f>VLOOKUP(L287,'Issue Resolution'!$A$2:$A$999,1,FALSE)</f>
        <v>GPS signal at terminals</v>
      </c>
    </row>
    <row r="288" spans="1:16" x14ac:dyDescent="0.25">
      <c r="A288" s="23" t="s">
        <v>369</v>
      </c>
      <c r="B288" s="12">
        <v>4038</v>
      </c>
      <c r="C288" s="13">
        <v>42580.193842592591</v>
      </c>
      <c r="D288" s="13">
        <v>42580.217175925929</v>
      </c>
      <c r="E288" s="12">
        <v>0</v>
      </c>
      <c r="F288" s="10" t="s">
        <v>35</v>
      </c>
      <c r="G288" s="10" t="s">
        <v>418</v>
      </c>
      <c r="H288" s="22">
        <v>2.3333333338086959E-2</v>
      </c>
      <c r="I288" s="12"/>
      <c r="J288" s="12"/>
      <c r="K288" s="12">
        <v>44.95000000926666</v>
      </c>
      <c r="L288" s="8" t="s">
        <v>8</v>
      </c>
      <c r="M288" s="41">
        <v>1</v>
      </c>
      <c r="N288" s="50" t="str">
        <f>VLOOKUP(L288,'Issue Resolution'!$A$2:$A$9,1,FALSE)</f>
        <v>Inefficient dispatching</v>
      </c>
      <c r="O288" s="47" t="str">
        <f>RIGHT(A288,2)</f>
        <v>29</v>
      </c>
      <c r="P288" s="43" t="str">
        <f>VLOOKUP(L288,'Issue Resolution'!$A$2:$A$999,1,FALSE)</f>
        <v>Inefficient dispatching</v>
      </c>
    </row>
    <row r="289" spans="1:16" x14ac:dyDescent="0.25">
      <c r="A289" s="23" t="s">
        <v>577</v>
      </c>
      <c r="B289" s="12">
        <v>4042</v>
      </c>
      <c r="C289" s="13">
        <v>42580.327106481483</v>
      </c>
      <c r="D289" s="13">
        <v>42580.348611111112</v>
      </c>
      <c r="E289" s="12">
        <v>0</v>
      </c>
      <c r="F289" s="10" t="s">
        <v>49</v>
      </c>
      <c r="G289" s="10" t="s">
        <v>396</v>
      </c>
      <c r="H289" s="22">
        <v>2.1504629628907423E-2</v>
      </c>
      <c r="I289" s="12"/>
      <c r="J289" s="12"/>
      <c r="K289" s="12">
        <v>30.96666666562669</v>
      </c>
      <c r="L289" s="40" t="s">
        <v>47</v>
      </c>
      <c r="M289" s="41">
        <v>1</v>
      </c>
      <c r="N289" s="50" t="str">
        <f>VLOOKUP(L289,'Issue Resolution'!$A$2:$A$9,1,FALSE)</f>
        <v>Onboard in-route failure</v>
      </c>
      <c r="O289" s="47" t="str">
        <f>RIGHT(A289,2)</f>
        <v>29</v>
      </c>
      <c r="P289" s="43" t="str">
        <f>VLOOKUP(L289,'Issue Resolution'!$A$2:$A$999,1,FALSE)</f>
        <v>Onboard in-route failure</v>
      </c>
    </row>
    <row r="290" spans="1:16" x14ac:dyDescent="0.25">
      <c r="A290" s="10" t="s">
        <v>378</v>
      </c>
      <c r="B290" s="12">
        <v>4017</v>
      </c>
      <c r="C290" s="13">
        <v>42580.317928240744</v>
      </c>
      <c r="D290" s="13">
        <v>42580.318981481483</v>
      </c>
      <c r="E290" s="12">
        <v>0</v>
      </c>
      <c r="F290" s="10" t="s">
        <v>41</v>
      </c>
      <c r="G290" s="10" t="s">
        <v>398</v>
      </c>
      <c r="H290" s="22">
        <v>1.0532407395658083E-3</v>
      </c>
      <c r="I290" s="12"/>
      <c r="J290" s="12"/>
      <c r="K290" s="12">
        <v>1.516666664974764</v>
      </c>
      <c r="L290" s="40" t="s">
        <v>47</v>
      </c>
      <c r="M290" s="41">
        <v>0</v>
      </c>
      <c r="N290" s="50" t="str">
        <f>VLOOKUP(L290,'Issue Resolution'!$A$2:$A$9,1,FALSE)</f>
        <v>Onboard in-route failure</v>
      </c>
      <c r="O290" s="47" t="str">
        <f>RIGHT(A290,2)</f>
        <v>29</v>
      </c>
      <c r="P290" s="43" t="str">
        <f>VLOOKUP(L290,'Issue Resolution'!$A$2:$A$999,1,FALSE)</f>
        <v>Onboard in-route failure</v>
      </c>
    </row>
    <row r="291" spans="1:16" x14ac:dyDescent="0.25">
      <c r="A291" s="10" t="s">
        <v>578</v>
      </c>
      <c r="B291" s="12">
        <v>4018</v>
      </c>
      <c r="C291" s="13">
        <v>42581.399224537039</v>
      </c>
      <c r="D291" s="13">
        <v>42581.434178240743</v>
      </c>
      <c r="E291" s="44" t="s">
        <v>571</v>
      </c>
      <c r="F291" s="10" t="s">
        <v>41</v>
      </c>
      <c r="G291" s="10" t="e">
        <v>#N/A</v>
      </c>
      <c r="H291" s="44" t="s">
        <v>571</v>
      </c>
      <c r="I291" s="12"/>
      <c r="J291" s="12"/>
      <c r="K291" s="12">
        <v>1</v>
      </c>
      <c r="L291" s="8" t="s">
        <v>12</v>
      </c>
      <c r="M291" s="41">
        <v>0</v>
      </c>
      <c r="N291" s="50" t="str">
        <f>VLOOKUP(L291,'Issue Resolution'!$A$2:$A$9,1,FALSE)</f>
        <v>Wi-MAX data drops</v>
      </c>
      <c r="O291" s="47" t="str">
        <f>RIGHT(A291,2)</f>
        <v>30</v>
      </c>
      <c r="P291" s="43" t="str">
        <f>VLOOKUP(L291,'Issue Resolution'!$A$2:$A$999,1,FALSE)</f>
        <v>Wi-MAX data drops</v>
      </c>
    </row>
    <row r="292" spans="1:16" x14ac:dyDescent="0.25">
      <c r="A292" s="10" t="s">
        <v>579</v>
      </c>
      <c r="B292" s="12">
        <v>4027</v>
      </c>
      <c r="C292" s="13">
        <v>42581.396238425928</v>
      </c>
      <c r="D292" s="13">
        <v>42581.41678240741</v>
      </c>
      <c r="E292" s="12">
        <v>0</v>
      </c>
      <c r="F292" s="10" t="s">
        <v>36</v>
      </c>
      <c r="G292" s="10" t="s">
        <v>396</v>
      </c>
      <c r="H292" s="22">
        <v>2.0543981481750961E-2</v>
      </c>
      <c r="I292" s="12"/>
      <c r="J292" s="12"/>
      <c r="K292" s="12">
        <v>29.583333333721384</v>
      </c>
      <c r="L292" s="40" t="s">
        <v>47</v>
      </c>
      <c r="M292" s="41">
        <v>0.75</v>
      </c>
      <c r="N292" s="50" t="str">
        <f>VLOOKUP(L292,'Issue Resolution'!$A$2:$A$9,1,FALSE)</f>
        <v>Onboard in-route failure</v>
      </c>
      <c r="O292" s="47" t="str">
        <f>RIGHT(A292,2)</f>
        <v>30</v>
      </c>
      <c r="P292" s="43" t="str">
        <f>VLOOKUP(L292,'Issue Resolution'!$A$2:$A$999,1,FALSE)</f>
        <v>Onboard in-route failure</v>
      </c>
    </row>
    <row r="293" spans="1:16" x14ac:dyDescent="0.25">
      <c r="A293" s="23" t="s">
        <v>580</v>
      </c>
      <c r="B293" s="12">
        <v>4020</v>
      </c>
      <c r="C293" s="13">
        <v>42581.346134259256</v>
      </c>
      <c r="D293" s="13">
        <v>42581.349907407406</v>
      </c>
      <c r="E293" s="12">
        <v>1</v>
      </c>
      <c r="F293" s="10" t="s">
        <v>32</v>
      </c>
      <c r="G293" s="10" t="s">
        <v>398</v>
      </c>
      <c r="H293" s="22">
        <v>3.7731481497758068E-3</v>
      </c>
      <c r="I293" s="12"/>
      <c r="J293" s="12"/>
      <c r="K293" s="12">
        <v>5.4333333356771618</v>
      </c>
      <c r="L293" s="40" t="s">
        <v>47</v>
      </c>
      <c r="M293" s="41">
        <v>1</v>
      </c>
      <c r="N293" s="50" t="str">
        <f>VLOOKUP(L293,'Issue Resolution'!$A$2:$A$9,1,FALSE)</f>
        <v>Onboard in-route failure</v>
      </c>
      <c r="O293" s="47" t="str">
        <f>RIGHT(A293,2)</f>
        <v>30</v>
      </c>
      <c r="P293" s="43" t="str">
        <f>VLOOKUP(L293,'Issue Resolution'!$A$2:$A$999,1,FALSE)</f>
        <v>Onboard in-route failure</v>
      </c>
    </row>
    <row r="294" spans="1:16" x14ac:dyDescent="0.25">
      <c r="A294" s="23" t="s">
        <v>581</v>
      </c>
      <c r="B294" s="12">
        <v>4020</v>
      </c>
      <c r="C294" s="13">
        <v>42581.386828703704</v>
      </c>
      <c r="D294" s="13">
        <v>42581.394293981481</v>
      </c>
      <c r="E294" s="12">
        <v>1</v>
      </c>
      <c r="F294" s="10" t="s">
        <v>32</v>
      </c>
      <c r="G294" s="10" t="s">
        <v>398</v>
      </c>
      <c r="H294" s="22">
        <v>7.4652777766459621E-3</v>
      </c>
      <c r="I294" s="12"/>
      <c r="J294" s="12"/>
      <c r="K294" s="12">
        <v>10.749999998370185</v>
      </c>
      <c r="L294" s="40" t="s">
        <v>1770</v>
      </c>
      <c r="M294" s="41">
        <v>1</v>
      </c>
      <c r="N294" s="50" t="e">
        <f>VLOOKUP(L294,'Issue Resolution'!$A$2:$A$9,1,FALSE)</f>
        <v>#N/A</v>
      </c>
      <c r="O294" s="47" t="str">
        <f>RIGHT(A294,2)</f>
        <v>30</v>
      </c>
      <c r="P294" s="43" t="str">
        <f>VLOOKUP(L294,'Issue Resolution'!$A$2:$A$999,1,FALSE)</f>
        <v>Operational Issue</v>
      </c>
    </row>
    <row r="295" spans="1:16" x14ac:dyDescent="0.25">
      <c r="A295" s="23" t="s">
        <v>583</v>
      </c>
      <c r="B295" s="12">
        <v>4038</v>
      </c>
      <c r="C295" s="13">
        <v>42581.568391203706</v>
      </c>
      <c r="D295" s="13">
        <v>42581.574895833335</v>
      </c>
      <c r="E295" s="12">
        <v>1</v>
      </c>
      <c r="F295" s="10" t="s">
        <v>35</v>
      </c>
      <c r="G295" s="10" t="s">
        <v>584</v>
      </c>
      <c r="H295" s="22">
        <v>6.5046296294895001E-3</v>
      </c>
      <c r="I295" s="12"/>
      <c r="J295" s="12"/>
      <c r="K295" s="12">
        <v>9.3666666664648801</v>
      </c>
      <c r="L295" s="8" t="s">
        <v>12</v>
      </c>
      <c r="M295" s="41">
        <v>1</v>
      </c>
      <c r="N295" s="50" t="str">
        <f>VLOOKUP(L295,'Issue Resolution'!$A$2:$A$9,1,FALSE)</f>
        <v>Wi-MAX data drops</v>
      </c>
      <c r="O295" s="47" t="str">
        <f>RIGHT(A295,2)</f>
        <v>30</v>
      </c>
      <c r="P295" s="43" t="str">
        <f>VLOOKUP(L295,'Issue Resolution'!$A$2:$A$999,1,FALSE)</f>
        <v>Wi-MAX data drops</v>
      </c>
    </row>
    <row r="296" spans="1:16" x14ac:dyDescent="0.25">
      <c r="A296" s="23" t="s">
        <v>585</v>
      </c>
      <c r="B296" s="13" t="s">
        <v>571</v>
      </c>
      <c r="C296" s="13" t="s">
        <v>571</v>
      </c>
      <c r="D296" s="13" t="s">
        <v>571</v>
      </c>
      <c r="E296" s="12">
        <v>0</v>
      </c>
      <c r="F296" s="13" t="s">
        <v>571</v>
      </c>
      <c r="G296" s="10" t="e">
        <v>#N/A</v>
      </c>
      <c r="H296" s="13" t="s">
        <v>571</v>
      </c>
      <c r="I296" s="12"/>
      <c r="J296" s="12"/>
      <c r="K296" s="12">
        <v>1</v>
      </c>
      <c r="L296" s="8" t="s">
        <v>10</v>
      </c>
      <c r="M296" s="41">
        <v>0</v>
      </c>
      <c r="N296" s="50" t="str">
        <f>VLOOKUP(L296,'Issue Resolution'!$A$2:$A$9,1,FALSE)</f>
        <v>Dispatcher error preventing initialization at terminals</v>
      </c>
      <c r="O296" s="47" t="str">
        <f>RIGHT(A296,2)</f>
        <v>31</v>
      </c>
      <c r="P296" s="43" t="str">
        <f>VLOOKUP(L296,'Issue Resolution'!$A$2:$A$999,1,FALSE)</f>
        <v>Dispatcher error preventing initialization at terminals</v>
      </c>
    </row>
    <row r="297" spans="1:16" x14ac:dyDescent="0.25">
      <c r="A297" s="23" t="s">
        <v>586</v>
      </c>
      <c r="B297" s="12">
        <v>4012</v>
      </c>
      <c r="C297" s="13">
        <v>42582.241828703707</v>
      </c>
      <c r="D297" s="13">
        <v>42582.244074074071</v>
      </c>
      <c r="E297" s="12">
        <v>0</v>
      </c>
      <c r="F297" s="10" t="s">
        <v>40</v>
      </c>
      <c r="G297" s="10" t="s">
        <v>587</v>
      </c>
      <c r="H297" s="22">
        <v>2.2453703641076572E-3</v>
      </c>
      <c r="I297" s="12"/>
      <c r="J297" s="12"/>
      <c r="K297" s="12">
        <v>3.2333333243150264</v>
      </c>
      <c r="L297" s="8" t="s">
        <v>61</v>
      </c>
      <c r="M297" s="41">
        <v>0</v>
      </c>
      <c r="N297" s="50" t="str">
        <f>VLOOKUP(L297,'Issue Resolution'!$A$2:$A$9,1,FALSE)</f>
        <v>GPS signal at terminals</v>
      </c>
      <c r="O297" s="47" t="str">
        <f>RIGHT(A297,2)</f>
        <v>31</v>
      </c>
      <c r="P297" s="43" t="str">
        <f>VLOOKUP(L297,'Issue Resolution'!$A$2:$A$999,1,FALSE)</f>
        <v>GPS signal at terminals</v>
      </c>
    </row>
    <row r="298" spans="1:16" x14ac:dyDescent="0.25">
      <c r="A298" s="23" t="s">
        <v>588</v>
      </c>
      <c r="B298" s="12">
        <v>4040</v>
      </c>
      <c r="C298" s="13">
        <v>42582.252997685187</v>
      </c>
      <c r="D298" s="13">
        <v>42582.254652777781</v>
      </c>
      <c r="E298" s="12">
        <v>1</v>
      </c>
      <c r="F298" s="10" t="s">
        <v>44</v>
      </c>
      <c r="G298" s="10" t="s">
        <v>420</v>
      </c>
      <c r="H298" s="22">
        <v>1.6550925938645378E-3</v>
      </c>
      <c r="I298" s="12"/>
      <c r="J298" s="12"/>
      <c r="K298" s="12">
        <v>36.866666661808267</v>
      </c>
      <c r="L298" s="33" t="s">
        <v>386</v>
      </c>
      <c r="M298" s="41">
        <v>1</v>
      </c>
      <c r="N298" s="50" t="e">
        <f>VLOOKUP(L298,'Issue Resolution'!$A$2:$A$9,1,FALSE)</f>
        <v>#N/A</v>
      </c>
      <c r="O298" s="47" t="str">
        <f>RIGHT(A298,2)</f>
        <v>31</v>
      </c>
      <c r="P298" s="43" t="str">
        <f>VLOOKUP(L298,'Issue Resolution'!$A$2:$A$999,1,FALSE)</f>
        <v>Operational Issue</v>
      </c>
    </row>
    <row r="299" spans="1:16" x14ac:dyDescent="0.25">
      <c r="A299" s="23" t="s">
        <v>589</v>
      </c>
      <c r="B299" s="12">
        <v>4012</v>
      </c>
      <c r="C299" s="13">
        <v>42582.46912037037</v>
      </c>
      <c r="D299" s="13">
        <v>42582.502604166664</v>
      </c>
      <c r="E299" s="12">
        <v>3</v>
      </c>
      <c r="F299" s="10" t="s">
        <v>40</v>
      </c>
      <c r="G299" s="10" t="s">
        <v>405</v>
      </c>
      <c r="H299" s="22">
        <v>3.3483796294603962E-2</v>
      </c>
      <c r="I299" s="12"/>
      <c r="J299" s="12"/>
      <c r="K299" s="12">
        <v>48.216666664229706</v>
      </c>
      <c r="L299" s="40" t="s">
        <v>1770</v>
      </c>
      <c r="M299" s="41">
        <v>0.25</v>
      </c>
      <c r="N299" s="50" t="e">
        <f>VLOOKUP(L299,'Issue Resolution'!$A$2:$A$9,1,FALSE)</f>
        <v>#N/A</v>
      </c>
      <c r="O299" s="47" t="str">
        <f>RIGHT(A299,2)</f>
        <v>31</v>
      </c>
      <c r="P299" s="43" t="str">
        <f>VLOOKUP(L299,'Issue Resolution'!$A$2:$A$999,1,FALSE)</f>
        <v>Operational Issue</v>
      </c>
    </row>
    <row r="300" spans="1:16" x14ac:dyDescent="0.25">
      <c r="A300" s="23" t="s">
        <v>590</v>
      </c>
      <c r="B300" s="12">
        <v>4031</v>
      </c>
      <c r="C300" s="13">
        <v>42582.520370370374</v>
      </c>
      <c r="D300" s="13">
        <v>42582.52076388889</v>
      </c>
      <c r="E300" s="12">
        <v>0</v>
      </c>
      <c r="F300" s="10" t="s">
        <v>38</v>
      </c>
      <c r="G300" s="10" t="s">
        <v>405</v>
      </c>
      <c r="H300" s="22">
        <v>3.9351851592073217E-4</v>
      </c>
      <c r="I300" s="12"/>
      <c r="J300" s="12"/>
      <c r="K300" s="12">
        <v>0.56666666292585433</v>
      </c>
      <c r="L300" s="33" t="s">
        <v>386</v>
      </c>
      <c r="M300" s="41">
        <v>0</v>
      </c>
      <c r="N300" s="50" t="e">
        <f>VLOOKUP(L300,'Issue Resolution'!$A$2:$A$9,1,FALSE)</f>
        <v>#N/A</v>
      </c>
      <c r="O300" s="47" t="str">
        <f>RIGHT(A300,2)</f>
        <v>31</v>
      </c>
      <c r="P300" s="43" t="str">
        <f>VLOOKUP(L300,'Issue Resolution'!$A$2:$A$999,1,FALSE)</f>
        <v>Operational Issue</v>
      </c>
    </row>
    <row r="301" spans="1:16" x14ac:dyDescent="0.25">
      <c r="A301" s="23" t="s">
        <v>591</v>
      </c>
      <c r="B301" s="12">
        <v>4031</v>
      </c>
      <c r="C301" s="13" t="s">
        <v>571</v>
      </c>
      <c r="D301" s="13" t="s">
        <v>571</v>
      </c>
      <c r="E301" s="12">
        <v>0</v>
      </c>
      <c r="F301" s="10" t="s">
        <v>38</v>
      </c>
      <c r="G301" s="10" t="e">
        <v>#N/A</v>
      </c>
      <c r="H301" s="13" t="s">
        <v>571</v>
      </c>
      <c r="I301" s="12"/>
      <c r="J301" s="12"/>
      <c r="K301" s="12">
        <v>1</v>
      </c>
      <c r="L301" s="8" t="s">
        <v>10</v>
      </c>
      <c r="M301" s="41">
        <v>0</v>
      </c>
      <c r="N301" s="50" t="str">
        <f>VLOOKUP(L301,'Issue Resolution'!$A$2:$A$9,1,FALSE)</f>
        <v>Dispatcher error preventing initialization at terminals</v>
      </c>
      <c r="O301" s="47" t="str">
        <f>RIGHT(A301,2)</f>
        <v>31</v>
      </c>
      <c r="P301" s="43" t="str">
        <f>VLOOKUP(L301,'Issue Resolution'!$A$2:$A$999,1,FALSE)</f>
        <v>Dispatcher error preventing initialization at terminals</v>
      </c>
    </row>
    <row r="302" spans="1:16" x14ac:dyDescent="0.25">
      <c r="A302" s="23" t="s">
        <v>592</v>
      </c>
      <c r="B302" s="12">
        <v>4028</v>
      </c>
      <c r="C302" s="13">
        <v>42582.596516203703</v>
      </c>
      <c r="D302" s="13">
        <v>42582.598402777781</v>
      </c>
      <c r="E302" s="12">
        <v>0</v>
      </c>
      <c r="F302" s="10" t="s">
        <v>36</v>
      </c>
      <c r="G302" s="10" t="s">
        <v>409</v>
      </c>
      <c r="H302" s="22">
        <v>1.8865740785258822E-3</v>
      </c>
      <c r="I302" s="12"/>
      <c r="J302" s="12"/>
      <c r="K302" s="12">
        <v>2.7166666730772704</v>
      </c>
      <c r="L302" s="40" t="s">
        <v>47</v>
      </c>
      <c r="M302" s="41">
        <v>0</v>
      </c>
      <c r="N302" s="50" t="str">
        <f>VLOOKUP(L302,'Issue Resolution'!$A$2:$A$9,1,FALSE)</f>
        <v>Onboard in-route failure</v>
      </c>
      <c r="O302" s="47" t="str">
        <f>RIGHT(A302,2)</f>
        <v>31</v>
      </c>
      <c r="P302" s="43" t="str">
        <f>VLOOKUP(L302,'Issue Resolution'!$A$2:$A$999,1,FALSE)</f>
        <v>Onboard in-route failure</v>
      </c>
    </row>
    <row r="303" spans="1:16" x14ac:dyDescent="0.25">
      <c r="A303" s="23" t="s">
        <v>593</v>
      </c>
      <c r="B303" s="12">
        <v>4039</v>
      </c>
      <c r="C303" s="13">
        <v>42582.608761574076</v>
      </c>
      <c r="D303" s="13">
        <v>42582.628067129626</v>
      </c>
      <c r="E303" s="12">
        <v>0</v>
      </c>
      <c r="F303" s="10" t="s">
        <v>44</v>
      </c>
      <c r="G303" s="10" t="s">
        <v>423</v>
      </c>
      <c r="H303" s="22">
        <v>1.9305555550090503E-2</v>
      </c>
      <c r="I303" s="12"/>
      <c r="J303" s="12"/>
      <c r="K303" s="12">
        <v>27.799999992130324</v>
      </c>
      <c r="L303" s="40" t="s">
        <v>47</v>
      </c>
      <c r="M303" s="41">
        <v>1</v>
      </c>
      <c r="N303" s="50" t="str">
        <f>VLOOKUP(L303,'Issue Resolution'!$A$2:$A$9,1,FALSE)</f>
        <v>Onboard in-route failure</v>
      </c>
      <c r="O303" s="47" t="str">
        <f>RIGHT(A303,2)</f>
        <v>31</v>
      </c>
      <c r="P303" s="43" t="str">
        <f>VLOOKUP(L303,'Issue Resolution'!$A$2:$A$999,1,FALSE)</f>
        <v>Onboard in-route failure</v>
      </c>
    </row>
    <row r="304" spans="1:16" x14ac:dyDescent="0.25">
      <c r="A304" s="23" t="s">
        <v>594</v>
      </c>
      <c r="B304" s="12">
        <v>4032</v>
      </c>
      <c r="C304" s="13" t="s">
        <v>571</v>
      </c>
      <c r="D304" s="13" t="s">
        <v>571</v>
      </c>
      <c r="E304" s="12">
        <v>0</v>
      </c>
      <c r="F304" s="10" t="s">
        <v>38</v>
      </c>
      <c r="G304" s="10" t="e">
        <v>#N/A</v>
      </c>
      <c r="H304" s="13" t="s">
        <v>571</v>
      </c>
      <c r="I304" s="12"/>
      <c r="J304" s="12"/>
      <c r="K304" s="12">
        <v>1</v>
      </c>
      <c r="L304" s="8" t="s">
        <v>10</v>
      </c>
      <c r="M304" s="41">
        <v>0</v>
      </c>
      <c r="N304" s="50" t="str">
        <f>VLOOKUP(L304,'Issue Resolution'!$A$2:$A$9,1,FALSE)</f>
        <v>Dispatcher error preventing initialization at terminals</v>
      </c>
      <c r="O304" s="47" t="str">
        <f>RIGHT(A304,2)</f>
        <v>31</v>
      </c>
      <c r="P304" s="43" t="str">
        <f>VLOOKUP(L304,'Issue Resolution'!$A$2:$A$999,1,FALSE)</f>
        <v>Dispatcher error preventing initialization at terminals</v>
      </c>
    </row>
    <row r="305" spans="1:16" x14ac:dyDescent="0.25">
      <c r="A305" s="23" t="s">
        <v>595</v>
      </c>
      <c r="B305" s="12">
        <v>4028</v>
      </c>
      <c r="C305" s="13" t="s">
        <v>571</v>
      </c>
      <c r="D305" s="13" t="s">
        <v>571</v>
      </c>
      <c r="E305" s="12">
        <v>0</v>
      </c>
      <c r="F305" s="10" t="s">
        <v>36</v>
      </c>
      <c r="G305" s="10" t="e">
        <v>#N/A</v>
      </c>
      <c r="H305" s="13" t="s">
        <v>571</v>
      </c>
      <c r="I305" s="12"/>
      <c r="J305" s="12"/>
      <c r="K305" s="12">
        <v>1</v>
      </c>
      <c r="L305" s="8" t="s">
        <v>10</v>
      </c>
      <c r="M305" s="41">
        <v>0</v>
      </c>
      <c r="N305" s="50" t="str">
        <f>VLOOKUP(L305,'Issue Resolution'!$A$2:$A$9,1,FALSE)</f>
        <v>Dispatcher error preventing initialization at terminals</v>
      </c>
      <c r="O305" s="47" t="str">
        <f>RIGHT(A305,2)</f>
        <v>31</v>
      </c>
      <c r="P305" s="43" t="str">
        <f>VLOOKUP(L305,'Issue Resolution'!$A$2:$A$999,1,FALSE)</f>
        <v>Dispatcher error preventing initialization at terminals</v>
      </c>
    </row>
    <row r="306" spans="1:16" x14ac:dyDescent="0.25">
      <c r="A306" s="10" t="s">
        <v>596</v>
      </c>
      <c r="B306" s="12">
        <v>4025</v>
      </c>
      <c r="C306" s="13">
        <v>42582.644918981481</v>
      </c>
      <c r="D306" s="13">
        <v>42582.667534722219</v>
      </c>
      <c r="E306" s="12">
        <v>0</v>
      </c>
      <c r="F306" s="10" t="s">
        <v>37</v>
      </c>
      <c r="G306" s="10" t="s">
        <v>450</v>
      </c>
      <c r="H306" s="22">
        <v>2.2615740737819578E-2</v>
      </c>
      <c r="I306" s="12"/>
      <c r="J306" s="12"/>
      <c r="K306" s="12">
        <v>32.566666662460193</v>
      </c>
      <c r="L306" s="40" t="s">
        <v>47</v>
      </c>
      <c r="M306" s="41">
        <v>1</v>
      </c>
      <c r="N306" s="50" t="str">
        <f>VLOOKUP(L306,'Issue Resolution'!$A$2:$A$9,1,FALSE)</f>
        <v>Onboard in-route failure</v>
      </c>
      <c r="O306" s="47" t="str">
        <f>RIGHT(A306,2)</f>
        <v>31</v>
      </c>
      <c r="P306" s="43" t="str">
        <f>VLOOKUP(L306,'Issue Resolution'!$A$2:$A$999,1,FALSE)</f>
        <v>Onboard in-route failure</v>
      </c>
    </row>
    <row r="307" spans="1:16" x14ac:dyDescent="0.25">
      <c r="A307" s="10" t="s">
        <v>597</v>
      </c>
      <c r="B307" s="12">
        <v>4028</v>
      </c>
      <c r="C307" s="13">
        <v>42582.72451388889</v>
      </c>
      <c r="D307" s="13">
        <v>42582.737997685188</v>
      </c>
      <c r="E307" s="12">
        <v>0</v>
      </c>
      <c r="F307" s="10" t="s">
        <v>36</v>
      </c>
      <c r="G307" s="10" t="s">
        <v>409</v>
      </c>
      <c r="H307" s="22">
        <v>1.3483796297805384E-2</v>
      </c>
      <c r="I307" s="12"/>
      <c r="J307" s="12"/>
      <c r="K307" s="12">
        <v>19.416666668839753</v>
      </c>
      <c r="L307" s="40" t="s">
        <v>47</v>
      </c>
      <c r="M307" s="41">
        <v>0</v>
      </c>
      <c r="N307" s="50" t="str">
        <f>VLOOKUP(L307,'Issue Resolution'!$A$2:$A$9,1,FALSE)</f>
        <v>Onboard in-route failure</v>
      </c>
      <c r="O307" s="47" t="str">
        <f>RIGHT(A307,2)</f>
        <v>31</v>
      </c>
      <c r="P307" s="43" t="str">
        <f>VLOOKUP(L307,'Issue Resolution'!$A$2:$A$999,1,FALSE)</f>
        <v>Onboard in-route failure</v>
      </c>
    </row>
    <row r="308" spans="1:16" x14ac:dyDescent="0.25">
      <c r="A308" s="10" t="s">
        <v>598</v>
      </c>
      <c r="B308" s="12">
        <v>4027</v>
      </c>
      <c r="C308" s="13">
        <v>42582.757476851853</v>
      </c>
      <c r="D308" s="13">
        <v>42582.758784722224</v>
      </c>
      <c r="E308" s="12">
        <v>0</v>
      </c>
      <c r="F308" s="10" t="s">
        <v>36</v>
      </c>
      <c r="G308" s="10" t="s">
        <v>434</v>
      </c>
      <c r="H308" s="22">
        <v>1.3078703705104999E-3</v>
      </c>
      <c r="I308" s="12"/>
      <c r="J308" s="12"/>
      <c r="K308" s="12">
        <v>1.8833333335351199</v>
      </c>
      <c r="L308" s="40" t="s">
        <v>47</v>
      </c>
      <c r="M308" s="41">
        <v>1</v>
      </c>
      <c r="N308" s="50" t="str">
        <f>VLOOKUP(L308,'Issue Resolution'!$A$2:$A$9,1,FALSE)</f>
        <v>Onboard in-route failure</v>
      </c>
      <c r="O308" s="47" t="str">
        <f>RIGHT(A308,2)</f>
        <v>31</v>
      </c>
      <c r="P308" s="43" t="str">
        <f>VLOOKUP(L308,'Issue Resolution'!$A$2:$A$999,1,FALSE)</f>
        <v>Onboard in-route failure</v>
      </c>
    </row>
    <row r="309" spans="1:16" x14ac:dyDescent="0.25">
      <c r="A309" s="10" t="s">
        <v>599</v>
      </c>
      <c r="B309" s="12">
        <v>4028</v>
      </c>
      <c r="C309" s="13" t="s">
        <v>571</v>
      </c>
      <c r="D309" s="13" t="s">
        <v>571</v>
      </c>
      <c r="E309" s="12">
        <v>0</v>
      </c>
      <c r="F309" s="10" t="s">
        <v>36</v>
      </c>
      <c r="G309" s="10" t="e">
        <v>#N/A</v>
      </c>
      <c r="H309" s="13" t="s">
        <v>571</v>
      </c>
      <c r="I309" s="12"/>
      <c r="J309" s="12"/>
      <c r="K309" s="12">
        <v>1</v>
      </c>
      <c r="L309" s="8" t="s">
        <v>10</v>
      </c>
      <c r="M309" s="41">
        <v>0</v>
      </c>
      <c r="N309" s="50" t="str">
        <f>VLOOKUP(L309,'Issue Resolution'!$A$2:$A$9,1,FALSE)</f>
        <v>Dispatcher error preventing initialization at terminals</v>
      </c>
      <c r="O309" s="47" t="str">
        <f>RIGHT(A309,2)</f>
        <v>31</v>
      </c>
      <c r="P309" s="43" t="str">
        <f>VLOOKUP(L309,'Issue Resolution'!$A$2:$A$999,1,FALSE)</f>
        <v>Dispatcher error preventing initialization at terminals</v>
      </c>
    </row>
    <row r="310" spans="1:16" x14ac:dyDescent="0.25">
      <c r="A310" s="10" t="s">
        <v>600</v>
      </c>
      <c r="B310" s="12">
        <v>4020</v>
      </c>
      <c r="C310" s="13">
        <v>42582.950798611113</v>
      </c>
      <c r="D310" s="13">
        <v>42582.97446759259</v>
      </c>
      <c r="E310" s="12">
        <v>1</v>
      </c>
      <c r="F310" s="10" t="s">
        <v>32</v>
      </c>
      <c r="G310" s="10" t="s">
        <v>504</v>
      </c>
      <c r="H310" s="22">
        <v>2.3668981477385387E-2</v>
      </c>
      <c r="I310" s="12"/>
      <c r="J310" s="12"/>
      <c r="K310" s="12">
        <v>34.083333327434957</v>
      </c>
      <c r="L310" s="8" t="s">
        <v>11</v>
      </c>
      <c r="M310" s="41">
        <v>1</v>
      </c>
      <c r="N310" s="50" t="str">
        <f>VLOOKUP(L310,'Issue Resolution'!$A$2:$A$9,1,FALSE)</f>
        <v>Link failures in wayside equipment</v>
      </c>
      <c r="O310" s="47" t="str">
        <f>RIGHT(A310,2)</f>
        <v>31</v>
      </c>
      <c r="P310" s="43" t="str">
        <f>VLOOKUP(L310,'Issue Resolution'!$A$2:$A$999,1,FALSE)</f>
        <v>Link failures in wayside equipment</v>
      </c>
    </row>
  </sheetData>
  <autoFilter ref="A1:P310"/>
  <sortState ref="A2:O310">
    <sortCondition ref="O2:O310"/>
    <sortCondition ref="A2:A31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I61"/>
  <sheetViews>
    <sheetView workbookViewId="0"/>
    <sheetView topLeftCell="A22" workbookViewId="1">
      <selection activeCell="C16" sqref="C16"/>
    </sheetView>
  </sheetViews>
  <sheetFormatPr defaultRowHeight="15" x14ac:dyDescent="0.25"/>
  <cols>
    <col min="1" max="1" width="9.140625" style="16"/>
    <col min="2" max="2" width="7.28515625" style="75" bestFit="1" customWidth="1"/>
    <col min="3" max="3" width="34.5703125" style="16" bestFit="1" customWidth="1"/>
    <col min="4" max="4" width="31.28515625" style="16" bestFit="1" customWidth="1"/>
    <col min="5" max="5" width="12" style="16" bestFit="1" customWidth="1"/>
    <col min="6" max="6" width="10.85546875" style="71" bestFit="1" customWidth="1"/>
    <col min="7" max="7" width="49.140625" style="16" customWidth="1"/>
    <col min="8" max="8" width="9.140625" style="11"/>
    <col min="9" max="9" width="9.7109375" style="39" bestFit="1" customWidth="1"/>
    <col min="10" max="16384" width="9.140625" style="11"/>
  </cols>
  <sheetData>
    <row r="1" spans="1:9" x14ac:dyDescent="0.25">
      <c r="A1" s="14" t="s">
        <v>24</v>
      </c>
      <c r="B1" s="72" t="s">
        <v>25</v>
      </c>
      <c r="C1" s="15" t="s">
        <v>26</v>
      </c>
      <c r="D1" s="15" t="s">
        <v>27</v>
      </c>
      <c r="E1" s="14" t="s">
        <v>28</v>
      </c>
      <c r="F1" s="68" t="s">
        <v>29</v>
      </c>
      <c r="G1" s="14" t="s">
        <v>30</v>
      </c>
      <c r="H1" s="11" t="s">
        <v>394</v>
      </c>
      <c r="I1" s="39" t="s">
        <v>393</v>
      </c>
    </row>
    <row r="2" spans="1:9" x14ac:dyDescent="0.25">
      <c r="A2" s="23" t="s">
        <v>259</v>
      </c>
      <c r="B2" s="73">
        <v>4014</v>
      </c>
      <c r="C2" s="13">
        <v>42552.242465277777</v>
      </c>
      <c r="D2" s="13">
        <v>42552.24722222222</v>
      </c>
      <c r="E2" s="10" t="s">
        <v>39</v>
      </c>
      <c r="F2" s="69">
        <v>4.756944443215616E-3</v>
      </c>
      <c r="G2" s="40" t="s">
        <v>47</v>
      </c>
      <c r="H2" t="str">
        <f>RIGHT(A2,2)</f>
        <v>01</v>
      </c>
      <c r="I2" s="39">
        <f>42522+H2-1+30</f>
        <v>42552</v>
      </c>
    </row>
    <row r="3" spans="1:9" x14ac:dyDescent="0.25">
      <c r="A3" s="10" t="s">
        <v>614</v>
      </c>
      <c r="B3" s="73">
        <v>4014</v>
      </c>
      <c r="C3" s="13">
        <v>42552.760069444441</v>
      </c>
      <c r="D3" s="13">
        <v>42552.760081018518</v>
      </c>
      <c r="E3" s="10" t="s">
        <v>39</v>
      </c>
      <c r="F3" s="69">
        <v>1.1574076779652387E-5</v>
      </c>
      <c r="G3" s="40" t="s">
        <v>47</v>
      </c>
      <c r="H3" t="str">
        <f>RIGHT(A3,2)</f>
        <v>01</v>
      </c>
      <c r="I3" s="39">
        <f>42522+H3-1+30</f>
        <v>42552</v>
      </c>
    </row>
    <row r="4" spans="1:9" x14ac:dyDescent="0.25">
      <c r="A4" s="10" t="s">
        <v>615</v>
      </c>
      <c r="B4" s="73">
        <v>4030</v>
      </c>
      <c r="C4" s="13">
        <v>42552.831666666665</v>
      </c>
      <c r="D4" s="13">
        <v>42552.831701388888</v>
      </c>
      <c r="E4" s="10" t="s">
        <v>33</v>
      </c>
      <c r="F4" s="69">
        <v>3.4722223062999547E-5</v>
      </c>
      <c r="G4" s="40" t="s">
        <v>47</v>
      </c>
      <c r="H4" t="str">
        <f>RIGHT(A4,2)</f>
        <v>01</v>
      </c>
      <c r="I4" s="39">
        <f>42522+H4-1+30</f>
        <v>42552</v>
      </c>
    </row>
    <row r="5" spans="1:9" x14ac:dyDescent="0.25">
      <c r="A5" s="10" t="s">
        <v>616</v>
      </c>
      <c r="B5" s="73">
        <v>4041</v>
      </c>
      <c r="C5" s="13">
        <v>42552.973368055558</v>
      </c>
      <c r="D5" s="13">
        <v>42552.973379629628</v>
      </c>
      <c r="E5" s="10" t="s">
        <v>49</v>
      </c>
      <c r="F5" s="69">
        <v>1.1574069503694773E-5</v>
      </c>
      <c r="G5" s="40" t="s">
        <v>47</v>
      </c>
      <c r="H5" t="str">
        <f>RIGHT(A5,2)</f>
        <v>01</v>
      </c>
      <c r="I5" s="39">
        <f>42522+H5-1+30</f>
        <v>42552</v>
      </c>
    </row>
    <row r="6" spans="1:9" x14ac:dyDescent="0.25">
      <c r="A6" s="23" t="s">
        <v>144</v>
      </c>
      <c r="B6" s="73">
        <v>4043</v>
      </c>
      <c r="C6" s="13">
        <v>42553.541354166664</v>
      </c>
      <c r="D6" s="13">
        <v>42553.542013888888</v>
      </c>
      <c r="E6" s="10" t="s">
        <v>42</v>
      </c>
      <c r="F6" s="69">
        <v>6.5972222364507616E-4</v>
      </c>
      <c r="G6" s="40" t="s">
        <v>12</v>
      </c>
      <c r="H6" t="str">
        <f>RIGHT(A6,2)</f>
        <v>02</v>
      </c>
      <c r="I6" s="39">
        <f>42522+H6-1+30</f>
        <v>42553</v>
      </c>
    </row>
    <row r="7" spans="1:9" x14ac:dyDescent="0.25">
      <c r="A7" s="10" t="s">
        <v>618</v>
      </c>
      <c r="B7" s="74">
        <v>4032</v>
      </c>
      <c r="C7" s="42">
        <v>42553.735983796294</v>
      </c>
      <c r="D7" s="42">
        <v>42553.73678240741</v>
      </c>
      <c r="E7" s="10" t="s">
        <v>38</v>
      </c>
      <c r="F7" s="69">
        <v>7.9861111589707434E-4</v>
      </c>
      <c r="G7" s="40" t="s">
        <v>47</v>
      </c>
      <c r="H7" t="str">
        <f>RIGHT(A7,2)</f>
        <v>02</v>
      </c>
      <c r="I7" s="39">
        <f>42522+H7-1+30</f>
        <v>42553</v>
      </c>
    </row>
    <row r="8" spans="1:9" x14ac:dyDescent="0.25">
      <c r="A8" s="23" t="s">
        <v>622</v>
      </c>
      <c r="B8" s="73">
        <v>4011</v>
      </c>
      <c r="C8" s="13">
        <v>42554.548090277778</v>
      </c>
      <c r="D8" s="13">
        <v>42554.550092592595</v>
      </c>
      <c r="E8" s="10" t="s">
        <v>40</v>
      </c>
      <c r="F8" s="69">
        <v>2.0023148172185756E-3</v>
      </c>
      <c r="G8" s="40" t="s">
        <v>47</v>
      </c>
      <c r="H8" t="str">
        <f>RIGHT(A8,2)</f>
        <v>03</v>
      </c>
      <c r="I8" s="39">
        <f>42522+H8-1+30</f>
        <v>42554</v>
      </c>
    </row>
    <row r="9" spans="1:9" x14ac:dyDescent="0.25">
      <c r="A9" s="23" t="s">
        <v>152</v>
      </c>
      <c r="B9" s="73">
        <v>4039</v>
      </c>
      <c r="C9" s="13">
        <v>42554.578310185185</v>
      </c>
      <c r="D9" s="13">
        <v>42554.585601851853</v>
      </c>
      <c r="E9" s="10" t="s">
        <v>44</v>
      </c>
      <c r="F9" s="69">
        <v>7.291666668606922E-3</v>
      </c>
      <c r="G9" s="40" t="s">
        <v>47</v>
      </c>
      <c r="H9" t="str">
        <f>RIGHT(A9,2)</f>
        <v>03</v>
      </c>
      <c r="I9" s="39">
        <f>42522+H9-1+30</f>
        <v>42554</v>
      </c>
    </row>
    <row r="10" spans="1:9" x14ac:dyDescent="0.25">
      <c r="A10" s="23" t="s">
        <v>625</v>
      </c>
      <c r="B10" s="73">
        <v>4013</v>
      </c>
      <c r="C10" s="13">
        <v>42554.953645833331</v>
      </c>
      <c r="D10" s="13">
        <v>42554.955393518518</v>
      </c>
      <c r="E10" s="10" t="s">
        <v>39</v>
      </c>
      <c r="F10" s="69">
        <v>1.747685186273884E-3</v>
      </c>
      <c r="G10" s="40" t="s">
        <v>47</v>
      </c>
      <c r="H10" t="str">
        <f>RIGHT(A10,2)</f>
        <v>03</v>
      </c>
      <c r="I10" s="39">
        <f>42522+H10-1+30</f>
        <v>42554</v>
      </c>
    </row>
    <row r="11" spans="1:9" x14ac:dyDescent="0.25">
      <c r="A11" s="10" t="s">
        <v>275</v>
      </c>
      <c r="B11" s="74">
        <v>4029</v>
      </c>
      <c r="C11" s="42">
        <v>42555.714953703704</v>
      </c>
      <c r="D11" s="42">
        <v>42555.749027777776</v>
      </c>
      <c r="E11" s="10" t="s">
        <v>33</v>
      </c>
      <c r="F11" s="69">
        <v>3.407407407212304E-2</v>
      </c>
      <c r="G11" s="40" t="s">
        <v>47</v>
      </c>
      <c r="H11" t="str">
        <f>RIGHT(A11,2)</f>
        <v>04</v>
      </c>
      <c r="I11" s="39">
        <f>42522+H11-1+30</f>
        <v>42555</v>
      </c>
    </row>
    <row r="12" spans="1:9" x14ac:dyDescent="0.25">
      <c r="A12" s="23" t="s">
        <v>629</v>
      </c>
      <c r="B12" s="73">
        <v>4040</v>
      </c>
      <c r="C12" s="13">
        <v>42555.790532407409</v>
      </c>
      <c r="D12" s="13">
        <v>42555.792314814818</v>
      </c>
      <c r="E12" s="10" t="s">
        <v>44</v>
      </c>
      <c r="F12" s="69">
        <v>1.7824074093368836E-3</v>
      </c>
      <c r="G12" s="40" t="s">
        <v>47</v>
      </c>
      <c r="H12" t="str">
        <f>RIGHT(A12,2)</f>
        <v>04</v>
      </c>
      <c r="I12" s="39">
        <f>42522+H12-1+30</f>
        <v>42555</v>
      </c>
    </row>
    <row r="13" spans="1:9" x14ac:dyDescent="0.25">
      <c r="A13" s="23" t="s">
        <v>632</v>
      </c>
      <c r="B13" s="73">
        <v>4038</v>
      </c>
      <c r="C13" s="13">
        <v>42556.18550925926</v>
      </c>
      <c r="D13" s="13">
        <v>42556.187939814816</v>
      </c>
      <c r="E13" s="10" t="s">
        <v>35</v>
      </c>
      <c r="F13" s="69">
        <v>2.4305555562023073E-3</v>
      </c>
      <c r="G13" s="40" t="s">
        <v>8</v>
      </c>
      <c r="H13" t="str">
        <f>RIGHT(A13,2)</f>
        <v>05</v>
      </c>
      <c r="I13" s="39">
        <f>42522+H13-1+30</f>
        <v>42556</v>
      </c>
    </row>
    <row r="14" spans="1:9" x14ac:dyDescent="0.25">
      <c r="A14" s="10" t="s">
        <v>638</v>
      </c>
      <c r="B14" s="73">
        <v>4043</v>
      </c>
      <c r="C14" s="13">
        <v>42556.288124999999</v>
      </c>
      <c r="D14" s="13">
        <v>42556.292222222219</v>
      </c>
      <c r="E14" s="10" t="s">
        <v>42</v>
      </c>
      <c r="F14" s="69">
        <v>4.0972222195705399E-3</v>
      </c>
      <c r="G14" s="40" t="s">
        <v>387</v>
      </c>
      <c r="H14" t="str">
        <f>RIGHT(A14,2)</f>
        <v>05</v>
      </c>
      <c r="I14" s="39">
        <f>42522+H14-1+30</f>
        <v>42556</v>
      </c>
    </row>
    <row r="15" spans="1:9" x14ac:dyDescent="0.25">
      <c r="A15" s="23" t="s">
        <v>645</v>
      </c>
      <c r="B15" s="73">
        <v>4032</v>
      </c>
      <c r="C15" s="13">
        <v>42556.350381944445</v>
      </c>
      <c r="D15" s="13">
        <v>42556.351655092592</v>
      </c>
      <c r="E15" s="10" t="s">
        <v>38</v>
      </c>
      <c r="F15" s="69">
        <v>1.2731481474475004E-3</v>
      </c>
      <c r="G15" s="40" t="s">
        <v>47</v>
      </c>
      <c r="H15" t="str">
        <f>RIGHT(A15,2)</f>
        <v>05</v>
      </c>
      <c r="I15" s="39">
        <f>42522+H15-1+30</f>
        <v>42556</v>
      </c>
    </row>
    <row r="16" spans="1:9" x14ac:dyDescent="0.25">
      <c r="A16" s="23" t="s">
        <v>664</v>
      </c>
      <c r="B16" s="73">
        <v>4017</v>
      </c>
      <c r="C16" s="13">
        <v>42557.798784722225</v>
      </c>
      <c r="D16" s="13">
        <v>42557.798900462964</v>
      </c>
      <c r="E16" s="10" t="s">
        <v>41</v>
      </c>
      <c r="F16" s="69">
        <v>1.1574073869269341E-4</v>
      </c>
      <c r="G16" s="40" t="s">
        <v>47</v>
      </c>
      <c r="H16" t="str">
        <f>RIGHT(A16,2)</f>
        <v>06</v>
      </c>
      <c r="I16" s="39">
        <f>42522+H16-1+30</f>
        <v>42557</v>
      </c>
    </row>
    <row r="17" spans="1:9" x14ac:dyDescent="0.25">
      <c r="A17" s="23" t="s">
        <v>671</v>
      </c>
      <c r="B17" s="73">
        <v>4037</v>
      </c>
      <c r="C17" s="13">
        <v>42558.516122685185</v>
      </c>
      <c r="D17" s="13">
        <v>42558.522430555553</v>
      </c>
      <c r="E17" s="10" t="s">
        <v>35</v>
      </c>
      <c r="F17" s="69">
        <v>6.3078703678911552E-3</v>
      </c>
      <c r="G17" s="40" t="s">
        <v>12</v>
      </c>
      <c r="H17" t="str">
        <f>RIGHT(A17,2)</f>
        <v>07</v>
      </c>
      <c r="I17" s="39">
        <f>42522+H17-1+30</f>
        <v>42558</v>
      </c>
    </row>
    <row r="18" spans="1:9" x14ac:dyDescent="0.25">
      <c r="A18" s="10" t="s">
        <v>680</v>
      </c>
      <c r="B18" s="73">
        <v>4044</v>
      </c>
      <c r="C18" s="13">
        <v>42559.703217592592</v>
      </c>
      <c r="D18" s="13">
        <v>42559.706377314818</v>
      </c>
      <c r="E18" s="10" t="s">
        <v>42</v>
      </c>
      <c r="F18" s="69">
        <v>3.1597222259733826E-3</v>
      </c>
      <c r="G18" s="40" t="s">
        <v>386</v>
      </c>
      <c r="H18" t="str">
        <f>RIGHT(A18,2)</f>
        <v>08</v>
      </c>
      <c r="I18" s="39">
        <f>42522+H18-1+30</f>
        <v>42559</v>
      </c>
    </row>
    <row r="19" spans="1:9" x14ac:dyDescent="0.25">
      <c r="A19" s="23" t="s">
        <v>412</v>
      </c>
      <c r="B19" s="73">
        <v>4008</v>
      </c>
      <c r="C19" s="13">
        <v>42561.081377314818</v>
      </c>
      <c r="D19" s="13">
        <v>42561.090821759259</v>
      </c>
      <c r="E19" s="10" t="s">
        <v>34</v>
      </c>
      <c r="F19" s="69">
        <v>9.444444440305233E-3</v>
      </c>
      <c r="G19" s="40" t="s">
        <v>12</v>
      </c>
      <c r="H19" t="str">
        <f>RIGHT(A19,2)</f>
        <v>09</v>
      </c>
      <c r="I19" s="39">
        <f>42522+H19-1+30</f>
        <v>42560</v>
      </c>
    </row>
    <row r="20" spans="1:9" x14ac:dyDescent="0.25">
      <c r="A20" s="23" t="s">
        <v>412</v>
      </c>
      <c r="B20" s="73">
        <v>4008</v>
      </c>
      <c r="C20" s="13">
        <v>42561.081377314818</v>
      </c>
      <c r="D20" s="13">
        <v>42561.090821759259</v>
      </c>
      <c r="E20" s="10" t="s">
        <v>34</v>
      </c>
      <c r="F20" s="69">
        <v>9.444444440305233E-3</v>
      </c>
      <c r="G20" s="40" t="s">
        <v>12</v>
      </c>
      <c r="H20" t="str">
        <f>RIGHT(A20,2)</f>
        <v>09</v>
      </c>
      <c r="I20" s="39">
        <f>42522+H20-1+30</f>
        <v>42560</v>
      </c>
    </row>
    <row r="21" spans="1:9" x14ac:dyDescent="0.25">
      <c r="A21" s="23" t="s">
        <v>417</v>
      </c>
      <c r="B21" s="73">
        <v>4026</v>
      </c>
      <c r="C21" s="13">
        <v>42562.434282407405</v>
      </c>
      <c r="D21" s="13">
        <v>42562.4371875</v>
      </c>
      <c r="E21" s="10" t="s">
        <v>37</v>
      </c>
      <c r="F21" s="69">
        <v>2.905092595028691E-3</v>
      </c>
      <c r="G21" s="40" t="s">
        <v>12</v>
      </c>
      <c r="H21" t="str">
        <f>RIGHT(A21,2)</f>
        <v>11</v>
      </c>
      <c r="I21" s="39">
        <f>42522+H21-1+30</f>
        <v>42562</v>
      </c>
    </row>
    <row r="22" spans="1:9" x14ac:dyDescent="0.25">
      <c r="A22" s="23" t="s">
        <v>454</v>
      </c>
      <c r="B22" s="73">
        <v>4031</v>
      </c>
      <c r="C22" s="13">
        <v>42565.360706018517</v>
      </c>
      <c r="D22" s="13">
        <v>42565.362060185187</v>
      </c>
      <c r="E22" s="10" t="s">
        <v>38</v>
      </c>
      <c r="F22" s="69">
        <v>1.3541666703531519E-3</v>
      </c>
      <c r="G22" s="40" t="s">
        <v>47</v>
      </c>
      <c r="H22" t="str">
        <f>RIGHT(A22,2)</f>
        <v>14</v>
      </c>
      <c r="I22" s="39">
        <f>42522+H22-1+30</f>
        <v>42565</v>
      </c>
    </row>
    <row r="23" spans="1:9" x14ac:dyDescent="0.25">
      <c r="A23" s="23" t="s">
        <v>316</v>
      </c>
      <c r="B23" s="73">
        <v>4044</v>
      </c>
      <c r="C23" s="13">
        <v>42565.537499999999</v>
      </c>
      <c r="D23" s="13">
        <v>42565.559745370374</v>
      </c>
      <c r="E23" s="10" t="s">
        <v>42</v>
      </c>
      <c r="F23" s="69">
        <v>2.2245370375458151E-2</v>
      </c>
      <c r="G23" s="40" t="s">
        <v>47</v>
      </c>
      <c r="H23" t="str">
        <f>RIGHT(A23,2)</f>
        <v>14</v>
      </c>
      <c r="I23" s="39">
        <f>42522+H23-1+30</f>
        <v>42565</v>
      </c>
    </row>
    <row r="24" spans="1:9" x14ac:dyDescent="0.25">
      <c r="A24" s="23" t="s">
        <v>476</v>
      </c>
      <c r="B24" s="73">
        <v>4029</v>
      </c>
      <c r="C24" s="13">
        <v>42567.527245370373</v>
      </c>
      <c r="D24" s="13">
        <v>42567.53601851852</v>
      </c>
      <c r="E24" s="10" t="s">
        <v>33</v>
      </c>
      <c r="F24" s="69">
        <v>8.7731481471564621E-3</v>
      </c>
      <c r="G24" s="40" t="s">
        <v>47</v>
      </c>
      <c r="H24" t="str">
        <f>RIGHT(A24,2)</f>
        <v>16</v>
      </c>
      <c r="I24" s="39">
        <f>42522+H24-1+30</f>
        <v>42567</v>
      </c>
    </row>
    <row r="25" spans="1:9" x14ac:dyDescent="0.25">
      <c r="A25" s="23" t="s">
        <v>481</v>
      </c>
      <c r="B25" s="73">
        <v>4029</v>
      </c>
      <c r="C25" s="13">
        <v>42567.611226851855</v>
      </c>
      <c r="D25" s="13">
        <v>42567.614733796298</v>
      </c>
      <c r="E25" s="10" t="s">
        <v>33</v>
      </c>
      <c r="F25" s="69">
        <v>3.5069444420514628E-3</v>
      </c>
      <c r="G25" s="40" t="s">
        <v>47</v>
      </c>
      <c r="H25" t="str">
        <f>RIGHT(A25,2)</f>
        <v>16</v>
      </c>
      <c r="I25" s="39">
        <f>42522+H25-1+30</f>
        <v>42567</v>
      </c>
    </row>
    <row r="26" spans="1:9" x14ac:dyDescent="0.25">
      <c r="A26" s="23" t="s">
        <v>185</v>
      </c>
      <c r="B26" s="73">
        <v>4041</v>
      </c>
      <c r="C26" s="13">
        <v>42567.684224537035</v>
      </c>
      <c r="D26" s="13">
        <v>42567.694699074076</v>
      </c>
      <c r="E26" s="10" t="s">
        <v>49</v>
      </c>
      <c r="F26" s="69">
        <v>1.0474537040863652E-2</v>
      </c>
      <c r="G26" s="40" t="s">
        <v>234</v>
      </c>
      <c r="H26" t="str">
        <f>RIGHT(A26,2)</f>
        <v>16</v>
      </c>
      <c r="I26" s="39">
        <f>42522+H26-1+30</f>
        <v>42567</v>
      </c>
    </row>
    <row r="27" spans="1:9" x14ac:dyDescent="0.25">
      <c r="A27" s="23" t="s">
        <v>492</v>
      </c>
      <c r="B27" s="73">
        <v>4007</v>
      </c>
      <c r="C27" s="13">
        <v>42568.464467592596</v>
      </c>
      <c r="D27" s="13">
        <v>42568.472905092596</v>
      </c>
      <c r="E27" s="10" t="s">
        <v>34</v>
      </c>
      <c r="F27" s="69">
        <v>8.4375000005820766E-3</v>
      </c>
      <c r="G27" s="40" t="s">
        <v>47</v>
      </c>
      <c r="H27" t="str">
        <f>RIGHT(A27,2)</f>
        <v>17</v>
      </c>
      <c r="I27" s="39">
        <f>42522+H27-1+30</f>
        <v>42568</v>
      </c>
    </row>
    <row r="28" spans="1:9" x14ac:dyDescent="0.25">
      <c r="A28" s="23" t="s">
        <v>503</v>
      </c>
      <c r="B28" s="73">
        <v>4010</v>
      </c>
      <c r="C28" s="13">
        <v>42568.751296296294</v>
      </c>
      <c r="D28" s="13">
        <v>42568.765300925923</v>
      </c>
      <c r="E28" s="10" t="s">
        <v>45</v>
      </c>
      <c r="F28" s="69">
        <v>1.4004629629198462E-2</v>
      </c>
      <c r="G28" s="40" t="s">
        <v>12</v>
      </c>
      <c r="H28" t="str">
        <f>RIGHT(A28,2)</f>
        <v>17</v>
      </c>
      <c r="I28" s="39">
        <f>42522+H28-1+30</f>
        <v>42568</v>
      </c>
    </row>
    <row r="29" spans="1:9" x14ac:dyDescent="0.25">
      <c r="A29" s="23" t="s">
        <v>240</v>
      </c>
      <c r="B29" s="73">
        <v>4043</v>
      </c>
      <c r="C29" s="13">
        <v>42568.943784722222</v>
      </c>
      <c r="D29" s="13">
        <v>42568.963518518518</v>
      </c>
      <c r="E29" s="10" t="s">
        <v>42</v>
      </c>
      <c r="F29" s="69">
        <v>1.9733796296350192E-2</v>
      </c>
      <c r="G29" s="40" t="s">
        <v>12</v>
      </c>
      <c r="H29" t="str">
        <f>RIGHT(A29,2)</f>
        <v>17</v>
      </c>
      <c r="I29" s="39">
        <f>42522+H29-1+30</f>
        <v>42568</v>
      </c>
    </row>
    <row r="30" spans="1:9" x14ac:dyDescent="0.25">
      <c r="A30" s="23" t="s">
        <v>335</v>
      </c>
      <c r="B30" s="73">
        <v>4026</v>
      </c>
      <c r="C30" s="13">
        <v>42571.495312500003</v>
      </c>
      <c r="D30" s="13">
        <v>42571.496701388889</v>
      </c>
      <c r="E30" s="10" t="s">
        <v>37</v>
      </c>
      <c r="F30" s="69">
        <v>1.3888888861401938E-3</v>
      </c>
      <c r="G30" s="40" t="s">
        <v>47</v>
      </c>
      <c r="H30" t="str">
        <f>RIGHT(A30,2)</f>
        <v>20</v>
      </c>
      <c r="I30" s="39">
        <f>42522+H30-1+30</f>
        <v>42571</v>
      </c>
    </row>
    <row r="31" spans="1:9" x14ac:dyDescent="0.25">
      <c r="A31" s="23" t="s">
        <v>348</v>
      </c>
      <c r="B31" s="73">
        <v>4012</v>
      </c>
      <c r="C31" s="13">
        <v>42572.661041666666</v>
      </c>
      <c r="D31" s="13">
        <v>42572.688460648147</v>
      </c>
      <c r="E31" s="10" t="s">
        <v>40</v>
      </c>
      <c r="F31" s="69">
        <v>2.7418981480877846E-2</v>
      </c>
      <c r="G31" s="40" t="s">
        <v>47</v>
      </c>
      <c r="H31" t="str">
        <f>RIGHT(A31,2)</f>
        <v>21</v>
      </c>
      <c r="I31" s="39">
        <f>42522+H31-1+30</f>
        <v>42572</v>
      </c>
    </row>
    <row r="32" spans="1:9" x14ac:dyDescent="0.25">
      <c r="A32" s="23" t="s">
        <v>340</v>
      </c>
      <c r="B32" s="73">
        <v>4009</v>
      </c>
      <c r="C32" s="13">
        <v>42572.666145833333</v>
      </c>
      <c r="D32" s="13">
        <v>42572.667615740742</v>
      </c>
      <c r="E32" s="10" t="s">
        <v>45</v>
      </c>
      <c r="F32" s="69">
        <v>1.4699074090458453E-3</v>
      </c>
      <c r="G32" s="40" t="s">
        <v>47</v>
      </c>
      <c r="H32" t="str">
        <f>RIGHT(A32,2)</f>
        <v>21</v>
      </c>
      <c r="I32" s="39">
        <f>42522+H32-1+30</f>
        <v>42572</v>
      </c>
    </row>
    <row r="33" spans="1:9" x14ac:dyDescent="0.25">
      <c r="A33" s="23" t="s">
        <v>196</v>
      </c>
      <c r="B33" s="73">
        <v>4010</v>
      </c>
      <c r="C33" s="13">
        <v>42572.808368055557</v>
      </c>
      <c r="D33" s="13">
        <v>42572.811192129629</v>
      </c>
      <c r="E33" s="10" t="s">
        <v>45</v>
      </c>
      <c r="F33" s="69">
        <v>2.8240740721230395E-3</v>
      </c>
      <c r="G33" s="40" t="s">
        <v>47</v>
      </c>
      <c r="H33" t="str">
        <f>RIGHT(A33,2)</f>
        <v>21</v>
      </c>
      <c r="I33" s="39">
        <f>42522+H33-1+30</f>
        <v>42572</v>
      </c>
    </row>
    <row r="34" spans="1:9" x14ac:dyDescent="0.25">
      <c r="A34" s="10" t="s">
        <v>541</v>
      </c>
      <c r="B34" s="73">
        <v>4041</v>
      </c>
      <c r="C34" s="13">
        <v>42573.969282407408</v>
      </c>
      <c r="D34" s="13">
        <v>42573.995428240742</v>
      </c>
      <c r="E34" s="10" t="s">
        <v>49</v>
      </c>
      <c r="F34" s="69">
        <v>2.6145833333430346E-2</v>
      </c>
      <c r="G34" s="40" t="s">
        <v>47</v>
      </c>
      <c r="H34" t="str">
        <f>RIGHT(A34,2)</f>
        <v>22</v>
      </c>
      <c r="I34" s="39">
        <f>42522+H34-1+30</f>
        <v>42573</v>
      </c>
    </row>
    <row r="35" spans="1:9" x14ac:dyDescent="0.25">
      <c r="A35" s="23" t="s">
        <v>204</v>
      </c>
      <c r="B35" s="73">
        <v>4013</v>
      </c>
      <c r="C35" s="13">
        <v>42575.297268518516</v>
      </c>
      <c r="D35" s="13">
        <v>42575.326562499999</v>
      </c>
      <c r="E35" s="10" t="s">
        <v>39</v>
      </c>
      <c r="F35" s="69">
        <v>2.9293981482624076E-2</v>
      </c>
      <c r="G35" s="40" t="s">
        <v>386</v>
      </c>
      <c r="H35" t="str">
        <f>RIGHT(A35,2)</f>
        <v>24</v>
      </c>
      <c r="I35" s="39">
        <f>42522+H35-1+30</f>
        <v>42575</v>
      </c>
    </row>
    <row r="36" spans="1:9" x14ac:dyDescent="0.25">
      <c r="A36" s="23" t="s">
        <v>550</v>
      </c>
      <c r="B36" s="73">
        <v>4019</v>
      </c>
      <c r="C36" s="13">
        <v>42576.28460648148</v>
      </c>
      <c r="D36" s="13">
        <v>42576.296249999999</v>
      </c>
      <c r="E36" s="10" t="s">
        <v>32</v>
      </c>
      <c r="F36" s="69">
        <v>1.1643518519122154E-2</v>
      </c>
      <c r="G36" s="40" t="s">
        <v>10</v>
      </c>
      <c r="H36" t="str">
        <f>RIGHT(A36,2)</f>
        <v>25</v>
      </c>
      <c r="I36" s="39">
        <f>42522+H36-1+30</f>
        <v>42576</v>
      </c>
    </row>
    <row r="37" spans="1:9" x14ac:dyDescent="0.25">
      <c r="A37" s="23" t="s">
        <v>247</v>
      </c>
      <c r="B37" s="73">
        <v>4037</v>
      </c>
      <c r="C37" s="13">
        <v>42576.401666666665</v>
      </c>
      <c r="D37" s="13">
        <v>42576.405277777776</v>
      </c>
      <c r="E37" s="10" t="s">
        <v>35</v>
      </c>
      <c r="F37" s="69">
        <v>3.6111111112404615E-3</v>
      </c>
      <c r="G37" s="40" t="s">
        <v>47</v>
      </c>
      <c r="H37" t="str">
        <f>RIGHT(A37,2)</f>
        <v>25</v>
      </c>
      <c r="I37" s="39">
        <f>42522+H37-1+30</f>
        <v>42576</v>
      </c>
    </row>
    <row r="38" spans="1:9" x14ac:dyDescent="0.25">
      <c r="A38" s="10" t="s">
        <v>555</v>
      </c>
      <c r="B38" s="73">
        <v>4041</v>
      </c>
      <c r="C38" s="13">
        <v>42576.508425925924</v>
      </c>
      <c r="D38" s="13">
        <v>42576.51866898148</v>
      </c>
      <c r="E38" s="10" t="s">
        <v>49</v>
      </c>
      <c r="F38" s="70">
        <v>1.0243055556202307E-2</v>
      </c>
      <c r="G38" s="40" t="s">
        <v>12</v>
      </c>
      <c r="H38" t="str">
        <f>RIGHT(A38,2)</f>
        <v>25</v>
      </c>
      <c r="I38" s="39">
        <f>42522+H38-1+30</f>
        <v>42576</v>
      </c>
    </row>
    <row r="39" spans="1:9" x14ac:dyDescent="0.25">
      <c r="A39" s="10" t="s">
        <v>56</v>
      </c>
      <c r="B39" s="73">
        <v>4019</v>
      </c>
      <c r="C39" s="13">
        <v>42576.524351851855</v>
      </c>
      <c r="D39" s="13">
        <v>42576.525648148148</v>
      </c>
      <c r="E39" s="10" t="s">
        <v>32</v>
      </c>
      <c r="F39" s="69">
        <v>1.2962962937308475E-3</v>
      </c>
      <c r="G39" s="40" t="s">
        <v>47</v>
      </c>
      <c r="H39" t="str">
        <f>RIGHT(A39,2)</f>
        <v>25</v>
      </c>
      <c r="I39" s="39">
        <f>42522+H39-1+30</f>
        <v>42576</v>
      </c>
    </row>
    <row r="40" spans="1:9" x14ac:dyDescent="0.25">
      <c r="A40" s="23" t="s">
        <v>556</v>
      </c>
      <c r="B40" s="73">
        <v>4031</v>
      </c>
      <c r="C40" s="13">
        <v>42576.873530092591</v>
      </c>
      <c r="D40" s="13">
        <v>42576.876736111109</v>
      </c>
      <c r="E40" s="13" t="s">
        <v>38</v>
      </c>
      <c r="F40" s="69">
        <v>3.2060185185400769E-3</v>
      </c>
      <c r="G40" s="40" t="s">
        <v>12</v>
      </c>
      <c r="H40" t="str">
        <f>RIGHT(A40,2)</f>
        <v>25</v>
      </c>
      <c r="I40" s="39">
        <f>42522+H40-1+30</f>
        <v>42576</v>
      </c>
    </row>
    <row r="41" spans="1:9" x14ac:dyDescent="0.25">
      <c r="A41" s="10" t="s">
        <v>557</v>
      </c>
      <c r="B41" s="73">
        <v>4026</v>
      </c>
      <c r="C41" s="13">
        <v>42577.29891203704</v>
      </c>
      <c r="D41" s="13">
        <v>42577.318888888891</v>
      </c>
      <c r="E41" s="10" t="s">
        <v>37</v>
      </c>
      <c r="F41" s="69">
        <v>1.9976851850515231E-2</v>
      </c>
      <c r="G41" s="40" t="s">
        <v>47</v>
      </c>
      <c r="H41" t="str">
        <f>RIGHT(A41,2)</f>
        <v>26</v>
      </c>
      <c r="I41" s="39">
        <f>42522+H41-1+30</f>
        <v>42577</v>
      </c>
    </row>
    <row r="42" spans="1:9" x14ac:dyDescent="0.25">
      <c r="A42" s="23" t="s">
        <v>560</v>
      </c>
      <c r="B42" s="73">
        <v>4020</v>
      </c>
      <c r="C42" s="13">
        <v>42577.446168981478</v>
      </c>
      <c r="D42" s="13">
        <v>42577.521979166668</v>
      </c>
      <c r="E42" s="10" t="s">
        <v>32</v>
      </c>
      <c r="F42" s="69">
        <v>7.5810185189766344E-2</v>
      </c>
      <c r="G42" s="40" t="s">
        <v>47</v>
      </c>
      <c r="H42" t="str">
        <f>RIGHT(A42,2)</f>
        <v>26</v>
      </c>
      <c r="I42" s="39">
        <f>42522+H42-1+30</f>
        <v>42577</v>
      </c>
    </row>
    <row r="43" spans="1:9" x14ac:dyDescent="0.25">
      <c r="A43" s="23" t="s">
        <v>568</v>
      </c>
      <c r="B43" s="73">
        <v>4008</v>
      </c>
      <c r="C43" s="13">
        <v>42578.391608796293</v>
      </c>
      <c r="D43" s="13">
        <v>42578.39230324074</v>
      </c>
      <c r="E43" s="10" t="s">
        <v>34</v>
      </c>
      <c r="F43" s="69">
        <v>6.944444467080757E-4</v>
      </c>
      <c r="G43" s="40" t="s">
        <v>47</v>
      </c>
      <c r="H43" t="str">
        <f>RIGHT(A43,2)</f>
        <v>27</v>
      </c>
      <c r="I43" s="39">
        <f>42522+H43-1+30</f>
        <v>42578</v>
      </c>
    </row>
    <row r="44" spans="1:9" x14ac:dyDescent="0.25">
      <c r="A44" s="23" t="s">
        <v>363</v>
      </c>
      <c r="B44" s="73">
        <v>4007</v>
      </c>
      <c r="C44" s="13">
        <v>42578.720081018517</v>
      </c>
      <c r="D44" s="13">
        <v>42578.726412037038</v>
      </c>
      <c r="E44" s="10" t="s">
        <v>34</v>
      </c>
      <c r="F44" s="69">
        <v>6.33101852145046E-3</v>
      </c>
      <c r="G44" s="40" t="s">
        <v>47</v>
      </c>
      <c r="H44" t="str">
        <f>RIGHT(A44,2)</f>
        <v>27</v>
      </c>
      <c r="I44" s="39">
        <f>42522+H44-1+30</f>
        <v>42578</v>
      </c>
    </row>
    <row r="45" spans="1:9" x14ac:dyDescent="0.25">
      <c r="A45" s="23" t="s">
        <v>211</v>
      </c>
      <c r="B45" s="73" t="s">
        <v>571</v>
      </c>
      <c r="C45" s="13" t="s">
        <v>571</v>
      </c>
      <c r="D45" s="13" t="s">
        <v>571</v>
      </c>
      <c r="E45" s="10" t="s">
        <v>571</v>
      </c>
      <c r="F45" s="69" t="s">
        <v>571</v>
      </c>
      <c r="G45" s="40" t="s">
        <v>386</v>
      </c>
      <c r="H45" t="str">
        <f>RIGHT(A45,2)</f>
        <v>27</v>
      </c>
      <c r="I45" s="39">
        <f>42522+H45-1+30</f>
        <v>42578</v>
      </c>
    </row>
    <row r="46" spans="1:9" x14ac:dyDescent="0.25">
      <c r="A46" s="10" t="s">
        <v>563</v>
      </c>
      <c r="B46" s="73" t="s">
        <v>571</v>
      </c>
      <c r="C46" s="13" t="s">
        <v>571</v>
      </c>
      <c r="D46" s="13" t="s">
        <v>571</v>
      </c>
      <c r="E46" s="10" t="s">
        <v>571</v>
      </c>
      <c r="F46" s="69" t="s">
        <v>571</v>
      </c>
      <c r="G46" s="40" t="s">
        <v>386</v>
      </c>
      <c r="H46" t="str">
        <f>RIGHT(A46,2)</f>
        <v>27</v>
      </c>
      <c r="I46" s="39">
        <f>42522+H46-1+30</f>
        <v>42578</v>
      </c>
    </row>
    <row r="47" spans="1:9" x14ac:dyDescent="0.25">
      <c r="A47" s="10" t="s">
        <v>564</v>
      </c>
      <c r="B47" s="73" t="s">
        <v>571</v>
      </c>
      <c r="C47" s="13" t="s">
        <v>571</v>
      </c>
      <c r="D47" s="13" t="s">
        <v>571</v>
      </c>
      <c r="E47" s="10" t="s">
        <v>571</v>
      </c>
      <c r="F47" s="69" t="s">
        <v>571</v>
      </c>
      <c r="G47" s="40" t="s">
        <v>386</v>
      </c>
      <c r="H47" t="str">
        <f>RIGHT(A47,2)</f>
        <v>27</v>
      </c>
      <c r="I47" s="39">
        <f>42522+H47-1+30</f>
        <v>42578</v>
      </c>
    </row>
    <row r="48" spans="1:9" x14ac:dyDescent="0.25">
      <c r="A48" s="23" t="s">
        <v>572</v>
      </c>
      <c r="B48" s="73">
        <v>4026</v>
      </c>
      <c r="C48" s="13">
        <v>42579.237002314818</v>
      </c>
      <c r="D48" s="13">
        <v>42579.237546296295</v>
      </c>
      <c r="E48" s="10" t="s">
        <v>37</v>
      </c>
      <c r="F48" s="69">
        <v>5.4398147767642513E-4</v>
      </c>
      <c r="G48" s="40" t="s">
        <v>47</v>
      </c>
      <c r="H48" t="str">
        <f>RIGHT(A48,2)</f>
        <v>28</v>
      </c>
      <c r="I48" s="39">
        <f>42522+H48-1+30</f>
        <v>42579</v>
      </c>
    </row>
    <row r="49" spans="1:9" x14ac:dyDescent="0.25">
      <c r="A49" s="23" t="s">
        <v>365</v>
      </c>
      <c r="B49" s="73">
        <v>4038</v>
      </c>
      <c r="C49" s="13">
        <v>42579.260138888887</v>
      </c>
      <c r="D49" s="13">
        <v>42579.267511574071</v>
      </c>
      <c r="E49" s="10" t="s">
        <v>35</v>
      </c>
      <c r="F49" s="69">
        <v>7.3726851842366159E-3</v>
      </c>
      <c r="G49" s="40" t="s">
        <v>8</v>
      </c>
      <c r="H49" t="str">
        <f>RIGHT(A49,2)</f>
        <v>28</v>
      </c>
      <c r="I49" s="39">
        <f>42522+H49-1+30</f>
        <v>42579</v>
      </c>
    </row>
    <row r="50" spans="1:9" x14ac:dyDescent="0.25">
      <c r="A50" s="23" t="s">
        <v>374</v>
      </c>
      <c r="B50" s="73">
        <v>4015</v>
      </c>
      <c r="C50" s="13">
        <v>42580.227430555555</v>
      </c>
      <c r="D50" s="13">
        <v>42580.228865740741</v>
      </c>
      <c r="E50" s="10" t="s">
        <v>46</v>
      </c>
      <c r="F50" s="69">
        <v>1.4351851859828457E-3</v>
      </c>
      <c r="G50" s="40" t="s">
        <v>61</v>
      </c>
      <c r="H50" t="str">
        <f>RIGHT(A50,2)</f>
        <v>29</v>
      </c>
      <c r="I50" s="39">
        <f>42522+H50-1+30</f>
        <v>42580</v>
      </c>
    </row>
    <row r="51" spans="1:9" x14ac:dyDescent="0.25">
      <c r="A51" s="23" t="s">
        <v>378</v>
      </c>
      <c r="B51" s="73">
        <v>4017</v>
      </c>
      <c r="C51" s="13">
        <v>42580.317928240744</v>
      </c>
      <c r="D51" s="13">
        <v>42580.318981481483</v>
      </c>
      <c r="E51" s="10" t="s">
        <v>41</v>
      </c>
      <c r="F51" s="69">
        <v>1.0532407395658083E-3</v>
      </c>
      <c r="G51" s="40" t="s">
        <v>47</v>
      </c>
      <c r="H51" t="str">
        <f>RIGHT(A51,2)</f>
        <v>29</v>
      </c>
      <c r="I51" s="39">
        <f>42522+H51-1+30</f>
        <v>42580</v>
      </c>
    </row>
    <row r="52" spans="1:9" x14ac:dyDescent="0.25">
      <c r="A52" s="23" t="s">
        <v>578</v>
      </c>
      <c r="B52" s="73">
        <v>4018</v>
      </c>
      <c r="C52" s="13">
        <v>42581.399224537039</v>
      </c>
      <c r="D52" s="13">
        <v>42581.434178240743</v>
      </c>
      <c r="E52" s="10" t="s">
        <v>41</v>
      </c>
      <c r="F52" s="69" t="s">
        <v>571</v>
      </c>
      <c r="G52" s="40" t="s">
        <v>12</v>
      </c>
      <c r="H52" t="str">
        <f>RIGHT(A52,2)</f>
        <v>30</v>
      </c>
      <c r="I52" s="39">
        <f>42522+H52-1+30</f>
        <v>42581</v>
      </c>
    </row>
    <row r="53" spans="1:9" x14ac:dyDescent="0.25">
      <c r="A53" s="23" t="s">
        <v>586</v>
      </c>
      <c r="B53" s="73">
        <v>4012</v>
      </c>
      <c r="C53" s="13">
        <v>42582.241828703707</v>
      </c>
      <c r="D53" s="13">
        <v>42582.244074074071</v>
      </c>
      <c r="E53" s="10" t="s">
        <v>40</v>
      </c>
      <c r="F53" s="69">
        <v>2.2453703641076572E-3</v>
      </c>
      <c r="G53" s="40" t="s">
        <v>61</v>
      </c>
      <c r="H53" t="str">
        <f>RIGHT(A53,2)</f>
        <v>31</v>
      </c>
      <c r="I53" s="39">
        <f>42522+H53-1+30</f>
        <v>42582</v>
      </c>
    </row>
    <row r="54" spans="1:9" x14ac:dyDescent="0.25">
      <c r="A54" s="23" t="s">
        <v>590</v>
      </c>
      <c r="B54" s="73">
        <v>4031</v>
      </c>
      <c r="C54" s="13">
        <v>42582.520370370374</v>
      </c>
      <c r="D54" s="13">
        <v>42582.52076388889</v>
      </c>
      <c r="E54" s="10" t="s">
        <v>38</v>
      </c>
      <c r="F54" s="69">
        <v>3.9351851592073217E-4</v>
      </c>
      <c r="G54" s="40" t="s">
        <v>386</v>
      </c>
      <c r="H54" t="str">
        <f>RIGHT(A54,2)</f>
        <v>31</v>
      </c>
      <c r="I54" s="39">
        <f>42522+H54-1+30</f>
        <v>42582</v>
      </c>
    </row>
    <row r="55" spans="1:9" x14ac:dyDescent="0.25">
      <c r="A55" s="23" t="s">
        <v>592</v>
      </c>
      <c r="B55" s="73">
        <v>4028</v>
      </c>
      <c r="C55" s="13">
        <v>42582.596516203703</v>
      </c>
      <c r="D55" s="13">
        <v>42582.598402777781</v>
      </c>
      <c r="E55" s="10" t="s">
        <v>36</v>
      </c>
      <c r="F55" s="69">
        <v>1.8865740785258822E-3</v>
      </c>
      <c r="G55" s="40" t="s">
        <v>47</v>
      </c>
      <c r="H55" t="str">
        <f>RIGHT(A55,2)</f>
        <v>31</v>
      </c>
      <c r="I55" s="39">
        <f>42522+H55-1+30</f>
        <v>42582</v>
      </c>
    </row>
    <row r="56" spans="1:9" x14ac:dyDescent="0.25">
      <c r="A56" s="23" t="s">
        <v>597</v>
      </c>
      <c r="B56" s="73">
        <v>4028</v>
      </c>
      <c r="C56" s="13">
        <v>42582.72451388889</v>
      </c>
      <c r="D56" s="13">
        <v>42582.737997685188</v>
      </c>
      <c r="E56" s="10" t="s">
        <v>36</v>
      </c>
      <c r="F56" s="69">
        <v>1.3483796297805384E-2</v>
      </c>
      <c r="G56" s="40" t="s">
        <v>47</v>
      </c>
      <c r="H56" t="str">
        <f>RIGHT(A56,2)</f>
        <v>31</v>
      </c>
      <c r="I56" s="39">
        <f>42522+H56-1+30</f>
        <v>42582</v>
      </c>
    </row>
    <row r="57" spans="1:9" x14ac:dyDescent="0.25">
      <c r="A57" s="23" t="s">
        <v>585</v>
      </c>
      <c r="B57" s="73" t="s">
        <v>571</v>
      </c>
      <c r="C57" s="13" t="s">
        <v>571</v>
      </c>
      <c r="D57" s="13" t="s">
        <v>571</v>
      </c>
      <c r="E57" s="10" t="s">
        <v>571</v>
      </c>
      <c r="F57" s="69" t="s">
        <v>571</v>
      </c>
      <c r="G57" s="40" t="s">
        <v>10</v>
      </c>
      <c r="H57" t="str">
        <f>RIGHT(A57,2)</f>
        <v>31</v>
      </c>
      <c r="I57" s="39">
        <f>42522+H57-1+30</f>
        <v>42582</v>
      </c>
    </row>
    <row r="58" spans="1:9" x14ac:dyDescent="0.25">
      <c r="A58" s="23" t="s">
        <v>591</v>
      </c>
      <c r="B58" s="73">
        <v>4031</v>
      </c>
      <c r="C58" s="13" t="s">
        <v>571</v>
      </c>
      <c r="D58" s="13" t="s">
        <v>571</v>
      </c>
      <c r="E58" s="10" t="s">
        <v>38</v>
      </c>
      <c r="F58" s="69" t="s">
        <v>571</v>
      </c>
      <c r="G58" s="40" t="s">
        <v>10</v>
      </c>
      <c r="H58" t="str">
        <f>RIGHT(A58,2)</f>
        <v>31</v>
      </c>
      <c r="I58" s="39">
        <f>42522+H58-1+30</f>
        <v>42582</v>
      </c>
    </row>
    <row r="59" spans="1:9" x14ac:dyDescent="0.25">
      <c r="A59" s="23" t="s">
        <v>594</v>
      </c>
      <c r="B59" s="73">
        <v>4032</v>
      </c>
      <c r="C59" s="13" t="s">
        <v>571</v>
      </c>
      <c r="D59" s="13" t="s">
        <v>571</v>
      </c>
      <c r="E59" s="10" t="s">
        <v>38</v>
      </c>
      <c r="F59" s="69" t="s">
        <v>571</v>
      </c>
      <c r="G59" s="40" t="s">
        <v>10</v>
      </c>
      <c r="H59" t="str">
        <f>RIGHT(A59,2)</f>
        <v>31</v>
      </c>
      <c r="I59" s="39">
        <f>42522+H59-1+30</f>
        <v>42582</v>
      </c>
    </row>
    <row r="60" spans="1:9" x14ac:dyDescent="0.25">
      <c r="A60" s="23" t="s">
        <v>595</v>
      </c>
      <c r="B60" s="73">
        <v>4028</v>
      </c>
      <c r="C60" s="13" t="s">
        <v>571</v>
      </c>
      <c r="D60" s="13" t="s">
        <v>571</v>
      </c>
      <c r="E60" s="10" t="s">
        <v>36</v>
      </c>
      <c r="F60" s="69" t="s">
        <v>571</v>
      </c>
      <c r="G60" s="40" t="s">
        <v>10</v>
      </c>
      <c r="H60" t="str">
        <f>RIGHT(A60,2)</f>
        <v>31</v>
      </c>
      <c r="I60" s="39">
        <f>42522+H60-1+30</f>
        <v>42582</v>
      </c>
    </row>
    <row r="61" spans="1:9" x14ac:dyDescent="0.25">
      <c r="A61" s="23" t="s">
        <v>599</v>
      </c>
      <c r="B61" s="73">
        <v>4028</v>
      </c>
      <c r="C61" s="13" t="s">
        <v>571</v>
      </c>
      <c r="D61" s="13" t="s">
        <v>571</v>
      </c>
      <c r="E61" s="10" t="s">
        <v>36</v>
      </c>
      <c r="F61" s="69" t="s">
        <v>571</v>
      </c>
      <c r="G61" s="40" t="s">
        <v>10</v>
      </c>
      <c r="H61" t="str">
        <f>RIGHT(A61,2)</f>
        <v>31</v>
      </c>
      <c r="I61" s="39">
        <f>42522+H61-1+30</f>
        <v>42582</v>
      </c>
    </row>
  </sheetData>
  <sortState ref="A2:I61">
    <sortCondition ref="I2:I61"/>
    <sortCondition ref="C2:C6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W1655"/>
  <sheetViews>
    <sheetView zoomScale="85" zoomScaleNormal="85" workbookViewId="0"/>
    <sheetView workbookViewId="1"/>
  </sheetViews>
  <sheetFormatPr defaultRowHeight="15" x14ac:dyDescent="0.25"/>
  <cols>
    <col min="1" max="1" width="18.28515625" style="4" bestFit="1" customWidth="1"/>
    <col min="2" max="2" width="9.140625" style="4"/>
    <col min="3" max="3" width="13.140625" style="4" customWidth="1"/>
    <col min="4" max="4" width="25.140625" style="4" bestFit="1" customWidth="1"/>
    <col min="5" max="5" width="30.5703125" style="4" bestFit="1" customWidth="1"/>
    <col min="6" max="6" width="11.140625" style="4" customWidth="1"/>
    <col min="7" max="7" width="16.85546875" style="4" customWidth="1"/>
    <col min="8" max="8" width="17.28515625" style="4" customWidth="1"/>
    <col min="9" max="9" width="23.85546875" style="4" hidden="1" customWidth="1"/>
    <col min="10" max="10" width="14" style="4" customWidth="1"/>
    <col min="11" max="11" width="17.28515625" style="4" customWidth="1"/>
    <col min="12" max="13" width="9.140625" style="4"/>
    <col min="14" max="14" width="46" style="4" customWidth="1"/>
    <col min="15" max="15" width="5.7109375" style="4" customWidth="1"/>
    <col min="16" max="16" width="9.7109375" style="64" bestFit="1" customWidth="1"/>
    <col min="17" max="17" width="9.7109375" style="58" customWidth="1"/>
    <col min="18" max="18" width="43.28515625" customWidth="1"/>
  </cols>
  <sheetData>
    <row r="1" spans="1:19" ht="75" x14ac:dyDescent="0.25">
      <c r="A1" s="21" t="s">
        <v>232</v>
      </c>
      <c r="B1" s="9" t="s">
        <v>220</v>
      </c>
      <c r="C1" s="9" t="s">
        <v>221</v>
      </c>
      <c r="D1" s="9" t="s">
        <v>222</v>
      </c>
      <c r="E1" s="9" t="s">
        <v>223</v>
      </c>
      <c r="F1" s="9" t="s">
        <v>224</v>
      </c>
      <c r="G1" s="9" t="s">
        <v>225</v>
      </c>
      <c r="H1" s="9" t="s">
        <v>226</v>
      </c>
      <c r="I1" s="9" t="s">
        <v>227</v>
      </c>
      <c r="J1" s="9" t="s">
        <v>228</v>
      </c>
      <c r="K1" s="9" t="s">
        <v>229</v>
      </c>
      <c r="L1" s="9" t="s">
        <v>230</v>
      </c>
      <c r="M1" s="9" t="s">
        <v>231</v>
      </c>
      <c r="N1" s="9" t="s">
        <v>30</v>
      </c>
      <c r="O1" s="9" t="s">
        <v>394</v>
      </c>
      <c r="P1" s="63" t="s">
        <v>393</v>
      </c>
      <c r="Q1" s="65"/>
    </row>
    <row r="2" spans="1:19" x14ac:dyDescent="0.25">
      <c r="A2" s="26">
        <v>42552.233865740738</v>
      </c>
      <c r="B2" s="4" t="s">
        <v>137</v>
      </c>
      <c r="C2" s="4" t="s">
        <v>259</v>
      </c>
      <c r="D2" s="4" t="s">
        <v>103</v>
      </c>
      <c r="E2" s="51" t="s">
        <v>104</v>
      </c>
      <c r="F2" s="3">
        <v>790</v>
      </c>
      <c r="G2" s="4">
        <v>772</v>
      </c>
      <c r="H2" s="4">
        <v>142349</v>
      </c>
      <c r="I2" s="51" t="s">
        <v>105</v>
      </c>
      <c r="J2" s="4">
        <v>110617</v>
      </c>
      <c r="K2" s="4" t="s">
        <v>111</v>
      </c>
      <c r="L2" s="19" t="str">
        <f>VLOOKUP(C2,'[2]Trips&amp;Operators'!$C$2:$E$10000,3,FALSE)</f>
        <v>STAMBAUGH</v>
      </c>
      <c r="M2" s="20" t="s">
        <v>107</v>
      </c>
      <c r="N2" s="19" t="s">
        <v>47</v>
      </c>
      <c r="O2" s="19" t="str">
        <f t="shared" ref="O2:O65" si="0">RIGHT(C2,2)</f>
        <v>01</v>
      </c>
      <c r="P2" s="64">
        <f>42522+O2+29</f>
        <v>42552</v>
      </c>
      <c r="Q2" s="67"/>
      <c r="R2" s="25" t="s">
        <v>233</v>
      </c>
      <c r="S2" s="66">
        <f>COUNTIF($M$2:$M$9971,"=N")</f>
        <v>1421</v>
      </c>
    </row>
    <row r="3" spans="1:19" x14ac:dyDescent="0.25">
      <c r="A3" s="26">
        <v>42552.649525462963</v>
      </c>
      <c r="B3" s="4" t="s">
        <v>133</v>
      </c>
      <c r="C3" s="4" t="s">
        <v>258</v>
      </c>
      <c r="D3" s="4" t="s">
        <v>103</v>
      </c>
      <c r="E3" s="51" t="s">
        <v>104</v>
      </c>
      <c r="F3" s="3">
        <v>790</v>
      </c>
      <c r="G3" s="4">
        <v>784</v>
      </c>
      <c r="H3" s="4">
        <v>143438</v>
      </c>
      <c r="I3" s="51" t="s">
        <v>105</v>
      </c>
      <c r="J3" s="4">
        <v>110617</v>
      </c>
      <c r="K3" s="4" t="s">
        <v>111</v>
      </c>
      <c r="L3" s="19" t="str">
        <f>VLOOKUP(C3,'[2]Trips&amp;Operators'!$C$2:$E$10000,3,FALSE)</f>
        <v>SHOOK</v>
      </c>
      <c r="M3" s="20" t="s">
        <v>107</v>
      </c>
      <c r="N3" s="19" t="s">
        <v>47</v>
      </c>
      <c r="O3" s="19" t="str">
        <f t="shared" si="0"/>
        <v>01</v>
      </c>
      <c r="P3" s="64">
        <f t="shared" ref="P3:P66" si="1">42522+O3+29</f>
        <v>42552</v>
      </c>
      <c r="R3" s="66" t="s">
        <v>392</v>
      </c>
      <c r="S3" s="66">
        <f>COUNTIF($M$2:$M$9971,"=Y")</f>
        <v>233</v>
      </c>
    </row>
    <row r="4" spans="1:19" x14ac:dyDescent="0.25">
      <c r="A4" s="26">
        <v>42552.760231481479</v>
      </c>
      <c r="B4" s="4" t="s">
        <v>137</v>
      </c>
      <c r="C4" s="4" t="s">
        <v>614</v>
      </c>
      <c r="D4" s="4" t="s">
        <v>103</v>
      </c>
      <c r="E4" s="51" t="s">
        <v>104</v>
      </c>
      <c r="F4" s="3">
        <v>790</v>
      </c>
      <c r="G4" s="4">
        <v>794</v>
      </c>
      <c r="H4" s="4">
        <v>142976</v>
      </c>
      <c r="I4" s="51" t="s">
        <v>105</v>
      </c>
      <c r="J4" s="4">
        <v>110617</v>
      </c>
      <c r="K4" s="4" t="s">
        <v>111</v>
      </c>
      <c r="L4" s="19" t="str">
        <f>VLOOKUP(C4,'[2]Trips&amp;Operators'!$C$2:$E$10000,3,FALSE)</f>
        <v>BRUDER</v>
      </c>
      <c r="M4" s="20" t="s">
        <v>107</v>
      </c>
      <c r="N4" s="19" t="s">
        <v>47</v>
      </c>
      <c r="O4" s="19" t="str">
        <f t="shared" si="0"/>
        <v>01</v>
      </c>
      <c r="P4" s="64">
        <f t="shared" si="1"/>
        <v>42552</v>
      </c>
    </row>
    <row r="5" spans="1:19" x14ac:dyDescent="0.25">
      <c r="A5" s="26">
        <v>42552.696250000001</v>
      </c>
      <c r="B5" s="4" t="s">
        <v>137</v>
      </c>
      <c r="C5" s="4" t="s">
        <v>720</v>
      </c>
      <c r="D5" s="4" t="s">
        <v>103</v>
      </c>
      <c r="E5" s="51" t="s">
        <v>109</v>
      </c>
      <c r="F5" s="3">
        <v>0</v>
      </c>
      <c r="G5" s="4">
        <v>359</v>
      </c>
      <c r="H5" s="4">
        <v>60306</v>
      </c>
      <c r="I5" s="51" t="s">
        <v>110</v>
      </c>
      <c r="J5" s="4">
        <v>63068</v>
      </c>
      <c r="K5" s="4" t="s">
        <v>111</v>
      </c>
      <c r="L5" s="19" t="str">
        <f>VLOOKUP(C5,'[2]Trips&amp;Operators'!$C$2:$E$10000,3,FALSE)</f>
        <v>MAYBERRY</v>
      </c>
      <c r="M5" s="4" t="s">
        <v>112</v>
      </c>
      <c r="N5" s="4" t="s">
        <v>186</v>
      </c>
      <c r="O5" s="19" t="str">
        <f t="shared" si="0"/>
        <v>01</v>
      </c>
      <c r="P5" s="64">
        <f t="shared" si="1"/>
        <v>42552</v>
      </c>
    </row>
    <row r="6" spans="1:19" x14ac:dyDescent="0.25">
      <c r="A6" s="17">
        <v>42552.268587962964</v>
      </c>
      <c r="B6" s="18" t="s">
        <v>145</v>
      </c>
      <c r="C6" s="18" t="s">
        <v>719</v>
      </c>
      <c r="D6" s="18" t="s">
        <v>103</v>
      </c>
      <c r="E6" s="52" t="s">
        <v>109</v>
      </c>
      <c r="F6" s="53">
        <v>630</v>
      </c>
      <c r="G6" s="18">
        <v>702</v>
      </c>
      <c r="H6" s="18">
        <v>79631</v>
      </c>
      <c r="I6" s="52" t="s">
        <v>110</v>
      </c>
      <c r="J6" s="18">
        <v>78469</v>
      </c>
      <c r="K6" s="19" t="s">
        <v>106</v>
      </c>
      <c r="L6" s="19" t="str">
        <f>VLOOKUP(C6,'[2]Trips&amp;Operators'!$C$2:$E$10000,3,FALSE)</f>
        <v>MALAVE</v>
      </c>
      <c r="M6" s="20" t="s">
        <v>112</v>
      </c>
      <c r="N6" s="19" t="s">
        <v>113</v>
      </c>
      <c r="O6" s="19" t="str">
        <f t="shared" si="0"/>
        <v>01</v>
      </c>
      <c r="P6" s="64">
        <f t="shared" si="1"/>
        <v>42552</v>
      </c>
    </row>
    <row r="7" spans="1:19" x14ac:dyDescent="0.25">
      <c r="A7" s="17">
        <v>42552.292638888888</v>
      </c>
      <c r="B7" s="18" t="s">
        <v>146</v>
      </c>
      <c r="C7" s="18" t="s">
        <v>602</v>
      </c>
      <c r="D7" s="18" t="s">
        <v>116</v>
      </c>
      <c r="E7" s="52" t="s">
        <v>115</v>
      </c>
      <c r="F7" s="53">
        <v>150</v>
      </c>
      <c r="G7" s="18">
        <v>200</v>
      </c>
      <c r="H7" s="18">
        <v>3409</v>
      </c>
      <c r="I7" s="52" t="s">
        <v>105</v>
      </c>
      <c r="J7" s="18">
        <v>0</v>
      </c>
      <c r="K7" s="19" t="s">
        <v>111</v>
      </c>
      <c r="L7" s="19" t="str">
        <f>VLOOKUP(C7,'[2]Trips&amp;Operators'!$C$2:$E$10000,3,FALSE)</f>
        <v>MALAVE</v>
      </c>
      <c r="M7" s="20" t="s">
        <v>112</v>
      </c>
      <c r="N7" s="19"/>
      <c r="O7" s="19" t="str">
        <f t="shared" si="0"/>
        <v>01</v>
      </c>
      <c r="P7" s="64">
        <f t="shared" si="1"/>
        <v>42552</v>
      </c>
    </row>
    <row r="8" spans="1:19" x14ac:dyDescent="0.25">
      <c r="A8" s="26">
        <v>42552.29315972222</v>
      </c>
      <c r="B8" s="4" t="s">
        <v>146</v>
      </c>
      <c r="C8" s="4" t="s">
        <v>602</v>
      </c>
      <c r="D8" s="4" t="s">
        <v>116</v>
      </c>
      <c r="E8" s="51" t="s">
        <v>115</v>
      </c>
      <c r="F8" s="3">
        <v>150</v>
      </c>
      <c r="G8" s="4">
        <v>207</v>
      </c>
      <c r="H8" s="4">
        <v>3984</v>
      </c>
      <c r="I8" s="51" t="s">
        <v>105</v>
      </c>
      <c r="J8" s="4">
        <v>0</v>
      </c>
      <c r="K8" s="4" t="s">
        <v>111</v>
      </c>
      <c r="L8" s="19" t="str">
        <f>VLOOKUP(C8,'[2]Trips&amp;Operators'!$C$2:$E$10000,3,FALSE)</f>
        <v>MALAVE</v>
      </c>
      <c r="M8" s="20" t="s">
        <v>112</v>
      </c>
      <c r="N8" s="19"/>
      <c r="O8" s="19" t="str">
        <f t="shared" si="0"/>
        <v>01</v>
      </c>
      <c r="P8" s="64">
        <f t="shared" si="1"/>
        <v>42552</v>
      </c>
    </row>
    <row r="9" spans="1:19" x14ac:dyDescent="0.25">
      <c r="A9" s="26">
        <v>42552.73027777778</v>
      </c>
      <c r="B9" s="4" t="s">
        <v>146</v>
      </c>
      <c r="C9" s="4" t="s">
        <v>722</v>
      </c>
      <c r="D9" s="4" t="s">
        <v>116</v>
      </c>
      <c r="E9" s="51" t="s">
        <v>115</v>
      </c>
      <c r="F9" s="3">
        <v>150</v>
      </c>
      <c r="G9" s="4">
        <v>200</v>
      </c>
      <c r="H9" s="4">
        <v>3469</v>
      </c>
      <c r="I9" s="51" t="s">
        <v>105</v>
      </c>
      <c r="J9" s="4">
        <v>0</v>
      </c>
      <c r="K9" s="4" t="s">
        <v>111</v>
      </c>
      <c r="L9" s="19" t="str">
        <f>VLOOKUP(C9,'[2]Trips&amp;Operators'!$C$2:$E$10000,3,FALSE)</f>
        <v>KILLION</v>
      </c>
      <c r="M9" s="4" t="s">
        <v>112</v>
      </c>
      <c r="O9" s="19" t="str">
        <f t="shared" si="0"/>
        <v>01</v>
      </c>
      <c r="P9" s="64">
        <f t="shared" si="1"/>
        <v>42552</v>
      </c>
    </row>
    <row r="10" spans="1:19" x14ac:dyDescent="0.25">
      <c r="A10" s="26">
        <v>42552.426840277774</v>
      </c>
      <c r="B10" s="4" t="s">
        <v>145</v>
      </c>
      <c r="C10" s="4" t="s">
        <v>254</v>
      </c>
      <c r="D10" s="4" t="s">
        <v>103</v>
      </c>
      <c r="E10" s="51" t="s">
        <v>115</v>
      </c>
      <c r="F10" s="3">
        <v>600</v>
      </c>
      <c r="G10" s="4">
        <v>655</v>
      </c>
      <c r="H10" s="4">
        <v>13058</v>
      </c>
      <c r="I10" s="51" t="s">
        <v>105</v>
      </c>
      <c r="J10" s="4">
        <v>10694</v>
      </c>
      <c r="K10" s="4" t="s">
        <v>106</v>
      </c>
      <c r="L10" s="19" t="str">
        <f>VLOOKUP(C10,'[2]Trips&amp;Operators'!$C$2:$E$10000,3,FALSE)</f>
        <v>MALAVE</v>
      </c>
      <c r="M10" s="20" t="s">
        <v>112</v>
      </c>
      <c r="N10" s="19"/>
      <c r="O10" s="19" t="str">
        <f t="shared" si="0"/>
        <v>01</v>
      </c>
      <c r="P10" s="64">
        <f t="shared" si="1"/>
        <v>42552</v>
      </c>
    </row>
    <row r="11" spans="1:19" x14ac:dyDescent="0.25">
      <c r="A11" s="17">
        <v>42553.021770833337</v>
      </c>
      <c r="B11" s="18" t="s">
        <v>102</v>
      </c>
      <c r="C11" s="18" t="s">
        <v>724</v>
      </c>
      <c r="D11" s="18" t="s">
        <v>103</v>
      </c>
      <c r="E11" s="52" t="s">
        <v>115</v>
      </c>
      <c r="F11" s="53">
        <v>600</v>
      </c>
      <c r="G11" s="18">
        <v>653</v>
      </c>
      <c r="H11" s="18">
        <v>12846</v>
      </c>
      <c r="I11" s="52" t="s">
        <v>105</v>
      </c>
      <c r="J11" s="18">
        <v>10694</v>
      </c>
      <c r="K11" s="19" t="s">
        <v>106</v>
      </c>
      <c r="L11" s="19" t="str">
        <f>VLOOKUP(C11,'[2]Trips&amp;Operators'!$C$2:$E$10000,3,FALSE)</f>
        <v>ADANE</v>
      </c>
      <c r="M11" s="20" t="s">
        <v>112</v>
      </c>
      <c r="N11" s="19"/>
      <c r="O11" s="19" t="str">
        <f t="shared" si="0"/>
        <v>01</v>
      </c>
      <c r="P11" s="64">
        <f t="shared" si="1"/>
        <v>42552</v>
      </c>
    </row>
    <row r="12" spans="1:19" x14ac:dyDescent="0.25">
      <c r="A12" s="17">
        <v>42552.213240740741</v>
      </c>
      <c r="B12" s="18" t="s">
        <v>121</v>
      </c>
      <c r="C12" s="18" t="s">
        <v>31</v>
      </c>
      <c r="D12" s="18" t="s">
        <v>103</v>
      </c>
      <c r="E12" s="52" t="s">
        <v>115</v>
      </c>
      <c r="F12" s="53">
        <v>300</v>
      </c>
      <c r="G12" s="18">
        <v>255</v>
      </c>
      <c r="H12" s="18">
        <v>19856</v>
      </c>
      <c r="I12" s="52" t="s">
        <v>105</v>
      </c>
      <c r="J12" s="18">
        <v>20338</v>
      </c>
      <c r="K12" s="19" t="s">
        <v>111</v>
      </c>
      <c r="L12" s="19" t="str">
        <f>VLOOKUP(C12,'[2]Trips&amp;Operators'!$C$2:$E$10000,3,FALSE)</f>
        <v>MAELZER</v>
      </c>
      <c r="M12" s="20" t="s">
        <v>112</v>
      </c>
      <c r="N12" s="19"/>
      <c r="O12" s="19" t="str">
        <f t="shared" si="0"/>
        <v>01</v>
      </c>
      <c r="P12" s="64">
        <f t="shared" si="1"/>
        <v>42552</v>
      </c>
    </row>
    <row r="13" spans="1:19" x14ac:dyDescent="0.25">
      <c r="A13" s="26">
        <v>42552.664409722223</v>
      </c>
      <c r="B13" s="4" t="s">
        <v>138</v>
      </c>
      <c r="C13" s="4" t="s">
        <v>727</v>
      </c>
      <c r="D13" s="4" t="s">
        <v>103</v>
      </c>
      <c r="E13" s="51" t="s">
        <v>115</v>
      </c>
      <c r="F13" s="3">
        <v>300</v>
      </c>
      <c r="G13" s="4">
        <v>508</v>
      </c>
      <c r="H13" s="4">
        <v>18412</v>
      </c>
      <c r="I13" s="51" t="s">
        <v>105</v>
      </c>
      <c r="J13" s="4">
        <v>21314</v>
      </c>
      <c r="K13" s="4" t="s">
        <v>111</v>
      </c>
      <c r="L13" s="19" t="str">
        <f>VLOOKUP(C13,'[2]Trips&amp;Operators'!$C$2:$E$10000,3,FALSE)</f>
        <v>POLLOCK</v>
      </c>
      <c r="M13" s="4" t="s">
        <v>112</v>
      </c>
      <c r="O13" s="19" t="str">
        <f t="shared" si="0"/>
        <v>01</v>
      </c>
      <c r="P13" s="64">
        <f t="shared" si="1"/>
        <v>42552</v>
      </c>
    </row>
    <row r="14" spans="1:19" x14ac:dyDescent="0.25">
      <c r="A14" s="17">
        <v>42553.039803240739</v>
      </c>
      <c r="B14" s="18" t="s">
        <v>132</v>
      </c>
      <c r="C14" s="18" t="s">
        <v>725</v>
      </c>
      <c r="D14" s="18" t="s">
        <v>103</v>
      </c>
      <c r="E14" s="52" t="s">
        <v>115</v>
      </c>
      <c r="F14" s="53">
        <v>200</v>
      </c>
      <c r="G14" s="18">
        <v>234</v>
      </c>
      <c r="H14" s="18">
        <v>30682</v>
      </c>
      <c r="I14" s="52" t="s">
        <v>105</v>
      </c>
      <c r="J14" s="18">
        <v>30562</v>
      </c>
      <c r="K14" s="19" t="s">
        <v>106</v>
      </c>
      <c r="L14" s="19" t="str">
        <f>VLOOKUP(C14,'[2]Trips&amp;Operators'!$C$2:$E$10000,3,FALSE)</f>
        <v>MOSES</v>
      </c>
      <c r="M14" s="20" t="s">
        <v>112</v>
      </c>
      <c r="N14" s="19"/>
      <c r="O14" s="19" t="str">
        <f t="shared" si="0"/>
        <v>01</v>
      </c>
      <c r="P14" s="64">
        <f t="shared" si="1"/>
        <v>42552</v>
      </c>
    </row>
    <row r="15" spans="1:19" x14ac:dyDescent="0.25">
      <c r="A15" s="17">
        <v>42552.666250000002</v>
      </c>
      <c r="B15" s="18" t="s">
        <v>138</v>
      </c>
      <c r="C15" s="18" t="s">
        <v>727</v>
      </c>
      <c r="D15" s="18" t="s">
        <v>103</v>
      </c>
      <c r="E15" s="52" t="s">
        <v>115</v>
      </c>
      <c r="F15" s="53">
        <v>600</v>
      </c>
      <c r="G15" s="18">
        <v>653</v>
      </c>
      <c r="H15" s="18">
        <v>29209</v>
      </c>
      <c r="I15" s="52" t="s">
        <v>105</v>
      </c>
      <c r="J15" s="18">
        <v>30784</v>
      </c>
      <c r="K15" s="19" t="s">
        <v>111</v>
      </c>
      <c r="L15" s="19" t="str">
        <f>VLOOKUP(C15,'[2]Trips&amp;Operators'!$C$2:$E$10000,3,FALSE)</f>
        <v>POLLOCK</v>
      </c>
      <c r="M15" s="20" t="s">
        <v>112</v>
      </c>
      <c r="N15" s="19"/>
      <c r="O15" s="19" t="str">
        <f t="shared" si="0"/>
        <v>01</v>
      </c>
      <c r="P15" s="64">
        <f t="shared" si="1"/>
        <v>42552</v>
      </c>
    </row>
    <row r="16" spans="1:19" x14ac:dyDescent="0.25">
      <c r="A16" s="17">
        <v>42552.249259259261</v>
      </c>
      <c r="B16" s="18" t="s">
        <v>138</v>
      </c>
      <c r="C16" s="18" t="s">
        <v>726</v>
      </c>
      <c r="D16" s="18" t="s">
        <v>103</v>
      </c>
      <c r="E16" s="52" t="s">
        <v>115</v>
      </c>
      <c r="F16" s="53">
        <v>300</v>
      </c>
      <c r="G16" s="18">
        <v>316</v>
      </c>
      <c r="H16" s="18">
        <v>40674</v>
      </c>
      <c r="I16" s="52" t="s">
        <v>105</v>
      </c>
      <c r="J16" s="18">
        <v>40977</v>
      </c>
      <c r="K16" s="19" t="s">
        <v>111</v>
      </c>
      <c r="L16" s="19" t="str">
        <f>VLOOKUP(C16,'[2]Trips&amp;Operators'!$C$2:$E$10000,3,FALSE)</f>
        <v>BEAM</v>
      </c>
      <c r="M16" s="20" t="s">
        <v>112</v>
      </c>
      <c r="N16" s="19"/>
      <c r="O16" s="19" t="str">
        <f t="shared" si="0"/>
        <v>01</v>
      </c>
      <c r="P16" s="64">
        <f t="shared" si="1"/>
        <v>42552</v>
      </c>
    </row>
    <row r="17" spans="1:16" x14ac:dyDescent="0.25">
      <c r="A17" s="17">
        <v>42552.771504629629</v>
      </c>
      <c r="B17" s="18" t="s">
        <v>120</v>
      </c>
      <c r="C17" s="18" t="s">
        <v>728</v>
      </c>
      <c r="D17" s="18" t="s">
        <v>103</v>
      </c>
      <c r="E17" s="52" t="s">
        <v>115</v>
      </c>
      <c r="F17" s="53">
        <v>300</v>
      </c>
      <c r="G17" s="18">
        <v>328</v>
      </c>
      <c r="H17" s="18">
        <v>40572</v>
      </c>
      <c r="I17" s="52" t="s">
        <v>105</v>
      </c>
      <c r="J17" s="18">
        <v>40977</v>
      </c>
      <c r="K17" s="19" t="s">
        <v>111</v>
      </c>
      <c r="L17" s="19" t="str">
        <f>VLOOKUP(C17,'[2]Trips&amp;Operators'!$C$2:$E$10000,3,FALSE)</f>
        <v>HELVIE</v>
      </c>
      <c r="M17" s="20" t="s">
        <v>112</v>
      </c>
      <c r="N17" s="19"/>
      <c r="O17" s="19" t="str">
        <f t="shared" si="0"/>
        <v>01</v>
      </c>
      <c r="P17" s="64">
        <f t="shared" si="1"/>
        <v>42552</v>
      </c>
    </row>
    <row r="18" spans="1:16" x14ac:dyDescent="0.25">
      <c r="A18" s="17">
        <v>42552.811736111114</v>
      </c>
      <c r="B18" s="18" t="s">
        <v>120</v>
      </c>
      <c r="C18" s="18" t="s">
        <v>729</v>
      </c>
      <c r="D18" s="18" t="s">
        <v>103</v>
      </c>
      <c r="E18" s="52" t="s">
        <v>115</v>
      </c>
      <c r="F18" s="53">
        <v>300</v>
      </c>
      <c r="G18" s="18">
        <v>328</v>
      </c>
      <c r="H18" s="18">
        <v>40412</v>
      </c>
      <c r="I18" s="52" t="s">
        <v>105</v>
      </c>
      <c r="J18" s="18">
        <v>40977</v>
      </c>
      <c r="K18" s="19" t="s">
        <v>111</v>
      </c>
      <c r="L18" s="19" t="str">
        <f>VLOOKUP(C18,'[2]Trips&amp;Operators'!$C$2:$E$10000,3,FALSE)</f>
        <v>HELVIE</v>
      </c>
      <c r="M18" s="20" t="s">
        <v>112</v>
      </c>
      <c r="N18" s="19"/>
      <c r="O18" s="19" t="str">
        <f t="shared" si="0"/>
        <v>01</v>
      </c>
      <c r="P18" s="64">
        <f t="shared" si="1"/>
        <v>42552</v>
      </c>
    </row>
    <row r="19" spans="1:16" x14ac:dyDescent="0.25">
      <c r="A19" s="17">
        <v>42552.804363425923</v>
      </c>
      <c r="B19" s="18" t="s">
        <v>136</v>
      </c>
      <c r="C19" s="18" t="s">
        <v>730</v>
      </c>
      <c r="D19" s="18" t="s">
        <v>103</v>
      </c>
      <c r="E19" s="52" t="s">
        <v>115</v>
      </c>
      <c r="F19" s="53">
        <v>400</v>
      </c>
      <c r="G19" s="18">
        <v>426</v>
      </c>
      <c r="H19" s="18">
        <v>50144</v>
      </c>
      <c r="I19" s="52" t="s">
        <v>105</v>
      </c>
      <c r="J19" s="18">
        <v>49775</v>
      </c>
      <c r="K19" s="19" t="s">
        <v>106</v>
      </c>
      <c r="L19" s="19" t="str">
        <f>VLOOKUP(C19,'[2]Trips&amp;Operators'!$C$2:$E$10000,3,FALSE)</f>
        <v>POLLOCK</v>
      </c>
      <c r="M19" s="20" t="s">
        <v>112</v>
      </c>
      <c r="N19" s="19"/>
      <c r="O19" s="19" t="str">
        <f t="shared" si="0"/>
        <v>01</v>
      </c>
      <c r="P19" s="64">
        <f t="shared" si="1"/>
        <v>42552</v>
      </c>
    </row>
    <row r="20" spans="1:16" x14ac:dyDescent="0.25">
      <c r="A20" s="17">
        <v>42552.80300925926</v>
      </c>
      <c r="B20" s="18" t="s">
        <v>136</v>
      </c>
      <c r="C20" s="18" t="s">
        <v>730</v>
      </c>
      <c r="D20" s="18" t="s">
        <v>116</v>
      </c>
      <c r="E20" s="52" t="s">
        <v>115</v>
      </c>
      <c r="F20" s="53">
        <v>150</v>
      </c>
      <c r="G20" s="18">
        <v>203</v>
      </c>
      <c r="H20" s="18">
        <v>56621</v>
      </c>
      <c r="I20" s="52" t="s">
        <v>105</v>
      </c>
      <c r="J20" s="18">
        <v>59050</v>
      </c>
      <c r="K20" s="19" t="s">
        <v>106</v>
      </c>
      <c r="L20" s="19" t="str">
        <f>VLOOKUP(C20,'[2]Trips&amp;Operators'!$C$2:$E$10000,3,FALSE)</f>
        <v>POLLOCK</v>
      </c>
      <c r="M20" s="20" t="s">
        <v>112</v>
      </c>
      <c r="N20" s="19"/>
      <c r="O20" s="19" t="str">
        <f t="shared" si="0"/>
        <v>01</v>
      </c>
      <c r="P20" s="64">
        <f t="shared" si="1"/>
        <v>42552</v>
      </c>
    </row>
    <row r="21" spans="1:16" x14ac:dyDescent="0.25">
      <c r="A21" s="26">
        <v>42552.377337962964</v>
      </c>
      <c r="B21" s="4" t="s">
        <v>148</v>
      </c>
      <c r="C21" s="4" t="s">
        <v>721</v>
      </c>
      <c r="D21" s="4" t="s">
        <v>103</v>
      </c>
      <c r="E21" s="51" t="s">
        <v>115</v>
      </c>
      <c r="F21" s="3">
        <v>550</v>
      </c>
      <c r="G21" s="4">
        <v>760</v>
      </c>
      <c r="H21" s="4">
        <v>219304</v>
      </c>
      <c r="I21" s="51" t="s">
        <v>105</v>
      </c>
      <c r="J21" s="4">
        <v>222090</v>
      </c>
      <c r="K21" s="4" t="s">
        <v>111</v>
      </c>
      <c r="L21" s="19" t="str">
        <f>VLOOKUP(C21,'[2]Trips&amp;Operators'!$C$2:$E$10000,3,FALSE)</f>
        <v>STARKS</v>
      </c>
      <c r="M21" s="20" t="s">
        <v>112</v>
      </c>
      <c r="N21" s="19"/>
      <c r="O21" s="19" t="str">
        <f t="shared" si="0"/>
        <v>01</v>
      </c>
      <c r="P21" s="64">
        <f t="shared" si="1"/>
        <v>42552</v>
      </c>
    </row>
    <row r="22" spans="1:16" x14ac:dyDescent="0.25">
      <c r="A22" s="17">
        <v>42552.772048611114</v>
      </c>
      <c r="B22" s="18" t="s">
        <v>121</v>
      </c>
      <c r="C22" s="18" t="s">
        <v>723</v>
      </c>
      <c r="D22" s="18" t="s">
        <v>103</v>
      </c>
      <c r="E22" s="52" t="s">
        <v>115</v>
      </c>
      <c r="F22" s="53">
        <v>350</v>
      </c>
      <c r="G22" s="18">
        <v>539</v>
      </c>
      <c r="H22" s="18">
        <v>221984</v>
      </c>
      <c r="I22" s="52" t="s">
        <v>105</v>
      </c>
      <c r="J22" s="18">
        <v>224578</v>
      </c>
      <c r="K22" s="19" t="s">
        <v>111</v>
      </c>
      <c r="L22" s="19" t="str">
        <f>VLOOKUP(C22,'[2]Trips&amp;Operators'!$C$2:$E$10000,3,FALSE)</f>
        <v>MOSES</v>
      </c>
      <c r="M22" s="20" t="s">
        <v>112</v>
      </c>
      <c r="N22" s="19"/>
      <c r="O22" s="19" t="str">
        <f t="shared" si="0"/>
        <v>01</v>
      </c>
      <c r="P22" s="64">
        <f t="shared" si="1"/>
        <v>42552</v>
      </c>
    </row>
    <row r="23" spans="1:16" x14ac:dyDescent="0.25">
      <c r="A23" s="17">
        <v>42552.7734375</v>
      </c>
      <c r="B23" s="18" t="s">
        <v>121</v>
      </c>
      <c r="C23" s="18" t="s">
        <v>723</v>
      </c>
      <c r="D23" s="18" t="s">
        <v>103</v>
      </c>
      <c r="E23" s="52" t="s">
        <v>115</v>
      </c>
      <c r="F23" s="53">
        <v>150</v>
      </c>
      <c r="G23" s="18">
        <v>155</v>
      </c>
      <c r="H23" s="18">
        <v>229978</v>
      </c>
      <c r="I23" s="52" t="s">
        <v>105</v>
      </c>
      <c r="J23" s="18">
        <v>230436</v>
      </c>
      <c r="K23" s="19" t="s">
        <v>111</v>
      </c>
      <c r="L23" s="19" t="str">
        <f>VLOOKUP(C23,'[2]Trips&amp;Operators'!$C$2:$E$10000,3,FALSE)</f>
        <v>MOSES</v>
      </c>
      <c r="M23" s="20" t="s">
        <v>112</v>
      </c>
      <c r="N23" s="19"/>
      <c r="O23" s="19" t="str">
        <f t="shared" si="0"/>
        <v>01</v>
      </c>
      <c r="P23" s="64">
        <f t="shared" si="1"/>
        <v>42552</v>
      </c>
    </row>
    <row r="24" spans="1:16" x14ac:dyDescent="0.25">
      <c r="A24" s="26">
        <v>42552.719155092593</v>
      </c>
      <c r="B24" s="4" t="s">
        <v>114</v>
      </c>
      <c r="C24" s="4" t="s">
        <v>611</v>
      </c>
      <c r="D24" s="4" t="s">
        <v>103</v>
      </c>
      <c r="E24" s="51" t="s">
        <v>122</v>
      </c>
      <c r="F24" s="3">
        <v>0</v>
      </c>
      <c r="G24" s="4">
        <v>157</v>
      </c>
      <c r="H24" s="4">
        <v>936</v>
      </c>
      <c r="I24" s="51" t="s">
        <v>123</v>
      </c>
      <c r="J24" s="4">
        <v>1692</v>
      </c>
      <c r="K24" s="4" t="s">
        <v>111</v>
      </c>
      <c r="L24" s="19" t="str">
        <f>VLOOKUP(C24,'[2]Trips&amp;Operators'!$C$2:$E$10000,3,FALSE)</f>
        <v>LOCKLEAR</v>
      </c>
      <c r="M24" s="4" t="s">
        <v>112</v>
      </c>
      <c r="N24" s="4" t="s">
        <v>612</v>
      </c>
      <c r="O24" s="19" t="str">
        <f t="shared" si="0"/>
        <v>01</v>
      </c>
      <c r="P24" s="64">
        <f t="shared" si="1"/>
        <v>42552</v>
      </c>
    </row>
    <row r="25" spans="1:16" x14ac:dyDescent="0.25">
      <c r="A25" s="26">
        <v>42552.570208333331</v>
      </c>
      <c r="B25" s="4" t="s">
        <v>133</v>
      </c>
      <c r="C25" s="4" t="s">
        <v>257</v>
      </c>
      <c r="D25" s="4" t="s">
        <v>103</v>
      </c>
      <c r="E25" s="51" t="s">
        <v>122</v>
      </c>
      <c r="F25" s="3">
        <v>0</v>
      </c>
      <c r="G25" s="4">
        <v>201</v>
      </c>
      <c r="H25" s="4">
        <v>27863</v>
      </c>
      <c r="I25" s="51" t="s">
        <v>123</v>
      </c>
      <c r="J25" s="4">
        <v>28054</v>
      </c>
      <c r="K25" s="4" t="s">
        <v>111</v>
      </c>
      <c r="L25" s="19" t="str">
        <f>VLOOKUP(C25,'[2]Trips&amp;Operators'!$C$2:$E$10000,3,FALSE)</f>
        <v>SHOOK</v>
      </c>
      <c r="M25" s="20" t="s">
        <v>107</v>
      </c>
      <c r="N25" s="19" t="s">
        <v>739</v>
      </c>
      <c r="O25" s="19" t="str">
        <f t="shared" si="0"/>
        <v>01</v>
      </c>
      <c r="P25" s="64">
        <f t="shared" si="1"/>
        <v>42552</v>
      </c>
    </row>
    <row r="26" spans="1:16" x14ac:dyDescent="0.25">
      <c r="A26" s="26">
        <v>42552.601851851854</v>
      </c>
      <c r="B26" s="4" t="s">
        <v>121</v>
      </c>
      <c r="C26" s="4" t="s">
        <v>607</v>
      </c>
      <c r="D26" s="4" t="s">
        <v>103</v>
      </c>
      <c r="E26" s="51" t="s">
        <v>122</v>
      </c>
      <c r="F26" s="3">
        <v>0</v>
      </c>
      <c r="G26" s="4">
        <v>325</v>
      </c>
      <c r="H26" s="4">
        <v>36410</v>
      </c>
      <c r="I26" s="51" t="s">
        <v>123</v>
      </c>
      <c r="J26" s="4">
        <v>36645</v>
      </c>
      <c r="K26" s="4" t="s">
        <v>111</v>
      </c>
      <c r="L26" s="19" t="str">
        <f>VLOOKUP(C26,'[2]Trips&amp;Operators'!$C$2:$E$10000,3,FALSE)</f>
        <v>STEWART</v>
      </c>
      <c r="M26" s="20" t="s">
        <v>107</v>
      </c>
      <c r="N26" s="19" t="s">
        <v>52</v>
      </c>
      <c r="O26" s="19" t="str">
        <f t="shared" si="0"/>
        <v>01</v>
      </c>
      <c r="P26" s="64">
        <f t="shared" si="1"/>
        <v>42552</v>
      </c>
    </row>
    <row r="27" spans="1:16" x14ac:dyDescent="0.25">
      <c r="A27" s="26">
        <v>42552.60229166667</v>
      </c>
      <c r="B27" s="4" t="s">
        <v>121</v>
      </c>
      <c r="C27" s="4" t="s">
        <v>607</v>
      </c>
      <c r="D27" s="4" t="s">
        <v>116</v>
      </c>
      <c r="E27" s="51" t="s">
        <v>122</v>
      </c>
      <c r="F27" s="3">
        <v>0</v>
      </c>
      <c r="G27" s="4">
        <v>9</v>
      </c>
      <c r="H27" s="4">
        <v>36953</v>
      </c>
      <c r="I27" s="51" t="s">
        <v>123</v>
      </c>
      <c r="J27" s="4">
        <v>36645</v>
      </c>
      <c r="K27" s="4" t="s">
        <v>111</v>
      </c>
      <c r="L27" s="19" t="str">
        <f>VLOOKUP(C27,'[2]Trips&amp;Operators'!$C$2:$E$10000,3,FALSE)</f>
        <v>STEWART</v>
      </c>
      <c r="M27" s="20" t="s">
        <v>107</v>
      </c>
      <c r="N27" s="19" t="s">
        <v>52</v>
      </c>
      <c r="O27" s="19" t="str">
        <f t="shared" si="0"/>
        <v>01</v>
      </c>
      <c r="P27" s="64">
        <f t="shared" si="1"/>
        <v>42552</v>
      </c>
    </row>
    <row r="28" spans="1:16" x14ac:dyDescent="0.25">
      <c r="A28" s="26">
        <v>42552.401979166665</v>
      </c>
      <c r="B28" s="4" t="s">
        <v>147</v>
      </c>
      <c r="C28" s="4" t="s">
        <v>733</v>
      </c>
      <c r="D28" s="4" t="s">
        <v>103</v>
      </c>
      <c r="E28" s="51" t="s">
        <v>122</v>
      </c>
      <c r="F28" s="3">
        <v>0</v>
      </c>
      <c r="G28" s="4">
        <v>810</v>
      </c>
      <c r="H28" s="4">
        <v>135481</v>
      </c>
      <c r="I28" s="51" t="s">
        <v>123</v>
      </c>
      <c r="J28" s="4">
        <v>127587</v>
      </c>
      <c r="K28" s="4" t="s">
        <v>106</v>
      </c>
      <c r="L28" s="19" t="str">
        <f>VLOOKUP(C28,'[2]Trips&amp;Operators'!$C$2:$E$10000,3,FALSE)</f>
        <v>STARKS</v>
      </c>
      <c r="M28" s="4" t="s">
        <v>112</v>
      </c>
      <c r="N28" s="4" t="s">
        <v>376</v>
      </c>
      <c r="O28" s="19" t="str">
        <f t="shared" si="0"/>
        <v>01</v>
      </c>
      <c r="P28" s="64">
        <f t="shared" si="1"/>
        <v>42552</v>
      </c>
    </row>
    <row r="29" spans="1:16" x14ac:dyDescent="0.25">
      <c r="A29" s="26">
        <v>42552.445069444446</v>
      </c>
      <c r="B29" s="4" t="s">
        <v>139</v>
      </c>
      <c r="C29" s="4" t="s">
        <v>736</v>
      </c>
      <c r="D29" s="4" t="s">
        <v>103</v>
      </c>
      <c r="E29" s="51" t="s">
        <v>122</v>
      </c>
      <c r="F29" s="3">
        <v>0</v>
      </c>
      <c r="G29" s="4">
        <v>601</v>
      </c>
      <c r="H29" s="4">
        <v>131243</v>
      </c>
      <c r="I29" s="51" t="s">
        <v>123</v>
      </c>
      <c r="J29" s="4">
        <v>127587</v>
      </c>
      <c r="K29" s="4" t="s">
        <v>106</v>
      </c>
      <c r="L29" s="19" t="str">
        <f>VLOOKUP(C29,'[2]Trips&amp;Operators'!$C$2:$E$10000,3,FALSE)</f>
        <v>STAMBAUGH</v>
      </c>
      <c r="M29" s="20" t="s">
        <v>112</v>
      </c>
      <c r="N29" s="4" t="s">
        <v>376</v>
      </c>
      <c r="O29" s="19" t="str">
        <f t="shared" si="0"/>
        <v>01</v>
      </c>
      <c r="P29" s="64">
        <f t="shared" si="1"/>
        <v>42552</v>
      </c>
    </row>
    <row r="30" spans="1:16" x14ac:dyDescent="0.25">
      <c r="A30" s="26">
        <v>42552.540023148147</v>
      </c>
      <c r="B30" s="4" t="s">
        <v>119</v>
      </c>
      <c r="C30" s="4" t="s">
        <v>737</v>
      </c>
      <c r="D30" s="4" t="s">
        <v>103</v>
      </c>
      <c r="E30" s="51" t="s">
        <v>122</v>
      </c>
      <c r="F30" s="3">
        <v>0</v>
      </c>
      <c r="G30" s="4">
        <v>359</v>
      </c>
      <c r="H30" s="4">
        <v>129116</v>
      </c>
      <c r="I30" s="51" t="s">
        <v>123</v>
      </c>
      <c r="J30" s="4">
        <v>127587</v>
      </c>
      <c r="K30" s="4" t="s">
        <v>106</v>
      </c>
      <c r="L30" s="19" t="str">
        <f>VLOOKUP(C30,'[2]Trips&amp;Operators'!$C$2:$E$10000,3,FALSE)</f>
        <v>SHOOK</v>
      </c>
      <c r="M30" s="20" t="s">
        <v>112</v>
      </c>
      <c r="N30" s="4" t="s">
        <v>376</v>
      </c>
      <c r="O30" s="19" t="str">
        <f t="shared" si="0"/>
        <v>01</v>
      </c>
      <c r="P30" s="64">
        <f t="shared" si="1"/>
        <v>42552</v>
      </c>
    </row>
    <row r="31" spans="1:16" x14ac:dyDescent="0.25">
      <c r="A31" s="26">
        <v>42552.589490740742</v>
      </c>
      <c r="B31" s="4" t="s">
        <v>139</v>
      </c>
      <c r="C31" s="4" t="s">
        <v>738</v>
      </c>
      <c r="D31" s="4" t="s">
        <v>103</v>
      </c>
      <c r="E31" s="51" t="s">
        <v>122</v>
      </c>
      <c r="F31" s="3">
        <v>0</v>
      </c>
      <c r="G31" s="4">
        <v>414</v>
      </c>
      <c r="H31" s="4">
        <v>130097</v>
      </c>
      <c r="I31" s="51" t="s">
        <v>123</v>
      </c>
      <c r="J31" s="4">
        <v>127587</v>
      </c>
      <c r="K31" s="4" t="s">
        <v>106</v>
      </c>
      <c r="L31" s="19" t="str">
        <f>VLOOKUP(C31,'[2]Trips&amp;Operators'!$C$2:$E$10000,3,FALSE)</f>
        <v>MAYBERRY</v>
      </c>
      <c r="M31" s="4" t="s">
        <v>112</v>
      </c>
      <c r="N31" s="4" t="s">
        <v>376</v>
      </c>
      <c r="O31" s="19" t="str">
        <f t="shared" si="0"/>
        <v>01</v>
      </c>
      <c r="P31" s="64">
        <f t="shared" si="1"/>
        <v>42552</v>
      </c>
    </row>
    <row r="32" spans="1:16" x14ac:dyDescent="0.25">
      <c r="A32" s="26">
        <v>42552.735451388886</v>
      </c>
      <c r="B32" s="4" t="s">
        <v>139</v>
      </c>
      <c r="C32" s="4" t="s">
        <v>740</v>
      </c>
      <c r="D32" s="4" t="s">
        <v>103</v>
      </c>
      <c r="E32" s="51" t="s">
        <v>122</v>
      </c>
      <c r="F32" s="3">
        <v>0</v>
      </c>
      <c r="G32" s="4">
        <v>457</v>
      </c>
      <c r="H32" s="4">
        <v>129925</v>
      </c>
      <c r="I32" s="51" t="s">
        <v>123</v>
      </c>
      <c r="J32" s="4">
        <v>127587</v>
      </c>
      <c r="K32" s="4" t="s">
        <v>106</v>
      </c>
      <c r="L32" s="19" t="str">
        <f>VLOOKUP(C32,'[2]Trips&amp;Operators'!$C$2:$E$10000,3,FALSE)</f>
        <v>MAYBERRY</v>
      </c>
      <c r="M32" s="20" t="s">
        <v>112</v>
      </c>
      <c r="N32" s="4" t="s">
        <v>376</v>
      </c>
      <c r="O32" s="19" t="str">
        <f t="shared" si="0"/>
        <v>01</v>
      </c>
      <c r="P32" s="64">
        <f t="shared" si="1"/>
        <v>42552</v>
      </c>
    </row>
    <row r="33" spans="1:16" x14ac:dyDescent="0.25">
      <c r="A33" s="26">
        <v>42552.219629629632</v>
      </c>
      <c r="B33" s="4" t="s">
        <v>148</v>
      </c>
      <c r="C33" s="4" t="s">
        <v>731</v>
      </c>
      <c r="D33" s="4" t="s">
        <v>103</v>
      </c>
      <c r="E33" s="51" t="s">
        <v>122</v>
      </c>
      <c r="F33" s="3">
        <v>0</v>
      </c>
      <c r="G33" s="4">
        <v>342</v>
      </c>
      <c r="H33" s="4">
        <v>148123</v>
      </c>
      <c r="I33" s="51" t="s">
        <v>123</v>
      </c>
      <c r="J33" s="4">
        <v>149694</v>
      </c>
      <c r="K33" s="4" t="s">
        <v>111</v>
      </c>
      <c r="L33" s="19" t="str">
        <f>VLOOKUP(C33,'[2]Trips&amp;Operators'!$C$2:$E$10000,3,FALSE)</f>
        <v>STARKS</v>
      </c>
      <c r="M33" s="20" t="s">
        <v>112</v>
      </c>
      <c r="N33" s="19" t="s">
        <v>732</v>
      </c>
      <c r="O33" s="19" t="str">
        <f t="shared" si="0"/>
        <v>01</v>
      </c>
      <c r="P33" s="64">
        <f t="shared" si="1"/>
        <v>42552</v>
      </c>
    </row>
    <row r="34" spans="1:16" x14ac:dyDescent="0.25">
      <c r="A34" s="26">
        <v>42552.417534722219</v>
      </c>
      <c r="B34" s="4" t="s">
        <v>132</v>
      </c>
      <c r="C34" s="4" t="s">
        <v>734</v>
      </c>
      <c r="D34" s="4" t="s">
        <v>103</v>
      </c>
      <c r="E34" s="51" t="s">
        <v>122</v>
      </c>
      <c r="F34" s="3">
        <v>0</v>
      </c>
      <c r="G34" s="4">
        <v>493</v>
      </c>
      <c r="H34" s="4">
        <v>195448</v>
      </c>
      <c r="I34" s="51" t="s">
        <v>123</v>
      </c>
      <c r="J34" s="4">
        <v>191723</v>
      </c>
      <c r="K34" s="4" t="s">
        <v>106</v>
      </c>
      <c r="L34" s="19" t="str">
        <f>VLOOKUP(C34,'[2]Trips&amp;Operators'!$C$2:$E$10000,3,FALSE)</f>
        <v>MAELZER</v>
      </c>
      <c r="M34" s="20" t="s">
        <v>112</v>
      </c>
      <c r="N34" s="19" t="s">
        <v>735</v>
      </c>
      <c r="O34" s="19" t="str">
        <f t="shared" si="0"/>
        <v>01</v>
      </c>
      <c r="P34" s="64">
        <f t="shared" si="1"/>
        <v>42552</v>
      </c>
    </row>
    <row r="35" spans="1:16" x14ac:dyDescent="0.25">
      <c r="A35" s="17">
        <v>42552.254513888889</v>
      </c>
      <c r="B35" s="18" t="s">
        <v>137</v>
      </c>
      <c r="C35" s="18" t="s">
        <v>259</v>
      </c>
      <c r="D35" s="18" t="s">
        <v>103</v>
      </c>
      <c r="E35" s="52" t="s">
        <v>127</v>
      </c>
      <c r="F35" s="53">
        <v>0</v>
      </c>
      <c r="G35" s="18">
        <v>368</v>
      </c>
      <c r="H35" s="18">
        <v>102044</v>
      </c>
      <c r="I35" s="52" t="s">
        <v>128</v>
      </c>
      <c r="J35" s="18">
        <v>103445</v>
      </c>
      <c r="K35" s="19" t="s">
        <v>111</v>
      </c>
      <c r="L35" s="19" t="str">
        <f>VLOOKUP(C35,'[2]Trips&amp;Operators'!$C$2:$E$10000,3,FALSE)</f>
        <v>STAMBAUGH</v>
      </c>
      <c r="M35" s="20" t="s">
        <v>107</v>
      </c>
      <c r="N35" s="19" t="s">
        <v>52</v>
      </c>
      <c r="O35" s="19" t="str">
        <f t="shared" si="0"/>
        <v>01</v>
      </c>
      <c r="P35" s="64">
        <f t="shared" si="1"/>
        <v>42552</v>
      </c>
    </row>
    <row r="36" spans="1:16" x14ac:dyDescent="0.25">
      <c r="A36" s="17">
        <v>42552.857453703706</v>
      </c>
      <c r="B36" s="18" t="s">
        <v>132</v>
      </c>
      <c r="C36" s="18" t="s">
        <v>261</v>
      </c>
      <c r="D36" s="18" t="s">
        <v>103</v>
      </c>
      <c r="E36" s="52" t="s">
        <v>127</v>
      </c>
      <c r="F36" s="53">
        <v>0</v>
      </c>
      <c r="G36" s="18">
        <v>452</v>
      </c>
      <c r="H36" s="18">
        <v>158073</v>
      </c>
      <c r="I36" s="52" t="s">
        <v>128</v>
      </c>
      <c r="J36" s="18">
        <v>156300</v>
      </c>
      <c r="K36" s="19" t="s">
        <v>106</v>
      </c>
      <c r="L36" s="19" t="str">
        <f>VLOOKUP(C36,'[2]Trips&amp;Operators'!$C$2:$E$10000,3,FALSE)</f>
        <v>MOSES</v>
      </c>
      <c r="M36" s="20" t="s">
        <v>107</v>
      </c>
      <c r="N36" s="19" t="s">
        <v>52</v>
      </c>
      <c r="O36" s="19" t="str">
        <f t="shared" si="0"/>
        <v>01</v>
      </c>
      <c r="P36" s="64">
        <f t="shared" si="1"/>
        <v>42552</v>
      </c>
    </row>
    <row r="37" spans="1:16" x14ac:dyDescent="0.25">
      <c r="A37" s="17">
        <v>42552.780416666668</v>
      </c>
      <c r="B37" s="18" t="s">
        <v>132</v>
      </c>
      <c r="C37" s="18" t="s">
        <v>741</v>
      </c>
      <c r="D37" s="18" t="s">
        <v>103</v>
      </c>
      <c r="E37" s="52" t="s">
        <v>127</v>
      </c>
      <c r="F37" s="53">
        <v>0</v>
      </c>
      <c r="G37" s="18">
        <v>143</v>
      </c>
      <c r="H37" s="18">
        <v>232241</v>
      </c>
      <c r="I37" s="52" t="s">
        <v>128</v>
      </c>
      <c r="J37" s="18">
        <v>231650</v>
      </c>
      <c r="K37" s="19" t="s">
        <v>106</v>
      </c>
      <c r="L37" s="19" t="str">
        <f>VLOOKUP(C37,'[2]Trips&amp;Operators'!$C$2:$E$10000,3,FALSE)</f>
        <v>MOSES</v>
      </c>
      <c r="M37" s="20" t="s">
        <v>107</v>
      </c>
      <c r="N37" s="19" t="s">
        <v>52</v>
      </c>
      <c r="O37" s="19" t="str">
        <f t="shared" si="0"/>
        <v>01</v>
      </c>
      <c r="P37" s="64">
        <f t="shared" si="1"/>
        <v>42552</v>
      </c>
    </row>
    <row r="38" spans="1:16" x14ac:dyDescent="0.25">
      <c r="A38" s="26">
        <v>42552.200138888889</v>
      </c>
      <c r="B38" s="4" t="s">
        <v>134</v>
      </c>
      <c r="C38" s="4" t="s">
        <v>252</v>
      </c>
      <c r="D38" s="4" t="s">
        <v>103</v>
      </c>
      <c r="E38" s="51" t="s">
        <v>129</v>
      </c>
      <c r="F38" s="3">
        <v>0</v>
      </c>
      <c r="G38" s="4">
        <v>9</v>
      </c>
      <c r="H38" s="4">
        <v>105</v>
      </c>
      <c r="I38" s="51" t="s">
        <v>130</v>
      </c>
      <c r="J38" s="4">
        <v>1</v>
      </c>
      <c r="K38" s="4" t="s">
        <v>106</v>
      </c>
      <c r="L38" s="19" t="str">
        <f>VLOOKUP(C38,'[2]Trips&amp;Operators'!$C$2:$E$10000,3,FALSE)</f>
        <v>YORK</v>
      </c>
      <c r="M38" s="4" t="s">
        <v>112</v>
      </c>
      <c r="O38" s="19" t="str">
        <f t="shared" si="0"/>
        <v>01</v>
      </c>
      <c r="P38" s="64">
        <f t="shared" si="1"/>
        <v>42552</v>
      </c>
    </row>
    <row r="39" spans="1:16" x14ac:dyDescent="0.25">
      <c r="A39" s="26">
        <v>42552.281134259261</v>
      </c>
      <c r="B39" s="4" t="s">
        <v>145</v>
      </c>
      <c r="C39" s="4" t="s">
        <v>719</v>
      </c>
      <c r="D39" s="4" t="s">
        <v>103</v>
      </c>
      <c r="E39" s="51" t="s">
        <v>129</v>
      </c>
      <c r="F39" s="3">
        <v>0</v>
      </c>
      <c r="G39" s="4">
        <v>61</v>
      </c>
      <c r="H39" s="4">
        <v>214</v>
      </c>
      <c r="I39" s="51" t="s">
        <v>130</v>
      </c>
      <c r="J39" s="4">
        <v>1</v>
      </c>
      <c r="K39" s="4" t="s">
        <v>106</v>
      </c>
      <c r="L39" s="19" t="str">
        <f>VLOOKUP(C39,'[2]Trips&amp;Operators'!$C$2:$E$10000,3,FALSE)</f>
        <v>MALAVE</v>
      </c>
      <c r="M39" s="20" t="s">
        <v>112</v>
      </c>
      <c r="N39" s="19"/>
      <c r="O39" s="19" t="str">
        <f t="shared" si="0"/>
        <v>01</v>
      </c>
      <c r="P39" s="64">
        <f t="shared" si="1"/>
        <v>42552</v>
      </c>
    </row>
    <row r="40" spans="1:16" x14ac:dyDescent="0.25">
      <c r="A40" s="26">
        <v>42552.348541666666</v>
      </c>
      <c r="B40" s="4" t="s">
        <v>147</v>
      </c>
      <c r="C40" s="4" t="s">
        <v>742</v>
      </c>
      <c r="D40" s="4" t="s">
        <v>103</v>
      </c>
      <c r="E40" s="51" t="s">
        <v>129</v>
      </c>
      <c r="F40" s="3">
        <v>0</v>
      </c>
      <c r="G40" s="4">
        <v>60</v>
      </c>
      <c r="H40" s="4">
        <v>212</v>
      </c>
      <c r="I40" s="51" t="s">
        <v>130</v>
      </c>
      <c r="J40" s="4">
        <v>1</v>
      </c>
      <c r="K40" s="4" t="s">
        <v>106</v>
      </c>
      <c r="L40" s="19" t="str">
        <f>VLOOKUP(C40,'[2]Trips&amp;Operators'!$C$2:$E$10000,3,FALSE)</f>
        <v>STARKS</v>
      </c>
      <c r="M40" s="4" t="s">
        <v>112</v>
      </c>
      <c r="O40" s="19" t="str">
        <f t="shared" si="0"/>
        <v>01</v>
      </c>
      <c r="P40" s="64">
        <f t="shared" si="1"/>
        <v>42552</v>
      </c>
    </row>
    <row r="41" spans="1:16" x14ac:dyDescent="0.25">
      <c r="A41" s="26">
        <v>42552.357905092591</v>
      </c>
      <c r="B41" s="4" t="s">
        <v>145</v>
      </c>
      <c r="C41" s="4" t="s">
        <v>743</v>
      </c>
      <c r="D41" s="4" t="s">
        <v>103</v>
      </c>
      <c r="E41" s="51" t="s">
        <v>129</v>
      </c>
      <c r="F41" s="3">
        <v>0</v>
      </c>
      <c r="G41" s="4">
        <v>7</v>
      </c>
      <c r="H41" s="4">
        <v>119</v>
      </c>
      <c r="I41" s="51" t="s">
        <v>130</v>
      </c>
      <c r="J41" s="4">
        <v>1</v>
      </c>
      <c r="K41" s="4" t="s">
        <v>106</v>
      </c>
      <c r="L41" s="19" t="str">
        <f>VLOOKUP(C41,'[2]Trips&amp;Operators'!$C$2:$E$10000,3,FALSE)</f>
        <v>MALAVE</v>
      </c>
      <c r="M41" s="20" t="s">
        <v>112</v>
      </c>
      <c r="N41" s="19"/>
      <c r="O41" s="19" t="str">
        <f t="shared" si="0"/>
        <v>01</v>
      </c>
      <c r="P41" s="64">
        <f t="shared" si="1"/>
        <v>42552</v>
      </c>
    </row>
    <row r="42" spans="1:16" x14ac:dyDescent="0.25">
      <c r="A42" s="17">
        <v>42552.398912037039</v>
      </c>
      <c r="B42" s="18" t="s">
        <v>141</v>
      </c>
      <c r="C42" s="18" t="s">
        <v>744</v>
      </c>
      <c r="D42" s="18" t="s">
        <v>103</v>
      </c>
      <c r="E42" s="52" t="s">
        <v>129</v>
      </c>
      <c r="F42" s="53">
        <v>0</v>
      </c>
      <c r="G42" s="18">
        <v>7</v>
      </c>
      <c r="H42" s="18">
        <v>129</v>
      </c>
      <c r="I42" s="52" t="s">
        <v>130</v>
      </c>
      <c r="J42" s="18">
        <v>1</v>
      </c>
      <c r="K42" s="19" t="s">
        <v>106</v>
      </c>
      <c r="L42" s="19" t="str">
        <f>VLOOKUP(C42,'[2]Trips&amp;Operators'!$C$2:$E$10000,3,FALSE)</f>
        <v>STURGEON</v>
      </c>
      <c r="M42" s="20" t="s">
        <v>112</v>
      </c>
      <c r="N42" s="19"/>
      <c r="O42" s="19" t="str">
        <f t="shared" si="0"/>
        <v>01</v>
      </c>
      <c r="P42" s="64">
        <f t="shared" si="1"/>
        <v>42552</v>
      </c>
    </row>
    <row r="43" spans="1:16" x14ac:dyDescent="0.25">
      <c r="A43" s="26">
        <v>42552.408865740741</v>
      </c>
      <c r="B43" s="4" t="s">
        <v>119</v>
      </c>
      <c r="C43" s="4" t="s">
        <v>745</v>
      </c>
      <c r="D43" s="4" t="s">
        <v>103</v>
      </c>
      <c r="E43" s="51" t="s">
        <v>129</v>
      </c>
      <c r="F43" s="3">
        <v>0</v>
      </c>
      <c r="G43" s="4">
        <v>6</v>
      </c>
      <c r="H43" s="4">
        <v>129</v>
      </c>
      <c r="I43" s="51" t="s">
        <v>130</v>
      </c>
      <c r="J43" s="4">
        <v>1</v>
      </c>
      <c r="K43" s="4" t="s">
        <v>106</v>
      </c>
      <c r="L43" s="19" t="str">
        <f>VLOOKUP(C43,'[2]Trips&amp;Operators'!$C$2:$E$10000,3,FALSE)</f>
        <v>CUSHING</v>
      </c>
      <c r="M43" s="4" t="s">
        <v>112</v>
      </c>
      <c r="N43" s="19"/>
      <c r="O43" s="19" t="str">
        <f t="shared" si="0"/>
        <v>01</v>
      </c>
      <c r="P43" s="64">
        <f t="shared" si="1"/>
        <v>42552</v>
      </c>
    </row>
    <row r="44" spans="1:16" x14ac:dyDescent="0.25">
      <c r="A44" s="26">
        <v>42552.421817129631</v>
      </c>
      <c r="B44" s="4" t="s">
        <v>147</v>
      </c>
      <c r="C44" s="4" t="s">
        <v>733</v>
      </c>
      <c r="D44" s="4" t="s">
        <v>103</v>
      </c>
      <c r="E44" s="51" t="s">
        <v>129</v>
      </c>
      <c r="F44" s="3">
        <v>0</v>
      </c>
      <c r="G44" s="4">
        <v>8</v>
      </c>
      <c r="H44" s="4">
        <v>121</v>
      </c>
      <c r="I44" s="51" t="s">
        <v>130</v>
      </c>
      <c r="J44" s="4">
        <v>1</v>
      </c>
      <c r="K44" s="4" t="s">
        <v>106</v>
      </c>
      <c r="L44" s="19" t="str">
        <f>VLOOKUP(C44,'[2]Trips&amp;Operators'!$C$2:$E$10000,3,FALSE)</f>
        <v>STARKS</v>
      </c>
      <c r="M44" s="20" t="s">
        <v>112</v>
      </c>
      <c r="N44" s="19"/>
      <c r="O44" s="19" t="str">
        <f t="shared" si="0"/>
        <v>01</v>
      </c>
      <c r="P44" s="64">
        <f t="shared" si="1"/>
        <v>42552</v>
      </c>
    </row>
    <row r="45" spans="1:16" x14ac:dyDescent="0.25">
      <c r="A45" s="26">
        <v>42552.440254629626</v>
      </c>
      <c r="B45" s="4" t="s">
        <v>132</v>
      </c>
      <c r="C45" s="4" t="s">
        <v>734</v>
      </c>
      <c r="D45" s="4" t="s">
        <v>103</v>
      </c>
      <c r="E45" s="51" t="s">
        <v>129</v>
      </c>
      <c r="F45" s="3">
        <v>0</v>
      </c>
      <c r="G45" s="4">
        <v>8</v>
      </c>
      <c r="H45" s="4">
        <v>132</v>
      </c>
      <c r="I45" s="51" t="s">
        <v>130</v>
      </c>
      <c r="J45" s="4">
        <v>1</v>
      </c>
      <c r="K45" s="4" t="s">
        <v>106</v>
      </c>
      <c r="L45" s="19" t="str">
        <f>VLOOKUP(C45,'[2]Trips&amp;Operators'!$C$2:$E$10000,3,FALSE)</f>
        <v>MAELZER</v>
      </c>
      <c r="M45" s="20" t="s">
        <v>112</v>
      </c>
      <c r="N45" s="19"/>
      <c r="O45" s="19" t="str">
        <f t="shared" si="0"/>
        <v>01</v>
      </c>
      <c r="P45" s="64">
        <f t="shared" si="1"/>
        <v>42552</v>
      </c>
    </row>
    <row r="46" spans="1:16" x14ac:dyDescent="0.25">
      <c r="A46" s="26">
        <v>42552.754537037035</v>
      </c>
      <c r="B46" s="4" t="s">
        <v>139</v>
      </c>
      <c r="C46" s="4" t="s">
        <v>740</v>
      </c>
      <c r="D46" s="4" t="s">
        <v>103</v>
      </c>
      <c r="E46" s="51" t="s">
        <v>129</v>
      </c>
      <c r="F46" s="3">
        <v>0</v>
      </c>
      <c r="G46" s="4">
        <v>79</v>
      </c>
      <c r="H46" s="4">
        <v>280</v>
      </c>
      <c r="I46" s="51" t="s">
        <v>130</v>
      </c>
      <c r="J46" s="4">
        <v>1</v>
      </c>
      <c r="K46" s="4" t="s">
        <v>106</v>
      </c>
      <c r="L46" s="19" t="str">
        <f>VLOOKUP(C46,'[2]Trips&amp;Operators'!$C$2:$E$10000,3,FALSE)</f>
        <v>MAYBERRY</v>
      </c>
      <c r="M46" s="20" t="s">
        <v>112</v>
      </c>
      <c r="N46" s="19"/>
      <c r="O46" s="19" t="str">
        <f t="shared" si="0"/>
        <v>01</v>
      </c>
      <c r="P46" s="64">
        <f t="shared" si="1"/>
        <v>42552</v>
      </c>
    </row>
    <row r="47" spans="1:16" x14ac:dyDescent="0.25">
      <c r="A47" s="17">
        <v>42552.820185185185</v>
      </c>
      <c r="B47" s="18" t="s">
        <v>134</v>
      </c>
      <c r="C47" s="18" t="s">
        <v>752</v>
      </c>
      <c r="D47" s="18" t="s">
        <v>103</v>
      </c>
      <c r="E47" s="52" t="s">
        <v>129</v>
      </c>
      <c r="F47" s="53">
        <v>0</v>
      </c>
      <c r="G47" s="18">
        <v>9</v>
      </c>
      <c r="H47" s="18">
        <v>127</v>
      </c>
      <c r="I47" s="52" t="s">
        <v>130</v>
      </c>
      <c r="J47" s="18">
        <v>1</v>
      </c>
      <c r="K47" s="19" t="s">
        <v>106</v>
      </c>
      <c r="L47" s="19" t="str">
        <f>VLOOKUP(C47,'[2]Trips&amp;Operators'!$C$2:$E$10000,3,FALSE)</f>
        <v>CHANDLER</v>
      </c>
      <c r="M47" s="20" t="s">
        <v>112</v>
      </c>
      <c r="N47" s="19"/>
      <c r="O47" s="19" t="str">
        <f t="shared" si="0"/>
        <v>01</v>
      </c>
      <c r="P47" s="64">
        <f t="shared" si="1"/>
        <v>42552</v>
      </c>
    </row>
    <row r="48" spans="1:16" x14ac:dyDescent="0.25">
      <c r="A48" s="17">
        <v>42552.919849537036</v>
      </c>
      <c r="B48" s="18" t="s">
        <v>141</v>
      </c>
      <c r="C48" s="18" t="s">
        <v>753</v>
      </c>
      <c r="D48" s="18" t="s">
        <v>103</v>
      </c>
      <c r="E48" s="52" t="s">
        <v>129</v>
      </c>
      <c r="F48" s="53">
        <v>0</v>
      </c>
      <c r="G48" s="18">
        <v>4</v>
      </c>
      <c r="H48" s="18">
        <v>130</v>
      </c>
      <c r="I48" s="52" t="s">
        <v>130</v>
      </c>
      <c r="J48" s="18">
        <v>1</v>
      </c>
      <c r="K48" s="19" t="s">
        <v>106</v>
      </c>
      <c r="L48" s="19" t="str">
        <f>VLOOKUP(C48,'[2]Trips&amp;Operators'!$C$2:$E$10000,3,FALSE)</f>
        <v>DAVIS</v>
      </c>
      <c r="M48" s="20" t="s">
        <v>112</v>
      </c>
      <c r="N48" s="19"/>
      <c r="O48" s="19" t="str">
        <f t="shared" si="0"/>
        <v>01</v>
      </c>
      <c r="P48" s="64">
        <f t="shared" si="1"/>
        <v>42552</v>
      </c>
    </row>
    <row r="49" spans="1:16" x14ac:dyDescent="0.25">
      <c r="A49" s="17">
        <v>42553.065567129626</v>
      </c>
      <c r="B49" s="18" t="s">
        <v>139</v>
      </c>
      <c r="C49" s="18" t="s">
        <v>256</v>
      </c>
      <c r="D49" s="18" t="s">
        <v>103</v>
      </c>
      <c r="E49" s="52" t="s">
        <v>129</v>
      </c>
      <c r="F49" s="53">
        <v>0</v>
      </c>
      <c r="G49" s="18">
        <v>4</v>
      </c>
      <c r="H49" s="18">
        <v>119</v>
      </c>
      <c r="I49" s="52" t="s">
        <v>130</v>
      </c>
      <c r="J49" s="18">
        <v>1</v>
      </c>
      <c r="K49" s="19" t="s">
        <v>106</v>
      </c>
      <c r="L49" s="19" t="str">
        <f>VLOOKUP(C49,'[2]Trips&amp;Operators'!$C$2:$E$10000,3,FALSE)</f>
        <v>BRUDER</v>
      </c>
      <c r="M49" s="20" t="s">
        <v>112</v>
      </c>
      <c r="N49" s="19"/>
      <c r="O49" s="19" t="str">
        <f t="shared" si="0"/>
        <v>01</v>
      </c>
      <c r="P49" s="64">
        <f t="shared" si="1"/>
        <v>42552</v>
      </c>
    </row>
    <row r="50" spans="1:16" x14ac:dyDescent="0.25">
      <c r="A50" s="26">
        <v>42552.225138888891</v>
      </c>
      <c r="B50" s="4" t="s">
        <v>136</v>
      </c>
      <c r="C50" s="4" t="s">
        <v>755</v>
      </c>
      <c r="D50" s="4" t="s">
        <v>103</v>
      </c>
      <c r="E50" s="51" t="s">
        <v>129</v>
      </c>
      <c r="F50" s="3">
        <v>0</v>
      </c>
      <c r="G50" s="4">
        <v>9</v>
      </c>
      <c r="H50" s="4">
        <v>698</v>
      </c>
      <c r="I50" s="51" t="s">
        <v>130</v>
      </c>
      <c r="J50" s="4">
        <v>575</v>
      </c>
      <c r="K50" s="4" t="s">
        <v>106</v>
      </c>
      <c r="L50" s="19" t="str">
        <f>VLOOKUP(C50,'[2]Trips&amp;Operators'!$C$2:$E$10000,3,FALSE)</f>
        <v>BEAM</v>
      </c>
      <c r="M50" s="20" t="s">
        <v>112</v>
      </c>
      <c r="N50" s="19"/>
      <c r="O50" s="19" t="str">
        <f t="shared" si="0"/>
        <v>01</v>
      </c>
      <c r="P50" s="64">
        <f t="shared" si="1"/>
        <v>42552</v>
      </c>
    </row>
    <row r="51" spans="1:16" x14ac:dyDescent="0.25">
      <c r="A51" s="26">
        <v>42552.373055555552</v>
      </c>
      <c r="B51" s="4" t="s">
        <v>131</v>
      </c>
      <c r="C51" s="4" t="s">
        <v>756</v>
      </c>
      <c r="D51" s="4" t="s">
        <v>103</v>
      </c>
      <c r="E51" s="51" t="s">
        <v>129</v>
      </c>
      <c r="F51" s="3">
        <v>0</v>
      </c>
      <c r="G51" s="4">
        <v>3</v>
      </c>
      <c r="H51" s="4">
        <v>869</v>
      </c>
      <c r="I51" s="51" t="s">
        <v>130</v>
      </c>
      <c r="J51" s="4">
        <v>575</v>
      </c>
      <c r="K51" s="4" t="s">
        <v>106</v>
      </c>
      <c r="L51" s="19" t="str">
        <f>VLOOKUP(C51,'[2]Trips&amp;Operators'!$C$2:$E$10000,3,FALSE)</f>
        <v>NEWELL</v>
      </c>
      <c r="M51" s="20" t="s">
        <v>112</v>
      </c>
      <c r="N51" s="19"/>
      <c r="O51" s="19" t="str">
        <f t="shared" si="0"/>
        <v>01</v>
      </c>
      <c r="P51" s="64">
        <f t="shared" si="1"/>
        <v>42552</v>
      </c>
    </row>
    <row r="52" spans="1:16" x14ac:dyDescent="0.25">
      <c r="A52" s="26">
        <v>42552.683611111112</v>
      </c>
      <c r="B52" s="4" t="s">
        <v>136</v>
      </c>
      <c r="C52" s="4" t="s">
        <v>758</v>
      </c>
      <c r="D52" s="4" t="s">
        <v>103</v>
      </c>
      <c r="E52" s="51" t="s">
        <v>129</v>
      </c>
      <c r="F52" s="3">
        <v>0</v>
      </c>
      <c r="G52" s="4">
        <v>102</v>
      </c>
      <c r="H52" s="4">
        <v>899</v>
      </c>
      <c r="I52" s="51" t="s">
        <v>130</v>
      </c>
      <c r="J52" s="4">
        <v>575</v>
      </c>
      <c r="K52" s="4" t="s">
        <v>106</v>
      </c>
      <c r="L52" s="19" t="str">
        <f>VLOOKUP(C52,'[2]Trips&amp;Operators'!$C$2:$E$10000,3,FALSE)</f>
        <v>POLLOCK</v>
      </c>
      <c r="M52" s="4" t="s">
        <v>112</v>
      </c>
      <c r="O52" s="19" t="str">
        <f t="shared" si="0"/>
        <v>01</v>
      </c>
      <c r="P52" s="64">
        <f t="shared" si="1"/>
        <v>42552</v>
      </c>
    </row>
    <row r="53" spans="1:16" x14ac:dyDescent="0.25">
      <c r="A53" s="26">
        <v>42552.767581018517</v>
      </c>
      <c r="B53" s="4" t="s">
        <v>136</v>
      </c>
      <c r="C53" s="4" t="s">
        <v>759</v>
      </c>
      <c r="D53" s="4" t="s">
        <v>103</v>
      </c>
      <c r="E53" s="51" t="s">
        <v>129</v>
      </c>
      <c r="F53" s="3">
        <v>0</v>
      </c>
      <c r="G53" s="4">
        <v>97</v>
      </c>
      <c r="H53" s="4">
        <v>890</v>
      </c>
      <c r="I53" s="51" t="s">
        <v>130</v>
      </c>
      <c r="J53" s="4">
        <v>575</v>
      </c>
      <c r="K53" s="4" t="s">
        <v>106</v>
      </c>
      <c r="L53" s="19" t="str">
        <f>VLOOKUP(C53,'[2]Trips&amp;Operators'!$C$2:$E$10000,3,FALSE)</f>
        <v>POLLOCK</v>
      </c>
      <c r="M53" s="20" t="s">
        <v>112</v>
      </c>
      <c r="N53" s="19"/>
      <c r="O53" s="19" t="str">
        <f t="shared" si="0"/>
        <v>01</v>
      </c>
      <c r="P53" s="64">
        <f t="shared" si="1"/>
        <v>42552</v>
      </c>
    </row>
    <row r="54" spans="1:16" x14ac:dyDescent="0.25">
      <c r="A54" s="26">
        <v>42552.252893518518</v>
      </c>
      <c r="B54" s="4" t="s">
        <v>138</v>
      </c>
      <c r="C54" s="4" t="s">
        <v>726</v>
      </c>
      <c r="D54" s="4" t="s">
        <v>103</v>
      </c>
      <c r="E54" s="51" t="s">
        <v>129</v>
      </c>
      <c r="F54" s="3">
        <v>0</v>
      </c>
      <c r="G54" s="4">
        <v>7</v>
      </c>
      <c r="H54" s="4">
        <v>58960</v>
      </c>
      <c r="I54" s="51" t="s">
        <v>130</v>
      </c>
      <c r="J54" s="4">
        <v>59048</v>
      </c>
      <c r="K54" s="4" t="s">
        <v>111</v>
      </c>
      <c r="L54" s="19" t="str">
        <f>VLOOKUP(C54,'[2]Trips&amp;Operators'!$C$2:$E$10000,3,FALSE)</f>
        <v>BEAM</v>
      </c>
      <c r="M54" s="20" t="s">
        <v>112</v>
      </c>
      <c r="N54" s="19"/>
      <c r="O54" s="19" t="str">
        <f t="shared" si="0"/>
        <v>01</v>
      </c>
      <c r="P54" s="64">
        <f t="shared" si="1"/>
        <v>42552</v>
      </c>
    </row>
    <row r="55" spans="1:16" x14ac:dyDescent="0.25">
      <c r="A55" s="17">
        <v>42552.773819444446</v>
      </c>
      <c r="B55" s="18" t="s">
        <v>120</v>
      </c>
      <c r="C55" s="18" t="s">
        <v>728</v>
      </c>
      <c r="D55" s="18" t="s">
        <v>103</v>
      </c>
      <c r="E55" s="52" t="s">
        <v>129</v>
      </c>
      <c r="F55" s="53">
        <v>0</v>
      </c>
      <c r="G55" s="18">
        <v>6</v>
      </c>
      <c r="H55" s="18">
        <v>56743</v>
      </c>
      <c r="I55" s="52" t="s">
        <v>130</v>
      </c>
      <c r="J55" s="18">
        <v>59048</v>
      </c>
      <c r="K55" s="19" t="s">
        <v>111</v>
      </c>
      <c r="L55" s="19" t="str">
        <f>VLOOKUP(C55,'[2]Trips&amp;Operators'!$C$2:$E$10000,3,FALSE)</f>
        <v>HELVIE</v>
      </c>
      <c r="M55" s="20" t="s">
        <v>112</v>
      </c>
      <c r="N55" s="19"/>
      <c r="O55" s="19" t="str">
        <f t="shared" si="0"/>
        <v>01</v>
      </c>
      <c r="P55" s="64">
        <f t="shared" si="1"/>
        <v>42552</v>
      </c>
    </row>
    <row r="56" spans="1:16" x14ac:dyDescent="0.25">
      <c r="A56" s="17">
        <v>42552.796574074076</v>
      </c>
      <c r="B56" s="18" t="s">
        <v>138</v>
      </c>
      <c r="C56" s="18" t="s">
        <v>760</v>
      </c>
      <c r="D56" s="18" t="s">
        <v>103</v>
      </c>
      <c r="E56" s="52" t="s">
        <v>129</v>
      </c>
      <c r="F56" s="53">
        <v>0</v>
      </c>
      <c r="G56" s="18">
        <v>4</v>
      </c>
      <c r="H56" s="18">
        <v>58944</v>
      </c>
      <c r="I56" s="52" t="s">
        <v>130</v>
      </c>
      <c r="J56" s="18">
        <v>59048</v>
      </c>
      <c r="K56" s="19" t="s">
        <v>111</v>
      </c>
      <c r="L56" s="19" t="str">
        <f>VLOOKUP(C56,'[2]Trips&amp;Operators'!$C$2:$E$10000,3,FALSE)</f>
        <v>POLLOCK</v>
      </c>
      <c r="M56" s="20" t="s">
        <v>112</v>
      </c>
      <c r="N56" s="19"/>
      <c r="O56" s="19" t="str">
        <f t="shared" si="0"/>
        <v>01</v>
      </c>
      <c r="P56" s="64">
        <f t="shared" si="1"/>
        <v>42552</v>
      </c>
    </row>
    <row r="57" spans="1:16" x14ac:dyDescent="0.25">
      <c r="A57" s="17">
        <v>42552.81517361111</v>
      </c>
      <c r="B57" s="18" t="s">
        <v>120</v>
      </c>
      <c r="C57" s="18" t="s">
        <v>729</v>
      </c>
      <c r="D57" s="18" t="s">
        <v>103</v>
      </c>
      <c r="E57" s="52" t="s">
        <v>129</v>
      </c>
      <c r="F57" s="53">
        <v>0</v>
      </c>
      <c r="G57" s="18">
        <v>52</v>
      </c>
      <c r="H57" s="18">
        <v>58926</v>
      </c>
      <c r="I57" s="52" t="s">
        <v>130</v>
      </c>
      <c r="J57" s="18">
        <v>59048</v>
      </c>
      <c r="K57" s="19" t="s">
        <v>111</v>
      </c>
      <c r="L57" s="19" t="str">
        <f>VLOOKUP(C57,'[2]Trips&amp;Operators'!$C$2:$E$10000,3,FALSE)</f>
        <v>HELVIE</v>
      </c>
      <c r="M57" s="20" t="s">
        <v>112</v>
      </c>
      <c r="N57" s="19"/>
      <c r="O57" s="19" t="str">
        <f t="shared" si="0"/>
        <v>01</v>
      </c>
      <c r="P57" s="64">
        <f t="shared" si="1"/>
        <v>42552</v>
      </c>
    </row>
    <row r="58" spans="1:16" x14ac:dyDescent="0.25">
      <c r="A58" s="26">
        <v>42552.523321759261</v>
      </c>
      <c r="B58" s="4" t="s">
        <v>120</v>
      </c>
      <c r="C58" s="4" t="s">
        <v>757</v>
      </c>
      <c r="D58" s="4" t="s">
        <v>103</v>
      </c>
      <c r="E58" s="51" t="s">
        <v>129</v>
      </c>
      <c r="F58" s="3">
        <v>0</v>
      </c>
      <c r="G58" s="4">
        <v>9</v>
      </c>
      <c r="H58" s="4">
        <v>58941</v>
      </c>
      <c r="I58" s="51" t="s">
        <v>130</v>
      </c>
      <c r="J58" s="4">
        <v>59058</v>
      </c>
      <c r="K58" s="4" t="s">
        <v>111</v>
      </c>
      <c r="L58" s="19" t="str">
        <f>VLOOKUP(C58,'[2]Trips&amp;Operators'!$C$2:$E$10000,3,FALSE)</f>
        <v>NELSON</v>
      </c>
      <c r="M58" s="4" t="s">
        <v>112</v>
      </c>
      <c r="N58" s="19"/>
      <c r="O58" s="19" t="str">
        <f t="shared" si="0"/>
        <v>01</v>
      </c>
      <c r="P58" s="64">
        <f t="shared" si="1"/>
        <v>42552</v>
      </c>
    </row>
    <row r="59" spans="1:16" x14ac:dyDescent="0.25">
      <c r="A59" s="26">
        <v>42552.307199074072</v>
      </c>
      <c r="B59" s="4" t="s">
        <v>148</v>
      </c>
      <c r="C59" s="4" t="s">
        <v>253</v>
      </c>
      <c r="D59" s="4" t="s">
        <v>103</v>
      </c>
      <c r="E59" s="51" t="s">
        <v>129</v>
      </c>
      <c r="F59" s="3">
        <v>0</v>
      </c>
      <c r="G59" s="4">
        <v>66</v>
      </c>
      <c r="H59" s="4">
        <v>233241</v>
      </c>
      <c r="I59" s="51" t="s">
        <v>130</v>
      </c>
      <c r="J59" s="4">
        <v>233491</v>
      </c>
      <c r="K59" s="4" t="s">
        <v>111</v>
      </c>
      <c r="L59" s="19" t="str">
        <f>VLOOKUP(C59,'[2]Trips&amp;Operators'!$C$2:$E$10000,3,FALSE)</f>
        <v>STARKS</v>
      </c>
      <c r="M59" s="4" t="s">
        <v>112</v>
      </c>
      <c r="O59" s="19" t="str">
        <f t="shared" si="0"/>
        <v>01</v>
      </c>
      <c r="P59" s="64">
        <f t="shared" si="1"/>
        <v>42552</v>
      </c>
    </row>
    <row r="60" spans="1:16" x14ac:dyDescent="0.25">
      <c r="A60" s="26">
        <v>42552.318067129629</v>
      </c>
      <c r="B60" s="4" t="s">
        <v>146</v>
      </c>
      <c r="C60" s="4" t="s">
        <v>602</v>
      </c>
      <c r="D60" s="4" t="s">
        <v>103</v>
      </c>
      <c r="E60" s="51" t="s">
        <v>129</v>
      </c>
      <c r="F60" s="3">
        <v>0</v>
      </c>
      <c r="G60" s="4">
        <v>7</v>
      </c>
      <c r="H60" s="4">
        <v>233332</v>
      </c>
      <c r="I60" s="51" t="s">
        <v>130</v>
      </c>
      <c r="J60" s="4">
        <v>233491</v>
      </c>
      <c r="K60" s="4" t="s">
        <v>111</v>
      </c>
      <c r="L60" s="19" t="str">
        <f>VLOOKUP(C60,'[2]Trips&amp;Operators'!$C$2:$E$10000,3,FALSE)</f>
        <v>MALAVE</v>
      </c>
      <c r="M60" s="4" t="s">
        <v>112</v>
      </c>
      <c r="N60" s="19"/>
      <c r="O60" s="19" t="str">
        <f t="shared" si="0"/>
        <v>01</v>
      </c>
      <c r="P60" s="64">
        <f t="shared" si="1"/>
        <v>42552</v>
      </c>
    </row>
    <row r="61" spans="1:16" x14ac:dyDescent="0.25">
      <c r="A61" s="26">
        <v>42552.3280787037</v>
      </c>
      <c r="B61" s="4" t="s">
        <v>121</v>
      </c>
      <c r="C61" s="4" t="s">
        <v>603</v>
      </c>
      <c r="D61" s="4" t="s">
        <v>103</v>
      </c>
      <c r="E61" s="51" t="s">
        <v>129</v>
      </c>
      <c r="F61" s="3">
        <v>0</v>
      </c>
      <c r="G61" s="4">
        <v>9</v>
      </c>
      <c r="H61" s="4">
        <v>233257</v>
      </c>
      <c r="I61" s="51" t="s">
        <v>130</v>
      </c>
      <c r="J61" s="4">
        <v>233491</v>
      </c>
      <c r="K61" s="4" t="s">
        <v>111</v>
      </c>
      <c r="L61" s="19" t="str">
        <f>VLOOKUP(C61,'[2]Trips&amp;Operators'!$C$2:$E$10000,3,FALSE)</f>
        <v>MAELZER</v>
      </c>
      <c r="M61" s="20" t="s">
        <v>112</v>
      </c>
      <c r="N61" s="19"/>
      <c r="O61" s="19" t="str">
        <f t="shared" si="0"/>
        <v>01</v>
      </c>
      <c r="P61" s="64">
        <f t="shared" si="1"/>
        <v>42552</v>
      </c>
    </row>
    <row r="62" spans="1:16" x14ac:dyDescent="0.25">
      <c r="A62" s="26">
        <v>42552.40965277778</v>
      </c>
      <c r="B62" s="4" t="s">
        <v>108</v>
      </c>
      <c r="C62" s="4" t="s">
        <v>746</v>
      </c>
      <c r="D62" s="4" t="s">
        <v>103</v>
      </c>
      <c r="E62" s="51" t="s">
        <v>129</v>
      </c>
      <c r="F62" s="3">
        <v>0</v>
      </c>
      <c r="G62" s="4">
        <v>6</v>
      </c>
      <c r="H62" s="4">
        <v>233316</v>
      </c>
      <c r="I62" s="51" t="s">
        <v>130</v>
      </c>
      <c r="J62" s="4">
        <v>233491</v>
      </c>
      <c r="K62" s="4" t="s">
        <v>111</v>
      </c>
      <c r="L62" s="19" t="str">
        <f>VLOOKUP(C62,'[2]Trips&amp;Operators'!$C$2:$E$10000,3,FALSE)</f>
        <v>YORK</v>
      </c>
      <c r="M62" s="20" t="s">
        <v>112</v>
      </c>
      <c r="N62" s="19"/>
      <c r="O62" s="19" t="str">
        <f t="shared" si="0"/>
        <v>01</v>
      </c>
      <c r="P62" s="64">
        <f t="shared" si="1"/>
        <v>42552</v>
      </c>
    </row>
    <row r="63" spans="1:16" x14ac:dyDescent="0.25">
      <c r="A63" s="26">
        <v>42552.42083333333</v>
      </c>
      <c r="B63" s="4" t="s">
        <v>137</v>
      </c>
      <c r="C63" s="4" t="s">
        <v>747</v>
      </c>
      <c r="D63" s="4" t="s">
        <v>103</v>
      </c>
      <c r="E63" s="51" t="s">
        <v>129</v>
      </c>
      <c r="F63" s="3">
        <v>0</v>
      </c>
      <c r="G63" s="4">
        <v>75</v>
      </c>
      <c r="H63" s="4">
        <v>233210</v>
      </c>
      <c r="I63" s="51" t="s">
        <v>130</v>
      </c>
      <c r="J63" s="4">
        <v>233491</v>
      </c>
      <c r="K63" s="4" t="s">
        <v>111</v>
      </c>
      <c r="L63" s="19" t="str">
        <f>VLOOKUP(C63,'[2]Trips&amp;Operators'!$C$2:$E$10000,3,FALSE)</f>
        <v>STAMBAUGH</v>
      </c>
      <c r="M63" s="20" t="s">
        <v>112</v>
      </c>
      <c r="N63" s="19"/>
      <c r="O63" s="19" t="str">
        <f t="shared" si="0"/>
        <v>01</v>
      </c>
      <c r="P63" s="64">
        <f t="shared" si="1"/>
        <v>42552</v>
      </c>
    </row>
    <row r="64" spans="1:16" x14ac:dyDescent="0.25">
      <c r="A64" s="26">
        <v>42552.526666666665</v>
      </c>
      <c r="B64" s="4" t="s">
        <v>148</v>
      </c>
      <c r="C64" s="4" t="s">
        <v>748</v>
      </c>
      <c r="D64" s="4" t="s">
        <v>103</v>
      </c>
      <c r="E64" s="51" t="s">
        <v>129</v>
      </c>
      <c r="F64" s="3">
        <v>0</v>
      </c>
      <c r="G64" s="4">
        <v>8</v>
      </c>
      <c r="H64" s="4">
        <v>233378</v>
      </c>
      <c r="I64" s="51" t="s">
        <v>130</v>
      </c>
      <c r="J64" s="4">
        <v>233491</v>
      </c>
      <c r="K64" s="4" t="s">
        <v>111</v>
      </c>
      <c r="L64" s="19" t="str">
        <f>VLOOKUP(C64,'[2]Trips&amp;Operators'!$C$2:$E$10000,3,FALSE)</f>
        <v>LOCKLEAR</v>
      </c>
      <c r="M64" s="20" t="s">
        <v>112</v>
      </c>
      <c r="N64" s="19"/>
      <c r="O64" s="19" t="str">
        <f t="shared" si="0"/>
        <v>01</v>
      </c>
      <c r="P64" s="64">
        <f t="shared" si="1"/>
        <v>42552</v>
      </c>
    </row>
    <row r="65" spans="1:16" x14ac:dyDescent="0.25">
      <c r="A65" s="26">
        <v>42552.596909722219</v>
      </c>
      <c r="B65" s="4" t="s">
        <v>133</v>
      </c>
      <c r="C65" s="4" t="s">
        <v>257</v>
      </c>
      <c r="D65" s="4" t="s">
        <v>103</v>
      </c>
      <c r="E65" s="51" t="s">
        <v>129</v>
      </c>
      <c r="F65" s="3">
        <v>0</v>
      </c>
      <c r="G65" s="4">
        <v>9</v>
      </c>
      <c r="H65" s="4">
        <v>233349</v>
      </c>
      <c r="I65" s="51" t="s">
        <v>130</v>
      </c>
      <c r="J65" s="4">
        <v>233491</v>
      </c>
      <c r="K65" s="4" t="s">
        <v>111</v>
      </c>
      <c r="L65" s="19" t="str">
        <f>VLOOKUP(C65,'[2]Trips&amp;Operators'!$C$2:$E$10000,3,FALSE)</f>
        <v>SHOOK</v>
      </c>
      <c r="M65" s="20" t="s">
        <v>112</v>
      </c>
      <c r="N65" s="19"/>
      <c r="O65" s="19" t="str">
        <f t="shared" si="0"/>
        <v>01</v>
      </c>
      <c r="P65" s="64">
        <f t="shared" si="1"/>
        <v>42552</v>
      </c>
    </row>
    <row r="66" spans="1:16" x14ac:dyDescent="0.25">
      <c r="A66" s="26">
        <v>42552.609895833331</v>
      </c>
      <c r="B66" s="4" t="s">
        <v>146</v>
      </c>
      <c r="C66" s="4" t="s">
        <v>749</v>
      </c>
      <c r="D66" s="4" t="s">
        <v>103</v>
      </c>
      <c r="E66" s="51" t="s">
        <v>129</v>
      </c>
      <c r="F66" s="3">
        <v>0</v>
      </c>
      <c r="G66" s="4">
        <v>9</v>
      </c>
      <c r="H66" s="4">
        <v>233378</v>
      </c>
      <c r="I66" s="51" t="s">
        <v>130</v>
      </c>
      <c r="J66" s="4">
        <v>233491</v>
      </c>
      <c r="K66" s="4" t="s">
        <v>111</v>
      </c>
      <c r="L66" s="19" t="str">
        <f>VLOOKUP(C66,'[2]Trips&amp;Operators'!$C$2:$E$10000,3,FALSE)</f>
        <v>KILLION</v>
      </c>
      <c r="M66" s="4" t="s">
        <v>112</v>
      </c>
      <c r="O66" s="19" t="str">
        <f t="shared" ref="O66:O129" si="2">RIGHT(C66,2)</f>
        <v>01</v>
      </c>
      <c r="P66" s="64">
        <f t="shared" si="1"/>
        <v>42552</v>
      </c>
    </row>
    <row r="67" spans="1:16" x14ac:dyDescent="0.25">
      <c r="A67" s="26">
        <v>42552.651388888888</v>
      </c>
      <c r="B67" s="4" t="s">
        <v>142</v>
      </c>
      <c r="C67" s="4" t="s">
        <v>750</v>
      </c>
      <c r="D67" s="4" t="s">
        <v>103</v>
      </c>
      <c r="E67" s="51" t="s">
        <v>129</v>
      </c>
      <c r="F67" s="3">
        <v>0</v>
      </c>
      <c r="G67" s="4">
        <v>9</v>
      </c>
      <c r="H67" s="4">
        <v>233182</v>
      </c>
      <c r="I67" s="51" t="s">
        <v>130</v>
      </c>
      <c r="J67" s="4">
        <v>233491</v>
      </c>
      <c r="K67" s="4" t="s">
        <v>111</v>
      </c>
      <c r="L67" s="19" t="str">
        <f>VLOOKUP(C67,'[2]Trips&amp;Operators'!$C$2:$E$10000,3,FALSE)</f>
        <v>SPECTOR</v>
      </c>
      <c r="M67" s="20" t="s">
        <v>112</v>
      </c>
      <c r="N67" s="19"/>
      <c r="O67" s="19" t="str">
        <f t="shared" si="2"/>
        <v>01</v>
      </c>
      <c r="P67" s="64">
        <f t="shared" ref="P67:P130" si="3">42522+O67+29</f>
        <v>42552</v>
      </c>
    </row>
    <row r="68" spans="1:16" x14ac:dyDescent="0.25">
      <c r="A68" s="26">
        <v>42552.701782407406</v>
      </c>
      <c r="B68" s="4" t="s">
        <v>108</v>
      </c>
      <c r="C68" s="4" t="s">
        <v>751</v>
      </c>
      <c r="D68" s="4" t="s">
        <v>103</v>
      </c>
      <c r="E68" s="51" t="s">
        <v>129</v>
      </c>
      <c r="F68" s="3">
        <v>0</v>
      </c>
      <c r="G68" s="4">
        <v>3</v>
      </c>
      <c r="H68" s="4">
        <v>233326</v>
      </c>
      <c r="I68" s="51" t="s">
        <v>130</v>
      </c>
      <c r="J68" s="4">
        <v>233491</v>
      </c>
      <c r="K68" s="4" t="s">
        <v>111</v>
      </c>
      <c r="L68" s="19" t="str">
        <f>VLOOKUP(C68,'[2]Trips&amp;Operators'!$C$2:$E$10000,3,FALSE)</f>
        <v>ROCHA</v>
      </c>
      <c r="M68" s="4" t="s">
        <v>112</v>
      </c>
      <c r="O68" s="19" t="str">
        <f t="shared" si="2"/>
        <v>01</v>
      </c>
      <c r="P68" s="64">
        <f t="shared" si="3"/>
        <v>42552</v>
      </c>
    </row>
    <row r="69" spans="1:16" x14ac:dyDescent="0.25">
      <c r="A69" s="17">
        <v>42552.84003472222</v>
      </c>
      <c r="B69" s="18" t="s">
        <v>121</v>
      </c>
      <c r="C69" s="18" t="s">
        <v>255</v>
      </c>
      <c r="D69" s="18" t="s">
        <v>103</v>
      </c>
      <c r="E69" s="52" t="s">
        <v>129</v>
      </c>
      <c r="F69" s="53">
        <v>0</v>
      </c>
      <c r="G69" s="18">
        <v>8</v>
      </c>
      <c r="H69" s="18">
        <v>233325</v>
      </c>
      <c r="I69" s="52" t="s">
        <v>130</v>
      </c>
      <c r="J69" s="18">
        <v>233491</v>
      </c>
      <c r="K69" s="19" t="s">
        <v>111</v>
      </c>
      <c r="L69" s="19" t="str">
        <f>VLOOKUP(C69,'[2]Trips&amp;Operators'!$C$2:$E$10000,3,FALSE)</f>
        <v>MOSES</v>
      </c>
      <c r="M69" s="20" t="s">
        <v>112</v>
      </c>
      <c r="N69" s="19"/>
      <c r="O69" s="19" t="str">
        <f t="shared" si="2"/>
        <v>01</v>
      </c>
      <c r="P69" s="64">
        <f t="shared" si="3"/>
        <v>42552</v>
      </c>
    </row>
    <row r="70" spans="1:16" x14ac:dyDescent="0.25">
      <c r="A70" s="17">
        <v>42552.900069444448</v>
      </c>
      <c r="B70" s="18" t="s">
        <v>114</v>
      </c>
      <c r="C70" s="18" t="s">
        <v>754</v>
      </c>
      <c r="D70" s="18" t="s">
        <v>103</v>
      </c>
      <c r="E70" s="52" t="s">
        <v>129</v>
      </c>
      <c r="F70" s="53">
        <v>0</v>
      </c>
      <c r="G70" s="18">
        <v>120</v>
      </c>
      <c r="H70" s="18">
        <v>232940</v>
      </c>
      <c r="I70" s="52" t="s">
        <v>130</v>
      </c>
      <c r="J70" s="18">
        <v>233491</v>
      </c>
      <c r="K70" s="19" t="s">
        <v>111</v>
      </c>
      <c r="L70" s="19" t="str">
        <f>VLOOKUP(C70,'[2]Trips&amp;Operators'!$C$2:$E$10000,3,FALSE)</f>
        <v>ADANE</v>
      </c>
      <c r="M70" s="20" t="s">
        <v>112</v>
      </c>
      <c r="N70" s="19"/>
      <c r="O70" s="19" t="str">
        <f t="shared" si="2"/>
        <v>01</v>
      </c>
      <c r="P70" s="64">
        <f t="shared" si="3"/>
        <v>42552</v>
      </c>
    </row>
    <row r="71" spans="1:16" x14ac:dyDescent="0.25">
      <c r="A71" s="17">
        <v>42553.330752314818</v>
      </c>
      <c r="B71" s="18" t="s">
        <v>146</v>
      </c>
      <c r="C71" s="18" t="s">
        <v>762</v>
      </c>
      <c r="D71" s="18" t="s">
        <v>103</v>
      </c>
      <c r="E71" s="52" t="s">
        <v>109</v>
      </c>
      <c r="F71" s="53">
        <v>690</v>
      </c>
      <c r="G71" s="18">
        <v>737</v>
      </c>
      <c r="H71" s="18">
        <v>47712</v>
      </c>
      <c r="I71" s="52" t="s">
        <v>110</v>
      </c>
      <c r="J71" s="18">
        <v>47866</v>
      </c>
      <c r="K71" s="19" t="s">
        <v>111</v>
      </c>
      <c r="L71" s="19" t="str">
        <f>VLOOKUP(C71,'[3]Trips&amp;Operators'!$C$2:$E$10000,3,FALSE)</f>
        <v>YORK</v>
      </c>
      <c r="M71" s="20" t="s">
        <v>112</v>
      </c>
      <c r="N71" s="19" t="s">
        <v>113</v>
      </c>
      <c r="O71" s="19" t="str">
        <f t="shared" si="2"/>
        <v>02</v>
      </c>
      <c r="P71" s="64">
        <f t="shared" si="3"/>
        <v>42553</v>
      </c>
    </row>
    <row r="72" spans="1:16" x14ac:dyDescent="0.25">
      <c r="A72" s="26">
        <v>42553.301111111112</v>
      </c>
      <c r="B72" s="4" t="s">
        <v>135</v>
      </c>
      <c r="C72" s="4" t="s">
        <v>68</v>
      </c>
      <c r="D72" s="4" t="s">
        <v>103</v>
      </c>
      <c r="E72" s="51" t="s">
        <v>109</v>
      </c>
      <c r="F72" s="3">
        <v>0</v>
      </c>
      <c r="G72" s="4">
        <v>270</v>
      </c>
      <c r="H72" s="4">
        <v>61579</v>
      </c>
      <c r="I72" s="51" t="s">
        <v>110</v>
      </c>
      <c r="J72" s="4">
        <v>63068</v>
      </c>
      <c r="K72" s="4" t="s">
        <v>111</v>
      </c>
      <c r="L72" s="19" t="str">
        <f>VLOOKUP(C72,'[3]Trips&amp;Operators'!$C$2:$E$10000,3,FALSE)</f>
        <v>CANFIELD</v>
      </c>
      <c r="M72" s="20" t="s">
        <v>112</v>
      </c>
      <c r="N72" s="19" t="s">
        <v>186</v>
      </c>
      <c r="O72" s="19" t="str">
        <f t="shared" si="2"/>
        <v>02</v>
      </c>
      <c r="P72" s="64">
        <f t="shared" si="3"/>
        <v>42553</v>
      </c>
    </row>
    <row r="73" spans="1:16" x14ac:dyDescent="0.25">
      <c r="A73" s="26">
        <v>42553.842326388891</v>
      </c>
      <c r="B73" s="4" t="s">
        <v>146</v>
      </c>
      <c r="C73" s="4" t="s">
        <v>69</v>
      </c>
      <c r="D73" s="4" t="s">
        <v>103</v>
      </c>
      <c r="E73" s="51" t="s">
        <v>109</v>
      </c>
      <c r="F73" s="3">
        <v>0</v>
      </c>
      <c r="G73" s="4">
        <v>251</v>
      </c>
      <c r="H73" s="4">
        <v>61809</v>
      </c>
      <c r="I73" s="51" t="s">
        <v>110</v>
      </c>
      <c r="J73" s="4">
        <v>63068</v>
      </c>
      <c r="K73" s="4" t="s">
        <v>111</v>
      </c>
      <c r="L73" s="19" t="str">
        <f>VLOOKUP(C73,'[3]Trips&amp;Operators'!$C$2:$E$10000,3,FALSE)</f>
        <v>BRUDER</v>
      </c>
      <c r="M73" s="20" t="s">
        <v>112</v>
      </c>
      <c r="N73" s="19" t="s">
        <v>186</v>
      </c>
      <c r="O73" s="19" t="str">
        <f t="shared" si="2"/>
        <v>02</v>
      </c>
      <c r="P73" s="64">
        <f t="shared" si="3"/>
        <v>42553</v>
      </c>
    </row>
    <row r="74" spans="1:16" x14ac:dyDescent="0.25">
      <c r="A74" s="17">
        <v>42553.432743055557</v>
      </c>
      <c r="B74" s="18" t="s">
        <v>133</v>
      </c>
      <c r="C74" s="18" t="s">
        <v>763</v>
      </c>
      <c r="D74" s="18" t="s">
        <v>103</v>
      </c>
      <c r="E74" s="52" t="s">
        <v>109</v>
      </c>
      <c r="F74" s="53">
        <v>0</v>
      </c>
      <c r="G74" s="18">
        <v>47</v>
      </c>
      <c r="H74" s="18">
        <v>108727</v>
      </c>
      <c r="I74" s="52" t="s">
        <v>110</v>
      </c>
      <c r="J74" s="18">
        <v>108954</v>
      </c>
      <c r="K74" s="19" t="s">
        <v>111</v>
      </c>
      <c r="L74" s="19" t="str">
        <f>VLOOKUP(C74,'[3]Trips&amp;Operators'!$C$2:$E$10000,3,FALSE)</f>
        <v>MALAVE</v>
      </c>
      <c r="M74" s="20" t="s">
        <v>112</v>
      </c>
      <c r="N74" s="19" t="s">
        <v>186</v>
      </c>
      <c r="O74" s="19" t="str">
        <f t="shared" si="2"/>
        <v>02</v>
      </c>
      <c r="P74" s="64">
        <f t="shared" si="3"/>
        <v>42553</v>
      </c>
    </row>
    <row r="75" spans="1:16" x14ac:dyDescent="0.25">
      <c r="A75" s="26">
        <v>42553.316736111112</v>
      </c>
      <c r="B75" s="4" t="s">
        <v>108</v>
      </c>
      <c r="C75" s="4" t="s">
        <v>761</v>
      </c>
      <c r="D75" s="4" t="s">
        <v>103</v>
      </c>
      <c r="E75" s="51" t="s">
        <v>109</v>
      </c>
      <c r="F75" s="3">
        <v>630</v>
      </c>
      <c r="G75" s="4">
        <v>710</v>
      </c>
      <c r="H75" s="4">
        <v>108055</v>
      </c>
      <c r="I75" s="51" t="s">
        <v>110</v>
      </c>
      <c r="J75" s="4">
        <v>108954</v>
      </c>
      <c r="K75" s="4" t="s">
        <v>111</v>
      </c>
      <c r="L75" s="19" t="str">
        <f>VLOOKUP(C75,'[3]Trips&amp;Operators'!$C$2:$E$10000,3,FALSE)</f>
        <v>STARKS</v>
      </c>
      <c r="M75" s="20" t="s">
        <v>112</v>
      </c>
      <c r="N75" s="19" t="s">
        <v>113</v>
      </c>
      <c r="O75" s="19" t="str">
        <f t="shared" si="2"/>
        <v>02</v>
      </c>
      <c r="P75" s="64">
        <f t="shared" si="3"/>
        <v>42553</v>
      </c>
    </row>
    <row r="76" spans="1:16" x14ac:dyDescent="0.25">
      <c r="A76" s="17">
        <v>42553.745347222219</v>
      </c>
      <c r="B76" s="18" t="s">
        <v>131</v>
      </c>
      <c r="C76" s="18" t="s">
        <v>769</v>
      </c>
      <c r="D76" s="18" t="s">
        <v>116</v>
      </c>
      <c r="E76" s="52" t="s">
        <v>115</v>
      </c>
      <c r="F76" s="53">
        <v>150</v>
      </c>
      <c r="G76" s="18">
        <v>208</v>
      </c>
      <c r="H76" s="18">
        <v>3636</v>
      </c>
      <c r="I76" s="52" t="s">
        <v>105</v>
      </c>
      <c r="J76" s="18">
        <v>5315</v>
      </c>
      <c r="K76" s="19" t="s">
        <v>106</v>
      </c>
      <c r="L76" s="19" t="str">
        <f>VLOOKUP(C76,'[3]Trips&amp;Operators'!$C$2:$E$10000,3,FALSE)</f>
        <v>STORY</v>
      </c>
      <c r="M76" s="20" t="s">
        <v>112</v>
      </c>
      <c r="N76" s="19"/>
      <c r="O76" s="19" t="str">
        <f t="shared" si="2"/>
        <v>02</v>
      </c>
      <c r="P76" s="64">
        <f t="shared" si="3"/>
        <v>42553</v>
      </c>
    </row>
    <row r="77" spans="1:16" x14ac:dyDescent="0.25">
      <c r="A77" s="26">
        <v>42553.619513888887</v>
      </c>
      <c r="B77" s="4" t="s">
        <v>131</v>
      </c>
      <c r="C77" s="4" t="s">
        <v>767</v>
      </c>
      <c r="D77" s="4" t="s">
        <v>103</v>
      </c>
      <c r="E77" s="51" t="s">
        <v>115</v>
      </c>
      <c r="F77" s="3">
        <v>200</v>
      </c>
      <c r="G77" s="4">
        <v>190</v>
      </c>
      <c r="H77" s="4">
        <v>6315</v>
      </c>
      <c r="I77" s="51" t="s">
        <v>105</v>
      </c>
      <c r="J77" s="4">
        <v>5990</v>
      </c>
      <c r="K77" s="4" t="s">
        <v>106</v>
      </c>
      <c r="L77" s="19" t="str">
        <f>VLOOKUP(C77,'[3]Trips&amp;Operators'!$C$2:$E$10000,3,FALSE)</f>
        <v>STORY</v>
      </c>
      <c r="M77" s="20" t="s">
        <v>112</v>
      </c>
      <c r="N77" s="19"/>
      <c r="O77" s="19" t="str">
        <f t="shared" si="2"/>
        <v>02</v>
      </c>
      <c r="P77" s="64">
        <f t="shared" si="3"/>
        <v>42553</v>
      </c>
    </row>
    <row r="78" spans="1:16" x14ac:dyDescent="0.25">
      <c r="A78" s="17">
        <v>42553.712013888886</v>
      </c>
      <c r="B78" s="18" t="s">
        <v>133</v>
      </c>
      <c r="C78" s="18" t="s">
        <v>775</v>
      </c>
      <c r="D78" s="18" t="s">
        <v>103</v>
      </c>
      <c r="E78" s="52" t="s">
        <v>115</v>
      </c>
      <c r="F78" s="53">
        <v>300</v>
      </c>
      <c r="G78" s="18">
        <v>290</v>
      </c>
      <c r="H78" s="18">
        <v>20223</v>
      </c>
      <c r="I78" s="52" t="s">
        <v>105</v>
      </c>
      <c r="J78" s="18">
        <v>20338</v>
      </c>
      <c r="K78" s="19" t="s">
        <v>111</v>
      </c>
      <c r="L78" s="19" t="str">
        <f>VLOOKUP(C78,'[3]Trips&amp;Operators'!$C$2:$E$10000,3,FALSE)</f>
        <v>LOCKLEAR</v>
      </c>
      <c r="M78" s="4" t="s">
        <v>112</v>
      </c>
      <c r="N78" s="19"/>
      <c r="O78" s="19" t="str">
        <f t="shared" si="2"/>
        <v>02</v>
      </c>
      <c r="P78" s="64">
        <f t="shared" si="3"/>
        <v>42553</v>
      </c>
    </row>
    <row r="79" spans="1:16" x14ac:dyDescent="0.25">
      <c r="A79" s="26">
        <v>42553.810104166667</v>
      </c>
      <c r="B79" s="4" t="s">
        <v>120</v>
      </c>
      <c r="C79" s="4" t="s">
        <v>770</v>
      </c>
      <c r="D79" s="4" t="s">
        <v>103</v>
      </c>
      <c r="E79" s="51" t="s">
        <v>115</v>
      </c>
      <c r="F79" s="3">
        <v>300</v>
      </c>
      <c r="G79" s="4">
        <v>333</v>
      </c>
      <c r="H79" s="4">
        <v>20214</v>
      </c>
      <c r="I79" s="51" t="s">
        <v>105</v>
      </c>
      <c r="J79" s="4">
        <v>21299</v>
      </c>
      <c r="K79" s="4" t="s">
        <v>111</v>
      </c>
      <c r="L79" s="19" t="str">
        <f>VLOOKUP(C79,'[3]Trips&amp;Operators'!$C$2:$E$10000,3,FALSE)</f>
        <v>STORY</v>
      </c>
      <c r="M79" s="4" t="s">
        <v>112</v>
      </c>
      <c r="O79" s="19" t="str">
        <f t="shared" si="2"/>
        <v>02</v>
      </c>
      <c r="P79" s="64">
        <f t="shared" si="3"/>
        <v>42553</v>
      </c>
    </row>
    <row r="80" spans="1:16" x14ac:dyDescent="0.25">
      <c r="A80" s="26">
        <v>42553.643368055556</v>
      </c>
      <c r="B80" s="4" t="s">
        <v>120</v>
      </c>
      <c r="C80" s="4" t="s">
        <v>768</v>
      </c>
      <c r="D80" s="4" t="s">
        <v>103</v>
      </c>
      <c r="E80" s="51" t="s">
        <v>115</v>
      </c>
      <c r="F80" s="3">
        <v>300</v>
      </c>
      <c r="G80" s="4">
        <v>313</v>
      </c>
      <c r="H80" s="4">
        <v>20161</v>
      </c>
      <c r="I80" s="51" t="s">
        <v>105</v>
      </c>
      <c r="J80" s="4">
        <v>21314</v>
      </c>
      <c r="K80" s="4" t="s">
        <v>111</v>
      </c>
      <c r="L80" s="19" t="str">
        <f>VLOOKUP(C80,'[3]Trips&amp;Operators'!$C$2:$E$10000,3,FALSE)</f>
        <v>STORY</v>
      </c>
      <c r="M80" s="4" t="s">
        <v>112</v>
      </c>
      <c r="O80" s="19" t="str">
        <f t="shared" si="2"/>
        <v>02</v>
      </c>
      <c r="P80" s="64">
        <f t="shared" si="3"/>
        <v>42553</v>
      </c>
    </row>
    <row r="81" spans="1:16" x14ac:dyDescent="0.25">
      <c r="A81" s="26">
        <v>42553.851909722223</v>
      </c>
      <c r="B81" s="4" t="s">
        <v>120</v>
      </c>
      <c r="C81" s="4" t="s">
        <v>771</v>
      </c>
      <c r="D81" s="4" t="s">
        <v>103</v>
      </c>
      <c r="E81" s="51" t="s">
        <v>115</v>
      </c>
      <c r="F81" s="3">
        <v>300</v>
      </c>
      <c r="G81" s="4">
        <v>351</v>
      </c>
      <c r="H81" s="4">
        <v>19945</v>
      </c>
      <c r="I81" s="51" t="s">
        <v>105</v>
      </c>
      <c r="J81" s="4">
        <v>21314</v>
      </c>
      <c r="K81" s="4" t="s">
        <v>111</v>
      </c>
      <c r="L81" s="19" t="str">
        <f>VLOOKUP(C81,'[3]Trips&amp;Operators'!$C$2:$E$10000,3,FALSE)</f>
        <v>STORY</v>
      </c>
      <c r="M81" s="20" t="s">
        <v>112</v>
      </c>
      <c r="N81" s="19"/>
      <c r="O81" s="19" t="str">
        <f t="shared" si="2"/>
        <v>02</v>
      </c>
      <c r="P81" s="64">
        <f t="shared" si="3"/>
        <v>42553</v>
      </c>
    </row>
    <row r="82" spans="1:16" x14ac:dyDescent="0.25">
      <c r="A82" s="26">
        <v>42553.944872685184</v>
      </c>
      <c r="B82" s="4" t="s">
        <v>131</v>
      </c>
      <c r="C82" s="4" t="s">
        <v>773</v>
      </c>
      <c r="D82" s="4" t="s">
        <v>116</v>
      </c>
      <c r="E82" s="51" t="s">
        <v>115</v>
      </c>
      <c r="F82" s="3">
        <v>150</v>
      </c>
      <c r="G82" s="4">
        <v>209</v>
      </c>
      <c r="H82" s="4">
        <v>56881</v>
      </c>
      <c r="I82" s="51" t="s">
        <v>105</v>
      </c>
      <c r="J82" s="4">
        <v>59060</v>
      </c>
      <c r="K82" s="4" t="s">
        <v>106</v>
      </c>
      <c r="L82" s="19" t="str">
        <f>VLOOKUP(C82,'[3]Trips&amp;Operators'!$C$2:$E$10000,3,FALSE)</f>
        <v>STORY</v>
      </c>
      <c r="M82" s="4" t="s">
        <v>112</v>
      </c>
      <c r="O82" s="19" t="str">
        <f t="shared" si="2"/>
        <v>02</v>
      </c>
      <c r="P82" s="64">
        <f t="shared" si="3"/>
        <v>42553</v>
      </c>
    </row>
    <row r="83" spans="1:16" x14ac:dyDescent="0.25">
      <c r="A83" s="17">
        <v>42553.716203703705</v>
      </c>
      <c r="B83" s="18" t="s">
        <v>134</v>
      </c>
      <c r="C83" s="18" t="s">
        <v>774</v>
      </c>
      <c r="D83" s="18" t="s">
        <v>103</v>
      </c>
      <c r="E83" s="52" t="s">
        <v>115</v>
      </c>
      <c r="F83" s="53">
        <v>400</v>
      </c>
      <c r="G83" s="18">
        <v>473</v>
      </c>
      <c r="H83" s="18">
        <v>120903</v>
      </c>
      <c r="I83" s="52" t="s">
        <v>105</v>
      </c>
      <c r="J83" s="18">
        <v>119716</v>
      </c>
      <c r="K83" s="19" t="s">
        <v>106</v>
      </c>
      <c r="L83" s="19" t="str">
        <f>VLOOKUP(C83,'[3]Trips&amp;Operators'!$C$2:$E$10000,3,FALSE)</f>
        <v>MAYBERRY</v>
      </c>
      <c r="M83" s="20" t="s">
        <v>112</v>
      </c>
      <c r="N83" s="19"/>
      <c r="O83" s="19" t="str">
        <f t="shared" si="2"/>
        <v>02</v>
      </c>
      <c r="P83" s="64">
        <f t="shared" si="3"/>
        <v>42553</v>
      </c>
    </row>
    <row r="84" spans="1:16" x14ac:dyDescent="0.25">
      <c r="A84" s="26">
        <v>42553.586168981485</v>
      </c>
      <c r="B84" s="4" t="s">
        <v>145</v>
      </c>
      <c r="C84" s="4" t="s">
        <v>766</v>
      </c>
      <c r="D84" s="4" t="s">
        <v>116</v>
      </c>
      <c r="E84" s="51" t="s">
        <v>115</v>
      </c>
      <c r="F84" s="3">
        <v>600</v>
      </c>
      <c r="G84" s="4">
        <v>656</v>
      </c>
      <c r="H84" s="4">
        <v>184293</v>
      </c>
      <c r="I84" s="51" t="s">
        <v>105</v>
      </c>
      <c r="J84" s="4">
        <v>190834</v>
      </c>
      <c r="K84" s="4" t="s">
        <v>106</v>
      </c>
      <c r="L84" s="19" t="str">
        <f>VLOOKUP(C84,'[3]Trips&amp;Operators'!$C$2:$E$10000,3,FALSE)</f>
        <v>HELVIE</v>
      </c>
      <c r="M84" s="20" t="s">
        <v>112</v>
      </c>
      <c r="O84" s="19" t="str">
        <f t="shared" si="2"/>
        <v>02</v>
      </c>
      <c r="P84" s="64">
        <f t="shared" si="3"/>
        <v>42553</v>
      </c>
    </row>
    <row r="85" spans="1:16" x14ac:dyDescent="0.25">
      <c r="A85" s="26">
        <v>42553.637731481482</v>
      </c>
      <c r="B85" s="4" t="s">
        <v>134</v>
      </c>
      <c r="C85" s="4" t="s">
        <v>772</v>
      </c>
      <c r="D85" s="4" t="s">
        <v>116</v>
      </c>
      <c r="E85" s="51" t="s">
        <v>115</v>
      </c>
      <c r="F85" s="3">
        <v>600</v>
      </c>
      <c r="G85" s="4">
        <v>655</v>
      </c>
      <c r="H85" s="4">
        <v>184261</v>
      </c>
      <c r="I85" s="51" t="s">
        <v>105</v>
      </c>
      <c r="J85" s="4">
        <v>190834</v>
      </c>
      <c r="K85" s="4" t="s">
        <v>106</v>
      </c>
      <c r="L85" s="19" t="str">
        <f>VLOOKUP(C85,'[3]Trips&amp;Operators'!$C$2:$E$10000,3,FALSE)</f>
        <v>MAYBERRY</v>
      </c>
      <c r="M85" s="20" t="s">
        <v>112</v>
      </c>
      <c r="O85" s="19" t="str">
        <f t="shared" si="2"/>
        <v>02</v>
      </c>
      <c r="P85" s="64">
        <f t="shared" si="3"/>
        <v>42553</v>
      </c>
    </row>
    <row r="86" spans="1:16" x14ac:dyDescent="0.25">
      <c r="A86" s="17">
        <v>42553.522615740738</v>
      </c>
      <c r="B86" s="18" t="s">
        <v>117</v>
      </c>
      <c r="C86" s="18" t="s">
        <v>765</v>
      </c>
      <c r="D86" s="18" t="s">
        <v>103</v>
      </c>
      <c r="E86" s="52" t="s">
        <v>115</v>
      </c>
      <c r="F86" s="53">
        <v>450</v>
      </c>
      <c r="G86" s="18">
        <v>441</v>
      </c>
      <c r="H86" s="18">
        <v>191672</v>
      </c>
      <c r="I86" s="52" t="s">
        <v>105</v>
      </c>
      <c r="J86" s="18">
        <v>191108</v>
      </c>
      <c r="K86" s="19" t="s">
        <v>106</v>
      </c>
      <c r="L86" s="19" t="str">
        <f>VLOOKUP(C86,'[3]Trips&amp;Operators'!$C$2:$E$10000,3,FALSE)</f>
        <v>BONDS</v>
      </c>
      <c r="M86" s="20" t="s">
        <v>112</v>
      </c>
      <c r="N86" s="19"/>
      <c r="O86" s="19" t="str">
        <f t="shared" si="2"/>
        <v>02</v>
      </c>
      <c r="P86" s="64">
        <f t="shared" si="3"/>
        <v>42553</v>
      </c>
    </row>
    <row r="87" spans="1:16" x14ac:dyDescent="0.25">
      <c r="A87" s="17">
        <v>42553.268530092595</v>
      </c>
      <c r="B87" s="18" t="s">
        <v>134</v>
      </c>
      <c r="C87" s="18" t="s">
        <v>764</v>
      </c>
      <c r="D87" s="18" t="s">
        <v>116</v>
      </c>
      <c r="E87" s="52" t="s">
        <v>115</v>
      </c>
      <c r="F87" s="53">
        <v>150</v>
      </c>
      <c r="G87" s="18">
        <v>203</v>
      </c>
      <c r="H87" s="18">
        <v>232213</v>
      </c>
      <c r="I87" s="52" t="s">
        <v>105</v>
      </c>
      <c r="J87" s="18">
        <v>233492</v>
      </c>
      <c r="K87" s="19" t="s">
        <v>106</v>
      </c>
      <c r="L87" s="19" t="str">
        <f>VLOOKUP(C87,'[3]Trips&amp;Operators'!$C$2:$E$10000,3,FALSE)</f>
        <v>STARKS</v>
      </c>
      <c r="M87" s="20" t="s">
        <v>112</v>
      </c>
      <c r="N87" s="19"/>
      <c r="O87" s="19" t="str">
        <f t="shared" si="2"/>
        <v>02</v>
      </c>
      <c r="P87" s="64">
        <f t="shared" si="3"/>
        <v>42553</v>
      </c>
    </row>
    <row r="88" spans="1:16" x14ac:dyDescent="0.25">
      <c r="A88" s="17">
        <v>42553.474768518521</v>
      </c>
      <c r="B88" s="18" t="s">
        <v>120</v>
      </c>
      <c r="C88" s="18" t="s">
        <v>777</v>
      </c>
      <c r="D88" s="18" t="s">
        <v>103</v>
      </c>
      <c r="E88" s="52" t="s">
        <v>122</v>
      </c>
      <c r="F88" s="53">
        <v>0</v>
      </c>
      <c r="G88" s="18">
        <v>182</v>
      </c>
      <c r="H88" s="18">
        <v>6178</v>
      </c>
      <c r="I88" s="52" t="s">
        <v>123</v>
      </c>
      <c r="J88" s="18">
        <v>6798</v>
      </c>
      <c r="K88" s="19" t="s">
        <v>111</v>
      </c>
      <c r="L88" s="19" t="str">
        <f>VLOOKUP(C88,'[3]Trips&amp;Operators'!$C$2:$E$10000,3,FALSE)</f>
        <v>NELSON</v>
      </c>
      <c r="M88" s="20" t="s">
        <v>107</v>
      </c>
      <c r="N88" s="19" t="s">
        <v>52</v>
      </c>
      <c r="O88" s="19" t="str">
        <f t="shared" si="2"/>
        <v>02</v>
      </c>
      <c r="P88" s="64">
        <f t="shared" si="3"/>
        <v>42553</v>
      </c>
    </row>
    <row r="89" spans="1:16" x14ac:dyDescent="0.25">
      <c r="A89" s="17">
        <v>42553.501956018517</v>
      </c>
      <c r="B89" s="18" t="s">
        <v>133</v>
      </c>
      <c r="C89" s="18" t="s">
        <v>776</v>
      </c>
      <c r="D89" s="18" t="s">
        <v>103</v>
      </c>
      <c r="E89" s="52" t="s">
        <v>122</v>
      </c>
      <c r="F89" s="53">
        <v>0</v>
      </c>
      <c r="G89" s="18">
        <v>694</v>
      </c>
      <c r="H89" s="18">
        <v>71828</v>
      </c>
      <c r="I89" s="52" t="s">
        <v>123</v>
      </c>
      <c r="J89" s="18">
        <v>75566</v>
      </c>
      <c r="K89" s="19" t="s">
        <v>111</v>
      </c>
      <c r="L89" s="19" t="str">
        <f>VLOOKUP(C89,'[3]Trips&amp;Operators'!$C$2:$E$10000,3,FALSE)</f>
        <v>LOCKLEAR</v>
      </c>
      <c r="M89" s="20" t="s">
        <v>107</v>
      </c>
      <c r="N89" s="19" t="s">
        <v>52</v>
      </c>
      <c r="O89" s="19" t="str">
        <f t="shared" si="2"/>
        <v>02</v>
      </c>
      <c r="P89" s="64">
        <f t="shared" si="3"/>
        <v>42553</v>
      </c>
    </row>
    <row r="90" spans="1:16" x14ac:dyDescent="0.25">
      <c r="A90" s="17">
        <v>42553.541759259257</v>
      </c>
      <c r="B90" s="18" t="s">
        <v>119</v>
      </c>
      <c r="C90" s="18" t="s">
        <v>144</v>
      </c>
      <c r="D90" s="18" t="s">
        <v>116</v>
      </c>
      <c r="E90" s="52" t="s">
        <v>122</v>
      </c>
      <c r="F90" s="53">
        <v>0</v>
      </c>
      <c r="G90" s="18">
        <v>158</v>
      </c>
      <c r="H90" s="18">
        <v>126700</v>
      </c>
      <c r="I90" s="52" t="s">
        <v>123</v>
      </c>
      <c r="J90" s="18">
        <v>127587</v>
      </c>
      <c r="K90" s="19" t="s">
        <v>106</v>
      </c>
      <c r="L90" s="19" t="str">
        <f>VLOOKUP(C90,'[3]Trips&amp;Operators'!$C$2:$E$10000,3,FALSE)</f>
        <v>LOCKLEAR</v>
      </c>
      <c r="M90" s="20" t="s">
        <v>112</v>
      </c>
      <c r="N90" s="19" t="s">
        <v>175</v>
      </c>
      <c r="O90" s="19" t="str">
        <f t="shared" si="2"/>
        <v>02</v>
      </c>
      <c r="P90" s="64">
        <f t="shared" si="3"/>
        <v>42553</v>
      </c>
    </row>
    <row r="91" spans="1:16" x14ac:dyDescent="0.25">
      <c r="A91" s="26">
        <v>42553.662604166668</v>
      </c>
      <c r="B91" s="4" t="s">
        <v>145</v>
      </c>
      <c r="C91" s="4" t="s">
        <v>778</v>
      </c>
      <c r="D91" s="4" t="s">
        <v>103</v>
      </c>
      <c r="E91" s="51" t="s">
        <v>122</v>
      </c>
      <c r="F91" s="3">
        <v>0</v>
      </c>
      <c r="G91" s="4">
        <v>521</v>
      </c>
      <c r="H91" s="4">
        <v>130421</v>
      </c>
      <c r="I91" s="51" t="s">
        <v>123</v>
      </c>
      <c r="J91" s="4">
        <v>127587</v>
      </c>
      <c r="K91" s="4" t="s">
        <v>106</v>
      </c>
      <c r="L91" s="19" t="str">
        <f>VLOOKUP(C91,'[3]Trips&amp;Operators'!$C$2:$E$10000,3,FALSE)</f>
        <v>HELVIE</v>
      </c>
      <c r="M91" s="4" t="s">
        <v>112</v>
      </c>
      <c r="N91" s="19" t="s">
        <v>376</v>
      </c>
      <c r="O91" s="19" t="str">
        <f t="shared" si="2"/>
        <v>02</v>
      </c>
      <c r="P91" s="64">
        <f t="shared" si="3"/>
        <v>42553</v>
      </c>
    </row>
    <row r="92" spans="1:16" x14ac:dyDescent="0.25">
      <c r="A92" s="17">
        <v>42553.376516203702</v>
      </c>
      <c r="B92" s="18" t="s">
        <v>117</v>
      </c>
      <c r="C92" s="18" t="s">
        <v>262</v>
      </c>
      <c r="D92" s="18" t="s">
        <v>103</v>
      </c>
      <c r="E92" s="52" t="s">
        <v>122</v>
      </c>
      <c r="F92" s="53">
        <v>0</v>
      </c>
      <c r="G92" s="18">
        <v>322</v>
      </c>
      <c r="H92" s="18">
        <v>194237</v>
      </c>
      <c r="I92" s="52" t="s">
        <v>123</v>
      </c>
      <c r="J92" s="18">
        <v>191723</v>
      </c>
      <c r="K92" s="19" t="s">
        <v>106</v>
      </c>
      <c r="L92" s="19" t="str">
        <f>VLOOKUP(C92,'[3]Trips&amp;Operators'!$C$2:$E$10000,3,FALSE)</f>
        <v>SANTIZO</v>
      </c>
      <c r="M92" s="20" t="s">
        <v>112</v>
      </c>
      <c r="N92" s="19" t="s">
        <v>735</v>
      </c>
      <c r="O92" s="19" t="str">
        <f t="shared" si="2"/>
        <v>02</v>
      </c>
      <c r="P92" s="64">
        <f t="shared" si="3"/>
        <v>42553</v>
      </c>
    </row>
    <row r="93" spans="1:16" x14ac:dyDescent="0.25">
      <c r="A93" s="17">
        <v>42553.344583333332</v>
      </c>
      <c r="B93" s="18" t="s">
        <v>146</v>
      </c>
      <c r="C93" s="18" t="s">
        <v>762</v>
      </c>
      <c r="D93" s="18" t="s">
        <v>103</v>
      </c>
      <c r="E93" s="52" t="s">
        <v>122</v>
      </c>
      <c r="F93" s="53">
        <v>0</v>
      </c>
      <c r="G93" s="18">
        <v>644</v>
      </c>
      <c r="H93" s="18">
        <v>193177</v>
      </c>
      <c r="I93" s="52" t="s">
        <v>123</v>
      </c>
      <c r="J93" s="18">
        <v>198242</v>
      </c>
      <c r="K93" s="19" t="s">
        <v>111</v>
      </c>
      <c r="L93" s="19" t="str">
        <f>VLOOKUP(C93,'[3]Trips&amp;Operators'!$C$2:$E$10000,3,FALSE)</f>
        <v>YORK</v>
      </c>
      <c r="M93" s="20" t="s">
        <v>107</v>
      </c>
      <c r="N93" s="19" t="s">
        <v>199</v>
      </c>
      <c r="O93" s="19" t="str">
        <f t="shared" si="2"/>
        <v>02</v>
      </c>
      <c r="P93" s="64">
        <f t="shared" si="3"/>
        <v>42553</v>
      </c>
    </row>
    <row r="94" spans="1:16" x14ac:dyDescent="0.25">
      <c r="A94" s="26">
        <v>42553.751689814817</v>
      </c>
      <c r="B94" s="4" t="s">
        <v>135</v>
      </c>
      <c r="C94" s="4" t="s">
        <v>779</v>
      </c>
      <c r="D94" s="4" t="s">
        <v>103</v>
      </c>
      <c r="E94" s="51" t="s">
        <v>122</v>
      </c>
      <c r="F94" s="3">
        <v>0</v>
      </c>
      <c r="G94" s="4">
        <v>674</v>
      </c>
      <c r="H94" s="4">
        <v>193247</v>
      </c>
      <c r="I94" s="51" t="s">
        <v>123</v>
      </c>
      <c r="J94" s="4">
        <v>198242</v>
      </c>
      <c r="K94" s="4" t="s">
        <v>111</v>
      </c>
      <c r="L94" s="19" t="str">
        <f>VLOOKUP(C94,'[3]Trips&amp;Operators'!$C$2:$E$10000,3,FALSE)</f>
        <v>STEWART</v>
      </c>
      <c r="M94" s="4" t="s">
        <v>107</v>
      </c>
      <c r="N94" s="19" t="s">
        <v>199</v>
      </c>
      <c r="O94" s="19" t="str">
        <f t="shared" si="2"/>
        <v>02</v>
      </c>
      <c r="P94" s="64">
        <f t="shared" si="3"/>
        <v>42553</v>
      </c>
    </row>
    <row r="95" spans="1:16" x14ac:dyDescent="0.25">
      <c r="A95" s="26">
        <v>42554.063136574077</v>
      </c>
      <c r="B95" s="4" t="s">
        <v>117</v>
      </c>
      <c r="C95" s="4" t="s">
        <v>619</v>
      </c>
      <c r="D95" s="4" t="s">
        <v>103</v>
      </c>
      <c r="E95" s="51" t="s">
        <v>122</v>
      </c>
      <c r="F95" s="3">
        <v>0</v>
      </c>
      <c r="G95" s="4">
        <v>768</v>
      </c>
      <c r="H95" s="4">
        <v>206997</v>
      </c>
      <c r="I95" s="51" t="s">
        <v>123</v>
      </c>
      <c r="J95" s="4">
        <v>204340</v>
      </c>
      <c r="K95" s="4" t="s">
        <v>106</v>
      </c>
      <c r="L95" s="19" t="str">
        <f>VLOOKUP(C95,'[3]Trips&amp;Operators'!$C$2:$E$10000,3,FALSE)</f>
        <v>GRASTON</v>
      </c>
      <c r="M95" s="20" t="s">
        <v>107</v>
      </c>
      <c r="N95" s="4" t="s">
        <v>52</v>
      </c>
      <c r="O95" s="19" t="str">
        <f t="shared" si="2"/>
        <v>02</v>
      </c>
      <c r="P95" s="64">
        <f t="shared" si="3"/>
        <v>42553</v>
      </c>
    </row>
    <row r="96" spans="1:16" x14ac:dyDescent="0.25">
      <c r="A96" s="17">
        <v>42553.530173611114</v>
      </c>
      <c r="B96" s="18" t="s">
        <v>119</v>
      </c>
      <c r="C96" s="18" t="s">
        <v>144</v>
      </c>
      <c r="D96" s="18" t="s">
        <v>116</v>
      </c>
      <c r="E96" s="52" t="s">
        <v>122</v>
      </c>
      <c r="F96" s="53">
        <v>0</v>
      </c>
      <c r="G96" s="18">
        <v>153</v>
      </c>
      <c r="H96" s="18">
        <v>229279</v>
      </c>
      <c r="I96" s="52" t="s">
        <v>123</v>
      </c>
      <c r="J96" s="18">
        <v>231147</v>
      </c>
      <c r="K96" s="19" t="s">
        <v>106</v>
      </c>
      <c r="L96" s="19" t="str">
        <f>VLOOKUP(C96,'[3]Trips&amp;Operators'!$C$2:$E$10000,3,FALSE)</f>
        <v>LOCKLEAR</v>
      </c>
      <c r="M96" s="20" t="s">
        <v>112</v>
      </c>
      <c r="N96" s="19" t="s">
        <v>175</v>
      </c>
      <c r="O96" s="19" t="str">
        <f t="shared" si="2"/>
        <v>02</v>
      </c>
      <c r="P96" s="64">
        <f t="shared" si="3"/>
        <v>42553</v>
      </c>
    </row>
    <row r="97" spans="1:16" x14ac:dyDescent="0.25">
      <c r="A97" s="26">
        <v>42553.796550925923</v>
      </c>
      <c r="B97" s="4" t="s">
        <v>143</v>
      </c>
      <c r="C97" s="4" t="s">
        <v>780</v>
      </c>
      <c r="D97" s="4" t="s">
        <v>103</v>
      </c>
      <c r="E97" s="51" t="s">
        <v>127</v>
      </c>
      <c r="F97" s="3">
        <v>0</v>
      </c>
      <c r="G97" s="4">
        <v>156</v>
      </c>
      <c r="H97" s="4">
        <v>3960</v>
      </c>
      <c r="I97" s="51" t="s">
        <v>128</v>
      </c>
      <c r="J97" s="4">
        <v>3902</v>
      </c>
      <c r="K97" s="4" t="s">
        <v>106</v>
      </c>
      <c r="L97" s="19" t="str">
        <f>VLOOKUP(C97,'[3]Trips&amp;Operators'!$C$2:$E$10000,3,FALSE)</f>
        <v>STEWART</v>
      </c>
      <c r="M97" s="20" t="s">
        <v>107</v>
      </c>
      <c r="N97" s="4" t="s">
        <v>52</v>
      </c>
      <c r="O97" s="19" t="str">
        <f t="shared" si="2"/>
        <v>02</v>
      </c>
      <c r="P97" s="64">
        <f t="shared" si="3"/>
        <v>42553</v>
      </c>
    </row>
    <row r="98" spans="1:16" x14ac:dyDescent="0.25">
      <c r="A98" s="26">
        <v>42553.592777777776</v>
      </c>
      <c r="B98" s="4" t="s">
        <v>117</v>
      </c>
      <c r="C98" s="4" t="s">
        <v>604</v>
      </c>
      <c r="D98" s="4" t="s">
        <v>116</v>
      </c>
      <c r="E98" s="51" t="s">
        <v>127</v>
      </c>
      <c r="F98" s="3">
        <v>0</v>
      </c>
      <c r="G98" s="4">
        <v>153</v>
      </c>
      <c r="H98" s="4">
        <v>231115</v>
      </c>
      <c r="I98" s="51" t="s">
        <v>128</v>
      </c>
      <c r="J98" s="4">
        <v>231147</v>
      </c>
      <c r="K98" s="4" t="s">
        <v>106</v>
      </c>
      <c r="L98" s="19" t="str">
        <f>VLOOKUP(C98,'[3]Trips&amp;Operators'!$C$2:$E$10000,3,FALSE)</f>
        <v>POLLOCK</v>
      </c>
      <c r="M98" s="20" t="s">
        <v>107</v>
      </c>
      <c r="N98" s="4" t="s">
        <v>52</v>
      </c>
      <c r="O98" s="19" t="str">
        <f t="shared" si="2"/>
        <v>02</v>
      </c>
      <c r="P98" s="64">
        <f t="shared" si="3"/>
        <v>42553</v>
      </c>
    </row>
    <row r="99" spans="1:16" x14ac:dyDescent="0.25">
      <c r="A99" s="26">
        <v>42553.263877314814</v>
      </c>
      <c r="B99" s="4" t="s">
        <v>119</v>
      </c>
      <c r="C99" s="4" t="s">
        <v>785</v>
      </c>
      <c r="D99" s="4" t="s">
        <v>103</v>
      </c>
      <c r="E99" s="51" t="s">
        <v>129</v>
      </c>
      <c r="F99" s="3">
        <v>0</v>
      </c>
      <c r="G99" s="4">
        <v>5</v>
      </c>
      <c r="H99" s="4">
        <v>127</v>
      </c>
      <c r="I99" s="51" t="s">
        <v>130</v>
      </c>
      <c r="J99" s="4">
        <v>1</v>
      </c>
      <c r="K99" s="4" t="s">
        <v>106</v>
      </c>
      <c r="L99" s="19" t="str">
        <f>VLOOKUP(C99,'[3]Trips&amp;Operators'!$C$2:$E$10000,3,FALSE)</f>
        <v>MALAVE</v>
      </c>
      <c r="M99" s="4" t="s">
        <v>112</v>
      </c>
      <c r="O99" s="19" t="str">
        <f t="shared" si="2"/>
        <v>02</v>
      </c>
      <c r="P99" s="64">
        <f t="shared" si="3"/>
        <v>42553</v>
      </c>
    </row>
    <row r="100" spans="1:16" x14ac:dyDescent="0.25">
      <c r="A100" s="17">
        <v>42553.294421296298</v>
      </c>
      <c r="B100" s="18" t="s">
        <v>134</v>
      </c>
      <c r="C100" s="18" t="s">
        <v>764</v>
      </c>
      <c r="D100" s="18" t="s">
        <v>103</v>
      </c>
      <c r="E100" s="52" t="s">
        <v>129</v>
      </c>
      <c r="F100" s="53">
        <v>0</v>
      </c>
      <c r="G100" s="18">
        <v>89</v>
      </c>
      <c r="H100" s="18">
        <v>340</v>
      </c>
      <c r="I100" s="52" t="s">
        <v>130</v>
      </c>
      <c r="J100" s="18">
        <v>1</v>
      </c>
      <c r="K100" s="19" t="s">
        <v>106</v>
      </c>
      <c r="L100" s="19" t="str">
        <f>VLOOKUP(C100,'[3]Trips&amp;Operators'!$C$2:$E$10000,3,FALSE)</f>
        <v>STARKS</v>
      </c>
      <c r="M100" s="20" t="s">
        <v>112</v>
      </c>
      <c r="N100" s="19"/>
      <c r="O100" s="19" t="str">
        <f t="shared" si="2"/>
        <v>02</v>
      </c>
      <c r="P100" s="64">
        <f t="shared" si="3"/>
        <v>42553</v>
      </c>
    </row>
    <row r="101" spans="1:16" x14ac:dyDescent="0.25">
      <c r="A101" s="26">
        <v>42553.32471064815</v>
      </c>
      <c r="B101" s="4" t="s">
        <v>117</v>
      </c>
      <c r="C101" s="4" t="s">
        <v>786</v>
      </c>
      <c r="D101" s="4" t="s">
        <v>103</v>
      </c>
      <c r="E101" s="51" t="s">
        <v>129</v>
      </c>
      <c r="F101" s="3">
        <v>0</v>
      </c>
      <c r="G101" s="4">
        <v>7</v>
      </c>
      <c r="H101" s="4">
        <v>125</v>
      </c>
      <c r="I101" s="51" t="s">
        <v>130</v>
      </c>
      <c r="J101" s="4">
        <v>1</v>
      </c>
      <c r="K101" s="4" t="s">
        <v>106</v>
      </c>
      <c r="L101" s="19" t="str">
        <f>VLOOKUP(C101,'[3]Trips&amp;Operators'!$C$2:$E$10000,3,FALSE)</f>
        <v>SANTIZO</v>
      </c>
      <c r="M101" s="20" t="s">
        <v>112</v>
      </c>
      <c r="N101" s="19"/>
      <c r="O101" s="19" t="str">
        <f t="shared" si="2"/>
        <v>02</v>
      </c>
      <c r="P101" s="64">
        <f t="shared" si="3"/>
        <v>42553</v>
      </c>
    </row>
    <row r="102" spans="1:16" x14ac:dyDescent="0.25">
      <c r="A102" s="26">
        <v>42553.566168981481</v>
      </c>
      <c r="B102" s="4" t="s">
        <v>136</v>
      </c>
      <c r="C102" s="4" t="s">
        <v>788</v>
      </c>
      <c r="D102" s="4" t="s">
        <v>103</v>
      </c>
      <c r="E102" s="51" t="s">
        <v>129</v>
      </c>
      <c r="F102" s="3">
        <v>0</v>
      </c>
      <c r="G102" s="4">
        <v>9</v>
      </c>
      <c r="H102" s="4">
        <v>114</v>
      </c>
      <c r="I102" s="51" t="s">
        <v>130</v>
      </c>
      <c r="J102" s="4">
        <v>1</v>
      </c>
      <c r="K102" s="4" t="s">
        <v>106</v>
      </c>
      <c r="L102" s="19" t="str">
        <f>VLOOKUP(C102,'[3]Trips&amp;Operators'!$C$2:$E$10000,3,FALSE)</f>
        <v>ACKERMAN</v>
      </c>
      <c r="M102" s="20" t="s">
        <v>112</v>
      </c>
      <c r="N102" s="19"/>
      <c r="O102" s="19" t="str">
        <f t="shared" si="2"/>
        <v>02</v>
      </c>
      <c r="P102" s="64">
        <f t="shared" si="3"/>
        <v>42553</v>
      </c>
    </row>
    <row r="103" spans="1:16" x14ac:dyDescent="0.25">
      <c r="A103" s="17">
        <v>42553.731562499997</v>
      </c>
      <c r="B103" s="18" t="s">
        <v>134</v>
      </c>
      <c r="C103" s="18" t="s">
        <v>774</v>
      </c>
      <c r="D103" s="18" t="s">
        <v>103</v>
      </c>
      <c r="E103" s="52" t="s">
        <v>129</v>
      </c>
      <c r="F103" s="53">
        <v>0</v>
      </c>
      <c r="G103" s="18">
        <v>50</v>
      </c>
      <c r="H103" s="18">
        <v>163</v>
      </c>
      <c r="I103" s="52" t="s">
        <v>130</v>
      </c>
      <c r="J103" s="18">
        <v>1</v>
      </c>
      <c r="K103" s="19" t="s">
        <v>106</v>
      </c>
      <c r="L103" s="19" t="str">
        <f>VLOOKUP(C103,'[3]Trips&amp;Operators'!$C$2:$E$10000,3,FALSE)</f>
        <v>MAYBERRY</v>
      </c>
      <c r="M103" s="20" t="s">
        <v>112</v>
      </c>
      <c r="N103" s="19"/>
      <c r="O103" s="19" t="str">
        <f t="shared" si="2"/>
        <v>02</v>
      </c>
      <c r="P103" s="64">
        <f t="shared" si="3"/>
        <v>42553</v>
      </c>
    </row>
    <row r="104" spans="1:16" x14ac:dyDescent="0.25">
      <c r="A104" s="26">
        <v>42553.763877314814</v>
      </c>
      <c r="B104" s="4" t="s">
        <v>117</v>
      </c>
      <c r="C104" s="4" t="s">
        <v>799</v>
      </c>
      <c r="D104" s="4" t="s">
        <v>103</v>
      </c>
      <c r="E104" s="51" t="s">
        <v>129</v>
      </c>
      <c r="F104" s="3">
        <v>0</v>
      </c>
      <c r="G104" s="4">
        <v>8</v>
      </c>
      <c r="H104" s="4">
        <v>123</v>
      </c>
      <c r="I104" s="51" t="s">
        <v>130</v>
      </c>
      <c r="J104" s="4">
        <v>1</v>
      </c>
      <c r="K104" s="4" t="s">
        <v>106</v>
      </c>
      <c r="L104" s="19" t="str">
        <f>VLOOKUP(C104,'[3]Trips&amp;Operators'!$C$2:$E$10000,3,FALSE)</f>
        <v>DE LA ROSA</v>
      </c>
      <c r="M104" s="4" t="s">
        <v>112</v>
      </c>
      <c r="N104" s="19"/>
      <c r="O104" s="19" t="str">
        <f t="shared" si="2"/>
        <v>02</v>
      </c>
      <c r="P104" s="64">
        <f t="shared" si="3"/>
        <v>42553</v>
      </c>
    </row>
    <row r="105" spans="1:16" x14ac:dyDescent="0.25">
      <c r="A105" s="26">
        <v>42553.786770833336</v>
      </c>
      <c r="B105" s="4" t="s">
        <v>136</v>
      </c>
      <c r="C105" s="4" t="s">
        <v>800</v>
      </c>
      <c r="D105" s="4" t="s">
        <v>103</v>
      </c>
      <c r="E105" s="51" t="s">
        <v>129</v>
      </c>
      <c r="F105" s="3">
        <v>0</v>
      </c>
      <c r="G105" s="4">
        <v>45</v>
      </c>
      <c r="H105" s="4">
        <v>129</v>
      </c>
      <c r="I105" s="51" t="s">
        <v>130</v>
      </c>
      <c r="J105" s="4">
        <v>1</v>
      </c>
      <c r="K105" s="4" t="s">
        <v>106</v>
      </c>
      <c r="L105" s="19" t="str">
        <f>VLOOKUP(C105,'[3]Trips&amp;Operators'!$C$2:$E$10000,3,FALSE)</f>
        <v>ACKERMAN</v>
      </c>
      <c r="M105" s="4" t="s">
        <v>112</v>
      </c>
      <c r="O105" s="19" t="str">
        <f t="shared" si="2"/>
        <v>02</v>
      </c>
      <c r="P105" s="64">
        <f t="shared" si="3"/>
        <v>42553</v>
      </c>
    </row>
    <row r="106" spans="1:16" x14ac:dyDescent="0.25">
      <c r="A106" s="26">
        <v>42553.825381944444</v>
      </c>
      <c r="B106" s="4" t="s">
        <v>145</v>
      </c>
      <c r="C106" s="4" t="s">
        <v>801</v>
      </c>
      <c r="D106" s="4" t="s">
        <v>103</v>
      </c>
      <c r="E106" s="51" t="s">
        <v>129</v>
      </c>
      <c r="F106" s="3">
        <v>0</v>
      </c>
      <c r="G106" s="4">
        <v>8</v>
      </c>
      <c r="H106" s="4">
        <v>172</v>
      </c>
      <c r="I106" s="51" t="s">
        <v>130</v>
      </c>
      <c r="J106" s="4">
        <v>1</v>
      </c>
      <c r="K106" s="4" t="s">
        <v>106</v>
      </c>
      <c r="L106" s="19" t="str">
        <f>VLOOKUP(C106,'[3]Trips&amp;Operators'!$C$2:$E$10000,3,FALSE)</f>
        <v>BRUDER</v>
      </c>
      <c r="M106" s="4" t="s">
        <v>112</v>
      </c>
      <c r="N106" s="19"/>
      <c r="O106" s="19" t="str">
        <f t="shared" si="2"/>
        <v>02</v>
      </c>
      <c r="P106" s="64">
        <f t="shared" si="3"/>
        <v>42553</v>
      </c>
    </row>
    <row r="107" spans="1:16" x14ac:dyDescent="0.25">
      <c r="A107" s="26">
        <v>42553.877789351849</v>
      </c>
      <c r="B107" s="4" t="s">
        <v>134</v>
      </c>
      <c r="C107" s="4" t="s">
        <v>802</v>
      </c>
      <c r="D107" s="4" t="s">
        <v>103</v>
      </c>
      <c r="E107" s="51" t="s">
        <v>129</v>
      </c>
      <c r="F107" s="3">
        <v>0</v>
      </c>
      <c r="G107" s="4">
        <v>7</v>
      </c>
      <c r="H107" s="4">
        <v>139</v>
      </c>
      <c r="I107" s="51" t="s">
        <v>130</v>
      </c>
      <c r="J107" s="4">
        <v>1</v>
      </c>
      <c r="K107" s="4" t="s">
        <v>106</v>
      </c>
      <c r="L107" s="19" t="str">
        <f>VLOOKUP(C107,'[3]Trips&amp;Operators'!$C$2:$E$10000,3,FALSE)</f>
        <v>LEVERE</v>
      </c>
      <c r="M107" s="20" t="s">
        <v>112</v>
      </c>
      <c r="N107" s="19"/>
      <c r="O107" s="19" t="str">
        <f t="shared" si="2"/>
        <v>02</v>
      </c>
      <c r="P107" s="64">
        <f t="shared" si="3"/>
        <v>42553</v>
      </c>
    </row>
    <row r="108" spans="1:16" x14ac:dyDescent="0.25">
      <c r="A108" s="26">
        <v>42553.662592592591</v>
      </c>
      <c r="B108" s="4" t="s">
        <v>131</v>
      </c>
      <c r="C108" s="4" t="s">
        <v>792</v>
      </c>
      <c r="D108" s="4" t="s">
        <v>103</v>
      </c>
      <c r="E108" s="51" t="s">
        <v>129</v>
      </c>
      <c r="F108" s="3">
        <v>0</v>
      </c>
      <c r="G108" s="4">
        <v>63</v>
      </c>
      <c r="H108" s="4">
        <v>769</v>
      </c>
      <c r="I108" s="51" t="s">
        <v>130</v>
      </c>
      <c r="J108" s="4">
        <v>575</v>
      </c>
      <c r="K108" s="4" t="s">
        <v>106</v>
      </c>
      <c r="L108" s="19" t="str">
        <f>VLOOKUP(C108,'[3]Trips&amp;Operators'!$C$2:$E$10000,3,FALSE)</f>
        <v>STORY</v>
      </c>
      <c r="M108" s="4" t="s">
        <v>112</v>
      </c>
      <c r="N108" s="19"/>
      <c r="O108" s="19" t="str">
        <f t="shared" si="2"/>
        <v>02</v>
      </c>
      <c r="P108" s="64">
        <f t="shared" si="3"/>
        <v>42553</v>
      </c>
    </row>
    <row r="109" spans="1:16" x14ac:dyDescent="0.25">
      <c r="A109" s="26">
        <v>42553.704652777778</v>
      </c>
      <c r="B109" s="4" t="s">
        <v>131</v>
      </c>
      <c r="C109" s="4" t="s">
        <v>794</v>
      </c>
      <c r="D109" s="4" t="s">
        <v>103</v>
      </c>
      <c r="E109" s="51" t="s">
        <v>129</v>
      </c>
      <c r="F109" s="3">
        <v>0</v>
      </c>
      <c r="G109" s="4">
        <v>9</v>
      </c>
      <c r="H109" s="4">
        <v>685</v>
      </c>
      <c r="I109" s="51" t="s">
        <v>130</v>
      </c>
      <c r="J109" s="4">
        <v>575</v>
      </c>
      <c r="K109" s="4" t="s">
        <v>106</v>
      </c>
      <c r="L109" s="19" t="str">
        <f>VLOOKUP(C109,'[3]Trips&amp;Operators'!$C$2:$E$10000,3,FALSE)</f>
        <v>STORY</v>
      </c>
      <c r="M109" s="4" t="s">
        <v>112</v>
      </c>
      <c r="O109" s="19" t="str">
        <f t="shared" si="2"/>
        <v>02</v>
      </c>
      <c r="P109" s="64">
        <f t="shared" si="3"/>
        <v>42553</v>
      </c>
    </row>
    <row r="110" spans="1:16" x14ac:dyDescent="0.25">
      <c r="A110" s="26">
        <v>42553.787951388891</v>
      </c>
      <c r="B110" s="4" t="s">
        <v>131</v>
      </c>
      <c r="C110" s="4" t="s">
        <v>795</v>
      </c>
      <c r="D110" s="4" t="s">
        <v>103</v>
      </c>
      <c r="E110" s="51" t="s">
        <v>129</v>
      </c>
      <c r="F110" s="3">
        <v>0</v>
      </c>
      <c r="G110" s="4">
        <v>53</v>
      </c>
      <c r="H110" s="4">
        <v>731</v>
      </c>
      <c r="I110" s="51" t="s">
        <v>130</v>
      </c>
      <c r="J110" s="4">
        <v>575</v>
      </c>
      <c r="K110" s="4" t="s">
        <v>106</v>
      </c>
      <c r="L110" s="19" t="str">
        <f>VLOOKUP(C110,'[3]Trips&amp;Operators'!$C$2:$E$10000,3,FALSE)</f>
        <v>STORY</v>
      </c>
      <c r="M110" s="4" t="s">
        <v>112</v>
      </c>
      <c r="O110" s="19" t="str">
        <f t="shared" si="2"/>
        <v>02</v>
      </c>
      <c r="P110" s="64">
        <f t="shared" si="3"/>
        <v>42553</v>
      </c>
    </row>
    <row r="111" spans="1:16" x14ac:dyDescent="0.25">
      <c r="A111" s="26">
        <v>42553.860983796294</v>
      </c>
      <c r="B111" s="4" t="s">
        <v>131</v>
      </c>
      <c r="C111" s="4" t="s">
        <v>796</v>
      </c>
      <c r="D111" s="4" t="s">
        <v>103</v>
      </c>
      <c r="E111" s="51" t="s">
        <v>129</v>
      </c>
      <c r="F111" s="3">
        <v>0</v>
      </c>
      <c r="G111" s="4">
        <v>26</v>
      </c>
      <c r="H111" s="4">
        <v>57831</v>
      </c>
      <c r="I111" s="51" t="s">
        <v>130</v>
      </c>
      <c r="J111" s="4">
        <v>575</v>
      </c>
      <c r="K111" s="4" t="s">
        <v>106</v>
      </c>
      <c r="L111" s="19" t="str">
        <f>VLOOKUP(C111,'[3]Trips&amp;Operators'!$C$2:$E$10000,3,FALSE)</f>
        <v>STORY</v>
      </c>
      <c r="M111" s="20" t="s">
        <v>112</v>
      </c>
      <c r="N111" s="19"/>
      <c r="O111" s="19" t="str">
        <f t="shared" si="2"/>
        <v>02</v>
      </c>
      <c r="P111" s="64">
        <f t="shared" si="3"/>
        <v>42553</v>
      </c>
    </row>
    <row r="112" spans="1:16" x14ac:dyDescent="0.25">
      <c r="A112" s="26">
        <v>42553.861666666664</v>
      </c>
      <c r="B112" s="4" t="s">
        <v>131</v>
      </c>
      <c r="C112" s="4" t="s">
        <v>796</v>
      </c>
      <c r="D112" s="4" t="s">
        <v>103</v>
      </c>
      <c r="E112" s="51" t="s">
        <v>129</v>
      </c>
      <c r="F112" s="3">
        <v>0</v>
      </c>
      <c r="G112" s="4">
        <v>26</v>
      </c>
      <c r="H112" s="4">
        <v>57831</v>
      </c>
      <c r="I112" s="51" t="s">
        <v>130</v>
      </c>
      <c r="J112" s="4">
        <v>575</v>
      </c>
      <c r="K112" s="4" t="s">
        <v>106</v>
      </c>
      <c r="L112" s="19" t="str">
        <f>VLOOKUP(C112,'[3]Trips&amp;Operators'!$C$2:$E$10000,3,FALSE)</f>
        <v>STORY</v>
      </c>
      <c r="M112" s="20" t="s">
        <v>112</v>
      </c>
      <c r="N112" s="19"/>
      <c r="O112" s="19" t="str">
        <f t="shared" si="2"/>
        <v>02</v>
      </c>
      <c r="P112" s="64">
        <f t="shared" si="3"/>
        <v>42553</v>
      </c>
    </row>
    <row r="113" spans="1:16" x14ac:dyDescent="0.25">
      <c r="A113" s="26">
        <v>42553.862361111111</v>
      </c>
      <c r="B113" s="4" t="s">
        <v>131</v>
      </c>
      <c r="C113" s="4" t="s">
        <v>796</v>
      </c>
      <c r="D113" s="4" t="s">
        <v>103</v>
      </c>
      <c r="E113" s="51" t="s">
        <v>129</v>
      </c>
      <c r="F113" s="3">
        <v>0</v>
      </c>
      <c r="G113" s="4">
        <v>26</v>
      </c>
      <c r="H113" s="4">
        <v>57831</v>
      </c>
      <c r="I113" s="51" t="s">
        <v>130</v>
      </c>
      <c r="J113" s="4">
        <v>575</v>
      </c>
      <c r="K113" s="4" t="s">
        <v>106</v>
      </c>
      <c r="L113" s="19" t="str">
        <f>VLOOKUP(C113,'[3]Trips&amp;Operators'!$C$2:$E$10000,3,FALSE)</f>
        <v>STORY</v>
      </c>
      <c r="M113" s="20" t="s">
        <v>112</v>
      </c>
      <c r="N113" s="19"/>
      <c r="O113" s="19" t="str">
        <f t="shared" si="2"/>
        <v>02</v>
      </c>
      <c r="P113" s="64">
        <f t="shared" si="3"/>
        <v>42553</v>
      </c>
    </row>
    <row r="114" spans="1:16" x14ac:dyDescent="0.25">
      <c r="A114" s="26">
        <v>42553.871331018519</v>
      </c>
      <c r="B114" s="4" t="s">
        <v>131</v>
      </c>
      <c r="C114" s="4" t="s">
        <v>796</v>
      </c>
      <c r="D114" s="4" t="s">
        <v>103</v>
      </c>
      <c r="E114" s="51" t="s">
        <v>129</v>
      </c>
      <c r="F114" s="3">
        <v>0</v>
      </c>
      <c r="G114" s="4">
        <v>60</v>
      </c>
      <c r="H114" s="4">
        <v>771</v>
      </c>
      <c r="I114" s="51" t="s">
        <v>130</v>
      </c>
      <c r="J114" s="4">
        <v>575</v>
      </c>
      <c r="K114" s="4" t="s">
        <v>106</v>
      </c>
      <c r="L114" s="19" t="str">
        <f>VLOOKUP(C114,'[3]Trips&amp;Operators'!$C$2:$E$10000,3,FALSE)</f>
        <v>STORY</v>
      </c>
      <c r="M114" s="20" t="s">
        <v>112</v>
      </c>
      <c r="N114" s="19"/>
      <c r="O114" s="19" t="str">
        <f t="shared" si="2"/>
        <v>02</v>
      </c>
      <c r="P114" s="64">
        <f t="shared" si="3"/>
        <v>42553</v>
      </c>
    </row>
    <row r="115" spans="1:16" x14ac:dyDescent="0.25">
      <c r="A115" s="26">
        <v>42553.913564814815</v>
      </c>
      <c r="B115" s="4" t="s">
        <v>131</v>
      </c>
      <c r="C115" s="4" t="s">
        <v>797</v>
      </c>
      <c r="D115" s="4" t="s">
        <v>103</v>
      </c>
      <c r="E115" s="51" t="s">
        <v>129</v>
      </c>
      <c r="F115" s="3">
        <v>0</v>
      </c>
      <c r="G115" s="4">
        <v>20</v>
      </c>
      <c r="H115" s="4">
        <v>605</v>
      </c>
      <c r="I115" s="51" t="s">
        <v>130</v>
      </c>
      <c r="J115" s="4">
        <v>575</v>
      </c>
      <c r="K115" s="4" t="s">
        <v>106</v>
      </c>
      <c r="L115" s="19" t="str">
        <f>VLOOKUP(C115,'[3]Trips&amp;Operators'!$C$2:$E$10000,3,FALSE)</f>
        <v>STORY</v>
      </c>
      <c r="M115" s="20" t="s">
        <v>112</v>
      </c>
      <c r="N115" s="19"/>
      <c r="O115" s="19" t="str">
        <f t="shared" si="2"/>
        <v>02</v>
      </c>
      <c r="P115" s="64">
        <f t="shared" si="3"/>
        <v>42553</v>
      </c>
    </row>
    <row r="116" spans="1:16" x14ac:dyDescent="0.25">
      <c r="A116" s="26">
        <v>42553.60733796296</v>
      </c>
      <c r="B116" s="4" t="s">
        <v>120</v>
      </c>
      <c r="C116" s="4" t="s">
        <v>791</v>
      </c>
      <c r="D116" s="4" t="s">
        <v>103</v>
      </c>
      <c r="E116" s="51" t="s">
        <v>129</v>
      </c>
      <c r="F116" s="3">
        <v>0</v>
      </c>
      <c r="G116" s="4">
        <v>85</v>
      </c>
      <c r="H116" s="4">
        <v>58754</v>
      </c>
      <c r="I116" s="51" t="s">
        <v>130</v>
      </c>
      <c r="J116" s="4">
        <v>59048</v>
      </c>
      <c r="K116" s="4" t="s">
        <v>111</v>
      </c>
      <c r="L116" s="19" t="str">
        <f>VLOOKUP(C116,'[3]Trips&amp;Operators'!$C$2:$E$10000,3,FALSE)</f>
        <v>STORY</v>
      </c>
      <c r="M116" s="4" t="s">
        <v>112</v>
      </c>
      <c r="O116" s="19" t="str">
        <f t="shared" si="2"/>
        <v>02</v>
      </c>
      <c r="P116" s="64">
        <f t="shared" si="3"/>
        <v>42553</v>
      </c>
    </row>
    <row r="117" spans="1:16" x14ac:dyDescent="0.25">
      <c r="A117" s="26">
        <v>42553.608055555553</v>
      </c>
      <c r="B117" s="4" t="s">
        <v>120</v>
      </c>
      <c r="C117" s="4" t="s">
        <v>791</v>
      </c>
      <c r="D117" s="4" t="s">
        <v>103</v>
      </c>
      <c r="E117" s="51" t="s">
        <v>129</v>
      </c>
      <c r="F117" s="3">
        <v>0</v>
      </c>
      <c r="G117" s="4">
        <v>6</v>
      </c>
      <c r="H117" s="4">
        <v>58946</v>
      </c>
      <c r="I117" s="51" t="s">
        <v>130</v>
      </c>
      <c r="J117" s="4">
        <v>59048</v>
      </c>
      <c r="K117" s="4" t="s">
        <v>111</v>
      </c>
      <c r="L117" s="19" t="str">
        <f>VLOOKUP(C117,'[3]Trips&amp;Operators'!$C$2:$E$10000,3,FALSE)</f>
        <v>STORY</v>
      </c>
      <c r="M117" s="20" t="s">
        <v>112</v>
      </c>
      <c r="N117" s="19"/>
      <c r="O117" s="19" t="str">
        <f t="shared" si="2"/>
        <v>02</v>
      </c>
      <c r="P117" s="64">
        <f t="shared" si="3"/>
        <v>42553</v>
      </c>
    </row>
    <row r="118" spans="1:16" x14ac:dyDescent="0.25">
      <c r="A118" s="26">
        <v>42553.690370370372</v>
      </c>
      <c r="B118" s="4" t="s">
        <v>120</v>
      </c>
      <c r="C118" s="4" t="s">
        <v>793</v>
      </c>
      <c r="D118" s="4" t="s">
        <v>103</v>
      </c>
      <c r="E118" s="51" t="s">
        <v>129</v>
      </c>
      <c r="F118" s="3">
        <v>0</v>
      </c>
      <c r="G118" s="4">
        <v>6</v>
      </c>
      <c r="H118" s="4">
        <v>58903</v>
      </c>
      <c r="I118" s="51" t="s">
        <v>130</v>
      </c>
      <c r="J118" s="4">
        <v>59048</v>
      </c>
      <c r="K118" s="4" t="s">
        <v>111</v>
      </c>
      <c r="L118" s="19" t="str">
        <f>VLOOKUP(C118,'[3]Trips&amp;Operators'!$C$2:$E$10000,3,FALSE)</f>
        <v>STORY</v>
      </c>
      <c r="M118" s="4" t="s">
        <v>112</v>
      </c>
      <c r="N118" s="19"/>
      <c r="O118" s="19" t="str">
        <f t="shared" si="2"/>
        <v>02</v>
      </c>
      <c r="P118" s="64">
        <f t="shared" si="3"/>
        <v>42553</v>
      </c>
    </row>
    <row r="119" spans="1:16" x14ac:dyDescent="0.25">
      <c r="A119" s="26">
        <v>42553.816296296296</v>
      </c>
      <c r="B119" s="4" t="s">
        <v>120</v>
      </c>
      <c r="C119" s="4" t="s">
        <v>770</v>
      </c>
      <c r="D119" s="4" t="s">
        <v>103</v>
      </c>
      <c r="E119" s="51" t="s">
        <v>129</v>
      </c>
      <c r="F119" s="3">
        <v>0</v>
      </c>
      <c r="G119" s="4">
        <v>4</v>
      </c>
      <c r="H119" s="4">
        <v>58922</v>
      </c>
      <c r="I119" s="51" t="s">
        <v>130</v>
      </c>
      <c r="J119" s="4">
        <v>59048</v>
      </c>
      <c r="K119" s="4" t="s">
        <v>111</v>
      </c>
      <c r="L119" s="19" t="str">
        <f>VLOOKUP(C119,'[3]Trips&amp;Operators'!$C$2:$E$10000,3,FALSE)</f>
        <v>STORY</v>
      </c>
      <c r="M119" s="4" t="s">
        <v>112</v>
      </c>
      <c r="O119" s="19" t="str">
        <f t="shared" si="2"/>
        <v>02</v>
      </c>
      <c r="P119" s="64">
        <f t="shared" si="3"/>
        <v>42553</v>
      </c>
    </row>
    <row r="120" spans="1:16" x14ac:dyDescent="0.25">
      <c r="A120" s="17">
        <v>42553.857523148145</v>
      </c>
      <c r="B120" s="18" t="s">
        <v>120</v>
      </c>
      <c r="C120" s="18" t="s">
        <v>771</v>
      </c>
      <c r="D120" s="18" t="s">
        <v>103</v>
      </c>
      <c r="E120" s="52" t="s">
        <v>129</v>
      </c>
      <c r="F120" s="53">
        <v>0</v>
      </c>
      <c r="G120" s="18">
        <v>77</v>
      </c>
      <c r="H120" s="18">
        <v>58807</v>
      </c>
      <c r="I120" s="52" t="s">
        <v>130</v>
      </c>
      <c r="J120" s="18">
        <v>59048</v>
      </c>
      <c r="K120" s="19" t="s">
        <v>111</v>
      </c>
      <c r="L120" s="19" t="str">
        <f>VLOOKUP(C120,'[3]Trips&amp;Operators'!$C$2:$E$10000,3,FALSE)</f>
        <v>STORY</v>
      </c>
      <c r="M120" s="20" t="s">
        <v>112</v>
      </c>
      <c r="N120" s="19"/>
      <c r="O120" s="19" t="str">
        <f t="shared" si="2"/>
        <v>02</v>
      </c>
      <c r="P120" s="64">
        <f t="shared" si="3"/>
        <v>42553</v>
      </c>
    </row>
    <row r="121" spans="1:16" x14ac:dyDescent="0.25">
      <c r="A121" s="26">
        <v>42553.858020833337</v>
      </c>
      <c r="B121" s="4" t="s">
        <v>120</v>
      </c>
      <c r="C121" s="4" t="s">
        <v>771</v>
      </c>
      <c r="D121" s="4" t="s">
        <v>103</v>
      </c>
      <c r="E121" s="51" t="s">
        <v>129</v>
      </c>
      <c r="F121" s="3">
        <v>0</v>
      </c>
      <c r="G121" s="4">
        <v>7</v>
      </c>
      <c r="H121" s="4">
        <v>58941</v>
      </c>
      <c r="I121" s="51" t="s">
        <v>130</v>
      </c>
      <c r="J121" s="4">
        <v>59048</v>
      </c>
      <c r="K121" s="4" t="s">
        <v>111</v>
      </c>
      <c r="L121" s="19" t="str">
        <f>VLOOKUP(C121,'[3]Trips&amp;Operators'!$C$2:$E$10000,3,FALSE)</f>
        <v>STORY</v>
      </c>
      <c r="M121" s="4" t="s">
        <v>112</v>
      </c>
      <c r="N121" s="19"/>
      <c r="O121" s="19" t="str">
        <f t="shared" si="2"/>
        <v>02</v>
      </c>
      <c r="P121" s="64">
        <f t="shared" si="3"/>
        <v>42553</v>
      </c>
    </row>
    <row r="122" spans="1:16" x14ac:dyDescent="0.25">
      <c r="A122" s="26">
        <v>42553.162858796299</v>
      </c>
      <c r="B122" s="4" t="s">
        <v>138</v>
      </c>
      <c r="C122" s="4" t="s">
        <v>781</v>
      </c>
      <c r="D122" s="4" t="s">
        <v>103</v>
      </c>
      <c r="E122" s="51" t="s">
        <v>129</v>
      </c>
      <c r="F122" s="3">
        <v>0</v>
      </c>
      <c r="G122" s="4">
        <v>8</v>
      </c>
      <c r="H122" s="4">
        <v>233299</v>
      </c>
      <c r="I122" s="51" t="s">
        <v>130</v>
      </c>
      <c r="J122" s="4">
        <v>233491</v>
      </c>
      <c r="K122" s="4" t="s">
        <v>111</v>
      </c>
      <c r="L122" s="19" t="str">
        <f>VLOOKUP(C122,'[3]Trips&amp;Operators'!$C$2:$E$10000,3,FALSE)</f>
        <v>CANFIELD</v>
      </c>
      <c r="M122" s="20" t="s">
        <v>112</v>
      </c>
      <c r="N122" s="19"/>
      <c r="O122" s="19" t="str">
        <f t="shared" si="2"/>
        <v>02</v>
      </c>
      <c r="P122" s="64">
        <f t="shared" si="3"/>
        <v>42553</v>
      </c>
    </row>
    <row r="123" spans="1:16" x14ac:dyDescent="0.25">
      <c r="A123" s="26">
        <v>42553.182118055556</v>
      </c>
      <c r="B123" s="4" t="s">
        <v>108</v>
      </c>
      <c r="C123" s="4" t="s">
        <v>782</v>
      </c>
      <c r="D123" s="4" t="s">
        <v>103</v>
      </c>
      <c r="E123" s="51" t="s">
        <v>129</v>
      </c>
      <c r="F123" s="3">
        <v>0</v>
      </c>
      <c r="G123" s="4">
        <v>8</v>
      </c>
      <c r="H123" s="4">
        <v>233316</v>
      </c>
      <c r="I123" s="51" t="s">
        <v>130</v>
      </c>
      <c r="J123" s="4">
        <v>233491</v>
      </c>
      <c r="K123" s="4" t="s">
        <v>111</v>
      </c>
      <c r="L123" s="19" t="str">
        <f>VLOOKUP(C123,'[3]Trips&amp;Operators'!$C$2:$E$10000,3,FALSE)</f>
        <v>STURGEON</v>
      </c>
      <c r="M123" s="20" t="s">
        <v>112</v>
      </c>
      <c r="N123" s="19"/>
      <c r="O123" s="19" t="str">
        <f t="shared" si="2"/>
        <v>02</v>
      </c>
      <c r="P123" s="64">
        <f t="shared" si="3"/>
        <v>42553</v>
      </c>
    </row>
    <row r="124" spans="1:16" x14ac:dyDescent="0.25">
      <c r="A124" s="26">
        <v>42553.201631944445</v>
      </c>
      <c r="B124" s="4" t="s">
        <v>146</v>
      </c>
      <c r="C124" s="4" t="s">
        <v>783</v>
      </c>
      <c r="D124" s="4" t="s">
        <v>103</v>
      </c>
      <c r="E124" s="51" t="s">
        <v>129</v>
      </c>
      <c r="F124" s="3">
        <v>0</v>
      </c>
      <c r="G124" s="4">
        <v>9</v>
      </c>
      <c r="H124" s="4">
        <v>233314</v>
      </c>
      <c r="I124" s="51" t="s">
        <v>130</v>
      </c>
      <c r="J124" s="4">
        <v>233491</v>
      </c>
      <c r="K124" s="4" t="s">
        <v>111</v>
      </c>
      <c r="L124" s="19" t="str">
        <f>VLOOKUP(C124,'[3]Trips&amp;Operators'!$C$2:$E$10000,3,FALSE)</f>
        <v>YORK</v>
      </c>
      <c r="M124" s="20" t="s">
        <v>112</v>
      </c>
      <c r="N124" s="19"/>
      <c r="O124" s="19" t="str">
        <f t="shared" si="2"/>
        <v>02</v>
      </c>
      <c r="P124" s="64">
        <f t="shared" si="3"/>
        <v>42553</v>
      </c>
    </row>
    <row r="125" spans="1:16" x14ac:dyDescent="0.25">
      <c r="A125" s="17">
        <v>42553.22457175926</v>
      </c>
      <c r="B125" s="18" t="s">
        <v>133</v>
      </c>
      <c r="C125" s="18" t="s">
        <v>784</v>
      </c>
      <c r="D125" s="18" t="s">
        <v>103</v>
      </c>
      <c r="E125" s="52" t="s">
        <v>129</v>
      </c>
      <c r="F125" s="53">
        <v>0</v>
      </c>
      <c r="G125" s="18">
        <v>6</v>
      </c>
      <c r="H125" s="18">
        <v>233320</v>
      </c>
      <c r="I125" s="52" t="s">
        <v>130</v>
      </c>
      <c r="J125" s="18">
        <v>233491</v>
      </c>
      <c r="K125" s="19" t="s">
        <v>111</v>
      </c>
      <c r="L125" s="19" t="str">
        <f>VLOOKUP(C125,'[3]Trips&amp;Operators'!$C$2:$E$10000,3,FALSE)</f>
        <v>MALAVE</v>
      </c>
      <c r="M125" s="20" t="s">
        <v>112</v>
      </c>
      <c r="N125" s="19"/>
      <c r="O125" s="19" t="str">
        <f t="shared" si="2"/>
        <v>02</v>
      </c>
      <c r="P125" s="64">
        <f t="shared" si="3"/>
        <v>42553</v>
      </c>
    </row>
    <row r="126" spans="1:16" x14ac:dyDescent="0.25">
      <c r="A126" s="26">
        <v>42553.328680555554</v>
      </c>
      <c r="B126" s="4" t="s">
        <v>108</v>
      </c>
      <c r="C126" s="4" t="s">
        <v>761</v>
      </c>
      <c r="D126" s="4" t="s">
        <v>103</v>
      </c>
      <c r="E126" s="51" t="s">
        <v>129</v>
      </c>
      <c r="F126" s="3">
        <v>0</v>
      </c>
      <c r="G126" s="4">
        <v>6</v>
      </c>
      <c r="H126" s="4">
        <v>233324</v>
      </c>
      <c r="I126" s="51" t="s">
        <v>130</v>
      </c>
      <c r="J126" s="4">
        <v>233491</v>
      </c>
      <c r="K126" s="4" t="s">
        <v>111</v>
      </c>
      <c r="L126" s="19" t="str">
        <f>VLOOKUP(C126,'[3]Trips&amp;Operators'!$C$2:$E$10000,3,FALSE)</f>
        <v>STARKS</v>
      </c>
      <c r="M126" s="4" t="s">
        <v>112</v>
      </c>
      <c r="O126" s="19" t="str">
        <f t="shared" si="2"/>
        <v>02</v>
      </c>
      <c r="P126" s="64">
        <f t="shared" si="3"/>
        <v>42553</v>
      </c>
    </row>
    <row r="127" spans="1:16" x14ac:dyDescent="0.25">
      <c r="A127" s="17">
        <v>42553.444513888891</v>
      </c>
      <c r="B127" s="18" t="s">
        <v>133</v>
      </c>
      <c r="C127" s="18" t="s">
        <v>763</v>
      </c>
      <c r="D127" s="18" t="s">
        <v>103</v>
      </c>
      <c r="E127" s="52" t="s">
        <v>129</v>
      </c>
      <c r="F127" s="53">
        <v>0</v>
      </c>
      <c r="G127" s="18">
        <v>6</v>
      </c>
      <c r="H127" s="18">
        <v>233325</v>
      </c>
      <c r="I127" s="52" t="s">
        <v>130</v>
      </c>
      <c r="J127" s="18">
        <v>233491</v>
      </c>
      <c r="K127" s="19" t="s">
        <v>111</v>
      </c>
      <c r="L127" s="19" t="str">
        <f>VLOOKUP(C127,'[3]Trips&amp;Operators'!$C$2:$E$10000,3,FALSE)</f>
        <v>MALAVE</v>
      </c>
      <c r="M127" s="20" t="s">
        <v>112</v>
      </c>
      <c r="N127" s="19"/>
      <c r="O127" s="19" t="str">
        <f t="shared" si="2"/>
        <v>02</v>
      </c>
      <c r="P127" s="64">
        <f t="shared" si="3"/>
        <v>42553</v>
      </c>
    </row>
    <row r="128" spans="1:16" x14ac:dyDescent="0.25">
      <c r="A128" s="26">
        <v>42553.472453703704</v>
      </c>
      <c r="B128" s="4" t="s">
        <v>108</v>
      </c>
      <c r="C128" s="4" t="s">
        <v>787</v>
      </c>
      <c r="D128" s="4" t="s">
        <v>103</v>
      </c>
      <c r="E128" s="51" t="s">
        <v>129</v>
      </c>
      <c r="F128" s="3">
        <v>0</v>
      </c>
      <c r="G128" s="4">
        <v>9</v>
      </c>
      <c r="H128" s="4">
        <v>233318</v>
      </c>
      <c r="I128" s="51" t="s">
        <v>130</v>
      </c>
      <c r="J128" s="4">
        <v>233491</v>
      </c>
      <c r="K128" s="4" t="s">
        <v>111</v>
      </c>
      <c r="L128" s="19" t="str">
        <f>VLOOKUP(C128,'[3]Trips&amp;Operators'!$C$2:$E$10000,3,FALSE)</f>
        <v>BEAM</v>
      </c>
      <c r="M128" s="4" t="s">
        <v>112</v>
      </c>
      <c r="O128" s="19" t="str">
        <f t="shared" si="2"/>
        <v>02</v>
      </c>
      <c r="P128" s="64">
        <f t="shared" si="3"/>
        <v>42553</v>
      </c>
    </row>
    <row r="129" spans="1:16" x14ac:dyDescent="0.25">
      <c r="A129" s="26">
        <v>42553.544062499997</v>
      </c>
      <c r="B129" s="4" t="s">
        <v>135</v>
      </c>
      <c r="C129" s="4" t="s">
        <v>789</v>
      </c>
      <c r="D129" s="4" t="s">
        <v>103</v>
      </c>
      <c r="E129" s="51" t="s">
        <v>129</v>
      </c>
      <c r="F129" s="3">
        <v>0</v>
      </c>
      <c r="G129" s="4">
        <v>5</v>
      </c>
      <c r="H129" s="4">
        <v>233326</v>
      </c>
      <c r="I129" s="51" t="s">
        <v>130</v>
      </c>
      <c r="J129" s="4">
        <v>233491</v>
      </c>
      <c r="K129" s="4" t="s">
        <v>111</v>
      </c>
      <c r="L129" s="19" t="str">
        <f>VLOOKUP(C129,'[3]Trips&amp;Operators'!$C$2:$E$10000,3,FALSE)</f>
        <v>STEWART</v>
      </c>
      <c r="M129" s="20" t="s">
        <v>112</v>
      </c>
      <c r="N129" s="19"/>
      <c r="O129" s="19" t="str">
        <f t="shared" si="2"/>
        <v>02</v>
      </c>
      <c r="P129" s="64">
        <f t="shared" si="3"/>
        <v>42553</v>
      </c>
    </row>
    <row r="130" spans="1:16" x14ac:dyDescent="0.25">
      <c r="A130" s="26">
        <v>42553.55777777778</v>
      </c>
      <c r="B130" s="4" t="s">
        <v>148</v>
      </c>
      <c r="C130" s="4" t="s">
        <v>790</v>
      </c>
      <c r="D130" s="4" t="s">
        <v>103</v>
      </c>
      <c r="E130" s="51" t="s">
        <v>129</v>
      </c>
      <c r="F130" s="3">
        <v>0</v>
      </c>
      <c r="G130" s="4">
        <v>6</v>
      </c>
      <c r="H130" s="4">
        <v>233334</v>
      </c>
      <c r="I130" s="51" t="s">
        <v>130</v>
      </c>
      <c r="J130" s="4">
        <v>233491</v>
      </c>
      <c r="K130" s="4" t="s">
        <v>111</v>
      </c>
      <c r="L130" s="19" t="str">
        <f>VLOOKUP(C130,'[3]Trips&amp;Operators'!$C$2:$E$10000,3,FALSE)</f>
        <v>WEBSTER</v>
      </c>
      <c r="M130" s="4" t="s">
        <v>112</v>
      </c>
      <c r="O130" s="19" t="str">
        <f t="shared" ref="O130:O193" si="4">RIGHT(C130,2)</f>
        <v>02</v>
      </c>
      <c r="P130" s="64">
        <f t="shared" si="3"/>
        <v>42553</v>
      </c>
    </row>
    <row r="131" spans="1:16" x14ac:dyDescent="0.25">
      <c r="A131" s="26">
        <v>42553.630231481482</v>
      </c>
      <c r="B131" s="4" t="s">
        <v>148</v>
      </c>
      <c r="C131" s="4" t="s">
        <v>140</v>
      </c>
      <c r="D131" s="4" t="s">
        <v>103</v>
      </c>
      <c r="E131" s="51" t="s">
        <v>129</v>
      </c>
      <c r="F131" s="3">
        <v>0</v>
      </c>
      <c r="G131" s="4">
        <v>7</v>
      </c>
      <c r="H131" s="4">
        <v>233346</v>
      </c>
      <c r="I131" s="51" t="s">
        <v>130</v>
      </c>
      <c r="J131" s="4">
        <v>233491</v>
      </c>
      <c r="K131" s="4" t="s">
        <v>111</v>
      </c>
      <c r="L131" s="19" t="str">
        <f>VLOOKUP(C131,'[3]Trips&amp;Operators'!$C$2:$E$10000,3,FALSE)</f>
        <v>WEBSTER</v>
      </c>
      <c r="M131" s="20" t="s">
        <v>112</v>
      </c>
      <c r="N131" s="19"/>
      <c r="O131" s="19" t="str">
        <f t="shared" si="4"/>
        <v>02</v>
      </c>
      <c r="P131" s="64">
        <f t="shared" ref="P131:P194" si="5">42522+O131+29</f>
        <v>42553</v>
      </c>
    </row>
    <row r="132" spans="1:16" x14ac:dyDescent="0.25">
      <c r="A132" s="26">
        <v>42553.684432870374</v>
      </c>
      <c r="B132" s="4" t="s">
        <v>135</v>
      </c>
      <c r="C132" s="4" t="s">
        <v>798</v>
      </c>
      <c r="D132" s="4" t="s">
        <v>103</v>
      </c>
      <c r="E132" s="51" t="s">
        <v>129</v>
      </c>
      <c r="F132" s="3">
        <v>0</v>
      </c>
      <c r="G132" s="4">
        <v>71</v>
      </c>
      <c r="H132" s="4">
        <v>233222</v>
      </c>
      <c r="I132" s="51" t="s">
        <v>130</v>
      </c>
      <c r="J132" s="4">
        <v>233491</v>
      </c>
      <c r="K132" s="4" t="s">
        <v>111</v>
      </c>
      <c r="L132" s="19" t="str">
        <f>VLOOKUP(C132,'[3]Trips&amp;Operators'!$C$2:$E$10000,3,FALSE)</f>
        <v>STEWART</v>
      </c>
      <c r="M132" s="4" t="s">
        <v>112</v>
      </c>
      <c r="O132" s="19" t="str">
        <f t="shared" si="4"/>
        <v>02</v>
      </c>
      <c r="P132" s="64">
        <f t="shared" si="5"/>
        <v>42553</v>
      </c>
    </row>
    <row r="133" spans="1:16" x14ac:dyDescent="0.25">
      <c r="A133" s="26">
        <v>42553.983483796299</v>
      </c>
      <c r="B133" s="4" t="s">
        <v>138</v>
      </c>
      <c r="C133" s="4" t="s">
        <v>803</v>
      </c>
      <c r="D133" s="4" t="s">
        <v>103</v>
      </c>
      <c r="E133" s="51" t="s">
        <v>129</v>
      </c>
      <c r="F133" s="3">
        <v>0</v>
      </c>
      <c r="G133" s="4">
        <v>7</v>
      </c>
      <c r="H133" s="4">
        <v>233334</v>
      </c>
      <c r="I133" s="51" t="s">
        <v>130</v>
      </c>
      <c r="J133" s="4">
        <v>233491</v>
      </c>
      <c r="K133" s="4" t="s">
        <v>111</v>
      </c>
      <c r="L133" s="19" t="str">
        <f>VLOOKUP(C133,'[3]Trips&amp;Operators'!$C$2:$E$10000,3,FALSE)</f>
        <v>ADANE</v>
      </c>
      <c r="M133" s="20" t="s">
        <v>112</v>
      </c>
      <c r="N133" s="19"/>
      <c r="O133" s="19" t="str">
        <f t="shared" si="4"/>
        <v>02</v>
      </c>
      <c r="P133" s="64">
        <f t="shared" si="5"/>
        <v>42553</v>
      </c>
    </row>
    <row r="134" spans="1:16" x14ac:dyDescent="0.25">
      <c r="A134" s="26">
        <v>42554.024421296293</v>
      </c>
      <c r="B134" s="4" t="s">
        <v>146</v>
      </c>
      <c r="C134" s="4" t="s">
        <v>804</v>
      </c>
      <c r="D134" s="4" t="s">
        <v>103</v>
      </c>
      <c r="E134" s="51" t="s">
        <v>129</v>
      </c>
      <c r="F134" s="3">
        <v>0</v>
      </c>
      <c r="G134" s="4">
        <v>6</v>
      </c>
      <c r="H134" s="4">
        <v>233288</v>
      </c>
      <c r="I134" s="51" t="s">
        <v>130</v>
      </c>
      <c r="J134" s="4">
        <v>233491</v>
      </c>
      <c r="K134" s="4" t="s">
        <v>111</v>
      </c>
      <c r="L134" s="19" t="str">
        <f>VLOOKUP(C134,'[3]Trips&amp;Operators'!$C$2:$E$10000,3,FALSE)</f>
        <v>BRUDER</v>
      </c>
      <c r="M134" s="4" t="s">
        <v>112</v>
      </c>
      <c r="O134" s="19" t="str">
        <f t="shared" si="4"/>
        <v>02</v>
      </c>
      <c r="P134" s="64">
        <f t="shared" si="5"/>
        <v>42553</v>
      </c>
    </row>
    <row r="135" spans="1:16" x14ac:dyDescent="0.25">
      <c r="A135" s="26">
        <v>42553.766782407409</v>
      </c>
      <c r="B135" s="4" t="s">
        <v>120</v>
      </c>
      <c r="C135" s="4" t="s">
        <v>805</v>
      </c>
      <c r="D135" s="4" t="s">
        <v>103</v>
      </c>
      <c r="E135" s="51" t="s">
        <v>191</v>
      </c>
      <c r="F135" s="3">
        <v>470</v>
      </c>
      <c r="G135" s="4">
        <v>505</v>
      </c>
      <c r="H135" s="4">
        <v>9372</v>
      </c>
      <c r="I135" s="51" t="s">
        <v>172</v>
      </c>
      <c r="J135" s="4">
        <v>10716</v>
      </c>
      <c r="K135" s="4" t="s">
        <v>111</v>
      </c>
      <c r="L135" s="19" t="str">
        <f>VLOOKUP(C135,'[3]Trips&amp;Operators'!$C$2:$E$10000,3,FALSE)</f>
        <v>STORY</v>
      </c>
      <c r="M135" s="4" t="s">
        <v>107</v>
      </c>
      <c r="N135" s="19" t="s">
        <v>52</v>
      </c>
      <c r="O135" s="19" t="str">
        <f t="shared" si="4"/>
        <v>02</v>
      </c>
      <c r="P135" s="64">
        <f t="shared" si="5"/>
        <v>42553</v>
      </c>
    </row>
    <row r="136" spans="1:16" x14ac:dyDescent="0.25">
      <c r="A136" s="17">
        <v>42554.954942129632</v>
      </c>
      <c r="B136" s="18" t="s">
        <v>139</v>
      </c>
      <c r="C136" s="18" t="s">
        <v>625</v>
      </c>
      <c r="D136" s="18" t="s">
        <v>103</v>
      </c>
      <c r="E136" s="52" t="s">
        <v>104</v>
      </c>
      <c r="F136" s="53">
        <v>790</v>
      </c>
      <c r="G136" s="18">
        <v>43</v>
      </c>
      <c r="H136" s="18">
        <v>36744</v>
      </c>
      <c r="I136" s="52" t="s">
        <v>105</v>
      </c>
      <c r="J136" s="18">
        <v>68497</v>
      </c>
      <c r="K136" s="19" t="s">
        <v>106</v>
      </c>
      <c r="L136" s="19" t="str">
        <f>VLOOKUP(C136,'[4]Trips&amp;Operators'!$C$2:$E$10000,3,FALSE)</f>
        <v>BRUDER</v>
      </c>
      <c r="M136" s="4" t="s">
        <v>107</v>
      </c>
      <c r="N136" s="19" t="s">
        <v>47</v>
      </c>
      <c r="O136" s="19" t="str">
        <f t="shared" si="4"/>
        <v>03</v>
      </c>
      <c r="P136" s="64">
        <f t="shared" si="5"/>
        <v>42554</v>
      </c>
    </row>
    <row r="137" spans="1:16" x14ac:dyDescent="0.25">
      <c r="A137" s="26">
        <v>42554.549560185187</v>
      </c>
      <c r="B137" s="4" t="s">
        <v>148</v>
      </c>
      <c r="C137" s="4" t="s">
        <v>622</v>
      </c>
      <c r="D137" s="4" t="s">
        <v>103</v>
      </c>
      <c r="E137" s="51" t="s">
        <v>104</v>
      </c>
      <c r="F137" s="3">
        <v>790</v>
      </c>
      <c r="G137" s="4">
        <v>515</v>
      </c>
      <c r="H137" s="4">
        <v>106904</v>
      </c>
      <c r="I137" s="51" t="s">
        <v>105</v>
      </c>
      <c r="J137" s="4">
        <v>69267</v>
      </c>
      <c r="K137" s="4" t="s">
        <v>111</v>
      </c>
      <c r="L137" s="19" t="str">
        <f>VLOOKUP(C137,'[4]Trips&amp;Operators'!$C$2:$E$10000,3,FALSE)</f>
        <v>BONDS</v>
      </c>
      <c r="M137" s="20" t="s">
        <v>107</v>
      </c>
      <c r="N137" s="19" t="s">
        <v>47</v>
      </c>
      <c r="O137" s="19" t="str">
        <f t="shared" si="4"/>
        <v>03</v>
      </c>
      <c r="P137" s="64">
        <f t="shared" si="5"/>
        <v>42554</v>
      </c>
    </row>
    <row r="138" spans="1:16" x14ac:dyDescent="0.25">
      <c r="A138" s="17">
        <v>42554.456134259257</v>
      </c>
      <c r="B138" s="18" t="s">
        <v>143</v>
      </c>
      <c r="C138" s="18" t="s">
        <v>806</v>
      </c>
      <c r="D138" s="18" t="s">
        <v>103</v>
      </c>
      <c r="E138" s="52" t="s">
        <v>104</v>
      </c>
      <c r="F138" s="53">
        <v>790</v>
      </c>
      <c r="G138" s="18">
        <v>446</v>
      </c>
      <c r="H138" s="18">
        <v>109354</v>
      </c>
      <c r="I138" s="52" t="s">
        <v>105</v>
      </c>
      <c r="J138" s="18">
        <v>156300</v>
      </c>
      <c r="K138" s="19" t="s">
        <v>106</v>
      </c>
      <c r="L138" s="19" t="str">
        <f>VLOOKUP(C138,'[4]Trips&amp;Operators'!$C$2:$E$10000,3,FALSE)</f>
        <v>MALAVE</v>
      </c>
      <c r="M138" s="20" t="s">
        <v>107</v>
      </c>
      <c r="N138" s="19" t="s">
        <v>47</v>
      </c>
      <c r="O138" s="19" t="str">
        <f t="shared" si="4"/>
        <v>03</v>
      </c>
      <c r="P138" s="64">
        <f t="shared" si="5"/>
        <v>42554</v>
      </c>
    </row>
    <row r="139" spans="1:16" x14ac:dyDescent="0.25">
      <c r="A139" s="26">
        <v>42554.343124999999</v>
      </c>
      <c r="B139" s="4" t="s">
        <v>148</v>
      </c>
      <c r="C139" s="4" t="s">
        <v>807</v>
      </c>
      <c r="D139" s="4" t="s">
        <v>103</v>
      </c>
      <c r="E139" s="51" t="s">
        <v>109</v>
      </c>
      <c r="F139" s="3">
        <v>0</v>
      </c>
      <c r="G139" s="4">
        <v>88</v>
      </c>
      <c r="H139" s="4">
        <v>41975</v>
      </c>
      <c r="I139" s="51" t="s">
        <v>110</v>
      </c>
      <c r="J139" s="4">
        <v>42779</v>
      </c>
      <c r="K139" s="4" t="s">
        <v>111</v>
      </c>
      <c r="L139" s="19" t="str">
        <f>VLOOKUP(C139,'[4]Trips&amp;Operators'!$C$2:$E$10000,3,FALSE)</f>
        <v>STRICKLAND</v>
      </c>
      <c r="M139" s="20" t="s">
        <v>112</v>
      </c>
      <c r="N139" s="19" t="s">
        <v>186</v>
      </c>
      <c r="O139" s="19" t="str">
        <f t="shared" si="4"/>
        <v>03</v>
      </c>
      <c r="P139" s="64">
        <f t="shared" si="5"/>
        <v>42554</v>
      </c>
    </row>
    <row r="140" spans="1:16" x14ac:dyDescent="0.25">
      <c r="A140" s="26">
        <v>42554.310578703706</v>
      </c>
      <c r="B140" s="4" t="s">
        <v>133</v>
      </c>
      <c r="C140" s="4" t="s">
        <v>70</v>
      </c>
      <c r="D140" s="4" t="s">
        <v>103</v>
      </c>
      <c r="E140" s="51" t="s">
        <v>109</v>
      </c>
      <c r="F140" s="3">
        <v>390</v>
      </c>
      <c r="G140" s="4">
        <v>519</v>
      </c>
      <c r="H140" s="4">
        <v>58294</v>
      </c>
      <c r="I140" s="51" t="s">
        <v>110</v>
      </c>
      <c r="J140" s="4">
        <v>58783</v>
      </c>
      <c r="K140" s="4" t="s">
        <v>111</v>
      </c>
      <c r="L140" s="19" t="str">
        <f>VLOOKUP(C140,'[4]Trips&amp;Operators'!$C$2:$E$10000,3,FALSE)</f>
        <v>MAYBERRY</v>
      </c>
      <c r="M140" s="20" t="s">
        <v>112</v>
      </c>
      <c r="N140" s="4" t="s">
        <v>543</v>
      </c>
      <c r="O140" s="19" t="str">
        <f t="shared" si="4"/>
        <v>03</v>
      </c>
      <c r="P140" s="64">
        <f t="shared" si="5"/>
        <v>42554</v>
      </c>
    </row>
    <row r="141" spans="1:16" x14ac:dyDescent="0.25">
      <c r="A141" s="17">
        <v>42554.426458333335</v>
      </c>
      <c r="B141" s="18" t="s">
        <v>135</v>
      </c>
      <c r="C141" s="18" t="s">
        <v>71</v>
      </c>
      <c r="D141" s="18" t="s">
        <v>103</v>
      </c>
      <c r="E141" s="52" t="s">
        <v>109</v>
      </c>
      <c r="F141" s="53">
        <v>0</v>
      </c>
      <c r="G141" s="18">
        <v>233</v>
      </c>
      <c r="H141" s="18">
        <v>61941</v>
      </c>
      <c r="I141" s="52" t="s">
        <v>110</v>
      </c>
      <c r="J141" s="18">
        <v>63068</v>
      </c>
      <c r="K141" s="19" t="s">
        <v>111</v>
      </c>
      <c r="L141" s="19" t="str">
        <f>VLOOKUP(C141,'[4]Trips&amp;Operators'!$C$2:$E$10000,3,FALSE)</f>
        <v>MALAVE</v>
      </c>
      <c r="M141" s="20" t="s">
        <v>112</v>
      </c>
      <c r="N141" s="19" t="s">
        <v>186</v>
      </c>
      <c r="O141" s="19" t="str">
        <f t="shared" si="4"/>
        <v>03</v>
      </c>
      <c r="P141" s="64">
        <f t="shared" si="5"/>
        <v>42554</v>
      </c>
    </row>
    <row r="142" spans="1:16" x14ac:dyDescent="0.25">
      <c r="A142" s="17">
        <v>42554.828773148147</v>
      </c>
      <c r="B142" s="18" t="s">
        <v>147</v>
      </c>
      <c r="C142" s="18" t="s">
        <v>811</v>
      </c>
      <c r="D142" s="18" t="s">
        <v>103</v>
      </c>
      <c r="E142" s="52" t="s">
        <v>109</v>
      </c>
      <c r="F142" s="53">
        <v>0</v>
      </c>
      <c r="G142" s="18">
        <v>33</v>
      </c>
      <c r="H142" s="18">
        <v>63371</v>
      </c>
      <c r="I142" s="52" t="s">
        <v>110</v>
      </c>
      <c r="J142" s="18">
        <v>63309</v>
      </c>
      <c r="K142" s="19" t="s">
        <v>106</v>
      </c>
      <c r="L142" s="19" t="str">
        <f>VLOOKUP(C142,'[4]Trips&amp;Operators'!$C$2:$E$10000,3,FALSE)</f>
        <v>BARTLETT</v>
      </c>
      <c r="M142" s="20" t="s">
        <v>112</v>
      </c>
      <c r="N142" s="19" t="s">
        <v>186</v>
      </c>
      <c r="O142" s="19" t="str">
        <f t="shared" si="4"/>
        <v>03</v>
      </c>
      <c r="P142" s="64">
        <f t="shared" si="5"/>
        <v>42554</v>
      </c>
    </row>
    <row r="143" spans="1:16" x14ac:dyDescent="0.25">
      <c r="A143" s="26">
        <v>42554.847430555557</v>
      </c>
      <c r="B143" s="4" t="s">
        <v>118</v>
      </c>
      <c r="C143" s="4" t="s">
        <v>812</v>
      </c>
      <c r="D143" s="4" t="s">
        <v>103</v>
      </c>
      <c r="E143" s="51" t="s">
        <v>109</v>
      </c>
      <c r="F143" s="3">
        <v>480</v>
      </c>
      <c r="G143" s="4">
        <v>691</v>
      </c>
      <c r="H143" s="4">
        <v>78746</v>
      </c>
      <c r="I143" s="51" t="s">
        <v>110</v>
      </c>
      <c r="J143" s="4">
        <v>78469</v>
      </c>
      <c r="K143" s="4" t="s">
        <v>106</v>
      </c>
      <c r="L143" s="19" t="str">
        <f>VLOOKUP(C143,'[4]Trips&amp;Operators'!$C$2:$E$10000,3,FALSE)</f>
        <v>COOLAHAN</v>
      </c>
      <c r="M143" s="4" t="s">
        <v>112</v>
      </c>
      <c r="N143" s="4" t="s">
        <v>543</v>
      </c>
      <c r="O143" s="19" t="str">
        <f t="shared" si="4"/>
        <v>03</v>
      </c>
      <c r="P143" s="64">
        <f t="shared" si="5"/>
        <v>42554</v>
      </c>
    </row>
    <row r="144" spans="1:16" x14ac:dyDescent="0.25">
      <c r="A144" s="26">
        <v>42554.465717592589</v>
      </c>
      <c r="B144" s="4" t="s">
        <v>133</v>
      </c>
      <c r="C144" s="4" t="s">
        <v>809</v>
      </c>
      <c r="D144" s="4" t="s">
        <v>103</v>
      </c>
      <c r="E144" s="51" t="s">
        <v>109</v>
      </c>
      <c r="F144" s="3">
        <v>0</v>
      </c>
      <c r="G144" s="4">
        <v>55</v>
      </c>
      <c r="H144" s="4">
        <v>103375</v>
      </c>
      <c r="I144" s="51" t="s">
        <v>110</v>
      </c>
      <c r="J144" s="4">
        <v>103738</v>
      </c>
      <c r="K144" s="4" t="s">
        <v>111</v>
      </c>
      <c r="L144" s="19" t="str">
        <f>VLOOKUP(C144,'[4]Trips&amp;Operators'!$C$2:$E$10000,3,FALSE)</f>
        <v>MADLOM</v>
      </c>
      <c r="M144" s="20" t="s">
        <v>112</v>
      </c>
      <c r="N144" s="19" t="s">
        <v>186</v>
      </c>
      <c r="O144" s="19" t="str">
        <f t="shared" si="4"/>
        <v>03</v>
      </c>
      <c r="P144" s="64">
        <f t="shared" si="5"/>
        <v>42554</v>
      </c>
    </row>
    <row r="145" spans="1:16" x14ac:dyDescent="0.25">
      <c r="A145" s="26">
        <v>42554.483229166668</v>
      </c>
      <c r="B145" s="4" t="s">
        <v>118</v>
      </c>
      <c r="C145" s="4" t="s">
        <v>808</v>
      </c>
      <c r="D145" s="4" t="s">
        <v>103</v>
      </c>
      <c r="E145" s="51" t="s">
        <v>109</v>
      </c>
      <c r="F145" s="3">
        <v>0</v>
      </c>
      <c r="G145" s="4">
        <v>224</v>
      </c>
      <c r="H145" s="4">
        <v>104653</v>
      </c>
      <c r="I145" s="51" t="s">
        <v>110</v>
      </c>
      <c r="J145" s="4">
        <v>103800</v>
      </c>
      <c r="K145" s="4" t="s">
        <v>106</v>
      </c>
      <c r="L145" s="19" t="str">
        <f>VLOOKUP(C145,'[4]Trips&amp;Operators'!$C$2:$E$10000,3,FALSE)</f>
        <v>NEWELL</v>
      </c>
      <c r="M145" s="20" t="s">
        <v>112</v>
      </c>
      <c r="N145" s="19" t="s">
        <v>186</v>
      </c>
      <c r="O145" s="19" t="str">
        <f t="shared" si="4"/>
        <v>03</v>
      </c>
      <c r="P145" s="64">
        <f t="shared" si="5"/>
        <v>42554</v>
      </c>
    </row>
    <row r="146" spans="1:16" x14ac:dyDescent="0.25">
      <c r="A146" s="26">
        <v>42554.502696759257</v>
      </c>
      <c r="B146" s="4" t="s">
        <v>119</v>
      </c>
      <c r="C146" s="4" t="s">
        <v>810</v>
      </c>
      <c r="D146" s="4" t="s">
        <v>103</v>
      </c>
      <c r="E146" s="51" t="s">
        <v>109</v>
      </c>
      <c r="F146" s="3">
        <v>0</v>
      </c>
      <c r="G146" s="4">
        <v>215</v>
      </c>
      <c r="H146" s="4">
        <v>104655</v>
      </c>
      <c r="I146" s="51" t="s">
        <v>110</v>
      </c>
      <c r="J146" s="4">
        <v>103800</v>
      </c>
      <c r="K146" s="4" t="s">
        <v>106</v>
      </c>
      <c r="L146" s="19" t="str">
        <f>VLOOKUP(C146,'[4]Trips&amp;Operators'!$C$2:$E$10000,3,FALSE)</f>
        <v>MADLOM</v>
      </c>
      <c r="M146" s="20" t="s">
        <v>112</v>
      </c>
      <c r="N146" s="19" t="s">
        <v>186</v>
      </c>
      <c r="O146" s="19" t="str">
        <f t="shared" si="4"/>
        <v>03</v>
      </c>
      <c r="P146" s="64">
        <f t="shared" si="5"/>
        <v>42554</v>
      </c>
    </row>
    <row r="147" spans="1:16" x14ac:dyDescent="0.25">
      <c r="A147" s="17">
        <v>42554.336087962962</v>
      </c>
      <c r="B147" s="18" t="s">
        <v>148</v>
      </c>
      <c r="C147" s="18" t="s">
        <v>807</v>
      </c>
      <c r="D147" s="18" t="s">
        <v>116</v>
      </c>
      <c r="E147" s="52" t="s">
        <v>115</v>
      </c>
      <c r="F147" s="53">
        <v>450</v>
      </c>
      <c r="G147" s="18">
        <v>504</v>
      </c>
      <c r="H147" s="18">
        <v>11398</v>
      </c>
      <c r="I147" s="52" t="s">
        <v>105</v>
      </c>
      <c r="J147" s="18">
        <v>11201</v>
      </c>
      <c r="K147" s="19" t="s">
        <v>111</v>
      </c>
      <c r="L147" s="19" t="str">
        <f>VLOOKUP(C147,'[4]Trips&amp;Operators'!$C$2:$E$10000,3,FALSE)</f>
        <v>STRICKLAND</v>
      </c>
      <c r="M147" s="20" t="s">
        <v>112</v>
      </c>
      <c r="N147" s="19"/>
      <c r="O147" s="19" t="str">
        <f t="shared" si="4"/>
        <v>03</v>
      </c>
      <c r="P147" s="64">
        <f t="shared" si="5"/>
        <v>42554</v>
      </c>
    </row>
    <row r="148" spans="1:16" x14ac:dyDescent="0.25">
      <c r="A148" s="17">
        <v>42554.396018518521</v>
      </c>
      <c r="B148" s="18" t="s">
        <v>147</v>
      </c>
      <c r="C148" s="18" t="s">
        <v>150</v>
      </c>
      <c r="D148" s="18" t="s">
        <v>103</v>
      </c>
      <c r="E148" s="52" t="s">
        <v>115</v>
      </c>
      <c r="F148" s="53">
        <v>450</v>
      </c>
      <c r="G148" s="18">
        <v>467</v>
      </c>
      <c r="H148" s="18">
        <v>17450</v>
      </c>
      <c r="I148" s="52" t="s">
        <v>105</v>
      </c>
      <c r="J148" s="18">
        <v>15167</v>
      </c>
      <c r="K148" s="19" t="s">
        <v>106</v>
      </c>
      <c r="L148" s="19" t="str">
        <f>VLOOKUP(C148,'[4]Trips&amp;Operators'!$C$2:$E$10000,3,FALSE)</f>
        <v>STRICKLAND</v>
      </c>
      <c r="M148" s="20" t="s">
        <v>112</v>
      </c>
      <c r="N148" s="19"/>
      <c r="O148" s="19" t="str">
        <f t="shared" si="4"/>
        <v>03</v>
      </c>
      <c r="P148" s="64">
        <f t="shared" si="5"/>
        <v>42554</v>
      </c>
    </row>
    <row r="149" spans="1:16" x14ac:dyDescent="0.25">
      <c r="A149" s="26">
        <v>42554.337002314816</v>
      </c>
      <c r="B149" s="4" t="s">
        <v>148</v>
      </c>
      <c r="C149" s="4" t="s">
        <v>807</v>
      </c>
      <c r="D149" s="4" t="s">
        <v>103</v>
      </c>
      <c r="E149" s="51" t="s">
        <v>115</v>
      </c>
      <c r="F149" s="3">
        <v>400</v>
      </c>
      <c r="G149" s="4">
        <v>444</v>
      </c>
      <c r="H149" s="4">
        <v>17180</v>
      </c>
      <c r="I149" s="51" t="s">
        <v>105</v>
      </c>
      <c r="J149" s="4">
        <v>17867</v>
      </c>
      <c r="K149" s="4" t="s">
        <v>111</v>
      </c>
      <c r="L149" s="19" t="str">
        <f>VLOOKUP(C149,'[4]Trips&amp;Operators'!$C$2:$E$10000,3,FALSE)</f>
        <v>STRICKLAND</v>
      </c>
      <c r="M149" s="4" t="s">
        <v>112</v>
      </c>
      <c r="O149" s="19" t="str">
        <f t="shared" si="4"/>
        <v>03</v>
      </c>
      <c r="P149" s="64">
        <f t="shared" si="5"/>
        <v>42554</v>
      </c>
    </row>
    <row r="150" spans="1:16" x14ac:dyDescent="0.25">
      <c r="A150" s="26">
        <v>42554.452291666668</v>
      </c>
      <c r="B150" s="4" t="s">
        <v>133</v>
      </c>
      <c r="C150" s="4" t="s">
        <v>809</v>
      </c>
      <c r="D150" s="4" t="s">
        <v>103</v>
      </c>
      <c r="E150" s="51" t="s">
        <v>115</v>
      </c>
      <c r="F150" s="3">
        <v>300</v>
      </c>
      <c r="G150" s="4">
        <v>291</v>
      </c>
      <c r="H150" s="4">
        <v>20123</v>
      </c>
      <c r="I150" s="51" t="s">
        <v>105</v>
      </c>
      <c r="J150" s="4">
        <v>20338</v>
      </c>
      <c r="K150" s="4" t="s">
        <v>111</v>
      </c>
      <c r="L150" s="19" t="str">
        <f>VLOOKUP(C150,'[4]Trips&amp;Operators'!$C$2:$E$10000,3,FALSE)</f>
        <v>MADLOM</v>
      </c>
      <c r="M150" s="20" t="s">
        <v>112</v>
      </c>
      <c r="N150" s="19"/>
      <c r="O150" s="19" t="str">
        <f t="shared" si="4"/>
        <v>03</v>
      </c>
      <c r="P150" s="64">
        <f t="shared" si="5"/>
        <v>42554</v>
      </c>
    </row>
    <row r="151" spans="1:16" x14ac:dyDescent="0.25">
      <c r="A151" s="26">
        <v>42554.435868055552</v>
      </c>
      <c r="B151" s="4" t="s">
        <v>119</v>
      </c>
      <c r="C151" s="4" t="s">
        <v>813</v>
      </c>
      <c r="D151" s="4" t="s">
        <v>103</v>
      </c>
      <c r="E151" s="51" t="s">
        <v>115</v>
      </c>
      <c r="F151" s="3">
        <v>300</v>
      </c>
      <c r="G151" s="4">
        <v>442</v>
      </c>
      <c r="H151" s="4">
        <v>23636</v>
      </c>
      <c r="I151" s="51" t="s">
        <v>105</v>
      </c>
      <c r="J151" s="4">
        <v>21848</v>
      </c>
      <c r="K151" s="4" t="s">
        <v>106</v>
      </c>
      <c r="L151" s="19" t="str">
        <f>VLOOKUP(C151,'[4]Trips&amp;Operators'!$C$2:$E$10000,3,FALSE)</f>
        <v>MAYBERRY</v>
      </c>
      <c r="M151" s="4" t="s">
        <v>112</v>
      </c>
      <c r="N151" s="19"/>
      <c r="O151" s="19" t="str">
        <f t="shared" si="4"/>
        <v>03</v>
      </c>
      <c r="P151" s="64">
        <f t="shared" si="5"/>
        <v>42554</v>
      </c>
    </row>
    <row r="152" spans="1:16" x14ac:dyDescent="0.25">
      <c r="A152" s="26">
        <v>42554.450833333336</v>
      </c>
      <c r="B152" s="4" t="s">
        <v>131</v>
      </c>
      <c r="C152" s="4" t="s">
        <v>817</v>
      </c>
      <c r="D152" s="4" t="s">
        <v>103</v>
      </c>
      <c r="E152" s="51" t="s">
        <v>115</v>
      </c>
      <c r="F152" s="3">
        <v>300</v>
      </c>
      <c r="G152" s="4">
        <v>290</v>
      </c>
      <c r="H152" s="4">
        <v>24523</v>
      </c>
      <c r="I152" s="51" t="s">
        <v>105</v>
      </c>
      <c r="J152" s="4">
        <v>23491</v>
      </c>
      <c r="K152" s="4" t="s">
        <v>106</v>
      </c>
      <c r="L152" s="19" t="str">
        <f>VLOOKUP(C152,'[4]Trips&amp;Operators'!$C$2:$E$10000,3,FALSE)</f>
        <v>HELVIE</v>
      </c>
      <c r="M152" s="20" t="s">
        <v>112</v>
      </c>
      <c r="N152" s="19"/>
      <c r="O152" s="19" t="str">
        <f t="shared" si="4"/>
        <v>03</v>
      </c>
      <c r="P152" s="64">
        <f t="shared" si="5"/>
        <v>42554</v>
      </c>
    </row>
    <row r="153" spans="1:16" x14ac:dyDescent="0.25">
      <c r="A153" s="26">
        <v>42554.519016203703</v>
      </c>
      <c r="B153" s="4" t="s">
        <v>102</v>
      </c>
      <c r="C153" s="4" t="s">
        <v>814</v>
      </c>
      <c r="D153" s="4" t="s">
        <v>103</v>
      </c>
      <c r="E153" s="51" t="s">
        <v>115</v>
      </c>
      <c r="F153" s="3">
        <v>200</v>
      </c>
      <c r="G153" s="4">
        <v>256</v>
      </c>
      <c r="H153" s="4">
        <v>31031</v>
      </c>
      <c r="I153" s="51" t="s">
        <v>105</v>
      </c>
      <c r="J153" s="4">
        <v>30562</v>
      </c>
      <c r="K153" s="4" t="s">
        <v>106</v>
      </c>
      <c r="L153" s="19" t="str">
        <f>VLOOKUP(C153,'[4]Trips&amp;Operators'!$C$2:$E$10000,3,FALSE)</f>
        <v>MAYBERRY</v>
      </c>
      <c r="M153" s="4" t="s">
        <v>112</v>
      </c>
      <c r="O153" s="19" t="str">
        <f t="shared" si="4"/>
        <v>03</v>
      </c>
      <c r="P153" s="64">
        <f t="shared" si="5"/>
        <v>42554</v>
      </c>
    </row>
    <row r="154" spans="1:16" x14ac:dyDescent="0.25">
      <c r="A154" s="17">
        <v>42554.435381944444</v>
      </c>
      <c r="B154" s="18" t="s">
        <v>120</v>
      </c>
      <c r="C154" s="18" t="s">
        <v>816</v>
      </c>
      <c r="D154" s="18" t="s">
        <v>103</v>
      </c>
      <c r="E154" s="52" t="s">
        <v>115</v>
      </c>
      <c r="F154" s="53">
        <v>600</v>
      </c>
      <c r="G154" s="18">
        <v>653</v>
      </c>
      <c r="H154" s="18">
        <v>29120</v>
      </c>
      <c r="I154" s="52" t="s">
        <v>105</v>
      </c>
      <c r="J154" s="18">
        <v>30784</v>
      </c>
      <c r="K154" s="19" t="s">
        <v>111</v>
      </c>
      <c r="L154" s="19" t="str">
        <f>VLOOKUP(C154,'[4]Trips&amp;Operators'!$C$2:$E$10000,3,FALSE)</f>
        <v>HELVIE</v>
      </c>
      <c r="M154" s="20" t="s">
        <v>112</v>
      </c>
      <c r="N154" s="19"/>
      <c r="O154" s="19" t="str">
        <f t="shared" si="4"/>
        <v>03</v>
      </c>
      <c r="P154" s="64">
        <f t="shared" si="5"/>
        <v>42554</v>
      </c>
    </row>
    <row r="155" spans="1:16" x14ac:dyDescent="0.25">
      <c r="A155" s="17">
        <v>42554.781493055554</v>
      </c>
      <c r="B155" s="18" t="s">
        <v>131</v>
      </c>
      <c r="C155" s="18" t="s">
        <v>818</v>
      </c>
      <c r="D155" s="18" t="s">
        <v>103</v>
      </c>
      <c r="E155" s="52" t="s">
        <v>115</v>
      </c>
      <c r="F155" s="53">
        <v>300</v>
      </c>
      <c r="G155" s="18">
        <v>57</v>
      </c>
      <c r="H155" s="18">
        <v>56549</v>
      </c>
      <c r="I155" s="52" t="s">
        <v>105</v>
      </c>
      <c r="J155" s="18">
        <v>41797</v>
      </c>
      <c r="K155" s="19" t="s">
        <v>106</v>
      </c>
      <c r="L155" s="19" t="str">
        <f>VLOOKUP(C155,'[4]Trips&amp;Operators'!$C$2:$E$10000,3,FALSE)</f>
        <v>DE LA ROSA</v>
      </c>
      <c r="M155" s="4" t="s">
        <v>112</v>
      </c>
      <c r="N155" s="19"/>
      <c r="O155" s="19" t="str">
        <f t="shared" si="4"/>
        <v>03</v>
      </c>
      <c r="P155" s="64">
        <f t="shared" si="5"/>
        <v>42554</v>
      </c>
    </row>
    <row r="156" spans="1:16" x14ac:dyDescent="0.25">
      <c r="A156" s="26">
        <v>42554.354756944442</v>
      </c>
      <c r="B156" s="4" t="s">
        <v>120</v>
      </c>
      <c r="C156" s="4" t="s">
        <v>815</v>
      </c>
      <c r="D156" s="4" t="s">
        <v>103</v>
      </c>
      <c r="E156" s="51" t="s">
        <v>115</v>
      </c>
      <c r="F156" s="3">
        <v>150</v>
      </c>
      <c r="G156" s="4">
        <v>401</v>
      </c>
      <c r="H156" s="4">
        <v>55613</v>
      </c>
      <c r="I156" s="51" t="s">
        <v>105</v>
      </c>
      <c r="J156" s="4">
        <v>57008</v>
      </c>
      <c r="K156" s="4" t="s">
        <v>111</v>
      </c>
      <c r="L156" s="19" t="str">
        <f>VLOOKUP(C156,'[4]Trips&amp;Operators'!$C$2:$E$10000,3,FALSE)</f>
        <v>HELVIE</v>
      </c>
      <c r="M156" s="4" t="s">
        <v>112</v>
      </c>
      <c r="O156" s="19" t="str">
        <f t="shared" si="4"/>
        <v>03</v>
      </c>
      <c r="P156" s="64">
        <f t="shared" si="5"/>
        <v>42554</v>
      </c>
    </row>
    <row r="157" spans="1:16" x14ac:dyDescent="0.25">
      <c r="A157" s="26">
        <v>42554.938993055555</v>
      </c>
      <c r="B157" s="4" t="s">
        <v>120</v>
      </c>
      <c r="C157" s="4" t="s">
        <v>819</v>
      </c>
      <c r="D157" s="4" t="s">
        <v>103</v>
      </c>
      <c r="E157" s="51" t="s">
        <v>115</v>
      </c>
      <c r="F157" s="3">
        <v>150</v>
      </c>
      <c r="G157" s="4">
        <v>153</v>
      </c>
      <c r="H157" s="4">
        <v>56551</v>
      </c>
      <c r="I157" s="51" t="s">
        <v>105</v>
      </c>
      <c r="J157" s="4">
        <v>57008</v>
      </c>
      <c r="K157" s="4" t="s">
        <v>111</v>
      </c>
      <c r="L157" s="19" t="str">
        <f>VLOOKUP(C157,'[4]Trips&amp;Operators'!$C$2:$E$10000,3,FALSE)</f>
        <v>DE LA ROSA</v>
      </c>
      <c r="M157" s="4" t="s">
        <v>112</v>
      </c>
      <c r="N157" s="19"/>
      <c r="O157" s="19" t="str">
        <f t="shared" si="4"/>
        <v>03</v>
      </c>
      <c r="P157" s="64">
        <f t="shared" si="5"/>
        <v>42554</v>
      </c>
    </row>
    <row r="158" spans="1:16" x14ac:dyDescent="0.25">
      <c r="A158" s="26">
        <v>42554.78020833333</v>
      </c>
      <c r="B158" s="4" t="s">
        <v>131</v>
      </c>
      <c r="C158" s="4" t="s">
        <v>818</v>
      </c>
      <c r="D158" s="4" t="s">
        <v>116</v>
      </c>
      <c r="E158" s="51" t="s">
        <v>115</v>
      </c>
      <c r="F158" s="3">
        <v>150</v>
      </c>
      <c r="G158" s="4">
        <v>211</v>
      </c>
      <c r="H158" s="4">
        <v>56950</v>
      </c>
      <c r="I158" s="51" t="s">
        <v>105</v>
      </c>
      <c r="J158" s="4">
        <v>59060</v>
      </c>
      <c r="K158" s="4" t="s">
        <v>106</v>
      </c>
      <c r="L158" s="19" t="str">
        <f>VLOOKUP(C158,'[4]Trips&amp;Operators'!$C$2:$E$10000,3,FALSE)</f>
        <v>DE LA ROSA</v>
      </c>
      <c r="M158" s="4" t="s">
        <v>112</v>
      </c>
      <c r="N158" s="19"/>
      <c r="O158" s="19" t="str">
        <f t="shared" si="4"/>
        <v>03</v>
      </c>
      <c r="P158" s="64">
        <f t="shared" si="5"/>
        <v>42554</v>
      </c>
    </row>
    <row r="159" spans="1:16" x14ac:dyDescent="0.25">
      <c r="A159" s="26">
        <v>42554.450266203705</v>
      </c>
      <c r="B159" s="4" t="s">
        <v>147</v>
      </c>
      <c r="C159" s="4" t="s">
        <v>267</v>
      </c>
      <c r="D159" s="4" t="s">
        <v>103</v>
      </c>
      <c r="E159" s="51" t="s">
        <v>115</v>
      </c>
      <c r="F159" s="3">
        <v>450</v>
      </c>
      <c r="G159" s="4">
        <v>457</v>
      </c>
      <c r="H159" s="4">
        <v>191114</v>
      </c>
      <c r="I159" s="51" t="s">
        <v>105</v>
      </c>
      <c r="J159" s="4">
        <v>191108</v>
      </c>
      <c r="K159" s="4" t="s">
        <v>106</v>
      </c>
      <c r="L159" s="19" t="str">
        <f>VLOOKUP(C159,'[4]Trips&amp;Operators'!$C$2:$E$10000,3,FALSE)</f>
        <v>STRICKLAND</v>
      </c>
      <c r="M159" s="20" t="s">
        <v>112</v>
      </c>
      <c r="O159" s="19" t="str">
        <f t="shared" si="4"/>
        <v>03</v>
      </c>
      <c r="P159" s="64">
        <f t="shared" si="5"/>
        <v>42554</v>
      </c>
    </row>
    <row r="160" spans="1:16" x14ac:dyDescent="0.25">
      <c r="A160" s="26">
        <v>42554.724791666667</v>
      </c>
      <c r="B160" s="4" t="s">
        <v>120</v>
      </c>
      <c r="C160" s="4" t="s">
        <v>825</v>
      </c>
      <c r="D160" s="4" t="s">
        <v>103</v>
      </c>
      <c r="E160" s="51" t="s">
        <v>122</v>
      </c>
      <c r="F160" s="3">
        <v>0</v>
      </c>
      <c r="G160" s="4">
        <v>323</v>
      </c>
      <c r="H160" s="4">
        <v>7173</v>
      </c>
      <c r="I160" s="51" t="s">
        <v>123</v>
      </c>
      <c r="J160" s="4">
        <v>9499</v>
      </c>
      <c r="K160" s="4" t="s">
        <v>111</v>
      </c>
      <c r="L160" s="19" t="str">
        <f>VLOOKUP(C160,'[4]Trips&amp;Operators'!$C$2:$E$10000,3,FALSE)</f>
        <v>DE LA ROSA</v>
      </c>
      <c r="M160" s="4" t="s">
        <v>107</v>
      </c>
      <c r="N160" s="19" t="s">
        <v>52</v>
      </c>
      <c r="O160" s="19" t="str">
        <f t="shared" si="4"/>
        <v>03</v>
      </c>
      <c r="P160" s="64">
        <f t="shared" si="5"/>
        <v>42554</v>
      </c>
    </row>
    <row r="161" spans="1:16" x14ac:dyDescent="0.25">
      <c r="A161" s="26">
        <v>42554.774791666663</v>
      </c>
      <c r="B161" s="4" t="s">
        <v>148</v>
      </c>
      <c r="C161" s="4" t="s">
        <v>828</v>
      </c>
      <c r="D161" s="4" t="s">
        <v>103</v>
      </c>
      <c r="E161" s="51" t="s">
        <v>122</v>
      </c>
      <c r="F161" s="3">
        <v>0</v>
      </c>
      <c r="G161" s="4">
        <v>223</v>
      </c>
      <c r="H161" s="4">
        <v>19608</v>
      </c>
      <c r="I161" s="51" t="s">
        <v>123</v>
      </c>
      <c r="J161" s="4">
        <v>20617</v>
      </c>
      <c r="K161" s="4" t="s">
        <v>111</v>
      </c>
      <c r="L161" s="19" t="str">
        <f>VLOOKUP(C161,'[4]Trips&amp;Operators'!$C$2:$E$10000,3,FALSE)</f>
        <v>BARTLETT</v>
      </c>
      <c r="M161" s="4" t="s">
        <v>107</v>
      </c>
      <c r="N161" s="4" t="s">
        <v>52</v>
      </c>
      <c r="O161" s="19" t="str">
        <f t="shared" si="4"/>
        <v>03</v>
      </c>
      <c r="P161" s="64">
        <f t="shared" si="5"/>
        <v>42554</v>
      </c>
    </row>
    <row r="162" spans="1:16" x14ac:dyDescent="0.25">
      <c r="A162" s="26">
        <v>42554.450023148151</v>
      </c>
      <c r="B162" s="4" t="s">
        <v>131</v>
      </c>
      <c r="C162" s="4" t="s">
        <v>817</v>
      </c>
      <c r="D162" s="4" t="s">
        <v>103</v>
      </c>
      <c r="E162" s="51" t="s">
        <v>122</v>
      </c>
      <c r="F162" s="3">
        <v>0</v>
      </c>
      <c r="G162" s="4">
        <v>417</v>
      </c>
      <c r="H162" s="4">
        <v>26244</v>
      </c>
      <c r="I162" s="51" t="s">
        <v>123</v>
      </c>
      <c r="J162" s="4">
        <v>24193</v>
      </c>
      <c r="K162" s="4" t="s">
        <v>106</v>
      </c>
      <c r="L162" s="19" t="str">
        <f>VLOOKUP(C162,'[4]Trips&amp;Operators'!$C$2:$E$10000,3,FALSE)</f>
        <v>HELVIE</v>
      </c>
      <c r="M162" s="4" t="s">
        <v>112</v>
      </c>
      <c r="N162" s="4" t="s">
        <v>824</v>
      </c>
      <c r="O162" s="19" t="str">
        <f t="shared" si="4"/>
        <v>03</v>
      </c>
      <c r="P162" s="64">
        <f t="shared" si="5"/>
        <v>42554</v>
      </c>
    </row>
    <row r="163" spans="1:16" x14ac:dyDescent="0.25">
      <c r="A163" s="17">
        <v>42554.27070601852</v>
      </c>
      <c r="B163" s="18" t="s">
        <v>148</v>
      </c>
      <c r="C163" s="18" t="s">
        <v>820</v>
      </c>
      <c r="D163" s="18" t="s">
        <v>103</v>
      </c>
      <c r="E163" s="52" t="s">
        <v>122</v>
      </c>
      <c r="F163" s="53">
        <v>0</v>
      </c>
      <c r="G163" s="18">
        <v>185</v>
      </c>
      <c r="H163" s="18">
        <v>63286</v>
      </c>
      <c r="I163" s="52" t="s">
        <v>123</v>
      </c>
      <c r="J163" s="18">
        <v>63995</v>
      </c>
      <c r="K163" s="19" t="s">
        <v>111</v>
      </c>
      <c r="L163" s="19" t="str">
        <f>VLOOKUP(C163,'[4]Trips&amp;Operators'!$C$2:$E$10000,3,FALSE)</f>
        <v>STRICKLAND</v>
      </c>
      <c r="M163" s="20" t="s">
        <v>107</v>
      </c>
      <c r="N163" s="19" t="s">
        <v>52</v>
      </c>
      <c r="O163" s="19" t="str">
        <f t="shared" si="4"/>
        <v>03</v>
      </c>
      <c r="P163" s="64">
        <f t="shared" si="5"/>
        <v>42554</v>
      </c>
    </row>
    <row r="164" spans="1:16" x14ac:dyDescent="0.25">
      <c r="A164" s="26">
        <v>42554.444525462961</v>
      </c>
      <c r="B164" s="4" t="s">
        <v>124</v>
      </c>
      <c r="C164" s="4" t="s">
        <v>821</v>
      </c>
      <c r="D164" s="4" t="s">
        <v>103</v>
      </c>
      <c r="E164" s="51" t="s">
        <v>122</v>
      </c>
      <c r="F164" s="3">
        <v>0</v>
      </c>
      <c r="G164" s="4">
        <v>454</v>
      </c>
      <c r="H164" s="4">
        <v>129692</v>
      </c>
      <c r="I164" s="51" t="s">
        <v>123</v>
      </c>
      <c r="J164" s="4">
        <v>127587</v>
      </c>
      <c r="K164" s="4" t="s">
        <v>106</v>
      </c>
      <c r="L164" s="19" t="str">
        <f>VLOOKUP(C164,'[4]Trips&amp;Operators'!$C$2:$E$10000,3,FALSE)</f>
        <v>YORK</v>
      </c>
      <c r="M164" s="20" t="s">
        <v>112</v>
      </c>
      <c r="N164" s="4" t="s">
        <v>376</v>
      </c>
      <c r="O164" s="19" t="str">
        <f t="shared" si="4"/>
        <v>03</v>
      </c>
      <c r="P164" s="64">
        <f t="shared" si="5"/>
        <v>42554</v>
      </c>
    </row>
    <row r="165" spans="1:16" x14ac:dyDescent="0.25">
      <c r="A165" s="26">
        <v>42554.51662037037</v>
      </c>
      <c r="B165" s="4" t="s">
        <v>124</v>
      </c>
      <c r="C165" s="4" t="s">
        <v>822</v>
      </c>
      <c r="D165" s="4" t="s">
        <v>103</v>
      </c>
      <c r="E165" s="51" t="s">
        <v>122</v>
      </c>
      <c r="F165" s="3">
        <v>0</v>
      </c>
      <c r="G165" s="4">
        <v>359</v>
      </c>
      <c r="H165" s="4">
        <v>128900</v>
      </c>
      <c r="I165" s="51" t="s">
        <v>123</v>
      </c>
      <c r="J165" s="4">
        <v>127587</v>
      </c>
      <c r="K165" s="4" t="s">
        <v>106</v>
      </c>
      <c r="L165" s="19" t="str">
        <f>VLOOKUP(C165,'[4]Trips&amp;Operators'!$C$2:$E$10000,3,FALSE)</f>
        <v>RIVERA</v>
      </c>
      <c r="M165" s="20" t="s">
        <v>112</v>
      </c>
      <c r="N165" s="4" t="s">
        <v>376</v>
      </c>
      <c r="O165" s="19" t="str">
        <f t="shared" si="4"/>
        <v>03</v>
      </c>
      <c r="P165" s="64">
        <f t="shared" si="5"/>
        <v>42554</v>
      </c>
    </row>
    <row r="166" spans="1:16" x14ac:dyDescent="0.25">
      <c r="A166" s="26">
        <v>42554.71570601852</v>
      </c>
      <c r="B166" s="4" t="s">
        <v>119</v>
      </c>
      <c r="C166" s="4" t="s">
        <v>826</v>
      </c>
      <c r="D166" s="4" t="s">
        <v>103</v>
      </c>
      <c r="E166" s="51" t="s">
        <v>122</v>
      </c>
      <c r="F166" s="3">
        <v>0</v>
      </c>
      <c r="G166" s="4">
        <v>88</v>
      </c>
      <c r="H166" s="4">
        <v>128113</v>
      </c>
      <c r="I166" s="51" t="s">
        <v>123</v>
      </c>
      <c r="J166" s="4">
        <v>127587</v>
      </c>
      <c r="K166" s="4" t="s">
        <v>106</v>
      </c>
      <c r="L166" s="19" t="str">
        <f>VLOOKUP(C166,'[4]Trips&amp;Operators'!$C$2:$E$10000,3,FALSE)</f>
        <v>MADLOM</v>
      </c>
      <c r="M166" s="20" t="s">
        <v>112</v>
      </c>
      <c r="N166" s="4" t="s">
        <v>376</v>
      </c>
      <c r="O166" s="19" t="str">
        <f t="shared" si="4"/>
        <v>03</v>
      </c>
      <c r="P166" s="64">
        <f t="shared" si="5"/>
        <v>42554</v>
      </c>
    </row>
    <row r="167" spans="1:16" x14ac:dyDescent="0.25">
      <c r="A167" s="26">
        <v>42554.746215277781</v>
      </c>
      <c r="B167" s="4" t="s">
        <v>147</v>
      </c>
      <c r="C167" s="4" t="s">
        <v>827</v>
      </c>
      <c r="D167" s="4" t="s">
        <v>103</v>
      </c>
      <c r="E167" s="51" t="s">
        <v>122</v>
      </c>
      <c r="F167" s="3">
        <v>0</v>
      </c>
      <c r="G167" s="4">
        <v>117</v>
      </c>
      <c r="H167" s="4">
        <v>127983</v>
      </c>
      <c r="I167" s="51" t="s">
        <v>123</v>
      </c>
      <c r="J167" s="4">
        <v>127587</v>
      </c>
      <c r="K167" s="4" t="s">
        <v>106</v>
      </c>
      <c r="L167" s="19" t="str">
        <f>VLOOKUP(C167,'[4]Trips&amp;Operators'!$C$2:$E$10000,3,FALSE)</f>
        <v>BONDS</v>
      </c>
      <c r="M167" s="20" t="s">
        <v>112</v>
      </c>
      <c r="N167" s="4" t="s">
        <v>376</v>
      </c>
      <c r="O167" s="19" t="str">
        <f t="shared" si="4"/>
        <v>03</v>
      </c>
      <c r="P167" s="64">
        <f t="shared" si="5"/>
        <v>42554</v>
      </c>
    </row>
    <row r="168" spans="1:16" x14ac:dyDescent="0.25">
      <c r="A168" s="26">
        <v>42554.438379629632</v>
      </c>
      <c r="B168" s="4" t="s">
        <v>124</v>
      </c>
      <c r="C168" s="4" t="s">
        <v>821</v>
      </c>
      <c r="D168" s="4" t="s">
        <v>103</v>
      </c>
      <c r="E168" s="51" t="s">
        <v>122</v>
      </c>
      <c r="F168" s="3">
        <v>0</v>
      </c>
      <c r="G168" s="4">
        <v>432</v>
      </c>
      <c r="H168" s="4">
        <v>193976</v>
      </c>
      <c r="I168" s="51" t="s">
        <v>123</v>
      </c>
      <c r="J168" s="4">
        <v>191723</v>
      </c>
      <c r="K168" s="4" t="s">
        <v>106</v>
      </c>
      <c r="L168" s="19" t="str">
        <f>VLOOKUP(C168,'[4]Trips&amp;Operators'!$C$2:$E$10000,3,FALSE)</f>
        <v>YORK</v>
      </c>
      <c r="M168" s="4" t="s">
        <v>112</v>
      </c>
      <c r="N168" s="19" t="s">
        <v>735</v>
      </c>
      <c r="O168" s="19" t="str">
        <f t="shared" si="4"/>
        <v>03</v>
      </c>
      <c r="P168" s="64">
        <f t="shared" si="5"/>
        <v>42554</v>
      </c>
    </row>
    <row r="169" spans="1:16" x14ac:dyDescent="0.25">
      <c r="A169" s="26">
        <v>42554.594583333332</v>
      </c>
      <c r="B169" s="4" t="s">
        <v>147</v>
      </c>
      <c r="C169" s="4" t="s">
        <v>823</v>
      </c>
      <c r="D169" s="4" t="s">
        <v>103</v>
      </c>
      <c r="E169" s="51" t="s">
        <v>122</v>
      </c>
      <c r="F169" s="3">
        <v>0</v>
      </c>
      <c r="G169" s="4">
        <v>390</v>
      </c>
      <c r="H169" s="4">
        <v>194099</v>
      </c>
      <c r="I169" s="51" t="s">
        <v>123</v>
      </c>
      <c r="J169" s="4">
        <v>191723</v>
      </c>
      <c r="K169" s="4" t="s">
        <v>106</v>
      </c>
      <c r="L169" s="19" t="str">
        <f>VLOOKUP(C169,'[4]Trips&amp;Operators'!$C$2:$E$10000,3,FALSE)</f>
        <v>BONDS</v>
      </c>
      <c r="M169" s="4" t="s">
        <v>112</v>
      </c>
      <c r="N169" s="19" t="s">
        <v>735</v>
      </c>
      <c r="O169" s="19" t="str">
        <f t="shared" si="4"/>
        <v>03</v>
      </c>
      <c r="P169" s="64">
        <f t="shared" si="5"/>
        <v>42554</v>
      </c>
    </row>
    <row r="170" spans="1:16" x14ac:dyDescent="0.25">
      <c r="A170" s="26">
        <v>42554.581157407411</v>
      </c>
      <c r="B170" s="4" t="s">
        <v>124</v>
      </c>
      <c r="C170" s="4" t="s">
        <v>152</v>
      </c>
      <c r="D170" s="4" t="s">
        <v>103</v>
      </c>
      <c r="E170" s="51" t="s">
        <v>127</v>
      </c>
      <c r="F170" s="3">
        <v>0</v>
      </c>
      <c r="G170" s="4">
        <v>146</v>
      </c>
      <c r="H170" s="4">
        <v>231892</v>
      </c>
      <c r="I170" s="51" t="s">
        <v>128</v>
      </c>
      <c r="J170" s="4">
        <v>231147</v>
      </c>
      <c r="K170" s="4" t="s">
        <v>106</v>
      </c>
      <c r="L170" s="19" t="str">
        <f>VLOOKUP(C170,'[4]Trips&amp;Operators'!$C$2:$E$10000,3,FALSE)</f>
        <v>RIVERA</v>
      </c>
      <c r="M170" s="4" t="s">
        <v>107</v>
      </c>
      <c r="N170" s="4" t="s">
        <v>52</v>
      </c>
      <c r="O170" s="19" t="str">
        <f t="shared" si="4"/>
        <v>03</v>
      </c>
      <c r="P170" s="64">
        <f t="shared" si="5"/>
        <v>42554</v>
      </c>
    </row>
    <row r="171" spans="1:16" x14ac:dyDescent="0.25">
      <c r="A171" s="26">
        <v>42554.241527777776</v>
      </c>
      <c r="B171" s="4" t="s">
        <v>139</v>
      </c>
      <c r="C171" s="4" t="s">
        <v>830</v>
      </c>
      <c r="D171" s="4" t="s">
        <v>103</v>
      </c>
      <c r="E171" s="51" t="s">
        <v>129</v>
      </c>
      <c r="F171" s="3">
        <v>0</v>
      </c>
      <c r="G171" s="4">
        <v>6</v>
      </c>
      <c r="H171" s="4">
        <v>99</v>
      </c>
      <c r="I171" s="51" t="s">
        <v>130</v>
      </c>
      <c r="J171" s="4">
        <v>1</v>
      </c>
      <c r="K171" s="4" t="s">
        <v>106</v>
      </c>
      <c r="L171" s="19" t="str">
        <f>VLOOKUP(C171,'[4]Trips&amp;Operators'!$C$2:$E$10000,3,FALSE)</f>
        <v>YORK</v>
      </c>
      <c r="M171" s="20" t="s">
        <v>112</v>
      </c>
      <c r="N171" s="19"/>
      <c r="O171" s="19" t="str">
        <f t="shared" si="4"/>
        <v>03</v>
      </c>
      <c r="P171" s="64">
        <f t="shared" si="5"/>
        <v>42554</v>
      </c>
    </row>
    <row r="172" spans="1:16" x14ac:dyDescent="0.25">
      <c r="A172" s="17">
        <v>42554.264421296299</v>
      </c>
      <c r="B172" s="18" t="s">
        <v>143</v>
      </c>
      <c r="C172" s="18" t="s">
        <v>94</v>
      </c>
      <c r="D172" s="18" t="s">
        <v>103</v>
      </c>
      <c r="E172" s="52" t="s">
        <v>129</v>
      </c>
      <c r="F172" s="53">
        <v>0</v>
      </c>
      <c r="G172" s="18">
        <v>8</v>
      </c>
      <c r="H172" s="18">
        <v>129</v>
      </c>
      <c r="I172" s="52" t="s">
        <v>130</v>
      </c>
      <c r="J172" s="18">
        <v>1</v>
      </c>
      <c r="K172" s="19" t="s">
        <v>106</v>
      </c>
      <c r="L172" s="19" t="str">
        <f>VLOOKUP(C172,'[4]Trips&amp;Operators'!$C$2:$E$10000,3,FALSE)</f>
        <v>MALAVE</v>
      </c>
      <c r="M172" s="20" t="s">
        <v>112</v>
      </c>
      <c r="N172" s="19"/>
      <c r="O172" s="19" t="str">
        <f t="shared" si="4"/>
        <v>03</v>
      </c>
      <c r="P172" s="64">
        <f t="shared" si="5"/>
        <v>42554</v>
      </c>
    </row>
    <row r="173" spans="1:16" x14ac:dyDescent="0.25">
      <c r="A173" s="26">
        <v>42554.327187499999</v>
      </c>
      <c r="B173" s="4" t="s">
        <v>147</v>
      </c>
      <c r="C173" s="4" t="s">
        <v>265</v>
      </c>
      <c r="D173" s="4" t="s">
        <v>103</v>
      </c>
      <c r="E173" s="51" t="s">
        <v>129</v>
      </c>
      <c r="F173" s="3">
        <v>0</v>
      </c>
      <c r="G173" s="4">
        <v>6</v>
      </c>
      <c r="H173" s="4">
        <v>119</v>
      </c>
      <c r="I173" s="51" t="s">
        <v>130</v>
      </c>
      <c r="J173" s="4">
        <v>1</v>
      </c>
      <c r="K173" s="4" t="s">
        <v>106</v>
      </c>
      <c r="L173" s="19" t="str">
        <f>VLOOKUP(C173,'[4]Trips&amp;Operators'!$C$2:$E$10000,3,FALSE)</f>
        <v>STRICKLAND</v>
      </c>
      <c r="M173" s="20" t="s">
        <v>112</v>
      </c>
      <c r="N173" s="19"/>
      <c r="O173" s="19" t="str">
        <f t="shared" si="4"/>
        <v>03</v>
      </c>
      <c r="P173" s="64">
        <f t="shared" si="5"/>
        <v>42554</v>
      </c>
    </row>
    <row r="174" spans="1:16" x14ac:dyDescent="0.25">
      <c r="A174" s="17">
        <v>42554.36042824074</v>
      </c>
      <c r="B174" s="18" t="s">
        <v>132</v>
      </c>
      <c r="C174" s="18" t="s">
        <v>831</v>
      </c>
      <c r="D174" s="18" t="s">
        <v>103</v>
      </c>
      <c r="E174" s="52" t="s">
        <v>129</v>
      </c>
      <c r="F174" s="53">
        <v>0</v>
      </c>
      <c r="G174" s="18">
        <v>9</v>
      </c>
      <c r="H174" s="18">
        <v>127</v>
      </c>
      <c r="I174" s="52" t="s">
        <v>130</v>
      </c>
      <c r="J174" s="18">
        <v>1</v>
      </c>
      <c r="K174" s="19" t="s">
        <v>106</v>
      </c>
      <c r="L174" s="19" t="str">
        <f>VLOOKUP(C174,'[4]Trips&amp;Operators'!$C$2:$E$10000,3,FALSE)</f>
        <v>CANFIELD</v>
      </c>
      <c r="M174" s="4" t="s">
        <v>112</v>
      </c>
      <c r="N174" s="19"/>
      <c r="O174" s="19" t="str">
        <f t="shared" si="4"/>
        <v>03</v>
      </c>
      <c r="P174" s="64">
        <f t="shared" si="5"/>
        <v>42554</v>
      </c>
    </row>
    <row r="175" spans="1:16" x14ac:dyDescent="0.25">
      <c r="A175" s="17">
        <v>42554.381631944445</v>
      </c>
      <c r="B175" s="18" t="s">
        <v>102</v>
      </c>
      <c r="C175" s="18" t="s">
        <v>832</v>
      </c>
      <c r="D175" s="18" t="s">
        <v>103</v>
      </c>
      <c r="E175" s="52" t="s">
        <v>129</v>
      </c>
      <c r="F175" s="53">
        <v>0</v>
      </c>
      <c r="G175" s="18">
        <v>7</v>
      </c>
      <c r="H175" s="18">
        <v>134</v>
      </c>
      <c r="I175" s="52" t="s">
        <v>130</v>
      </c>
      <c r="J175" s="18">
        <v>1</v>
      </c>
      <c r="K175" s="19" t="s">
        <v>106</v>
      </c>
      <c r="L175" s="19" t="str">
        <f>VLOOKUP(C175,'[4]Trips&amp;Operators'!$C$2:$E$10000,3,FALSE)</f>
        <v>STURGEON</v>
      </c>
      <c r="M175" s="20" t="s">
        <v>112</v>
      </c>
      <c r="N175" s="19"/>
      <c r="O175" s="19" t="str">
        <f t="shared" si="4"/>
        <v>03</v>
      </c>
      <c r="P175" s="64">
        <f t="shared" si="5"/>
        <v>42554</v>
      </c>
    </row>
    <row r="176" spans="1:16" x14ac:dyDescent="0.25">
      <c r="A176" s="17">
        <v>42554.411041666666</v>
      </c>
      <c r="B176" s="18" t="s">
        <v>143</v>
      </c>
      <c r="C176" s="18" t="s">
        <v>834</v>
      </c>
      <c r="D176" s="18" t="s">
        <v>103</v>
      </c>
      <c r="E176" s="52" t="s">
        <v>129</v>
      </c>
      <c r="F176" s="53">
        <v>0</v>
      </c>
      <c r="G176" s="18">
        <v>6</v>
      </c>
      <c r="H176" s="18">
        <v>130</v>
      </c>
      <c r="I176" s="52" t="s">
        <v>130</v>
      </c>
      <c r="J176" s="18">
        <v>1</v>
      </c>
      <c r="K176" s="19" t="s">
        <v>106</v>
      </c>
      <c r="L176" s="19" t="str">
        <f>VLOOKUP(C176,'[4]Trips&amp;Operators'!$C$2:$E$10000,3,FALSE)</f>
        <v>MALAVE</v>
      </c>
      <c r="M176" s="20" t="s">
        <v>112</v>
      </c>
      <c r="N176" s="19"/>
      <c r="O176" s="19" t="str">
        <f t="shared" si="4"/>
        <v>03</v>
      </c>
      <c r="P176" s="64">
        <f t="shared" si="5"/>
        <v>42554</v>
      </c>
    </row>
    <row r="177" spans="1:16" x14ac:dyDescent="0.25">
      <c r="A177" s="17">
        <v>42554.429872685185</v>
      </c>
      <c r="B177" s="18" t="s">
        <v>132</v>
      </c>
      <c r="C177" s="18" t="s">
        <v>835</v>
      </c>
      <c r="D177" s="18" t="s">
        <v>103</v>
      </c>
      <c r="E177" s="52" t="s">
        <v>129</v>
      </c>
      <c r="F177" s="53">
        <v>0</v>
      </c>
      <c r="G177" s="18">
        <v>7</v>
      </c>
      <c r="H177" s="18">
        <v>125</v>
      </c>
      <c r="I177" s="52" t="s">
        <v>130</v>
      </c>
      <c r="J177" s="18">
        <v>1</v>
      </c>
      <c r="K177" s="19" t="s">
        <v>106</v>
      </c>
      <c r="L177" s="19" t="str">
        <f>VLOOKUP(C177,'[4]Trips&amp;Operators'!$C$2:$E$10000,3,FALSE)</f>
        <v>CANFIELD</v>
      </c>
      <c r="M177" s="20" t="s">
        <v>112</v>
      </c>
      <c r="N177" s="19"/>
      <c r="O177" s="19" t="str">
        <f t="shared" si="4"/>
        <v>03</v>
      </c>
      <c r="P177" s="64">
        <f t="shared" si="5"/>
        <v>42554</v>
      </c>
    </row>
    <row r="178" spans="1:16" x14ac:dyDescent="0.25">
      <c r="A178" s="17">
        <v>42554.476944444446</v>
      </c>
      <c r="B178" s="18" t="s">
        <v>147</v>
      </c>
      <c r="C178" s="18" t="s">
        <v>267</v>
      </c>
      <c r="D178" s="18" t="s">
        <v>103</v>
      </c>
      <c r="E178" s="52" t="s">
        <v>129</v>
      </c>
      <c r="F178" s="53">
        <v>0</v>
      </c>
      <c r="G178" s="18">
        <v>9</v>
      </c>
      <c r="H178" s="18">
        <v>129</v>
      </c>
      <c r="I178" s="52" t="s">
        <v>130</v>
      </c>
      <c r="J178" s="18">
        <v>1</v>
      </c>
      <c r="K178" s="19" t="s">
        <v>106</v>
      </c>
      <c r="L178" s="19" t="str">
        <f>VLOOKUP(C178,'[4]Trips&amp;Operators'!$C$2:$E$10000,3,FALSE)</f>
        <v>STRICKLAND</v>
      </c>
      <c r="M178" s="20" t="s">
        <v>112</v>
      </c>
      <c r="N178" s="19"/>
      <c r="O178" s="19" t="str">
        <f t="shared" si="4"/>
        <v>03</v>
      </c>
      <c r="P178" s="64">
        <f t="shared" si="5"/>
        <v>42554</v>
      </c>
    </row>
    <row r="179" spans="1:16" x14ac:dyDescent="0.25">
      <c r="A179" s="17">
        <v>42554.497893518521</v>
      </c>
      <c r="B179" s="18" t="s">
        <v>118</v>
      </c>
      <c r="C179" s="18" t="s">
        <v>808</v>
      </c>
      <c r="D179" s="18" t="s">
        <v>103</v>
      </c>
      <c r="E179" s="52" t="s">
        <v>129</v>
      </c>
      <c r="F179" s="53">
        <v>0</v>
      </c>
      <c r="G179" s="18">
        <v>53</v>
      </c>
      <c r="H179" s="18">
        <v>176</v>
      </c>
      <c r="I179" s="52" t="s">
        <v>130</v>
      </c>
      <c r="J179" s="18">
        <v>1</v>
      </c>
      <c r="K179" s="19" t="s">
        <v>106</v>
      </c>
      <c r="L179" s="19" t="str">
        <f>VLOOKUP(C179,'[4]Trips&amp;Operators'!$C$2:$E$10000,3,FALSE)</f>
        <v>NEWELL</v>
      </c>
      <c r="M179" s="20" t="s">
        <v>112</v>
      </c>
      <c r="N179" s="19"/>
      <c r="O179" s="19" t="str">
        <f t="shared" si="4"/>
        <v>03</v>
      </c>
      <c r="P179" s="64">
        <f t="shared" si="5"/>
        <v>42554</v>
      </c>
    </row>
    <row r="180" spans="1:16" x14ac:dyDescent="0.25">
      <c r="A180" s="26">
        <v>42554.504317129627</v>
      </c>
      <c r="B180" s="4" t="s">
        <v>132</v>
      </c>
      <c r="C180" s="4" t="s">
        <v>837</v>
      </c>
      <c r="D180" s="4" t="s">
        <v>103</v>
      </c>
      <c r="E180" s="51" t="s">
        <v>129</v>
      </c>
      <c r="F180" s="3">
        <v>0</v>
      </c>
      <c r="G180" s="4">
        <v>32</v>
      </c>
      <c r="H180" s="4">
        <v>112</v>
      </c>
      <c r="I180" s="51" t="s">
        <v>130</v>
      </c>
      <c r="J180" s="4">
        <v>1</v>
      </c>
      <c r="K180" s="4" t="s">
        <v>106</v>
      </c>
      <c r="L180" s="19" t="str">
        <f>VLOOKUP(C180,'[4]Trips&amp;Operators'!$C$2:$E$10000,3,FALSE)</f>
        <v>GEBRETEKLE</v>
      </c>
      <c r="M180" s="20" t="s">
        <v>112</v>
      </c>
      <c r="N180" s="19"/>
      <c r="O180" s="19" t="str">
        <f t="shared" si="4"/>
        <v>03</v>
      </c>
      <c r="P180" s="64">
        <f t="shared" si="5"/>
        <v>42554</v>
      </c>
    </row>
    <row r="181" spans="1:16" x14ac:dyDescent="0.25">
      <c r="A181" s="26">
        <v>42554.557824074072</v>
      </c>
      <c r="B181" s="4" t="s">
        <v>143</v>
      </c>
      <c r="C181" s="4" t="s">
        <v>838</v>
      </c>
      <c r="D181" s="4" t="s">
        <v>103</v>
      </c>
      <c r="E181" s="51" t="s">
        <v>129</v>
      </c>
      <c r="F181" s="3">
        <v>0</v>
      </c>
      <c r="G181" s="4">
        <v>4</v>
      </c>
      <c r="H181" s="4">
        <v>134</v>
      </c>
      <c r="I181" s="51" t="s">
        <v>130</v>
      </c>
      <c r="J181" s="4">
        <v>1</v>
      </c>
      <c r="K181" s="4" t="s">
        <v>106</v>
      </c>
      <c r="L181" s="19" t="str">
        <f>VLOOKUP(C181,'[4]Trips&amp;Operators'!$C$2:$E$10000,3,FALSE)</f>
        <v>LOCKLEAR</v>
      </c>
      <c r="M181" s="4" t="s">
        <v>112</v>
      </c>
      <c r="N181" s="19"/>
      <c r="O181" s="19" t="str">
        <f t="shared" si="4"/>
        <v>03</v>
      </c>
      <c r="P181" s="64">
        <f t="shared" si="5"/>
        <v>42554</v>
      </c>
    </row>
    <row r="182" spans="1:16" x14ac:dyDescent="0.25">
      <c r="A182" s="26">
        <v>42554.580150462964</v>
      </c>
      <c r="B182" s="4" t="s">
        <v>132</v>
      </c>
      <c r="C182" s="4" t="s">
        <v>151</v>
      </c>
      <c r="D182" s="4" t="s">
        <v>103</v>
      </c>
      <c r="E182" s="51" t="s">
        <v>129</v>
      </c>
      <c r="F182" s="3">
        <v>0</v>
      </c>
      <c r="G182" s="4">
        <v>53</v>
      </c>
      <c r="H182" s="4">
        <v>185</v>
      </c>
      <c r="I182" s="51" t="s">
        <v>130</v>
      </c>
      <c r="J182" s="4">
        <v>1</v>
      </c>
      <c r="K182" s="4" t="s">
        <v>106</v>
      </c>
      <c r="L182" s="19" t="str">
        <f>VLOOKUP(C182,'[4]Trips&amp;Operators'!$C$2:$E$10000,3,FALSE)</f>
        <v>STEWART</v>
      </c>
      <c r="M182" s="4" t="s">
        <v>112</v>
      </c>
      <c r="O182" s="19" t="str">
        <f t="shared" si="4"/>
        <v>03</v>
      </c>
      <c r="P182" s="64">
        <f t="shared" si="5"/>
        <v>42554</v>
      </c>
    </row>
    <row r="183" spans="1:16" x14ac:dyDescent="0.25">
      <c r="A183" s="17">
        <v>42554.585706018515</v>
      </c>
      <c r="B183" s="18" t="s">
        <v>119</v>
      </c>
      <c r="C183" s="18" t="s">
        <v>840</v>
      </c>
      <c r="D183" s="18" t="s">
        <v>103</v>
      </c>
      <c r="E183" s="52" t="s">
        <v>129</v>
      </c>
      <c r="F183" s="53">
        <v>0</v>
      </c>
      <c r="G183" s="18">
        <v>5</v>
      </c>
      <c r="H183" s="18">
        <v>136</v>
      </c>
      <c r="I183" s="52" t="s">
        <v>130</v>
      </c>
      <c r="J183" s="18">
        <v>1</v>
      </c>
      <c r="K183" s="19" t="s">
        <v>106</v>
      </c>
      <c r="L183" s="19" t="str">
        <f>VLOOKUP(C183,'[4]Trips&amp;Operators'!$C$2:$E$10000,3,FALSE)</f>
        <v>MADLOM</v>
      </c>
      <c r="M183" s="20" t="s">
        <v>112</v>
      </c>
      <c r="N183" s="19"/>
      <c r="O183" s="19" t="str">
        <f t="shared" si="4"/>
        <v>03</v>
      </c>
      <c r="P183" s="64">
        <f t="shared" si="5"/>
        <v>42554</v>
      </c>
    </row>
    <row r="184" spans="1:16" x14ac:dyDescent="0.25">
      <c r="A184" s="26">
        <v>42554.617326388892</v>
      </c>
      <c r="B184" s="4" t="s">
        <v>147</v>
      </c>
      <c r="C184" s="4" t="s">
        <v>823</v>
      </c>
      <c r="D184" s="4" t="s">
        <v>103</v>
      </c>
      <c r="E184" s="51" t="s">
        <v>129</v>
      </c>
      <c r="F184" s="3">
        <v>0</v>
      </c>
      <c r="G184" s="4">
        <v>51</v>
      </c>
      <c r="H184" s="4">
        <v>147</v>
      </c>
      <c r="I184" s="51" t="s">
        <v>130</v>
      </c>
      <c r="J184" s="4">
        <v>1</v>
      </c>
      <c r="K184" s="4" t="s">
        <v>106</v>
      </c>
      <c r="L184" s="19" t="str">
        <f>VLOOKUP(C184,'[4]Trips&amp;Operators'!$C$2:$E$10000,3,FALSE)</f>
        <v>BONDS</v>
      </c>
      <c r="M184" s="20" t="s">
        <v>112</v>
      </c>
      <c r="N184" s="19"/>
      <c r="O184" s="19" t="str">
        <f t="shared" si="4"/>
        <v>03</v>
      </c>
      <c r="P184" s="64">
        <f t="shared" si="5"/>
        <v>42554</v>
      </c>
    </row>
    <row r="185" spans="1:16" x14ac:dyDescent="0.25">
      <c r="A185" s="26">
        <v>42554.637858796297</v>
      </c>
      <c r="B185" s="4" t="s">
        <v>118</v>
      </c>
      <c r="C185" s="4" t="s">
        <v>845</v>
      </c>
      <c r="D185" s="4" t="s">
        <v>103</v>
      </c>
      <c r="E185" s="51" t="s">
        <v>129</v>
      </c>
      <c r="F185" s="3">
        <v>0</v>
      </c>
      <c r="G185" s="4">
        <v>5</v>
      </c>
      <c r="H185" s="4">
        <v>116</v>
      </c>
      <c r="I185" s="51" t="s">
        <v>130</v>
      </c>
      <c r="J185" s="4">
        <v>1</v>
      </c>
      <c r="K185" s="4" t="s">
        <v>106</v>
      </c>
      <c r="L185" s="19" t="str">
        <f>VLOOKUP(C185,'[4]Trips&amp;Operators'!$C$2:$E$10000,3,FALSE)</f>
        <v>NEWELL</v>
      </c>
      <c r="M185" s="20" t="s">
        <v>112</v>
      </c>
      <c r="N185" s="19"/>
      <c r="O185" s="19" t="str">
        <f t="shared" si="4"/>
        <v>03</v>
      </c>
      <c r="P185" s="64">
        <f t="shared" si="5"/>
        <v>42554</v>
      </c>
    </row>
    <row r="186" spans="1:16" x14ac:dyDescent="0.25">
      <c r="A186" s="26">
        <v>42554.649606481478</v>
      </c>
      <c r="B186" s="4" t="s">
        <v>132</v>
      </c>
      <c r="C186" s="4" t="s">
        <v>848</v>
      </c>
      <c r="D186" s="4" t="s">
        <v>103</v>
      </c>
      <c r="E186" s="51" t="s">
        <v>129</v>
      </c>
      <c r="F186" s="3">
        <v>0</v>
      </c>
      <c r="G186" s="4">
        <v>53</v>
      </c>
      <c r="H186" s="4">
        <v>180</v>
      </c>
      <c r="I186" s="51" t="s">
        <v>130</v>
      </c>
      <c r="J186" s="4">
        <v>1</v>
      </c>
      <c r="K186" s="4" t="s">
        <v>106</v>
      </c>
      <c r="L186" s="19" t="str">
        <f>VLOOKUP(C186,'[4]Trips&amp;Operators'!$C$2:$E$10000,3,FALSE)</f>
        <v>STEWART</v>
      </c>
      <c r="M186" s="20" t="s">
        <v>112</v>
      </c>
      <c r="N186" s="19"/>
      <c r="O186" s="19" t="str">
        <f t="shared" si="4"/>
        <v>03</v>
      </c>
      <c r="P186" s="64">
        <f t="shared" si="5"/>
        <v>42554</v>
      </c>
    </row>
    <row r="187" spans="1:16" x14ac:dyDescent="0.25">
      <c r="A187" s="17">
        <v>42554.797060185185</v>
      </c>
      <c r="B187" s="18" t="s">
        <v>132</v>
      </c>
      <c r="C187" s="18" t="s">
        <v>851</v>
      </c>
      <c r="D187" s="18" t="s">
        <v>103</v>
      </c>
      <c r="E187" s="52" t="s">
        <v>129</v>
      </c>
      <c r="F187" s="53">
        <v>0</v>
      </c>
      <c r="G187" s="18">
        <v>55</v>
      </c>
      <c r="H187" s="18">
        <v>180</v>
      </c>
      <c r="I187" s="52" t="s">
        <v>130</v>
      </c>
      <c r="J187" s="18">
        <v>1</v>
      </c>
      <c r="K187" s="19" t="s">
        <v>106</v>
      </c>
      <c r="L187" s="19" t="str">
        <f>VLOOKUP(C187,'[4]Trips&amp;Operators'!$C$2:$E$10000,3,FALSE)</f>
        <v>STEWART</v>
      </c>
      <c r="M187" s="4" t="s">
        <v>112</v>
      </c>
      <c r="N187" s="19"/>
      <c r="O187" s="19" t="str">
        <f t="shared" si="4"/>
        <v>03</v>
      </c>
      <c r="P187" s="64">
        <f t="shared" si="5"/>
        <v>42554</v>
      </c>
    </row>
    <row r="188" spans="1:16" x14ac:dyDescent="0.25">
      <c r="A188" s="17">
        <v>42554.815821759257</v>
      </c>
      <c r="B188" s="18" t="s">
        <v>102</v>
      </c>
      <c r="C188" s="18" t="s">
        <v>852</v>
      </c>
      <c r="D188" s="18" t="s">
        <v>103</v>
      </c>
      <c r="E188" s="52" t="s">
        <v>129</v>
      </c>
      <c r="F188" s="53">
        <v>0</v>
      </c>
      <c r="G188" s="18">
        <v>53</v>
      </c>
      <c r="H188" s="18">
        <v>189</v>
      </c>
      <c r="I188" s="52" t="s">
        <v>130</v>
      </c>
      <c r="J188" s="18">
        <v>1</v>
      </c>
      <c r="K188" s="19" t="s">
        <v>106</v>
      </c>
      <c r="L188" s="19" t="str">
        <f>VLOOKUP(C188,'[4]Trips&amp;Operators'!$C$2:$E$10000,3,FALSE)</f>
        <v>WEBSTER</v>
      </c>
      <c r="M188" s="4" t="s">
        <v>112</v>
      </c>
      <c r="N188" s="19"/>
      <c r="O188" s="19" t="str">
        <f t="shared" si="4"/>
        <v>03</v>
      </c>
      <c r="P188" s="64">
        <f t="shared" si="5"/>
        <v>42554</v>
      </c>
    </row>
    <row r="189" spans="1:16" x14ac:dyDescent="0.25">
      <c r="A189" s="17">
        <v>42554.825740740744</v>
      </c>
      <c r="B189" s="18" t="s">
        <v>139</v>
      </c>
      <c r="C189" s="18" t="s">
        <v>853</v>
      </c>
      <c r="D189" s="18" t="s">
        <v>103</v>
      </c>
      <c r="E189" s="52" t="s">
        <v>129</v>
      </c>
      <c r="F189" s="53">
        <v>0</v>
      </c>
      <c r="G189" s="18">
        <v>6</v>
      </c>
      <c r="H189" s="18">
        <v>185</v>
      </c>
      <c r="I189" s="52" t="s">
        <v>130</v>
      </c>
      <c r="J189" s="18">
        <v>1</v>
      </c>
      <c r="K189" s="19" t="s">
        <v>106</v>
      </c>
      <c r="L189" s="19" t="str">
        <f>VLOOKUP(C189,'[4]Trips&amp;Operators'!$C$2:$E$10000,3,FALSE)</f>
        <v>BRUDER</v>
      </c>
      <c r="M189" s="4" t="s">
        <v>112</v>
      </c>
      <c r="N189" s="19"/>
      <c r="O189" s="19" t="str">
        <f t="shared" si="4"/>
        <v>03</v>
      </c>
      <c r="P189" s="64">
        <f t="shared" si="5"/>
        <v>42554</v>
      </c>
    </row>
    <row r="190" spans="1:16" x14ac:dyDescent="0.25">
      <c r="A190" s="26">
        <v>42554.901192129626</v>
      </c>
      <c r="B190" s="4" t="s">
        <v>139</v>
      </c>
      <c r="C190" s="4" t="s">
        <v>855</v>
      </c>
      <c r="D190" s="4" t="s">
        <v>103</v>
      </c>
      <c r="E190" s="51" t="s">
        <v>129</v>
      </c>
      <c r="F190" s="3">
        <v>0</v>
      </c>
      <c r="G190" s="4">
        <v>9</v>
      </c>
      <c r="H190" s="4">
        <v>178</v>
      </c>
      <c r="I190" s="51" t="s">
        <v>130</v>
      </c>
      <c r="J190" s="4">
        <v>1</v>
      </c>
      <c r="K190" s="4" t="s">
        <v>106</v>
      </c>
      <c r="L190" s="19" t="str">
        <f>VLOOKUP(C190,'[4]Trips&amp;Operators'!$C$2:$E$10000,3,FALSE)</f>
        <v>BRUDER</v>
      </c>
      <c r="M190" s="4" t="s">
        <v>112</v>
      </c>
      <c r="N190" s="19"/>
      <c r="O190" s="19" t="str">
        <f t="shared" si="4"/>
        <v>03</v>
      </c>
      <c r="P190" s="64">
        <f t="shared" si="5"/>
        <v>42554</v>
      </c>
    </row>
    <row r="191" spans="1:16" x14ac:dyDescent="0.25">
      <c r="A191" s="26">
        <v>42554.940034722225</v>
      </c>
      <c r="B191" s="4" t="s">
        <v>118</v>
      </c>
      <c r="C191" s="4" t="s">
        <v>856</v>
      </c>
      <c r="D191" s="4" t="s">
        <v>103</v>
      </c>
      <c r="E191" s="51" t="s">
        <v>129</v>
      </c>
      <c r="F191" s="3">
        <v>0</v>
      </c>
      <c r="G191" s="4">
        <v>68</v>
      </c>
      <c r="H191" s="4">
        <v>225</v>
      </c>
      <c r="I191" s="51" t="s">
        <v>130</v>
      </c>
      <c r="J191" s="4">
        <v>1</v>
      </c>
      <c r="K191" s="4" t="s">
        <v>106</v>
      </c>
      <c r="L191" s="19" t="str">
        <f>VLOOKUP(C191,'[4]Trips&amp;Operators'!$C$2:$E$10000,3,FALSE)</f>
        <v>COOLAHAN</v>
      </c>
      <c r="M191" s="4" t="s">
        <v>112</v>
      </c>
      <c r="N191" s="19"/>
      <c r="O191" s="19" t="str">
        <f t="shared" si="4"/>
        <v>03</v>
      </c>
      <c r="P191" s="64">
        <f t="shared" si="5"/>
        <v>42554</v>
      </c>
    </row>
    <row r="192" spans="1:16" x14ac:dyDescent="0.25">
      <c r="A192" s="17">
        <v>42555.06527777778</v>
      </c>
      <c r="B192" s="18" t="s">
        <v>139</v>
      </c>
      <c r="C192" s="18" t="s">
        <v>266</v>
      </c>
      <c r="D192" s="18" t="s">
        <v>103</v>
      </c>
      <c r="E192" s="52" t="s">
        <v>129</v>
      </c>
      <c r="F192" s="53">
        <v>0</v>
      </c>
      <c r="G192" s="18">
        <v>6</v>
      </c>
      <c r="H192" s="18">
        <v>194</v>
      </c>
      <c r="I192" s="52" t="s">
        <v>130</v>
      </c>
      <c r="J192" s="18">
        <v>1</v>
      </c>
      <c r="K192" s="19" t="s">
        <v>106</v>
      </c>
      <c r="L192" s="19" t="str">
        <f>VLOOKUP(C192,'[4]Trips&amp;Operators'!$C$2:$E$10000,3,FALSE)</f>
        <v>BRUDER</v>
      </c>
      <c r="M192" s="4" t="s">
        <v>112</v>
      </c>
      <c r="N192" s="19"/>
      <c r="O192" s="19" t="str">
        <f t="shared" si="4"/>
        <v>03</v>
      </c>
      <c r="P192" s="64">
        <f t="shared" si="5"/>
        <v>42554</v>
      </c>
    </row>
    <row r="193" spans="1:16" x14ac:dyDescent="0.25">
      <c r="A193" s="26">
        <v>42554.912453703706</v>
      </c>
      <c r="B193" s="4" t="s">
        <v>131</v>
      </c>
      <c r="C193" s="4" t="s">
        <v>847</v>
      </c>
      <c r="D193" s="4" t="s">
        <v>103</v>
      </c>
      <c r="E193" s="51" t="s">
        <v>129</v>
      </c>
      <c r="F193" s="3">
        <v>0</v>
      </c>
      <c r="G193" s="4">
        <v>9</v>
      </c>
      <c r="H193" s="4">
        <v>780</v>
      </c>
      <c r="I193" s="51" t="s">
        <v>130</v>
      </c>
      <c r="J193" s="4">
        <v>575</v>
      </c>
      <c r="K193" s="4" t="s">
        <v>106</v>
      </c>
      <c r="L193" s="19" t="str">
        <f>VLOOKUP(C193,'[4]Trips&amp;Operators'!$C$2:$E$10000,3,FALSE)</f>
        <v>DE LA ROSA</v>
      </c>
      <c r="M193" s="4" t="s">
        <v>112</v>
      </c>
      <c r="N193" s="19"/>
      <c r="O193" s="19" t="str">
        <f t="shared" si="4"/>
        <v>03</v>
      </c>
      <c r="P193" s="64">
        <f t="shared" si="5"/>
        <v>42554</v>
      </c>
    </row>
    <row r="194" spans="1:16" x14ac:dyDescent="0.25">
      <c r="A194" s="26">
        <v>42554.272870370369</v>
      </c>
      <c r="B194" s="4" t="s">
        <v>120</v>
      </c>
      <c r="C194" s="4" t="s">
        <v>841</v>
      </c>
      <c r="D194" s="4" t="s">
        <v>103</v>
      </c>
      <c r="E194" s="51" t="s">
        <v>129</v>
      </c>
      <c r="F194" s="3">
        <v>0</v>
      </c>
      <c r="G194" s="4">
        <v>95</v>
      </c>
      <c r="H194" s="4">
        <v>58704</v>
      </c>
      <c r="I194" s="51" t="s">
        <v>130</v>
      </c>
      <c r="J194" s="4">
        <v>59048</v>
      </c>
      <c r="K194" s="4" t="s">
        <v>111</v>
      </c>
      <c r="L194" s="19" t="str">
        <f>VLOOKUP(C194,'[4]Trips&amp;Operators'!$C$2:$E$10000,3,FALSE)</f>
        <v>HELVIE</v>
      </c>
      <c r="M194" s="20" t="s">
        <v>112</v>
      </c>
      <c r="N194" s="19"/>
      <c r="O194" s="19" t="str">
        <f t="shared" ref="O194:O257" si="6">RIGHT(C194,2)</f>
        <v>03</v>
      </c>
      <c r="P194" s="64">
        <f t="shared" si="5"/>
        <v>42554</v>
      </c>
    </row>
    <row r="195" spans="1:16" x14ac:dyDescent="0.25">
      <c r="A195" s="17">
        <v>42554.2734837963</v>
      </c>
      <c r="B195" s="18" t="s">
        <v>120</v>
      </c>
      <c r="C195" s="18" t="s">
        <v>841</v>
      </c>
      <c r="D195" s="18" t="s">
        <v>103</v>
      </c>
      <c r="E195" s="52" t="s">
        <v>129</v>
      </c>
      <c r="F195" s="53">
        <v>0</v>
      </c>
      <c r="G195" s="18">
        <v>3</v>
      </c>
      <c r="H195" s="18">
        <v>58941</v>
      </c>
      <c r="I195" s="52" t="s">
        <v>130</v>
      </c>
      <c r="J195" s="18">
        <v>59048</v>
      </c>
      <c r="K195" s="19" t="s">
        <v>111</v>
      </c>
      <c r="L195" s="19" t="str">
        <f>VLOOKUP(C195,'[4]Trips&amp;Operators'!$C$2:$E$10000,3,FALSE)</f>
        <v>HELVIE</v>
      </c>
      <c r="M195" s="20" t="s">
        <v>112</v>
      </c>
      <c r="N195" s="19"/>
      <c r="O195" s="19" t="str">
        <f t="shared" si="6"/>
        <v>03</v>
      </c>
      <c r="P195" s="64">
        <f t="shared" ref="P195:P258" si="7">42522+O195+29</f>
        <v>42554</v>
      </c>
    </row>
    <row r="196" spans="1:16" x14ac:dyDescent="0.25">
      <c r="A196" s="17">
        <v>42554.35664351852</v>
      </c>
      <c r="B196" s="18" t="s">
        <v>120</v>
      </c>
      <c r="C196" s="18" t="s">
        <v>815</v>
      </c>
      <c r="D196" s="18" t="s">
        <v>103</v>
      </c>
      <c r="E196" s="52" t="s">
        <v>129</v>
      </c>
      <c r="F196" s="53">
        <v>0</v>
      </c>
      <c r="G196" s="18">
        <v>7</v>
      </c>
      <c r="H196" s="18">
        <v>58929</v>
      </c>
      <c r="I196" s="52" t="s">
        <v>130</v>
      </c>
      <c r="J196" s="18">
        <v>59048</v>
      </c>
      <c r="K196" s="19" t="s">
        <v>111</v>
      </c>
      <c r="L196" s="19" t="str">
        <f>VLOOKUP(C196,'[4]Trips&amp;Operators'!$C$2:$E$10000,3,FALSE)</f>
        <v>HELVIE</v>
      </c>
      <c r="M196" s="20" t="s">
        <v>112</v>
      </c>
      <c r="N196" s="19"/>
      <c r="O196" s="19" t="str">
        <f t="shared" si="6"/>
        <v>03</v>
      </c>
      <c r="P196" s="64">
        <f t="shared" si="7"/>
        <v>42554</v>
      </c>
    </row>
    <row r="197" spans="1:16" x14ac:dyDescent="0.25">
      <c r="A197" s="26">
        <v>42554.565844907411</v>
      </c>
      <c r="B197" s="4" t="s">
        <v>120</v>
      </c>
      <c r="C197" s="4" t="s">
        <v>843</v>
      </c>
      <c r="D197" s="4" t="s">
        <v>103</v>
      </c>
      <c r="E197" s="51" t="s">
        <v>129</v>
      </c>
      <c r="F197" s="3">
        <v>0</v>
      </c>
      <c r="G197" s="4">
        <v>5</v>
      </c>
      <c r="H197" s="4">
        <v>58937</v>
      </c>
      <c r="I197" s="51" t="s">
        <v>130</v>
      </c>
      <c r="J197" s="4">
        <v>59048</v>
      </c>
      <c r="K197" s="4" t="s">
        <v>111</v>
      </c>
      <c r="L197" s="19" t="str">
        <f>VLOOKUP(C197,'[4]Trips&amp;Operators'!$C$2:$E$10000,3,FALSE)</f>
        <v>HELVIE</v>
      </c>
      <c r="M197" s="4" t="s">
        <v>112</v>
      </c>
      <c r="O197" s="19" t="str">
        <f t="shared" si="6"/>
        <v>03</v>
      </c>
      <c r="P197" s="64">
        <f t="shared" si="7"/>
        <v>42554</v>
      </c>
    </row>
    <row r="198" spans="1:16" x14ac:dyDescent="0.25">
      <c r="A198" s="26">
        <v>42554.648541666669</v>
      </c>
      <c r="B198" s="4" t="s">
        <v>120</v>
      </c>
      <c r="C198" s="4" t="s">
        <v>844</v>
      </c>
      <c r="D198" s="4" t="s">
        <v>103</v>
      </c>
      <c r="E198" s="51" t="s">
        <v>129</v>
      </c>
      <c r="F198" s="3">
        <v>0</v>
      </c>
      <c r="G198" s="4">
        <v>9</v>
      </c>
      <c r="H198" s="4">
        <v>58931</v>
      </c>
      <c r="I198" s="51" t="s">
        <v>130</v>
      </c>
      <c r="J198" s="4">
        <v>59058</v>
      </c>
      <c r="K198" s="4" t="s">
        <v>111</v>
      </c>
      <c r="L198" s="19" t="str">
        <f>VLOOKUP(C198,'[4]Trips&amp;Operators'!$C$2:$E$10000,3,FALSE)</f>
        <v>DE LA ROSA</v>
      </c>
      <c r="M198" s="20" t="s">
        <v>112</v>
      </c>
      <c r="N198" s="19"/>
      <c r="O198" s="19" t="str">
        <f t="shared" si="6"/>
        <v>03</v>
      </c>
      <c r="P198" s="64">
        <f t="shared" si="7"/>
        <v>42554</v>
      </c>
    </row>
    <row r="199" spans="1:16" x14ac:dyDescent="0.25">
      <c r="A199" s="26">
        <v>42554.773541666669</v>
      </c>
      <c r="B199" s="4" t="s">
        <v>120</v>
      </c>
      <c r="C199" s="4" t="s">
        <v>846</v>
      </c>
      <c r="D199" s="4" t="s">
        <v>103</v>
      </c>
      <c r="E199" s="51" t="s">
        <v>129</v>
      </c>
      <c r="F199" s="3">
        <v>0</v>
      </c>
      <c r="G199" s="4">
        <v>9</v>
      </c>
      <c r="H199" s="4">
        <v>58943</v>
      </c>
      <c r="I199" s="51" t="s">
        <v>130</v>
      </c>
      <c r="J199" s="4">
        <v>59058</v>
      </c>
      <c r="K199" s="4" t="s">
        <v>111</v>
      </c>
      <c r="L199" s="19" t="str">
        <f>VLOOKUP(C199,'[4]Trips&amp;Operators'!$C$2:$E$10000,3,FALSE)</f>
        <v>DE LA ROSA</v>
      </c>
      <c r="M199" s="20" t="s">
        <v>112</v>
      </c>
      <c r="N199" s="19"/>
      <c r="O199" s="19" t="str">
        <f t="shared" si="6"/>
        <v>03</v>
      </c>
      <c r="P199" s="64">
        <f t="shared" si="7"/>
        <v>42554</v>
      </c>
    </row>
    <row r="200" spans="1:16" x14ac:dyDescent="0.25">
      <c r="A200" s="26">
        <v>42554.182164351849</v>
      </c>
      <c r="B200" s="4" t="s">
        <v>133</v>
      </c>
      <c r="C200" s="4" t="s">
        <v>829</v>
      </c>
      <c r="D200" s="4" t="s">
        <v>103</v>
      </c>
      <c r="E200" s="51" t="s">
        <v>129</v>
      </c>
      <c r="F200" s="3">
        <v>0</v>
      </c>
      <c r="G200" s="4">
        <v>7</v>
      </c>
      <c r="H200" s="4">
        <v>233312</v>
      </c>
      <c r="I200" s="51" t="s">
        <v>130</v>
      </c>
      <c r="J200" s="4">
        <v>233491</v>
      </c>
      <c r="K200" s="4" t="s">
        <v>111</v>
      </c>
      <c r="L200" s="19" t="str">
        <f>VLOOKUP(C200,'[4]Trips&amp;Operators'!$C$2:$E$10000,3,FALSE)</f>
        <v>STURGEON</v>
      </c>
      <c r="M200" s="20" t="s">
        <v>112</v>
      </c>
      <c r="N200" s="19"/>
      <c r="O200" s="19" t="str">
        <f t="shared" si="6"/>
        <v>03</v>
      </c>
      <c r="P200" s="64">
        <f t="shared" si="7"/>
        <v>42554</v>
      </c>
    </row>
    <row r="201" spans="1:16" x14ac:dyDescent="0.25">
      <c r="A201" s="17">
        <v>42554.287152777775</v>
      </c>
      <c r="B201" s="18" t="s">
        <v>148</v>
      </c>
      <c r="C201" s="18" t="s">
        <v>820</v>
      </c>
      <c r="D201" s="18" t="s">
        <v>103</v>
      </c>
      <c r="E201" s="52" t="s">
        <v>129</v>
      </c>
      <c r="F201" s="53">
        <v>0</v>
      </c>
      <c r="G201" s="18">
        <v>4</v>
      </c>
      <c r="H201" s="18">
        <v>233336</v>
      </c>
      <c r="I201" s="52" t="s">
        <v>130</v>
      </c>
      <c r="J201" s="18">
        <v>233491</v>
      </c>
      <c r="K201" s="19" t="s">
        <v>111</v>
      </c>
      <c r="L201" s="19" t="str">
        <f>VLOOKUP(C201,'[4]Trips&amp;Operators'!$C$2:$E$10000,3,FALSE)</f>
        <v>STRICKLAND</v>
      </c>
      <c r="M201" s="20" t="s">
        <v>112</v>
      </c>
      <c r="N201" s="19"/>
      <c r="O201" s="19" t="str">
        <f t="shared" si="6"/>
        <v>03</v>
      </c>
      <c r="P201" s="64">
        <f t="shared" si="7"/>
        <v>42554</v>
      </c>
    </row>
    <row r="202" spans="1:16" x14ac:dyDescent="0.25">
      <c r="A202" s="26">
        <v>42554.32885416667</v>
      </c>
      <c r="B202" s="4" t="s">
        <v>133</v>
      </c>
      <c r="C202" s="4" t="s">
        <v>70</v>
      </c>
      <c r="D202" s="4" t="s">
        <v>103</v>
      </c>
      <c r="E202" s="51" t="s">
        <v>129</v>
      </c>
      <c r="F202" s="3">
        <v>0</v>
      </c>
      <c r="G202" s="4">
        <v>60</v>
      </c>
      <c r="H202" s="4">
        <v>233314</v>
      </c>
      <c r="I202" s="51" t="s">
        <v>130</v>
      </c>
      <c r="J202" s="4">
        <v>233491</v>
      </c>
      <c r="K202" s="4" t="s">
        <v>111</v>
      </c>
      <c r="L202" s="19" t="str">
        <f>VLOOKUP(C202,'[4]Trips&amp;Operators'!$C$2:$E$10000,3,FALSE)</f>
        <v>MAYBERRY</v>
      </c>
      <c r="M202" s="4" t="s">
        <v>112</v>
      </c>
      <c r="O202" s="19" t="str">
        <f t="shared" si="6"/>
        <v>03</v>
      </c>
      <c r="P202" s="64">
        <f t="shared" si="7"/>
        <v>42554</v>
      </c>
    </row>
    <row r="203" spans="1:16" x14ac:dyDescent="0.25">
      <c r="A203" s="26">
        <v>42554.349456018521</v>
      </c>
      <c r="B203" s="4" t="s">
        <v>163</v>
      </c>
      <c r="C203" s="4" t="s">
        <v>833</v>
      </c>
      <c r="D203" s="4" t="s">
        <v>103</v>
      </c>
      <c r="E203" s="51" t="s">
        <v>129</v>
      </c>
      <c r="F203" s="3">
        <v>0</v>
      </c>
      <c r="G203" s="4">
        <v>5</v>
      </c>
      <c r="H203" s="4">
        <v>233324</v>
      </c>
      <c r="I203" s="51" t="s">
        <v>130</v>
      </c>
      <c r="J203" s="4">
        <v>233491</v>
      </c>
      <c r="K203" s="4" t="s">
        <v>111</v>
      </c>
      <c r="L203" s="19" t="str">
        <f>VLOOKUP(C203,'[4]Trips&amp;Operators'!$C$2:$E$10000,3,FALSE)</f>
        <v>YORK</v>
      </c>
      <c r="M203" s="20" t="s">
        <v>112</v>
      </c>
      <c r="O203" s="19" t="str">
        <f t="shared" si="6"/>
        <v>03</v>
      </c>
      <c r="P203" s="64">
        <f t="shared" si="7"/>
        <v>42554</v>
      </c>
    </row>
    <row r="204" spans="1:16" x14ac:dyDescent="0.25">
      <c r="A204" s="26">
        <v>42554.453298611108</v>
      </c>
      <c r="B204" s="4" t="s">
        <v>125</v>
      </c>
      <c r="C204" s="4" t="s">
        <v>836</v>
      </c>
      <c r="D204" s="4" t="s">
        <v>103</v>
      </c>
      <c r="E204" s="51" t="s">
        <v>129</v>
      </c>
      <c r="F204" s="3">
        <v>0</v>
      </c>
      <c r="G204" s="4">
        <v>4</v>
      </c>
      <c r="H204" s="4">
        <v>233332</v>
      </c>
      <c r="I204" s="51" t="s">
        <v>130</v>
      </c>
      <c r="J204" s="4">
        <v>233491</v>
      </c>
      <c r="K204" s="4" t="s">
        <v>111</v>
      </c>
      <c r="L204" s="19" t="str">
        <f>VLOOKUP(C204,'[4]Trips&amp;Operators'!$C$2:$E$10000,3,FALSE)</f>
        <v>NEWELL</v>
      </c>
      <c r="M204" s="20" t="s">
        <v>112</v>
      </c>
      <c r="N204" s="19"/>
      <c r="O204" s="19" t="str">
        <f t="shared" si="6"/>
        <v>03</v>
      </c>
      <c r="P204" s="64">
        <f t="shared" si="7"/>
        <v>42554</v>
      </c>
    </row>
    <row r="205" spans="1:16" x14ac:dyDescent="0.25">
      <c r="A205" s="26">
        <v>42554.478055555555</v>
      </c>
      <c r="B205" s="4" t="s">
        <v>133</v>
      </c>
      <c r="C205" s="4" t="s">
        <v>809</v>
      </c>
      <c r="D205" s="4" t="s">
        <v>103</v>
      </c>
      <c r="E205" s="51" t="s">
        <v>129</v>
      </c>
      <c r="F205" s="3">
        <v>0</v>
      </c>
      <c r="G205" s="4">
        <v>3</v>
      </c>
      <c r="H205" s="4">
        <v>233316</v>
      </c>
      <c r="I205" s="51" t="s">
        <v>130</v>
      </c>
      <c r="J205" s="4">
        <v>233491</v>
      </c>
      <c r="K205" s="4" t="s">
        <v>111</v>
      </c>
      <c r="L205" s="19" t="str">
        <f>VLOOKUP(C205,'[4]Trips&amp;Operators'!$C$2:$E$10000,3,FALSE)</f>
        <v>MADLOM</v>
      </c>
      <c r="M205" s="20" t="s">
        <v>112</v>
      </c>
      <c r="N205" s="19"/>
      <c r="O205" s="19" t="str">
        <f t="shared" si="6"/>
        <v>03</v>
      </c>
      <c r="P205" s="64">
        <f t="shared" si="7"/>
        <v>42554</v>
      </c>
    </row>
    <row r="206" spans="1:16" x14ac:dyDescent="0.25">
      <c r="A206" s="26">
        <v>42554.532048611109</v>
      </c>
      <c r="B206" s="4" t="s">
        <v>125</v>
      </c>
      <c r="C206" s="4" t="s">
        <v>839</v>
      </c>
      <c r="D206" s="4" t="s">
        <v>103</v>
      </c>
      <c r="E206" s="51" t="s">
        <v>129</v>
      </c>
      <c r="F206" s="3">
        <v>0</v>
      </c>
      <c r="G206" s="4">
        <v>7</v>
      </c>
      <c r="H206" s="4">
        <v>233322</v>
      </c>
      <c r="I206" s="51" t="s">
        <v>130</v>
      </c>
      <c r="J206" s="4">
        <v>233491</v>
      </c>
      <c r="K206" s="4" t="s">
        <v>111</v>
      </c>
      <c r="L206" s="19" t="str">
        <f>VLOOKUP(C206,'[4]Trips&amp;Operators'!$C$2:$E$10000,3,FALSE)</f>
        <v>NEWELL</v>
      </c>
      <c r="M206" s="4" t="s">
        <v>112</v>
      </c>
      <c r="O206" s="19" t="str">
        <f t="shared" si="6"/>
        <v>03</v>
      </c>
      <c r="P206" s="64">
        <f t="shared" si="7"/>
        <v>42554</v>
      </c>
    </row>
    <row r="207" spans="1:16" x14ac:dyDescent="0.25">
      <c r="A207" s="26">
        <v>42554.557187500002</v>
      </c>
      <c r="B207" s="4" t="s">
        <v>114</v>
      </c>
      <c r="C207" s="4" t="s">
        <v>263</v>
      </c>
      <c r="D207" s="4" t="s">
        <v>103</v>
      </c>
      <c r="E207" s="51" t="s">
        <v>129</v>
      </c>
      <c r="F207" s="3">
        <v>0</v>
      </c>
      <c r="G207" s="4">
        <v>5</v>
      </c>
      <c r="H207" s="4">
        <v>233323</v>
      </c>
      <c r="I207" s="51" t="s">
        <v>130</v>
      </c>
      <c r="J207" s="4">
        <v>233491</v>
      </c>
      <c r="K207" s="4" t="s">
        <v>111</v>
      </c>
      <c r="L207" s="19" t="str">
        <f>VLOOKUP(C207,'[4]Trips&amp;Operators'!$C$2:$E$10000,3,FALSE)</f>
        <v>WEBSTER</v>
      </c>
      <c r="M207" s="4" t="s">
        <v>112</v>
      </c>
      <c r="N207" s="19"/>
      <c r="O207" s="19" t="str">
        <f t="shared" si="6"/>
        <v>03</v>
      </c>
      <c r="P207" s="64">
        <f t="shared" si="7"/>
        <v>42554</v>
      </c>
    </row>
    <row r="208" spans="1:16" x14ac:dyDescent="0.25">
      <c r="A208" s="26">
        <v>42554.599386574075</v>
      </c>
      <c r="B208" s="4" t="s">
        <v>125</v>
      </c>
      <c r="C208" s="4" t="s">
        <v>842</v>
      </c>
      <c r="D208" s="4" t="s">
        <v>103</v>
      </c>
      <c r="E208" s="51" t="s">
        <v>129</v>
      </c>
      <c r="F208" s="3">
        <v>0</v>
      </c>
      <c r="G208" s="4">
        <v>9</v>
      </c>
      <c r="H208" s="4">
        <v>233331</v>
      </c>
      <c r="I208" s="51" t="s">
        <v>130</v>
      </c>
      <c r="J208" s="4">
        <v>233491</v>
      </c>
      <c r="K208" s="4" t="s">
        <v>111</v>
      </c>
      <c r="L208" s="19" t="str">
        <f>VLOOKUP(C208,'[4]Trips&amp;Operators'!$C$2:$E$10000,3,FALSE)</f>
        <v>NEWELL</v>
      </c>
      <c r="M208" s="20" t="s">
        <v>112</v>
      </c>
      <c r="N208" s="19"/>
      <c r="O208" s="19" t="str">
        <f t="shared" si="6"/>
        <v>03</v>
      </c>
      <c r="P208" s="64">
        <f t="shared" si="7"/>
        <v>42554</v>
      </c>
    </row>
    <row r="209" spans="1:16" x14ac:dyDescent="0.25">
      <c r="A209" s="26">
        <v>42554.615810185183</v>
      </c>
      <c r="B209" s="4" t="s">
        <v>121</v>
      </c>
      <c r="C209" s="4" t="s">
        <v>264</v>
      </c>
      <c r="D209" s="4" t="s">
        <v>103</v>
      </c>
      <c r="E209" s="51" t="s">
        <v>129</v>
      </c>
      <c r="F209" s="3">
        <v>0</v>
      </c>
      <c r="G209" s="4">
        <v>108</v>
      </c>
      <c r="H209" s="4">
        <v>233028</v>
      </c>
      <c r="I209" s="51" t="s">
        <v>130</v>
      </c>
      <c r="J209" s="4">
        <v>233491</v>
      </c>
      <c r="K209" s="4" t="s">
        <v>111</v>
      </c>
      <c r="L209" s="19" t="str">
        <f>VLOOKUP(C209,'[4]Trips&amp;Operators'!$C$2:$E$10000,3,FALSE)</f>
        <v>STEWART</v>
      </c>
      <c r="M209" s="20" t="s">
        <v>112</v>
      </c>
      <c r="N209" s="19"/>
      <c r="O209" s="19" t="str">
        <f t="shared" si="6"/>
        <v>03</v>
      </c>
      <c r="P209" s="64">
        <f t="shared" si="7"/>
        <v>42554</v>
      </c>
    </row>
    <row r="210" spans="1:16" x14ac:dyDescent="0.25">
      <c r="A210" s="26">
        <v>42554.660231481481</v>
      </c>
      <c r="B210" s="4" t="s">
        <v>135</v>
      </c>
      <c r="C210" s="4" t="s">
        <v>149</v>
      </c>
      <c r="D210" s="4" t="s">
        <v>103</v>
      </c>
      <c r="E210" s="51" t="s">
        <v>129</v>
      </c>
      <c r="F210" s="3">
        <v>0</v>
      </c>
      <c r="G210" s="4">
        <v>8</v>
      </c>
      <c r="H210" s="4">
        <v>233383</v>
      </c>
      <c r="I210" s="51" t="s">
        <v>130</v>
      </c>
      <c r="J210" s="4">
        <v>233491</v>
      </c>
      <c r="K210" s="4" t="s">
        <v>111</v>
      </c>
      <c r="L210" s="19" t="str">
        <f>VLOOKUP(C210,'[4]Trips&amp;Operators'!$C$2:$E$10000,3,FALSE)</f>
        <v>LOCKLEAR</v>
      </c>
      <c r="M210" s="4" t="s">
        <v>112</v>
      </c>
      <c r="O210" s="19" t="str">
        <f t="shared" si="6"/>
        <v>03</v>
      </c>
      <c r="P210" s="64">
        <f t="shared" si="7"/>
        <v>42554</v>
      </c>
    </row>
    <row r="211" spans="1:16" x14ac:dyDescent="0.25">
      <c r="A211" s="17">
        <v>42554.671458333331</v>
      </c>
      <c r="B211" s="18" t="s">
        <v>125</v>
      </c>
      <c r="C211" s="18" t="s">
        <v>849</v>
      </c>
      <c r="D211" s="18" t="s">
        <v>103</v>
      </c>
      <c r="E211" s="52" t="s">
        <v>129</v>
      </c>
      <c r="F211" s="53">
        <v>0</v>
      </c>
      <c r="G211" s="18">
        <v>8</v>
      </c>
      <c r="H211" s="18">
        <v>233339</v>
      </c>
      <c r="I211" s="52" t="s">
        <v>130</v>
      </c>
      <c r="J211" s="18">
        <v>233491</v>
      </c>
      <c r="K211" s="19" t="s">
        <v>111</v>
      </c>
      <c r="L211" s="19" t="str">
        <f>VLOOKUP(C211,'[4]Trips&amp;Operators'!$C$2:$E$10000,3,FALSE)</f>
        <v>NEWELL</v>
      </c>
      <c r="M211" s="20" t="s">
        <v>112</v>
      </c>
      <c r="N211" s="19"/>
      <c r="O211" s="19" t="str">
        <f t="shared" si="6"/>
        <v>03</v>
      </c>
      <c r="P211" s="64">
        <f t="shared" si="7"/>
        <v>42554</v>
      </c>
    </row>
    <row r="212" spans="1:16" x14ac:dyDescent="0.25">
      <c r="A212" s="26">
        <v>42554.681817129633</v>
      </c>
      <c r="B212" s="4" t="s">
        <v>121</v>
      </c>
      <c r="C212" s="4" t="s">
        <v>850</v>
      </c>
      <c r="D212" s="4" t="s">
        <v>103</v>
      </c>
      <c r="E212" s="51" t="s">
        <v>129</v>
      </c>
      <c r="F212" s="3">
        <v>0</v>
      </c>
      <c r="G212" s="4">
        <v>86</v>
      </c>
      <c r="H212" s="4">
        <v>233157</v>
      </c>
      <c r="I212" s="51" t="s">
        <v>130</v>
      </c>
      <c r="J212" s="4">
        <v>233491</v>
      </c>
      <c r="K212" s="4" t="s">
        <v>111</v>
      </c>
      <c r="L212" s="19" t="str">
        <f>VLOOKUP(C212,'[4]Trips&amp;Operators'!$C$2:$E$10000,3,FALSE)</f>
        <v>STEWART</v>
      </c>
      <c r="M212" s="4" t="s">
        <v>112</v>
      </c>
      <c r="N212" s="19"/>
      <c r="O212" s="19" t="str">
        <f t="shared" si="6"/>
        <v>03</v>
      </c>
      <c r="P212" s="64">
        <f t="shared" si="7"/>
        <v>42554</v>
      </c>
    </row>
    <row r="213" spans="1:16" x14ac:dyDescent="0.25">
      <c r="A213" s="26">
        <v>42554.858124999999</v>
      </c>
      <c r="B213" s="4" t="s">
        <v>137</v>
      </c>
      <c r="C213" s="4" t="s">
        <v>854</v>
      </c>
      <c r="D213" s="4" t="s">
        <v>103</v>
      </c>
      <c r="E213" s="51" t="s">
        <v>129</v>
      </c>
      <c r="F213" s="3">
        <v>0</v>
      </c>
      <c r="G213" s="4">
        <v>4</v>
      </c>
      <c r="H213" s="4">
        <v>233281</v>
      </c>
      <c r="I213" s="51" t="s">
        <v>130</v>
      </c>
      <c r="J213" s="4">
        <v>233491</v>
      </c>
      <c r="K213" s="4" t="s">
        <v>111</v>
      </c>
      <c r="L213" s="19" t="str">
        <f>VLOOKUP(C213,'[4]Trips&amp;Operators'!$C$2:$E$10000,3,FALSE)</f>
        <v>BRUDER</v>
      </c>
      <c r="M213" s="4" t="s">
        <v>112</v>
      </c>
      <c r="N213" s="19"/>
      <c r="O213" s="19" t="str">
        <f t="shared" si="6"/>
        <v>03</v>
      </c>
      <c r="P213" s="64">
        <f t="shared" si="7"/>
        <v>42554</v>
      </c>
    </row>
    <row r="214" spans="1:16" x14ac:dyDescent="0.25">
      <c r="A214" s="17">
        <v>42555.024340277778</v>
      </c>
      <c r="B214" s="18" t="s">
        <v>137</v>
      </c>
      <c r="C214" s="18" t="s">
        <v>857</v>
      </c>
      <c r="D214" s="18" t="s">
        <v>103</v>
      </c>
      <c r="E214" s="52" t="s">
        <v>129</v>
      </c>
      <c r="F214" s="53">
        <v>0</v>
      </c>
      <c r="G214" s="18">
        <v>8</v>
      </c>
      <c r="H214" s="18">
        <v>233297</v>
      </c>
      <c r="I214" s="52" t="s">
        <v>130</v>
      </c>
      <c r="J214" s="18">
        <v>233491</v>
      </c>
      <c r="K214" s="19" t="s">
        <v>111</v>
      </c>
      <c r="L214" s="19" t="str">
        <f>VLOOKUP(C214,'[4]Trips&amp;Operators'!$C$2:$E$10000,3,FALSE)</f>
        <v>BRUDER</v>
      </c>
      <c r="M214" s="4" t="s">
        <v>112</v>
      </c>
      <c r="N214" s="19"/>
      <c r="O214" s="19" t="str">
        <f t="shared" si="6"/>
        <v>03</v>
      </c>
      <c r="P214" s="64">
        <f t="shared" si="7"/>
        <v>42554</v>
      </c>
    </row>
    <row r="215" spans="1:16" x14ac:dyDescent="0.25">
      <c r="A215" s="26">
        <v>42555.432858796295</v>
      </c>
      <c r="B215" s="4" t="s">
        <v>141</v>
      </c>
      <c r="C215" s="4" t="s">
        <v>858</v>
      </c>
      <c r="D215" s="4" t="s">
        <v>103</v>
      </c>
      <c r="E215" s="51" t="s">
        <v>104</v>
      </c>
      <c r="F215" s="3">
        <v>790</v>
      </c>
      <c r="G215" s="4">
        <v>15</v>
      </c>
      <c r="H215" s="4">
        <v>36749</v>
      </c>
      <c r="I215" s="51" t="s">
        <v>105</v>
      </c>
      <c r="J215" s="4">
        <v>68497</v>
      </c>
      <c r="K215" s="4" t="s">
        <v>106</v>
      </c>
      <c r="L215" s="19" t="str">
        <f>VLOOKUP(C215,'[5]Trips&amp;Operators'!$C$2:$E$10000,3,FALSE)</f>
        <v>ROCHA</v>
      </c>
      <c r="M215" s="20" t="s">
        <v>107</v>
      </c>
      <c r="N215" s="19" t="s">
        <v>47</v>
      </c>
      <c r="O215" s="19" t="str">
        <f t="shared" si="6"/>
        <v>04</v>
      </c>
      <c r="P215" s="64">
        <f t="shared" si="7"/>
        <v>42555</v>
      </c>
    </row>
    <row r="216" spans="1:16" x14ac:dyDescent="0.25">
      <c r="A216" s="17">
        <v>42555.706932870373</v>
      </c>
      <c r="B216" s="18" t="s">
        <v>114</v>
      </c>
      <c r="C216" s="18" t="s">
        <v>275</v>
      </c>
      <c r="D216" s="18" t="s">
        <v>103</v>
      </c>
      <c r="E216" s="52" t="s">
        <v>104</v>
      </c>
      <c r="F216" s="53">
        <v>790</v>
      </c>
      <c r="G216" s="18">
        <v>780</v>
      </c>
      <c r="H216" s="18">
        <v>144054</v>
      </c>
      <c r="I216" s="52" t="s">
        <v>105</v>
      </c>
      <c r="J216" s="18">
        <v>110617</v>
      </c>
      <c r="K216" s="19" t="s">
        <v>111</v>
      </c>
      <c r="L216" s="19" t="str">
        <f>VLOOKUP(C216,'[5]Trips&amp;Operators'!$C$2:$E$10000,3,FALSE)</f>
        <v>LOCKLEAR</v>
      </c>
      <c r="M216" s="20" t="s">
        <v>107</v>
      </c>
      <c r="N216" s="19" t="s">
        <v>47</v>
      </c>
      <c r="O216" s="19" t="str">
        <f t="shared" si="6"/>
        <v>04</v>
      </c>
      <c r="P216" s="64">
        <f t="shared" si="7"/>
        <v>42555</v>
      </c>
    </row>
    <row r="217" spans="1:16" x14ac:dyDescent="0.25">
      <c r="A217" s="26">
        <v>42555.342812499999</v>
      </c>
      <c r="B217" s="4" t="s">
        <v>132</v>
      </c>
      <c r="C217" s="4" t="s">
        <v>272</v>
      </c>
      <c r="D217" s="4" t="s">
        <v>103</v>
      </c>
      <c r="E217" s="51" t="s">
        <v>109</v>
      </c>
      <c r="F217" s="3">
        <v>0</v>
      </c>
      <c r="G217" s="4">
        <v>82</v>
      </c>
      <c r="H217" s="4">
        <v>62494</v>
      </c>
      <c r="I217" s="51" t="s">
        <v>110</v>
      </c>
      <c r="J217" s="4">
        <v>63068</v>
      </c>
      <c r="K217" s="4" t="s">
        <v>111</v>
      </c>
      <c r="L217" s="19" t="str">
        <f>VLOOKUP(C217,'[5]Trips&amp;Operators'!$C$2:$E$10000,3,FALSE)</f>
        <v>YANAI</v>
      </c>
      <c r="M217" s="20" t="s">
        <v>107</v>
      </c>
      <c r="N217" s="19" t="s">
        <v>47</v>
      </c>
      <c r="O217" s="19" t="str">
        <f t="shared" si="6"/>
        <v>04</v>
      </c>
      <c r="P217" s="64">
        <f t="shared" si="7"/>
        <v>42555</v>
      </c>
    </row>
    <row r="218" spans="1:16" x14ac:dyDescent="0.25">
      <c r="A218" s="26">
        <v>42555.343310185184</v>
      </c>
      <c r="B218" s="4" t="s">
        <v>132</v>
      </c>
      <c r="C218" s="4" t="s">
        <v>272</v>
      </c>
      <c r="D218" s="4" t="s">
        <v>116</v>
      </c>
      <c r="E218" s="51" t="s">
        <v>109</v>
      </c>
      <c r="F218" s="3">
        <v>0</v>
      </c>
      <c r="G218" s="4">
        <v>3</v>
      </c>
      <c r="H218" s="4">
        <v>63124</v>
      </c>
      <c r="I218" s="51" t="s">
        <v>110</v>
      </c>
      <c r="J218" s="4">
        <v>63068</v>
      </c>
      <c r="K218" s="4" t="s">
        <v>111</v>
      </c>
      <c r="L218" s="19" t="str">
        <f>VLOOKUP(C218,'[5]Trips&amp;Operators'!$C$2:$E$10000,3,FALSE)</f>
        <v>YANAI</v>
      </c>
      <c r="M218" s="20" t="s">
        <v>112</v>
      </c>
      <c r="N218" s="19" t="s">
        <v>186</v>
      </c>
      <c r="O218" s="19" t="str">
        <f t="shared" si="6"/>
        <v>04</v>
      </c>
      <c r="P218" s="64">
        <f t="shared" si="7"/>
        <v>42555</v>
      </c>
    </row>
    <row r="219" spans="1:16" x14ac:dyDescent="0.25">
      <c r="A219" s="17">
        <v>42555.488622685189</v>
      </c>
      <c r="B219" s="18" t="s">
        <v>138</v>
      </c>
      <c r="C219" s="18" t="s">
        <v>859</v>
      </c>
      <c r="D219" s="18" t="s">
        <v>103</v>
      </c>
      <c r="E219" s="52" t="s">
        <v>109</v>
      </c>
      <c r="F219" s="53">
        <v>0</v>
      </c>
      <c r="G219" s="18">
        <v>43</v>
      </c>
      <c r="H219" s="18">
        <v>62984</v>
      </c>
      <c r="I219" s="52" t="s">
        <v>110</v>
      </c>
      <c r="J219" s="18">
        <v>63068</v>
      </c>
      <c r="K219" s="19" t="s">
        <v>111</v>
      </c>
      <c r="L219" s="19" t="str">
        <f>VLOOKUP(C219,'[5]Trips&amp;Operators'!$C$2:$E$10000,3,FALSE)</f>
        <v>BONDS</v>
      </c>
      <c r="M219" s="20" t="s">
        <v>112</v>
      </c>
      <c r="N219" s="19" t="s">
        <v>186</v>
      </c>
      <c r="O219" s="19" t="str">
        <f t="shared" si="6"/>
        <v>04</v>
      </c>
      <c r="P219" s="64">
        <f t="shared" si="7"/>
        <v>42555</v>
      </c>
    </row>
    <row r="220" spans="1:16" x14ac:dyDescent="0.25">
      <c r="A220" s="17">
        <v>42555.634317129632</v>
      </c>
      <c r="B220" s="18" t="s">
        <v>138</v>
      </c>
      <c r="C220" s="18" t="s">
        <v>860</v>
      </c>
      <c r="D220" s="18" t="s">
        <v>103</v>
      </c>
      <c r="E220" s="52" t="s">
        <v>109</v>
      </c>
      <c r="F220" s="53">
        <v>0</v>
      </c>
      <c r="G220" s="18">
        <v>38</v>
      </c>
      <c r="H220" s="18">
        <v>62917</v>
      </c>
      <c r="I220" s="52" t="s">
        <v>110</v>
      </c>
      <c r="J220" s="18">
        <v>63068</v>
      </c>
      <c r="K220" s="19" t="s">
        <v>111</v>
      </c>
      <c r="L220" s="19" t="str">
        <f>VLOOKUP(C220,'[5]Trips&amp;Operators'!$C$2:$E$10000,3,FALSE)</f>
        <v>BONDS</v>
      </c>
      <c r="M220" s="20" t="s">
        <v>112</v>
      </c>
      <c r="N220" s="19" t="s">
        <v>186</v>
      </c>
      <c r="O220" s="19" t="str">
        <f t="shared" si="6"/>
        <v>04</v>
      </c>
      <c r="P220" s="64">
        <f t="shared" si="7"/>
        <v>42555</v>
      </c>
    </row>
    <row r="221" spans="1:16" x14ac:dyDescent="0.25">
      <c r="A221" s="26">
        <v>42555.349247685182</v>
      </c>
      <c r="B221" s="4" t="s">
        <v>132</v>
      </c>
      <c r="C221" s="4" t="s">
        <v>272</v>
      </c>
      <c r="D221" s="4" t="s">
        <v>103</v>
      </c>
      <c r="E221" s="51" t="s">
        <v>109</v>
      </c>
      <c r="F221" s="3">
        <v>620</v>
      </c>
      <c r="G221" s="4">
        <v>768</v>
      </c>
      <c r="H221" s="4">
        <v>105746</v>
      </c>
      <c r="I221" s="51" t="s">
        <v>110</v>
      </c>
      <c r="J221" s="4">
        <v>108954</v>
      </c>
      <c r="K221" s="4" t="s">
        <v>111</v>
      </c>
      <c r="L221" s="19" t="str">
        <f>VLOOKUP(C221,'[5]Trips&amp;Operators'!$C$2:$E$10000,3,FALSE)</f>
        <v>YANAI</v>
      </c>
      <c r="M221" s="20" t="s">
        <v>112</v>
      </c>
      <c r="N221" s="19" t="s">
        <v>543</v>
      </c>
      <c r="O221" s="19" t="str">
        <f t="shared" si="6"/>
        <v>04</v>
      </c>
      <c r="P221" s="64">
        <f t="shared" si="7"/>
        <v>42555</v>
      </c>
    </row>
    <row r="222" spans="1:16" x14ac:dyDescent="0.25">
      <c r="A222" s="17">
        <v>42555.522615740738</v>
      </c>
      <c r="B222" s="18" t="s">
        <v>117</v>
      </c>
      <c r="C222" s="18" t="s">
        <v>271</v>
      </c>
      <c r="D222" s="18" t="s">
        <v>103</v>
      </c>
      <c r="E222" s="52" t="s">
        <v>115</v>
      </c>
      <c r="F222" s="53">
        <v>150</v>
      </c>
      <c r="G222" s="18">
        <v>195</v>
      </c>
      <c r="H222" s="18">
        <v>5067</v>
      </c>
      <c r="I222" s="52" t="s">
        <v>105</v>
      </c>
      <c r="J222" s="18">
        <v>4677</v>
      </c>
      <c r="K222" s="19" t="s">
        <v>106</v>
      </c>
      <c r="L222" s="19" t="str">
        <f>VLOOKUP(C222,'[5]Trips&amp;Operators'!$C$2:$E$10000,3,FALSE)</f>
        <v>MALAVE</v>
      </c>
      <c r="M222" s="20" t="s">
        <v>112</v>
      </c>
      <c r="N222" s="19"/>
      <c r="O222" s="19" t="str">
        <f t="shared" si="6"/>
        <v>04</v>
      </c>
      <c r="P222" s="64">
        <f t="shared" si="7"/>
        <v>42555</v>
      </c>
    </row>
    <row r="223" spans="1:16" x14ac:dyDescent="0.25">
      <c r="A223" s="26">
        <v>42555.76734953704</v>
      </c>
      <c r="B223" s="4" t="s">
        <v>131</v>
      </c>
      <c r="C223" s="4" t="s">
        <v>878</v>
      </c>
      <c r="D223" s="4" t="s">
        <v>116</v>
      </c>
      <c r="E223" s="4" t="s">
        <v>115</v>
      </c>
      <c r="F223" s="3">
        <v>200</v>
      </c>
      <c r="G223" s="4">
        <v>251</v>
      </c>
      <c r="H223" s="4">
        <v>6103</v>
      </c>
      <c r="I223" s="4" t="s">
        <v>105</v>
      </c>
      <c r="J223" s="4">
        <v>4790</v>
      </c>
      <c r="K223" s="4" t="s">
        <v>111</v>
      </c>
      <c r="L223" s="19" t="str">
        <f>VLOOKUP(C223,'[5]Trips&amp;Operators'!$C$2:$E$10000,3,FALSE)</f>
        <v>STRICKLAND</v>
      </c>
      <c r="M223" s="20" t="s">
        <v>112</v>
      </c>
      <c r="N223" s="19"/>
      <c r="O223" s="19" t="str">
        <f t="shared" si="6"/>
        <v>04</v>
      </c>
      <c r="P223" s="64">
        <f t="shared" si="7"/>
        <v>42555</v>
      </c>
    </row>
    <row r="224" spans="1:16" x14ac:dyDescent="0.25">
      <c r="A224" s="26">
        <v>42555.76734953704</v>
      </c>
      <c r="B224" s="4" t="s">
        <v>120</v>
      </c>
      <c r="C224" s="4" t="s">
        <v>879</v>
      </c>
      <c r="D224" s="4" t="s">
        <v>116</v>
      </c>
      <c r="E224" s="4" t="s">
        <v>115</v>
      </c>
      <c r="F224" s="3">
        <v>200</v>
      </c>
      <c r="G224" s="4">
        <v>250</v>
      </c>
      <c r="H224" s="4">
        <v>6114</v>
      </c>
      <c r="I224" s="4" t="s">
        <v>105</v>
      </c>
      <c r="J224" s="4">
        <v>4790</v>
      </c>
      <c r="K224" s="4" t="s">
        <v>111</v>
      </c>
      <c r="L224" s="19" t="str">
        <f>VLOOKUP(C224,'[5]Trips&amp;Operators'!$C$2:$E$10000,3,FALSE)</f>
        <v>STRICKLAND</v>
      </c>
      <c r="M224" s="20" t="s">
        <v>112</v>
      </c>
      <c r="N224" s="19"/>
      <c r="O224" s="19" t="str">
        <f t="shared" si="6"/>
        <v>04</v>
      </c>
      <c r="P224" s="64">
        <f t="shared" si="7"/>
        <v>42555</v>
      </c>
    </row>
    <row r="225" spans="1:16" x14ac:dyDescent="0.25">
      <c r="A225" s="26">
        <v>42555.621793981481</v>
      </c>
      <c r="B225" s="4" t="s">
        <v>131</v>
      </c>
      <c r="C225" s="4" t="s">
        <v>872</v>
      </c>
      <c r="D225" s="4" t="s">
        <v>103</v>
      </c>
      <c r="E225" s="51" t="s">
        <v>115</v>
      </c>
      <c r="F225" s="3">
        <v>150</v>
      </c>
      <c r="G225" s="4">
        <v>180</v>
      </c>
      <c r="H225" s="4">
        <v>6084</v>
      </c>
      <c r="I225" s="51" t="s">
        <v>105</v>
      </c>
      <c r="J225" s="4">
        <v>5315</v>
      </c>
      <c r="K225" s="4" t="s">
        <v>106</v>
      </c>
      <c r="L225" s="19" t="str">
        <f>VLOOKUP(C225,'[5]Trips&amp;Operators'!$C$2:$E$10000,3,FALSE)</f>
        <v>STRICKLAND</v>
      </c>
      <c r="M225" s="20" t="s">
        <v>112</v>
      </c>
      <c r="N225" s="19"/>
      <c r="O225" s="19" t="str">
        <f t="shared" si="6"/>
        <v>04</v>
      </c>
      <c r="P225" s="64">
        <f t="shared" si="7"/>
        <v>42555</v>
      </c>
    </row>
    <row r="226" spans="1:16" x14ac:dyDescent="0.25">
      <c r="A226" s="26">
        <v>42555.663298611114</v>
      </c>
      <c r="B226" s="4" t="s">
        <v>131</v>
      </c>
      <c r="C226" s="4" t="s">
        <v>874</v>
      </c>
      <c r="D226" s="4" t="s">
        <v>103</v>
      </c>
      <c r="E226" s="51" t="s">
        <v>115</v>
      </c>
      <c r="F226" s="3">
        <v>150</v>
      </c>
      <c r="G226" s="4">
        <v>167</v>
      </c>
      <c r="H226" s="4">
        <v>5907</v>
      </c>
      <c r="I226" s="51" t="s">
        <v>105</v>
      </c>
      <c r="J226" s="4">
        <v>5315</v>
      </c>
      <c r="K226" s="4" t="s">
        <v>106</v>
      </c>
      <c r="L226" s="19" t="str">
        <f>VLOOKUP(C226,'[5]Trips&amp;Operators'!$C$2:$E$10000,3,FALSE)</f>
        <v>STRICKLAND</v>
      </c>
      <c r="M226" s="20" t="s">
        <v>112</v>
      </c>
      <c r="N226" s="19"/>
      <c r="O226" s="19" t="str">
        <f t="shared" si="6"/>
        <v>04</v>
      </c>
      <c r="P226" s="64">
        <f t="shared" si="7"/>
        <v>42555</v>
      </c>
    </row>
    <row r="227" spans="1:16" x14ac:dyDescent="0.25">
      <c r="A227" s="17">
        <v>42555.663738425923</v>
      </c>
      <c r="B227" s="18" t="s">
        <v>131</v>
      </c>
      <c r="C227" s="18" t="s">
        <v>874</v>
      </c>
      <c r="D227" s="18" t="s">
        <v>103</v>
      </c>
      <c r="E227" s="52" t="s">
        <v>115</v>
      </c>
      <c r="F227" s="53">
        <v>150</v>
      </c>
      <c r="G227" s="18">
        <v>114</v>
      </c>
      <c r="H227" s="18">
        <v>5482</v>
      </c>
      <c r="I227" s="52" t="s">
        <v>105</v>
      </c>
      <c r="J227" s="18">
        <v>5315</v>
      </c>
      <c r="K227" s="19" t="s">
        <v>106</v>
      </c>
      <c r="L227" s="19" t="str">
        <f>VLOOKUP(C227,'[5]Trips&amp;Operators'!$C$2:$E$10000,3,FALSE)</f>
        <v>STRICKLAND</v>
      </c>
      <c r="M227" s="20" t="s">
        <v>112</v>
      </c>
      <c r="N227" s="19"/>
      <c r="O227" s="19" t="str">
        <f t="shared" si="6"/>
        <v>04</v>
      </c>
      <c r="P227" s="64">
        <f t="shared" si="7"/>
        <v>42555</v>
      </c>
    </row>
    <row r="228" spans="1:16" x14ac:dyDescent="0.25">
      <c r="A228" s="26">
        <v>42555.706122685187</v>
      </c>
      <c r="B228" s="4" t="s">
        <v>131</v>
      </c>
      <c r="C228" s="4" t="s">
        <v>876</v>
      </c>
      <c r="D228" s="4" t="s">
        <v>103</v>
      </c>
      <c r="E228" s="51" t="s">
        <v>115</v>
      </c>
      <c r="F228" s="3">
        <v>150</v>
      </c>
      <c r="G228" s="4">
        <v>187</v>
      </c>
      <c r="H228" s="4">
        <v>6296</v>
      </c>
      <c r="I228" s="51" t="s">
        <v>105</v>
      </c>
      <c r="J228" s="4">
        <v>5315</v>
      </c>
      <c r="K228" s="4" t="s">
        <v>106</v>
      </c>
      <c r="L228" s="19" t="str">
        <f>VLOOKUP(C228,'[5]Trips&amp;Operators'!$C$2:$E$10000,3,FALSE)</f>
        <v>STRICKLAND</v>
      </c>
      <c r="M228" s="20" t="s">
        <v>112</v>
      </c>
      <c r="N228" s="19"/>
      <c r="O228" s="19" t="str">
        <f t="shared" si="6"/>
        <v>04</v>
      </c>
      <c r="P228" s="64">
        <f t="shared" si="7"/>
        <v>42555</v>
      </c>
    </row>
    <row r="229" spans="1:16" x14ac:dyDescent="0.25">
      <c r="A229" s="17">
        <v>42555.706597222219</v>
      </c>
      <c r="B229" s="18" t="s">
        <v>131</v>
      </c>
      <c r="C229" s="18" t="s">
        <v>876</v>
      </c>
      <c r="D229" s="18" t="s">
        <v>103</v>
      </c>
      <c r="E229" s="52" t="s">
        <v>115</v>
      </c>
      <c r="F229" s="53">
        <v>150</v>
      </c>
      <c r="G229" s="18">
        <v>131</v>
      </c>
      <c r="H229" s="18">
        <v>5759</v>
      </c>
      <c r="I229" s="52" t="s">
        <v>105</v>
      </c>
      <c r="J229" s="18">
        <v>5315</v>
      </c>
      <c r="K229" s="19" t="s">
        <v>106</v>
      </c>
      <c r="L229" s="19" t="str">
        <f>VLOOKUP(C229,'[5]Trips&amp;Operators'!$C$2:$E$10000,3,FALSE)</f>
        <v>STRICKLAND</v>
      </c>
      <c r="M229" s="20" t="s">
        <v>112</v>
      </c>
      <c r="N229" s="19"/>
      <c r="O229" s="19" t="str">
        <f t="shared" si="6"/>
        <v>04</v>
      </c>
      <c r="P229" s="64">
        <f t="shared" si="7"/>
        <v>42555</v>
      </c>
    </row>
    <row r="230" spans="1:16" x14ac:dyDescent="0.25">
      <c r="A230" s="26">
        <v>42555.440057870372</v>
      </c>
      <c r="B230" s="4" t="s">
        <v>108</v>
      </c>
      <c r="C230" s="4" t="s">
        <v>865</v>
      </c>
      <c r="D230" s="4" t="s">
        <v>103</v>
      </c>
      <c r="E230" s="51" t="s">
        <v>115</v>
      </c>
      <c r="F230" s="3">
        <v>450</v>
      </c>
      <c r="G230" s="4">
        <v>464</v>
      </c>
      <c r="H230" s="4">
        <v>10426</v>
      </c>
      <c r="I230" s="51" t="s">
        <v>105</v>
      </c>
      <c r="J230" s="4">
        <v>11201</v>
      </c>
      <c r="K230" s="4" t="s">
        <v>111</v>
      </c>
      <c r="L230" s="19" t="str">
        <f>VLOOKUP(C230,'[5]Trips&amp;Operators'!$C$2:$E$10000,3,FALSE)</f>
        <v>BEAM</v>
      </c>
      <c r="M230" s="20" t="s">
        <v>112</v>
      </c>
      <c r="N230" s="19"/>
      <c r="O230" s="19" t="str">
        <f t="shared" si="6"/>
        <v>04</v>
      </c>
      <c r="P230" s="64">
        <f t="shared" si="7"/>
        <v>42555</v>
      </c>
    </row>
    <row r="231" spans="1:16" x14ac:dyDescent="0.25">
      <c r="A231" s="26">
        <v>42555.55128472222</v>
      </c>
      <c r="B231" s="4" t="s">
        <v>102</v>
      </c>
      <c r="C231" s="4" t="s">
        <v>867</v>
      </c>
      <c r="D231" s="4" t="s">
        <v>103</v>
      </c>
      <c r="E231" s="51" t="s">
        <v>115</v>
      </c>
      <c r="F231" s="3">
        <v>450</v>
      </c>
      <c r="G231" s="4">
        <v>446</v>
      </c>
      <c r="H231" s="4">
        <v>17338</v>
      </c>
      <c r="I231" s="51" t="s">
        <v>105</v>
      </c>
      <c r="J231" s="4">
        <v>15167</v>
      </c>
      <c r="K231" s="4" t="s">
        <v>106</v>
      </c>
      <c r="L231" s="19" t="str">
        <f>VLOOKUP(C231,'[5]Trips&amp;Operators'!$C$2:$E$10000,3,FALSE)</f>
        <v>LOCKLEAR</v>
      </c>
      <c r="M231" s="20" t="s">
        <v>112</v>
      </c>
      <c r="N231" s="19"/>
      <c r="O231" s="19" t="str">
        <f t="shared" si="6"/>
        <v>04</v>
      </c>
      <c r="P231" s="64">
        <f t="shared" si="7"/>
        <v>42555</v>
      </c>
    </row>
    <row r="232" spans="1:16" x14ac:dyDescent="0.25">
      <c r="A232" s="26">
        <v>42555.247442129628</v>
      </c>
      <c r="B232" s="4" t="s">
        <v>125</v>
      </c>
      <c r="C232" s="4" t="s">
        <v>869</v>
      </c>
      <c r="D232" s="4" t="s">
        <v>103</v>
      </c>
      <c r="E232" s="51" t="s">
        <v>115</v>
      </c>
      <c r="F232" s="3">
        <v>300</v>
      </c>
      <c r="G232" s="4">
        <v>298</v>
      </c>
      <c r="H232" s="4">
        <v>20180</v>
      </c>
      <c r="I232" s="51" t="s">
        <v>105</v>
      </c>
      <c r="J232" s="4">
        <v>21314</v>
      </c>
      <c r="K232" s="4" t="s">
        <v>111</v>
      </c>
      <c r="L232" s="19" t="str">
        <f>VLOOKUP(C232,'[5]Trips&amp;Operators'!$C$2:$E$10000,3,FALSE)</f>
        <v>ADANE</v>
      </c>
      <c r="M232" s="20" t="s">
        <v>112</v>
      </c>
      <c r="N232" s="19"/>
      <c r="O232" s="19" t="str">
        <f t="shared" si="6"/>
        <v>04</v>
      </c>
      <c r="P232" s="64">
        <f t="shared" si="7"/>
        <v>42555</v>
      </c>
    </row>
    <row r="233" spans="1:16" x14ac:dyDescent="0.25">
      <c r="A233" s="26">
        <v>42555.602175925924</v>
      </c>
      <c r="B233" s="4" t="s">
        <v>120</v>
      </c>
      <c r="C233" s="4" t="s">
        <v>871</v>
      </c>
      <c r="D233" s="4" t="s">
        <v>103</v>
      </c>
      <c r="E233" s="51" t="s">
        <v>115</v>
      </c>
      <c r="F233" s="3">
        <v>300</v>
      </c>
      <c r="G233" s="4">
        <v>305</v>
      </c>
      <c r="H233" s="4">
        <v>20523</v>
      </c>
      <c r="I233" s="51" t="s">
        <v>105</v>
      </c>
      <c r="J233" s="4">
        <v>21314</v>
      </c>
      <c r="K233" s="4" t="s">
        <v>111</v>
      </c>
      <c r="L233" s="19" t="str">
        <f>VLOOKUP(C233,'[5]Trips&amp;Operators'!$C$2:$E$10000,3,FALSE)</f>
        <v>STRICKLAND</v>
      </c>
      <c r="M233" s="20" t="s">
        <v>112</v>
      </c>
      <c r="N233" s="19"/>
      <c r="O233" s="19" t="str">
        <f t="shared" si="6"/>
        <v>04</v>
      </c>
      <c r="P233" s="64">
        <f t="shared" si="7"/>
        <v>42555</v>
      </c>
    </row>
    <row r="234" spans="1:16" x14ac:dyDescent="0.25">
      <c r="A234" s="26">
        <v>42555.643425925926</v>
      </c>
      <c r="B234" s="4" t="s">
        <v>120</v>
      </c>
      <c r="C234" s="4" t="s">
        <v>873</v>
      </c>
      <c r="D234" s="4" t="s">
        <v>103</v>
      </c>
      <c r="E234" s="51" t="s">
        <v>115</v>
      </c>
      <c r="F234" s="3">
        <v>300</v>
      </c>
      <c r="G234" s="4">
        <v>326</v>
      </c>
      <c r="H234" s="4">
        <v>21083</v>
      </c>
      <c r="I234" s="51" t="s">
        <v>105</v>
      </c>
      <c r="J234" s="4">
        <v>21314</v>
      </c>
      <c r="K234" s="4" t="s">
        <v>111</v>
      </c>
      <c r="L234" s="19" t="str">
        <f>VLOOKUP(C234,'[5]Trips&amp;Operators'!$C$2:$E$10000,3,FALSE)</f>
        <v>STRICKLAND</v>
      </c>
      <c r="M234" s="20" t="s">
        <v>112</v>
      </c>
      <c r="N234" s="19"/>
      <c r="O234" s="19" t="str">
        <f t="shared" si="6"/>
        <v>04</v>
      </c>
      <c r="P234" s="64">
        <f t="shared" si="7"/>
        <v>42555</v>
      </c>
    </row>
    <row r="235" spans="1:16" x14ac:dyDescent="0.25">
      <c r="A235" s="26">
        <v>42555.644108796296</v>
      </c>
      <c r="B235" s="4" t="s">
        <v>131</v>
      </c>
      <c r="C235" s="4" t="s">
        <v>872</v>
      </c>
      <c r="D235" s="4" t="s">
        <v>116</v>
      </c>
      <c r="E235" s="51" t="s">
        <v>115</v>
      </c>
      <c r="F235" s="3">
        <v>300</v>
      </c>
      <c r="G235" s="4">
        <v>350</v>
      </c>
      <c r="H235" s="4">
        <v>23385</v>
      </c>
      <c r="I235" s="51" t="s">
        <v>105</v>
      </c>
      <c r="J235" s="4">
        <v>21314</v>
      </c>
      <c r="K235" s="4" t="s">
        <v>111</v>
      </c>
      <c r="L235" s="19" t="str">
        <f>VLOOKUP(C235,'[5]Trips&amp;Operators'!$C$2:$E$10000,3,FALSE)</f>
        <v>STRICKLAND</v>
      </c>
      <c r="M235" s="20" t="s">
        <v>112</v>
      </c>
      <c r="N235" s="19"/>
      <c r="O235" s="19" t="str">
        <f t="shared" si="6"/>
        <v>04</v>
      </c>
      <c r="P235" s="64">
        <f t="shared" si="7"/>
        <v>42555</v>
      </c>
    </row>
    <row r="236" spans="1:16" x14ac:dyDescent="0.25">
      <c r="A236" s="26">
        <v>42555.644108796296</v>
      </c>
      <c r="B236" s="4" t="s">
        <v>120</v>
      </c>
      <c r="C236" s="4" t="s">
        <v>873</v>
      </c>
      <c r="D236" s="4" t="s">
        <v>116</v>
      </c>
      <c r="E236" s="51" t="s">
        <v>115</v>
      </c>
      <c r="F236" s="3">
        <v>300</v>
      </c>
      <c r="G236" s="4">
        <v>350</v>
      </c>
      <c r="H236" s="4">
        <v>23184</v>
      </c>
      <c r="I236" s="51" t="s">
        <v>105</v>
      </c>
      <c r="J236" s="4">
        <v>21314</v>
      </c>
      <c r="K236" s="4" t="s">
        <v>111</v>
      </c>
      <c r="L236" s="19" t="str">
        <f>VLOOKUP(C236,'[5]Trips&amp;Operators'!$C$2:$E$10000,3,FALSE)</f>
        <v>STRICKLAND</v>
      </c>
      <c r="M236" s="20" t="s">
        <v>112</v>
      </c>
      <c r="N236" s="19"/>
      <c r="O236" s="19" t="str">
        <f t="shared" si="6"/>
        <v>04</v>
      </c>
      <c r="P236" s="64">
        <f t="shared" si="7"/>
        <v>42555</v>
      </c>
    </row>
    <row r="237" spans="1:16" x14ac:dyDescent="0.25">
      <c r="A237" s="26">
        <v>42555.742384259262</v>
      </c>
      <c r="B237" s="4" t="s">
        <v>131</v>
      </c>
      <c r="C237" s="4" t="s">
        <v>878</v>
      </c>
      <c r="D237" s="4" t="s">
        <v>103</v>
      </c>
      <c r="E237" s="4" t="s">
        <v>115</v>
      </c>
      <c r="F237" s="3">
        <v>300</v>
      </c>
      <c r="G237" s="4">
        <v>328</v>
      </c>
      <c r="H237" s="4">
        <v>23682</v>
      </c>
      <c r="I237" s="4" t="s">
        <v>105</v>
      </c>
      <c r="J237" s="4">
        <v>23491</v>
      </c>
      <c r="K237" s="4" t="s">
        <v>106</v>
      </c>
      <c r="L237" s="19" t="str">
        <f>VLOOKUP(C237,'[5]Trips&amp;Operators'!$C$2:$E$10000,3,FALSE)</f>
        <v>STRICKLAND</v>
      </c>
      <c r="M237" s="20" t="s">
        <v>112</v>
      </c>
      <c r="N237" s="19"/>
      <c r="O237" s="19" t="str">
        <f t="shared" si="6"/>
        <v>04</v>
      </c>
      <c r="P237" s="64">
        <f t="shared" si="7"/>
        <v>42555</v>
      </c>
    </row>
    <row r="238" spans="1:16" x14ac:dyDescent="0.25">
      <c r="A238" s="26">
        <v>42555.95789351852</v>
      </c>
      <c r="B238" s="4" t="s">
        <v>141</v>
      </c>
      <c r="C238" s="4" t="s">
        <v>868</v>
      </c>
      <c r="D238" s="4" t="s">
        <v>103</v>
      </c>
      <c r="E238" s="4" t="s">
        <v>115</v>
      </c>
      <c r="F238" s="3">
        <v>200</v>
      </c>
      <c r="G238" s="4">
        <v>246</v>
      </c>
      <c r="H238" s="4">
        <v>31267</v>
      </c>
      <c r="I238" s="4" t="s">
        <v>105</v>
      </c>
      <c r="J238" s="4">
        <v>30562</v>
      </c>
      <c r="K238" s="4" t="s">
        <v>106</v>
      </c>
      <c r="L238" s="19" t="str">
        <f>VLOOKUP(C238,'[5]Trips&amp;Operators'!$C$2:$E$10000,3,FALSE)</f>
        <v>COOLAHAN</v>
      </c>
      <c r="M238" s="20" t="s">
        <v>112</v>
      </c>
      <c r="N238" s="19"/>
      <c r="O238" s="19" t="str">
        <f t="shared" si="6"/>
        <v>04</v>
      </c>
      <c r="P238" s="64">
        <f t="shared" si="7"/>
        <v>42555</v>
      </c>
    </row>
    <row r="239" spans="1:16" x14ac:dyDescent="0.25">
      <c r="A239" s="26">
        <v>42555.249201388891</v>
      </c>
      <c r="B239" s="4" t="s">
        <v>125</v>
      </c>
      <c r="C239" s="4" t="s">
        <v>869</v>
      </c>
      <c r="D239" s="4" t="s">
        <v>103</v>
      </c>
      <c r="E239" s="51" t="s">
        <v>115</v>
      </c>
      <c r="F239" s="3">
        <v>600</v>
      </c>
      <c r="G239" s="4">
        <v>646</v>
      </c>
      <c r="H239" s="4">
        <v>29330</v>
      </c>
      <c r="I239" s="51" t="s">
        <v>105</v>
      </c>
      <c r="J239" s="4">
        <v>30784</v>
      </c>
      <c r="K239" s="4" t="s">
        <v>111</v>
      </c>
      <c r="L239" s="19" t="str">
        <f>VLOOKUP(C239,'[5]Trips&amp;Operators'!$C$2:$E$10000,3,FALSE)</f>
        <v>ADANE</v>
      </c>
      <c r="M239" s="20" t="s">
        <v>112</v>
      </c>
      <c r="N239" s="19"/>
      <c r="O239" s="19" t="str">
        <f t="shared" si="6"/>
        <v>04</v>
      </c>
      <c r="P239" s="64">
        <f t="shared" si="7"/>
        <v>42555</v>
      </c>
    </row>
    <row r="240" spans="1:16" x14ac:dyDescent="0.25">
      <c r="A240" s="26">
        <v>42555.645937499998</v>
      </c>
      <c r="B240" s="4" t="s">
        <v>131</v>
      </c>
      <c r="C240" s="4" t="s">
        <v>872</v>
      </c>
      <c r="D240" s="4" t="s">
        <v>103</v>
      </c>
      <c r="E240" s="51" t="s">
        <v>115</v>
      </c>
      <c r="F240" s="3">
        <v>400</v>
      </c>
      <c r="G240" s="4">
        <v>448</v>
      </c>
      <c r="H240" s="4">
        <v>37741</v>
      </c>
      <c r="I240" s="51" t="s">
        <v>105</v>
      </c>
      <c r="J240" s="4">
        <v>38171</v>
      </c>
      <c r="K240" s="4" t="s">
        <v>111</v>
      </c>
      <c r="L240" s="19" t="str">
        <f>VLOOKUP(C240,'[5]Trips&amp;Operators'!$C$2:$E$10000,3,FALSE)</f>
        <v>STRICKLAND</v>
      </c>
      <c r="M240" s="20" t="s">
        <v>112</v>
      </c>
      <c r="N240" s="19"/>
      <c r="O240" s="19" t="str">
        <f t="shared" si="6"/>
        <v>04</v>
      </c>
      <c r="P240" s="64">
        <f t="shared" si="7"/>
        <v>42555</v>
      </c>
    </row>
    <row r="241" spans="1:16" x14ac:dyDescent="0.25">
      <c r="A241" s="26">
        <v>42555.645937499998</v>
      </c>
      <c r="B241" s="4" t="s">
        <v>120</v>
      </c>
      <c r="C241" s="4" t="s">
        <v>873</v>
      </c>
      <c r="D241" s="4" t="s">
        <v>103</v>
      </c>
      <c r="E241" s="51" t="s">
        <v>115</v>
      </c>
      <c r="F241" s="3">
        <v>400</v>
      </c>
      <c r="G241" s="4">
        <v>450</v>
      </c>
      <c r="H241" s="4">
        <v>37612</v>
      </c>
      <c r="I241" s="51" t="s">
        <v>105</v>
      </c>
      <c r="J241" s="4">
        <v>38171</v>
      </c>
      <c r="K241" s="4" t="s">
        <v>111</v>
      </c>
      <c r="L241" s="19" t="str">
        <f>VLOOKUP(C241,'[5]Trips&amp;Operators'!$C$2:$E$10000,3,FALSE)</f>
        <v>STRICKLAND</v>
      </c>
      <c r="M241" s="20" t="s">
        <v>112</v>
      </c>
      <c r="N241" s="19"/>
      <c r="O241" s="19" t="str">
        <f t="shared" si="6"/>
        <v>04</v>
      </c>
      <c r="P241" s="64">
        <f t="shared" si="7"/>
        <v>42555</v>
      </c>
    </row>
    <row r="242" spans="1:16" x14ac:dyDescent="0.25">
      <c r="A242" s="26">
        <v>42555.604884259257</v>
      </c>
      <c r="B242" s="4" t="s">
        <v>120</v>
      </c>
      <c r="C242" s="4" t="s">
        <v>871</v>
      </c>
      <c r="D242" s="4" t="s">
        <v>103</v>
      </c>
      <c r="E242" s="51" t="s">
        <v>115</v>
      </c>
      <c r="F242" s="3">
        <v>300</v>
      </c>
      <c r="G242" s="4">
        <v>307</v>
      </c>
      <c r="H242" s="4">
        <v>40483</v>
      </c>
      <c r="I242" s="51" t="s">
        <v>105</v>
      </c>
      <c r="J242" s="4">
        <v>40977</v>
      </c>
      <c r="K242" s="4" t="s">
        <v>111</v>
      </c>
      <c r="L242" s="19" t="str">
        <f>VLOOKUP(C242,'[5]Trips&amp;Operators'!$C$2:$E$10000,3,FALSE)</f>
        <v>STRICKLAND</v>
      </c>
      <c r="M242" s="20" t="s">
        <v>112</v>
      </c>
      <c r="N242" s="19"/>
      <c r="O242" s="19" t="str">
        <f t="shared" si="6"/>
        <v>04</v>
      </c>
      <c r="P242" s="64">
        <f t="shared" si="7"/>
        <v>42555</v>
      </c>
    </row>
    <row r="243" spans="1:16" x14ac:dyDescent="0.25">
      <c r="A243" s="26">
        <v>42555.647430555553</v>
      </c>
      <c r="B243" s="4" t="s">
        <v>131</v>
      </c>
      <c r="C243" s="4" t="s">
        <v>872</v>
      </c>
      <c r="D243" s="4" t="s">
        <v>103</v>
      </c>
      <c r="E243" s="51" t="s">
        <v>115</v>
      </c>
      <c r="F243" s="3">
        <v>300</v>
      </c>
      <c r="G243" s="4">
        <v>304</v>
      </c>
      <c r="H243" s="4">
        <v>40948</v>
      </c>
      <c r="I243" s="51" t="s">
        <v>105</v>
      </c>
      <c r="J243" s="4">
        <v>40977</v>
      </c>
      <c r="K243" s="4" t="s">
        <v>111</v>
      </c>
      <c r="L243" s="19" t="str">
        <f>VLOOKUP(C243,'[5]Trips&amp;Operators'!$C$2:$E$10000,3,FALSE)</f>
        <v>STRICKLAND</v>
      </c>
      <c r="M243" s="20" t="s">
        <v>112</v>
      </c>
      <c r="N243" s="19"/>
      <c r="O243" s="19" t="str">
        <f t="shared" si="6"/>
        <v>04</v>
      </c>
      <c r="P243" s="64">
        <f t="shared" si="7"/>
        <v>42555</v>
      </c>
    </row>
    <row r="244" spans="1:16" x14ac:dyDescent="0.25">
      <c r="A244" s="26">
        <v>42555.937314814815</v>
      </c>
      <c r="B244" s="4" t="s">
        <v>120</v>
      </c>
      <c r="C244" s="4" t="s">
        <v>882</v>
      </c>
      <c r="D244" s="4" t="s">
        <v>116</v>
      </c>
      <c r="E244" s="4" t="s">
        <v>115</v>
      </c>
      <c r="F244" s="3">
        <v>400</v>
      </c>
      <c r="G244" s="4">
        <v>453</v>
      </c>
      <c r="H244" s="4">
        <v>43720</v>
      </c>
      <c r="I244" s="4" t="s">
        <v>105</v>
      </c>
      <c r="J244" s="4">
        <v>41797</v>
      </c>
      <c r="K244" s="4" t="s">
        <v>111</v>
      </c>
      <c r="L244" s="19" t="str">
        <f>VLOOKUP(C244,'[5]Trips&amp;Operators'!$C$2:$E$10000,3,FALSE)</f>
        <v>STRICKLAND</v>
      </c>
      <c r="M244" s="20" t="s">
        <v>112</v>
      </c>
      <c r="N244" s="19"/>
      <c r="O244" s="19" t="str">
        <f t="shared" si="6"/>
        <v>04</v>
      </c>
      <c r="P244" s="64">
        <f t="shared" si="7"/>
        <v>42555</v>
      </c>
    </row>
    <row r="245" spans="1:16" x14ac:dyDescent="0.25">
      <c r="A245" s="26">
        <v>42555.647430555553</v>
      </c>
      <c r="B245" s="4" t="s">
        <v>120</v>
      </c>
      <c r="C245" s="4" t="s">
        <v>873</v>
      </c>
      <c r="D245" s="4" t="s">
        <v>103</v>
      </c>
      <c r="E245" s="51" t="s">
        <v>115</v>
      </c>
      <c r="F245" s="3">
        <v>400</v>
      </c>
      <c r="G245" s="4">
        <v>471</v>
      </c>
      <c r="H245" s="4">
        <v>46693</v>
      </c>
      <c r="I245" s="51" t="s">
        <v>105</v>
      </c>
      <c r="J245" s="4">
        <v>47808</v>
      </c>
      <c r="K245" s="4" t="s">
        <v>111</v>
      </c>
      <c r="L245" s="19" t="str">
        <f>VLOOKUP(C245,'[5]Trips&amp;Operators'!$C$2:$E$10000,3,FALSE)</f>
        <v>STRICKLAND</v>
      </c>
      <c r="M245" s="20" t="s">
        <v>112</v>
      </c>
      <c r="N245" s="19"/>
      <c r="O245" s="19" t="str">
        <f t="shared" si="6"/>
        <v>04</v>
      </c>
      <c r="P245" s="64">
        <f t="shared" si="7"/>
        <v>42555</v>
      </c>
    </row>
    <row r="246" spans="1:16" x14ac:dyDescent="0.25">
      <c r="A246" s="17">
        <v>42555.689363425925</v>
      </c>
      <c r="B246" s="18" t="s">
        <v>131</v>
      </c>
      <c r="C246" s="18" t="s">
        <v>874</v>
      </c>
      <c r="D246" s="18" t="s">
        <v>103</v>
      </c>
      <c r="E246" s="52" t="s">
        <v>115</v>
      </c>
      <c r="F246" s="53">
        <v>400</v>
      </c>
      <c r="G246" s="18">
        <v>437</v>
      </c>
      <c r="H246" s="18">
        <v>46797</v>
      </c>
      <c r="I246" s="52" t="s">
        <v>105</v>
      </c>
      <c r="J246" s="18">
        <v>47808</v>
      </c>
      <c r="K246" s="19" t="s">
        <v>111</v>
      </c>
      <c r="L246" s="19" t="str">
        <f>VLOOKUP(C246,'[5]Trips&amp;Operators'!$C$2:$E$10000,3,FALSE)</f>
        <v>STRICKLAND</v>
      </c>
      <c r="M246" s="20" t="s">
        <v>112</v>
      </c>
      <c r="N246" s="19"/>
      <c r="O246" s="19" t="str">
        <f t="shared" si="6"/>
        <v>04</v>
      </c>
      <c r="P246" s="64">
        <f t="shared" si="7"/>
        <v>42555</v>
      </c>
    </row>
    <row r="247" spans="1:16" x14ac:dyDescent="0.25">
      <c r="A247" s="17">
        <v>42555.689363425925</v>
      </c>
      <c r="B247" s="18" t="s">
        <v>120</v>
      </c>
      <c r="C247" s="18" t="s">
        <v>875</v>
      </c>
      <c r="D247" s="18" t="s">
        <v>103</v>
      </c>
      <c r="E247" s="52" t="s">
        <v>115</v>
      </c>
      <c r="F247" s="53">
        <v>400</v>
      </c>
      <c r="G247" s="18">
        <v>427</v>
      </c>
      <c r="H247" s="18">
        <v>46676</v>
      </c>
      <c r="I247" s="52" t="s">
        <v>105</v>
      </c>
      <c r="J247" s="18">
        <v>47808</v>
      </c>
      <c r="K247" s="19" t="s">
        <v>111</v>
      </c>
      <c r="L247" s="19" t="str">
        <f>VLOOKUP(C247,'[5]Trips&amp;Operators'!$C$2:$E$10000,3,FALSE)</f>
        <v>STRICKLAND</v>
      </c>
      <c r="M247" s="20" t="s">
        <v>112</v>
      </c>
      <c r="N247" s="19"/>
      <c r="O247" s="19" t="str">
        <f t="shared" si="6"/>
        <v>04</v>
      </c>
      <c r="P247" s="64">
        <f t="shared" si="7"/>
        <v>42555</v>
      </c>
    </row>
    <row r="248" spans="1:16" x14ac:dyDescent="0.25">
      <c r="A248" s="26">
        <v>42555.732187499998</v>
      </c>
      <c r="B248" s="4" t="s">
        <v>120</v>
      </c>
      <c r="C248" s="4" t="s">
        <v>877</v>
      </c>
      <c r="D248" s="4" t="s">
        <v>103</v>
      </c>
      <c r="E248" s="4" t="s">
        <v>115</v>
      </c>
      <c r="F248" s="3">
        <v>150</v>
      </c>
      <c r="G248" s="4">
        <v>142</v>
      </c>
      <c r="H248" s="4">
        <v>56414</v>
      </c>
      <c r="I248" s="4" t="s">
        <v>105</v>
      </c>
      <c r="J248" s="4">
        <v>57008</v>
      </c>
      <c r="K248" s="4" t="s">
        <v>111</v>
      </c>
      <c r="L248" s="19" t="str">
        <f>VLOOKUP(C248,'[5]Trips&amp;Operators'!$C$2:$E$10000,3,FALSE)</f>
        <v>STRICKLAND</v>
      </c>
      <c r="M248" s="20" t="s">
        <v>112</v>
      </c>
      <c r="N248" s="19"/>
      <c r="O248" s="19" t="str">
        <f t="shared" si="6"/>
        <v>04</v>
      </c>
      <c r="P248" s="64">
        <f t="shared" si="7"/>
        <v>42555</v>
      </c>
    </row>
    <row r="249" spans="1:16" x14ac:dyDescent="0.25">
      <c r="A249" s="26">
        <v>42555.775312500002</v>
      </c>
      <c r="B249" s="4" t="s">
        <v>131</v>
      </c>
      <c r="C249" s="4" t="s">
        <v>878</v>
      </c>
      <c r="D249" s="4" t="s">
        <v>103</v>
      </c>
      <c r="E249" s="4" t="s">
        <v>115</v>
      </c>
      <c r="F249" s="3">
        <v>150</v>
      </c>
      <c r="G249" s="4">
        <v>178</v>
      </c>
      <c r="H249" s="4">
        <v>56088</v>
      </c>
      <c r="I249" s="4" t="s">
        <v>105</v>
      </c>
      <c r="J249" s="4">
        <v>57008</v>
      </c>
      <c r="K249" s="4" t="s">
        <v>111</v>
      </c>
      <c r="L249" s="19" t="str">
        <f>VLOOKUP(C249,'[5]Trips&amp;Operators'!$C$2:$E$10000,3,FALSE)</f>
        <v>STRICKLAND</v>
      </c>
      <c r="M249" s="20" t="s">
        <v>112</v>
      </c>
      <c r="N249" s="19"/>
      <c r="O249" s="19" t="str">
        <f t="shared" si="6"/>
        <v>04</v>
      </c>
      <c r="P249" s="64">
        <f t="shared" si="7"/>
        <v>42555</v>
      </c>
    </row>
    <row r="250" spans="1:16" x14ac:dyDescent="0.25">
      <c r="A250" s="26">
        <v>42555.775312500002</v>
      </c>
      <c r="B250" s="4" t="s">
        <v>120</v>
      </c>
      <c r="C250" s="4" t="s">
        <v>879</v>
      </c>
      <c r="D250" s="4" t="s">
        <v>103</v>
      </c>
      <c r="E250" s="4" t="s">
        <v>115</v>
      </c>
      <c r="F250" s="3">
        <v>150</v>
      </c>
      <c r="G250" s="4">
        <v>184</v>
      </c>
      <c r="H250" s="4">
        <v>56287</v>
      </c>
      <c r="I250" s="4" t="s">
        <v>105</v>
      </c>
      <c r="J250" s="4">
        <v>57008</v>
      </c>
      <c r="K250" s="4" t="s">
        <v>111</v>
      </c>
      <c r="L250" s="19" t="str">
        <f>VLOOKUP(C250,'[5]Trips&amp;Operators'!$C$2:$E$10000,3,FALSE)</f>
        <v>STRICKLAND</v>
      </c>
      <c r="M250" s="20" t="s">
        <v>112</v>
      </c>
      <c r="N250" s="19"/>
      <c r="O250" s="19" t="str">
        <f t="shared" si="6"/>
        <v>04</v>
      </c>
      <c r="P250" s="64">
        <f t="shared" si="7"/>
        <v>42555</v>
      </c>
    </row>
    <row r="251" spans="1:16" x14ac:dyDescent="0.25">
      <c r="A251" s="26">
        <v>42555.776041666664</v>
      </c>
      <c r="B251" s="4" t="s">
        <v>131</v>
      </c>
      <c r="C251" s="4" t="s">
        <v>878</v>
      </c>
      <c r="D251" s="4" t="s">
        <v>103</v>
      </c>
      <c r="E251" s="4" t="s">
        <v>115</v>
      </c>
      <c r="F251" s="3">
        <v>150</v>
      </c>
      <c r="G251" s="4">
        <v>120</v>
      </c>
      <c r="H251" s="4">
        <v>56671</v>
      </c>
      <c r="I251" s="4" t="s">
        <v>105</v>
      </c>
      <c r="J251" s="4">
        <v>57008</v>
      </c>
      <c r="K251" s="4" t="s">
        <v>111</v>
      </c>
      <c r="L251" s="19" t="str">
        <f>VLOOKUP(C251,'[5]Trips&amp;Operators'!$C$2:$E$10000,3,FALSE)</f>
        <v>STRICKLAND</v>
      </c>
      <c r="M251" s="20" t="s">
        <v>112</v>
      </c>
      <c r="N251" s="19"/>
      <c r="O251" s="19" t="str">
        <f t="shared" si="6"/>
        <v>04</v>
      </c>
      <c r="P251" s="64">
        <f t="shared" si="7"/>
        <v>42555</v>
      </c>
    </row>
    <row r="252" spans="1:16" x14ac:dyDescent="0.25">
      <c r="A252" s="26">
        <v>42555.447569444441</v>
      </c>
      <c r="B252" s="4" t="s">
        <v>131</v>
      </c>
      <c r="C252" s="4" t="s">
        <v>870</v>
      </c>
      <c r="D252" s="4" t="s">
        <v>116</v>
      </c>
      <c r="E252" s="51" t="s">
        <v>115</v>
      </c>
      <c r="F252" s="3">
        <v>150</v>
      </c>
      <c r="G252" s="4">
        <v>202</v>
      </c>
      <c r="H252" s="4">
        <v>56976</v>
      </c>
      <c r="I252" s="51" t="s">
        <v>105</v>
      </c>
      <c r="J252" s="4">
        <v>59050</v>
      </c>
      <c r="K252" s="4" t="s">
        <v>106</v>
      </c>
      <c r="L252" s="19" t="str">
        <f>VLOOKUP(C252,'[5]Trips&amp;Operators'!$C$2:$E$10000,3,FALSE)</f>
        <v>NELSON</v>
      </c>
      <c r="M252" s="20" t="s">
        <v>112</v>
      </c>
      <c r="N252" s="19"/>
      <c r="O252" s="19" t="str">
        <f t="shared" si="6"/>
        <v>04</v>
      </c>
      <c r="P252" s="64">
        <f t="shared" si="7"/>
        <v>42555</v>
      </c>
    </row>
    <row r="253" spans="1:16" x14ac:dyDescent="0.25">
      <c r="A253" s="26">
        <v>42555.863599537035</v>
      </c>
      <c r="B253" s="4" t="s">
        <v>131</v>
      </c>
      <c r="C253" s="4" t="s">
        <v>880</v>
      </c>
      <c r="D253" s="4" t="s">
        <v>116</v>
      </c>
      <c r="E253" s="4" t="s">
        <v>115</v>
      </c>
      <c r="F253" s="3">
        <v>150</v>
      </c>
      <c r="G253" s="4">
        <v>203</v>
      </c>
      <c r="H253" s="4">
        <v>56671</v>
      </c>
      <c r="I253" s="4" t="s">
        <v>105</v>
      </c>
      <c r="J253" s="4">
        <v>59050</v>
      </c>
      <c r="K253" s="4" t="s">
        <v>106</v>
      </c>
      <c r="L253" s="19" t="str">
        <f>VLOOKUP(C253,'[5]Trips&amp;Operators'!$C$2:$E$10000,3,FALSE)</f>
        <v>STRICKLAND</v>
      </c>
      <c r="M253" s="20" t="s">
        <v>112</v>
      </c>
      <c r="N253" s="19"/>
      <c r="O253" s="19" t="str">
        <f t="shared" si="6"/>
        <v>04</v>
      </c>
      <c r="P253" s="64">
        <f t="shared" si="7"/>
        <v>42555</v>
      </c>
    </row>
    <row r="254" spans="1:16" x14ac:dyDescent="0.25">
      <c r="A254" s="26">
        <v>42555.905381944445</v>
      </c>
      <c r="B254" s="4" t="s">
        <v>131</v>
      </c>
      <c r="C254" s="4" t="s">
        <v>881</v>
      </c>
      <c r="D254" s="4" t="s">
        <v>116</v>
      </c>
      <c r="E254" s="4" t="s">
        <v>115</v>
      </c>
      <c r="F254" s="3">
        <v>150</v>
      </c>
      <c r="G254" s="4">
        <v>205</v>
      </c>
      <c r="H254" s="4">
        <v>56974</v>
      </c>
      <c r="I254" s="4" t="s">
        <v>105</v>
      </c>
      <c r="J254" s="4">
        <v>59050</v>
      </c>
      <c r="K254" s="4" t="s">
        <v>106</v>
      </c>
      <c r="L254" s="19" t="str">
        <f>VLOOKUP(C254,'[5]Trips&amp;Operators'!$C$2:$E$10000,3,FALSE)</f>
        <v>STRICKLAND</v>
      </c>
      <c r="M254" s="20" t="s">
        <v>112</v>
      </c>
      <c r="N254" s="19"/>
      <c r="O254" s="19" t="str">
        <f t="shared" si="6"/>
        <v>04</v>
      </c>
      <c r="P254" s="64">
        <f t="shared" si="7"/>
        <v>42555</v>
      </c>
    </row>
    <row r="255" spans="1:16" x14ac:dyDescent="0.25">
      <c r="A255" s="26">
        <v>42555.945219907408</v>
      </c>
      <c r="B255" s="4" t="s">
        <v>131</v>
      </c>
      <c r="C255" s="4" t="s">
        <v>883</v>
      </c>
      <c r="D255" s="4" t="s">
        <v>116</v>
      </c>
      <c r="E255" s="4" t="s">
        <v>115</v>
      </c>
      <c r="F255" s="3">
        <v>150</v>
      </c>
      <c r="G255" s="4">
        <v>202</v>
      </c>
      <c r="H255" s="4">
        <v>56836</v>
      </c>
      <c r="I255" s="4" t="s">
        <v>105</v>
      </c>
      <c r="J255" s="4">
        <v>59050</v>
      </c>
      <c r="K255" s="4" t="s">
        <v>106</v>
      </c>
      <c r="L255" s="19" t="str">
        <f>VLOOKUP(C255,'[5]Trips&amp;Operators'!$C$2:$E$10000,3,FALSE)</f>
        <v>STRICKLAND</v>
      </c>
      <c r="M255" s="20" t="s">
        <v>112</v>
      </c>
      <c r="N255" s="19"/>
      <c r="O255" s="19" t="str">
        <f t="shared" si="6"/>
        <v>04</v>
      </c>
      <c r="P255" s="64">
        <f t="shared" si="7"/>
        <v>42555</v>
      </c>
    </row>
    <row r="256" spans="1:16" x14ac:dyDescent="0.25">
      <c r="A256" s="26">
        <v>42555.45685185185</v>
      </c>
      <c r="B256" s="4" t="s">
        <v>132</v>
      </c>
      <c r="C256" s="4" t="s">
        <v>864</v>
      </c>
      <c r="D256" s="4" t="s">
        <v>103</v>
      </c>
      <c r="E256" s="51" t="s">
        <v>115</v>
      </c>
      <c r="F256" s="3">
        <v>450</v>
      </c>
      <c r="G256" s="4">
        <v>487</v>
      </c>
      <c r="H256" s="4">
        <v>111479</v>
      </c>
      <c r="I256" s="51" t="s">
        <v>105</v>
      </c>
      <c r="J256" s="4">
        <v>110617</v>
      </c>
      <c r="K256" s="4" t="s">
        <v>106</v>
      </c>
      <c r="L256" s="19" t="str">
        <f>VLOOKUP(C256,'[5]Trips&amp;Operators'!$C$2:$E$10000,3,FALSE)</f>
        <v>YANAI</v>
      </c>
      <c r="M256" s="20" t="s">
        <v>112</v>
      </c>
      <c r="N256" s="19"/>
      <c r="O256" s="19" t="str">
        <f t="shared" si="6"/>
        <v>04</v>
      </c>
      <c r="P256" s="64">
        <f t="shared" si="7"/>
        <v>42555</v>
      </c>
    </row>
    <row r="257" spans="1:16" x14ac:dyDescent="0.25">
      <c r="A257" s="26">
        <v>42555.473564814813</v>
      </c>
      <c r="B257" s="4" t="s">
        <v>126</v>
      </c>
      <c r="C257" s="4" t="s">
        <v>866</v>
      </c>
      <c r="D257" s="4" t="s">
        <v>103</v>
      </c>
      <c r="E257" s="51" t="s">
        <v>115</v>
      </c>
      <c r="F257" s="3">
        <v>400</v>
      </c>
      <c r="G257" s="4">
        <v>442</v>
      </c>
      <c r="H257" s="4">
        <v>116333</v>
      </c>
      <c r="I257" s="51" t="s">
        <v>105</v>
      </c>
      <c r="J257" s="4">
        <v>116838</v>
      </c>
      <c r="K257" s="4" t="s">
        <v>111</v>
      </c>
      <c r="L257" s="19" t="str">
        <f>VLOOKUP(C257,'[5]Trips&amp;Operators'!$C$2:$E$10000,3,FALSE)</f>
        <v>MALAVE</v>
      </c>
      <c r="M257" s="20" t="s">
        <v>112</v>
      </c>
      <c r="N257" s="19"/>
      <c r="O257" s="19" t="str">
        <f t="shared" si="6"/>
        <v>04</v>
      </c>
      <c r="P257" s="64">
        <f t="shared" si="7"/>
        <v>42555</v>
      </c>
    </row>
    <row r="258" spans="1:16" x14ac:dyDescent="0.25">
      <c r="A258" s="26">
        <v>42555.3675</v>
      </c>
      <c r="B258" s="4" t="s">
        <v>141</v>
      </c>
      <c r="C258" s="4" t="s">
        <v>862</v>
      </c>
      <c r="D258" s="4" t="s">
        <v>116</v>
      </c>
      <c r="E258" s="51" t="s">
        <v>115</v>
      </c>
      <c r="F258" s="3">
        <v>600</v>
      </c>
      <c r="G258" s="4">
        <v>651</v>
      </c>
      <c r="H258" s="4">
        <v>184326</v>
      </c>
      <c r="I258" s="51" t="s">
        <v>105</v>
      </c>
      <c r="J258" s="4">
        <v>190834</v>
      </c>
      <c r="K258" s="4" t="s">
        <v>106</v>
      </c>
      <c r="L258" s="19" t="str">
        <f>VLOOKUP(C258,'[5]Trips&amp;Operators'!$C$2:$E$10000,3,FALSE)</f>
        <v>CUSHING</v>
      </c>
      <c r="M258" s="20" t="s">
        <v>112</v>
      </c>
      <c r="N258" s="19"/>
      <c r="O258" s="19" t="str">
        <f t="shared" ref="O258:O321" si="8">RIGHT(C258,2)</f>
        <v>04</v>
      </c>
      <c r="P258" s="64">
        <f t="shared" si="7"/>
        <v>42555</v>
      </c>
    </row>
    <row r="259" spans="1:16" x14ac:dyDescent="0.25">
      <c r="A259" s="17">
        <v>42555.294085648151</v>
      </c>
      <c r="B259" s="18" t="s">
        <v>141</v>
      </c>
      <c r="C259" s="18" t="s">
        <v>861</v>
      </c>
      <c r="D259" s="18" t="s">
        <v>103</v>
      </c>
      <c r="E259" s="52" t="s">
        <v>115</v>
      </c>
      <c r="F259" s="53">
        <v>450</v>
      </c>
      <c r="G259" s="18">
        <v>433</v>
      </c>
      <c r="H259" s="18">
        <v>191462</v>
      </c>
      <c r="I259" s="52" t="s">
        <v>105</v>
      </c>
      <c r="J259" s="18">
        <v>191108</v>
      </c>
      <c r="K259" s="19" t="s">
        <v>106</v>
      </c>
      <c r="L259" s="19" t="str">
        <f>VLOOKUP(C259,'[5]Trips&amp;Operators'!$C$2:$E$10000,3,FALSE)</f>
        <v>ROCHA</v>
      </c>
      <c r="M259" s="20" t="s">
        <v>112</v>
      </c>
      <c r="N259" s="19"/>
      <c r="O259" s="19" t="str">
        <f t="shared" si="8"/>
        <v>04</v>
      </c>
      <c r="P259" s="64">
        <f t="shared" ref="P259:P322" si="9">42522+O259+29</f>
        <v>42555</v>
      </c>
    </row>
    <row r="260" spans="1:16" x14ac:dyDescent="0.25">
      <c r="A260" s="26">
        <v>42555.93608796296</v>
      </c>
      <c r="B260" s="4" t="s">
        <v>141</v>
      </c>
      <c r="C260" s="4" t="s">
        <v>868</v>
      </c>
      <c r="D260" s="4" t="s">
        <v>103</v>
      </c>
      <c r="E260" s="4" t="s">
        <v>115</v>
      </c>
      <c r="F260" s="3">
        <v>150</v>
      </c>
      <c r="G260" s="4">
        <v>211</v>
      </c>
      <c r="H260" s="4">
        <v>229667</v>
      </c>
      <c r="I260" s="4" t="s">
        <v>105</v>
      </c>
      <c r="J260" s="4">
        <v>229055</v>
      </c>
      <c r="K260" s="4" t="s">
        <v>106</v>
      </c>
      <c r="L260" s="19" t="str">
        <f>VLOOKUP(C260,'[5]Trips&amp;Operators'!$C$2:$E$10000,3,FALSE)</f>
        <v>COOLAHAN</v>
      </c>
      <c r="M260" s="20" t="s">
        <v>112</v>
      </c>
      <c r="N260" s="19"/>
      <c r="O260" s="19" t="str">
        <f t="shared" si="8"/>
        <v>04</v>
      </c>
      <c r="P260" s="64">
        <f t="shared" si="9"/>
        <v>42555</v>
      </c>
    </row>
    <row r="261" spans="1:16" x14ac:dyDescent="0.25">
      <c r="A261" s="17">
        <v>42555.399293981478</v>
      </c>
      <c r="B261" s="18" t="s">
        <v>135</v>
      </c>
      <c r="C261" s="18" t="s">
        <v>863</v>
      </c>
      <c r="D261" s="18" t="s">
        <v>103</v>
      </c>
      <c r="E261" s="52" t="s">
        <v>115</v>
      </c>
      <c r="F261" s="53">
        <v>150</v>
      </c>
      <c r="G261" s="18">
        <v>196</v>
      </c>
      <c r="H261" s="18">
        <v>229783</v>
      </c>
      <c r="I261" s="52" t="s">
        <v>105</v>
      </c>
      <c r="J261" s="18">
        <v>230436</v>
      </c>
      <c r="K261" s="19" t="s">
        <v>111</v>
      </c>
      <c r="L261" s="19" t="str">
        <f>VLOOKUP(C261,'[5]Trips&amp;Operators'!$C$2:$E$10000,3,FALSE)</f>
        <v>MALAVE</v>
      </c>
      <c r="M261" s="20" t="s">
        <v>112</v>
      </c>
      <c r="N261" s="19"/>
      <c r="O261" s="19" t="str">
        <f t="shared" si="8"/>
        <v>04</v>
      </c>
      <c r="P261" s="64">
        <f t="shared" si="9"/>
        <v>42555</v>
      </c>
    </row>
    <row r="262" spans="1:16" x14ac:dyDescent="0.25">
      <c r="A262" s="17">
        <v>42555.311238425929</v>
      </c>
      <c r="B262" s="18" t="s">
        <v>102</v>
      </c>
      <c r="C262" s="18" t="s">
        <v>268</v>
      </c>
      <c r="D262" s="18" t="s">
        <v>116</v>
      </c>
      <c r="E262" s="52" t="s">
        <v>115</v>
      </c>
      <c r="F262" s="53">
        <v>350</v>
      </c>
      <c r="G262" s="18">
        <v>401</v>
      </c>
      <c r="H262" s="18">
        <v>228568</v>
      </c>
      <c r="I262" s="52" t="s">
        <v>105</v>
      </c>
      <c r="J262" s="18">
        <v>232107</v>
      </c>
      <c r="K262" s="19" t="s">
        <v>106</v>
      </c>
      <c r="L262" s="19" t="str">
        <f>VLOOKUP(C262,'[5]Trips&amp;Operators'!$C$2:$E$10000,3,FALSE)</f>
        <v>SPECTOR</v>
      </c>
      <c r="M262" s="20" t="s">
        <v>112</v>
      </c>
      <c r="N262" s="19"/>
      <c r="O262" s="19" t="str">
        <f t="shared" si="8"/>
        <v>04</v>
      </c>
      <c r="P262" s="64">
        <f t="shared" si="9"/>
        <v>42555</v>
      </c>
    </row>
    <row r="263" spans="1:16" x14ac:dyDescent="0.25">
      <c r="A263" s="26">
        <v>42555.87568287037</v>
      </c>
      <c r="B263" s="4" t="s">
        <v>163</v>
      </c>
      <c r="C263" s="4" t="s">
        <v>884</v>
      </c>
      <c r="D263" s="4" t="s">
        <v>103</v>
      </c>
      <c r="E263" s="4" t="s">
        <v>122</v>
      </c>
      <c r="F263" s="3">
        <v>0</v>
      </c>
      <c r="G263" s="4">
        <v>138</v>
      </c>
      <c r="H263" s="4">
        <v>1386</v>
      </c>
      <c r="I263" s="4" t="s">
        <v>123</v>
      </c>
      <c r="J263" s="4">
        <v>1692</v>
      </c>
      <c r="K263" s="4" t="s">
        <v>111</v>
      </c>
      <c r="L263" s="19" t="str">
        <f>VLOOKUP(C263,'[5]Trips&amp;Operators'!$C$2:$E$10000,3,FALSE)</f>
        <v>YOUNG</v>
      </c>
      <c r="M263" s="20" t="s">
        <v>107</v>
      </c>
      <c r="N263" s="19" t="s">
        <v>251</v>
      </c>
      <c r="O263" s="19" t="str">
        <f t="shared" si="8"/>
        <v>04</v>
      </c>
      <c r="P263" s="64">
        <f t="shared" si="9"/>
        <v>42555</v>
      </c>
    </row>
    <row r="264" spans="1:16" x14ac:dyDescent="0.25">
      <c r="A264" s="26">
        <v>42555.471446759257</v>
      </c>
      <c r="B264" s="4" t="s">
        <v>102</v>
      </c>
      <c r="C264" s="4" t="s">
        <v>270</v>
      </c>
      <c r="D264" s="4" t="s">
        <v>116</v>
      </c>
      <c r="E264" s="51" t="s">
        <v>122</v>
      </c>
      <c r="F264" s="3">
        <v>0</v>
      </c>
      <c r="G264" s="4">
        <v>9</v>
      </c>
      <c r="H264" s="4">
        <v>67870</v>
      </c>
      <c r="I264" s="51" t="s">
        <v>123</v>
      </c>
      <c r="J264" s="4">
        <v>69363</v>
      </c>
      <c r="K264" s="4" t="s">
        <v>106</v>
      </c>
      <c r="L264" s="19" t="str">
        <f>VLOOKUP(C264,'[5]Trips&amp;Operators'!$C$2:$E$10000,3,FALSE)</f>
        <v>SPECTOR</v>
      </c>
      <c r="M264" s="20" t="s">
        <v>107</v>
      </c>
      <c r="N264" s="19" t="s">
        <v>52</v>
      </c>
      <c r="O264" s="19" t="str">
        <f t="shared" si="8"/>
        <v>04</v>
      </c>
      <c r="P264" s="64">
        <f t="shared" si="9"/>
        <v>42555</v>
      </c>
    </row>
    <row r="265" spans="1:16" x14ac:dyDescent="0.25">
      <c r="A265" s="26">
        <v>42555.471967592595</v>
      </c>
      <c r="B265" s="4" t="s">
        <v>102</v>
      </c>
      <c r="C265" s="4" t="s">
        <v>270</v>
      </c>
      <c r="D265" s="4" t="s">
        <v>116</v>
      </c>
      <c r="E265" s="51" t="s">
        <v>122</v>
      </c>
      <c r="F265" s="3">
        <v>0</v>
      </c>
      <c r="G265" s="4">
        <v>6</v>
      </c>
      <c r="H265" s="4">
        <v>67788</v>
      </c>
      <c r="I265" s="51" t="s">
        <v>123</v>
      </c>
      <c r="J265" s="4">
        <v>69363</v>
      </c>
      <c r="K265" s="4" t="s">
        <v>106</v>
      </c>
      <c r="L265" s="19" t="str">
        <f>VLOOKUP(C265,'[5]Trips&amp;Operators'!$C$2:$E$10000,3,FALSE)</f>
        <v>SPECTOR</v>
      </c>
      <c r="M265" s="20" t="s">
        <v>107</v>
      </c>
      <c r="N265" s="19" t="s">
        <v>52</v>
      </c>
      <c r="O265" s="19" t="str">
        <f t="shared" si="8"/>
        <v>04</v>
      </c>
      <c r="P265" s="64">
        <f t="shared" si="9"/>
        <v>42555</v>
      </c>
    </row>
    <row r="266" spans="1:16" x14ac:dyDescent="0.25">
      <c r="A266" s="26">
        <v>42556.008599537039</v>
      </c>
      <c r="B266" s="4" t="s">
        <v>124</v>
      </c>
      <c r="C266" s="4" t="s">
        <v>885</v>
      </c>
      <c r="D266" s="4" t="s">
        <v>103</v>
      </c>
      <c r="E266" s="4" t="s">
        <v>122</v>
      </c>
      <c r="F266" s="3">
        <v>0</v>
      </c>
      <c r="G266" s="4">
        <v>528</v>
      </c>
      <c r="H266" s="4">
        <v>150126</v>
      </c>
      <c r="I266" s="4" t="s">
        <v>123</v>
      </c>
      <c r="J266" s="4">
        <v>149700</v>
      </c>
      <c r="K266" s="4" t="s">
        <v>106</v>
      </c>
      <c r="L266" s="19" t="str">
        <f>VLOOKUP(C266,'[5]Trips&amp;Operators'!$C$2:$E$10000,3,FALSE)</f>
        <v>YOUNG</v>
      </c>
      <c r="M266" s="20" t="s">
        <v>107</v>
      </c>
      <c r="N266" s="19" t="s">
        <v>52</v>
      </c>
      <c r="O266" s="19" t="str">
        <f t="shared" si="8"/>
        <v>04</v>
      </c>
      <c r="P266" s="64">
        <f t="shared" si="9"/>
        <v>42555</v>
      </c>
    </row>
    <row r="267" spans="1:16" x14ac:dyDescent="0.25">
      <c r="A267" s="26">
        <v>42556.005972222221</v>
      </c>
      <c r="B267" s="4" t="s">
        <v>124</v>
      </c>
      <c r="C267" s="4" t="s">
        <v>885</v>
      </c>
      <c r="D267" s="4" t="s">
        <v>103</v>
      </c>
      <c r="E267" s="4" t="s">
        <v>122</v>
      </c>
      <c r="F267" s="3">
        <v>0</v>
      </c>
      <c r="G267" s="4">
        <v>635</v>
      </c>
      <c r="H267" s="4">
        <v>165181</v>
      </c>
      <c r="I267" s="4" t="s">
        <v>123</v>
      </c>
      <c r="J267" s="4">
        <v>162262</v>
      </c>
      <c r="K267" s="4" t="s">
        <v>106</v>
      </c>
      <c r="L267" s="19" t="str">
        <f>VLOOKUP(C267,'[5]Trips&amp;Operators'!$C$2:$E$10000,3,FALSE)</f>
        <v>YOUNG</v>
      </c>
      <c r="M267" s="20" t="s">
        <v>107</v>
      </c>
      <c r="N267" s="19" t="s">
        <v>52</v>
      </c>
      <c r="O267" s="19" t="str">
        <f t="shared" si="8"/>
        <v>04</v>
      </c>
      <c r="P267" s="64">
        <f t="shared" si="9"/>
        <v>42555</v>
      </c>
    </row>
    <row r="268" spans="1:16" x14ac:dyDescent="0.25">
      <c r="A268" s="26">
        <v>42555.324386574073</v>
      </c>
      <c r="B268" s="4" t="s">
        <v>135</v>
      </c>
      <c r="C268" s="4" t="s">
        <v>154</v>
      </c>
      <c r="D268" s="4" t="s">
        <v>103</v>
      </c>
      <c r="E268" s="51" t="s">
        <v>122</v>
      </c>
      <c r="F268" s="3">
        <v>0</v>
      </c>
      <c r="G268" s="4">
        <v>691</v>
      </c>
      <c r="H268" s="4">
        <v>194138</v>
      </c>
      <c r="I268" s="51" t="s">
        <v>123</v>
      </c>
      <c r="J268" s="4">
        <v>198242</v>
      </c>
      <c r="K268" s="4" t="s">
        <v>111</v>
      </c>
      <c r="L268" s="19" t="str">
        <f>VLOOKUP(C268,'[5]Trips&amp;Operators'!$C$2:$E$10000,3,FALSE)</f>
        <v>MALAVE</v>
      </c>
      <c r="M268" s="20" t="s">
        <v>107</v>
      </c>
      <c r="N268" s="19" t="s">
        <v>199</v>
      </c>
      <c r="O268" s="19" t="str">
        <f t="shared" si="8"/>
        <v>04</v>
      </c>
      <c r="P268" s="64">
        <f t="shared" si="9"/>
        <v>42555</v>
      </c>
    </row>
    <row r="269" spans="1:16" x14ac:dyDescent="0.25">
      <c r="A269" s="17">
        <v>42555.226805555554</v>
      </c>
      <c r="B269" s="18" t="s">
        <v>118</v>
      </c>
      <c r="C269" s="18" t="s">
        <v>888</v>
      </c>
      <c r="D269" s="18" t="s">
        <v>116</v>
      </c>
      <c r="E269" s="52" t="s">
        <v>127</v>
      </c>
      <c r="F269" s="53">
        <v>0</v>
      </c>
      <c r="G269" s="18">
        <v>137</v>
      </c>
      <c r="H269" s="18">
        <v>4490</v>
      </c>
      <c r="I269" s="52" t="s">
        <v>128</v>
      </c>
      <c r="J269" s="18">
        <v>4498</v>
      </c>
      <c r="K269" s="19" t="s">
        <v>106</v>
      </c>
      <c r="L269" s="19" t="str">
        <f>VLOOKUP(C269,'[5]Trips&amp;Operators'!$C$2:$E$10000,3,FALSE)</f>
        <v>ADANE</v>
      </c>
      <c r="M269" s="20" t="s">
        <v>107</v>
      </c>
      <c r="N269" s="19" t="s">
        <v>52</v>
      </c>
      <c r="O269" s="19" t="str">
        <f t="shared" si="8"/>
        <v>04</v>
      </c>
      <c r="P269" s="64">
        <f t="shared" si="9"/>
        <v>42555</v>
      </c>
    </row>
    <row r="270" spans="1:16" x14ac:dyDescent="0.25">
      <c r="A270" s="17">
        <v>42555.265219907407</v>
      </c>
      <c r="B270" s="18" t="s">
        <v>118</v>
      </c>
      <c r="C270" s="18" t="s">
        <v>889</v>
      </c>
      <c r="D270" s="18" t="s">
        <v>103</v>
      </c>
      <c r="E270" s="52" t="s">
        <v>127</v>
      </c>
      <c r="F270" s="53">
        <v>0</v>
      </c>
      <c r="G270" s="18">
        <v>144</v>
      </c>
      <c r="H270" s="18">
        <v>4729</v>
      </c>
      <c r="I270" s="52" t="s">
        <v>128</v>
      </c>
      <c r="J270" s="18">
        <v>4498</v>
      </c>
      <c r="K270" s="19" t="s">
        <v>106</v>
      </c>
      <c r="L270" s="19" t="str">
        <f>VLOOKUP(C270,'[5]Trips&amp;Operators'!$C$2:$E$10000,3,FALSE)</f>
        <v>ADANE</v>
      </c>
      <c r="M270" s="20" t="s">
        <v>107</v>
      </c>
      <c r="N270" s="19" t="s">
        <v>52</v>
      </c>
      <c r="O270" s="19" t="str">
        <f t="shared" si="8"/>
        <v>04</v>
      </c>
      <c r="P270" s="64">
        <f t="shared" si="9"/>
        <v>42555</v>
      </c>
    </row>
    <row r="271" spans="1:16" x14ac:dyDescent="0.25">
      <c r="A271" s="26">
        <v>42555.520787037036</v>
      </c>
      <c r="B271" s="4" t="s">
        <v>117</v>
      </c>
      <c r="C271" s="4" t="s">
        <v>271</v>
      </c>
      <c r="D271" s="4" t="s">
        <v>103</v>
      </c>
      <c r="E271" s="51" t="s">
        <v>127</v>
      </c>
      <c r="F271" s="3">
        <v>0</v>
      </c>
      <c r="G271" s="4">
        <v>408</v>
      </c>
      <c r="H271" s="4">
        <v>17938</v>
      </c>
      <c r="I271" s="51" t="s">
        <v>128</v>
      </c>
      <c r="J271" s="4">
        <v>17100</v>
      </c>
      <c r="K271" s="4" t="s">
        <v>106</v>
      </c>
      <c r="L271" s="19" t="str">
        <f>VLOOKUP(C271,'[5]Trips&amp;Operators'!$C$2:$E$10000,3,FALSE)</f>
        <v>MALAVE</v>
      </c>
      <c r="M271" s="20" t="s">
        <v>107</v>
      </c>
      <c r="N271" s="19" t="s">
        <v>52</v>
      </c>
      <c r="O271" s="19" t="str">
        <f t="shared" si="8"/>
        <v>04</v>
      </c>
      <c r="P271" s="64">
        <f t="shared" si="9"/>
        <v>42555</v>
      </c>
    </row>
    <row r="272" spans="1:16" x14ac:dyDescent="0.25">
      <c r="A272" s="26">
        <v>42555.471064814818</v>
      </c>
      <c r="B272" s="4" t="s">
        <v>102</v>
      </c>
      <c r="C272" s="4" t="s">
        <v>270</v>
      </c>
      <c r="D272" s="4" t="s">
        <v>103</v>
      </c>
      <c r="E272" s="51" t="s">
        <v>127</v>
      </c>
      <c r="F272" s="3">
        <v>0</v>
      </c>
      <c r="G272" s="4">
        <v>725</v>
      </c>
      <c r="H272" s="4">
        <v>71200</v>
      </c>
      <c r="I272" s="51" t="s">
        <v>128</v>
      </c>
      <c r="J272" s="4">
        <v>69363</v>
      </c>
      <c r="K272" s="4" t="s">
        <v>106</v>
      </c>
      <c r="L272" s="19" t="str">
        <f>VLOOKUP(C272,'[5]Trips&amp;Operators'!$C$2:$E$10000,3,FALSE)</f>
        <v>SPECTOR</v>
      </c>
      <c r="M272" s="20" t="s">
        <v>107</v>
      </c>
      <c r="N272" s="19" t="s">
        <v>52</v>
      </c>
      <c r="O272" s="19" t="str">
        <f t="shared" si="8"/>
        <v>04</v>
      </c>
      <c r="P272" s="64">
        <f t="shared" si="9"/>
        <v>42555</v>
      </c>
    </row>
    <row r="273" spans="1:16" x14ac:dyDescent="0.25">
      <c r="A273" s="26">
        <v>42555.466863425929</v>
      </c>
      <c r="B273" s="4" t="s">
        <v>124</v>
      </c>
      <c r="C273" s="4" t="s">
        <v>886</v>
      </c>
      <c r="D273" s="4" t="s">
        <v>116</v>
      </c>
      <c r="E273" s="51" t="s">
        <v>127</v>
      </c>
      <c r="F273" s="3">
        <v>0</v>
      </c>
      <c r="G273" s="4">
        <v>159</v>
      </c>
      <c r="H273" s="4">
        <v>230799</v>
      </c>
      <c r="I273" s="51" t="s">
        <v>128</v>
      </c>
      <c r="J273" s="4">
        <v>231147</v>
      </c>
      <c r="K273" s="4" t="s">
        <v>106</v>
      </c>
      <c r="L273" s="19" t="str">
        <f>VLOOKUP(C273,'[5]Trips&amp;Operators'!$C$2:$E$10000,3,FALSE)</f>
        <v>NEWELL</v>
      </c>
      <c r="M273" s="20" t="s">
        <v>107</v>
      </c>
      <c r="N273" s="19" t="s">
        <v>52</v>
      </c>
      <c r="O273" s="19" t="str">
        <f t="shared" si="8"/>
        <v>04</v>
      </c>
      <c r="P273" s="64">
        <f t="shared" si="9"/>
        <v>42555</v>
      </c>
    </row>
    <row r="274" spans="1:16" x14ac:dyDescent="0.25">
      <c r="A274" s="17">
        <v>42555.581412037034</v>
      </c>
      <c r="B274" s="18" t="s">
        <v>141</v>
      </c>
      <c r="C274" s="18" t="s">
        <v>887</v>
      </c>
      <c r="D274" s="18" t="s">
        <v>116</v>
      </c>
      <c r="E274" s="52" t="s">
        <v>127</v>
      </c>
      <c r="F274" s="53">
        <v>0</v>
      </c>
      <c r="G274" s="18">
        <v>249</v>
      </c>
      <c r="H274" s="18">
        <v>230979</v>
      </c>
      <c r="I274" s="52" t="s">
        <v>128</v>
      </c>
      <c r="J274" s="18">
        <v>231650</v>
      </c>
      <c r="K274" s="19" t="s">
        <v>106</v>
      </c>
      <c r="L274" s="19" t="str">
        <f>VLOOKUP(C274,'[5]Trips&amp;Operators'!$C$2:$E$10000,3,FALSE)</f>
        <v>RIVERA</v>
      </c>
      <c r="M274" s="20" t="s">
        <v>107</v>
      </c>
      <c r="N274" s="19" t="s">
        <v>52</v>
      </c>
      <c r="O274" s="19" t="str">
        <f t="shared" si="8"/>
        <v>04</v>
      </c>
      <c r="P274" s="64">
        <f t="shared" si="9"/>
        <v>42555</v>
      </c>
    </row>
    <row r="275" spans="1:16" x14ac:dyDescent="0.25">
      <c r="A275" s="26">
        <v>42555.409108796295</v>
      </c>
      <c r="B275" s="4" t="s">
        <v>102</v>
      </c>
      <c r="C275" s="4" t="s">
        <v>269</v>
      </c>
      <c r="D275" s="4" t="s">
        <v>103</v>
      </c>
      <c r="E275" s="51" t="s">
        <v>129</v>
      </c>
      <c r="F275" s="3">
        <v>0</v>
      </c>
      <c r="G275" s="4">
        <v>61</v>
      </c>
      <c r="H275" s="4">
        <v>203</v>
      </c>
      <c r="I275" s="51" t="s">
        <v>130</v>
      </c>
      <c r="J275" s="4">
        <v>1</v>
      </c>
      <c r="K275" s="4" t="s">
        <v>106</v>
      </c>
      <c r="L275" s="19" t="str">
        <f>VLOOKUP(C275,'[5]Trips&amp;Operators'!$C$2:$E$10000,3,FALSE)</f>
        <v>SPECTOR</v>
      </c>
      <c r="M275" s="20" t="s">
        <v>112</v>
      </c>
      <c r="N275" s="19"/>
      <c r="O275" s="19" t="str">
        <f t="shared" si="8"/>
        <v>04</v>
      </c>
      <c r="P275" s="64">
        <f t="shared" si="9"/>
        <v>42555</v>
      </c>
    </row>
    <row r="276" spans="1:16" x14ac:dyDescent="0.25">
      <c r="A276" s="17">
        <v>42555.429282407407</v>
      </c>
      <c r="B276" s="18" t="s">
        <v>134</v>
      </c>
      <c r="C276" s="18" t="s">
        <v>273</v>
      </c>
      <c r="D276" s="18" t="s">
        <v>103</v>
      </c>
      <c r="E276" s="52" t="s">
        <v>129</v>
      </c>
      <c r="F276" s="53">
        <v>0</v>
      </c>
      <c r="G276" s="18">
        <v>6</v>
      </c>
      <c r="H276" s="18">
        <v>125</v>
      </c>
      <c r="I276" s="52" t="s">
        <v>130</v>
      </c>
      <c r="J276" s="18">
        <v>1</v>
      </c>
      <c r="K276" s="19" t="s">
        <v>106</v>
      </c>
      <c r="L276" s="19" t="str">
        <f>VLOOKUP(C276,'[5]Trips&amp;Operators'!$C$2:$E$10000,3,FALSE)</f>
        <v>CANFIELD</v>
      </c>
      <c r="M276" s="20" t="s">
        <v>112</v>
      </c>
      <c r="N276" s="19"/>
      <c r="O276" s="19" t="str">
        <f t="shared" si="8"/>
        <v>04</v>
      </c>
      <c r="P276" s="64">
        <f t="shared" si="9"/>
        <v>42555</v>
      </c>
    </row>
    <row r="277" spans="1:16" x14ac:dyDescent="0.25">
      <c r="A277" s="26">
        <v>42555.53334490741</v>
      </c>
      <c r="B277" s="4" t="s">
        <v>141</v>
      </c>
      <c r="C277" s="4" t="s">
        <v>896</v>
      </c>
      <c r="D277" s="4" t="s">
        <v>103</v>
      </c>
      <c r="E277" s="51" t="s">
        <v>129</v>
      </c>
      <c r="F277" s="3">
        <v>0</v>
      </c>
      <c r="G277" s="4">
        <v>4</v>
      </c>
      <c r="H277" s="4">
        <v>119</v>
      </c>
      <c r="I277" s="51" t="s">
        <v>130</v>
      </c>
      <c r="J277" s="4">
        <v>1</v>
      </c>
      <c r="K277" s="4" t="s">
        <v>106</v>
      </c>
      <c r="L277" s="19" t="str">
        <f>VLOOKUP(C277,'[5]Trips&amp;Operators'!$C$2:$E$10000,3,FALSE)</f>
        <v>RIVERA</v>
      </c>
      <c r="M277" s="20" t="s">
        <v>112</v>
      </c>
      <c r="N277" s="19"/>
      <c r="O277" s="19" t="str">
        <f t="shared" si="8"/>
        <v>04</v>
      </c>
      <c r="P277" s="64">
        <f t="shared" si="9"/>
        <v>42555</v>
      </c>
    </row>
    <row r="278" spans="1:16" x14ac:dyDescent="0.25">
      <c r="A278" s="17">
        <v>42555.554884259262</v>
      </c>
      <c r="B278" s="18" t="s">
        <v>102</v>
      </c>
      <c r="C278" s="18" t="s">
        <v>867</v>
      </c>
      <c r="D278" s="18" t="s">
        <v>103</v>
      </c>
      <c r="E278" s="52" t="s">
        <v>129</v>
      </c>
      <c r="F278" s="53">
        <v>0</v>
      </c>
      <c r="G278" s="18">
        <v>51</v>
      </c>
      <c r="H278" s="18">
        <v>165</v>
      </c>
      <c r="I278" s="52" t="s">
        <v>130</v>
      </c>
      <c r="J278" s="18">
        <v>1</v>
      </c>
      <c r="K278" s="19" t="s">
        <v>106</v>
      </c>
      <c r="L278" s="19" t="str">
        <f>VLOOKUP(C278,'[5]Trips&amp;Operators'!$C$2:$E$10000,3,FALSE)</f>
        <v>LOCKLEAR</v>
      </c>
      <c r="M278" s="20" t="s">
        <v>112</v>
      </c>
      <c r="N278" s="19"/>
      <c r="O278" s="19" t="str">
        <f t="shared" si="8"/>
        <v>04</v>
      </c>
      <c r="P278" s="64">
        <f t="shared" si="9"/>
        <v>42555</v>
      </c>
    </row>
    <row r="279" spans="1:16" x14ac:dyDescent="0.25">
      <c r="A279" s="17">
        <v>42555.564930555556</v>
      </c>
      <c r="B279" s="18" t="s">
        <v>124</v>
      </c>
      <c r="C279" s="18" t="s">
        <v>274</v>
      </c>
      <c r="D279" s="18" t="s">
        <v>103</v>
      </c>
      <c r="E279" s="52" t="s">
        <v>129</v>
      </c>
      <c r="F279" s="53">
        <v>0</v>
      </c>
      <c r="G279" s="18">
        <v>7</v>
      </c>
      <c r="H279" s="18">
        <v>121</v>
      </c>
      <c r="I279" s="52" t="s">
        <v>130</v>
      </c>
      <c r="J279" s="18">
        <v>1</v>
      </c>
      <c r="K279" s="19" t="s">
        <v>106</v>
      </c>
      <c r="L279" s="19" t="str">
        <f>VLOOKUP(C279,'[5]Trips&amp;Operators'!$C$2:$E$10000,3,FALSE)</f>
        <v>NEWELL</v>
      </c>
      <c r="M279" s="20" t="s">
        <v>112</v>
      </c>
      <c r="N279" s="19"/>
      <c r="O279" s="19" t="str">
        <f t="shared" si="8"/>
        <v>04</v>
      </c>
      <c r="P279" s="64">
        <f t="shared" si="9"/>
        <v>42555</v>
      </c>
    </row>
    <row r="280" spans="1:16" x14ac:dyDescent="0.25">
      <c r="A280" s="26">
        <v>42555.575046296297</v>
      </c>
      <c r="B280" s="4" t="s">
        <v>134</v>
      </c>
      <c r="C280" s="4" t="s">
        <v>153</v>
      </c>
      <c r="D280" s="4" t="s">
        <v>103</v>
      </c>
      <c r="E280" s="51" t="s">
        <v>129</v>
      </c>
      <c r="F280" s="3">
        <v>0</v>
      </c>
      <c r="G280" s="4">
        <v>37</v>
      </c>
      <c r="H280" s="4">
        <v>138</v>
      </c>
      <c r="I280" s="51" t="s">
        <v>130</v>
      </c>
      <c r="J280" s="4">
        <v>1</v>
      </c>
      <c r="K280" s="4" t="s">
        <v>106</v>
      </c>
      <c r="L280" s="19" t="str">
        <f>VLOOKUP(C280,'[5]Trips&amp;Operators'!$C$2:$E$10000,3,FALSE)</f>
        <v>LOZA</v>
      </c>
      <c r="M280" s="20" t="s">
        <v>112</v>
      </c>
      <c r="N280" s="19"/>
      <c r="O280" s="19" t="str">
        <f t="shared" si="8"/>
        <v>04</v>
      </c>
      <c r="P280" s="64">
        <f t="shared" si="9"/>
        <v>42555</v>
      </c>
    </row>
    <row r="281" spans="1:16" x14ac:dyDescent="0.25">
      <c r="A281" s="26">
        <v>42555.585092592592</v>
      </c>
      <c r="B281" s="4" t="s">
        <v>145</v>
      </c>
      <c r="C281" s="4" t="s">
        <v>898</v>
      </c>
      <c r="D281" s="4" t="s">
        <v>103</v>
      </c>
      <c r="E281" s="51" t="s">
        <v>129</v>
      </c>
      <c r="F281" s="3">
        <v>0</v>
      </c>
      <c r="G281" s="4">
        <v>4</v>
      </c>
      <c r="H281" s="4">
        <v>247</v>
      </c>
      <c r="I281" s="51" t="s">
        <v>130</v>
      </c>
      <c r="J281" s="4">
        <v>1</v>
      </c>
      <c r="K281" s="4" t="s">
        <v>106</v>
      </c>
      <c r="L281" s="19" t="str">
        <f>VLOOKUP(C281,'[5]Trips&amp;Operators'!$C$2:$E$10000,3,FALSE)</f>
        <v>HELVIE</v>
      </c>
      <c r="M281" s="20" t="s">
        <v>112</v>
      </c>
      <c r="N281" s="19"/>
      <c r="O281" s="19" t="str">
        <f t="shared" si="8"/>
        <v>04</v>
      </c>
      <c r="P281" s="64">
        <f t="shared" si="9"/>
        <v>42555</v>
      </c>
    </row>
    <row r="282" spans="1:16" x14ac:dyDescent="0.25">
      <c r="A282" s="17">
        <v>42555.616990740738</v>
      </c>
      <c r="B282" s="18" t="s">
        <v>136</v>
      </c>
      <c r="C282" s="18" t="s">
        <v>900</v>
      </c>
      <c r="D282" s="18" t="s">
        <v>103</v>
      </c>
      <c r="E282" s="52" t="s">
        <v>129</v>
      </c>
      <c r="F282" s="53">
        <v>0</v>
      </c>
      <c r="G282" s="18">
        <v>38</v>
      </c>
      <c r="H282" s="18">
        <v>134</v>
      </c>
      <c r="I282" s="52" t="s">
        <v>130</v>
      </c>
      <c r="J282" s="18">
        <v>1</v>
      </c>
      <c r="K282" s="19" t="s">
        <v>106</v>
      </c>
      <c r="L282" s="19" t="str">
        <f>VLOOKUP(C282,'[5]Trips&amp;Operators'!$C$2:$E$10000,3,FALSE)</f>
        <v>BONDS</v>
      </c>
      <c r="M282" s="20" t="s">
        <v>112</v>
      </c>
      <c r="N282" s="19"/>
      <c r="O282" s="19" t="str">
        <f t="shared" si="8"/>
        <v>04</v>
      </c>
      <c r="P282" s="64">
        <f t="shared" si="9"/>
        <v>42555</v>
      </c>
    </row>
    <row r="283" spans="1:16" x14ac:dyDescent="0.25">
      <c r="A283" s="26">
        <v>42555.627337962964</v>
      </c>
      <c r="B283" s="4" t="s">
        <v>102</v>
      </c>
      <c r="C283" s="4" t="s">
        <v>901</v>
      </c>
      <c r="D283" s="4" t="s">
        <v>103</v>
      </c>
      <c r="E283" s="51" t="s">
        <v>129</v>
      </c>
      <c r="F283" s="3">
        <v>0</v>
      </c>
      <c r="G283" s="4">
        <v>26</v>
      </c>
      <c r="H283" s="4">
        <v>56</v>
      </c>
      <c r="I283" s="51" t="s">
        <v>130</v>
      </c>
      <c r="J283" s="4">
        <v>1</v>
      </c>
      <c r="K283" s="4" t="s">
        <v>106</v>
      </c>
      <c r="L283" s="19" t="str">
        <f>VLOOKUP(C283,'[5]Trips&amp;Operators'!$C$2:$E$10000,3,FALSE)</f>
        <v>LOCKLEAR</v>
      </c>
      <c r="M283" s="20" t="s">
        <v>112</v>
      </c>
      <c r="N283" s="19"/>
      <c r="O283" s="19" t="str">
        <f t="shared" si="8"/>
        <v>04</v>
      </c>
      <c r="P283" s="64">
        <f t="shared" si="9"/>
        <v>42555</v>
      </c>
    </row>
    <row r="284" spans="1:16" x14ac:dyDescent="0.25">
      <c r="A284" s="17">
        <v>42555.680659722224</v>
      </c>
      <c r="B284" s="18" t="s">
        <v>141</v>
      </c>
      <c r="C284" s="18" t="s">
        <v>904</v>
      </c>
      <c r="D284" s="18" t="s">
        <v>103</v>
      </c>
      <c r="E284" s="52" t="s">
        <v>129</v>
      </c>
      <c r="F284" s="53">
        <v>0</v>
      </c>
      <c r="G284" s="18">
        <v>5</v>
      </c>
      <c r="H284" s="18">
        <v>118</v>
      </c>
      <c r="I284" s="52" t="s">
        <v>130</v>
      </c>
      <c r="J284" s="18">
        <v>1</v>
      </c>
      <c r="K284" s="19" t="s">
        <v>106</v>
      </c>
      <c r="L284" s="19" t="str">
        <f>VLOOKUP(C284,'[5]Trips&amp;Operators'!$C$2:$E$10000,3,FALSE)</f>
        <v>RIVERA</v>
      </c>
      <c r="M284" s="20" t="s">
        <v>112</v>
      </c>
      <c r="N284" s="19"/>
      <c r="O284" s="19" t="str">
        <f t="shared" si="8"/>
        <v>04</v>
      </c>
      <c r="P284" s="64">
        <f t="shared" si="9"/>
        <v>42555</v>
      </c>
    </row>
    <row r="285" spans="1:16" x14ac:dyDescent="0.25">
      <c r="A285" s="26">
        <v>42555.689918981479</v>
      </c>
      <c r="B285" s="4" t="s">
        <v>136</v>
      </c>
      <c r="C285" s="4" t="s">
        <v>905</v>
      </c>
      <c r="D285" s="4" t="s">
        <v>103</v>
      </c>
      <c r="E285" s="51" t="s">
        <v>129</v>
      </c>
      <c r="F285" s="3">
        <v>0</v>
      </c>
      <c r="G285" s="4">
        <v>45</v>
      </c>
      <c r="H285" s="4">
        <v>178</v>
      </c>
      <c r="I285" s="51" t="s">
        <v>130</v>
      </c>
      <c r="J285" s="4">
        <v>1</v>
      </c>
      <c r="K285" s="4" t="s">
        <v>106</v>
      </c>
      <c r="L285" s="19" t="str">
        <f>VLOOKUP(C285,'[5]Trips&amp;Operators'!$C$2:$E$10000,3,FALSE)</f>
        <v>BONDS</v>
      </c>
      <c r="M285" s="20" t="s">
        <v>112</v>
      </c>
      <c r="N285" s="19"/>
      <c r="O285" s="19" t="str">
        <f t="shared" si="8"/>
        <v>04</v>
      </c>
      <c r="P285" s="64">
        <f t="shared" si="9"/>
        <v>42555</v>
      </c>
    </row>
    <row r="286" spans="1:16" x14ac:dyDescent="0.25">
      <c r="A286" s="26">
        <v>42555.710486111115</v>
      </c>
      <c r="B286" s="4" t="s">
        <v>124</v>
      </c>
      <c r="C286" s="4" t="s">
        <v>906</v>
      </c>
      <c r="D286" s="4" t="s">
        <v>103</v>
      </c>
      <c r="E286" s="51" t="s">
        <v>129</v>
      </c>
      <c r="F286" s="3">
        <v>0</v>
      </c>
      <c r="G286" s="4">
        <v>6</v>
      </c>
      <c r="H286" s="4">
        <v>125</v>
      </c>
      <c r="I286" s="51" t="s">
        <v>130</v>
      </c>
      <c r="J286" s="4">
        <v>1</v>
      </c>
      <c r="K286" s="4" t="s">
        <v>106</v>
      </c>
      <c r="L286" s="19" t="str">
        <f>VLOOKUP(C286,'[5]Trips&amp;Operators'!$C$2:$E$10000,3,FALSE)</f>
        <v>NEWELL</v>
      </c>
      <c r="M286" s="20" t="s">
        <v>112</v>
      </c>
      <c r="N286" s="19"/>
      <c r="O286" s="19" t="str">
        <f t="shared" si="8"/>
        <v>04</v>
      </c>
      <c r="P286" s="64">
        <f t="shared" si="9"/>
        <v>42555</v>
      </c>
    </row>
    <row r="287" spans="1:16" x14ac:dyDescent="0.25">
      <c r="A287" s="26">
        <v>42555.731516203705</v>
      </c>
      <c r="B287" s="4" t="s">
        <v>145</v>
      </c>
      <c r="C287" s="4" t="s">
        <v>95</v>
      </c>
      <c r="D287" s="4" t="s">
        <v>103</v>
      </c>
      <c r="E287" s="4" t="s">
        <v>129</v>
      </c>
      <c r="F287" s="3">
        <v>0</v>
      </c>
      <c r="G287" s="4">
        <v>62</v>
      </c>
      <c r="H287" s="4">
        <v>205</v>
      </c>
      <c r="I287" s="4" t="s">
        <v>130</v>
      </c>
      <c r="J287" s="4">
        <v>1</v>
      </c>
      <c r="K287" s="4" t="s">
        <v>106</v>
      </c>
      <c r="L287" s="19" t="str">
        <f>VLOOKUP(C287,'[5]Trips&amp;Operators'!$C$2:$E$10000,3,FALSE)</f>
        <v>HELVIE</v>
      </c>
      <c r="M287" s="20" t="s">
        <v>112</v>
      </c>
      <c r="N287" s="19"/>
      <c r="O287" s="19" t="str">
        <f t="shared" si="8"/>
        <v>04</v>
      </c>
      <c r="P287" s="64">
        <f t="shared" si="9"/>
        <v>42555</v>
      </c>
    </row>
    <row r="288" spans="1:16" x14ac:dyDescent="0.25">
      <c r="A288" s="26">
        <v>42555.742847222224</v>
      </c>
      <c r="B288" s="4" t="s">
        <v>117</v>
      </c>
      <c r="C288" s="4" t="s">
        <v>908</v>
      </c>
      <c r="D288" s="4" t="s">
        <v>103</v>
      </c>
      <c r="E288" s="4" t="s">
        <v>129</v>
      </c>
      <c r="F288" s="3">
        <v>0</v>
      </c>
      <c r="G288" s="4">
        <v>9</v>
      </c>
      <c r="H288" s="4">
        <v>116</v>
      </c>
      <c r="I288" s="4" t="s">
        <v>130</v>
      </c>
      <c r="J288" s="4">
        <v>1</v>
      </c>
      <c r="K288" s="4" t="s">
        <v>106</v>
      </c>
      <c r="L288" s="19" t="str">
        <f>VLOOKUP(C288,'[5]Trips&amp;Operators'!$C$2:$E$10000,3,FALSE)</f>
        <v>WEBSTER</v>
      </c>
      <c r="M288" s="20" t="s">
        <v>112</v>
      </c>
      <c r="N288" s="19"/>
      <c r="O288" s="19" t="str">
        <f t="shared" si="8"/>
        <v>04</v>
      </c>
      <c r="P288" s="64">
        <f t="shared" si="9"/>
        <v>42555</v>
      </c>
    </row>
    <row r="289" spans="1:16" x14ac:dyDescent="0.25">
      <c r="A289" s="26">
        <v>42555.766736111109</v>
      </c>
      <c r="B289" s="4" t="s">
        <v>136</v>
      </c>
      <c r="C289" s="4" t="s">
        <v>910</v>
      </c>
      <c r="D289" s="4" t="s">
        <v>103</v>
      </c>
      <c r="E289" s="4" t="s">
        <v>129</v>
      </c>
      <c r="F289" s="3">
        <v>0</v>
      </c>
      <c r="G289" s="4">
        <v>36</v>
      </c>
      <c r="H289" s="4">
        <v>125</v>
      </c>
      <c r="I289" s="4" t="s">
        <v>130</v>
      </c>
      <c r="J289" s="4">
        <v>1</v>
      </c>
      <c r="K289" s="4" t="s">
        <v>106</v>
      </c>
      <c r="L289" s="19" t="str">
        <f>VLOOKUP(C289,'[5]Trips&amp;Operators'!$C$2:$E$10000,3,FALSE)</f>
        <v>BONDS</v>
      </c>
      <c r="M289" s="20" t="s">
        <v>112</v>
      </c>
      <c r="N289" s="19"/>
      <c r="O289" s="19" t="str">
        <f t="shared" si="8"/>
        <v>04</v>
      </c>
      <c r="P289" s="64">
        <f t="shared" si="9"/>
        <v>42555</v>
      </c>
    </row>
    <row r="290" spans="1:16" x14ac:dyDescent="0.25">
      <c r="A290" s="26">
        <v>42555.899606481478</v>
      </c>
      <c r="B290" s="4" t="s">
        <v>143</v>
      </c>
      <c r="C290" s="4" t="s">
        <v>912</v>
      </c>
      <c r="D290" s="4" t="s">
        <v>103</v>
      </c>
      <c r="E290" s="4" t="s">
        <v>129</v>
      </c>
      <c r="F290" s="3">
        <v>0</v>
      </c>
      <c r="G290" s="4">
        <v>6</v>
      </c>
      <c r="H290" s="4">
        <v>187</v>
      </c>
      <c r="I290" s="4" t="s">
        <v>130</v>
      </c>
      <c r="J290" s="4">
        <v>1</v>
      </c>
      <c r="K290" s="4" t="s">
        <v>106</v>
      </c>
      <c r="L290" s="19" t="str">
        <f>VLOOKUP(C290,'[5]Trips&amp;Operators'!$C$2:$E$10000,3,FALSE)</f>
        <v>BRUDER</v>
      </c>
      <c r="M290" s="20" t="s">
        <v>112</v>
      </c>
      <c r="N290" s="19"/>
      <c r="O290" s="19" t="str">
        <f t="shared" si="8"/>
        <v>04</v>
      </c>
      <c r="P290" s="64">
        <f t="shared" si="9"/>
        <v>42555</v>
      </c>
    </row>
    <row r="291" spans="1:16" x14ac:dyDescent="0.25">
      <c r="A291" s="26">
        <v>42556.064814814818</v>
      </c>
      <c r="B291" s="4" t="s">
        <v>143</v>
      </c>
      <c r="C291" s="4" t="s">
        <v>914</v>
      </c>
      <c r="D291" s="4" t="s">
        <v>103</v>
      </c>
      <c r="E291" s="4" t="s">
        <v>129</v>
      </c>
      <c r="F291" s="3">
        <v>0</v>
      </c>
      <c r="G291" s="4">
        <v>9</v>
      </c>
      <c r="H291" s="4">
        <v>189</v>
      </c>
      <c r="I291" s="4" t="s">
        <v>130</v>
      </c>
      <c r="J291" s="4">
        <v>1</v>
      </c>
      <c r="K291" s="4" t="s">
        <v>106</v>
      </c>
      <c r="L291" s="19" t="e">
        <f>VLOOKUP(C291,'[5]Trips&amp;Operators'!$C$2:$E$10000,3,FALSE)</f>
        <v>#N/A</v>
      </c>
      <c r="M291" s="20" t="s">
        <v>112</v>
      </c>
      <c r="N291" s="19"/>
      <c r="O291" s="19" t="str">
        <f t="shared" si="8"/>
        <v>04</v>
      </c>
      <c r="P291" s="64">
        <f t="shared" si="9"/>
        <v>42555</v>
      </c>
    </row>
    <row r="292" spans="1:16" x14ac:dyDescent="0.25">
      <c r="A292" s="26">
        <v>42555.267187500001</v>
      </c>
      <c r="B292" s="4" t="s">
        <v>118</v>
      </c>
      <c r="C292" s="4" t="s">
        <v>889</v>
      </c>
      <c r="D292" s="4" t="s">
        <v>103</v>
      </c>
      <c r="E292" s="51" t="s">
        <v>129</v>
      </c>
      <c r="F292" s="3">
        <v>0</v>
      </c>
      <c r="G292" s="4">
        <v>29</v>
      </c>
      <c r="H292" s="4">
        <v>636</v>
      </c>
      <c r="I292" s="51" t="s">
        <v>130</v>
      </c>
      <c r="J292" s="4">
        <v>575</v>
      </c>
      <c r="K292" s="4" t="s">
        <v>106</v>
      </c>
      <c r="L292" s="19" t="str">
        <f>VLOOKUP(C292,'[5]Trips&amp;Operators'!$C$2:$E$10000,3,FALSE)</f>
        <v>ADANE</v>
      </c>
      <c r="M292" s="20" t="s">
        <v>112</v>
      </c>
      <c r="N292" s="19"/>
      <c r="O292" s="19" t="str">
        <f t="shared" si="8"/>
        <v>04</v>
      </c>
      <c r="P292" s="64">
        <f t="shared" si="9"/>
        <v>42555</v>
      </c>
    </row>
    <row r="293" spans="1:16" x14ac:dyDescent="0.25">
      <c r="A293" s="17">
        <v>42555.350428240738</v>
      </c>
      <c r="B293" s="18" t="s">
        <v>118</v>
      </c>
      <c r="C293" s="18" t="s">
        <v>915</v>
      </c>
      <c r="D293" s="18" t="s">
        <v>103</v>
      </c>
      <c r="E293" s="52" t="s">
        <v>129</v>
      </c>
      <c r="F293" s="53">
        <v>0</v>
      </c>
      <c r="G293" s="18">
        <v>7</v>
      </c>
      <c r="H293" s="18">
        <v>733</v>
      </c>
      <c r="I293" s="52" t="s">
        <v>130</v>
      </c>
      <c r="J293" s="18">
        <v>575</v>
      </c>
      <c r="K293" s="19" t="s">
        <v>106</v>
      </c>
      <c r="L293" s="19" t="str">
        <f>VLOOKUP(C293,'[5]Trips&amp;Operators'!$C$2:$E$10000,3,FALSE)</f>
        <v>ADANE</v>
      </c>
      <c r="M293" s="20" t="s">
        <v>112</v>
      </c>
      <c r="N293" s="19"/>
      <c r="O293" s="19" t="str">
        <f t="shared" si="8"/>
        <v>04</v>
      </c>
      <c r="P293" s="64">
        <f t="shared" si="9"/>
        <v>42555</v>
      </c>
    </row>
    <row r="294" spans="1:16" x14ac:dyDescent="0.25">
      <c r="A294" s="26">
        <v>42555.623622685183</v>
      </c>
      <c r="B294" s="4" t="s">
        <v>131</v>
      </c>
      <c r="C294" s="4" t="s">
        <v>872</v>
      </c>
      <c r="D294" s="4" t="s">
        <v>103</v>
      </c>
      <c r="E294" s="51" t="s">
        <v>129</v>
      </c>
      <c r="F294" s="3">
        <v>0</v>
      </c>
      <c r="G294" s="4">
        <v>94</v>
      </c>
      <c r="H294" s="4">
        <v>832</v>
      </c>
      <c r="I294" s="51" t="s">
        <v>130</v>
      </c>
      <c r="J294" s="4">
        <v>575</v>
      </c>
      <c r="K294" s="4" t="s">
        <v>106</v>
      </c>
      <c r="L294" s="19" t="str">
        <f>VLOOKUP(C294,'[5]Trips&amp;Operators'!$C$2:$E$10000,3,FALSE)</f>
        <v>STRICKLAND</v>
      </c>
      <c r="M294" s="20" t="s">
        <v>112</v>
      </c>
      <c r="N294" s="19"/>
      <c r="O294" s="19" t="str">
        <f t="shared" si="8"/>
        <v>04</v>
      </c>
      <c r="P294" s="64">
        <f t="shared" si="9"/>
        <v>42555</v>
      </c>
    </row>
    <row r="295" spans="1:16" x14ac:dyDescent="0.25">
      <c r="A295" s="26">
        <v>42555.747893518521</v>
      </c>
      <c r="B295" s="4" t="s">
        <v>131</v>
      </c>
      <c r="C295" s="4" t="s">
        <v>878</v>
      </c>
      <c r="D295" s="4" t="s">
        <v>103</v>
      </c>
      <c r="E295" s="4" t="s">
        <v>129</v>
      </c>
      <c r="F295" s="3">
        <v>0</v>
      </c>
      <c r="G295" s="4">
        <v>39</v>
      </c>
      <c r="H295" s="4">
        <v>715</v>
      </c>
      <c r="I295" s="4" t="s">
        <v>130</v>
      </c>
      <c r="J295" s="4">
        <v>575</v>
      </c>
      <c r="K295" s="4" t="s">
        <v>106</v>
      </c>
      <c r="L295" s="19" t="str">
        <f>VLOOKUP(C295,'[5]Trips&amp;Operators'!$C$2:$E$10000,3,FALSE)</f>
        <v>STRICKLAND</v>
      </c>
      <c r="M295" s="20" t="s">
        <v>112</v>
      </c>
      <c r="N295" s="19"/>
      <c r="O295" s="19" t="str">
        <f t="shared" si="8"/>
        <v>04</v>
      </c>
      <c r="P295" s="64">
        <f t="shared" si="9"/>
        <v>42555</v>
      </c>
    </row>
    <row r="296" spans="1:16" x14ac:dyDescent="0.25">
      <c r="A296" s="26">
        <v>42555.789050925923</v>
      </c>
      <c r="B296" s="4" t="s">
        <v>120</v>
      </c>
      <c r="C296" s="4" t="s">
        <v>879</v>
      </c>
      <c r="D296" s="4" t="s">
        <v>103</v>
      </c>
      <c r="E296" s="4" t="s">
        <v>129</v>
      </c>
      <c r="F296" s="3">
        <v>0</v>
      </c>
      <c r="G296" s="4">
        <v>49</v>
      </c>
      <c r="H296" s="4">
        <v>677</v>
      </c>
      <c r="I296" s="4" t="s">
        <v>130</v>
      </c>
      <c r="J296" s="4">
        <v>575</v>
      </c>
      <c r="K296" s="4" t="s">
        <v>106</v>
      </c>
      <c r="L296" s="19" t="str">
        <f>VLOOKUP(C296,'[5]Trips&amp;Operators'!$C$2:$E$10000,3,FALSE)</f>
        <v>STRICKLAND</v>
      </c>
      <c r="M296" s="20" t="s">
        <v>112</v>
      </c>
      <c r="N296" s="19"/>
      <c r="O296" s="19" t="str">
        <f t="shared" si="8"/>
        <v>04</v>
      </c>
      <c r="P296" s="64">
        <f t="shared" si="9"/>
        <v>42555</v>
      </c>
    </row>
    <row r="297" spans="1:16" x14ac:dyDescent="0.25">
      <c r="A297" s="26">
        <v>42555.91333333333</v>
      </c>
      <c r="B297" s="4" t="s">
        <v>131</v>
      </c>
      <c r="C297" s="4" t="s">
        <v>881</v>
      </c>
      <c r="D297" s="4" t="s">
        <v>103</v>
      </c>
      <c r="E297" s="4" t="s">
        <v>129</v>
      </c>
      <c r="F297" s="3">
        <v>0</v>
      </c>
      <c r="G297" s="4">
        <v>51</v>
      </c>
      <c r="H297" s="4">
        <v>733</v>
      </c>
      <c r="I297" s="4" t="s">
        <v>130</v>
      </c>
      <c r="J297" s="4">
        <v>575</v>
      </c>
      <c r="K297" s="4" t="s">
        <v>106</v>
      </c>
      <c r="L297" s="19" t="str">
        <f>VLOOKUP(C297,'[5]Trips&amp;Operators'!$C$2:$E$10000,3,FALSE)</f>
        <v>STRICKLAND</v>
      </c>
      <c r="M297" s="20" t="s">
        <v>112</v>
      </c>
      <c r="N297" s="19"/>
      <c r="O297" s="19" t="str">
        <f t="shared" si="8"/>
        <v>04</v>
      </c>
      <c r="P297" s="64">
        <f t="shared" si="9"/>
        <v>42555</v>
      </c>
    </row>
    <row r="298" spans="1:16" x14ac:dyDescent="0.25">
      <c r="A298" s="26">
        <v>42555.794108796297</v>
      </c>
      <c r="B298" s="4" t="s">
        <v>134</v>
      </c>
      <c r="C298" s="4" t="s">
        <v>155</v>
      </c>
      <c r="D298" s="4" t="s">
        <v>103</v>
      </c>
      <c r="E298" s="4" t="s">
        <v>129</v>
      </c>
      <c r="F298" s="3">
        <v>0</v>
      </c>
      <c r="G298" s="4">
        <v>8</v>
      </c>
      <c r="H298" s="4">
        <v>1156</v>
      </c>
      <c r="I298" s="4" t="s">
        <v>130</v>
      </c>
      <c r="J298" s="4">
        <v>839</v>
      </c>
      <c r="K298" s="4" t="s">
        <v>106</v>
      </c>
      <c r="L298" s="19" t="str">
        <f>VLOOKUP(C298,'[5]Trips&amp;Operators'!$C$2:$E$10000,3,FALSE)</f>
        <v>LOZA</v>
      </c>
      <c r="M298" s="20" t="s">
        <v>112</v>
      </c>
      <c r="N298" s="19"/>
      <c r="O298" s="19" t="str">
        <f t="shared" si="8"/>
        <v>04</v>
      </c>
      <c r="P298" s="64">
        <f t="shared" si="9"/>
        <v>42555</v>
      </c>
    </row>
    <row r="299" spans="1:16" x14ac:dyDescent="0.25">
      <c r="A299" s="17">
        <v>42555.253587962965</v>
      </c>
      <c r="B299" s="18" t="s">
        <v>125</v>
      </c>
      <c r="C299" s="18" t="s">
        <v>869</v>
      </c>
      <c r="D299" s="18" t="s">
        <v>103</v>
      </c>
      <c r="E299" s="52" t="s">
        <v>129</v>
      </c>
      <c r="F299" s="53">
        <v>0</v>
      </c>
      <c r="G299" s="18">
        <v>82</v>
      </c>
      <c r="H299" s="18">
        <v>58760</v>
      </c>
      <c r="I299" s="52" t="s">
        <v>130</v>
      </c>
      <c r="J299" s="18">
        <v>59048</v>
      </c>
      <c r="K299" s="19" t="s">
        <v>111</v>
      </c>
      <c r="L299" s="19" t="str">
        <f>VLOOKUP(C299,'[5]Trips&amp;Operators'!$C$2:$E$10000,3,FALSE)</f>
        <v>ADANE</v>
      </c>
      <c r="M299" s="20" t="s">
        <v>112</v>
      </c>
      <c r="N299" s="19"/>
      <c r="O299" s="19" t="str">
        <f t="shared" si="8"/>
        <v>04</v>
      </c>
      <c r="P299" s="64">
        <f t="shared" si="9"/>
        <v>42555</v>
      </c>
    </row>
    <row r="300" spans="1:16" x14ac:dyDescent="0.25">
      <c r="A300" s="26">
        <v>42555.481909722221</v>
      </c>
      <c r="B300" s="4" t="s">
        <v>120</v>
      </c>
      <c r="C300" s="4" t="s">
        <v>916</v>
      </c>
      <c r="D300" s="4" t="s">
        <v>103</v>
      </c>
      <c r="E300" s="51" t="s">
        <v>129</v>
      </c>
      <c r="F300" s="3">
        <v>0</v>
      </c>
      <c r="G300" s="4">
        <v>8</v>
      </c>
      <c r="H300" s="4">
        <v>58956</v>
      </c>
      <c r="I300" s="51" t="s">
        <v>130</v>
      </c>
      <c r="J300" s="4">
        <v>59048</v>
      </c>
      <c r="K300" s="4" t="s">
        <v>111</v>
      </c>
      <c r="L300" s="19" t="str">
        <f>VLOOKUP(C300,'[5]Trips&amp;Operators'!$C$2:$E$10000,3,FALSE)</f>
        <v>NELSON</v>
      </c>
      <c r="M300" s="20" t="s">
        <v>112</v>
      </c>
      <c r="N300" s="19"/>
      <c r="O300" s="19" t="str">
        <f t="shared" si="8"/>
        <v>04</v>
      </c>
      <c r="P300" s="64">
        <f t="shared" si="9"/>
        <v>42555</v>
      </c>
    </row>
    <row r="301" spans="1:16" x14ac:dyDescent="0.25">
      <c r="A301" s="26">
        <v>42555.816157407404</v>
      </c>
      <c r="B301" s="4" t="s">
        <v>120</v>
      </c>
      <c r="C301" s="4" t="s">
        <v>918</v>
      </c>
      <c r="D301" s="4" t="s">
        <v>103</v>
      </c>
      <c r="E301" s="4" t="s">
        <v>129</v>
      </c>
      <c r="F301" s="3">
        <v>0</v>
      </c>
      <c r="G301" s="4">
        <v>7</v>
      </c>
      <c r="H301" s="4">
        <v>58952</v>
      </c>
      <c r="I301" s="4" t="s">
        <v>130</v>
      </c>
      <c r="J301" s="4">
        <v>59048</v>
      </c>
      <c r="K301" s="4" t="s">
        <v>111</v>
      </c>
      <c r="L301" s="19" t="str">
        <f>VLOOKUP(C301,'[5]Trips&amp;Operators'!$C$2:$E$10000,3,FALSE)</f>
        <v>STRICKLAND</v>
      </c>
      <c r="M301" s="20" t="s">
        <v>112</v>
      </c>
      <c r="N301" s="19"/>
      <c r="O301" s="19" t="str">
        <f t="shared" si="8"/>
        <v>04</v>
      </c>
      <c r="P301" s="64">
        <f t="shared" si="9"/>
        <v>42555</v>
      </c>
    </row>
    <row r="302" spans="1:16" x14ac:dyDescent="0.25">
      <c r="A302" s="26">
        <v>42555.858738425923</v>
      </c>
      <c r="B302" s="4" t="s">
        <v>120</v>
      </c>
      <c r="C302" s="4" t="s">
        <v>919</v>
      </c>
      <c r="D302" s="4" t="s">
        <v>103</v>
      </c>
      <c r="E302" s="4" t="s">
        <v>129</v>
      </c>
      <c r="F302" s="3">
        <v>0</v>
      </c>
      <c r="G302" s="4">
        <v>9</v>
      </c>
      <c r="H302" s="4">
        <v>58931</v>
      </c>
      <c r="I302" s="4" t="s">
        <v>130</v>
      </c>
      <c r="J302" s="4">
        <v>59048</v>
      </c>
      <c r="K302" s="4" t="s">
        <v>111</v>
      </c>
      <c r="L302" s="19" t="str">
        <f>VLOOKUP(C302,'[5]Trips&amp;Operators'!$C$2:$E$10000,3,FALSE)</f>
        <v>STRICKLAND</v>
      </c>
      <c r="M302" s="20" t="s">
        <v>112</v>
      </c>
      <c r="N302" s="19"/>
      <c r="O302" s="19" t="str">
        <f t="shared" si="8"/>
        <v>04</v>
      </c>
      <c r="P302" s="64">
        <f t="shared" si="9"/>
        <v>42555</v>
      </c>
    </row>
    <row r="303" spans="1:16" x14ac:dyDescent="0.25">
      <c r="A303" s="26">
        <v>42555.899189814816</v>
      </c>
      <c r="B303" s="4" t="s">
        <v>120</v>
      </c>
      <c r="C303" s="4" t="s">
        <v>920</v>
      </c>
      <c r="D303" s="4" t="s">
        <v>103</v>
      </c>
      <c r="E303" s="4" t="s">
        <v>129</v>
      </c>
      <c r="F303" s="3">
        <v>0</v>
      </c>
      <c r="G303" s="4">
        <v>9</v>
      </c>
      <c r="H303" s="4">
        <v>59008</v>
      </c>
      <c r="I303" s="4" t="s">
        <v>130</v>
      </c>
      <c r="J303" s="4">
        <v>59048</v>
      </c>
      <c r="K303" s="4" t="s">
        <v>111</v>
      </c>
      <c r="L303" s="19" t="str">
        <f>VLOOKUP(C303,'[5]Trips&amp;Operators'!$C$2:$E$10000,3,FALSE)</f>
        <v>STRICKLAND</v>
      </c>
      <c r="M303" s="20" t="s">
        <v>112</v>
      </c>
      <c r="N303" s="19"/>
      <c r="O303" s="19" t="str">
        <f t="shared" si="8"/>
        <v>04</v>
      </c>
      <c r="P303" s="64">
        <f t="shared" si="9"/>
        <v>42555</v>
      </c>
    </row>
    <row r="304" spans="1:16" x14ac:dyDescent="0.25">
      <c r="A304" s="26">
        <v>42555.899675925924</v>
      </c>
      <c r="B304" s="4" t="s">
        <v>120</v>
      </c>
      <c r="C304" s="4" t="s">
        <v>920</v>
      </c>
      <c r="D304" s="4" t="s">
        <v>103</v>
      </c>
      <c r="E304" s="4" t="s">
        <v>129</v>
      </c>
      <c r="F304" s="3">
        <v>0</v>
      </c>
      <c r="G304" s="4">
        <v>2</v>
      </c>
      <c r="H304" s="4">
        <v>59039</v>
      </c>
      <c r="I304" s="4" t="s">
        <v>130</v>
      </c>
      <c r="J304" s="4">
        <v>59048</v>
      </c>
      <c r="K304" s="4" t="s">
        <v>111</v>
      </c>
      <c r="L304" s="19" t="str">
        <f>VLOOKUP(C304,'[5]Trips&amp;Operators'!$C$2:$E$10000,3,FALSE)</f>
        <v>STRICKLAND</v>
      </c>
      <c r="M304" s="20" t="s">
        <v>112</v>
      </c>
      <c r="N304" s="19"/>
      <c r="O304" s="19" t="str">
        <f t="shared" si="8"/>
        <v>04</v>
      </c>
      <c r="P304" s="64">
        <f t="shared" si="9"/>
        <v>42555</v>
      </c>
    </row>
    <row r="305" spans="1:16" x14ac:dyDescent="0.25">
      <c r="A305" s="26">
        <v>42555.940706018519</v>
      </c>
      <c r="B305" s="4" t="s">
        <v>120</v>
      </c>
      <c r="C305" s="4" t="s">
        <v>882</v>
      </c>
      <c r="D305" s="4" t="s">
        <v>103</v>
      </c>
      <c r="E305" s="4" t="s">
        <v>129</v>
      </c>
      <c r="F305" s="3">
        <v>0</v>
      </c>
      <c r="G305" s="4">
        <v>75</v>
      </c>
      <c r="H305" s="4">
        <v>58713</v>
      </c>
      <c r="I305" s="4" t="s">
        <v>130</v>
      </c>
      <c r="J305" s="4">
        <v>59048</v>
      </c>
      <c r="K305" s="4" t="s">
        <v>111</v>
      </c>
      <c r="L305" s="19" t="str">
        <f>VLOOKUP(C305,'[5]Trips&amp;Operators'!$C$2:$E$10000,3,FALSE)</f>
        <v>STRICKLAND</v>
      </c>
      <c r="M305" s="20" t="s">
        <v>112</v>
      </c>
      <c r="N305" s="19"/>
      <c r="O305" s="19" t="str">
        <f t="shared" si="8"/>
        <v>04</v>
      </c>
      <c r="P305" s="64">
        <f t="shared" si="9"/>
        <v>42555</v>
      </c>
    </row>
    <row r="306" spans="1:16" x14ac:dyDescent="0.25">
      <c r="A306" s="26">
        <v>42555.941516203704</v>
      </c>
      <c r="B306" s="4" t="s">
        <v>120</v>
      </c>
      <c r="C306" s="4" t="s">
        <v>882</v>
      </c>
      <c r="D306" s="4" t="s">
        <v>103</v>
      </c>
      <c r="E306" s="4" t="s">
        <v>129</v>
      </c>
      <c r="F306" s="3">
        <v>0</v>
      </c>
      <c r="G306" s="4">
        <v>4</v>
      </c>
      <c r="H306" s="4">
        <v>59007</v>
      </c>
      <c r="I306" s="4" t="s">
        <v>130</v>
      </c>
      <c r="J306" s="4">
        <v>59048</v>
      </c>
      <c r="K306" s="4" t="s">
        <v>111</v>
      </c>
      <c r="L306" s="19" t="str">
        <f>VLOOKUP(C306,'[5]Trips&amp;Operators'!$C$2:$E$10000,3,FALSE)</f>
        <v>STRICKLAND</v>
      </c>
      <c r="M306" s="20" t="s">
        <v>112</v>
      </c>
      <c r="N306" s="19"/>
      <c r="O306" s="19" t="str">
        <f t="shared" si="8"/>
        <v>04</v>
      </c>
      <c r="P306" s="64">
        <f t="shared" si="9"/>
        <v>42555</v>
      </c>
    </row>
    <row r="307" spans="1:16" x14ac:dyDescent="0.25">
      <c r="A307" s="26">
        <v>42555.608148148145</v>
      </c>
      <c r="B307" s="4" t="s">
        <v>120</v>
      </c>
      <c r="C307" s="4" t="s">
        <v>871</v>
      </c>
      <c r="D307" s="4" t="s">
        <v>103</v>
      </c>
      <c r="E307" s="51" t="s">
        <v>129</v>
      </c>
      <c r="F307" s="3">
        <v>0</v>
      </c>
      <c r="G307" s="4">
        <v>116</v>
      </c>
      <c r="H307" s="4">
        <v>58577</v>
      </c>
      <c r="I307" s="51" t="s">
        <v>130</v>
      </c>
      <c r="J307" s="4">
        <v>59058</v>
      </c>
      <c r="K307" s="4" t="s">
        <v>111</v>
      </c>
      <c r="L307" s="19" t="str">
        <f>VLOOKUP(C307,'[5]Trips&amp;Operators'!$C$2:$E$10000,3,FALSE)</f>
        <v>STRICKLAND</v>
      </c>
      <c r="M307" s="20" t="s">
        <v>112</v>
      </c>
      <c r="N307" s="19"/>
      <c r="O307" s="19" t="str">
        <f t="shared" si="8"/>
        <v>04</v>
      </c>
      <c r="P307" s="64">
        <f t="shared" si="9"/>
        <v>42555</v>
      </c>
    </row>
    <row r="308" spans="1:16" x14ac:dyDescent="0.25">
      <c r="A308" s="26">
        <v>42555.734548611108</v>
      </c>
      <c r="B308" s="4" t="s">
        <v>120</v>
      </c>
      <c r="C308" s="4" t="s">
        <v>877</v>
      </c>
      <c r="D308" s="4" t="s">
        <v>103</v>
      </c>
      <c r="E308" s="4" t="s">
        <v>129</v>
      </c>
      <c r="F308" s="3">
        <v>0</v>
      </c>
      <c r="G308" s="4">
        <v>10</v>
      </c>
      <c r="H308" s="4">
        <v>59043</v>
      </c>
      <c r="I308" s="4" t="s">
        <v>130</v>
      </c>
      <c r="J308" s="4">
        <v>59058</v>
      </c>
      <c r="K308" s="4" t="s">
        <v>111</v>
      </c>
      <c r="L308" s="19" t="str">
        <f>VLOOKUP(C308,'[5]Trips&amp;Operators'!$C$2:$E$10000,3,FALSE)</f>
        <v>STRICKLAND</v>
      </c>
      <c r="M308" s="20" t="s">
        <v>112</v>
      </c>
      <c r="N308" s="19"/>
      <c r="O308" s="19" t="str">
        <f t="shared" si="8"/>
        <v>04</v>
      </c>
      <c r="P308" s="64">
        <f t="shared" si="9"/>
        <v>42555</v>
      </c>
    </row>
    <row r="309" spans="1:16" x14ac:dyDescent="0.25">
      <c r="A309" s="26">
        <v>42555.752916666665</v>
      </c>
      <c r="B309" s="4" t="s">
        <v>133</v>
      </c>
      <c r="C309" s="4" t="s">
        <v>917</v>
      </c>
      <c r="D309" s="4" t="s">
        <v>103</v>
      </c>
      <c r="E309" s="4" t="s">
        <v>129</v>
      </c>
      <c r="F309" s="3">
        <v>0</v>
      </c>
      <c r="G309" s="4">
        <v>6</v>
      </c>
      <c r="H309" s="4">
        <v>59001</v>
      </c>
      <c r="I309" s="4" t="s">
        <v>130</v>
      </c>
      <c r="J309" s="4">
        <v>59058</v>
      </c>
      <c r="K309" s="4" t="s">
        <v>111</v>
      </c>
      <c r="L309" s="19" t="str">
        <f>VLOOKUP(C309,'[5]Trips&amp;Operators'!$C$2:$E$10000,3,FALSE)</f>
        <v>ALONZO</v>
      </c>
      <c r="M309" s="20" t="s">
        <v>112</v>
      </c>
      <c r="N309" s="19"/>
      <c r="O309" s="19" t="str">
        <f t="shared" si="8"/>
        <v>04</v>
      </c>
      <c r="P309" s="64">
        <f t="shared" si="9"/>
        <v>42555</v>
      </c>
    </row>
    <row r="310" spans="1:16" x14ac:dyDescent="0.25">
      <c r="A310" s="26">
        <v>42555.777337962965</v>
      </c>
      <c r="B310" s="4" t="s">
        <v>131</v>
      </c>
      <c r="C310" s="4" t="s">
        <v>878</v>
      </c>
      <c r="D310" s="4" t="s">
        <v>103</v>
      </c>
      <c r="E310" s="4" t="s">
        <v>129</v>
      </c>
      <c r="F310" s="3">
        <v>0</v>
      </c>
      <c r="G310" s="4">
        <v>8</v>
      </c>
      <c r="H310" s="4">
        <v>58961</v>
      </c>
      <c r="I310" s="4" t="s">
        <v>130</v>
      </c>
      <c r="J310" s="4">
        <v>59058</v>
      </c>
      <c r="K310" s="4" t="s">
        <v>111</v>
      </c>
      <c r="L310" s="19" t="str">
        <f>VLOOKUP(C310,'[5]Trips&amp;Operators'!$C$2:$E$10000,3,FALSE)</f>
        <v>STRICKLAND</v>
      </c>
      <c r="M310" s="20" t="s">
        <v>112</v>
      </c>
      <c r="N310" s="19"/>
      <c r="O310" s="19" t="str">
        <f t="shared" si="8"/>
        <v>04</v>
      </c>
      <c r="P310" s="64">
        <f t="shared" si="9"/>
        <v>42555</v>
      </c>
    </row>
    <row r="311" spans="1:16" x14ac:dyDescent="0.25">
      <c r="A311" s="26">
        <v>42555.777337962965</v>
      </c>
      <c r="B311" s="4" t="s">
        <v>120</v>
      </c>
      <c r="C311" s="4" t="s">
        <v>879</v>
      </c>
      <c r="D311" s="4" t="s">
        <v>103</v>
      </c>
      <c r="E311" s="4" t="s">
        <v>129</v>
      </c>
      <c r="F311" s="3">
        <v>0</v>
      </c>
      <c r="G311" s="4">
        <v>5</v>
      </c>
      <c r="H311" s="4">
        <v>58958</v>
      </c>
      <c r="I311" s="4" t="s">
        <v>130</v>
      </c>
      <c r="J311" s="4">
        <v>59058</v>
      </c>
      <c r="K311" s="4" t="s">
        <v>111</v>
      </c>
      <c r="L311" s="19" t="str">
        <f>VLOOKUP(C311,'[5]Trips&amp;Operators'!$C$2:$E$10000,3,FALSE)</f>
        <v>STRICKLAND</v>
      </c>
      <c r="M311" s="20" t="s">
        <v>112</v>
      </c>
      <c r="N311" s="19"/>
      <c r="O311" s="19" t="str">
        <f t="shared" si="8"/>
        <v>04</v>
      </c>
      <c r="P311" s="64">
        <f t="shared" si="9"/>
        <v>42555</v>
      </c>
    </row>
    <row r="312" spans="1:16" x14ac:dyDescent="0.25">
      <c r="A312" s="17">
        <v>42555.181898148148</v>
      </c>
      <c r="B312" s="18" t="s">
        <v>135</v>
      </c>
      <c r="C312" s="18" t="s">
        <v>891</v>
      </c>
      <c r="D312" s="18" t="s">
        <v>103</v>
      </c>
      <c r="E312" s="52" t="s">
        <v>129</v>
      </c>
      <c r="F312" s="53">
        <v>0</v>
      </c>
      <c r="G312" s="18">
        <v>8</v>
      </c>
      <c r="H312" s="18">
        <v>233314</v>
      </c>
      <c r="I312" s="52" t="s">
        <v>130</v>
      </c>
      <c r="J312" s="18">
        <v>233491</v>
      </c>
      <c r="K312" s="19" t="s">
        <v>111</v>
      </c>
      <c r="L312" s="19" t="str">
        <f>VLOOKUP(C312,'[5]Trips&amp;Operators'!$C$2:$E$10000,3,FALSE)</f>
        <v>STURGEON</v>
      </c>
      <c r="M312" s="20" t="s">
        <v>112</v>
      </c>
      <c r="N312" s="19"/>
      <c r="O312" s="19" t="str">
        <f t="shared" si="8"/>
        <v>04</v>
      </c>
      <c r="P312" s="64">
        <f t="shared" si="9"/>
        <v>42555</v>
      </c>
    </row>
    <row r="313" spans="1:16" x14ac:dyDescent="0.25">
      <c r="A313" s="26">
        <v>42555.201874999999</v>
      </c>
      <c r="B313" s="4" t="s">
        <v>142</v>
      </c>
      <c r="C313" s="4" t="s">
        <v>892</v>
      </c>
      <c r="D313" s="4" t="s">
        <v>103</v>
      </c>
      <c r="E313" s="51" t="s">
        <v>129</v>
      </c>
      <c r="F313" s="3">
        <v>0</v>
      </c>
      <c r="G313" s="4">
        <v>8</v>
      </c>
      <c r="H313" s="4">
        <v>233328</v>
      </c>
      <c r="I313" s="51" t="s">
        <v>130</v>
      </c>
      <c r="J313" s="4">
        <v>233491</v>
      </c>
      <c r="K313" s="4" t="s">
        <v>111</v>
      </c>
      <c r="L313" s="19" t="str">
        <f>VLOOKUP(C313,'[5]Trips&amp;Operators'!$C$2:$E$10000,3,FALSE)</f>
        <v>ROCHA</v>
      </c>
      <c r="M313" s="20" t="s">
        <v>112</v>
      </c>
      <c r="N313" s="19"/>
      <c r="O313" s="19" t="str">
        <f t="shared" si="8"/>
        <v>04</v>
      </c>
      <c r="P313" s="64">
        <f t="shared" si="9"/>
        <v>42555</v>
      </c>
    </row>
    <row r="314" spans="1:16" x14ac:dyDescent="0.25">
      <c r="A314" s="26">
        <v>42555.305856481478</v>
      </c>
      <c r="B314" s="4" t="s">
        <v>163</v>
      </c>
      <c r="C314" s="4" t="s">
        <v>893</v>
      </c>
      <c r="D314" s="4" t="s">
        <v>103</v>
      </c>
      <c r="E314" s="51" t="s">
        <v>129</v>
      </c>
      <c r="F314" s="3">
        <v>0</v>
      </c>
      <c r="G314" s="4">
        <v>7</v>
      </c>
      <c r="H314" s="4">
        <v>233334</v>
      </c>
      <c r="I314" s="51" t="s">
        <v>130</v>
      </c>
      <c r="J314" s="4">
        <v>233491</v>
      </c>
      <c r="K314" s="4" t="s">
        <v>111</v>
      </c>
      <c r="L314" s="19" t="str">
        <f>VLOOKUP(C314,'[5]Trips&amp;Operators'!$C$2:$E$10000,3,FALSE)</f>
        <v>BEAM</v>
      </c>
      <c r="M314" s="20" t="s">
        <v>112</v>
      </c>
      <c r="N314" s="19"/>
      <c r="O314" s="19" t="str">
        <f t="shared" si="8"/>
        <v>04</v>
      </c>
      <c r="P314" s="64">
        <f t="shared" si="9"/>
        <v>42555</v>
      </c>
    </row>
    <row r="315" spans="1:16" x14ac:dyDescent="0.25">
      <c r="A315" s="26">
        <v>42555.328206018516</v>
      </c>
      <c r="B315" s="4" t="s">
        <v>135</v>
      </c>
      <c r="C315" s="4" t="s">
        <v>154</v>
      </c>
      <c r="D315" s="4" t="s">
        <v>103</v>
      </c>
      <c r="E315" s="51" t="s">
        <v>129</v>
      </c>
      <c r="F315" s="3">
        <v>0</v>
      </c>
      <c r="G315" s="4">
        <v>5</v>
      </c>
      <c r="H315" s="4">
        <v>233322</v>
      </c>
      <c r="I315" s="51" t="s">
        <v>130</v>
      </c>
      <c r="J315" s="4">
        <v>233491</v>
      </c>
      <c r="K315" s="4" t="s">
        <v>111</v>
      </c>
      <c r="L315" s="19" t="str">
        <f>VLOOKUP(C315,'[5]Trips&amp;Operators'!$C$2:$E$10000,3,FALSE)</f>
        <v>MALAVE</v>
      </c>
      <c r="M315" s="20" t="s">
        <v>112</v>
      </c>
      <c r="N315" s="19"/>
      <c r="O315" s="19" t="str">
        <f t="shared" si="8"/>
        <v>04</v>
      </c>
      <c r="P315" s="64">
        <f t="shared" si="9"/>
        <v>42555</v>
      </c>
    </row>
    <row r="316" spans="1:16" x14ac:dyDescent="0.25">
      <c r="A316" s="26">
        <v>42555.410138888888</v>
      </c>
      <c r="B316" s="4" t="s">
        <v>126</v>
      </c>
      <c r="C316" s="4" t="s">
        <v>894</v>
      </c>
      <c r="D316" s="4" t="s">
        <v>103</v>
      </c>
      <c r="E316" s="51" t="s">
        <v>129</v>
      </c>
      <c r="F316" s="3">
        <v>0</v>
      </c>
      <c r="G316" s="4">
        <v>8</v>
      </c>
      <c r="H316" s="4">
        <v>233309</v>
      </c>
      <c r="I316" s="51" t="s">
        <v>130</v>
      </c>
      <c r="J316" s="4">
        <v>233491</v>
      </c>
      <c r="K316" s="4" t="s">
        <v>111</v>
      </c>
      <c r="L316" s="19" t="str">
        <f>VLOOKUP(C316,'[5]Trips&amp;Operators'!$C$2:$E$10000,3,FALSE)</f>
        <v>STURGEON</v>
      </c>
      <c r="M316" s="20" t="s">
        <v>112</v>
      </c>
      <c r="N316" s="19"/>
      <c r="O316" s="19" t="str">
        <f t="shared" si="8"/>
        <v>04</v>
      </c>
      <c r="P316" s="64">
        <f t="shared" si="9"/>
        <v>42555</v>
      </c>
    </row>
    <row r="317" spans="1:16" x14ac:dyDescent="0.25">
      <c r="A317" s="26">
        <v>42555.452499999999</v>
      </c>
      <c r="B317" s="4" t="s">
        <v>163</v>
      </c>
      <c r="C317" s="4" t="s">
        <v>895</v>
      </c>
      <c r="D317" s="4" t="s">
        <v>103</v>
      </c>
      <c r="E317" s="51" t="s">
        <v>129</v>
      </c>
      <c r="F317" s="3">
        <v>0</v>
      </c>
      <c r="G317" s="4">
        <v>7</v>
      </c>
      <c r="H317" s="4">
        <v>233324</v>
      </c>
      <c r="I317" s="51" t="s">
        <v>130</v>
      </c>
      <c r="J317" s="4">
        <v>233491</v>
      </c>
      <c r="K317" s="4" t="s">
        <v>111</v>
      </c>
      <c r="L317" s="19" t="str">
        <f>VLOOKUP(C317,'[5]Trips&amp;Operators'!$C$2:$E$10000,3,FALSE)</f>
        <v>NEWELL</v>
      </c>
      <c r="M317" s="20" t="s">
        <v>112</v>
      </c>
      <c r="N317" s="19"/>
      <c r="O317" s="19" t="str">
        <f t="shared" si="8"/>
        <v>04</v>
      </c>
      <c r="P317" s="64">
        <f t="shared" si="9"/>
        <v>42555</v>
      </c>
    </row>
    <row r="318" spans="1:16" x14ac:dyDescent="0.25">
      <c r="A318" s="26">
        <v>42555.462384259263</v>
      </c>
      <c r="B318" s="4" t="s">
        <v>108</v>
      </c>
      <c r="C318" s="4" t="s">
        <v>865</v>
      </c>
      <c r="D318" s="4" t="s">
        <v>103</v>
      </c>
      <c r="E318" s="51" t="s">
        <v>129</v>
      </c>
      <c r="F318" s="3">
        <v>0</v>
      </c>
      <c r="G318" s="4">
        <v>5</v>
      </c>
      <c r="H318" s="4">
        <v>233340</v>
      </c>
      <c r="I318" s="51" t="s">
        <v>130</v>
      </c>
      <c r="J318" s="4">
        <v>233491</v>
      </c>
      <c r="K318" s="4" t="s">
        <v>111</v>
      </c>
      <c r="L318" s="19" t="str">
        <f>VLOOKUP(C318,'[5]Trips&amp;Operators'!$C$2:$E$10000,3,FALSE)</f>
        <v>BEAM</v>
      </c>
      <c r="M318" s="20" t="s">
        <v>112</v>
      </c>
      <c r="N318" s="19"/>
      <c r="O318" s="19" t="str">
        <f t="shared" si="8"/>
        <v>04</v>
      </c>
      <c r="P318" s="64">
        <f t="shared" si="9"/>
        <v>42555</v>
      </c>
    </row>
    <row r="319" spans="1:16" x14ac:dyDescent="0.25">
      <c r="A319" s="17">
        <v>42555.484444444446</v>
      </c>
      <c r="B319" s="18" t="s">
        <v>126</v>
      </c>
      <c r="C319" s="18" t="s">
        <v>866</v>
      </c>
      <c r="D319" s="18" t="s">
        <v>103</v>
      </c>
      <c r="E319" s="52" t="s">
        <v>129</v>
      </c>
      <c r="F319" s="53">
        <v>0</v>
      </c>
      <c r="G319" s="18">
        <v>6</v>
      </c>
      <c r="H319" s="18">
        <v>233323</v>
      </c>
      <c r="I319" s="52" t="s">
        <v>130</v>
      </c>
      <c r="J319" s="18">
        <v>233491</v>
      </c>
      <c r="K319" s="19" t="s">
        <v>111</v>
      </c>
      <c r="L319" s="19" t="str">
        <f>VLOOKUP(C319,'[5]Trips&amp;Operators'!$C$2:$E$10000,3,FALSE)</f>
        <v>MALAVE</v>
      </c>
      <c r="M319" s="20" t="s">
        <v>112</v>
      </c>
      <c r="N319" s="19"/>
      <c r="O319" s="19" t="str">
        <f t="shared" si="8"/>
        <v>04</v>
      </c>
      <c r="P319" s="64">
        <f t="shared" si="9"/>
        <v>42555</v>
      </c>
    </row>
    <row r="320" spans="1:16" x14ac:dyDescent="0.25">
      <c r="A320" s="17">
        <v>42555.535243055558</v>
      </c>
      <c r="B320" s="18" t="s">
        <v>108</v>
      </c>
      <c r="C320" s="18" t="s">
        <v>897</v>
      </c>
      <c r="D320" s="18" t="s">
        <v>103</v>
      </c>
      <c r="E320" s="52" t="s">
        <v>129</v>
      </c>
      <c r="F320" s="53">
        <v>0</v>
      </c>
      <c r="G320" s="18">
        <v>4</v>
      </c>
      <c r="H320" s="18">
        <v>233412</v>
      </c>
      <c r="I320" s="52" t="s">
        <v>130</v>
      </c>
      <c r="J320" s="18">
        <v>233491</v>
      </c>
      <c r="K320" s="19" t="s">
        <v>111</v>
      </c>
      <c r="L320" s="19" t="str">
        <f>VLOOKUP(C320,'[5]Trips&amp;Operators'!$C$2:$E$10000,3,FALSE)</f>
        <v>LOZA</v>
      </c>
      <c r="M320" s="20" t="s">
        <v>112</v>
      </c>
      <c r="N320" s="19"/>
      <c r="O320" s="19" t="str">
        <f t="shared" si="8"/>
        <v>04</v>
      </c>
      <c r="P320" s="64">
        <f t="shared" si="9"/>
        <v>42555</v>
      </c>
    </row>
    <row r="321" spans="1:16" x14ac:dyDescent="0.25">
      <c r="A321" s="17">
        <v>42555.55678240741</v>
      </c>
      <c r="B321" s="18" t="s">
        <v>126</v>
      </c>
      <c r="C321" s="18" t="s">
        <v>899</v>
      </c>
      <c r="D321" s="18" t="s">
        <v>103</v>
      </c>
      <c r="E321" s="52" t="s">
        <v>129</v>
      </c>
      <c r="F321" s="53">
        <v>0</v>
      </c>
      <c r="G321" s="18">
        <v>4</v>
      </c>
      <c r="H321" s="18">
        <v>233334</v>
      </c>
      <c r="I321" s="52" t="s">
        <v>130</v>
      </c>
      <c r="J321" s="18">
        <v>233491</v>
      </c>
      <c r="K321" s="19" t="s">
        <v>111</v>
      </c>
      <c r="L321" s="19" t="str">
        <f>VLOOKUP(C321,'[5]Trips&amp;Operators'!$C$2:$E$10000,3,FALSE)</f>
        <v>WEBSTER</v>
      </c>
      <c r="M321" s="20" t="s">
        <v>112</v>
      </c>
      <c r="N321" s="19"/>
      <c r="O321" s="19" t="str">
        <f t="shared" si="8"/>
        <v>04</v>
      </c>
      <c r="P321" s="64">
        <f t="shared" si="9"/>
        <v>42555</v>
      </c>
    </row>
    <row r="322" spans="1:16" x14ac:dyDescent="0.25">
      <c r="A322" s="26">
        <v>42555.597696759258</v>
      </c>
      <c r="B322" s="4" t="s">
        <v>163</v>
      </c>
      <c r="C322" s="4" t="s">
        <v>902</v>
      </c>
      <c r="D322" s="4" t="s">
        <v>103</v>
      </c>
      <c r="E322" s="51" t="s">
        <v>129</v>
      </c>
      <c r="F322" s="3">
        <v>0</v>
      </c>
      <c r="G322" s="4">
        <v>9</v>
      </c>
      <c r="H322" s="4">
        <v>233359</v>
      </c>
      <c r="I322" s="51" t="s">
        <v>130</v>
      </c>
      <c r="J322" s="4">
        <v>233491</v>
      </c>
      <c r="K322" s="4" t="s">
        <v>111</v>
      </c>
      <c r="L322" s="19" t="str">
        <f>VLOOKUP(C322,'[5]Trips&amp;Operators'!$C$2:$E$10000,3,FALSE)</f>
        <v>NEWELL</v>
      </c>
      <c r="M322" s="20" t="s">
        <v>112</v>
      </c>
      <c r="N322" s="19"/>
      <c r="O322" s="19" t="str">
        <f t="shared" ref="O322:O385" si="10">RIGHT(C322,2)</f>
        <v>04</v>
      </c>
      <c r="P322" s="64">
        <f t="shared" si="9"/>
        <v>42555</v>
      </c>
    </row>
    <row r="323" spans="1:16" x14ac:dyDescent="0.25">
      <c r="A323" s="17">
        <v>42555.629317129627</v>
      </c>
      <c r="B323" s="18" t="s">
        <v>126</v>
      </c>
      <c r="C323" s="18" t="s">
        <v>903</v>
      </c>
      <c r="D323" s="18" t="s">
        <v>103</v>
      </c>
      <c r="E323" s="52" t="s">
        <v>129</v>
      </c>
      <c r="F323" s="53">
        <v>0</v>
      </c>
      <c r="G323" s="18">
        <v>5</v>
      </c>
      <c r="H323" s="18">
        <v>233329</v>
      </c>
      <c r="I323" s="52" t="s">
        <v>130</v>
      </c>
      <c r="J323" s="18">
        <v>233491</v>
      </c>
      <c r="K323" s="19" t="s">
        <v>111</v>
      </c>
      <c r="L323" s="19" t="str">
        <f>VLOOKUP(C323,'[5]Trips&amp;Operators'!$C$2:$E$10000,3,FALSE)</f>
        <v>WEBSTER</v>
      </c>
      <c r="M323" s="20" t="s">
        <v>112</v>
      </c>
      <c r="N323" s="19"/>
      <c r="O323" s="19" t="str">
        <f t="shared" si="10"/>
        <v>04</v>
      </c>
      <c r="P323" s="64">
        <f t="shared" ref="P323:P386" si="11">42522+O323+29</f>
        <v>42555</v>
      </c>
    </row>
    <row r="324" spans="1:16" x14ac:dyDescent="0.25">
      <c r="A324" s="26">
        <v>42555.691319444442</v>
      </c>
      <c r="B324" s="4" t="s">
        <v>146</v>
      </c>
      <c r="C324" s="4" t="s">
        <v>907</v>
      </c>
      <c r="D324" s="4" t="s">
        <v>103</v>
      </c>
      <c r="E324" s="51" t="s">
        <v>129</v>
      </c>
      <c r="F324" s="3">
        <v>0</v>
      </c>
      <c r="G324" s="4">
        <v>6</v>
      </c>
      <c r="H324" s="4">
        <v>233331</v>
      </c>
      <c r="I324" s="51" t="s">
        <v>130</v>
      </c>
      <c r="J324" s="4">
        <v>233491</v>
      </c>
      <c r="K324" s="4" t="s">
        <v>111</v>
      </c>
      <c r="L324" s="19" t="str">
        <f>VLOOKUP(C324,'[5]Trips&amp;Operators'!$C$2:$E$10000,3,FALSE)</f>
        <v>HELVIE</v>
      </c>
      <c r="M324" s="20" t="s">
        <v>112</v>
      </c>
      <c r="N324" s="19"/>
      <c r="O324" s="19" t="str">
        <f t="shared" si="10"/>
        <v>04</v>
      </c>
      <c r="P324" s="64">
        <f t="shared" si="11"/>
        <v>42555</v>
      </c>
    </row>
    <row r="325" spans="1:16" x14ac:dyDescent="0.25">
      <c r="A325" s="26">
        <v>42555.712164351855</v>
      </c>
      <c r="B325" s="4" t="s">
        <v>142</v>
      </c>
      <c r="C325" s="4" t="s">
        <v>909</v>
      </c>
      <c r="D325" s="4" t="s">
        <v>103</v>
      </c>
      <c r="E325" s="51" t="s">
        <v>129</v>
      </c>
      <c r="F325" s="3">
        <v>0</v>
      </c>
      <c r="G325" s="4">
        <v>9</v>
      </c>
      <c r="H325" s="4">
        <v>233342</v>
      </c>
      <c r="I325" s="51" t="s">
        <v>130</v>
      </c>
      <c r="J325" s="4">
        <v>233491</v>
      </c>
      <c r="K325" s="4" t="s">
        <v>111</v>
      </c>
      <c r="L325" s="19" t="str">
        <f>VLOOKUP(C325,'[5]Trips&amp;Operators'!$C$2:$E$10000,3,FALSE)</f>
        <v>RIVERA</v>
      </c>
      <c r="M325" s="20" t="s">
        <v>112</v>
      </c>
      <c r="N325" s="19"/>
      <c r="O325" s="19" t="str">
        <f t="shared" si="10"/>
        <v>04</v>
      </c>
      <c r="P325" s="64">
        <f t="shared" si="11"/>
        <v>42555</v>
      </c>
    </row>
    <row r="326" spans="1:16" x14ac:dyDescent="0.25">
      <c r="A326" s="26">
        <v>42555.794259259259</v>
      </c>
      <c r="B326" s="4" t="s">
        <v>135</v>
      </c>
      <c r="C326" s="4" t="s">
        <v>911</v>
      </c>
      <c r="D326" s="4" t="s">
        <v>103</v>
      </c>
      <c r="E326" s="4" t="s">
        <v>129</v>
      </c>
      <c r="F326" s="3">
        <v>0</v>
      </c>
      <c r="G326" s="4">
        <v>6</v>
      </c>
      <c r="H326" s="4">
        <v>233293</v>
      </c>
      <c r="I326" s="4" t="s">
        <v>130</v>
      </c>
      <c r="J326" s="4">
        <v>233491</v>
      </c>
      <c r="K326" s="4" t="s">
        <v>111</v>
      </c>
      <c r="L326" s="19" t="str">
        <f>VLOOKUP(C326,'[5]Trips&amp;Operators'!$C$2:$E$10000,3,FALSE)</f>
        <v>BRUDER</v>
      </c>
      <c r="M326" s="20" t="s">
        <v>112</v>
      </c>
      <c r="N326" s="19"/>
      <c r="O326" s="19" t="str">
        <f t="shared" si="10"/>
        <v>04</v>
      </c>
      <c r="P326" s="64">
        <f t="shared" si="11"/>
        <v>42555</v>
      </c>
    </row>
    <row r="327" spans="1:16" x14ac:dyDescent="0.25">
      <c r="A327" s="26">
        <v>42555.944456018522</v>
      </c>
      <c r="B327" s="4" t="s">
        <v>135</v>
      </c>
      <c r="C327" s="4" t="s">
        <v>913</v>
      </c>
      <c r="D327" s="4" t="s">
        <v>103</v>
      </c>
      <c r="E327" s="4" t="s">
        <v>129</v>
      </c>
      <c r="F327" s="3">
        <v>0</v>
      </c>
      <c r="G327" s="4">
        <v>9</v>
      </c>
      <c r="H327" s="4">
        <v>233282</v>
      </c>
      <c r="I327" s="4" t="s">
        <v>130</v>
      </c>
      <c r="J327" s="4">
        <v>233491</v>
      </c>
      <c r="K327" s="4" t="s">
        <v>111</v>
      </c>
      <c r="L327" s="19" t="str">
        <f>VLOOKUP(C327,'[5]Trips&amp;Operators'!$C$2:$E$10000,3,FALSE)</f>
        <v>BRUDER</v>
      </c>
      <c r="M327" s="20" t="s">
        <v>112</v>
      </c>
      <c r="N327" s="19"/>
      <c r="O327" s="19" t="str">
        <f t="shared" si="10"/>
        <v>04</v>
      </c>
      <c r="P327" s="64">
        <f t="shared" si="11"/>
        <v>42555</v>
      </c>
    </row>
    <row r="328" spans="1:16" x14ac:dyDescent="0.25">
      <c r="A328" s="17">
        <v>42555.643437500003</v>
      </c>
      <c r="B328" s="18" t="s">
        <v>131</v>
      </c>
      <c r="C328" s="18" t="s">
        <v>872</v>
      </c>
      <c r="D328" s="18" t="s">
        <v>103</v>
      </c>
      <c r="E328" s="52" t="s">
        <v>191</v>
      </c>
      <c r="F328" s="53">
        <v>470</v>
      </c>
      <c r="G328" s="18">
        <v>470</v>
      </c>
      <c r="H328" s="18">
        <v>9255</v>
      </c>
      <c r="I328" s="52" t="s">
        <v>172</v>
      </c>
      <c r="J328" s="18">
        <v>10716</v>
      </c>
      <c r="K328" s="19" t="s">
        <v>111</v>
      </c>
      <c r="L328" s="19" t="str">
        <f>VLOOKUP(C328,'[5]Trips&amp;Operators'!$C$2:$E$10000,3,FALSE)</f>
        <v>STRICKLAND</v>
      </c>
      <c r="M328" s="20" t="s">
        <v>107</v>
      </c>
      <c r="N328" s="19" t="s">
        <v>52</v>
      </c>
      <c r="O328" s="19" t="str">
        <f t="shared" si="10"/>
        <v>04</v>
      </c>
      <c r="P328" s="64">
        <f t="shared" si="11"/>
        <v>42555</v>
      </c>
    </row>
    <row r="329" spans="1:16" x14ac:dyDescent="0.25">
      <c r="A329" s="17">
        <v>42555.670960648145</v>
      </c>
      <c r="B329" s="18" t="s">
        <v>133</v>
      </c>
      <c r="C329" s="18" t="s">
        <v>890</v>
      </c>
      <c r="D329" s="18" t="s">
        <v>103</v>
      </c>
      <c r="E329" s="52" t="s">
        <v>191</v>
      </c>
      <c r="F329" s="53">
        <v>470</v>
      </c>
      <c r="G329" s="18">
        <v>494</v>
      </c>
      <c r="H329" s="18">
        <v>9240</v>
      </c>
      <c r="I329" s="52" t="s">
        <v>172</v>
      </c>
      <c r="J329" s="18">
        <v>10716</v>
      </c>
      <c r="K329" s="19" t="s">
        <v>111</v>
      </c>
      <c r="L329" s="19" t="str">
        <f>VLOOKUP(C329,'[5]Trips&amp;Operators'!$C$2:$E$10000,3,FALSE)</f>
        <v>ALONZO</v>
      </c>
      <c r="M329" s="20" t="s">
        <v>107</v>
      </c>
      <c r="N329" s="19" t="s">
        <v>52</v>
      </c>
      <c r="O329" s="19" t="str">
        <f t="shared" si="10"/>
        <v>04</v>
      </c>
      <c r="P329" s="64">
        <f t="shared" si="11"/>
        <v>42555</v>
      </c>
    </row>
    <row r="330" spans="1:16" x14ac:dyDescent="0.25">
      <c r="A330" s="17">
        <v>42555.72556712963</v>
      </c>
      <c r="B330" s="18" t="s">
        <v>120</v>
      </c>
      <c r="C330" s="18" t="s">
        <v>877</v>
      </c>
      <c r="D330" s="18" t="s">
        <v>103</v>
      </c>
      <c r="E330" s="52" t="s">
        <v>191</v>
      </c>
      <c r="F330" s="53">
        <v>470</v>
      </c>
      <c r="G330" s="18">
        <v>488</v>
      </c>
      <c r="H330" s="18">
        <v>9309</v>
      </c>
      <c r="I330" s="52" t="s">
        <v>172</v>
      </c>
      <c r="J330" s="18">
        <v>10716</v>
      </c>
      <c r="K330" s="19" t="s">
        <v>111</v>
      </c>
      <c r="L330" s="19" t="str">
        <f>VLOOKUP(C330,'[5]Trips&amp;Operators'!$C$2:$E$10000,3,FALSE)</f>
        <v>STRICKLAND</v>
      </c>
      <c r="M330" s="20" t="s">
        <v>107</v>
      </c>
      <c r="N330" s="19" t="s">
        <v>52</v>
      </c>
      <c r="O330" s="19" t="str">
        <f t="shared" si="10"/>
        <v>04</v>
      </c>
      <c r="P330" s="64">
        <f t="shared" si="11"/>
        <v>42555</v>
      </c>
    </row>
    <row r="331" spans="1:16" x14ac:dyDescent="0.25">
      <c r="A331" s="17">
        <v>42555.768321759257</v>
      </c>
      <c r="B331" s="18" t="s">
        <v>131</v>
      </c>
      <c r="C331" s="18" t="s">
        <v>878</v>
      </c>
      <c r="D331" s="18" t="s">
        <v>103</v>
      </c>
      <c r="E331" s="52" t="s">
        <v>191</v>
      </c>
      <c r="F331" s="53">
        <v>470</v>
      </c>
      <c r="G331" s="18">
        <v>453</v>
      </c>
      <c r="H331" s="18">
        <v>9098</v>
      </c>
      <c r="I331" s="52" t="s">
        <v>172</v>
      </c>
      <c r="J331" s="18">
        <v>10716</v>
      </c>
      <c r="K331" s="19" t="s">
        <v>111</v>
      </c>
      <c r="L331" s="19" t="str">
        <f>VLOOKUP(C331,'[5]Trips&amp;Operators'!$C$2:$E$10000,3,FALSE)</f>
        <v>STRICKLAND</v>
      </c>
      <c r="M331" s="20" t="s">
        <v>107</v>
      </c>
      <c r="N331" s="19" t="s">
        <v>52</v>
      </c>
      <c r="O331" s="19" t="str">
        <f t="shared" si="10"/>
        <v>04</v>
      </c>
      <c r="P331" s="64">
        <f t="shared" si="11"/>
        <v>42555</v>
      </c>
    </row>
    <row r="332" spans="1:16" x14ac:dyDescent="0.25">
      <c r="A332" s="17">
        <v>42555.768321759257</v>
      </c>
      <c r="B332" s="18" t="s">
        <v>120</v>
      </c>
      <c r="C332" s="18" t="s">
        <v>879</v>
      </c>
      <c r="D332" s="18" t="s">
        <v>103</v>
      </c>
      <c r="E332" s="52" t="s">
        <v>191</v>
      </c>
      <c r="F332" s="53">
        <v>470</v>
      </c>
      <c r="G332" s="18">
        <v>473</v>
      </c>
      <c r="H332" s="18">
        <v>9362</v>
      </c>
      <c r="I332" s="52" t="s">
        <v>172</v>
      </c>
      <c r="J332" s="18">
        <v>10716</v>
      </c>
      <c r="K332" s="19" t="s">
        <v>111</v>
      </c>
      <c r="L332" s="19" t="str">
        <f>VLOOKUP(C332,'[5]Trips&amp;Operators'!$C$2:$E$10000,3,FALSE)</f>
        <v>STRICKLAND</v>
      </c>
      <c r="M332" s="20" t="s">
        <v>107</v>
      </c>
      <c r="N332" s="19" t="s">
        <v>52</v>
      </c>
      <c r="O332" s="19" t="str">
        <f t="shared" si="10"/>
        <v>04</v>
      </c>
      <c r="P332" s="64">
        <f t="shared" si="11"/>
        <v>42555</v>
      </c>
    </row>
    <row r="333" spans="1:16" x14ac:dyDescent="0.25">
      <c r="A333" s="26">
        <v>42556.663900462961</v>
      </c>
      <c r="B333" s="4" t="s">
        <v>136</v>
      </c>
      <c r="C333" s="4" t="s">
        <v>921</v>
      </c>
      <c r="D333" s="4" t="s">
        <v>103</v>
      </c>
      <c r="E333" s="51" t="s">
        <v>104</v>
      </c>
      <c r="F333" s="3">
        <v>790</v>
      </c>
      <c r="G333" s="4">
        <v>188</v>
      </c>
      <c r="H333" s="4">
        <v>63148</v>
      </c>
      <c r="I333" s="51" t="s">
        <v>105</v>
      </c>
      <c r="J333" s="4">
        <v>103864</v>
      </c>
      <c r="K333" s="4" t="s">
        <v>106</v>
      </c>
      <c r="L333" s="19" t="str">
        <f>VLOOKUP(C333,'[6]Trips&amp;Operators'!$C$1:$E$10000,3,FALSE)</f>
        <v>LOCKLEAR</v>
      </c>
      <c r="M333" s="20" t="s">
        <v>107</v>
      </c>
      <c r="N333" s="19" t="s">
        <v>47</v>
      </c>
      <c r="O333" s="19" t="str">
        <f t="shared" si="10"/>
        <v>05</v>
      </c>
      <c r="P333" s="64">
        <f t="shared" si="11"/>
        <v>42556</v>
      </c>
    </row>
    <row r="334" spans="1:16" x14ac:dyDescent="0.25">
      <c r="A334" s="26">
        <v>42556.823807870373</v>
      </c>
      <c r="B334" s="4" t="s">
        <v>139</v>
      </c>
      <c r="C334" s="4" t="s">
        <v>922</v>
      </c>
      <c r="D334" s="4" t="s">
        <v>103</v>
      </c>
      <c r="E334" s="51" t="s">
        <v>104</v>
      </c>
      <c r="F334" s="3">
        <v>790</v>
      </c>
      <c r="G334" s="4">
        <v>658</v>
      </c>
      <c r="H334" s="4">
        <v>104560</v>
      </c>
      <c r="I334" s="51" t="s">
        <v>105</v>
      </c>
      <c r="J334" s="4">
        <v>156300</v>
      </c>
      <c r="K334" s="4" t="s">
        <v>106</v>
      </c>
      <c r="L334" s="19" t="str">
        <f>VLOOKUP(C334,'[6]Trips&amp;Operators'!$C$1:$E$10000,3,FALSE)</f>
        <v>YOUNG</v>
      </c>
      <c r="M334" s="20" t="s">
        <v>107</v>
      </c>
      <c r="N334" s="19" t="s">
        <v>47</v>
      </c>
      <c r="O334" s="19" t="str">
        <f t="shared" si="10"/>
        <v>05</v>
      </c>
      <c r="P334" s="64">
        <f t="shared" si="11"/>
        <v>42556</v>
      </c>
    </row>
    <row r="335" spans="1:16" x14ac:dyDescent="0.25">
      <c r="A335" s="17">
        <v>42556.580625000002</v>
      </c>
      <c r="B335" s="18" t="s">
        <v>117</v>
      </c>
      <c r="C335" s="18" t="s">
        <v>923</v>
      </c>
      <c r="D335" s="18" t="s">
        <v>103</v>
      </c>
      <c r="E335" s="52" t="s">
        <v>109</v>
      </c>
      <c r="F335" s="53">
        <v>0</v>
      </c>
      <c r="G335" s="18">
        <v>52</v>
      </c>
      <c r="H335" s="18">
        <v>33387</v>
      </c>
      <c r="I335" s="52" t="s">
        <v>110</v>
      </c>
      <c r="J335" s="18">
        <v>33257</v>
      </c>
      <c r="K335" s="19" t="s">
        <v>106</v>
      </c>
      <c r="L335" s="19" t="str">
        <f>VLOOKUP(C335,'[6]Trips&amp;Operators'!$C$1:$E$10000,3,FALSE)</f>
        <v>BONDS</v>
      </c>
      <c r="M335" s="20" t="s">
        <v>112</v>
      </c>
      <c r="N335" s="19" t="s">
        <v>186</v>
      </c>
      <c r="O335" s="19" t="str">
        <f t="shared" si="10"/>
        <v>05</v>
      </c>
      <c r="P335" s="64">
        <f t="shared" si="11"/>
        <v>42556</v>
      </c>
    </row>
    <row r="336" spans="1:16" x14ac:dyDescent="0.25">
      <c r="A336" s="26">
        <v>42556.736863425926</v>
      </c>
      <c r="B336" s="4" t="s">
        <v>145</v>
      </c>
      <c r="C336" s="4" t="s">
        <v>924</v>
      </c>
      <c r="D336" s="4" t="s">
        <v>103</v>
      </c>
      <c r="E336" s="51" t="s">
        <v>109</v>
      </c>
      <c r="F336" s="3">
        <v>0</v>
      </c>
      <c r="G336" s="4">
        <v>156</v>
      </c>
      <c r="H336" s="4">
        <v>34184</v>
      </c>
      <c r="I336" s="51" t="s">
        <v>110</v>
      </c>
      <c r="J336" s="4">
        <v>33257</v>
      </c>
      <c r="K336" s="4" t="s">
        <v>106</v>
      </c>
      <c r="L336" s="19" t="str">
        <f>VLOOKUP(C336,'[6]Trips&amp;Operators'!$C$1:$E$10000,3,FALSE)</f>
        <v>COOLAHAN</v>
      </c>
      <c r="M336" s="20" t="s">
        <v>112</v>
      </c>
      <c r="N336" s="19" t="s">
        <v>186</v>
      </c>
      <c r="O336" s="19" t="str">
        <f t="shared" si="10"/>
        <v>05</v>
      </c>
      <c r="P336" s="64">
        <f t="shared" si="11"/>
        <v>42556</v>
      </c>
    </row>
    <row r="337" spans="1:16" x14ac:dyDescent="0.25">
      <c r="A337" s="26">
        <v>42556.893645833334</v>
      </c>
      <c r="B337" s="4" t="s">
        <v>147</v>
      </c>
      <c r="C337" s="4" t="s">
        <v>925</v>
      </c>
      <c r="D337" s="4" t="s">
        <v>103</v>
      </c>
      <c r="E337" s="51" t="s">
        <v>109</v>
      </c>
      <c r="F337" s="3">
        <v>0</v>
      </c>
      <c r="G337" s="4">
        <v>153</v>
      </c>
      <c r="H337" s="4">
        <v>34134</v>
      </c>
      <c r="I337" s="51" t="s">
        <v>110</v>
      </c>
      <c r="J337" s="4">
        <v>33257</v>
      </c>
      <c r="K337" s="4" t="s">
        <v>106</v>
      </c>
      <c r="L337" s="19" t="str">
        <f>VLOOKUP(C337,'[6]Trips&amp;Operators'!$C$1:$E$10000,3,FALSE)</f>
        <v>STRICKLAND</v>
      </c>
      <c r="M337" s="20" t="s">
        <v>112</v>
      </c>
      <c r="N337" s="19" t="s">
        <v>186</v>
      </c>
      <c r="O337" s="19" t="str">
        <f t="shared" si="10"/>
        <v>05</v>
      </c>
      <c r="P337" s="64">
        <f t="shared" si="11"/>
        <v>42556</v>
      </c>
    </row>
    <row r="338" spans="1:16" x14ac:dyDescent="0.25">
      <c r="A338" s="26">
        <v>42556.443865740737</v>
      </c>
      <c r="B338" s="4" t="s">
        <v>108</v>
      </c>
      <c r="C338" s="4" t="s">
        <v>926</v>
      </c>
      <c r="D338" s="4" t="s">
        <v>103</v>
      </c>
      <c r="E338" s="51" t="s">
        <v>109</v>
      </c>
      <c r="F338" s="3">
        <v>0</v>
      </c>
      <c r="G338" s="4">
        <v>50</v>
      </c>
      <c r="H338" s="4">
        <v>108462</v>
      </c>
      <c r="I338" s="51" t="s">
        <v>110</v>
      </c>
      <c r="J338" s="4">
        <v>108954</v>
      </c>
      <c r="K338" s="4" t="s">
        <v>111</v>
      </c>
      <c r="L338" s="19" t="str">
        <f>VLOOKUP(C338,'[6]Trips&amp;Operators'!$C$1:$E$10000,3,FALSE)</f>
        <v>KILLION</v>
      </c>
      <c r="M338" s="20" t="s">
        <v>112</v>
      </c>
      <c r="N338" s="19" t="s">
        <v>186</v>
      </c>
      <c r="O338" s="19" t="str">
        <f t="shared" si="10"/>
        <v>05</v>
      </c>
      <c r="P338" s="64">
        <f t="shared" si="11"/>
        <v>42556</v>
      </c>
    </row>
    <row r="339" spans="1:16" x14ac:dyDescent="0.25">
      <c r="A339" s="17">
        <v>42556.387789351851</v>
      </c>
      <c r="B339" s="18" t="s">
        <v>136</v>
      </c>
      <c r="C339" s="18" t="s">
        <v>927</v>
      </c>
      <c r="D339" s="18" t="s">
        <v>103</v>
      </c>
      <c r="E339" s="52" t="s">
        <v>109</v>
      </c>
      <c r="F339" s="53">
        <v>0</v>
      </c>
      <c r="G339" s="18">
        <v>224</v>
      </c>
      <c r="H339" s="18">
        <v>110149</v>
      </c>
      <c r="I339" s="52" t="s">
        <v>110</v>
      </c>
      <c r="J339" s="18">
        <v>109135</v>
      </c>
      <c r="K339" s="19" t="s">
        <v>106</v>
      </c>
      <c r="L339" s="19" t="str">
        <f>VLOOKUP(C339,'[6]Trips&amp;Operators'!$C$1:$E$10000,3,FALSE)</f>
        <v>YANAI</v>
      </c>
      <c r="M339" s="20" t="s">
        <v>112</v>
      </c>
      <c r="N339" s="19" t="s">
        <v>186</v>
      </c>
      <c r="O339" s="19" t="str">
        <f t="shared" si="10"/>
        <v>05</v>
      </c>
      <c r="P339" s="64">
        <f t="shared" si="11"/>
        <v>42556</v>
      </c>
    </row>
    <row r="340" spans="1:16" x14ac:dyDescent="0.25">
      <c r="A340" s="26">
        <v>42556.437858796293</v>
      </c>
      <c r="B340" s="4" t="s">
        <v>145</v>
      </c>
      <c r="C340" s="4" t="s">
        <v>928</v>
      </c>
      <c r="D340" s="4" t="s">
        <v>103</v>
      </c>
      <c r="E340" s="4" t="s">
        <v>109</v>
      </c>
      <c r="F340" s="3">
        <v>150</v>
      </c>
      <c r="G340" s="4">
        <v>205</v>
      </c>
      <c r="H340" s="4">
        <v>110048</v>
      </c>
      <c r="I340" s="4" t="s">
        <v>110</v>
      </c>
      <c r="J340" s="4">
        <v>109135</v>
      </c>
      <c r="K340" s="4" t="s">
        <v>106</v>
      </c>
      <c r="L340" s="19" t="str">
        <f>VLOOKUP(C340,'[6]Trips&amp;Operators'!$C$1:$E$10000,3,FALSE)</f>
        <v>STARKS</v>
      </c>
      <c r="M340" s="20" t="s">
        <v>112</v>
      </c>
      <c r="N340" s="19" t="s">
        <v>186</v>
      </c>
      <c r="O340" s="19" t="str">
        <f t="shared" si="10"/>
        <v>05</v>
      </c>
      <c r="P340" s="64">
        <f t="shared" si="11"/>
        <v>42556</v>
      </c>
    </row>
    <row r="341" spans="1:16" x14ac:dyDescent="0.25">
      <c r="A341" s="26">
        <v>42556.438298611109</v>
      </c>
      <c r="B341" s="4" t="s">
        <v>145</v>
      </c>
      <c r="C341" s="4" t="s">
        <v>928</v>
      </c>
      <c r="D341" s="4" t="s">
        <v>103</v>
      </c>
      <c r="E341" s="51" t="s">
        <v>109</v>
      </c>
      <c r="F341" s="3">
        <v>150</v>
      </c>
      <c r="G341" s="4">
        <v>101</v>
      </c>
      <c r="H341" s="4">
        <v>109261</v>
      </c>
      <c r="I341" s="51" t="s">
        <v>110</v>
      </c>
      <c r="J341" s="4">
        <v>109135</v>
      </c>
      <c r="K341" s="4" t="s">
        <v>106</v>
      </c>
      <c r="L341" s="19" t="str">
        <f>VLOOKUP(C341,'[6]Trips&amp;Operators'!$C$1:$E$10000,3,FALSE)</f>
        <v>STARKS</v>
      </c>
      <c r="M341" s="20" t="s">
        <v>112</v>
      </c>
      <c r="N341" s="19" t="s">
        <v>186</v>
      </c>
      <c r="O341" s="19" t="str">
        <f t="shared" si="10"/>
        <v>05</v>
      </c>
      <c r="P341" s="64">
        <f t="shared" si="11"/>
        <v>42556</v>
      </c>
    </row>
    <row r="342" spans="1:16" x14ac:dyDescent="0.25">
      <c r="A342" s="17">
        <v>42556.344849537039</v>
      </c>
      <c r="B342" s="18" t="s">
        <v>120</v>
      </c>
      <c r="C342" s="18" t="s">
        <v>929</v>
      </c>
      <c r="D342" s="18" t="s">
        <v>116</v>
      </c>
      <c r="E342" s="52" t="s">
        <v>115</v>
      </c>
      <c r="F342" s="53">
        <v>150</v>
      </c>
      <c r="G342" s="18">
        <v>204</v>
      </c>
      <c r="H342" s="18">
        <v>3710</v>
      </c>
      <c r="I342" s="52" t="s">
        <v>105</v>
      </c>
      <c r="J342" s="18">
        <v>0</v>
      </c>
      <c r="K342" s="19" t="s">
        <v>111</v>
      </c>
      <c r="L342" s="19" t="str">
        <f>VLOOKUP(C342,'[6]Trips&amp;Operators'!$C$1:$E$10000,3,FALSE)</f>
        <v>BEAM</v>
      </c>
      <c r="M342" s="20" t="s">
        <v>112</v>
      </c>
      <c r="N342" s="19"/>
      <c r="O342" s="19" t="str">
        <f t="shared" si="10"/>
        <v>05</v>
      </c>
      <c r="P342" s="64">
        <f t="shared" si="11"/>
        <v>42556</v>
      </c>
    </row>
    <row r="343" spans="1:16" x14ac:dyDescent="0.25">
      <c r="A343" s="17">
        <v>42556.293715277781</v>
      </c>
      <c r="B343" s="18" t="s">
        <v>117</v>
      </c>
      <c r="C343" s="18" t="s">
        <v>930</v>
      </c>
      <c r="D343" s="18" t="s">
        <v>103</v>
      </c>
      <c r="E343" s="52" t="s">
        <v>115</v>
      </c>
      <c r="F343" s="53">
        <v>150</v>
      </c>
      <c r="G343" s="18">
        <v>131</v>
      </c>
      <c r="H343" s="18">
        <v>4985</v>
      </c>
      <c r="I343" s="52" t="s">
        <v>105</v>
      </c>
      <c r="J343" s="18">
        <v>4677</v>
      </c>
      <c r="K343" s="19" t="s">
        <v>106</v>
      </c>
      <c r="L343" s="19" t="str">
        <f>VLOOKUP(C343,'[6]Trips&amp;Operators'!$C$1:$E$10000,3,FALSE)</f>
        <v>SPECTOR</v>
      </c>
      <c r="M343" s="20" t="s">
        <v>112</v>
      </c>
      <c r="N343" s="19"/>
      <c r="O343" s="19" t="str">
        <f t="shared" si="10"/>
        <v>05</v>
      </c>
      <c r="P343" s="64">
        <f t="shared" si="11"/>
        <v>42556</v>
      </c>
    </row>
    <row r="344" spans="1:16" x14ac:dyDescent="0.25">
      <c r="A344" s="17">
        <v>42556.564768518518</v>
      </c>
      <c r="B344" s="18" t="s">
        <v>134</v>
      </c>
      <c r="C344" s="18" t="s">
        <v>931</v>
      </c>
      <c r="D344" s="18" t="s">
        <v>103</v>
      </c>
      <c r="E344" s="52" t="s">
        <v>115</v>
      </c>
      <c r="F344" s="53">
        <v>150</v>
      </c>
      <c r="G344" s="18">
        <v>177</v>
      </c>
      <c r="H344" s="18">
        <v>5045</v>
      </c>
      <c r="I344" s="52" t="s">
        <v>105</v>
      </c>
      <c r="J344" s="18">
        <v>4677</v>
      </c>
      <c r="K344" s="19" t="s">
        <v>106</v>
      </c>
      <c r="L344" s="19" t="str">
        <f>VLOOKUP(C344,'[6]Trips&amp;Operators'!$C$1:$E$10000,3,FALSE)</f>
        <v>KILLION</v>
      </c>
      <c r="M344" s="20" t="s">
        <v>112</v>
      </c>
      <c r="N344" s="19"/>
      <c r="O344" s="19" t="str">
        <f t="shared" si="10"/>
        <v>05</v>
      </c>
      <c r="P344" s="64">
        <f t="shared" si="11"/>
        <v>42556</v>
      </c>
    </row>
    <row r="345" spans="1:16" x14ac:dyDescent="0.25">
      <c r="A345" s="26">
        <v>42556.651446759257</v>
      </c>
      <c r="B345" s="4" t="s">
        <v>108</v>
      </c>
      <c r="C345" s="4" t="s">
        <v>932</v>
      </c>
      <c r="D345" s="4" t="s">
        <v>116</v>
      </c>
      <c r="E345" s="4" t="s">
        <v>115</v>
      </c>
      <c r="F345" s="3">
        <v>400</v>
      </c>
      <c r="G345" s="4">
        <v>455</v>
      </c>
      <c r="H345" s="4">
        <v>7181</v>
      </c>
      <c r="I345" s="4" t="s">
        <v>105</v>
      </c>
      <c r="J345" s="4">
        <v>5457</v>
      </c>
      <c r="K345" s="4" t="s">
        <v>111</v>
      </c>
      <c r="L345" s="19" t="str">
        <f>VLOOKUP(C345,'[6]Trips&amp;Operators'!$C$1:$E$10000,3,FALSE)</f>
        <v>KILLION</v>
      </c>
      <c r="M345" s="20" t="s">
        <v>112</v>
      </c>
      <c r="N345" s="19"/>
      <c r="O345" s="19" t="str">
        <f t="shared" si="10"/>
        <v>05</v>
      </c>
      <c r="P345" s="64">
        <f t="shared" si="11"/>
        <v>42556</v>
      </c>
    </row>
    <row r="346" spans="1:16" x14ac:dyDescent="0.25">
      <c r="A346" s="26">
        <v>42556.519409722219</v>
      </c>
      <c r="B346" s="4" t="s">
        <v>163</v>
      </c>
      <c r="C346" s="4" t="s">
        <v>933</v>
      </c>
      <c r="D346" s="4" t="s">
        <v>103</v>
      </c>
      <c r="E346" s="51" t="s">
        <v>115</v>
      </c>
      <c r="F346" s="3">
        <v>300</v>
      </c>
      <c r="G346" s="4">
        <v>297</v>
      </c>
      <c r="H346" s="4">
        <v>20117</v>
      </c>
      <c r="I346" s="51" t="s">
        <v>105</v>
      </c>
      <c r="J346" s="4">
        <v>21299</v>
      </c>
      <c r="K346" s="4" t="s">
        <v>111</v>
      </c>
      <c r="L346" s="19" t="str">
        <f>VLOOKUP(C346,'[6]Trips&amp;Operators'!$C$1:$E$10000,3,FALSE)</f>
        <v>STORY</v>
      </c>
      <c r="M346" s="20" t="s">
        <v>112</v>
      </c>
      <c r="N346" s="19"/>
      <c r="O346" s="19" t="str">
        <f t="shared" si="10"/>
        <v>05</v>
      </c>
      <c r="P346" s="64">
        <f t="shared" si="11"/>
        <v>42556</v>
      </c>
    </row>
    <row r="347" spans="1:16" x14ac:dyDescent="0.25">
      <c r="A347" s="26">
        <v>42556.809664351851</v>
      </c>
      <c r="B347" s="4" t="s">
        <v>163</v>
      </c>
      <c r="C347" s="4" t="s">
        <v>934</v>
      </c>
      <c r="D347" s="4" t="s">
        <v>103</v>
      </c>
      <c r="E347" s="51" t="s">
        <v>115</v>
      </c>
      <c r="F347" s="3">
        <v>300</v>
      </c>
      <c r="G347" s="4">
        <v>237</v>
      </c>
      <c r="H347" s="4">
        <v>20780</v>
      </c>
      <c r="I347" s="51" t="s">
        <v>105</v>
      </c>
      <c r="J347" s="4">
        <v>21299</v>
      </c>
      <c r="K347" s="4" t="s">
        <v>111</v>
      </c>
      <c r="L347" s="19" t="str">
        <f>VLOOKUP(C347,'[6]Trips&amp;Operators'!$C$1:$E$10000,3,FALSE)</f>
        <v>SUR</v>
      </c>
      <c r="M347" s="20" t="s">
        <v>112</v>
      </c>
      <c r="N347" s="19"/>
      <c r="O347" s="19" t="str">
        <f t="shared" si="10"/>
        <v>05</v>
      </c>
      <c r="P347" s="64">
        <f t="shared" si="11"/>
        <v>42556</v>
      </c>
    </row>
    <row r="348" spans="1:16" x14ac:dyDescent="0.25">
      <c r="A348" s="17">
        <v>42556.936365740738</v>
      </c>
      <c r="B348" s="18" t="s">
        <v>163</v>
      </c>
      <c r="C348" s="18" t="s">
        <v>935</v>
      </c>
      <c r="D348" s="18" t="s">
        <v>103</v>
      </c>
      <c r="E348" s="52" t="s">
        <v>115</v>
      </c>
      <c r="F348" s="53">
        <v>400</v>
      </c>
      <c r="G348" s="18">
        <v>506</v>
      </c>
      <c r="H348" s="18">
        <v>35348</v>
      </c>
      <c r="I348" s="52" t="s">
        <v>105</v>
      </c>
      <c r="J348" s="18">
        <v>38171</v>
      </c>
      <c r="K348" s="19" t="s">
        <v>111</v>
      </c>
      <c r="L348" s="19" t="str">
        <f>VLOOKUP(C348,'[6]Trips&amp;Operators'!$C$1:$E$10000,3,FALSE)</f>
        <v>SUR</v>
      </c>
      <c r="M348" s="20" t="s">
        <v>112</v>
      </c>
      <c r="N348" s="19"/>
      <c r="O348" s="19" t="str">
        <f t="shared" si="10"/>
        <v>05</v>
      </c>
      <c r="P348" s="64">
        <f t="shared" si="11"/>
        <v>42556</v>
      </c>
    </row>
    <row r="349" spans="1:16" x14ac:dyDescent="0.25">
      <c r="A349" s="26">
        <v>42556.478738425925</v>
      </c>
      <c r="B349" s="4" t="s">
        <v>163</v>
      </c>
      <c r="C349" s="4" t="s">
        <v>936</v>
      </c>
      <c r="D349" s="4" t="s">
        <v>103</v>
      </c>
      <c r="E349" s="51" t="s">
        <v>115</v>
      </c>
      <c r="F349" s="3">
        <v>300</v>
      </c>
      <c r="G349" s="4">
        <v>316</v>
      </c>
      <c r="H349" s="4">
        <v>40055</v>
      </c>
      <c r="I349" s="51" t="s">
        <v>105</v>
      </c>
      <c r="J349" s="4">
        <v>40977</v>
      </c>
      <c r="K349" s="4" t="s">
        <v>111</v>
      </c>
      <c r="L349" s="19" t="str">
        <f>VLOOKUP(C349,'[6]Trips&amp;Operators'!$C$1:$E$10000,3,FALSE)</f>
        <v>STORY</v>
      </c>
      <c r="M349" s="20" t="s">
        <v>112</v>
      </c>
      <c r="N349" s="19"/>
      <c r="O349" s="19" t="str">
        <f t="shared" si="10"/>
        <v>05</v>
      </c>
      <c r="P349" s="64">
        <f t="shared" si="11"/>
        <v>42556</v>
      </c>
    </row>
    <row r="350" spans="1:16" x14ac:dyDescent="0.25">
      <c r="A350" s="26">
        <v>42556.480219907404</v>
      </c>
      <c r="B350" s="4" t="s">
        <v>163</v>
      </c>
      <c r="C350" s="4" t="s">
        <v>936</v>
      </c>
      <c r="D350" s="4" t="s">
        <v>103</v>
      </c>
      <c r="E350" s="51" t="s">
        <v>115</v>
      </c>
      <c r="F350" s="3">
        <v>400</v>
      </c>
      <c r="G350" s="4">
        <v>403</v>
      </c>
      <c r="H350" s="4">
        <v>47748</v>
      </c>
      <c r="I350" s="51" t="s">
        <v>105</v>
      </c>
      <c r="J350" s="4">
        <v>47808</v>
      </c>
      <c r="K350" s="4" t="s">
        <v>111</v>
      </c>
      <c r="L350" s="19" t="str">
        <f>VLOOKUP(C350,'[6]Trips&amp;Operators'!$C$1:$E$10000,3,FALSE)</f>
        <v>STORY</v>
      </c>
      <c r="M350" s="20" t="s">
        <v>112</v>
      </c>
      <c r="N350" s="19"/>
      <c r="O350" s="19" t="str">
        <f t="shared" si="10"/>
        <v>05</v>
      </c>
      <c r="P350" s="64">
        <f t="shared" si="11"/>
        <v>42556</v>
      </c>
    </row>
    <row r="351" spans="1:16" x14ac:dyDescent="0.25">
      <c r="A351" s="26">
        <v>42556.356053240743</v>
      </c>
      <c r="B351" s="4" t="s">
        <v>163</v>
      </c>
      <c r="C351" s="4" t="s">
        <v>937</v>
      </c>
      <c r="D351" s="4" t="s">
        <v>103</v>
      </c>
      <c r="E351" s="51" t="s">
        <v>115</v>
      </c>
      <c r="F351" s="3">
        <v>150</v>
      </c>
      <c r="G351" s="4">
        <v>120</v>
      </c>
      <c r="H351" s="4">
        <v>56604</v>
      </c>
      <c r="I351" s="51" t="s">
        <v>105</v>
      </c>
      <c r="J351" s="4">
        <v>57008</v>
      </c>
      <c r="K351" s="4" t="s">
        <v>111</v>
      </c>
      <c r="L351" s="19" t="str">
        <f>VLOOKUP(C351,'[6]Trips&amp;Operators'!$C$1:$E$10000,3,FALSE)</f>
        <v>STORY</v>
      </c>
      <c r="M351" s="20" t="s">
        <v>112</v>
      </c>
      <c r="N351" s="19"/>
      <c r="O351" s="19" t="str">
        <f t="shared" si="10"/>
        <v>05</v>
      </c>
      <c r="P351" s="64">
        <f t="shared" si="11"/>
        <v>42556</v>
      </c>
    </row>
    <row r="352" spans="1:16" x14ac:dyDescent="0.25">
      <c r="A352" s="26">
        <v>42556.646898148145</v>
      </c>
      <c r="B352" s="4" t="s">
        <v>163</v>
      </c>
      <c r="C352" s="4" t="s">
        <v>938</v>
      </c>
      <c r="D352" s="4" t="s">
        <v>103</v>
      </c>
      <c r="E352" s="4" t="s">
        <v>115</v>
      </c>
      <c r="F352" s="3">
        <v>150</v>
      </c>
      <c r="G352" s="4">
        <v>376</v>
      </c>
      <c r="H352" s="4">
        <v>55351</v>
      </c>
      <c r="I352" s="4" t="s">
        <v>105</v>
      </c>
      <c r="J352" s="4">
        <v>57008</v>
      </c>
      <c r="K352" s="4" t="s">
        <v>111</v>
      </c>
      <c r="L352" s="19" t="str">
        <f>VLOOKUP(C352,'[6]Trips&amp;Operators'!$C$1:$E$10000,3,FALSE)</f>
        <v>SUR</v>
      </c>
      <c r="M352" s="20" t="s">
        <v>112</v>
      </c>
      <c r="N352" s="19"/>
      <c r="O352" s="19" t="str">
        <f t="shared" si="10"/>
        <v>05</v>
      </c>
      <c r="P352" s="64">
        <f t="shared" si="11"/>
        <v>42556</v>
      </c>
    </row>
    <row r="353" spans="1:16" x14ac:dyDescent="0.25">
      <c r="A353" s="17">
        <v>42556.794803240744</v>
      </c>
      <c r="B353" s="18" t="s">
        <v>142</v>
      </c>
      <c r="C353" s="18" t="s">
        <v>939</v>
      </c>
      <c r="D353" s="18" t="s">
        <v>103</v>
      </c>
      <c r="E353" s="52" t="s">
        <v>115</v>
      </c>
      <c r="F353" s="53">
        <v>150</v>
      </c>
      <c r="G353" s="18">
        <v>171</v>
      </c>
      <c r="H353" s="18">
        <v>56604</v>
      </c>
      <c r="I353" s="52" t="s">
        <v>105</v>
      </c>
      <c r="J353" s="18">
        <v>57008</v>
      </c>
      <c r="K353" s="19" t="s">
        <v>111</v>
      </c>
      <c r="L353" s="19" t="str">
        <f>VLOOKUP(C353,'[6]Trips&amp;Operators'!$C$1:$E$10000,3,FALSE)</f>
        <v>NATION</v>
      </c>
      <c r="M353" s="20" t="s">
        <v>112</v>
      </c>
      <c r="N353" s="19"/>
      <c r="O353" s="19" t="str">
        <f t="shared" si="10"/>
        <v>05</v>
      </c>
      <c r="P353" s="64">
        <f t="shared" si="11"/>
        <v>42556</v>
      </c>
    </row>
    <row r="354" spans="1:16" x14ac:dyDescent="0.25">
      <c r="A354" s="26">
        <v>42556.613611111112</v>
      </c>
      <c r="B354" s="4" t="s">
        <v>124</v>
      </c>
      <c r="C354" s="4" t="s">
        <v>940</v>
      </c>
      <c r="D354" s="4" t="s">
        <v>116</v>
      </c>
      <c r="E354" s="4" t="s">
        <v>115</v>
      </c>
      <c r="F354" s="3">
        <v>150</v>
      </c>
      <c r="G354" s="4">
        <v>207</v>
      </c>
      <c r="H354" s="4">
        <v>57007</v>
      </c>
      <c r="I354" s="4" t="s">
        <v>105</v>
      </c>
      <c r="J354" s="4">
        <v>59050</v>
      </c>
      <c r="K354" s="4" t="s">
        <v>106</v>
      </c>
      <c r="L354" s="19" t="str">
        <f>VLOOKUP(C354,'[6]Trips&amp;Operators'!$C$1:$E$10000,3,FALSE)</f>
        <v>SUR</v>
      </c>
      <c r="M354" s="20" t="s">
        <v>112</v>
      </c>
      <c r="N354" s="19"/>
      <c r="O354" s="19" t="str">
        <f t="shared" si="10"/>
        <v>05</v>
      </c>
      <c r="P354" s="64">
        <f t="shared" si="11"/>
        <v>42556</v>
      </c>
    </row>
    <row r="355" spans="1:16" x14ac:dyDescent="0.25">
      <c r="A355" s="26">
        <v>42556.520231481481</v>
      </c>
      <c r="B355" s="4" t="s">
        <v>108</v>
      </c>
      <c r="C355" s="4" t="s">
        <v>941</v>
      </c>
      <c r="D355" s="4" t="s">
        <v>116</v>
      </c>
      <c r="E355" s="51" t="s">
        <v>115</v>
      </c>
      <c r="F355" s="3">
        <v>700</v>
      </c>
      <c r="G355" s="4">
        <v>754</v>
      </c>
      <c r="H355" s="4">
        <v>178942</v>
      </c>
      <c r="I355" s="51" t="s">
        <v>105</v>
      </c>
      <c r="J355" s="4">
        <v>161962</v>
      </c>
      <c r="K355" s="4" t="s">
        <v>111</v>
      </c>
      <c r="L355" s="19" t="str">
        <f>VLOOKUP(C355,'[6]Trips&amp;Operators'!$C$1:$E$10000,3,FALSE)</f>
        <v>KILLION</v>
      </c>
      <c r="M355" s="20" t="s">
        <v>112</v>
      </c>
      <c r="N355" s="19"/>
      <c r="O355" s="19" t="str">
        <f t="shared" si="10"/>
        <v>05</v>
      </c>
      <c r="P355" s="64">
        <f t="shared" si="11"/>
        <v>42556</v>
      </c>
    </row>
    <row r="356" spans="1:16" x14ac:dyDescent="0.25">
      <c r="A356" s="26">
        <v>42556.628009259257</v>
      </c>
      <c r="B356" s="4" t="s">
        <v>146</v>
      </c>
      <c r="C356" s="4" t="s">
        <v>942</v>
      </c>
      <c r="D356" s="4" t="s">
        <v>103</v>
      </c>
      <c r="E356" s="4" t="s">
        <v>115</v>
      </c>
      <c r="F356" s="3">
        <v>350</v>
      </c>
      <c r="G356" s="4">
        <v>498</v>
      </c>
      <c r="H356" s="4">
        <v>223240</v>
      </c>
      <c r="I356" s="4" t="s">
        <v>105</v>
      </c>
      <c r="J356" s="4">
        <v>224578</v>
      </c>
      <c r="K356" s="4" t="s">
        <v>111</v>
      </c>
      <c r="L356" s="19" t="str">
        <f>VLOOKUP(C356,'[6]Trips&amp;Operators'!$C$1:$E$10000,3,FALSE)</f>
        <v>COOLAHAN</v>
      </c>
      <c r="M356" s="20" t="s">
        <v>112</v>
      </c>
      <c r="N356" s="19"/>
      <c r="O356" s="19" t="str">
        <f t="shared" si="10"/>
        <v>05</v>
      </c>
      <c r="P356" s="64">
        <f t="shared" si="11"/>
        <v>42556</v>
      </c>
    </row>
    <row r="357" spans="1:16" x14ac:dyDescent="0.25">
      <c r="A357" s="26">
        <v>42557.040821759256</v>
      </c>
      <c r="B357" s="4" t="s">
        <v>131</v>
      </c>
      <c r="C357" s="4" t="s">
        <v>943</v>
      </c>
      <c r="D357" s="4" t="s">
        <v>103</v>
      </c>
      <c r="E357" s="51" t="s">
        <v>115</v>
      </c>
      <c r="F357" s="3">
        <v>150</v>
      </c>
      <c r="G357" s="4">
        <v>202</v>
      </c>
      <c r="H357" s="4">
        <v>229805</v>
      </c>
      <c r="I357" s="51" t="s">
        <v>105</v>
      </c>
      <c r="J357" s="4">
        <v>229055</v>
      </c>
      <c r="K357" s="4" t="s">
        <v>106</v>
      </c>
      <c r="L357" s="19" t="str">
        <f>VLOOKUP(C357,'[6]Trips&amp;Operators'!$C$1:$E$10000,3,FALSE)</f>
        <v>LEVERE</v>
      </c>
      <c r="M357" s="20" t="s">
        <v>112</v>
      </c>
      <c r="N357" s="19"/>
      <c r="O357" s="19" t="str">
        <f t="shared" si="10"/>
        <v>05</v>
      </c>
      <c r="P357" s="64">
        <f t="shared" si="11"/>
        <v>42556</v>
      </c>
    </row>
    <row r="358" spans="1:16" x14ac:dyDescent="0.25">
      <c r="A358" s="17">
        <v>42556.72388888889</v>
      </c>
      <c r="B358" s="18" t="s">
        <v>138</v>
      </c>
      <c r="C358" s="18" t="s">
        <v>653</v>
      </c>
      <c r="D358" s="18" t="s">
        <v>103</v>
      </c>
      <c r="E358" s="52" t="s">
        <v>115</v>
      </c>
      <c r="F358" s="53">
        <v>150</v>
      </c>
      <c r="G358" s="18">
        <v>141</v>
      </c>
      <c r="H358" s="18">
        <v>229771</v>
      </c>
      <c r="I358" s="52" t="s">
        <v>105</v>
      </c>
      <c r="J358" s="18">
        <v>230436</v>
      </c>
      <c r="K358" s="19" t="s">
        <v>111</v>
      </c>
      <c r="L358" s="19" t="str">
        <f>VLOOKUP(C358,'[6]Trips&amp;Operators'!$C$1:$E$10000,3,FALSE)</f>
        <v>LOCKLEAR</v>
      </c>
      <c r="M358" s="20" t="s">
        <v>112</v>
      </c>
      <c r="N358" s="19"/>
      <c r="O358" s="19" t="str">
        <f t="shared" si="10"/>
        <v>05</v>
      </c>
      <c r="P358" s="64">
        <f t="shared" si="11"/>
        <v>42556</v>
      </c>
    </row>
    <row r="359" spans="1:16" x14ac:dyDescent="0.25">
      <c r="A359" s="26">
        <v>42556.831678240742</v>
      </c>
      <c r="B359" s="4" t="s">
        <v>145</v>
      </c>
      <c r="C359" s="4" t="s">
        <v>944</v>
      </c>
      <c r="D359" s="4" t="s">
        <v>116</v>
      </c>
      <c r="E359" s="51" t="s">
        <v>115</v>
      </c>
      <c r="F359" s="3">
        <v>150</v>
      </c>
      <c r="G359" s="4">
        <v>205</v>
      </c>
      <c r="H359" s="4">
        <v>232255</v>
      </c>
      <c r="I359" s="51" t="s">
        <v>105</v>
      </c>
      <c r="J359" s="4">
        <v>233492</v>
      </c>
      <c r="K359" s="4" t="s">
        <v>106</v>
      </c>
      <c r="L359" s="19" t="str">
        <f>VLOOKUP(C359,'[6]Trips&amp;Operators'!$C$1:$E$10000,3,FALSE)</f>
        <v>ADANE</v>
      </c>
      <c r="M359" s="20" t="s">
        <v>112</v>
      </c>
      <c r="N359" s="19"/>
      <c r="O359" s="19" t="str">
        <f t="shared" si="10"/>
        <v>05</v>
      </c>
      <c r="P359" s="64">
        <f t="shared" si="11"/>
        <v>42556</v>
      </c>
    </row>
    <row r="360" spans="1:16" x14ac:dyDescent="0.25">
      <c r="A360" s="26">
        <v>42556.678055555552</v>
      </c>
      <c r="B360" s="4" t="s">
        <v>146</v>
      </c>
      <c r="C360" s="4" t="s">
        <v>651</v>
      </c>
      <c r="D360" s="4" t="s">
        <v>103</v>
      </c>
      <c r="E360" s="4" t="s">
        <v>122</v>
      </c>
      <c r="F360" s="3">
        <v>0</v>
      </c>
      <c r="G360" s="4">
        <v>92</v>
      </c>
      <c r="H360" s="4">
        <v>1256</v>
      </c>
      <c r="I360" s="4" t="s">
        <v>123</v>
      </c>
      <c r="J360" s="4">
        <v>1692</v>
      </c>
      <c r="K360" s="4" t="s">
        <v>111</v>
      </c>
      <c r="L360" s="19" t="str">
        <f>VLOOKUP(C360,'[6]Trips&amp;Operators'!$C$1:$E$10000,3,FALSE)</f>
        <v>COOLAHAN</v>
      </c>
      <c r="M360" s="20" t="s">
        <v>112</v>
      </c>
      <c r="N360" s="19" t="s">
        <v>251</v>
      </c>
      <c r="O360" s="19" t="str">
        <f t="shared" si="10"/>
        <v>05</v>
      </c>
      <c r="P360" s="64">
        <f t="shared" si="11"/>
        <v>42556</v>
      </c>
    </row>
    <row r="361" spans="1:16" x14ac:dyDescent="0.25">
      <c r="A361" s="26">
        <v>42556.652939814812</v>
      </c>
      <c r="B361" s="4" t="s">
        <v>120</v>
      </c>
      <c r="C361" s="4" t="s">
        <v>157</v>
      </c>
      <c r="D361" s="4" t="s">
        <v>103</v>
      </c>
      <c r="E361" s="4" t="s">
        <v>122</v>
      </c>
      <c r="F361" s="3">
        <v>0</v>
      </c>
      <c r="G361" s="4">
        <v>265</v>
      </c>
      <c r="H361" s="4">
        <v>36576</v>
      </c>
      <c r="I361" s="4" t="s">
        <v>123</v>
      </c>
      <c r="J361" s="4">
        <v>36645</v>
      </c>
      <c r="K361" s="4" t="s">
        <v>111</v>
      </c>
      <c r="L361" s="19" t="str">
        <f>VLOOKUP(C361,'[6]Trips&amp;Operators'!$C$1:$E$10000,3,FALSE)</f>
        <v>SHOOK</v>
      </c>
      <c r="M361" s="20" t="s">
        <v>107</v>
      </c>
      <c r="N361" s="19" t="s">
        <v>649</v>
      </c>
      <c r="O361" s="19" t="str">
        <f t="shared" si="10"/>
        <v>05</v>
      </c>
      <c r="P361" s="64">
        <f t="shared" si="11"/>
        <v>42556</v>
      </c>
    </row>
    <row r="362" spans="1:16" x14ac:dyDescent="0.25">
      <c r="A362" s="26">
        <v>42556.50335648148</v>
      </c>
      <c r="B362" s="4" t="s">
        <v>117</v>
      </c>
      <c r="C362" s="4" t="s">
        <v>96</v>
      </c>
      <c r="D362" s="4" t="s">
        <v>103</v>
      </c>
      <c r="E362" s="51" t="s">
        <v>122</v>
      </c>
      <c r="F362" s="3">
        <v>0</v>
      </c>
      <c r="G362" s="4">
        <v>775</v>
      </c>
      <c r="H362" s="4">
        <v>75939</v>
      </c>
      <c r="I362" s="51" t="s">
        <v>123</v>
      </c>
      <c r="J362" s="4">
        <v>75579</v>
      </c>
      <c r="K362" s="4" t="s">
        <v>106</v>
      </c>
      <c r="L362" s="19" t="str">
        <f>VLOOKUP(C362,'[6]Trips&amp;Operators'!$C$1:$E$10000,3,FALSE)</f>
        <v>BONDS</v>
      </c>
      <c r="M362" s="20" t="s">
        <v>107</v>
      </c>
      <c r="N362" s="19" t="s">
        <v>647</v>
      </c>
      <c r="O362" s="19" t="str">
        <f t="shared" si="10"/>
        <v>05</v>
      </c>
      <c r="P362" s="64">
        <f t="shared" si="11"/>
        <v>42556</v>
      </c>
    </row>
    <row r="363" spans="1:16" x14ac:dyDescent="0.25">
      <c r="A363" s="26">
        <v>42556.381990740738</v>
      </c>
      <c r="B363" s="4" t="s">
        <v>136</v>
      </c>
      <c r="C363" s="4" t="s">
        <v>927</v>
      </c>
      <c r="D363" s="4" t="s">
        <v>103</v>
      </c>
      <c r="E363" s="51" t="s">
        <v>122</v>
      </c>
      <c r="F363" s="3">
        <v>0</v>
      </c>
      <c r="G363" s="4">
        <v>363</v>
      </c>
      <c r="H363" s="4">
        <v>128887</v>
      </c>
      <c r="I363" s="51" t="s">
        <v>123</v>
      </c>
      <c r="J363" s="4">
        <v>127587</v>
      </c>
      <c r="K363" s="4" t="s">
        <v>106</v>
      </c>
      <c r="L363" s="19" t="str">
        <f>VLOOKUP(C363,'[6]Trips&amp;Operators'!$C$1:$E$10000,3,FALSE)</f>
        <v>YANAI</v>
      </c>
      <c r="M363" s="20" t="s">
        <v>112</v>
      </c>
      <c r="N363" s="19" t="s">
        <v>376</v>
      </c>
      <c r="O363" s="19" t="str">
        <f t="shared" si="10"/>
        <v>05</v>
      </c>
      <c r="P363" s="64">
        <f t="shared" si="11"/>
        <v>42556</v>
      </c>
    </row>
    <row r="364" spans="1:16" x14ac:dyDescent="0.25">
      <c r="A364" s="26">
        <v>42556.457627314812</v>
      </c>
      <c r="B364" s="4" t="s">
        <v>136</v>
      </c>
      <c r="C364" s="4" t="s">
        <v>945</v>
      </c>
      <c r="D364" s="4" t="s">
        <v>103</v>
      </c>
      <c r="E364" s="51" t="s">
        <v>122</v>
      </c>
      <c r="F364" s="3">
        <v>0</v>
      </c>
      <c r="G364" s="4">
        <v>390</v>
      </c>
      <c r="H364" s="4">
        <v>129211</v>
      </c>
      <c r="I364" s="51" t="s">
        <v>123</v>
      </c>
      <c r="J364" s="4">
        <v>127587</v>
      </c>
      <c r="K364" s="4" t="s">
        <v>106</v>
      </c>
      <c r="L364" s="19" t="str">
        <f>VLOOKUP(C364,'[6]Trips&amp;Operators'!$C$1:$E$10000,3,FALSE)</f>
        <v>YANAI</v>
      </c>
      <c r="M364" s="20" t="s">
        <v>112</v>
      </c>
      <c r="N364" s="19" t="s">
        <v>376</v>
      </c>
      <c r="O364" s="19" t="str">
        <f t="shared" si="10"/>
        <v>05</v>
      </c>
      <c r="P364" s="64">
        <f t="shared" si="11"/>
        <v>42556</v>
      </c>
    </row>
    <row r="365" spans="1:16" x14ac:dyDescent="0.25">
      <c r="A365" s="26">
        <v>42556.698796296296</v>
      </c>
      <c r="B365" s="4" t="s">
        <v>134</v>
      </c>
      <c r="C365" s="4" t="s">
        <v>650</v>
      </c>
      <c r="D365" s="4" t="s">
        <v>103</v>
      </c>
      <c r="E365" s="4" t="s">
        <v>122</v>
      </c>
      <c r="F365" s="3">
        <v>0</v>
      </c>
      <c r="G365" s="4">
        <v>529</v>
      </c>
      <c r="H365" s="4">
        <v>137003</v>
      </c>
      <c r="I365" s="4" t="s">
        <v>123</v>
      </c>
      <c r="J365" s="4">
        <v>133166</v>
      </c>
      <c r="K365" s="4" t="s">
        <v>106</v>
      </c>
      <c r="L365" s="19" t="str">
        <f>VLOOKUP(C365,'[6]Trips&amp;Operators'!$C$1:$E$10000,3,FALSE)</f>
        <v>KILLION</v>
      </c>
      <c r="M365" s="20" t="s">
        <v>112</v>
      </c>
      <c r="N365" s="19" t="s">
        <v>946</v>
      </c>
      <c r="O365" s="19" t="str">
        <f t="shared" si="10"/>
        <v>05</v>
      </c>
      <c r="P365" s="64">
        <f t="shared" si="11"/>
        <v>42556</v>
      </c>
    </row>
    <row r="366" spans="1:16" x14ac:dyDescent="0.25">
      <c r="A366" s="26">
        <v>42556.860578703701</v>
      </c>
      <c r="B366" s="4" t="s">
        <v>131</v>
      </c>
      <c r="C366" s="4" t="s">
        <v>947</v>
      </c>
      <c r="D366" s="4" t="s">
        <v>116</v>
      </c>
      <c r="E366" s="51" t="s">
        <v>122</v>
      </c>
      <c r="F366" s="3">
        <v>0</v>
      </c>
      <c r="G366" s="4">
        <v>694</v>
      </c>
      <c r="H366" s="4">
        <v>167831</v>
      </c>
      <c r="I366" s="51" t="s">
        <v>123</v>
      </c>
      <c r="J366" s="4">
        <v>168014</v>
      </c>
      <c r="K366" s="4" t="s">
        <v>106</v>
      </c>
      <c r="L366" s="19" t="str">
        <f>VLOOKUP(C366,'[6]Trips&amp;Operators'!$C$1:$E$10000,3,FALSE)</f>
        <v>LEVERE</v>
      </c>
      <c r="M366" s="20" t="s">
        <v>107</v>
      </c>
      <c r="N366" s="19" t="s">
        <v>52</v>
      </c>
      <c r="O366" s="19" t="str">
        <f t="shared" si="10"/>
        <v>05</v>
      </c>
      <c r="P366" s="64">
        <f t="shared" si="11"/>
        <v>42556</v>
      </c>
    </row>
    <row r="367" spans="1:16" x14ac:dyDescent="0.25">
      <c r="A367" s="26">
        <v>42556.746469907404</v>
      </c>
      <c r="B367" s="4" t="s">
        <v>120</v>
      </c>
      <c r="C367" s="4" t="s">
        <v>282</v>
      </c>
      <c r="D367" s="4" t="s">
        <v>103</v>
      </c>
      <c r="E367" s="51" t="s">
        <v>122</v>
      </c>
      <c r="F367" s="3">
        <v>0</v>
      </c>
      <c r="G367" s="4">
        <v>703</v>
      </c>
      <c r="H367" s="4">
        <v>172602</v>
      </c>
      <c r="I367" s="51" t="s">
        <v>123</v>
      </c>
      <c r="J367" s="4">
        <v>175383</v>
      </c>
      <c r="K367" s="4" t="s">
        <v>111</v>
      </c>
      <c r="L367" s="19" t="str">
        <f>VLOOKUP(C367,'[6]Trips&amp;Operators'!$C$1:$E$10000,3,FALSE)</f>
        <v>SHOOK</v>
      </c>
      <c r="M367" s="20" t="s">
        <v>107</v>
      </c>
      <c r="N367" s="19" t="s">
        <v>52</v>
      </c>
      <c r="O367" s="19" t="str">
        <f t="shared" si="10"/>
        <v>05</v>
      </c>
      <c r="P367" s="64">
        <f t="shared" si="11"/>
        <v>42556</v>
      </c>
    </row>
    <row r="368" spans="1:16" x14ac:dyDescent="0.25">
      <c r="A368" s="17">
        <v>42556.767141203702</v>
      </c>
      <c r="B368" s="18" t="s">
        <v>131</v>
      </c>
      <c r="C368" s="18" t="s">
        <v>278</v>
      </c>
      <c r="D368" s="18" t="s">
        <v>103</v>
      </c>
      <c r="E368" s="52" t="s">
        <v>122</v>
      </c>
      <c r="F368" s="53">
        <v>0</v>
      </c>
      <c r="G368" s="18">
        <v>696</v>
      </c>
      <c r="H368" s="18">
        <v>181738</v>
      </c>
      <c r="I368" s="52" t="s">
        <v>123</v>
      </c>
      <c r="J368" s="18">
        <v>175398</v>
      </c>
      <c r="K368" s="19" t="s">
        <v>106</v>
      </c>
      <c r="L368" s="19" t="str">
        <f>VLOOKUP(C368,'[6]Trips&amp;Operators'!$C$1:$E$10000,3,FALSE)</f>
        <v>SHOOK</v>
      </c>
      <c r="M368" s="20" t="s">
        <v>107</v>
      </c>
      <c r="N368" s="19" t="s">
        <v>52</v>
      </c>
      <c r="O368" s="19" t="str">
        <f t="shared" si="10"/>
        <v>05</v>
      </c>
      <c r="P368" s="64">
        <f t="shared" si="11"/>
        <v>42556</v>
      </c>
    </row>
    <row r="369" spans="1:16" x14ac:dyDescent="0.25">
      <c r="A369" s="26">
        <v>42556.8591087963</v>
      </c>
      <c r="B369" s="4" t="s">
        <v>131</v>
      </c>
      <c r="C369" s="4" t="s">
        <v>947</v>
      </c>
      <c r="D369" s="4" t="s">
        <v>103</v>
      </c>
      <c r="E369" s="51" t="s">
        <v>122</v>
      </c>
      <c r="F369" s="3">
        <v>0</v>
      </c>
      <c r="G369" s="4">
        <v>704</v>
      </c>
      <c r="H369" s="4">
        <v>181707</v>
      </c>
      <c r="I369" s="51" t="s">
        <v>123</v>
      </c>
      <c r="J369" s="4">
        <v>175398</v>
      </c>
      <c r="K369" s="4" t="s">
        <v>106</v>
      </c>
      <c r="L369" s="19" t="str">
        <f>VLOOKUP(C369,'[6]Trips&amp;Operators'!$C$1:$E$10000,3,FALSE)</f>
        <v>LEVERE</v>
      </c>
      <c r="M369" s="20" t="s">
        <v>107</v>
      </c>
      <c r="N369" s="19" t="s">
        <v>52</v>
      </c>
      <c r="O369" s="19" t="str">
        <f t="shared" si="10"/>
        <v>05</v>
      </c>
      <c r="P369" s="64">
        <f t="shared" si="11"/>
        <v>42556</v>
      </c>
    </row>
    <row r="370" spans="1:16" x14ac:dyDescent="0.25">
      <c r="A370" s="26">
        <v>42556.671064814815</v>
      </c>
      <c r="B370" s="4" t="s">
        <v>120</v>
      </c>
      <c r="C370" s="4" t="s">
        <v>157</v>
      </c>
      <c r="D370" s="4" t="s">
        <v>103</v>
      </c>
      <c r="E370" s="51" t="s">
        <v>122</v>
      </c>
      <c r="F370" s="3">
        <v>0</v>
      </c>
      <c r="G370" s="4">
        <v>498</v>
      </c>
      <c r="H370" s="4">
        <v>179602</v>
      </c>
      <c r="I370" s="51" t="s">
        <v>123</v>
      </c>
      <c r="J370" s="4">
        <v>182907</v>
      </c>
      <c r="K370" s="4" t="s">
        <v>111</v>
      </c>
      <c r="L370" s="19" t="str">
        <f>VLOOKUP(C370,'[6]Trips&amp;Operators'!$C$1:$E$10000,3,FALSE)</f>
        <v>SHOOK</v>
      </c>
      <c r="M370" s="20" t="s">
        <v>107</v>
      </c>
      <c r="N370" s="19" t="s">
        <v>52</v>
      </c>
      <c r="O370" s="19" t="str">
        <f t="shared" si="10"/>
        <v>05</v>
      </c>
      <c r="P370" s="64">
        <f t="shared" si="11"/>
        <v>42556</v>
      </c>
    </row>
    <row r="371" spans="1:16" x14ac:dyDescent="0.25">
      <c r="A371" s="26">
        <v>42556.748923611114</v>
      </c>
      <c r="B371" s="4" t="s">
        <v>120</v>
      </c>
      <c r="C371" s="4" t="s">
        <v>282</v>
      </c>
      <c r="D371" s="4" t="s">
        <v>103</v>
      </c>
      <c r="E371" s="51" t="s">
        <v>122</v>
      </c>
      <c r="F371" s="3">
        <v>0</v>
      </c>
      <c r="G371" s="4">
        <v>155</v>
      </c>
      <c r="H371" s="4">
        <v>182801</v>
      </c>
      <c r="I371" s="51" t="s">
        <v>123</v>
      </c>
      <c r="J371" s="4">
        <v>182907</v>
      </c>
      <c r="K371" s="4" t="s">
        <v>111</v>
      </c>
      <c r="L371" s="19" t="str">
        <f>VLOOKUP(C371,'[6]Trips&amp;Operators'!$C$1:$E$10000,3,FALSE)</f>
        <v>SHOOK</v>
      </c>
      <c r="M371" s="20" t="s">
        <v>107</v>
      </c>
      <c r="N371" s="19" t="s">
        <v>52</v>
      </c>
      <c r="O371" s="19" t="str">
        <f t="shared" si="10"/>
        <v>05</v>
      </c>
      <c r="P371" s="64">
        <f t="shared" si="11"/>
        <v>42556</v>
      </c>
    </row>
    <row r="372" spans="1:16" x14ac:dyDescent="0.25">
      <c r="A372" s="26">
        <v>42556.749618055554</v>
      </c>
      <c r="B372" s="4" t="s">
        <v>120</v>
      </c>
      <c r="C372" s="4" t="s">
        <v>282</v>
      </c>
      <c r="D372" s="4" t="s">
        <v>103</v>
      </c>
      <c r="E372" s="51" t="s">
        <v>122</v>
      </c>
      <c r="F372" s="3">
        <v>0</v>
      </c>
      <c r="G372" s="4">
        <v>155</v>
      </c>
      <c r="H372" s="4">
        <v>182801</v>
      </c>
      <c r="I372" s="51" t="s">
        <v>123</v>
      </c>
      <c r="J372" s="4">
        <v>182907</v>
      </c>
      <c r="K372" s="4" t="s">
        <v>111</v>
      </c>
      <c r="L372" s="19" t="str">
        <f>VLOOKUP(C372,'[6]Trips&amp;Operators'!$C$1:$E$10000,3,FALSE)</f>
        <v>SHOOK</v>
      </c>
      <c r="M372" s="20" t="s">
        <v>107</v>
      </c>
      <c r="N372" s="19" t="s">
        <v>52</v>
      </c>
      <c r="O372" s="19" t="str">
        <f t="shared" si="10"/>
        <v>05</v>
      </c>
      <c r="P372" s="64">
        <f t="shared" si="11"/>
        <v>42556</v>
      </c>
    </row>
    <row r="373" spans="1:16" x14ac:dyDescent="0.25">
      <c r="A373" s="26">
        <v>42556.7503125</v>
      </c>
      <c r="B373" s="4" t="s">
        <v>120</v>
      </c>
      <c r="C373" s="4" t="s">
        <v>282</v>
      </c>
      <c r="D373" s="4" t="s">
        <v>103</v>
      </c>
      <c r="E373" s="51" t="s">
        <v>122</v>
      </c>
      <c r="F373" s="3">
        <v>0</v>
      </c>
      <c r="G373" s="4">
        <v>155</v>
      </c>
      <c r="H373" s="4">
        <v>182801</v>
      </c>
      <c r="I373" s="51" t="s">
        <v>123</v>
      </c>
      <c r="J373" s="4">
        <v>182907</v>
      </c>
      <c r="K373" s="4" t="s">
        <v>111</v>
      </c>
      <c r="L373" s="19" t="str">
        <f>VLOOKUP(C373,'[6]Trips&amp;Operators'!$C$1:$E$10000,3,FALSE)</f>
        <v>SHOOK</v>
      </c>
      <c r="M373" s="20" t="s">
        <v>107</v>
      </c>
      <c r="N373" s="19" t="s">
        <v>52</v>
      </c>
      <c r="O373" s="19" t="str">
        <f t="shared" si="10"/>
        <v>05</v>
      </c>
      <c r="P373" s="64">
        <f t="shared" si="11"/>
        <v>42556</v>
      </c>
    </row>
    <row r="374" spans="1:16" x14ac:dyDescent="0.25">
      <c r="A374" s="26">
        <v>42556.179108796299</v>
      </c>
      <c r="B374" s="4" t="s">
        <v>126</v>
      </c>
      <c r="C374" s="4" t="s">
        <v>630</v>
      </c>
      <c r="D374" s="4" t="s">
        <v>103</v>
      </c>
      <c r="E374" s="51" t="s">
        <v>122</v>
      </c>
      <c r="F374" s="3">
        <v>0</v>
      </c>
      <c r="G374" s="4">
        <v>101</v>
      </c>
      <c r="H374" s="4">
        <v>189957</v>
      </c>
      <c r="I374" s="51" t="s">
        <v>123</v>
      </c>
      <c r="J374" s="4">
        <v>190738</v>
      </c>
      <c r="K374" s="4" t="s">
        <v>111</v>
      </c>
      <c r="L374" s="19" t="str">
        <f>VLOOKUP(C374,'[6]Trips&amp;Operators'!$C$1:$E$10000,3,FALSE)</f>
        <v>STARKS</v>
      </c>
      <c r="M374" s="20" t="s">
        <v>107</v>
      </c>
      <c r="N374" s="19" t="s">
        <v>52</v>
      </c>
      <c r="O374" s="19" t="str">
        <f t="shared" si="10"/>
        <v>05</v>
      </c>
      <c r="P374" s="64">
        <f t="shared" si="11"/>
        <v>42556</v>
      </c>
    </row>
    <row r="375" spans="1:16" x14ac:dyDescent="0.25">
      <c r="A375" s="26">
        <v>42556.261793981481</v>
      </c>
      <c r="B375" s="4" t="s">
        <v>146</v>
      </c>
      <c r="C375" s="4" t="s">
        <v>636</v>
      </c>
      <c r="D375" s="4" t="s">
        <v>103</v>
      </c>
      <c r="E375" s="51" t="s">
        <v>122</v>
      </c>
      <c r="F375" s="3">
        <v>0</v>
      </c>
      <c r="G375" s="4">
        <v>480</v>
      </c>
      <c r="H375" s="4">
        <v>187735</v>
      </c>
      <c r="I375" s="51" t="s">
        <v>123</v>
      </c>
      <c r="J375" s="4">
        <v>190738</v>
      </c>
      <c r="K375" s="4" t="s">
        <v>111</v>
      </c>
      <c r="L375" s="19" t="str">
        <f>VLOOKUP(C375,'[6]Trips&amp;Operators'!$C$1:$E$10000,3,FALSE)</f>
        <v>LOCKLEAR</v>
      </c>
      <c r="M375" s="20" t="s">
        <v>107</v>
      </c>
      <c r="N375" s="19" t="s">
        <v>52</v>
      </c>
      <c r="O375" s="19" t="str">
        <f t="shared" si="10"/>
        <v>05</v>
      </c>
      <c r="P375" s="64">
        <f t="shared" si="11"/>
        <v>42556</v>
      </c>
    </row>
    <row r="376" spans="1:16" x14ac:dyDescent="0.25">
      <c r="A376" s="26">
        <v>42556.429583333331</v>
      </c>
      <c r="B376" s="4" t="s">
        <v>145</v>
      </c>
      <c r="C376" s="4" t="s">
        <v>928</v>
      </c>
      <c r="D376" s="4" t="s">
        <v>103</v>
      </c>
      <c r="E376" s="4" t="s">
        <v>122</v>
      </c>
      <c r="F376" s="3">
        <v>0</v>
      </c>
      <c r="G376" s="4">
        <v>93</v>
      </c>
      <c r="H376" s="4">
        <v>192186</v>
      </c>
      <c r="I376" s="4" t="s">
        <v>123</v>
      </c>
      <c r="J376" s="4">
        <v>191723</v>
      </c>
      <c r="K376" s="4" t="s">
        <v>106</v>
      </c>
      <c r="L376" s="19" t="str">
        <f>VLOOKUP(C376,'[6]Trips&amp;Operators'!$C$1:$E$10000,3,FALSE)</f>
        <v>STARKS</v>
      </c>
      <c r="M376" s="20" t="s">
        <v>112</v>
      </c>
      <c r="N376" s="19" t="s">
        <v>735</v>
      </c>
      <c r="O376" s="19" t="str">
        <f t="shared" si="10"/>
        <v>05</v>
      </c>
      <c r="P376" s="64">
        <f t="shared" si="11"/>
        <v>42556</v>
      </c>
    </row>
    <row r="377" spans="1:16" x14ac:dyDescent="0.25">
      <c r="A377" s="26">
        <v>42556.673518518517</v>
      </c>
      <c r="B377" s="4" t="s">
        <v>120</v>
      </c>
      <c r="C377" s="4" t="s">
        <v>157</v>
      </c>
      <c r="D377" s="4" t="s">
        <v>103</v>
      </c>
      <c r="E377" s="4" t="s">
        <v>122</v>
      </c>
      <c r="F377" s="3">
        <v>0</v>
      </c>
      <c r="G377" s="4">
        <v>766</v>
      </c>
      <c r="H377" s="4">
        <v>201785</v>
      </c>
      <c r="I377" s="4" t="s">
        <v>123</v>
      </c>
      <c r="J377" s="4">
        <v>204300</v>
      </c>
      <c r="K377" s="4" t="s">
        <v>111</v>
      </c>
      <c r="L377" s="19" t="str">
        <f>VLOOKUP(C377,'[6]Trips&amp;Operators'!$C$1:$E$10000,3,FALSE)</f>
        <v>SHOOK</v>
      </c>
      <c r="M377" s="20" t="s">
        <v>107</v>
      </c>
      <c r="N377" s="19" t="s">
        <v>52</v>
      </c>
      <c r="O377" s="19" t="str">
        <f t="shared" si="10"/>
        <v>05</v>
      </c>
      <c r="P377" s="64">
        <f t="shared" si="11"/>
        <v>42556</v>
      </c>
    </row>
    <row r="378" spans="1:16" x14ac:dyDescent="0.25">
      <c r="A378" s="17">
        <v>42556.291909722226</v>
      </c>
      <c r="B378" s="18" t="s">
        <v>119</v>
      </c>
      <c r="C378" s="18" t="s">
        <v>638</v>
      </c>
      <c r="D378" s="18" t="s">
        <v>103</v>
      </c>
      <c r="E378" s="52" t="s">
        <v>122</v>
      </c>
      <c r="F378" s="53">
        <v>0</v>
      </c>
      <c r="G378" s="18">
        <v>572</v>
      </c>
      <c r="H378" s="18">
        <v>207936</v>
      </c>
      <c r="I378" s="52" t="s">
        <v>123</v>
      </c>
      <c r="J378" s="18">
        <v>204340</v>
      </c>
      <c r="K378" s="19" t="s">
        <v>106</v>
      </c>
      <c r="L378" s="19" t="str">
        <f>VLOOKUP(C378,'[6]Trips&amp;Operators'!$C$1:$E$10000,3,FALSE)</f>
        <v>ROCHA</v>
      </c>
      <c r="M378" s="20" t="s">
        <v>107</v>
      </c>
      <c r="N378" s="19" t="s">
        <v>52</v>
      </c>
      <c r="O378" s="19" t="str">
        <f t="shared" si="10"/>
        <v>05</v>
      </c>
      <c r="P378" s="64">
        <f t="shared" si="11"/>
        <v>42556</v>
      </c>
    </row>
    <row r="379" spans="1:16" x14ac:dyDescent="0.25">
      <c r="A379" s="26">
        <v>42556.586215277777</v>
      </c>
      <c r="B379" s="4" t="s">
        <v>137</v>
      </c>
      <c r="C379" s="4" t="s">
        <v>948</v>
      </c>
      <c r="D379" s="4" t="s">
        <v>116</v>
      </c>
      <c r="E379" s="51" t="s">
        <v>127</v>
      </c>
      <c r="F379" s="3">
        <v>0</v>
      </c>
      <c r="G379" s="4">
        <v>146</v>
      </c>
      <c r="H379" s="4">
        <v>3553</v>
      </c>
      <c r="I379" s="51" t="s">
        <v>128</v>
      </c>
      <c r="J379" s="4">
        <v>2789</v>
      </c>
      <c r="K379" s="4" t="s">
        <v>111</v>
      </c>
      <c r="L379" s="19" t="str">
        <f>VLOOKUP(C379,'[6]Trips&amp;Operators'!$C$1:$E$10000,3,FALSE)</f>
        <v>YOUNG</v>
      </c>
      <c r="M379" s="20" t="s">
        <v>107</v>
      </c>
      <c r="N379" s="19" t="s">
        <v>52</v>
      </c>
      <c r="O379" s="19" t="str">
        <f t="shared" si="10"/>
        <v>05</v>
      </c>
      <c r="P379" s="64">
        <f t="shared" si="11"/>
        <v>42556</v>
      </c>
    </row>
    <row r="380" spans="1:16" x14ac:dyDescent="0.25">
      <c r="A380" s="17">
        <v>42556.767511574071</v>
      </c>
      <c r="B380" s="18" t="s">
        <v>163</v>
      </c>
      <c r="C380" s="18" t="s">
        <v>949</v>
      </c>
      <c r="D380" s="18" t="s">
        <v>103</v>
      </c>
      <c r="E380" s="52" t="s">
        <v>127</v>
      </c>
      <c r="F380" s="53">
        <v>0</v>
      </c>
      <c r="G380" s="18">
        <v>409</v>
      </c>
      <c r="H380" s="18">
        <v>11326</v>
      </c>
      <c r="I380" s="52" t="s">
        <v>128</v>
      </c>
      <c r="J380" s="18">
        <v>13777</v>
      </c>
      <c r="K380" s="19" t="s">
        <v>111</v>
      </c>
      <c r="L380" s="19" t="str">
        <f>VLOOKUP(C380,'[6]Trips&amp;Operators'!$C$1:$E$10000,3,FALSE)</f>
        <v>SUR</v>
      </c>
      <c r="M380" s="20" t="s">
        <v>107</v>
      </c>
      <c r="N380" s="19" t="s">
        <v>52</v>
      </c>
      <c r="O380" s="19" t="str">
        <f t="shared" si="10"/>
        <v>05</v>
      </c>
      <c r="P380" s="64">
        <f t="shared" si="11"/>
        <v>42556</v>
      </c>
    </row>
    <row r="381" spans="1:16" x14ac:dyDescent="0.25">
      <c r="A381" s="17">
        <v>42556.768206018518</v>
      </c>
      <c r="B381" s="18" t="s">
        <v>163</v>
      </c>
      <c r="C381" s="18" t="s">
        <v>949</v>
      </c>
      <c r="D381" s="18" t="s">
        <v>103</v>
      </c>
      <c r="E381" s="52" t="s">
        <v>127</v>
      </c>
      <c r="F381" s="53">
        <v>0</v>
      </c>
      <c r="G381" s="18">
        <v>409</v>
      </c>
      <c r="H381" s="18">
        <v>11326</v>
      </c>
      <c r="I381" s="52" t="s">
        <v>128</v>
      </c>
      <c r="J381" s="18">
        <v>13777</v>
      </c>
      <c r="K381" s="19" t="s">
        <v>111</v>
      </c>
      <c r="L381" s="19" t="str">
        <f>VLOOKUP(C381,'[6]Trips&amp;Operators'!$C$1:$E$10000,3,FALSE)</f>
        <v>SUR</v>
      </c>
      <c r="M381" s="20" t="s">
        <v>107</v>
      </c>
      <c r="N381" s="19" t="s">
        <v>52</v>
      </c>
      <c r="O381" s="19" t="str">
        <f t="shared" si="10"/>
        <v>05</v>
      </c>
      <c r="P381" s="64">
        <f t="shared" si="11"/>
        <v>42556</v>
      </c>
    </row>
    <row r="382" spans="1:16" x14ac:dyDescent="0.25">
      <c r="A382" s="26">
        <v>42557.039780092593</v>
      </c>
      <c r="B382" s="4" t="s">
        <v>131</v>
      </c>
      <c r="C382" s="4" t="s">
        <v>943</v>
      </c>
      <c r="D382" s="4" t="s">
        <v>103</v>
      </c>
      <c r="E382" s="51" t="s">
        <v>127</v>
      </c>
      <c r="F382" s="3">
        <v>0</v>
      </c>
      <c r="G382" s="4">
        <v>153</v>
      </c>
      <c r="H382" s="4">
        <v>231468</v>
      </c>
      <c r="I382" s="51" t="s">
        <v>128</v>
      </c>
      <c r="J382" s="4">
        <v>231147</v>
      </c>
      <c r="K382" s="4" t="s">
        <v>106</v>
      </c>
      <c r="L382" s="19" t="str">
        <f>VLOOKUP(C382,'[6]Trips&amp;Operators'!$C$1:$E$10000,3,FALSE)</f>
        <v>LEVERE</v>
      </c>
      <c r="M382" s="20" t="s">
        <v>107</v>
      </c>
      <c r="N382" s="19" t="s">
        <v>52</v>
      </c>
      <c r="O382" s="19" t="str">
        <f t="shared" si="10"/>
        <v>05</v>
      </c>
      <c r="P382" s="64">
        <f t="shared" si="11"/>
        <v>42556</v>
      </c>
    </row>
    <row r="383" spans="1:16" x14ac:dyDescent="0.25">
      <c r="A383" s="17">
        <v>42556.243078703701</v>
      </c>
      <c r="B383" s="18" t="s">
        <v>147</v>
      </c>
      <c r="C383" s="18" t="s">
        <v>279</v>
      </c>
      <c r="D383" s="18" t="s">
        <v>103</v>
      </c>
      <c r="E383" s="52" t="s">
        <v>129</v>
      </c>
      <c r="F383" s="53">
        <v>0</v>
      </c>
      <c r="G383" s="18">
        <v>5</v>
      </c>
      <c r="H383" s="18">
        <v>112</v>
      </c>
      <c r="I383" s="52" t="s">
        <v>130</v>
      </c>
      <c r="J383" s="18">
        <v>1</v>
      </c>
      <c r="K383" s="19" t="s">
        <v>106</v>
      </c>
      <c r="L383" s="19" t="str">
        <f>VLOOKUP(C383,'[6]Trips&amp;Operators'!$C$1:$E$10000,3,FALSE)</f>
        <v>ROCHA</v>
      </c>
      <c r="M383" s="20" t="s">
        <v>112</v>
      </c>
      <c r="N383" s="19"/>
      <c r="O383" s="19" t="str">
        <f t="shared" si="10"/>
        <v>05</v>
      </c>
      <c r="P383" s="64">
        <f t="shared" si="11"/>
        <v>42556</v>
      </c>
    </row>
    <row r="384" spans="1:16" x14ac:dyDescent="0.25">
      <c r="A384" s="17">
        <v>42556.296550925923</v>
      </c>
      <c r="B384" s="18" t="s">
        <v>117</v>
      </c>
      <c r="C384" s="18" t="s">
        <v>930</v>
      </c>
      <c r="D384" s="18" t="s">
        <v>103</v>
      </c>
      <c r="E384" s="52" t="s">
        <v>129</v>
      </c>
      <c r="F384" s="53">
        <v>0</v>
      </c>
      <c r="G384" s="18">
        <v>9</v>
      </c>
      <c r="H384" s="18">
        <v>116</v>
      </c>
      <c r="I384" s="52" t="s">
        <v>130</v>
      </c>
      <c r="J384" s="18">
        <v>1</v>
      </c>
      <c r="K384" s="19" t="s">
        <v>106</v>
      </c>
      <c r="L384" s="19" t="str">
        <f>VLOOKUP(C384,'[6]Trips&amp;Operators'!$C$1:$E$10000,3,FALSE)</f>
        <v>SPECTOR</v>
      </c>
      <c r="M384" s="20" t="s">
        <v>112</v>
      </c>
      <c r="N384" s="19"/>
      <c r="O384" s="19" t="str">
        <f t="shared" si="10"/>
        <v>05</v>
      </c>
      <c r="P384" s="64">
        <f t="shared" si="11"/>
        <v>42556</v>
      </c>
    </row>
    <row r="385" spans="1:16" x14ac:dyDescent="0.25">
      <c r="A385" s="26">
        <v>42556.452951388892</v>
      </c>
      <c r="B385" s="4" t="s">
        <v>145</v>
      </c>
      <c r="C385" s="4" t="s">
        <v>928</v>
      </c>
      <c r="D385" s="4" t="s">
        <v>103</v>
      </c>
      <c r="E385" s="51" t="s">
        <v>129</v>
      </c>
      <c r="F385" s="3">
        <v>0</v>
      </c>
      <c r="G385" s="4">
        <v>9</v>
      </c>
      <c r="H385" s="4">
        <v>118</v>
      </c>
      <c r="I385" s="51" t="s">
        <v>130</v>
      </c>
      <c r="J385" s="4">
        <v>1</v>
      </c>
      <c r="K385" s="4" t="s">
        <v>106</v>
      </c>
      <c r="L385" s="19" t="str">
        <f>VLOOKUP(C385,'[6]Trips&amp;Operators'!$C$1:$E$10000,3,FALSE)</f>
        <v>STARKS</v>
      </c>
      <c r="M385" s="20" t="s">
        <v>112</v>
      </c>
      <c r="N385" s="19"/>
      <c r="O385" s="19" t="str">
        <f t="shared" si="10"/>
        <v>05</v>
      </c>
      <c r="P385" s="64">
        <f t="shared" si="11"/>
        <v>42556</v>
      </c>
    </row>
    <row r="386" spans="1:16" x14ac:dyDescent="0.25">
      <c r="A386" s="26">
        <v>42556.598020833335</v>
      </c>
      <c r="B386" s="4" t="s">
        <v>145</v>
      </c>
      <c r="C386" s="4" t="s">
        <v>950</v>
      </c>
      <c r="D386" s="4" t="s">
        <v>103</v>
      </c>
      <c r="E386" s="4" t="s">
        <v>129</v>
      </c>
      <c r="F386" s="3">
        <v>0</v>
      </c>
      <c r="G386" s="4">
        <v>77</v>
      </c>
      <c r="H386" s="4">
        <v>267</v>
      </c>
      <c r="I386" s="4" t="s">
        <v>130</v>
      </c>
      <c r="J386" s="4">
        <v>1</v>
      </c>
      <c r="K386" s="4" t="s">
        <v>106</v>
      </c>
      <c r="L386" s="19" t="str">
        <f>VLOOKUP(C386,'[6]Trips&amp;Operators'!$C$1:$E$10000,3,FALSE)</f>
        <v>COOLAHAN</v>
      </c>
      <c r="M386" s="20" t="s">
        <v>112</v>
      </c>
      <c r="N386" s="19"/>
      <c r="O386" s="19" t="str">
        <f t="shared" ref="O386:O449" si="12">RIGHT(C386,2)</f>
        <v>05</v>
      </c>
      <c r="P386" s="64">
        <f t="shared" si="11"/>
        <v>42556</v>
      </c>
    </row>
    <row r="387" spans="1:16" x14ac:dyDescent="0.25">
      <c r="A387" s="26">
        <v>42556.63857638889</v>
      </c>
      <c r="B387" s="4" t="s">
        <v>134</v>
      </c>
      <c r="C387" s="4" t="s">
        <v>280</v>
      </c>
      <c r="D387" s="4" t="s">
        <v>103</v>
      </c>
      <c r="E387" s="4" t="s">
        <v>129</v>
      </c>
      <c r="F387" s="3">
        <v>0</v>
      </c>
      <c r="G387" s="4">
        <v>43</v>
      </c>
      <c r="H387" s="4">
        <v>154</v>
      </c>
      <c r="I387" s="4" t="s">
        <v>130</v>
      </c>
      <c r="J387" s="4">
        <v>1</v>
      </c>
      <c r="K387" s="4" t="s">
        <v>106</v>
      </c>
      <c r="L387" s="19" t="str">
        <f>VLOOKUP(C387,'[6]Trips&amp;Operators'!$C$1:$E$10000,3,FALSE)</f>
        <v>KILLION</v>
      </c>
      <c r="M387" s="20" t="s">
        <v>112</v>
      </c>
      <c r="N387" s="19"/>
      <c r="O387" s="19" t="str">
        <f t="shared" si="12"/>
        <v>05</v>
      </c>
      <c r="P387" s="64">
        <f t="shared" ref="P387:P450" si="13">42522+O387+29</f>
        <v>42556</v>
      </c>
    </row>
    <row r="388" spans="1:16" x14ac:dyDescent="0.25">
      <c r="A388" s="17">
        <v>42556.882789351854</v>
      </c>
      <c r="B388" s="18" t="s">
        <v>131</v>
      </c>
      <c r="C388" s="18" t="s">
        <v>947</v>
      </c>
      <c r="D388" s="18" t="s">
        <v>103</v>
      </c>
      <c r="E388" s="52" t="s">
        <v>129</v>
      </c>
      <c r="F388" s="53">
        <v>0</v>
      </c>
      <c r="G388" s="18">
        <v>8</v>
      </c>
      <c r="H388" s="18">
        <v>119</v>
      </c>
      <c r="I388" s="52" t="s">
        <v>130</v>
      </c>
      <c r="J388" s="18">
        <v>1</v>
      </c>
      <c r="K388" s="19" t="s">
        <v>106</v>
      </c>
      <c r="L388" s="19" t="str">
        <f>VLOOKUP(C388,'[6]Trips&amp;Operators'!$C$1:$E$10000,3,FALSE)</f>
        <v>LEVERE</v>
      </c>
      <c r="M388" s="20" t="s">
        <v>112</v>
      </c>
      <c r="N388" s="19"/>
      <c r="O388" s="19" t="str">
        <f t="shared" si="12"/>
        <v>05</v>
      </c>
      <c r="P388" s="64">
        <f t="shared" si="13"/>
        <v>42556</v>
      </c>
    </row>
    <row r="389" spans="1:16" x14ac:dyDescent="0.25">
      <c r="A389" s="17">
        <v>42556.90116898148</v>
      </c>
      <c r="B389" s="18" t="s">
        <v>147</v>
      </c>
      <c r="C389" s="18" t="s">
        <v>925</v>
      </c>
      <c r="D389" s="18" t="s">
        <v>103</v>
      </c>
      <c r="E389" s="52" t="s">
        <v>129</v>
      </c>
      <c r="F389" s="53">
        <v>0</v>
      </c>
      <c r="G389" s="18">
        <v>6</v>
      </c>
      <c r="H389" s="18">
        <v>119</v>
      </c>
      <c r="I389" s="52" t="s">
        <v>130</v>
      </c>
      <c r="J389" s="18">
        <v>1</v>
      </c>
      <c r="K389" s="19" t="s">
        <v>106</v>
      </c>
      <c r="L389" s="19" t="str">
        <f>VLOOKUP(C389,'[6]Trips&amp;Operators'!$C$1:$E$10000,3,FALSE)</f>
        <v>STRICKLAND</v>
      </c>
      <c r="M389" s="20" t="s">
        <v>112</v>
      </c>
      <c r="N389" s="19"/>
      <c r="O389" s="19" t="str">
        <f t="shared" si="12"/>
        <v>05</v>
      </c>
      <c r="P389" s="64">
        <f t="shared" si="13"/>
        <v>42556</v>
      </c>
    </row>
    <row r="390" spans="1:16" x14ac:dyDescent="0.25">
      <c r="A390" s="17">
        <v>42557.045057870368</v>
      </c>
      <c r="B390" s="18" t="s">
        <v>136</v>
      </c>
      <c r="C390" s="18" t="s">
        <v>951</v>
      </c>
      <c r="D390" s="18" t="s">
        <v>103</v>
      </c>
      <c r="E390" s="52" t="s">
        <v>129</v>
      </c>
      <c r="F390" s="53">
        <v>0</v>
      </c>
      <c r="G390" s="18">
        <v>85</v>
      </c>
      <c r="H390" s="18">
        <v>314</v>
      </c>
      <c r="I390" s="52" t="s">
        <v>130</v>
      </c>
      <c r="J390" s="18">
        <v>1</v>
      </c>
      <c r="K390" s="19" t="s">
        <v>106</v>
      </c>
      <c r="L390" s="19" t="str">
        <f>VLOOKUP(C390,'[6]Trips&amp;Operators'!$C$1:$E$10000,3,FALSE)</f>
        <v>BARTLETT</v>
      </c>
      <c r="M390" s="20" t="s">
        <v>112</v>
      </c>
      <c r="N390" s="19"/>
      <c r="O390" s="19" t="str">
        <f t="shared" si="12"/>
        <v>05</v>
      </c>
      <c r="P390" s="64">
        <f t="shared" si="13"/>
        <v>42556</v>
      </c>
    </row>
    <row r="391" spans="1:16" x14ac:dyDescent="0.25">
      <c r="A391" s="26">
        <v>42556.289155092592</v>
      </c>
      <c r="B391" s="4" t="s">
        <v>124</v>
      </c>
      <c r="C391" s="4" t="s">
        <v>952</v>
      </c>
      <c r="D391" s="4" t="s">
        <v>103</v>
      </c>
      <c r="E391" s="51" t="s">
        <v>129</v>
      </c>
      <c r="F391" s="3">
        <v>0</v>
      </c>
      <c r="G391" s="4">
        <v>20</v>
      </c>
      <c r="H391" s="4">
        <v>605</v>
      </c>
      <c r="I391" s="51" t="s">
        <v>130</v>
      </c>
      <c r="J391" s="4">
        <v>575</v>
      </c>
      <c r="K391" s="4" t="s">
        <v>106</v>
      </c>
      <c r="L391" s="19" t="str">
        <f>VLOOKUP(C391,'[6]Trips&amp;Operators'!$C$1:$E$10000,3,FALSE)</f>
        <v>STORY</v>
      </c>
      <c r="M391" s="20" t="s">
        <v>112</v>
      </c>
      <c r="N391" s="19"/>
      <c r="O391" s="19" t="str">
        <f t="shared" si="12"/>
        <v>05</v>
      </c>
      <c r="P391" s="64">
        <f t="shared" si="13"/>
        <v>42556</v>
      </c>
    </row>
    <row r="392" spans="1:16" x14ac:dyDescent="0.25">
      <c r="A392" s="17">
        <v>42556.329618055555</v>
      </c>
      <c r="B392" s="18" t="s">
        <v>124</v>
      </c>
      <c r="C392" s="18" t="s">
        <v>953</v>
      </c>
      <c r="D392" s="18" t="s">
        <v>103</v>
      </c>
      <c r="E392" s="52" t="s">
        <v>129</v>
      </c>
      <c r="F392" s="53">
        <v>0</v>
      </c>
      <c r="G392" s="18">
        <v>42</v>
      </c>
      <c r="H392" s="18">
        <v>710</v>
      </c>
      <c r="I392" s="52" t="s">
        <v>130</v>
      </c>
      <c r="J392" s="18">
        <v>575</v>
      </c>
      <c r="K392" s="19" t="s">
        <v>106</v>
      </c>
      <c r="L392" s="19" t="str">
        <f>VLOOKUP(C392,'[6]Trips&amp;Operators'!$C$1:$E$10000,3,FALSE)</f>
        <v>STORY</v>
      </c>
      <c r="M392" s="20" t="s">
        <v>112</v>
      </c>
      <c r="N392" s="19"/>
      <c r="O392" s="19" t="str">
        <f t="shared" si="12"/>
        <v>05</v>
      </c>
      <c r="P392" s="64">
        <f t="shared" si="13"/>
        <v>42556</v>
      </c>
    </row>
    <row r="393" spans="1:16" x14ac:dyDescent="0.25">
      <c r="A393" s="26">
        <v>42556.371874999997</v>
      </c>
      <c r="B393" s="4" t="s">
        <v>124</v>
      </c>
      <c r="C393" s="4" t="s">
        <v>954</v>
      </c>
      <c r="D393" s="4" t="s">
        <v>103</v>
      </c>
      <c r="E393" s="51" t="s">
        <v>129</v>
      </c>
      <c r="F393" s="3">
        <v>0</v>
      </c>
      <c r="G393" s="4">
        <v>6</v>
      </c>
      <c r="H393" s="4">
        <v>584</v>
      </c>
      <c r="I393" s="51" t="s">
        <v>130</v>
      </c>
      <c r="J393" s="4">
        <v>575</v>
      </c>
      <c r="K393" s="4" t="s">
        <v>106</v>
      </c>
      <c r="L393" s="19" t="str">
        <f>VLOOKUP(C393,'[6]Trips&amp;Operators'!$C$1:$E$10000,3,FALSE)</f>
        <v>STORY</v>
      </c>
      <c r="M393" s="20" t="s">
        <v>112</v>
      </c>
      <c r="N393" s="19"/>
      <c r="O393" s="19" t="str">
        <f t="shared" si="12"/>
        <v>05</v>
      </c>
      <c r="P393" s="64">
        <f t="shared" si="13"/>
        <v>42556</v>
      </c>
    </row>
    <row r="394" spans="1:16" x14ac:dyDescent="0.25">
      <c r="A394" s="26">
        <v>42556.454571759263</v>
      </c>
      <c r="B394" s="4" t="s">
        <v>124</v>
      </c>
      <c r="C394" s="4" t="s">
        <v>955</v>
      </c>
      <c r="D394" s="4" t="s">
        <v>103</v>
      </c>
      <c r="E394" s="51" t="s">
        <v>129</v>
      </c>
      <c r="F394" s="3">
        <v>0</v>
      </c>
      <c r="G394" s="4">
        <v>8</v>
      </c>
      <c r="H394" s="4">
        <v>696</v>
      </c>
      <c r="I394" s="51" t="s">
        <v>130</v>
      </c>
      <c r="J394" s="4">
        <v>575</v>
      </c>
      <c r="K394" s="4" t="s">
        <v>106</v>
      </c>
      <c r="L394" s="19" t="str">
        <f>VLOOKUP(C394,'[6]Trips&amp;Operators'!$C$1:$E$10000,3,FALSE)</f>
        <v>STORY</v>
      </c>
      <c r="M394" s="20" t="s">
        <v>112</v>
      </c>
      <c r="N394" s="19"/>
      <c r="O394" s="19" t="str">
        <f t="shared" si="12"/>
        <v>05</v>
      </c>
      <c r="P394" s="64">
        <f t="shared" si="13"/>
        <v>42556</v>
      </c>
    </row>
    <row r="395" spans="1:16" x14ac:dyDescent="0.25">
      <c r="A395" s="26">
        <v>42556.496655092589</v>
      </c>
      <c r="B395" s="4" t="s">
        <v>124</v>
      </c>
      <c r="C395" s="4" t="s">
        <v>956</v>
      </c>
      <c r="D395" s="4" t="s">
        <v>103</v>
      </c>
      <c r="E395" s="51" t="s">
        <v>129</v>
      </c>
      <c r="F395" s="3">
        <v>0</v>
      </c>
      <c r="G395" s="4">
        <v>20</v>
      </c>
      <c r="H395" s="4">
        <v>628</v>
      </c>
      <c r="I395" s="51" t="s">
        <v>130</v>
      </c>
      <c r="J395" s="4">
        <v>575</v>
      </c>
      <c r="K395" s="4" t="s">
        <v>106</v>
      </c>
      <c r="L395" s="19" t="str">
        <f>VLOOKUP(C395,'[6]Trips&amp;Operators'!$C$1:$E$10000,3,FALSE)</f>
        <v>STORY</v>
      </c>
      <c r="M395" s="20" t="s">
        <v>112</v>
      </c>
      <c r="N395" s="19"/>
      <c r="O395" s="19" t="str">
        <f t="shared" si="12"/>
        <v>05</v>
      </c>
      <c r="P395" s="64">
        <f t="shared" si="13"/>
        <v>42556</v>
      </c>
    </row>
    <row r="396" spans="1:16" x14ac:dyDescent="0.25">
      <c r="A396" s="26">
        <v>42556.621307870373</v>
      </c>
      <c r="B396" s="4" t="s">
        <v>124</v>
      </c>
      <c r="C396" s="4" t="s">
        <v>940</v>
      </c>
      <c r="D396" s="4" t="s">
        <v>103</v>
      </c>
      <c r="E396" s="4" t="s">
        <v>129</v>
      </c>
      <c r="F396" s="3">
        <v>0</v>
      </c>
      <c r="G396" s="4">
        <v>4</v>
      </c>
      <c r="H396" s="4">
        <v>654</v>
      </c>
      <c r="I396" s="4" t="s">
        <v>130</v>
      </c>
      <c r="J396" s="4">
        <v>575</v>
      </c>
      <c r="K396" s="4" t="s">
        <v>106</v>
      </c>
      <c r="L396" s="19" t="str">
        <f>VLOOKUP(C396,'[6]Trips&amp;Operators'!$C$1:$E$10000,3,FALSE)</f>
        <v>SUR</v>
      </c>
      <c r="M396" s="20" t="s">
        <v>112</v>
      </c>
      <c r="N396" s="19"/>
      <c r="O396" s="19" t="str">
        <f t="shared" si="12"/>
        <v>05</v>
      </c>
      <c r="P396" s="64">
        <f t="shared" si="13"/>
        <v>42556</v>
      </c>
    </row>
    <row r="397" spans="1:16" x14ac:dyDescent="0.25">
      <c r="A397" s="26">
        <v>42556.666018518517</v>
      </c>
      <c r="B397" s="4" t="s">
        <v>124</v>
      </c>
      <c r="C397" s="4" t="s">
        <v>957</v>
      </c>
      <c r="D397" s="4" t="s">
        <v>103</v>
      </c>
      <c r="E397" s="51" t="s">
        <v>129</v>
      </c>
      <c r="F397" s="3">
        <v>0</v>
      </c>
      <c r="G397" s="4">
        <v>7</v>
      </c>
      <c r="H397" s="4">
        <v>647</v>
      </c>
      <c r="I397" s="51" t="s">
        <v>130</v>
      </c>
      <c r="J397" s="4">
        <v>575</v>
      </c>
      <c r="K397" s="4" t="s">
        <v>106</v>
      </c>
      <c r="L397" s="19" t="str">
        <f>VLOOKUP(C397,'[6]Trips&amp;Operators'!$C$1:$E$10000,3,FALSE)</f>
        <v>SUR</v>
      </c>
      <c r="M397" s="20" t="s">
        <v>112</v>
      </c>
      <c r="N397" s="19"/>
      <c r="O397" s="19" t="str">
        <f t="shared" si="12"/>
        <v>05</v>
      </c>
      <c r="P397" s="64">
        <f t="shared" si="13"/>
        <v>42556</v>
      </c>
    </row>
    <row r="398" spans="1:16" x14ac:dyDescent="0.25">
      <c r="A398" s="17">
        <v>42556.787534722222</v>
      </c>
      <c r="B398" s="18" t="s">
        <v>124</v>
      </c>
      <c r="C398" s="18" t="s">
        <v>958</v>
      </c>
      <c r="D398" s="18" t="s">
        <v>103</v>
      </c>
      <c r="E398" s="52" t="s">
        <v>129</v>
      </c>
      <c r="F398" s="53">
        <v>0</v>
      </c>
      <c r="G398" s="18">
        <v>41</v>
      </c>
      <c r="H398" s="18">
        <v>713</v>
      </c>
      <c r="I398" s="52" t="s">
        <v>130</v>
      </c>
      <c r="J398" s="18">
        <v>575</v>
      </c>
      <c r="K398" s="19" t="s">
        <v>106</v>
      </c>
      <c r="L398" s="19" t="str">
        <f>VLOOKUP(C398,'[6]Trips&amp;Operators'!$C$1:$E$10000,3,FALSE)</f>
        <v>SUR</v>
      </c>
      <c r="M398" s="20" t="s">
        <v>112</v>
      </c>
      <c r="N398" s="19"/>
      <c r="O398" s="19" t="str">
        <f t="shared" si="12"/>
        <v>05</v>
      </c>
      <c r="P398" s="64">
        <f t="shared" si="13"/>
        <v>42556</v>
      </c>
    </row>
    <row r="399" spans="1:16" x14ac:dyDescent="0.25">
      <c r="A399" s="26">
        <v>42556.399178240739</v>
      </c>
      <c r="B399" s="4" t="s">
        <v>163</v>
      </c>
      <c r="C399" s="4" t="s">
        <v>959</v>
      </c>
      <c r="D399" s="4" t="s">
        <v>103</v>
      </c>
      <c r="E399" s="51" t="s">
        <v>129</v>
      </c>
      <c r="F399" s="3">
        <v>0</v>
      </c>
      <c r="G399" s="4">
        <v>4</v>
      </c>
      <c r="H399" s="4">
        <v>58941</v>
      </c>
      <c r="I399" s="51" t="s">
        <v>130</v>
      </c>
      <c r="J399" s="4">
        <v>59048</v>
      </c>
      <c r="K399" s="4" t="s">
        <v>111</v>
      </c>
      <c r="L399" s="19" t="str">
        <f>VLOOKUP(C399,'[6]Trips&amp;Operators'!$C$1:$E$10000,3,FALSE)</f>
        <v>STORY</v>
      </c>
      <c r="M399" s="20" t="s">
        <v>112</v>
      </c>
      <c r="N399" s="19"/>
      <c r="O399" s="19" t="str">
        <f t="shared" si="12"/>
        <v>05</v>
      </c>
      <c r="P399" s="64">
        <f t="shared" si="13"/>
        <v>42556</v>
      </c>
    </row>
    <row r="400" spans="1:16" x14ac:dyDescent="0.25">
      <c r="A400" s="26">
        <v>42556.440057870372</v>
      </c>
      <c r="B400" s="4" t="s">
        <v>163</v>
      </c>
      <c r="C400" s="4" t="s">
        <v>960</v>
      </c>
      <c r="D400" s="4" t="s">
        <v>103</v>
      </c>
      <c r="E400" s="51" t="s">
        <v>129</v>
      </c>
      <c r="F400" s="3">
        <v>0</v>
      </c>
      <c r="G400" s="4">
        <v>6</v>
      </c>
      <c r="H400" s="4">
        <v>58950</v>
      </c>
      <c r="I400" s="51" t="s">
        <v>130</v>
      </c>
      <c r="J400" s="4">
        <v>59048</v>
      </c>
      <c r="K400" s="4" t="s">
        <v>111</v>
      </c>
      <c r="L400" s="19" t="str">
        <f>VLOOKUP(C400,'[6]Trips&amp;Operators'!$C$1:$E$10000,3,FALSE)</f>
        <v>STORY</v>
      </c>
      <c r="M400" s="20" t="s">
        <v>112</v>
      </c>
      <c r="N400" s="19"/>
      <c r="O400" s="19" t="str">
        <f t="shared" si="12"/>
        <v>05</v>
      </c>
      <c r="P400" s="64">
        <f t="shared" si="13"/>
        <v>42556</v>
      </c>
    </row>
    <row r="401" spans="1:16" x14ac:dyDescent="0.25">
      <c r="A401" s="26">
        <v>42556.525324074071</v>
      </c>
      <c r="B401" s="4" t="s">
        <v>163</v>
      </c>
      <c r="C401" s="4" t="s">
        <v>933</v>
      </c>
      <c r="D401" s="4" t="s">
        <v>103</v>
      </c>
      <c r="E401" s="51" t="s">
        <v>129</v>
      </c>
      <c r="F401" s="3">
        <v>0</v>
      </c>
      <c r="G401" s="4">
        <v>58</v>
      </c>
      <c r="H401" s="4">
        <v>58847</v>
      </c>
      <c r="I401" s="51" t="s">
        <v>130</v>
      </c>
      <c r="J401" s="4">
        <v>59048</v>
      </c>
      <c r="K401" s="4" t="s">
        <v>111</v>
      </c>
      <c r="L401" s="19" t="str">
        <f>VLOOKUP(C401,'[6]Trips&amp;Operators'!$C$1:$E$10000,3,FALSE)</f>
        <v>STORY</v>
      </c>
      <c r="M401" s="20" t="s">
        <v>112</v>
      </c>
      <c r="N401" s="19"/>
      <c r="O401" s="19" t="str">
        <f t="shared" si="12"/>
        <v>05</v>
      </c>
      <c r="P401" s="64">
        <f t="shared" si="13"/>
        <v>42556</v>
      </c>
    </row>
    <row r="402" spans="1:16" x14ac:dyDescent="0.25">
      <c r="A402" s="17">
        <v>42556.525879629633</v>
      </c>
      <c r="B402" s="18" t="s">
        <v>163</v>
      </c>
      <c r="C402" s="18" t="s">
        <v>933</v>
      </c>
      <c r="D402" s="18" t="s">
        <v>103</v>
      </c>
      <c r="E402" s="52" t="s">
        <v>129</v>
      </c>
      <c r="F402" s="53">
        <v>0</v>
      </c>
      <c r="G402" s="18">
        <v>4</v>
      </c>
      <c r="H402" s="18">
        <v>58958</v>
      </c>
      <c r="I402" s="52" t="s">
        <v>130</v>
      </c>
      <c r="J402" s="18">
        <v>59048</v>
      </c>
      <c r="K402" s="19" t="s">
        <v>111</v>
      </c>
      <c r="L402" s="19" t="str">
        <f>VLOOKUP(C402,'[6]Trips&amp;Operators'!$C$1:$E$10000,3,FALSE)</f>
        <v>STORY</v>
      </c>
      <c r="M402" s="20" t="s">
        <v>112</v>
      </c>
      <c r="N402" s="19"/>
      <c r="O402" s="19" t="str">
        <f t="shared" si="12"/>
        <v>05</v>
      </c>
      <c r="P402" s="64">
        <f t="shared" si="13"/>
        <v>42556</v>
      </c>
    </row>
    <row r="403" spans="1:16" x14ac:dyDescent="0.25">
      <c r="A403" s="26">
        <v>42556.607708333337</v>
      </c>
      <c r="B403" s="4" t="s">
        <v>163</v>
      </c>
      <c r="C403" s="4" t="s">
        <v>961</v>
      </c>
      <c r="D403" s="4" t="s">
        <v>103</v>
      </c>
      <c r="E403" s="4" t="s">
        <v>129</v>
      </c>
      <c r="F403" s="3">
        <v>0</v>
      </c>
      <c r="G403" s="4">
        <v>4</v>
      </c>
      <c r="H403" s="4">
        <v>59018</v>
      </c>
      <c r="I403" s="4" t="s">
        <v>130</v>
      </c>
      <c r="J403" s="4">
        <v>59048</v>
      </c>
      <c r="K403" s="4" t="s">
        <v>111</v>
      </c>
      <c r="L403" s="19" t="str">
        <f>VLOOKUP(C403,'[6]Trips&amp;Operators'!$C$1:$E$10000,3,FALSE)</f>
        <v>SUR</v>
      </c>
      <c r="M403" s="20" t="s">
        <v>112</v>
      </c>
      <c r="N403" s="19"/>
      <c r="O403" s="19" t="str">
        <f t="shared" si="12"/>
        <v>05</v>
      </c>
      <c r="P403" s="64">
        <f t="shared" si="13"/>
        <v>42556</v>
      </c>
    </row>
    <row r="404" spans="1:16" x14ac:dyDescent="0.25">
      <c r="A404" s="26">
        <v>42556.648865740739</v>
      </c>
      <c r="B404" s="4" t="s">
        <v>163</v>
      </c>
      <c r="C404" s="4" t="s">
        <v>938</v>
      </c>
      <c r="D404" s="4" t="s">
        <v>103</v>
      </c>
      <c r="E404" s="4" t="s">
        <v>129</v>
      </c>
      <c r="F404" s="3">
        <v>0</v>
      </c>
      <c r="G404" s="4">
        <v>9</v>
      </c>
      <c r="H404" s="4">
        <v>58990</v>
      </c>
      <c r="I404" s="4" t="s">
        <v>130</v>
      </c>
      <c r="J404" s="4">
        <v>59048</v>
      </c>
      <c r="K404" s="4" t="s">
        <v>111</v>
      </c>
      <c r="L404" s="19" t="str">
        <f>VLOOKUP(C404,'[6]Trips&amp;Operators'!$C$1:$E$10000,3,FALSE)</f>
        <v>SUR</v>
      </c>
      <c r="M404" s="20" t="s">
        <v>112</v>
      </c>
      <c r="N404" s="19"/>
      <c r="O404" s="19" t="str">
        <f t="shared" si="12"/>
        <v>05</v>
      </c>
      <c r="P404" s="64">
        <f t="shared" si="13"/>
        <v>42556</v>
      </c>
    </row>
    <row r="405" spans="1:16" x14ac:dyDescent="0.25">
      <c r="A405" s="17">
        <v>42556.774282407408</v>
      </c>
      <c r="B405" s="18" t="s">
        <v>163</v>
      </c>
      <c r="C405" s="18" t="s">
        <v>949</v>
      </c>
      <c r="D405" s="18" t="s">
        <v>103</v>
      </c>
      <c r="E405" s="52" t="s">
        <v>129</v>
      </c>
      <c r="F405" s="53">
        <v>0</v>
      </c>
      <c r="G405" s="18">
        <v>8</v>
      </c>
      <c r="H405" s="18">
        <v>58965</v>
      </c>
      <c r="I405" s="52" t="s">
        <v>130</v>
      </c>
      <c r="J405" s="18">
        <v>59048</v>
      </c>
      <c r="K405" s="19" t="s">
        <v>111</v>
      </c>
      <c r="L405" s="19" t="str">
        <f>VLOOKUP(C405,'[6]Trips&amp;Operators'!$C$1:$E$10000,3,FALSE)</f>
        <v>SUR</v>
      </c>
      <c r="M405" s="20" t="s">
        <v>112</v>
      </c>
      <c r="N405" s="19"/>
      <c r="O405" s="19" t="str">
        <f t="shared" si="12"/>
        <v>05</v>
      </c>
      <c r="P405" s="64">
        <f t="shared" si="13"/>
        <v>42556</v>
      </c>
    </row>
    <row r="406" spans="1:16" x14ac:dyDescent="0.25">
      <c r="A406" s="17">
        <v>42556.796990740739</v>
      </c>
      <c r="B406" s="18" t="s">
        <v>142</v>
      </c>
      <c r="C406" s="18" t="s">
        <v>939</v>
      </c>
      <c r="D406" s="18" t="s">
        <v>103</v>
      </c>
      <c r="E406" s="52" t="s">
        <v>129</v>
      </c>
      <c r="F406" s="53">
        <v>0</v>
      </c>
      <c r="G406" s="18">
        <v>3</v>
      </c>
      <c r="H406" s="18">
        <v>58670</v>
      </c>
      <c r="I406" s="52" t="s">
        <v>130</v>
      </c>
      <c r="J406" s="18">
        <v>59048</v>
      </c>
      <c r="K406" s="19" t="s">
        <v>111</v>
      </c>
      <c r="L406" s="19" t="str">
        <f>VLOOKUP(C406,'[6]Trips&amp;Operators'!$C$1:$E$10000,3,FALSE)</f>
        <v>NATION</v>
      </c>
      <c r="M406" s="20" t="s">
        <v>112</v>
      </c>
      <c r="N406" s="19"/>
      <c r="O406" s="19" t="str">
        <f t="shared" si="12"/>
        <v>05</v>
      </c>
      <c r="P406" s="64">
        <f t="shared" si="13"/>
        <v>42556</v>
      </c>
    </row>
    <row r="407" spans="1:16" x14ac:dyDescent="0.25">
      <c r="A407" s="17">
        <v>42556.798032407409</v>
      </c>
      <c r="B407" s="18" t="s">
        <v>142</v>
      </c>
      <c r="C407" s="18" t="s">
        <v>939</v>
      </c>
      <c r="D407" s="18" t="s">
        <v>103</v>
      </c>
      <c r="E407" s="52" t="s">
        <v>129</v>
      </c>
      <c r="F407" s="53">
        <v>0</v>
      </c>
      <c r="G407" s="18">
        <v>7</v>
      </c>
      <c r="H407" s="18">
        <v>58860</v>
      </c>
      <c r="I407" s="52" t="s">
        <v>130</v>
      </c>
      <c r="J407" s="18">
        <v>59048</v>
      </c>
      <c r="K407" s="19" t="s">
        <v>111</v>
      </c>
      <c r="L407" s="19" t="str">
        <f>VLOOKUP(C407,'[6]Trips&amp;Operators'!$C$1:$E$10000,3,FALSE)</f>
        <v>NATION</v>
      </c>
      <c r="M407" s="20" t="s">
        <v>112</v>
      </c>
      <c r="N407" s="19"/>
      <c r="O407" s="19" t="str">
        <f t="shared" si="12"/>
        <v>05</v>
      </c>
      <c r="P407" s="64">
        <f t="shared" si="13"/>
        <v>42556</v>
      </c>
    </row>
    <row r="408" spans="1:16" x14ac:dyDescent="0.25">
      <c r="A408" s="17">
        <v>42556.856631944444</v>
      </c>
      <c r="B408" s="18" t="s">
        <v>163</v>
      </c>
      <c r="C408" s="18" t="s">
        <v>962</v>
      </c>
      <c r="D408" s="18" t="s">
        <v>103</v>
      </c>
      <c r="E408" s="52" t="s">
        <v>129</v>
      </c>
      <c r="F408" s="53">
        <v>0</v>
      </c>
      <c r="G408" s="18">
        <v>8</v>
      </c>
      <c r="H408" s="18">
        <v>59040</v>
      </c>
      <c r="I408" s="52" t="s">
        <v>130</v>
      </c>
      <c r="J408" s="18">
        <v>59048</v>
      </c>
      <c r="K408" s="19" t="s">
        <v>111</v>
      </c>
      <c r="L408" s="19" t="str">
        <f>VLOOKUP(C408,'[6]Trips&amp;Operators'!$C$1:$E$10000,3,FALSE)</f>
        <v>SUR</v>
      </c>
      <c r="M408" s="20" t="s">
        <v>112</v>
      </c>
      <c r="N408" s="19"/>
      <c r="O408" s="19" t="str">
        <f t="shared" si="12"/>
        <v>05</v>
      </c>
      <c r="P408" s="64">
        <f t="shared" si="13"/>
        <v>42556</v>
      </c>
    </row>
    <row r="409" spans="1:16" x14ac:dyDescent="0.25">
      <c r="A409" s="17">
        <v>42556.940428240741</v>
      </c>
      <c r="B409" s="18" t="s">
        <v>163</v>
      </c>
      <c r="C409" s="18" t="s">
        <v>935</v>
      </c>
      <c r="D409" s="18" t="s">
        <v>103</v>
      </c>
      <c r="E409" s="52" t="s">
        <v>129</v>
      </c>
      <c r="F409" s="53">
        <v>0</v>
      </c>
      <c r="G409" s="18">
        <v>3</v>
      </c>
      <c r="H409" s="18">
        <v>58993</v>
      </c>
      <c r="I409" s="52" t="s">
        <v>130</v>
      </c>
      <c r="J409" s="18">
        <v>59048</v>
      </c>
      <c r="K409" s="19" t="s">
        <v>111</v>
      </c>
      <c r="L409" s="19" t="str">
        <f>VLOOKUP(C409,'[6]Trips&amp;Operators'!$C$1:$E$10000,3,FALSE)</f>
        <v>SUR</v>
      </c>
      <c r="M409" s="20" t="s">
        <v>112</v>
      </c>
      <c r="N409" s="19"/>
      <c r="O409" s="19" t="str">
        <f t="shared" si="12"/>
        <v>05</v>
      </c>
      <c r="P409" s="64">
        <f t="shared" si="13"/>
        <v>42556</v>
      </c>
    </row>
    <row r="410" spans="1:16" x14ac:dyDescent="0.25">
      <c r="A410" s="26">
        <v>42556.338113425925</v>
      </c>
      <c r="B410" s="4" t="s">
        <v>146</v>
      </c>
      <c r="C410" s="4" t="s">
        <v>963</v>
      </c>
      <c r="D410" s="4" t="s">
        <v>103</v>
      </c>
      <c r="E410" s="51" t="s">
        <v>129</v>
      </c>
      <c r="F410" s="3">
        <v>0</v>
      </c>
      <c r="G410" s="4">
        <v>4</v>
      </c>
      <c r="H410" s="4">
        <v>233331</v>
      </c>
      <c r="I410" s="51" t="s">
        <v>130</v>
      </c>
      <c r="J410" s="4">
        <v>233491</v>
      </c>
      <c r="K410" s="4" t="s">
        <v>111</v>
      </c>
      <c r="L410" s="19" t="str">
        <f>VLOOKUP(C410,'[6]Trips&amp;Operators'!$C$1:$E$10000,3,FALSE)</f>
        <v>STARKS</v>
      </c>
      <c r="M410" s="20" t="s">
        <v>112</v>
      </c>
      <c r="N410" s="19"/>
      <c r="O410" s="19" t="str">
        <f t="shared" si="12"/>
        <v>05</v>
      </c>
      <c r="P410" s="64">
        <f t="shared" si="13"/>
        <v>42556</v>
      </c>
    </row>
    <row r="411" spans="1:16" x14ac:dyDescent="0.25">
      <c r="A411" s="26">
        <v>42556.455520833333</v>
      </c>
      <c r="B411" s="4" t="s">
        <v>108</v>
      </c>
      <c r="C411" s="4" t="s">
        <v>926</v>
      </c>
      <c r="D411" s="4" t="s">
        <v>103</v>
      </c>
      <c r="E411" s="51" t="s">
        <v>129</v>
      </c>
      <c r="F411" s="3">
        <v>0</v>
      </c>
      <c r="G411" s="4">
        <v>5</v>
      </c>
      <c r="H411" s="4">
        <v>233332</v>
      </c>
      <c r="I411" s="51" t="s">
        <v>130</v>
      </c>
      <c r="J411" s="4">
        <v>233491</v>
      </c>
      <c r="K411" s="4" t="s">
        <v>111</v>
      </c>
      <c r="L411" s="19" t="str">
        <f>VLOOKUP(C411,'[6]Trips&amp;Operators'!$C$1:$E$10000,3,FALSE)</f>
        <v>KILLION</v>
      </c>
      <c r="M411" s="20" t="s">
        <v>112</v>
      </c>
      <c r="N411" s="19"/>
      <c r="O411" s="19" t="str">
        <f t="shared" si="12"/>
        <v>05</v>
      </c>
      <c r="P411" s="64">
        <f t="shared" si="13"/>
        <v>42556</v>
      </c>
    </row>
    <row r="412" spans="1:16" x14ac:dyDescent="0.25">
      <c r="A412" s="17">
        <v>42556.588356481479</v>
      </c>
      <c r="B412" s="18" t="s">
        <v>120</v>
      </c>
      <c r="C412" s="18" t="s">
        <v>964</v>
      </c>
      <c r="D412" s="18" t="s">
        <v>103</v>
      </c>
      <c r="E412" s="52" t="s">
        <v>129</v>
      </c>
      <c r="F412" s="53">
        <v>0</v>
      </c>
      <c r="G412" s="18">
        <v>8</v>
      </c>
      <c r="H412" s="18">
        <v>233306</v>
      </c>
      <c r="I412" s="52" t="s">
        <v>130</v>
      </c>
      <c r="J412" s="18">
        <v>233491</v>
      </c>
      <c r="K412" s="19" t="s">
        <v>111</v>
      </c>
      <c r="L412" s="19" t="str">
        <f>VLOOKUP(C412,'[6]Trips&amp;Operators'!$C$1:$E$10000,3,FALSE)</f>
        <v>SHOOK</v>
      </c>
      <c r="M412" s="20" t="s">
        <v>112</v>
      </c>
      <c r="N412" s="19"/>
      <c r="O412" s="19" t="str">
        <f t="shared" si="12"/>
        <v>05</v>
      </c>
      <c r="P412" s="64">
        <f t="shared" si="13"/>
        <v>42556</v>
      </c>
    </row>
    <row r="413" spans="1:16" x14ac:dyDescent="0.25">
      <c r="A413" s="26">
        <v>42556.597314814811</v>
      </c>
      <c r="B413" s="4" t="s">
        <v>108</v>
      </c>
      <c r="C413" s="4" t="s">
        <v>965</v>
      </c>
      <c r="D413" s="4" t="s">
        <v>103</v>
      </c>
      <c r="E413" s="4" t="s">
        <v>129</v>
      </c>
      <c r="F413" s="3">
        <v>0</v>
      </c>
      <c r="G413" s="4">
        <v>8</v>
      </c>
      <c r="H413" s="4">
        <v>233330</v>
      </c>
      <c r="I413" s="4" t="s">
        <v>130</v>
      </c>
      <c r="J413" s="4">
        <v>233491</v>
      </c>
      <c r="K413" s="4" t="s">
        <v>111</v>
      </c>
      <c r="L413" s="19" t="str">
        <f>VLOOKUP(C413,'[6]Trips&amp;Operators'!$C$1:$E$10000,3,FALSE)</f>
        <v>KILLION</v>
      </c>
      <c r="M413" s="20" t="s">
        <v>112</v>
      </c>
      <c r="N413" s="19"/>
      <c r="O413" s="19" t="str">
        <f t="shared" si="12"/>
        <v>05</v>
      </c>
      <c r="P413" s="64">
        <f t="shared" si="13"/>
        <v>42556</v>
      </c>
    </row>
    <row r="414" spans="1:16" x14ac:dyDescent="0.25">
      <c r="A414" s="26">
        <v>42556.703483796293</v>
      </c>
      <c r="B414" s="4" t="s">
        <v>146</v>
      </c>
      <c r="C414" s="4" t="s">
        <v>651</v>
      </c>
      <c r="D414" s="4" t="s">
        <v>103</v>
      </c>
      <c r="E414" s="51" t="s">
        <v>129</v>
      </c>
      <c r="F414" s="3">
        <v>0</v>
      </c>
      <c r="G414" s="4">
        <v>66</v>
      </c>
      <c r="H414" s="4">
        <v>233230</v>
      </c>
      <c r="I414" s="51" t="s">
        <v>130</v>
      </c>
      <c r="J414" s="4">
        <v>233491</v>
      </c>
      <c r="K414" s="4" t="s">
        <v>111</v>
      </c>
      <c r="L414" s="19" t="str">
        <f>VLOOKUP(C414,'[6]Trips&amp;Operators'!$C$1:$E$10000,3,FALSE)</f>
        <v>COOLAHAN</v>
      </c>
      <c r="M414" s="20" t="s">
        <v>112</v>
      </c>
      <c r="N414" s="19"/>
      <c r="O414" s="19" t="str">
        <f t="shared" si="12"/>
        <v>05</v>
      </c>
      <c r="P414" s="64">
        <f t="shared" si="13"/>
        <v>42556</v>
      </c>
    </row>
    <row r="415" spans="1:16" x14ac:dyDescent="0.25">
      <c r="A415" s="17">
        <v>42556.759293981479</v>
      </c>
      <c r="B415" s="18" t="s">
        <v>108</v>
      </c>
      <c r="C415" s="18" t="s">
        <v>654</v>
      </c>
      <c r="D415" s="18" t="s">
        <v>103</v>
      </c>
      <c r="E415" s="52" t="s">
        <v>129</v>
      </c>
      <c r="F415" s="53">
        <v>0</v>
      </c>
      <c r="G415" s="18">
        <v>3</v>
      </c>
      <c r="H415" s="18">
        <v>233312</v>
      </c>
      <c r="I415" s="52" t="s">
        <v>130</v>
      </c>
      <c r="J415" s="18">
        <v>233491</v>
      </c>
      <c r="K415" s="19" t="s">
        <v>111</v>
      </c>
      <c r="L415" s="19" t="str">
        <f>VLOOKUP(C415,'[6]Trips&amp;Operators'!$C$1:$E$10000,3,FALSE)</f>
        <v>LEVERE</v>
      </c>
      <c r="M415" s="20" t="s">
        <v>112</v>
      </c>
      <c r="N415" s="19"/>
      <c r="O415" s="19" t="str">
        <f t="shared" si="12"/>
        <v>05</v>
      </c>
      <c r="P415" s="64">
        <f t="shared" si="13"/>
        <v>42556</v>
      </c>
    </row>
    <row r="416" spans="1:16" x14ac:dyDescent="0.25">
      <c r="A416" s="26">
        <v>42556.860821759263</v>
      </c>
      <c r="B416" s="4" t="s">
        <v>148</v>
      </c>
      <c r="C416" s="4" t="s">
        <v>966</v>
      </c>
      <c r="D416" s="4" t="s">
        <v>103</v>
      </c>
      <c r="E416" s="51" t="s">
        <v>129</v>
      </c>
      <c r="F416" s="3">
        <v>0</v>
      </c>
      <c r="G416" s="4">
        <v>5</v>
      </c>
      <c r="H416" s="4">
        <v>233334</v>
      </c>
      <c r="I416" s="51" t="s">
        <v>130</v>
      </c>
      <c r="J416" s="4">
        <v>233491</v>
      </c>
      <c r="K416" s="4" t="s">
        <v>111</v>
      </c>
      <c r="L416" s="19" t="str">
        <f>VLOOKUP(C416,'[6]Trips&amp;Operators'!$C$1:$E$10000,3,FALSE)</f>
        <v>STRICKLAND</v>
      </c>
      <c r="M416" s="20" t="s">
        <v>112</v>
      </c>
      <c r="N416" s="19"/>
      <c r="O416" s="19" t="str">
        <f t="shared" si="12"/>
        <v>05</v>
      </c>
      <c r="P416" s="64">
        <f t="shared" si="13"/>
        <v>42556</v>
      </c>
    </row>
    <row r="417" spans="1:16" x14ac:dyDescent="0.25">
      <c r="A417" s="26">
        <v>42557.495000000003</v>
      </c>
      <c r="B417" s="4" t="s">
        <v>136</v>
      </c>
      <c r="C417" s="4" t="s">
        <v>967</v>
      </c>
      <c r="D417" s="4" t="s">
        <v>103</v>
      </c>
      <c r="E417" s="51" t="s">
        <v>115</v>
      </c>
      <c r="F417" s="3">
        <v>150</v>
      </c>
      <c r="G417" s="4">
        <v>160</v>
      </c>
      <c r="H417" s="4">
        <v>5946</v>
      </c>
      <c r="I417" s="51" t="s">
        <v>105</v>
      </c>
      <c r="J417" s="4">
        <v>5315</v>
      </c>
      <c r="K417" s="4" t="s">
        <v>106</v>
      </c>
      <c r="L417" s="19" t="str">
        <f>VLOOKUP(C417,'[7]Trips&amp;Operators'!$C$1:$E$10000,3,FALSE)</f>
        <v>MAYBERRY</v>
      </c>
      <c r="M417" s="20" t="s">
        <v>112</v>
      </c>
      <c r="N417" s="19"/>
      <c r="O417" s="19" t="str">
        <f t="shared" si="12"/>
        <v>06</v>
      </c>
      <c r="P417" s="64">
        <f t="shared" si="13"/>
        <v>42557</v>
      </c>
    </row>
    <row r="418" spans="1:16" x14ac:dyDescent="0.25">
      <c r="A418" s="26">
        <v>42557.835497685184</v>
      </c>
      <c r="B418" s="4" t="s">
        <v>135</v>
      </c>
      <c r="C418" s="4" t="s">
        <v>968</v>
      </c>
      <c r="D418" s="4" t="s">
        <v>116</v>
      </c>
      <c r="E418" s="51" t="s">
        <v>115</v>
      </c>
      <c r="F418" s="3">
        <v>400</v>
      </c>
      <c r="G418" s="4">
        <v>455</v>
      </c>
      <c r="H418" s="4">
        <v>7158</v>
      </c>
      <c r="I418" s="51" t="s">
        <v>105</v>
      </c>
      <c r="J418" s="4">
        <v>5457</v>
      </c>
      <c r="K418" s="4" t="s">
        <v>111</v>
      </c>
      <c r="L418" s="19" t="str">
        <f>VLOOKUP(C418,'[7]Trips&amp;Operators'!$C$1:$E$10000,3,FALSE)</f>
        <v>ADANE</v>
      </c>
      <c r="M418" s="20" t="s">
        <v>112</v>
      </c>
      <c r="N418" s="19"/>
      <c r="O418" s="19" t="str">
        <f t="shared" si="12"/>
        <v>06</v>
      </c>
      <c r="P418" s="64">
        <f t="shared" si="13"/>
        <v>42557</v>
      </c>
    </row>
    <row r="419" spans="1:16" x14ac:dyDescent="0.25">
      <c r="A419" s="26">
        <v>42557.494386574072</v>
      </c>
      <c r="B419" s="4" t="s">
        <v>136</v>
      </c>
      <c r="C419" s="4" t="s">
        <v>967</v>
      </c>
      <c r="D419" s="4" t="s">
        <v>103</v>
      </c>
      <c r="E419" s="51" t="s">
        <v>115</v>
      </c>
      <c r="F419" s="3">
        <v>200</v>
      </c>
      <c r="G419" s="4">
        <v>146</v>
      </c>
      <c r="H419" s="4">
        <v>6790</v>
      </c>
      <c r="I419" s="51" t="s">
        <v>105</v>
      </c>
      <c r="J419" s="4">
        <v>5990</v>
      </c>
      <c r="K419" s="4" t="s">
        <v>106</v>
      </c>
      <c r="L419" s="19" t="str">
        <f>VLOOKUP(C419,'[7]Trips&amp;Operators'!$C$1:$E$10000,3,FALSE)</f>
        <v>MAYBERRY</v>
      </c>
      <c r="M419" s="20" t="s">
        <v>112</v>
      </c>
      <c r="N419" s="19"/>
      <c r="O419" s="19" t="str">
        <f t="shared" si="12"/>
        <v>06</v>
      </c>
      <c r="P419" s="64">
        <f t="shared" si="13"/>
        <v>42557</v>
      </c>
    </row>
    <row r="420" spans="1:16" x14ac:dyDescent="0.25">
      <c r="A420" s="26">
        <v>42557.440949074073</v>
      </c>
      <c r="B420" s="4" t="s">
        <v>133</v>
      </c>
      <c r="C420" s="4" t="s">
        <v>969</v>
      </c>
      <c r="D420" s="4" t="s">
        <v>103</v>
      </c>
      <c r="E420" s="51" t="s">
        <v>115</v>
      </c>
      <c r="F420" s="3">
        <v>300</v>
      </c>
      <c r="G420" s="4">
        <v>253</v>
      </c>
      <c r="H420" s="4">
        <v>19767</v>
      </c>
      <c r="I420" s="51" t="s">
        <v>105</v>
      </c>
      <c r="J420" s="4">
        <v>20338</v>
      </c>
      <c r="K420" s="4" t="s">
        <v>111</v>
      </c>
      <c r="L420" s="19" t="str">
        <f>VLOOKUP(C420,'[7]Trips&amp;Operators'!$C$1:$E$10000,3,FALSE)</f>
        <v>BEAM</v>
      </c>
      <c r="M420" s="20" t="s">
        <v>112</v>
      </c>
      <c r="N420" s="19"/>
      <c r="O420" s="19" t="str">
        <f t="shared" si="12"/>
        <v>06</v>
      </c>
      <c r="P420" s="64">
        <f t="shared" si="13"/>
        <v>42557</v>
      </c>
    </row>
    <row r="421" spans="1:16" x14ac:dyDescent="0.25">
      <c r="A421" s="26">
        <v>42557.4768287037</v>
      </c>
      <c r="B421" s="4" t="s">
        <v>138</v>
      </c>
      <c r="C421" s="4" t="s">
        <v>970</v>
      </c>
      <c r="D421" s="4" t="s">
        <v>116</v>
      </c>
      <c r="E421" s="4" t="s">
        <v>115</v>
      </c>
      <c r="F421" s="3">
        <v>300</v>
      </c>
      <c r="G421" s="4">
        <v>364</v>
      </c>
      <c r="H421" s="4">
        <v>23798</v>
      </c>
      <c r="I421" s="4" t="s">
        <v>105</v>
      </c>
      <c r="J421" s="4">
        <v>21299</v>
      </c>
      <c r="K421" s="4" t="s">
        <v>111</v>
      </c>
      <c r="L421" s="19" t="str">
        <f>VLOOKUP(C421,'[7]Trips&amp;Operators'!$C$1:$E$10000,3,FALSE)</f>
        <v>MAYBERRY</v>
      </c>
      <c r="M421" s="20" t="s">
        <v>112</v>
      </c>
      <c r="N421" s="19"/>
      <c r="O421" s="19" t="str">
        <f t="shared" si="12"/>
        <v>06</v>
      </c>
      <c r="P421" s="64">
        <f t="shared" si="13"/>
        <v>42557</v>
      </c>
    </row>
    <row r="422" spans="1:16" x14ac:dyDescent="0.25">
      <c r="A422" s="26">
        <v>42557.269201388888</v>
      </c>
      <c r="B422" s="4" t="s">
        <v>138</v>
      </c>
      <c r="C422" s="4" t="s">
        <v>971</v>
      </c>
      <c r="D422" s="4" t="s">
        <v>103</v>
      </c>
      <c r="E422" s="51" t="s">
        <v>115</v>
      </c>
      <c r="F422" s="3">
        <v>300</v>
      </c>
      <c r="G422" s="4">
        <v>313</v>
      </c>
      <c r="H422" s="4">
        <v>20788</v>
      </c>
      <c r="I422" s="51" t="s">
        <v>105</v>
      </c>
      <c r="J422" s="4">
        <v>21314</v>
      </c>
      <c r="K422" s="4" t="s">
        <v>111</v>
      </c>
      <c r="L422" s="19" t="str">
        <f>VLOOKUP(C422,'[7]Trips&amp;Operators'!$C$1:$E$10000,3,FALSE)</f>
        <v>MAYBERRY</v>
      </c>
      <c r="M422" s="20" t="s">
        <v>112</v>
      </c>
      <c r="N422" s="19"/>
      <c r="O422" s="19" t="str">
        <f t="shared" si="12"/>
        <v>06</v>
      </c>
      <c r="P422" s="64">
        <f t="shared" si="13"/>
        <v>42557</v>
      </c>
    </row>
    <row r="423" spans="1:16" x14ac:dyDescent="0.25">
      <c r="A423" s="26">
        <v>42557.434513888889</v>
      </c>
      <c r="B423" s="4" t="s">
        <v>138</v>
      </c>
      <c r="C423" s="4" t="s">
        <v>972</v>
      </c>
      <c r="D423" s="4" t="s">
        <v>103</v>
      </c>
      <c r="E423" s="51" t="s">
        <v>115</v>
      </c>
      <c r="F423" s="3">
        <v>300</v>
      </c>
      <c r="G423" s="4">
        <v>374</v>
      </c>
      <c r="H423" s="4">
        <v>19603</v>
      </c>
      <c r="I423" s="51" t="s">
        <v>105</v>
      </c>
      <c r="J423" s="4">
        <v>21314</v>
      </c>
      <c r="K423" s="4" t="s">
        <v>111</v>
      </c>
      <c r="L423" s="19" t="str">
        <f>VLOOKUP(C423,'[7]Trips&amp;Operators'!$C$1:$E$10000,3,FALSE)</f>
        <v>MAYBERRY</v>
      </c>
      <c r="M423" s="20" t="s">
        <v>112</v>
      </c>
      <c r="N423" s="19"/>
      <c r="O423" s="19" t="str">
        <f t="shared" si="12"/>
        <v>06</v>
      </c>
      <c r="P423" s="64">
        <f t="shared" si="13"/>
        <v>42557</v>
      </c>
    </row>
    <row r="424" spans="1:16" x14ac:dyDescent="0.25">
      <c r="A424" s="26">
        <v>42557.934918981482</v>
      </c>
      <c r="B424" s="4" t="s">
        <v>138</v>
      </c>
      <c r="C424" s="4" t="s">
        <v>973</v>
      </c>
      <c r="D424" s="4" t="s">
        <v>103</v>
      </c>
      <c r="E424" s="4" t="s">
        <v>115</v>
      </c>
      <c r="F424" s="3">
        <v>300</v>
      </c>
      <c r="G424" s="4">
        <v>344</v>
      </c>
      <c r="H424" s="4">
        <v>20615</v>
      </c>
      <c r="I424" s="4" t="s">
        <v>105</v>
      </c>
      <c r="J424" s="4">
        <v>21314</v>
      </c>
      <c r="K424" s="4" t="s">
        <v>111</v>
      </c>
      <c r="L424" s="19" t="str">
        <f>VLOOKUP(C424,'[7]Trips&amp;Operators'!$C$1:$E$10000,3,FALSE)</f>
        <v>STORY</v>
      </c>
      <c r="M424" s="20" t="s">
        <v>112</v>
      </c>
      <c r="N424" s="19"/>
      <c r="O424" s="19" t="str">
        <f t="shared" si="12"/>
        <v>06</v>
      </c>
      <c r="P424" s="64">
        <f t="shared" si="13"/>
        <v>42557</v>
      </c>
    </row>
    <row r="425" spans="1:16" x14ac:dyDescent="0.25">
      <c r="A425" s="26">
        <v>42557.766481481478</v>
      </c>
      <c r="B425" s="4" t="s">
        <v>135</v>
      </c>
      <c r="C425" s="4" t="s">
        <v>974</v>
      </c>
      <c r="D425" s="4" t="s">
        <v>103</v>
      </c>
      <c r="E425" s="51" t="s">
        <v>115</v>
      </c>
      <c r="F425" s="3">
        <v>200</v>
      </c>
      <c r="G425" s="4">
        <v>182</v>
      </c>
      <c r="H425" s="4">
        <v>27240</v>
      </c>
      <c r="I425" s="51" t="s">
        <v>105</v>
      </c>
      <c r="J425" s="4">
        <v>27333</v>
      </c>
      <c r="K425" s="4" t="s">
        <v>111</v>
      </c>
      <c r="L425" s="19" t="str">
        <f>VLOOKUP(C425,'[7]Trips&amp;Operators'!$C$1:$E$10000,3,FALSE)</f>
        <v>ADANE</v>
      </c>
      <c r="M425" s="20" t="s">
        <v>112</v>
      </c>
      <c r="N425" s="19"/>
      <c r="O425" s="19" t="str">
        <f t="shared" si="12"/>
        <v>06</v>
      </c>
      <c r="P425" s="64">
        <f t="shared" si="13"/>
        <v>42557</v>
      </c>
    </row>
    <row r="426" spans="1:16" x14ac:dyDescent="0.25">
      <c r="A426" s="26">
        <v>42557.341331018521</v>
      </c>
      <c r="B426" s="4" t="s">
        <v>141</v>
      </c>
      <c r="C426" s="4" t="s">
        <v>975</v>
      </c>
      <c r="D426" s="4" t="s">
        <v>103</v>
      </c>
      <c r="E426" s="51" t="s">
        <v>115</v>
      </c>
      <c r="F426" s="3">
        <v>200</v>
      </c>
      <c r="G426" s="4">
        <v>197</v>
      </c>
      <c r="H426" s="4">
        <v>30633</v>
      </c>
      <c r="I426" s="51" t="s">
        <v>105</v>
      </c>
      <c r="J426" s="4">
        <v>30562</v>
      </c>
      <c r="K426" s="4" t="s">
        <v>106</v>
      </c>
      <c r="L426" s="19" t="str">
        <f>VLOOKUP(C426,'[7]Trips&amp;Operators'!$C$1:$E$10000,3,FALSE)</f>
        <v>BEAM</v>
      </c>
      <c r="M426" s="20" t="s">
        <v>112</v>
      </c>
      <c r="N426" s="19"/>
      <c r="O426" s="19" t="str">
        <f t="shared" si="12"/>
        <v>06</v>
      </c>
      <c r="P426" s="64">
        <f t="shared" si="13"/>
        <v>42557</v>
      </c>
    </row>
    <row r="427" spans="1:16" x14ac:dyDescent="0.25">
      <c r="A427" s="26">
        <v>42557.750555555554</v>
      </c>
      <c r="B427" s="4" t="s">
        <v>120</v>
      </c>
      <c r="C427" s="4" t="s">
        <v>976</v>
      </c>
      <c r="D427" s="4" t="s">
        <v>103</v>
      </c>
      <c r="E427" s="4" t="s">
        <v>115</v>
      </c>
      <c r="F427" s="3">
        <v>600</v>
      </c>
      <c r="G427" s="4">
        <v>650</v>
      </c>
      <c r="H427" s="4">
        <v>29410</v>
      </c>
      <c r="I427" s="4" t="s">
        <v>105</v>
      </c>
      <c r="J427" s="4">
        <v>30784</v>
      </c>
      <c r="K427" s="4" t="s">
        <v>111</v>
      </c>
      <c r="L427" s="19" t="str">
        <f>VLOOKUP(C427,'[7]Trips&amp;Operators'!$C$1:$E$10000,3,FALSE)</f>
        <v>STRICKLAND</v>
      </c>
      <c r="M427" s="20" t="s">
        <v>112</v>
      </c>
      <c r="N427" s="19"/>
      <c r="O427" s="19" t="str">
        <f t="shared" si="12"/>
        <v>06</v>
      </c>
      <c r="P427" s="64">
        <f t="shared" si="13"/>
        <v>42557</v>
      </c>
    </row>
    <row r="428" spans="1:16" x14ac:dyDescent="0.25">
      <c r="A428" s="17">
        <v>42557.271770833337</v>
      </c>
      <c r="B428" s="18" t="s">
        <v>138</v>
      </c>
      <c r="C428" s="18" t="s">
        <v>971</v>
      </c>
      <c r="D428" s="18" t="s">
        <v>103</v>
      </c>
      <c r="E428" s="52" t="s">
        <v>115</v>
      </c>
      <c r="F428" s="53">
        <v>300</v>
      </c>
      <c r="G428" s="18">
        <v>315</v>
      </c>
      <c r="H428" s="18">
        <v>40727</v>
      </c>
      <c r="I428" s="52" t="s">
        <v>105</v>
      </c>
      <c r="J428" s="18">
        <v>40977</v>
      </c>
      <c r="K428" s="19" t="s">
        <v>111</v>
      </c>
      <c r="L428" s="19" t="str">
        <f>VLOOKUP(C428,'[7]Trips&amp;Operators'!$C$1:$E$10000,3,FALSE)</f>
        <v>MAYBERRY</v>
      </c>
      <c r="M428" s="20" t="s">
        <v>112</v>
      </c>
      <c r="N428" s="19"/>
      <c r="O428" s="19" t="str">
        <f t="shared" si="12"/>
        <v>06</v>
      </c>
      <c r="P428" s="64">
        <f t="shared" si="13"/>
        <v>42557</v>
      </c>
    </row>
    <row r="429" spans="1:16" x14ac:dyDescent="0.25">
      <c r="A429" s="17">
        <v>42557.855115740742</v>
      </c>
      <c r="B429" s="18" t="s">
        <v>138</v>
      </c>
      <c r="C429" s="18" t="s">
        <v>977</v>
      </c>
      <c r="D429" s="18" t="s">
        <v>103</v>
      </c>
      <c r="E429" s="52" t="s">
        <v>115</v>
      </c>
      <c r="F429" s="53">
        <v>300</v>
      </c>
      <c r="G429" s="18">
        <v>335</v>
      </c>
      <c r="H429" s="18">
        <v>40167</v>
      </c>
      <c r="I429" s="52" t="s">
        <v>105</v>
      </c>
      <c r="J429" s="18">
        <v>40977</v>
      </c>
      <c r="K429" s="19" t="s">
        <v>111</v>
      </c>
      <c r="L429" s="19" t="str">
        <f>VLOOKUP(C429,'[7]Trips&amp;Operators'!$C$1:$E$10000,3,FALSE)</f>
        <v>STORY</v>
      </c>
      <c r="M429" s="20" t="s">
        <v>112</v>
      </c>
      <c r="N429" s="19"/>
      <c r="O429" s="19" t="str">
        <f t="shared" si="12"/>
        <v>06</v>
      </c>
      <c r="P429" s="64">
        <f t="shared" si="13"/>
        <v>42557</v>
      </c>
    </row>
    <row r="430" spans="1:16" x14ac:dyDescent="0.25">
      <c r="A430" s="17">
        <v>42557.604270833333</v>
      </c>
      <c r="B430" s="18" t="s">
        <v>138</v>
      </c>
      <c r="C430" s="18" t="s">
        <v>978</v>
      </c>
      <c r="D430" s="18" t="s">
        <v>116</v>
      </c>
      <c r="E430" s="52" t="s">
        <v>115</v>
      </c>
      <c r="F430" s="53">
        <v>400</v>
      </c>
      <c r="G430" s="18">
        <v>452</v>
      </c>
      <c r="H430" s="18">
        <v>43979</v>
      </c>
      <c r="I430" s="52" t="s">
        <v>105</v>
      </c>
      <c r="J430" s="18">
        <v>41797</v>
      </c>
      <c r="K430" s="19" t="s">
        <v>111</v>
      </c>
      <c r="L430" s="19" t="str">
        <f>VLOOKUP(C430,'[7]Trips&amp;Operators'!$C$1:$E$10000,3,FALSE)</f>
        <v>STORY</v>
      </c>
      <c r="M430" s="20" t="s">
        <v>112</v>
      </c>
      <c r="N430" s="19"/>
      <c r="O430" s="19" t="str">
        <f t="shared" si="12"/>
        <v>06</v>
      </c>
      <c r="P430" s="64">
        <f t="shared" si="13"/>
        <v>42557</v>
      </c>
    </row>
    <row r="431" spans="1:16" x14ac:dyDescent="0.25">
      <c r="A431" s="17">
        <v>42557.604988425926</v>
      </c>
      <c r="B431" s="18" t="s">
        <v>138</v>
      </c>
      <c r="C431" s="18" t="s">
        <v>978</v>
      </c>
      <c r="D431" s="18" t="s">
        <v>103</v>
      </c>
      <c r="E431" s="52" t="s">
        <v>115</v>
      </c>
      <c r="F431" s="53">
        <v>400</v>
      </c>
      <c r="G431" s="18">
        <v>417</v>
      </c>
      <c r="H431" s="18">
        <v>46621</v>
      </c>
      <c r="I431" s="52" t="s">
        <v>105</v>
      </c>
      <c r="J431" s="18">
        <v>47808</v>
      </c>
      <c r="K431" s="19" t="s">
        <v>111</v>
      </c>
      <c r="L431" s="19" t="str">
        <f>VLOOKUP(C431,'[7]Trips&amp;Operators'!$C$1:$E$10000,3,FALSE)</f>
        <v>STORY</v>
      </c>
      <c r="M431" s="20" t="s">
        <v>112</v>
      </c>
      <c r="N431" s="19"/>
      <c r="O431" s="19" t="str">
        <f t="shared" si="12"/>
        <v>06</v>
      </c>
      <c r="P431" s="64">
        <f t="shared" si="13"/>
        <v>42557</v>
      </c>
    </row>
    <row r="432" spans="1:16" x14ac:dyDescent="0.25">
      <c r="A432" s="26">
        <v>42557.313923611109</v>
      </c>
      <c r="B432" s="4" t="s">
        <v>138</v>
      </c>
      <c r="C432" s="4" t="s">
        <v>979</v>
      </c>
      <c r="D432" s="4" t="s">
        <v>103</v>
      </c>
      <c r="E432" s="4" t="s">
        <v>115</v>
      </c>
      <c r="F432" s="3">
        <v>150</v>
      </c>
      <c r="G432" s="4">
        <v>115</v>
      </c>
      <c r="H432" s="4">
        <v>56792</v>
      </c>
      <c r="I432" s="4" t="s">
        <v>105</v>
      </c>
      <c r="J432" s="4">
        <v>57008</v>
      </c>
      <c r="K432" s="4" t="s">
        <v>111</v>
      </c>
      <c r="L432" s="19" t="str">
        <f>VLOOKUP(C432,'[7]Trips&amp;Operators'!$C$1:$E$10000,3,FALSE)</f>
        <v>MAYBERRY</v>
      </c>
      <c r="M432" s="20" t="s">
        <v>112</v>
      </c>
      <c r="N432" s="19"/>
      <c r="O432" s="19" t="str">
        <f t="shared" si="12"/>
        <v>06</v>
      </c>
      <c r="P432" s="64">
        <f t="shared" si="13"/>
        <v>42557</v>
      </c>
    </row>
    <row r="433" spans="1:16" x14ac:dyDescent="0.25">
      <c r="A433" s="26">
        <v>42557.647233796299</v>
      </c>
      <c r="B433" s="4" t="s">
        <v>138</v>
      </c>
      <c r="C433" s="4" t="s">
        <v>980</v>
      </c>
      <c r="D433" s="4" t="s">
        <v>103</v>
      </c>
      <c r="E433" s="4" t="s">
        <v>115</v>
      </c>
      <c r="F433" s="3">
        <v>150</v>
      </c>
      <c r="G433" s="4">
        <v>132</v>
      </c>
      <c r="H433" s="4">
        <v>56948</v>
      </c>
      <c r="I433" s="4" t="s">
        <v>105</v>
      </c>
      <c r="J433" s="4">
        <v>57008</v>
      </c>
      <c r="K433" s="4" t="s">
        <v>111</v>
      </c>
      <c r="L433" s="19" t="str">
        <f>VLOOKUP(C433,'[7]Trips&amp;Operators'!$C$1:$E$10000,3,FALSE)</f>
        <v>STORY</v>
      </c>
      <c r="M433" s="20" t="s">
        <v>112</v>
      </c>
      <c r="N433" s="19"/>
      <c r="O433" s="19" t="str">
        <f t="shared" si="12"/>
        <v>06</v>
      </c>
      <c r="P433" s="64">
        <f t="shared" si="13"/>
        <v>42557</v>
      </c>
    </row>
    <row r="434" spans="1:16" x14ac:dyDescent="0.25">
      <c r="A434" s="26">
        <v>42557.688761574071</v>
      </c>
      <c r="B434" s="4" t="s">
        <v>138</v>
      </c>
      <c r="C434" s="4" t="s">
        <v>981</v>
      </c>
      <c r="D434" s="4" t="s">
        <v>103</v>
      </c>
      <c r="E434" s="51" t="s">
        <v>115</v>
      </c>
      <c r="F434" s="3">
        <v>150</v>
      </c>
      <c r="G434" s="4">
        <v>422</v>
      </c>
      <c r="H434" s="4">
        <v>54465</v>
      </c>
      <c r="I434" s="51" t="s">
        <v>105</v>
      </c>
      <c r="J434" s="4">
        <v>57008</v>
      </c>
      <c r="K434" s="4" t="s">
        <v>111</v>
      </c>
      <c r="L434" s="19" t="str">
        <f>VLOOKUP(C434,'[7]Trips&amp;Operators'!$C$1:$E$10000,3,FALSE)</f>
        <v>STORY</v>
      </c>
      <c r="M434" s="20" t="s">
        <v>112</v>
      </c>
      <c r="N434" s="19"/>
      <c r="O434" s="19" t="str">
        <f t="shared" si="12"/>
        <v>06</v>
      </c>
      <c r="P434" s="64">
        <f t="shared" si="13"/>
        <v>42557</v>
      </c>
    </row>
    <row r="435" spans="1:16" x14ac:dyDescent="0.25">
      <c r="A435" s="26">
        <v>42557.67627314815</v>
      </c>
      <c r="B435" s="4" t="s">
        <v>131</v>
      </c>
      <c r="C435" s="4" t="s">
        <v>982</v>
      </c>
      <c r="D435" s="4" t="s">
        <v>116</v>
      </c>
      <c r="E435" s="51" t="s">
        <v>115</v>
      </c>
      <c r="F435" s="3">
        <v>150</v>
      </c>
      <c r="G435" s="4">
        <v>200</v>
      </c>
      <c r="H435" s="4">
        <v>56902</v>
      </c>
      <c r="I435" s="51" t="s">
        <v>105</v>
      </c>
      <c r="J435" s="4">
        <v>59050</v>
      </c>
      <c r="K435" s="4" t="s">
        <v>106</v>
      </c>
      <c r="L435" s="19" t="str">
        <f>VLOOKUP(C435,'[7]Trips&amp;Operators'!$C$1:$E$10000,3,FALSE)</f>
        <v>STRICKLAND</v>
      </c>
      <c r="M435" s="20" t="s">
        <v>112</v>
      </c>
      <c r="N435" s="19"/>
      <c r="O435" s="19" t="str">
        <f t="shared" si="12"/>
        <v>06</v>
      </c>
      <c r="P435" s="64">
        <f t="shared" si="13"/>
        <v>42557</v>
      </c>
    </row>
    <row r="436" spans="1:16" x14ac:dyDescent="0.25">
      <c r="A436" s="17">
        <v>42557.799016203702</v>
      </c>
      <c r="B436" s="18" t="s">
        <v>131</v>
      </c>
      <c r="C436" s="18" t="s">
        <v>983</v>
      </c>
      <c r="D436" s="18" t="s">
        <v>116</v>
      </c>
      <c r="E436" s="52" t="s">
        <v>115</v>
      </c>
      <c r="F436" s="53">
        <v>150</v>
      </c>
      <c r="G436" s="18">
        <v>200</v>
      </c>
      <c r="H436" s="18">
        <v>56955</v>
      </c>
      <c r="I436" s="52" t="s">
        <v>105</v>
      </c>
      <c r="J436" s="18">
        <v>59050</v>
      </c>
      <c r="K436" s="19" t="s">
        <v>106</v>
      </c>
      <c r="L436" s="19" t="str">
        <f>VLOOKUP(C436,'[7]Trips&amp;Operators'!$C$1:$E$10000,3,FALSE)</f>
        <v>STRICKLAND</v>
      </c>
      <c r="M436" s="20" t="s">
        <v>112</v>
      </c>
      <c r="N436" s="19"/>
      <c r="O436" s="19" t="str">
        <f t="shared" si="12"/>
        <v>06</v>
      </c>
      <c r="P436" s="64">
        <f t="shared" si="13"/>
        <v>42557</v>
      </c>
    </row>
    <row r="437" spans="1:16" x14ac:dyDescent="0.25">
      <c r="A437" s="26">
        <v>42557.457476851851</v>
      </c>
      <c r="B437" s="4" t="s">
        <v>145</v>
      </c>
      <c r="C437" s="4" t="s">
        <v>984</v>
      </c>
      <c r="D437" s="4" t="s">
        <v>116</v>
      </c>
      <c r="E437" s="4" t="s">
        <v>115</v>
      </c>
      <c r="F437" s="3">
        <v>550</v>
      </c>
      <c r="G437" s="4">
        <v>604</v>
      </c>
      <c r="H437" s="4">
        <v>222083</v>
      </c>
      <c r="I437" s="4" t="s">
        <v>105</v>
      </c>
      <c r="J437" s="4">
        <v>224581</v>
      </c>
      <c r="K437" s="4" t="s">
        <v>106</v>
      </c>
      <c r="L437" s="19" t="str">
        <f>VLOOKUP(C437,'[7]Trips&amp;Operators'!$C$1:$E$10000,3,FALSE)</f>
        <v>NEWELL</v>
      </c>
      <c r="M437" s="20" t="s">
        <v>112</v>
      </c>
      <c r="N437" s="19"/>
      <c r="O437" s="19" t="str">
        <f t="shared" si="12"/>
        <v>06</v>
      </c>
      <c r="P437" s="64">
        <f t="shared" si="13"/>
        <v>42557</v>
      </c>
    </row>
    <row r="438" spans="1:16" x14ac:dyDescent="0.25">
      <c r="A438" s="17">
        <v>42557.530578703707</v>
      </c>
      <c r="B438" s="18" t="s">
        <v>145</v>
      </c>
      <c r="C438" s="18" t="s">
        <v>985</v>
      </c>
      <c r="D438" s="18" t="s">
        <v>116</v>
      </c>
      <c r="E438" s="52" t="s">
        <v>115</v>
      </c>
      <c r="F438" s="53">
        <v>350</v>
      </c>
      <c r="G438" s="18">
        <v>401</v>
      </c>
      <c r="H438" s="18">
        <v>225596</v>
      </c>
      <c r="I438" s="52" t="s">
        <v>105</v>
      </c>
      <c r="J438" s="18">
        <v>228668</v>
      </c>
      <c r="K438" s="19" t="s">
        <v>106</v>
      </c>
      <c r="L438" s="19" t="str">
        <f>VLOOKUP(C438,'[7]Trips&amp;Operators'!$C$1:$E$10000,3,FALSE)</f>
        <v>COOLAHAN</v>
      </c>
      <c r="M438" s="20" t="s">
        <v>112</v>
      </c>
      <c r="N438" s="19"/>
      <c r="O438" s="19" t="str">
        <f t="shared" si="12"/>
        <v>06</v>
      </c>
      <c r="P438" s="64">
        <f t="shared" si="13"/>
        <v>42557</v>
      </c>
    </row>
    <row r="439" spans="1:16" x14ac:dyDescent="0.25">
      <c r="A439" s="26">
        <v>42557.93645833333</v>
      </c>
      <c r="B439" s="4" t="s">
        <v>145</v>
      </c>
      <c r="C439" s="4" t="s">
        <v>986</v>
      </c>
      <c r="D439" s="4" t="s">
        <v>103</v>
      </c>
      <c r="E439" s="4" t="s">
        <v>115</v>
      </c>
      <c r="F439" s="3">
        <v>150</v>
      </c>
      <c r="G439" s="4">
        <v>184</v>
      </c>
      <c r="H439" s="4">
        <v>229496</v>
      </c>
      <c r="I439" s="4" t="s">
        <v>105</v>
      </c>
      <c r="J439" s="4">
        <v>229055</v>
      </c>
      <c r="K439" s="4" t="s">
        <v>106</v>
      </c>
      <c r="L439" s="19" t="str">
        <f>VLOOKUP(C439,'[7]Trips&amp;Operators'!$C$1:$E$10000,3,FALSE)</f>
        <v>DAVIS</v>
      </c>
      <c r="M439" s="20" t="s">
        <v>112</v>
      </c>
      <c r="N439" s="19"/>
      <c r="O439" s="19" t="str">
        <f t="shared" si="12"/>
        <v>06</v>
      </c>
      <c r="P439" s="64">
        <f t="shared" si="13"/>
        <v>42557</v>
      </c>
    </row>
    <row r="440" spans="1:16" x14ac:dyDescent="0.25">
      <c r="A440" s="26">
        <v>42557.232546296298</v>
      </c>
      <c r="B440" s="4" t="s">
        <v>142</v>
      </c>
      <c r="C440" s="4" t="s">
        <v>987</v>
      </c>
      <c r="D440" s="4" t="s">
        <v>103</v>
      </c>
      <c r="E440" s="4" t="s">
        <v>115</v>
      </c>
      <c r="F440" s="3">
        <v>150</v>
      </c>
      <c r="G440" s="4">
        <v>134</v>
      </c>
      <c r="H440" s="4">
        <v>231564</v>
      </c>
      <c r="I440" s="4" t="s">
        <v>105</v>
      </c>
      <c r="J440" s="4">
        <v>232107</v>
      </c>
      <c r="K440" s="4" t="s">
        <v>111</v>
      </c>
      <c r="L440" s="19" t="str">
        <f>VLOOKUP(C440,'[7]Trips&amp;Operators'!$C$1:$E$10000,3,FALSE)</f>
        <v>BEAM</v>
      </c>
      <c r="M440" s="20" t="s">
        <v>112</v>
      </c>
      <c r="N440" s="19"/>
      <c r="O440" s="19" t="str">
        <f t="shared" si="12"/>
        <v>06</v>
      </c>
      <c r="P440" s="64">
        <f t="shared" si="13"/>
        <v>42557</v>
      </c>
    </row>
    <row r="441" spans="1:16" x14ac:dyDescent="0.25">
      <c r="A441" s="26">
        <v>42557.493923611109</v>
      </c>
      <c r="B441" s="4" t="s">
        <v>136</v>
      </c>
      <c r="C441" s="4" t="s">
        <v>967</v>
      </c>
      <c r="D441" s="4" t="s">
        <v>103</v>
      </c>
      <c r="E441" s="51" t="s">
        <v>122</v>
      </c>
      <c r="F441" s="3">
        <v>0</v>
      </c>
      <c r="G441" s="4">
        <v>347</v>
      </c>
      <c r="H441" s="4">
        <v>7758</v>
      </c>
      <c r="I441" s="51" t="s">
        <v>123</v>
      </c>
      <c r="J441" s="4">
        <v>6799</v>
      </c>
      <c r="K441" s="4" t="s">
        <v>106</v>
      </c>
      <c r="L441" s="19" t="str">
        <f>VLOOKUP(C441,'[7]Trips&amp;Operators'!$C$1:$E$10000,3,FALSE)</f>
        <v>MAYBERRY</v>
      </c>
      <c r="M441" s="20" t="s">
        <v>107</v>
      </c>
      <c r="N441" s="19"/>
      <c r="O441" s="19" t="str">
        <f t="shared" si="12"/>
        <v>06</v>
      </c>
      <c r="P441" s="64">
        <f t="shared" si="13"/>
        <v>42557</v>
      </c>
    </row>
    <row r="442" spans="1:16" x14ac:dyDescent="0.25">
      <c r="A442" s="26">
        <v>42557.211539351854</v>
      </c>
      <c r="B442" s="4" t="s">
        <v>120</v>
      </c>
      <c r="C442" s="4" t="s">
        <v>988</v>
      </c>
      <c r="D442" s="4" t="s">
        <v>103</v>
      </c>
      <c r="E442" s="51" t="s">
        <v>122</v>
      </c>
      <c r="F442" s="3">
        <v>0</v>
      </c>
      <c r="G442" s="4">
        <v>57</v>
      </c>
      <c r="H442" s="4">
        <v>28816</v>
      </c>
      <c r="I442" s="51" t="s">
        <v>123</v>
      </c>
      <c r="J442" s="4">
        <v>28990</v>
      </c>
      <c r="K442" s="4" t="s">
        <v>111</v>
      </c>
      <c r="L442" s="19" t="str">
        <f>VLOOKUP(C442,'[7]Trips&amp;Operators'!$C$1:$E$10000,3,FALSE)</f>
        <v>STURGEON</v>
      </c>
      <c r="M442" s="20" t="s">
        <v>112</v>
      </c>
      <c r="N442" s="19"/>
      <c r="O442" s="19" t="str">
        <f t="shared" si="12"/>
        <v>06</v>
      </c>
      <c r="P442" s="64">
        <f t="shared" si="13"/>
        <v>42557</v>
      </c>
    </row>
    <row r="443" spans="1:16" x14ac:dyDescent="0.25">
      <c r="A443" s="26">
        <v>42557.211956018517</v>
      </c>
      <c r="B443" s="4" t="s">
        <v>120</v>
      </c>
      <c r="C443" s="4" t="s">
        <v>988</v>
      </c>
      <c r="D443" s="4" t="s">
        <v>103</v>
      </c>
      <c r="E443" s="51" t="s">
        <v>122</v>
      </c>
      <c r="F443" s="3">
        <v>0</v>
      </c>
      <c r="G443" s="4">
        <v>46</v>
      </c>
      <c r="H443" s="4">
        <v>28911</v>
      </c>
      <c r="I443" s="51" t="s">
        <v>123</v>
      </c>
      <c r="J443" s="4">
        <v>28990</v>
      </c>
      <c r="K443" s="4" t="s">
        <v>111</v>
      </c>
      <c r="L443" s="19" t="str">
        <f>VLOOKUP(C443,'[7]Trips&amp;Operators'!$C$1:$E$10000,3,FALSE)</f>
        <v>STURGEON</v>
      </c>
      <c r="M443" s="20" t="s">
        <v>112</v>
      </c>
      <c r="N443" s="19"/>
      <c r="O443" s="19" t="str">
        <f t="shared" si="12"/>
        <v>06</v>
      </c>
      <c r="P443" s="64">
        <f t="shared" si="13"/>
        <v>42557</v>
      </c>
    </row>
    <row r="444" spans="1:16" x14ac:dyDescent="0.25">
      <c r="A444" s="26">
        <v>42557.690752314818</v>
      </c>
      <c r="B444" s="4" t="s">
        <v>145</v>
      </c>
      <c r="C444" s="4" t="s">
        <v>663</v>
      </c>
      <c r="D444" s="4" t="s">
        <v>103</v>
      </c>
      <c r="E444" s="51" t="s">
        <v>122</v>
      </c>
      <c r="F444" s="3">
        <v>0</v>
      </c>
      <c r="G444" s="4">
        <v>36</v>
      </c>
      <c r="H444" s="4">
        <v>64113</v>
      </c>
      <c r="I444" s="51" t="s">
        <v>123</v>
      </c>
      <c r="J444" s="4">
        <v>64008</v>
      </c>
      <c r="K444" s="4" t="s">
        <v>106</v>
      </c>
      <c r="L444" s="19" t="str">
        <f>VLOOKUP(C444,'[7]Trips&amp;Operators'!$C$1:$E$10000,3,FALSE)</f>
        <v>COOLAHAN</v>
      </c>
      <c r="M444" s="20" t="s">
        <v>107</v>
      </c>
      <c r="N444" s="19"/>
      <c r="O444" s="19" t="str">
        <f t="shared" si="12"/>
        <v>06</v>
      </c>
      <c r="P444" s="64">
        <f t="shared" si="13"/>
        <v>42557</v>
      </c>
    </row>
    <row r="445" spans="1:16" x14ac:dyDescent="0.25">
      <c r="A445" s="26">
        <v>42557.56422453704</v>
      </c>
      <c r="B445" s="4" t="s">
        <v>163</v>
      </c>
      <c r="C445" s="4" t="s">
        <v>287</v>
      </c>
      <c r="D445" s="4" t="s">
        <v>103</v>
      </c>
      <c r="E445" s="51" t="s">
        <v>122</v>
      </c>
      <c r="F445" s="3">
        <v>0</v>
      </c>
      <c r="G445" s="4">
        <v>697</v>
      </c>
      <c r="H445" s="4">
        <v>81355</v>
      </c>
      <c r="I445" s="51" t="s">
        <v>123</v>
      </c>
      <c r="J445" s="4">
        <v>81738</v>
      </c>
      <c r="K445" s="4" t="s">
        <v>111</v>
      </c>
      <c r="L445" s="19" t="str">
        <f>VLOOKUP(C445,'[7]Trips&amp;Operators'!$C$1:$E$10000,3,FALSE)</f>
        <v>SHOOK</v>
      </c>
      <c r="M445" s="20" t="s">
        <v>107</v>
      </c>
      <c r="N445" s="19"/>
      <c r="O445" s="19" t="str">
        <f t="shared" si="12"/>
        <v>06</v>
      </c>
      <c r="P445" s="64">
        <f t="shared" si="13"/>
        <v>42557</v>
      </c>
    </row>
    <row r="446" spans="1:16" x14ac:dyDescent="0.25">
      <c r="A446" s="26">
        <v>42557.492800925924</v>
      </c>
      <c r="B446" s="4" t="s">
        <v>141</v>
      </c>
      <c r="C446" s="4" t="s">
        <v>989</v>
      </c>
      <c r="D446" s="4" t="s">
        <v>103</v>
      </c>
      <c r="E446" s="4" t="s">
        <v>122</v>
      </c>
      <c r="F446" s="3">
        <v>0</v>
      </c>
      <c r="G446" s="4">
        <v>43</v>
      </c>
      <c r="H446" s="4">
        <v>106692</v>
      </c>
      <c r="I446" s="4" t="s">
        <v>123</v>
      </c>
      <c r="J446" s="4">
        <v>106479</v>
      </c>
      <c r="K446" s="4" t="s">
        <v>106</v>
      </c>
      <c r="L446" s="19" t="str">
        <f>VLOOKUP(C446,'[7]Trips&amp;Operators'!$C$1:$E$10000,3,FALSE)</f>
        <v>SPECTOR</v>
      </c>
      <c r="M446" s="20" t="s">
        <v>112</v>
      </c>
      <c r="N446" s="19"/>
      <c r="O446" s="19" t="str">
        <f t="shared" si="12"/>
        <v>06</v>
      </c>
      <c r="P446" s="64">
        <f t="shared" si="13"/>
        <v>42557</v>
      </c>
    </row>
    <row r="447" spans="1:16" x14ac:dyDescent="0.25">
      <c r="A447" s="26">
        <v>42557.482256944444</v>
      </c>
      <c r="B447" s="4" t="s">
        <v>141</v>
      </c>
      <c r="C447" s="4" t="s">
        <v>989</v>
      </c>
      <c r="D447" s="4" t="s">
        <v>103</v>
      </c>
      <c r="E447" s="4" t="s">
        <v>122</v>
      </c>
      <c r="F447" s="3">
        <v>0</v>
      </c>
      <c r="G447" s="4">
        <v>408</v>
      </c>
      <c r="H447" s="4">
        <v>129974</v>
      </c>
      <c r="I447" s="4" t="s">
        <v>123</v>
      </c>
      <c r="J447" s="4">
        <v>127587</v>
      </c>
      <c r="K447" s="4" t="s">
        <v>106</v>
      </c>
      <c r="L447" s="19" t="str">
        <f>VLOOKUP(C447,'[7]Trips&amp;Operators'!$C$1:$E$10000,3,FALSE)</f>
        <v>SPECTOR</v>
      </c>
      <c r="M447" s="20" t="s">
        <v>112</v>
      </c>
      <c r="N447" s="19"/>
      <c r="O447" s="19" t="str">
        <f t="shared" si="12"/>
        <v>06</v>
      </c>
      <c r="P447" s="64">
        <f t="shared" si="13"/>
        <v>42557</v>
      </c>
    </row>
    <row r="448" spans="1:16" x14ac:dyDescent="0.25">
      <c r="A448" s="17">
        <v>42557.78402777778</v>
      </c>
      <c r="B448" s="18" t="s">
        <v>135</v>
      </c>
      <c r="C448" s="18" t="s">
        <v>974</v>
      </c>
      <c r="D448" s="18" t="s">
        <v>116</v>
      </c>
      <c r="E448" s="52" t="s">
        <v>122</v>
      </c>
      <c r="F448" s="53">
        <v>200</v>
      </c>
      <c r="G448" s="18">
        <v>258</v>
      </c>
      <c r="H448" s="18">
        <v>155180</v>
      </c>
      <c r="I448" s="52" t="s">
        <v>123</v>
      </c>
      <c r="J448" s="18">
        <v>149694</v>
      </c>
      <c r="K448" s="19" t="s">
        <v>111</v>
      </c>
      <c r="L448" s="19" t="str">
        <f>VLOOKUP(C448,'[7]Trips&amp;Operators'!$C$1:$E$10000,3,FALSE)</f>
        <v>ADANE</v>
      </c>
      <c r="M448" s="20" t="s">
        <v>112</v>
      </c>
      <c r="N448" s="19"/>
      <c r="O448" s="19" t="str">
        <f t="shared" si="12"/>
        <v>06</v>
      </c>
      <c r="P448" s="64">
        <f t="shared" si="13"/>
        <v>42557</v>
      </c>
    </row>
    <row r="449" spans="1:16" x14ac:dyDescent="0.25">
      <c r="A449" s="26">
        <v>42557.637974537036</v>
      </c>
      <c r="B449" s="4" t="s">
        <v>134</v>
      </c>
      <c r="C449" s="4" t="s">
        <v>990</v>
      </c>
      <c r="D449" s="4" t="s">
        <v>103</v>
      </c>
      <c r="E449" s="51" t="s">
        <v>122</v>
      </c>
      <c r="F449" s="3">
        <v>0</v>
      </c>
      <c r="G449" s="4">
        <v>657</v>
      </c>
      <c r="H449" s="4">
        <v>181614</v>
      </c>
      <c r="I449" s="51" t="s">
        <v>123</v>
      </c>
      <c r="J449" s="4">
        <v>175398</v>
      </c>
      <c r="K449" s="4" t="s">
        <v>106</v>
      </c>
      <c r="L449" s="19" t="str">
        <f>VLOOKUP(C449,'[7]Trips&amp;Operators'!$C$1:$E$10000,3,FALSE)</f>
        <v>BRANNON</v>
      </c>
      <c r="M449" s="20" t="s">
        <v>107</v>
      </c>
      <c r="N449" s="19"/>
      <c r="O449" s="19" t="str">
        <f t="shared" si="12"/>
        <v>06</v>
      </c>
      <c r="P449" s="64">
        <f t="shared" si="13"/>
        <v>42557</v>
      </c>
    </row>
    <row r="450" spans="1:16" x14ac:dyDescent="0.25">
      <c r="A450" s="26">
        <v>42557.718217592592</v>
      </c>
      <c r="B450" s="4" t="s">
        <v>139</v>
      </c>
      <c r="C450" s="4" t="s">
        <v>288</v>
      </c>
      <c r="D450" s="4" t="s">
        <v>103</v>
      </c>
      <c r="E450" s="51" t="s">
        <v>122</v>
      </c>
      <c r="F450" s="3">
        <v>0</v>
      </c>
      <c r="G450" s="4">
        <v>35</v>
      </c>
      <c r="H450" s="4">
        <v>231253</v>
      </c>
      <c r="I450" s="51" t="s">
        <v>123</v>
      </c>
      <c r="J450" s="4">
        <v>231147</v>
      </c>
      <c r="K450" s="4" t="s">
        <v>106</v>
      </c>
      <c r="L450" s="19" t="str">
        <f>VLOOKUP(C450,'[7]Trips&amp;Operators'!$C$1:$E$10000,3,FALSE)</f>
        <v>YOUNG</v>
      </c>
      <c r="M450" s="20" t="s">
        <v>107</v>
      </c>
      <c r="N450" s="19"/>
      <c r="O450" s="19" t="str">
        <f t="shared" ref="O450:O513" si="14">RIGHT(C450,2)</f>
        <v>06</v>
      </c>
      <c r="P450" s="64">
        <f t="shared" si="13"/>
        <v>42557</v>
      </c>
    </row>
    <row r="451" spans="1:16" x14ac:dyDescent="0.25">
      <c r="A451" s="17">
        <v>42557.419062499997</v>
      </c>
      <c r="B451" s="18" t="s">
        <v>146</v>
      </c>
      <c r="C451" s="18" t="s">
        <v>991</v>
      </c>
      <c r="D451" s="18" t="s">
        <v>116</v>
      </c>
      <c r="E451" s="52" t="s">
        <v>127</v>
      </c>
      <c r="F451" s="53">
        <v>0</v>
      </c>
      <c r="G451" s="18">
        <v>567</v>
      </c>
      <c r="H451" s="18">
        <v>11483</v>
      </c>
      <c r="I451" s="52" t="s">
        <v>128</v>
      </c>
      <c r="J451" s="18">
        <v>10800</v>
      </c>
      <c r="K451" s="19" t="s">
        <v>111</v>
      </c>
      <c r="L451" s="19" t="str">
        <f>VLOOKUP(C451,'[7]Trips&amp;Operators'!$C$1:$E$10000,3,FALSE)</f>
        <v>NEWELL</v>
      </c>
      <c r="M451" s="20" t="s">
        <v>107</v>
      </c>
      <c r="N451" s="19"/>
      <c r="O451" s="19" t="str">
        <f t="shared" si="14"/>
        <v>06</v>
      </c>
      <c r="P451" s="64">
        <f t="shared" ref="P451:P514" si="15">42522+O451+29</f>
        <v>42557</v>
      </c>
    </row>
    <row r="452" spans="1:16" x14ac:dyDescent="0.25">
      <c r="A452" s="26">
        <v>42557.247662037036</v>
      </c>
      <c r="B452" s="4" t="s">
        <v>120</v>
      </c>
      <c r="C452" s="4" t="s">
        <v>992</v>
      </c>
      <c r="D452" s="4" t="s">
        <v>103</v>
      </c>
      <c r="E452" s="51" t="s">
        <v>127</v>
      </c>
      <c r="F452" s="3">
        <v>0</v>
      </c>
      <c r="G452" s="4">
        <v>314</v>
      </c>
      <c r="H452" s="4">
        <v>20987</v>
      </c>
      <c r="I452" s="51" t="s">
        <v>128</v>
      </c>
      <c r="J452" s="4">
        <v>22314</v>
      </c>
      <c r="K452" s="4" t="s">
        <v>111</v>
      </c>
      <c r="L452" s="19" t="str">
        <f>VLOOKUP(C452,'[7]Trips&amp;Operators'!$C$1:$E$10000,3,FALSE)</f>
        <v>STURGEON</v>
      </c>
      <c r="M452" s="20" t="s">
        <v>107</v>
      </c>
      <c r="N452" s="19"/>
      <c r="O452" s="19" t="str">
        <f t="shared" si="14"/>
        <v>06</v>
      </c>
      <c r="P452" s="64">
        <f t="shared" si="15"/>
        <v>42557</v>
      </c>
    </row>
    <row r="453" spans="1:16" x14ac:dyDescent="0.25">
      <c r="A453" s="26">
        <v>42557.330914351849</v>
      </c>
      <c r="B453" s="4" t="s">
        <v>120</v>
      </c>
      <c r="C453" s="4" t="s">
        <v>993</v>
      </c>
      <c r="D453" s="4" t="s">
        <v>103</v>
      </c>
      <c r="E453" s="51" t="s">
        <v>127</v>
      </c>
      <c r="F453" s="3">
        <v>0</v>
      </c>
      <c r="G453" s="4">
        <v>298</v>
      </c>
      <c r="H453" s="4">
        <v>20629</v>
      </c>
      <c r="I453" s="51" t="s">
        <v>128</v>
      </c>
      <c r="J453" s="4">
        <v>22314</v>
      </c>
      <c r="K453" s="4" t="s">
        <v>111</v>
      </c>
      <c r="L453" s="19" t="str">
        <f>VLOOKUP(C453,'[7]Trips&amp;Operators'!$C$1:$E$10000,3,FALSE)</f>
        <v>STURGEON</v>
      </c>
      <c r="M453" s="20" t="s">
        <v>107</v>
      </c>
      <c r="N453" s="19"/>
      <c r="O453" s="19" t="str">
        <f t="shared" si="14"/>
        <v>06</v>
      </c>
      <c r="P453" s="64">
        <f t="shared" si="15"/>
        <v>42557</v>
      </c>
    </row>
    <row r="454" spans="1:16" x14ac:dyDescent="0.25">
      <c r="A454" s="26">
        <v>42557.3671412037</v>
      </c>
      <c r="B454" s="4" t="s">
        <v>136</v>
      </c>
      <c r="C454" s="4" t="s">
        <v>994</v>
      </c>
      <c r="D454" s="4" t="s">
        <v>116</v>
      </c>
      <c r="E454" s="4" t="s">
        <v>127</v>
      </c>
      <c r="F454" s="3">
        <v>0</v>
      </c>
      <c r="G454" s="4">
        <v>27</v>
      </c>
      <c r="H454" s="4">
        <v>23201</v>
      </c>
      <c r="I454" s="4" t="s">
        <v>128</v>
      </c>
      <c r="J454" s="4">
        <v>24193</v>
      </c>
      <c r="K454" s="4" t="s">
        <v>106</v>
      </c>
      <c r="L454" s="19" t="str">
        <f>VLOOKUP(C454,'[7]Trips&amp;Operators'!$C$1:$E$10000,3,FALSE)</f>
        <v>MAYBERRY</v>
      </c>
      <c r="M454" s="20" t="s">
        <v>107</v>
      </c>
      <c r="N454" s="19"/>
      <c r="O454" s="19" t="str">
        <f t="shared" si="14"/>
        <v>06</v>
      </c>
      <c r="P454" s="64">
        <f t="shared" si="15"/>
        <v>42557</v>
      </c>
    </row>
    <row r="455" spans="1:16" x14ac:dyDescent="0.25">
      <c r="A455" s="26">
        <v>42557.237638888888</v>
      </c>
      <c r="B455" s="4" t="s">
        <v>145</v>
      </c>
      <c r="C455" s="4" t="s">
        <v>995</v>
      </c>
      <c r="D455" s="4" t="s">
        <v>103</v>
      </c>
      <c r="E455" s="51" t="s">
        <v>127</v>
      </c>
      <c r="F455" s="3">
        <v>0</v>
      </c>
      <c r="G455" s="4">
        <v>138</v>
      </c>
      <c r="H455" s="4">
        <v>231468</v>
      </c>
      <c r="I455" s="51" t="s">
        <v>128</v>
      </c>
      <c r="J455" s="4">
        <v>231147</v>
      </c>
      <c r="K455" s="4" t="s">
        <v>106</v>
      </c>
      <c r="L455" s="19" t="str">
        <f>VLOOKUP(C455,'[7]Trips&amp;Operators'!$C$1:$E$10000,3,FALSE)</f>
        <v>NEWELL</v>
      </c>
      <c r="M455" s="20" t="s">
        <v>107</v>
      </c>
      <c r="N455" s="19"/>
      <c r="O455" s="19" t="str">
        <f t="shared" si="14"/>
        <v>06</v>
      </c>
      <c r="P455" s="64">
        <f t="shared" si="15"/>
        <v>42557</v>
      </c>
    </row>
    <row r="456" spans="1:16" x14ac:dyDescent="0.25">
      <c r="A456" s="26">
        <v>42557.758506944447</v>
      </c>
      <c r="B456" s="4" t="s">
        <v>147</v>
      </c>
      <c r="C456" s="4" t="s">
        <v>996</v>
      </c>
      <c r="D456" s="4" t="s">
        <v>103</v>
      </c>
      <c r="E456" s="4" t="s">
        <v>127</v>
      </c>
      <c r="F456" s="3">
        <v>0</v>
      </c>
      <c r="G456" s="4">
        <v>149</v>
      </c>
      <c r="H456" s="4">
        <v>232057</v>
      </c>
      <c r="I456" s="4" t="s">
        <v>128</v>
      </c>
      <c r="J456" s="4">
        <v>231147</v>
      </c>
      <c r="K456" s="4" t="s">
        <v>106</v>
      </c>
      <c r="L456" s="19" t="str">
        <f>VLOOKUP(C456,'[7]Trips&amp;Operators'!$C$1:$E$10000,3,FALSE)</f>
        <v>BARTLETT</v>
      </c>
      <c r="M456" s="20" t="s">
        <v>107</v>
      </c>
      <c r="N456" s="19"/>
      <c r="O456" s="19" t="str">
        <f t="shared" si="14"/>
        <v>06</v>
      </c>
      <c r="P456" s="64">
        <f t="shared" si="15"/>
        <v>42557</v>
      </c>
    </row>
    <row r="457" spans="1:16" x14ac:dyDescent="0.25">
      <c r="A457" s="17">
        <v>42557.643865740742</v>
      </c>
      <c r="B457" s="18" t="s">
        <v>139</v>
      </c>
      <c r="C457" s="18" t="s">
        <v>284</v>
      </c>
      <c r="D457" s="18" t="s">
        <v>116</v>
      </c>
      <c r="E457" s="52" t="s">
        <v>127</v>
      </c>
      <c r="F457" s="53">
        <v>0</v>
      </c>
      <c r="G457" s="18">
        <v>164</v>
      </c>
      <c r="H457" s="18">
        <v>231167</v>
      </c>
      <c r="I457" s="52" t="s">
        <v>128</v>
      </c>
      <c r="J457" s="18">
        <v>231650</v>
      </c>
      <c r="K457" s="19" t="s">
        <v>106</v>
      </c>
      <c r="L457" s="19" t="str">
        <f>VLOOKUP(C457,'[7]Trips&amp;Operators'!$C$1:$E$10000,3,FALSE)</f>
        <v>YOUNG</v>
      </c>
      <c r="M457" s="20" t="s">
        <v>107</v>
      </c>
      <c r="N457" s="19"/>
      <c r="O457" s="19" t="str">
        <f t="shared" si="14"/>
        <v>06</v>
      </c>
      <c r="P457" s="64">
        <f t="shared" si="15"/>
        <v>42557</v>
      </c>
    </row>
    <row r="458" spans="1:16" x14ac:dyDescent="0.25">
      <c r="A458" s="26">
        <v>42557.706203703703</v>
      </c>
      <c r="B458" s="4" t="s">
        <v>134</v>
      </c>
      <c r="C458" s="4" t="s">
        <v>997</v>
      </c>
      <c r="D458" s="4" t="s">
        <v>116</v>
      </c>
      <c r="E458" s="51" t="s">
        <v>127</v>
      </c>
      <c r="F458" s="3">
        <v>0</v>
      </c>
      <c r="G458" s="4">
        <v>146</v>
      </c>
      <c r="H458" s="4">
        <v>231437</v>
      </c>
      <c r="I458" s="51" t="s">
        <v>128</v>
      </c>
      <c r="J458" s="4">
        <v>231650</v>
      </c>
      <c r="K458" s="4" t="s">
        <v>106</v>
      </c>
      <c r="L458" s="19" t="str">
        <f>VLOOKUP(C458,'[7]Trips&amp;Operators'!$C$1:$E$10000,3,FALSE)</f>
        <v>HELVIE</v>
      </c>
      <c r="M458" s="20" t="s">
        <v>107</v>
      </c>
      <c r="N458" s="19"/>
      <c r="O458" s="19" t="str">
        <f t="shared" si="14"/>
        <v>06</v>
      </c>
      <c r="P458" s="64">
        <f t="shared" si="15"/>
        <v>42557</v>
      </c>
    </row>
    <row r="459" spans="1:16" x14ac:dyDescent="0.25">
      <c r="A459" s="26">
        <v>42557.226770833331</v>
      </c>
      <c r="B459" s="4" t="s">
        <v>139</v>
      </c>
      <c r="C459" s="4" t="s">
        <v>999</v>
      </c>
      <c r="D459" s="4" t="s">
        <v>103</v>
      </c>
      <c r="E459" s="51" t="s">
        <v>129</v>
      </c>
      <c r="F459" s="3">
        <v>0</v>
      </c>
      <c r="G459" s="4">
        <v>45</v>
      </c>
      <c r="H459" s="4">
        <v>231</v>
      </c>
      <c r="I459" s="51" t="s">
        <v>130</v>
      </c>
      <c r="J459" s="4">
        <v>1</v>
      </c>
      <c r="K459" s="4" t="s">
        <v>106</v>
      </c>
      <c r="L459" s="19" t="str">
        <f>VLOOKUP(C459,'[7]Trips&amp;Operators'!$C$1:$E$10000,3,FALSE)</f>
        <v>STARKS</v>
      </c>
      <c r="M459" s="20" t="s">
        <v>112</v>
      </c>
      <c r="N459" s="19"/>
      <c r="O459" s="19" t="str">
        <f t="shared" si="14"/>
        <v>06</v>
      </c>
      <c r="P459" s="64">
        <f t="shared" si="15"/>
        <v>42557</v>
      </c>
    </row>
    <row r="460" spans="1:16" x14ac:dyDescent="0.25">
      <c r="A460" s="26">
        <v>42557.263506944444</v>
      </c>
      <c r="B460" s="4" t="s">
        <v>145</v>
      </c>
      <c r="C460" s="4" t="s">
        <v>995</v>
      </c>
      <c r="D460" s="4" t="s">
        <v>103</v>
      </c>
      <c r="E460" s="51" t="s">
        <v>129</v>
      </c>
      <c r="F460" s="3">
        <v>0</v>
      </c>
      <c r="G460" s="4">
        <v>5</v>
      </c>
      <c r="H460" s="4">
        <v>101</v>
      </c>
      <c r="I460" s="51" t="s">
        <v>130</v>
      </c>
      <c r="J460" s="4">
        <v>1</v>
      </c>
      <c r="K460" s="4" t="s">
        <v>106</v>
      </c>
      <c r="L460" s="19" t="str">
        <f>VLOOKUP(C460,'[7]Trips&amp;Operators'!$C$1:$E$10000,3,FALSE)</f>
        <v>NEWELL</v>
      </c>
      <c r="M460" s="20" t="s">
        <v>112</v>
      </c>
      <c r="N460" s="19"/>
      <c r="O460" s="19" t="str">
        <f t="shared" si="14"/>
        <v>06</v>
      </c>
      <c r="P460" s="64">
        <f t="shared" si="15"/>
        <v>42557</v>
      </c>
    </row>
    <row r="461" spans="1:16" x14ac:dyDescent="0.25">
      <c r="A461" s="26">
        <v>42557.283368055556</v>
      </c>
      <c r="B461" s="4" t="s">
        <v>119</v>
      </c>
      <c r="C461" s="4" t="s">
        <v>159</v>
      </c>
      <c r="D461" s="4" t="s">
        <v>103</v>
      </c>
      <c r="E461" s="51" t="s">
        <v>129</v>
      </c>
      <c r="F461" s="3">
        <v>0</v>
      </c>
      <c r="G461" s="4">
        <v>4</v>
      </c>
      <c r="H461" s="4">
        <v>121</v>
      </c>
      <c r="I461" s="51" t="s">
        <v>130</v>
      </c>
      <c r="J461" s="4">
        <v>1</v>
      </c>
      <c r="K461" s="4" t="s">
        <v>106</v>
      </c>
      <c r="L461" s="19" t="str">
        <f>VLOOKUP(C461,'[7]Trips&amp;Operators'!$C$1:$E$10000,3,FALSE)</f>
        <v>YORK</v>
      </c>
      <c r="M461" s="20" t="s">
        <v>112</v>
      </c>
      <c r="N461" s="19"/>
      <c r="O461" s="19" t="str">
        <f t="shared" si="14"/>
        <v>06</v>
      </c>
      <c r="P461" s="64">
        <f t="shared" si="15"/>
        <v>42557</v>
      </c>
    </row>
    <row r="462" spans="1:16" x14ac:dyDescent="0.25">
      <c r="A462" s="26">
        <v>42557.305196759262</v>
      </c>
      <c r="B462" s="4" t="s">
        <v>139</v>
      </c>
      <c r="C462" s="4" t="s">
        <v>1000</v>
      </c>
      <c r="D462" s="4" t="s">
        <v>103</v>
      </c>
      <c r="E462" s="51" t="s">
        <v>129</v>
      </c>
      <c r="F462" s="3">
        <v>0</v>
      </c>
      <c r="G462" s="4">
        <v>8</v>
      </c>
      <c r="H462" s="4">
        <v>309</v>
      </c>
      <c r="I462" s="51" t="s">
        <v>130</v>
      </c>
      <c r="J462" s="4">
        <v>1</v>
      </c>
      <c r="K462" s="4" t="s">
        <v>106</v>
      </c>
      <c r="L462" s="19" t="str">
        <f>VLOOKUP(C462,'[7]Trips&amp;Operators'!$C$1:$E$10000,3,FALSE)</f>
        <v>STARKS</v>
      </c>
      <c r="M462" s="20" t="s">
        <v>112</v>
      </c>
      <c r="N462" s="19"/>
      <c r="O462" s="19" t="str">
        <f t="shared" si="14"/>
        <v>06</v>
      </c>
      <c r="P462" s="64">
        <f t="shared" si="15"/>
        <v>42557</v>
      </c>
    </row>
    <row r="463" spans="1:16" x14ac:dyDescent="0.25">
      <c r="A463" s="26">
        <v>42557.325486111113</v>
      </c>
      <c r="B463" s="4" t="s">
        <v>124</v>
      </c>
      <c r="C463" s="4" t="s">
        <v>1001</v>
      </c>
      <c r="D463" s="4" t="s">
        <v>103</v>
      </c>
      <c r="E463" s="51" t="s">
        <v>129</v>
      </c>
      <c r="F463" s="3">
        <v>0</v>
      </c>
      <c r="G463" s="4">
        <v>4</v>
      </c>
      <c r="H463" s="4">
        <v>342</v>
      </c>
      <c r="I463" s="51" t="s">
        <v>130</v>
      </c>
      <c r="J463" s="4">
        <v>1</v>
      </c>
      <c r="K463" s="4" t="s">
        <v>106</v>
      </c>
      <c r="L463" s="19" t="str">
        <f>VLOOKUP(C463,'[7]Trips&amp;Operators'!$C$1:$E$10000,3,FALSE)</f>
        <v>MAELZER</v>
      </c>
      <c r="M463" s="20" t="s">
        <v>112</v>
      </c>
      <c r="N463" s="19"/>
      <c r="O463" s="19" t="str">
        <f t="shared" si="14"/>
        <v>06</v>
      </c>
      <c r="P463" s="64">
        <f t="shared" si="15"/>
        <v>42557</v>
      </c>
    </row>
    <row r="464" spans="1:16" x14ac:dyDescent="0.25">
      <c r="A464" s="26">
        <v>42557.388333333336</v>
      </c>
      <c r="B464" s="4" t="s">
        <v>143</v>
      </c>
      <c r="C464" s="4" t="s">
        <v>1002</v>
      </c>
      <c r="D464" s="4" t="s">
        <v>103</v>
      </c>
      <c r="E464" s="51" t="s">
        <v>129</v>
      </c>
      <c r="F464" s="3">
        <v>0</v>
      </c>
      <c r="G464" s="4">
        <v>7</v>
      </c>
      <c r="H464" s="4">
        <v>313</v>
      </c>
      <c r="I464" s="51" t="s">
        <v>130</v>
      </c>
      <c r="J464" s="4">
        <v>1</v>
      </c>
      <c r="K464" s="4" t="s">
        <v>106</v>
      </c>
      <c r="L464" s="19" t="str">
        <f>VLOOKUP(C464,'[7]Trips&amp;Operators'!$C$1:$E$10000,3,FALSE)</f>
        <v>MOSES</v>
      </c>
      <c r="M464" s="20" t="s">
        <v>112</v>
      </c>
      <c r="N464" s="19"/>
      <c r="O464" s="19" t="str">
        <f t="shared" si="14"/>
        <v>06</v>
      </c>
      <c r="P464" s="64">
        <f t="shared" si="15"/>
        <v>42557</v>
      </c>
    </row>
    <row r="465" spans="1:16" x14ac:dyDescent="0.25">
      <c r="A465" s="26">
        <v>42557.460312499999</v>
      </c>
      <c r="B465" s="4" t="s">
        <v>143</v>
      </c>
      <c r="C465" s="4" t="s">
        <v>1003</v>
      </c>
      <c r="D465" s="4" t="s">
        <v>103</v>
      </c>
      <c r="E465" s="51" t="s">
        <v>129</v>
      </c>
      <c r="F465" s="3">
        <v>0</v>
      </c>
      <c r="G465" s="4">
        <v>57</v>
      </c>
      <c r="H465" s="4">
        <v>214</v>
      </c>
      <c r="I465" s="51" t="s">
        <v>130</v>
      </c>
      <c r="J465" s="4">
        <v>1</v>
      </c>
      <c r="K465" s="4" t="s">
        <v>106</v>
      </c>
      <c r="L465" s="19" t="str">
        <f>VLOOKUP(C465,'[7]Trips&amp;Operators'!$C$1:$E$10000,3,FALSE)</f>
        <v>MOSES</v>
      </c>
      <c r="M465" s="20" t="s">
        <v>112</v>
      </c>
      <c r="N465" s="19"/>
      <c r="O465" s="19" t="str">
        <f t="shared" si="14"/>
        <v>06</v>
      </c>
      <c r="P465" s="64">
        <f t="shared" si="15"/>
        <v>42557</v>
      </c>
    </row>
    <row r="466" spans="1:16" x14ac:dyDescent="0.25">
      <c r="A466" s="26">
        <v>42557.532905092594</v>
      </c>
      <c r="B466" s="4" t="s">
        <v>143</v>
      </c>
      <c r="C466" s="4" t="s">
        <v>1004</v>
      </c>
      <c r="D466" s="4" t="s">
        <v>103</v>
      </c>
      <c r="E466" s="51" t="s">
        <v>129</v>
      </c>
      <c r="F466" s="3">
        <v>0</v>
      </c>
      <c r="G466" s="4">
        <v>56</v>
      </c>
      <c r="H466" s="4">
        <v>201</v>
      </c>
      <c r="I466" s="51" t="s">
        <v>130</v>
      </c>
      <c r="J466" s="4">
        <v>1</v>
      </c>
      <c r="K466" s="4" t="s">
        <v>106</v>
      </c>
      <c r="L466" s="19" t="str">
        <f>VLOOKUP(C466,'[7]Trips&amp;Operators'!$C$1:$E$10000,3,FALSE)</f>
        <v>STAMBAUGH</v>
      </c>
      <c r="M466" s="20" t="s">
        <v>112</v>
      </c>
      <c r="N466" s="19"/>
      <c r="O466" s="19" t="str">
        <f t="shared" si="14"/>
        <v>06</v>
      </c>
      <c r="P466" s="64">
        <f t="shared" si="15"/>
        <v>42557</v>
      </c>
    </row>
    <row r="467" spans="1:16" x14ac:dyDescent="0.25">
      <c r="A467" s="26">
        <v>42557.64916666667</v>
      </c>
      <c r="B467" s="4" t="s">
        <v>119</v>
      </c>
      <c r="C467" s="4" t="s">
        <v>1005</v>
      </c>
      <c r="D467" s="4" t="s">
        <v>103</v>
      </c>
      <c r="E467" s="51" t="s">
        <v>129</v>
      </c>
      <c r="F467" s="3">
        <v>0</v>
      </c>
      <c r="G467" s="4">
        <v>58</v>
      </c>
      <c r="H467" s="4">
        <v>178</v>
      </c>
      <c r="I467" s="51" t="s">
        <v>130</v>
      </c>
      <c r="J467" s="4">
        <v>1</v>
      </c>
      <c r="K467" s="4" t="s">
        <v>106</v>
      </c>
      <c r="L467" s="19" t="str">
        <f>VLOOKUP(C467,'[7]Trips&amp;Operators'!$C$1:$E$10000,3,FALSE)</f>
        <v>STEWART</v>
      </c>
      <c r="M467" s="20" t="s">
        <v>112</v>
      </c>
      <c r="N467" s="19"/>
      <c r="O467" s="19" t="str">
        <f t="shared" si="14"/>
        <v>06</v>
      </c>
      <c r="P467" s="64">
        <f t="shared" si="15"/>
        <v>42557</v>
      </c>
    </row>
    <row r="468" spans="1:16" x14ac:dyDescent="0.25">
      <c r="A468" s="26">
        <v>42557.658414351848</v>
      </c>
      <c r="B468" s="4" t="s">
        <v>134</v>
      </c>
      <c r="C468" s="4" t="s">
        <v>990</v>
      </c>
      <c r="D468" s="4" t="s">
        <v>103</v>
      </c>
      <c r="E468" s="51" t="s">
        <v>129</v>
      </c>
      <c r="F468" s="3">
        <v>0</v>
      </c>
      <c r="G468" s="4">
        <v>6</v>
      </c>
      <c r="H468" s="4">
        <v>112</v>
      </c>
      <c r="I468" s="51" t="s">
        <v>130</v>
      </c>
      <c r="J468" s="4">
        <v>1</v>
      </c>
      <c r="K468" s="4" t="s">
        <v>106</v>
      </c>
      <c r="L468" s="19" t="str">
        <f>VLOOKUP(C468,'[7]Trips&amp;Operators'!$C$1:$E$10000,3,FALSE)</f>
        <v>BRANNON</v>
      </c>
      <c r="M468" s="20" t="s">
        <v>112</v>
      </c>
      <c r="N468" s="19"/>
      <c r="O468" s="19" t="str">
        <f t="shared" si="14"/>
        <v>06</v>
      </c>
      <c r="P468" s="64">
        <f t="shared" si="15"/>
        <v>42557</v>
      </c>
    </row>
    <row r="469" spans="1:16" x14ac:dyDescent="0.25">
      <c r="A469" s="26">
        <v>42557.796331018515</v>
      </c>
      <c r="B469" s="4" t="s">
        <v>119</v>
      </c>
      <c r="C469" s="4" t="s">
        <v>1006</v>
      </c>
      <c r="D469" s="4" t="s">
        <v>103</v>
      </c>
      <c r="E469" s="51" t="s">
        <v>129</v>
      </c>
      <c r="F469" s="3">
        <v>0</v>
      </c>
      <c r="G469" s="4">
        <v>9</v>
      </c>
      <c r="H469" s="4">
        <v>444</v>
      </c>
      <c r="I469" s="51" t="s">
        <v>130</v>
      </c>
      <c r="J469" s="4">
        <v>1</v>
      </c>
      <c r="K469" s="4" t="s">
        <v>106</v>
      </c>
      <c r="L469" s="19" t="str">
        <f>VLOOKUP(C469,'[7]Trips&amp;Operators'!$C$1:$E$10000,3,FALSE)</f>
        <v>STEWART</v>
      </c>
      <c r="M469" s="20" t="s">
        <v>112</v>
      </c>
      <c r="N469" s="19"/>
      <c r="O469" s="19" t="str">
        <f t="shared" si="14"/>
        <v>06</v>
      </c>
      <c r="P469" s="64">
        <f t="shared" si="15"/>
        <v>42557</v>
      </c>
    </row>
    <row r="470" spans="1:16" x14ac:dyDescent="0.25">
      <c r="A470" s="26">
        <v>42557.823217592595</v>
      </c>
      <c r="B470" s="4" t="s">
        <v>139</v>
      </c>
      <c r="C470" s="4" t="s">
        <v>1007</v>
      </c>
      <c r="D470" s="4" t="s">
        <v>103</v>
      </c>
      <c r="E470" s="51" t="s">
        <v>129</v>
      </c>
      <c r="F470" s="3">
        <v>0</v>
      </c>
      <c r="G470" s="4">
        <v>6</v>
      </c>
      <c r="H470" s="4">
        <v>112</v>
      </c>
      <c r="I470" s="51" t="s">
        <v>130</v>
      </c>
      <c r="J470" s="4">
        <v>1</v>
      </c>
      <c r="K470" s="4" t="s">
        <v>106</v>
      </c>
      <c r="L470" s="19" t="str">
        <f>VLOOKUP(C470,'[7]Trips&amp;Operators'!$C$1:$E$10000,3,FALSE)</f>
        <v>YOUNG</v>
      </c>
      <c r="M470" s="20" t="s">
        <v>112</v>
      </c>
      <c r="N470" s="19"/>
      <c r="O470" s="19" t="str">
        <f t="shared" si="14"/>
        <v>06</v>
      </c>
      <c r="P470" s="64">
        <f t="shared" si="15"/>
        <v>42557</v>
      </c>
    </row>
    <row r="471" spans="1:16" x14ac:dyDescent="0.25">
      <c r="A471" s="26">
        <v>42557.876921296294</v>
      </c>
      <c r="B471" s="4" t="s">
        <v>145</v>
      </c>
      <c r="C471" s="4" t="s">
        <v>1008</v>
      </c>
      <c r="D471" s="4" t="s">
        <v>103</v>
      </c>
      <c r="E471" s="51" t="s">
        <v>129</v>
      </c>
      <c r="F471" s="3">
        <v>0</v>
      </c>
      <c r="G471" s="4">
        <v>6</v>
      </c>
      <c r="H471" s="4">
        <v>141</v>
      </c>
      <c r="I471" s="51" t="s">
        <v>130</v>
      </c>
      <c r="J471" s="4">
        <v>1</v>
      </c>
      <c r="K471" s="4" t="s">
        <v>106</v>
      </c>
      <c r="L471" s="19" t="str">
        <f>VLOOKUP(C471,'[7]Trips&amp;Operators'!$C$1:$E$10000,3,FALSE)</f>
        <v>HELVIE</v>
      </c>
      <c r="M471" s="20" t="s">
        <v>112</v>
      </c>
      <c r="N471" s="19"/>
      <c r="O471" s="19" t="str">
        <f t="shared" si="14"/>
        <v>06</v>
      </c>
      <c r="P471" s="64">
        <f t="shared" si="15"/>
        <v>42557</v>
      </c>
    </row>
    <row r="472" spans="1:16" x14ac:dyDescent="0.25">
      <c r="A472" s="26">
        <v>42558.064560185187</v>
      </c>
      <c r="B472" s="4" t="s">
        <v>143</v>
      </c>
      <c r="C472" s="4" t="s">
        <v>1009</v>
      </c>
      <c r="D472" s="4" t="s">
        <v>103</v>
      </c>
      <c r="E472" s="51" t="s">
        <v>129</v>
      </c>
      <c r="F472" s="3">
        <v>0</v>
      </c>
      <c r="G472" s="4">
        <v>5</v>
      </c>
      <c r="H472" s="4">
        <v>1034</v>
      </c>
      <c r="I472" s="51" t="s">
        <v>130</v>
      </c>
      <c r="J472" s="4">
        <v>1</v>
      </c>
      <c r="K472" s="4" t="s">
        <v>106</v>
      </c>
      <c r="L472" s="19" t="str">
        <f>VLOOKUP(C472,'[7]Trips&amp;Operators'!$C$1:$E$10000,3,FALSE)</f>
        <v>ADANE</v>
      </c>
      <c r="M472" s="20" t="s">
        <v>112</v>
      </c>
      <c r="N472" s="19"/>
      <c r="O472" s="19" t="str">
        <f t="shared" si="14"/>
        <v>06</v>
      </c>
      <c r="P472" s="64">
        <f t="shared" si="15"/>
        <v>42557</v>
      </c>
    </row>
    <row r="473" spans="1:16" x14ac:dyDescent="0.25">
      <c r="A473" s="26">
        <v>42558.065717592595</v>
      </c>
      <c r="B473" s="4" t="s">
        <v>143</v>
      </c>
      <c r="C473" s="4" t="s">
        <v>1009</v>
      </c>
      <c r="D473" s="4" t="s">
        <v>103</v>
      </c>
      <c r="E473" s="51" t="s">
        <v>129</v>
      </c>
      <c r="F473" s="3">
        <v>0</v>
      </c>
      <c r="G473" s="4">
        <v>55</v>
      </c>
      <c r="H473" s="4">
        <v>160</v>
      </c>
      <c r="I473" s="51" t="s">
        <v>130</v>
      </c>
      <c r="J473" s="4">
        <v>1</v>
      </c>
      <c r="K473" s="4" t="s">
        <v>106</v>
      </c>
      <c r="L473" s="19" t="str">
        <f>VLOOKUP(C473,'[7]Trips&amp;Operators'!$C$1:$E$10000,3,FALSE)</f>
        <v>ADANE</v>
      </c>
      <c r="M473" s="20" t="s">
        <v>112</v>
      </c>
      <c r="N473" s="19"/>
      <c r="O473" s="19" t="str">
        <f t="shared" si="14"/>
        <v>06</v>
      </c>
      <c r="P473" s="64">
        <f t="shared" si="15"/>
        <v>42557</v>
      </c>
    </row>
    <row r="474" spans="1:16" x14ac:dyDescent="0.25">
      <c r="A474" s="26">
        <v>42557.621041666665</v>
      </c>
      <c r="B474" s="4" t="s">
        <v>136</v>
      </c>
      <c r="C474" s="4" t="s">
        <v>1010</v>
      </c>
      <c r="D474" s="4" t="s">
        <v>103</v>
      </c>
      <c r="E474" s="51" t="s">
        <v>129</v>
      </c>
      <c r="F474" s="3">
        <v>0</v>
      </c>
      <c r="G474" s="4">
        <v>27</v>
      </c>
      <c r="H474" s="4">
        <v>631</v>
      </c>
      <c r="I474" s="51" t="s">
        <v>130</v>
      </c>
      <c r="J474" s="4">
        <v>575</v>
      </c>
      <c r="K474" s="4" t="s">
        <v>106</v>
      </c>
      <c r="L474" s="19" t="str">
        <f>VLOOKUP(C474,'[7]Trips&amp;Operators'!$C$1:$E$10000,3,FALSE)</f>
        <v>STORY</v>
      </c>
      <c r="M474" s="20" t="s">
        <v>112</v>
      </c>
      <c r="N474" s="19"/>
      <c r="O474" s="19" t="str">
        <f t="shared" si="14"/>
        <v>06</v>
      </c>
      <c r="P474" s="64">
        <f t="shared" si="15"/>
        <v>42557</v>
      </c>
    </row>
    <row r="475" spans="1:16" x14ac:dyDescent="0.25">
      <c r="A475" s="26">
        <v>42557.704965277779</v>
      </c>
      <c r="B475" s="4" t="s">
        <v>136</v>
      </c>
      <c r="C475" s="4" t="s">
        <v>1011</v>
      </c>
      <c r="D475" s="4" t="s">
        <v>103</v>
      </c>
      <c r="E475" s="51" t="s">
        <v>129</v>
      </c>
      <c r="F475" s="3">
        <v>0</v>
      </c>
      <c r="G475" s="4">
        <v>2</v>
      </c>
      <c r="H475" s="4">
        <v>593</v>
      </c>
      <c r="I475" s="51" t="s">
        <v>130</v>
      </c>
      <c r="J475" s="4">
        <v>575</v>
      </c>
      <c r="K475" s="4" t="s">
        <v>106</v>
      </c>
      <c r="L475" s="19" t="str">
        <f>VLOOKUP(C475,'[7]Trips&amp;Operators'!$C$1:$E$10000,3,FALSE)</f>
        <v>STORY</v>
      </c>
      <c r="M475" s="20" t="s">
        <v>112</v>
      </c>
      <c r="N475" s="19"/>
      <c r="O475" s="19" t="str">
        <f t="shared" si="14"/>
        <v>06</v>
      </c>
      <c r="P475" s="64">
        <f t="shared" si="15"/>
        <v>42557</v>
      </c>
    </row>
    <row r="476" spans="1:16" x14ac:dyDescent="0.25">
      <c r="A476" s="26">
        <v>42557.829594907409</v>
      </c>
      <c r="B476" s="4" t="s">
        <v>136</v>
      </c>
      <c r="C476" s="4" t="s">
        <v>1012</v>
      </c>
      <c r="D476" s="4" t="s">
        <v>103</v>
      </c>
      <c r="E476" s="51" t="s">
        <v>129</v>
      </c>
      <c r="F476" s="3">
        <v>0</v>
      </c>
      <c r="G476" s="4">
        <v>47</v>
      </c>
      <c r="H476" s="4">
        <v>703</v>
      </c>
      <c r="I476" s="51" t="s">
        <v>130</v>
      </c>
      <c r="J476" s="4">
        <v>575</v>
      </c>
      <c r="K476" s="4" t="s">
        <v>106</v>
      </c>
      <c r="L476" s="19" t="str">
        <f>VLOOKUP(C476,'[7]Trips&amp;Operators'!$C$1:$E$10000,3,FALSE)</f>
        <v>STORY</v>
      </c>
      <c r="M476" s="20" t="s">
        <v>112</v>
      </c>
      <c r="N476" s="19"/>
      <c r="O476" s="19" t="str">
        <f t="shared" si="14"/>
        <v>06</v>
      </c>
      <c r="P476" s="64">
        <f t="shared" si="15"/>
        <v>42557</v>
      </c>
    </row>
    <row r="477" spans="1:16" x14ac:dyDescent="0.25">
      <c r="A477" s="26">
        <v>42557.871342592596</v>
      </c>
      <c r="B477" s="4" t="s">
        <v>136</v>
      </c>
      <c r="C477" s="4" t="s">
        <v>1013</v>
      </c>
      <c r="D477" s="4" t="s">
        <v>103</v>
      </c>
      <c r="E477" s="51" t="s">
        <v>129</v>
      </c>
      <c r="F477" s="3">
        <v>0</v>
      </c>
      <c r="G477" s="4">
        <v>9</v>
      </c>
      <c r="H477" s="4">
        <v>587</v>
      </c>
      <c r="I477" s="51" t="s">
        <v>130</v>
      </c>
      <c r="J477" s="4">
        <v>575</v>
      </c>
      <c r="K477" s="4" t="s">
        <v>106</v>
      </c>
      <c r="L477" s="19" t="str">
        <f>VLOOKUP(C477,'[7]Trips&amp;Operators'!$C$1:$E$10000,3,FALSE)</f>
        <v>STORY</v>
      </c>
      <c r="M477" s="20" t="s">
        <v>112</v>
      </c>
      <c r="N477" s="19"/>
      <c r="O477" s="19" t="str">
        <f t="shared" si="14"/>
        <v>06</v>
      </c>
      <c r="P477" s="64">
        <f t="shared" si="15"/>
        <v>42557</v>
      </c>
    </row>
    <row r="478" spans="1:16" x14ac:dyDescent="0.25">
      <c r="A478" s="26">
        <v>42557.913101851853</v>
      </c>
      <c r="B478" s="4" t="s">
        <v>136</v>
      </c>
      <c r="C478" s="4" t="s">
        <v>1014</v>
      </c>
      <c r="D478" s="4" t="s">
        <v>103</v>
      </c>
      <c r="E478" s="51" t="s">
        <v>129</v>
      </c>
      <c r="F478" s="3">
        <v>0</v>
      </c>
      <c r="G478" s="4">
        <v>45</v>
      </c>
      <c r="H478" s="4">
        <v>719</v>
      </c>
      <c r="I478" s="51" t="s">
        <v>130</v>
      </c>
      <c r="J478" s="4">
        <v>575</v>
      </c>
      <c r="K478" s="4" t="s">
        <v>106</v>
      </c>
      <c r="L478" s="19" t="str">
        <f>VLOOKUP(C478,'[7]Trips&amp;Operators'!$C$1:$E$10000,3,FALSE)</f>
        <v>STORY</v>
      </c>
      <c r="M478" s="20" t="s">
        <v>112</v>
      </c>
      <c r="N478" s="19"/>
      <c r="O478" s="19" t="str">
        <f t="shared" si="14"/>
        <v>06</v>
      </c>
      <c r="P478" s="64">
        <f t="shared" si="15"/>
        <v>42557</v>
      </c>
    </row>
    <row r="479" spans="1:16" x14ac:dyDescent="0.25">
      <c r="A479" s="26">
        <v>42557.664131944446</v>
      </c>
      <c r="B479" s="4" t="s">
        <v>136</v>
      </c>
      <c r="C479" s="4" t="s">
        <v>1015</v>
      </c>
      <c r="D479" s="4" t="s">
        <v>103</v>
      </c>
      <c r="E479" s="51" t="s">
        <v>129</v>
      </c>
      <c r="F479" s="3">
        <v>0</v>
      </c>
      <c r="G479" s="4">
        <v>17</v>
      </c>
      <c r="H479" s="4">
        <v>846</v>
      </c>
      <c r="I479" s="51" t="s">
        <v>130</v>
      </c>
      <c r="J479" s="4">
        <v>826</v>
      </c>
      <c r="K479" s="4" t="s">
        <v>106</v>
      </c>
      <c r="L479" s="19" t="str">
        <f>VLOOKUP(C479,'[7]Trips&amp;Operators'!$C$1:$E$10000,3,FALSE)</f>
        <v>STORY</v>
      </c>
      <c r="M479" s="20" t="s">
        <v>112</v>
      </c>
      <c r="N479" s="19"/>
      <c r="O479" s="19" t="str">
        <f t="shared" si="14"/>
        <v>06</v>
      </c>
      <c r="P479" s="64">
        <f t="shared" si="15"/>
        <v>42557</v>
      </c>
    </row>
    <row r="480" spans="1:16" x14ac:dyDescent="0.25">
      <c r="A480" s="26">
        <v>42557.68540509259</v>
      </c>
      <c r="B480" s="4" t="s">
        <v>131</v>
      </c>
      <c r="C480" s="4" t="s">
        <v>982</v>
      </c>
      <c r="D480" s="4" t="s">
        <v>103</v>
      </c>
      <c r="E480" s="51" t="s">
        <v>129</v>
      </c>
      <c r="F480" s="3">
        <v>0</v>
      </c>
      <c r="G480" s="4">
        <v>51</v>
      </c>
      <c r="H480" s="4">
        <v>991</v>
      </c>
      <c r="I480" s="51" t="s">
        <v>130</v>
      </c>
      <c r="J480" s="4">
        <v>826</v>
      </c>
      <c r="K480" s="4" t="s">
        <v>106</v>
      </c>
      <c r="L480" s="19" t="str">
        <f>VLOOKUP(C480,'[7]Trips&amp;Operators'!$C$1:$E$10000,3,FALSE)</f>
        <v>STRICKLAND</v>
      </c>
      <c r="M480" s="20" t="s">
        <v>112</v>
      </c>
      <c r="N480" s="19"/>
      <c r="O480" s="19" t="str">
        <f t="shared" si="14"/>
        <v>06</v>
      </c>
      <c r="P480" s="64">
        <f t="shared" si="15"/>
        <v>42557</v>
      </c>
    </row>
    <row r="481" spans="1:16" x14ac:dyDescent="0.25">
      <c r="A481" s="26">
        <v>42557.963437500002</v>
      </c>
      <c r="B481" s="4" t="s">
        <v>145</v>
      </c>
      <c r="C481" s="4" t="s">
        <v>986</v>
      </c>
      <c r="D481" s="4" t="s">
        <v>103</v>
      </c>
      <c r="E481" s="51" t="s">
        <v>129</v>
      </c>
      <c r="F481" s="3">
        <v>0</v>
      </c>
      <c r="G481" s="4">
        <v>8</v>
      </c>
      <c r="H481" s="4">
        <v>1233</v>
      </c>
      <c r="I481" s="51" t="s">
        <v>130</v>
      </c>
      <c r="J481" s="4">
        <v>839</v>
      </c>
      <c r="K481" s="4" t="s">
        <v>106</v>
      </c>
      <c r="L481" s="19" t="str">
        <f>VLOOKUP(C481,'[7]Trips&amp;Operators'!$C$1:$E$10000,3,FALSE)</f>
        <v>DAVIS</v>
      </c>
      <c r="M481" s="20" t="s">
        <v>112</v>
      </c>
      <c r="N481" s="19"/>
      <c r="O481" s="19" t="str">
        <f t="shared" si="14"/>
        <v>06</v>
      </c>
      <c r="P481" s="64">
        <f t="shared" si="15"/>
        <v>42557</v>
      </c>
    </row>
    <row r="482" spans="1:16" x14ac:dyDescent="0.25">
      <c r="A482" s="26">
        <v>42557.315335648149</v>
      </c>
      <c r="B482" s="4" t="s">
        <v>138</v>
      </c>
      <c r="C482" s="4" t="s">
        <v>979</v>
      </c>
      <c r="D482" s="4" t="s">
        <v>103</v>
      </c>
      <c r="E482" s="51" t="s">
        <v>129</v>
      </c>
      <c r="F482" s="3">
        <v>0</v>
      </c>
      <c r="G482" s="4">
        <v>75</v>
      </c>
      <c r="H482" s="4">
        <v>58766</v>
      </c>
      <c r="I482" s="51" t="s">
        <v>130</v>
      </c>
      <c r="J482" s="4">
        <v>59048</v>
      </c>
      <c r="K482" s="4" t="s">
        <v>111</v>
      </c>
      <c r="L482" s="19" t="str">
        <f>VLOOKUP(C482,'[7]Trips&amp;Operators'!$C$1:$E$10000,3,FALSE)</f>
        <v>MAYBERRY</v>
      </c>
      <c r="M482" s="20" t="s">
        <v>112</v>
      </c>
      <c r="N482" s="19"/>
      <c r="O482" s="19" t="str">
        <f t="shared" si="14"/>
        <v>06</v>
      </c>
      <c r="P482" s="64">
        <f t="shared" si="15"/>
        <v>42557</v>
      </c>
    </row>
    <row r="483" spans="1:16" x14ac:dyDescent="0.25">
      <c r="A483" s="26">
        <v>42557.31591435185</v>
      </c>
      <c r="B483" s="4" t="s">
        <v>138</v>
      </c>
      <c r="C483" s="4" t="s">
        <v>979</v>
      </c>
      <c r="D483" s="4" t="s">
        <v>103</v>
      </c>
      <c r="E483" s="51" t="s">
        <v>129</v>
      </c>
      <c r="F483" s="3">
        <v>0</v>
      </c>
      <c r="G483" s="4">
        <v>7</v>
      </c>
      <c r="H483" s="4">
        <v>58858</v>
      </c>
      <c r="I483" s="51" t="s">
        <v>130</v>
      </c>
      <c r="J483" s="4">
        <v>59048</v>
      </c>
      <c r="K483" s="4" t="s">
        <v>111</v>
      </c>
      <c r="L483" s="19" t="str">
        <f>VLOOKUP(C483,'[7]Trips&amp;Operators'!$C$1:$E$10000,3,FALSE)</f>
        <v>MAYBERRY</v>
      </c>
      <c r="M483" s="20" t="s">
        <v>112</v>
      </c>
      <c r="N483" s="19"/>
      <c r="O483" s="19" t="str">
        <f t="shared" si="14"/>
        <v>06</v>
      </c>
      <c r="P483" s="64">
        <f t="shared" si="15"/>
        <v>42557</v>
      </c>
    </row>
    <row r="484" spans="1:16" x14ac:dyDescent="0.25">
      <c r="A484" s="26">
        <v>42557.357418981483</v>
      </c>
      <c r="B484" s="4" t="s">
        <v>138</v>
      </c>
      <c r="C484" s="4" t="s">
        <v>998</v>
      </c>
      <c r="D484" s="4" t="s">
        <v>103</v>
      </c>
      <c r="E484" s="51" t="s">
        <v>129</v>
      </c>
      <c r="F484" s="3">
        <v>0</v>
      </c>
      <c r="G484" s="4">
        <v>85</v>
      </c>
      <c r="H484" s="4">
        <v>58715</v>
      </c>
      <c r="I484" s="51" t="s">
        <v>130</v>
      </c>
      <c r="J484" s="4">
        <v>59048</v>
      </c>
      <c r="K484" s="4" t="s">
        <v>111</v>
      </c>
      <c r="L484" s="19" t="str">
        <f>VLOOKUP(C484,'[7]Trips&amp;Operators'!$C$1:$E$10000,3,FALSE)</f>
        <v>MAYBERRY</v>
      </c>
      <c r="M484" s="20" t="s">
        <v>112</v>
      </c>
      <c r="N484" s="19"/>
      <c r="O484" s="19" t="str">
        <f t="shared" si="14"/>
        <v>06</v>
      </c>
      <c r="P484" s="64">
        <f t="shared" si="15"/>
        <v>42557</v>
      </c>
    </row>
    <row r="485" spans="1:16" x14ac:dyDescent="0.25">
      <c r="A485" s="26">
        <v>42557.397581018522</v>
      </c>
      <c r="B485" s="4" t="s">
        <v>138</v>
      </c>
      <c r="C485" s="4" t="s">
        <v>1016</v>
      </c>
      <c r="D485" s="4" t="s">
        <v>103</v>
      </c>
      <c r="E485" s="51" t="s">
        <v>129</v>
      </c>
      <c r="F485" s="3">
        <v>0</v>
      </c>
      <c r="G485" s="4">
        <v>7</v>
      </c>
      <c r="H485" s="4">
        <v>56784</v>
      </c>
      <c r="I485" s="51" t="s">
        <v>130</v>
      </c>
      <c r="J485" s="4">
        <v>59048</v>
      </c>
      <c r="K485" s="4" t="s">
        <v>111</v>
      </c>
      <c r="L485" s="19" t="str">
        <f>VLOOKUP(C485,'[7]Trips&amp;Operators'!$C$1:$E$10000,3,FALSE)</f>
        <v>MAYBERRY</v>
      </c>
      <c r="M485" s="20" t="s">
        <v>112</v>
      </c>
      <c r="N485" s="19"/>
      <c r="O485" s="19" t="str">
        <f t="shared" si="14"/>
        <v>06</v>
      </c>
      <c r="P485" s="64">
        <f t="shared" si="15"/>
        <v>42557</v>
      </c>
    </row>
    <row r="486" spans="1:16" x14ac:dyDescent="0.25">
      <c r="A486" s="26">
        <v>42557.399282407408</v>
      </c>
      <c r="B486" s="4" t="s">
        <v>138</v>
      </c>
      <c r="C486" s="4" t="s">
        <v>1016</v>
      </c>
      <c r="D486" s="4" t="s">
        <v>103</v>
      </c>
      <c r="E486" s="51" t="s">
        <v>129</v>
      </c>
      <c r="F486" s="3">
        <v>0</v>
      </c>
      <c r="G486" s="4">
        <v>7</v>
      </c>
      <c r="H486" s="4">
        <v>58976</v>
      </c>
      <c r="I486" s="51" t="s">
        <v>130</v>
      </c>
      <c r="J486" s="4">
        <v>59048</v>
      </c>
      <c r="K486" s="4" t="s">
        <v>111</v>
      </c>
      <c r="L486" s="19" t="str">
        <f>VLOOKUP(C486,'[7]Trips&amp;Operators'!$C$1:$E$10000,3,FALSE)</f>
        <v>MAYBERRY</v>
      </c>
      <c r="M486" s="20" t="s">
        <v>112</v>
      </c>
      <c r="N486" s="19"/>
      <c r="O486" s="19" t="str">
        <f t="shared" si="14"/>
        <v>06</v>
      </c>
      <c r="P486" s="64">
        <f t="shared" si="15"/>
        <v>42557</v>
      </c>
    </row>
    <row r="487" spans="1:16" x14ac:dyDescent="0.25">
      <c r="A487" s="26">
        <v>42557.44023148148</v>
      </c>
      <c r="B487" s="4" t="s">
        <v>138</v>
      </c>
      <c r="C487" s="4" t="s">
        <v>972</v>
      </c>
      <c r="D487" s="4" t="s">
        <v>103</v>
      </c>
      <c r="E487" s="51" t="s">
        <v>129</v>
      </c>
      <c r="F487" s="3">
        <v>0</v>
      </c>
      <c r="G487" s="4">
        <v>62</v>
      </c>
      <c r="H487" s="4">
        <v>58850</v>
      </c>
      <c r="I487" s="51" t="s">
        <v>130</v>
      </c>
      <c r="J487" s="4">
        <v>59048</v>
      </c>
      <c r="K487" s="4" t="s">
        <v>111</v>
      </c>
      <c r="L487" s="19" t="str">
        <f>VLOOKUP(C487,'[7]Trips&amp;Operators'!$C$1:$E$10000,3,FALSE)</f>
        <v>MAYBERRY</v>
      </c>
      <c r="M487" s="20" t="s">
        <v>112</v>
      </c>
      <c r="N487" s="19"/>
      <c r="O487" s="19" t="str">
        <f t="shared" si="14"/>
        <v>06</v>
      </c>
      <c r="P487" s="64">
        <f t="shared" si="15"/>
        <v>42557</v>
      </c>
    </row>
    <row r="488" spans="1:16" x14ac:dyDescent="0.25">
      <c r="A488" s="26">
        <v>42557.523738425924</v>
      </c>
      <c r="B488" s="4" t="s">
        <v>138</v>
      </c>
      <c r="C488" s="4" t="s">
        <v>1017</v>
      </c>
      <c r="D488" s="4" t="s">
        <v>103</v>
      </c>
      <c r="E488" s="51" t="s">
        <v>129</v>
      </c>
      <c r="F488" s="3">
        <v>0</v>
      </c>
      <c r="G488" s="4">
        <v>6</v>
      </c>
      <c r="H488" s="4">
        <v>59042</v>
      </c>
      <c r="I488" s="51" t="s">
        <v>130</v>
      </c>
      <c r="J488" s="4">
        <v>59048</v>
      </c>
      <c r="K488" s="4" t="s">
        <v>111</v>
      </c>
      <c r="L488" s="19" t="str">
        <f>VLOOKUP(C488,'[7]Trips&amp;Operators'!$C$1:$E$10000,3,FALSE)</f>
        <v>MAYBERRY</v>
      </c>
      <c r="M488" s="20" t="s">
        <v>112</v>
      </c>
      <c r="N488" s="19"/>
      <c r="O488" s="19" t="str">
        <f t="shared" si="14"/>
        <v>06</v>
      </c>
      <c r="P488" s="64">
        <f t="shared" si="15"/>
        <v>42557</v>
      </c>
    </row>
    <row r="489" spans="1:16" x14ac:dyDescent="0.25">
      <c r="A489" s="26">
        <v>42557.565798611111</v>
      </c>
      <c r="B489" s="4" t="s">
        <v>138</v>
      </c>
      <c r="C489" s="4" t="s">
        <v>1018</v>
      </c>
      <c r="D489" s="4" t="s">
        <v>103</v>
      </c>
      <c r="E489" s="51" t="s">
        <v>129</v>
      </c>
      <c r="F489" s="3">
        <v>0</v>
      </c>
      <c r="G489" s="4">
        <v>92</v>
      </c>
      <c r="H489" s="4">
        <v>58649</v>
      </c>
      <c r="I489" s="51" t="s">
        <v>130</v>
      </c>
      <c r="J489" s="4">
        <v>59048</v>
      </c>
      <c r="K489" s="4" t="s">
        <v>111</v>
      </c>
      <c r="L489" s="19" t="str">
        <f>VLOOKUP(C489,'[7]Trips&amp;Operators'!$C$1:$E$10000,3,FALSE)</f>
        <v>MAYBERRY</v>
      </c>
      <c r="M489" s="20" t="s">
        <v>112</v>
      </c>
      <c r="N489" s="19"/>
      <c r="O489" s="19" t="str">
        <f t="shared" si="14"/>
        <v>06</v>
      </c>
      <c r="P489" s="64">
        <f t="shared" si="15"/>
        <v>42557</v>
      </c>
    </row>
    <row r="490" spans="1:16" x14ac:dyDescent="0.25">
      <c r="A490" s="26">
        <v>42557.607916666668</v>
      </c>
      <c r="B490" s="4" t="s">
        <v>138</v>
      </c>
      <c r="C490" s="4" t="s">
        <v>978</v>
      </c>
      <c r="D490" s="4" t="s">
        <v>103</v>
      </c>
      <c r="E490" s="51" t="s">
        <v>129</v>
      </c>
      <c r="F490" s="3">
        <v>0</v>
      </c>
      <c r="G490" s="4">
        <v>92</v>
      </c>
      <c r="H490" s="4">
        <v>58688</v>
      </c>
      <c r="I490" s="51" t="s">
        <v>130</v>
      </c>
      <c r="J490" s="4">
        <v>59048</v>
      </c>
      <c r="K490" s="4" t="s">
        <v>111</v>
      </c>
      <c r="L490" s="19" t="str">
        <f>VLOOKUP(C490,'[7]Trips&amp;Operators'!$C$1:$E$10000,3,FALSE)</f>
        <v>STORY</v>
      </c>
      <c r="M490" s="20" t="s">
        <v>112</v>
      </c>
      <c r="N490" s="19"/>
      <c r="O490" s="19" t="str">
        <f t="shared" si="14"/>
        <v>06</v>
      </c>
      <c r="P490" s="64">
        <f t="shared" si="15"/>
        <v>42557</v>
      </c>
    </row>
    <row r="491" spans="1:16" x14ac:dyDescent="0.25">
      <c r="A491" s="26">
        <v>42557.608541666668</v>
      </c>
      <c r="B491" s="4" t="s">
        <v>138</v>
      </c>
      <c r="C491" s="4" t="s">
        <v>978</v>
      </c>
      <c r="D491" s="4" t="s">
        <v>103</v>
      </c>
      <c r="E491" s="51" t="s">
        <v>129</v>
      </c>
      <c r="F491" s="3">
        <v>0</v>
      </c>
      <c r="G491" s="4">
        <v>9</v>
      </c>
      <c r="H491" s="4">
        <v>58943</v>
      </c>
      <c r="I491" s="51" t="s">
        <v>130</v>
      </c>
      <c r="J491" s="4">
        <v>59048</v>
      </c>
      <c r="K491" s="4" t="s">
        <v>111</v>
      </c>
      <c r="L491" s="19" t="str">
        <f>VLOOKUP(C491,'[7]Trips&amp;Operators'!$C$1:$E$10000,3,FALSE)</f>
        <v>STORY</v>
      </c>
      <c r="M491" s="20" t="s">
        <v>112</v>
      </c>
      <c r="N491" s="19"/>
      <c r="O491" s="19" t="str">
        <f t="shared" si="14"/>
        <v>06</v>
      </c>
      <c r="P491" s="64">
        <f t="shared" si="15"/>
        <v>42557</v>
      </c>
    </row>
    <row r="492" spans="1:16" x14ac:dyDescent="0.25">
      <c r="A492" s="26">
        <v>42557.648321759261</v>
      </c>
      <c r="B492" s="4" t="s">
        <v>138</v>
      </c>
      <c r="C492" s="4" t="s">
        <v>980</v>
      </c>
      <c r="D492" s="4" t="s">
        <v>103</v>
      </c>
      <c r="E492" s="51" t="s">
        <v>129</v>
      </c>
      <c r="F492" s="3">
        <v>0</v>
      </c>
      <c r="G492" s="4">
        <v>143</v>
      </c>
      <c r="H492" s="4">
        <v>58267</v>
      </c>
      <c r="I492" s="51" t="s">
        <v>130</v>
      </c>
      <c r="J492" s="4">
        <v>59048</v>
      </c>
      <c r="K492" s="4" t="s">
        <v>111</v>
      </c>
      <c r="L492" s="19" t="str">
        <f>VLOOKUP(C492,'[7]Trips&amp;Operators'!$C$1:$E$10000,3,FALSE)</f>
        <v>STORY</v>
      </c>
      <c r="M492" s="20" t="s">
        <v>112</v>
      </c>
      <c r="N492" s="19"/>
      <c r="O492" s="19" t="str">
        <f t="shared" si="14"/>
        <v>06</v>
      </c>
      <c r="P492" s="64">
        <f t="shared" si="15"/>
        <v>42557</v>
      </c>
    </row>
    <row r="493" spans="1:16" x14ac:dyDescent="0.25">
      <c r="A493" s="26">
        <v>42557.649525462963</v>
      </c>
      <c r="B493" s="4" t="s">
        <v>138</v>
      </c>
      <c r="C493" s="4" t="s">
        <v>980</v>
      </c>
      <c r="D493" s="4" t="s">
        <v>103</v>
      </c>
      <c r="E493" s="51" t="s">
        <v>129</v>
      </c>
      <c r="F493" s="3">
        <v>0</v>
      </c>
      <c r="G493" s="4">
        <v>7</v>
      </c>
      <c r="H493" s="4">
        <v>58954</v>
      </c>
      <c r="I493" s="51" t="s">
        <v>130</v>
      </c>
      <c r="J493" s="4">
        <v>59048</v>
      </c>
      <c r="K493" s="4" t="s">
        <v>111</v>
      </c>
      <c r="L493" s="19" t="str">
        <f>VLOOKUP(C493,'[7]Trips&amp;Operators'!$C$1:$E$10000,3,FALSE)</f>
        <v>STORY</v>
      </c>
      <c r="M493" s="20" t="s">
        <v>112</v>
      </c>
      <c r="N493" s="19"/>
      <c r="O493" s="19" t="str">
        <f t="shared" si="14"/>
        <v>06</v>
      </c>
      <c r="P493" s="64">
        <f t="shared" si="15"/>
        <v>42557</v>
      </c>
    </row>
    <row r="494" spans="1:16" x14ac:dyDescent="0.25">
      <c r="A494" s="26">
        <v>42557.672986111109</v>
      </c>
      <c r="B494" s="4" t="s">
        <v>120</v>
      </c>
      <c r="C494" s="4" t="s">
        <v>1019</v>
      </c>
      <c r="D494" s="4" t="s">
        <v>103</v>
      </c>
      <c r="E494" s="51" t="s">
        <v>129</v>
      </c>
      <c r="F494" s="3">
        <v>0</v>
      </c>
      <c r="G494" s="4">
        <v>9</v>
      </c>
      <c r="H494" s="4">
        <v>58950</v>
      </c>
      <c r="I494" s="51" t="s">
        <v>130</v>
      </c>
      <c r="J494" s="4">
        <v>59048</v>
      </c>
      <c r="K494" s="4" t="s">
        <v>111</v>
      </c>
      <c r="L494" s="19" t="str">
        <f>VLOOKUP(C494,'[7]Trips&amp;Operators'!$C$1:$E$10000,3,FALSE)</f>
        <v>STRICKLAND</v>
      </c>
      <c r="M494" s="20" t="s">
        <v>112</v>
      </c>
      <c r="N494" s="19"/>
      <c r="O494" s="19" t="str">
        <f t="shared" si="14"/>
        <v>06</v>
      </c>
      <c r="P494" s="64">
        <f t="shared" si="15"/>
        <v>42557</v>
      </c>
    </row>
    <row r="495" spans="1:16" x14ac:dyDescent="0.25">
      <c r="A495" s="26">
        <v>42557.690833333334</v>
      </c>
      <c r="B495" s="4" t="s">
        <v>138</v>
      </c>
      <c r="C495" s="4" t="s">
        <v>981</v>
      </c>
      <c r="D495" s="4" t="s">
        <v>103</v>
      </c>
      <c r="E495" s="51" t="s">
        <v>129</v>
      </c>
      <c r="F495" s="3">
        <v>0</v>
      </c>
      <c r="G495" s="4">
        <v>7</v>
      </c>
      <c r="H495" s="4">
        <v>58937</v>
      </c>
      <c r="I495" s="51" t="s">
        <v>130</v>
      </c>
      <c r="J495" s="4">
        <v>59048</v>
      </c>
      <c r="K495" s="4" t="s">
        <v>111</v>
      </c>
      <c r="L495" s="19" t="str">
        <f>VLOOKUP(C495,'[7]Trips&amp;Operators'!$C$1:$E$10000,3,FALSE)</f>
        <v>STORY</v>
      </c>
      <c r="M495" s="20" t="s">
        <v>112</v>
      </c>
      <c r="N495" s="19"/>
      <c r="O495" s="19" t="str">
        <f t="shared" si="14"/>
        <v>06</v>
      </c>
      <c r="P495" s="64">
        <f t="shared" si="15"/>
        <v>42557</v>
      </c>
    </row>
    <row r="496" spans="1:16" x14ac:dyDescent="0.25">
      <c r="A496" s="26">
        <v>42557.773263888892</v>
      </c>
      <c r="B496" s="4" t="s">
        <v>138</v>
      </c>
      <c r="C496" s="4" t="s">
        <v>1020</v>
      </c>
      <c r="D496" s="4" t="s">
        <v>103</v>
      </c>
      <c r="E496" s="51" t="s">
        <v>129</v>
      </c>
      <c r="F496" s="3">
        <v>0</v>
      </c>
      <c r="G496" s="4">
        <v>5</v>
      </c>
      <c r="H496" s="4">
        <v>58937</v>
      </c>
      <c r="I496" s="51" t="s">
        <v>130</v>
      </c>
      <c r="J496" s="4">
        <v>59048</v>
      </c>
      <c r="K496" s="4" t="s">
        <v>111</v>
      </c>
      <c r="L496" s="19" t="str">
        <f>VLOOKUP(C496,'[7]Trips&amp;Operators'!$C$1:$E$10000,3,FALSE)</f>
        <v>STORY</v>
      </c>
      <c r="M496" s="20" t="s">
        <v>112</v>
      </c>
      <c r="N496" s="19"/>
      <c r="O496" s="19" t="str">
        <f t="shared" si="14"/>
        <v>06</v>
      </c>
      <c r="P496" s="64">
        <f t="shared" si="15"/>
        <v>42557</v>
      </c>
    </row>
    <row r="497" spans="1:16" x14ac:dyDescent="0.25">
      <c r="A497" s="26">
        <v>42557.793564814812</v>
      </c>
      <c r="B497" s="4" t="s">
        <v>120</v>
      </c>
      <c r="C497" s="4" t="s">
        <v>1021</v>
      </c>
      <c r="D497" s="4" t="s">
        <v>103</v>
      </c>
      <c r="E497" s="51" t="s">
        <v>129</v>
      </c>
      <c r="F497" s="3">
        <v>0</v>
      </c>
      <c r="G497" s="4">
        <v>7</v>
      </c>
      <c r="H497" s="4">
        <v>57280</v>
      </c>
      <c r="I497" s="51" t="s">
        <v>130</v>
      </c>
      <c r="J497" s="4">
        <v>59048</v>
      </c>
      <c r="K497" s="4" t="s">
        <v>111</v>
      </c>
      <c r="L497" s="19" t="str">
        <f>VLOOKUP(C497,'[7]Trips&amp;Operators'!$C$1:$E$10000,3,FALSE)</f>
        <v>STRICKLAND</v>
      </c>
      <c r="M497" s="20" t="s">
        <v>112</v>
      </c>
      <c r="N497" s="19"/>
      <c r="O497" s="19" t="str">
        <f t="shared" si="14"/>
        <v>06</v>
      </c>
      <c r="P497" s="64">
        <f t="shared" si="15"/>
        <v>42557</v>
      </c>
    </row>
    <row r="498" spans="1:16" x14ac:dyDescent="0.25">
      <c r="A498" s="26">
        <v>42557.795532407406</v>
      </c>
      <c r="B498" s="4" t="s">
        <v>120</v>
      </c>
      <c r="C498" s="4" t="s">
        <v>1021</v>
      </c>
      <c r="D498" s="4" t="s">
        <v>103</v>
      </c>
      <c r="E498" s="51" t="s">
        <v>129</v>
      </c>
      <c r="F498" s="3">
        <v>0</v>
      </c>
      <c r="G498" s="4">
        <v>3</v>
      </c>
      <c r="H498" s="4">
        <v>59029</v>
      </c>
      <c r="I498" s="51" t="s">
        <v>130</v>
      </c>
      <c r="J498" s="4">
        <v>59048</v>
      </c>
      <c r="K498" s="4" t="s">
        <v>111</v>
      </c>
      <c r="L498" s="19" t="str">
        <f>VLOOKUP(C498,'[7]Trips&amp;Operators'!$C$1:$E$10000,3,FALSE)</f>
        <v>STRICKLAND</v>
      </c>
      <c r="M498" s="20" t="s">
        <v>112</v>
      </c>
      <c r="N498" s="19"/>
      <c r="O498" s="19" t="str">
        <f t="shared" si="14"/>
        <v>06</v>
      </c>
      <c r="P498" s="64">
        <f t="shared" si="15"/>
        <v>42557</v>
      </c>
    </row>
    <row r="499" spans="1:16" x14ac:dyDescent="0.25">
      <c r="A499" s="26">
        <v>42557.858587962961</v>
      </c>
      <c r="B499" s="4" t="s">
        <v>138</v>
      </c>
      <c r="C499" s="4" t="s">
        <v>977</v>
      </c>
      <c r="D499" s="4" t="s">
        <v>103</v>
      </c>
      <c r="E499" s="51" t="s">
        <v>129</v>
      </c>
      <c r="F499" s="3">
        <v>0</v>
      </c>
      <c r="G499" s="4">
        <v>105</v>
      </c>
      <c r="H499" s="4">
        <v>58658</v>
      </c>
      <c r="I499" s="51" t="s">
        <v>130</v>
      </c>
      <c r="J499" s="4">
        <v>59048</v>
      </c>
      <c r="K499" s="4" t="s">
        <v>111</v>
      </c>
      <c r="L499" s="19" t="str">
        <f>VLOOKUP(C499,'[7]Trips&amp;Operators'!$C$1:$E$10000,3,FALSE)</f>
        <v>STORY</v>
      </c>
      <c r="M499" s="20" t="s">
        <v>112</v>
      </c>
      <c r="N499" s="19"/>
      <c r="O499" s="19" t="str">
        <f t="shared" si="14"/>
        <v>06</v>
      </c>
      <c r="P499" s="64">
        <f t="shared" si="15"/>
        <v>42557</v>
      </c>
    </row>
    <row r="500" spans="1:16" x14ac:dyDescent="0.25">
      <c r="A500" s="26">
        <v>42557.859155092592</v>
      </c>
      <c r="B500" s="4" t="s">
        <v>138</v>
      </c>
      <c r="C500" s="4" t="s">
        <v>977</v>
      </c>
      <c r="D500" s="4" t="s">
        <v>103</v>
      </c>
      <c r="E500" s="51" t="s">
        <v>129</v>
      </c>
      <c r="F500" s="3">
        <v>0</v>
      </c>
      <c r="G500" s="4">
        <v>7</v>
      </c>
      <c r="H500" s="4">
        <v>58941</v>
      </c>
      <c r="I500" s="51" t="s">
        <v>130</v>
      </c>
      <c r="J500" s="4">
        <v>59048</v>
      </c>
      <c r="K500" s="4" t="s">
        <v>111</v>
      </c>
      <c r="L500" s="19" t="str">
        <f>VLOOKUP(C500,'[7]Trips&amp;Operators'!$C$1:$E$10000,3,FALSE)</f>
        <v>STORY</v>
      </c>
      <c r="M500" s="20" t="s">
        <v>112</v>
      </c>
      <c r="N500" s="19"/>
      <c r="O500" s="19" t="str">
        <f t="shared" si="14"/>
        <v>06</v>
      </c>
      <c r="P500" s="64">
        <f t="shared" si="15"/>
        <v>42557</v>
      </c>
    </row>
    <row r="501" spans="1:16" x14ac:dyDescent="0.25">
      <c r="A501" s="26">
        <v>42557.295567129629</v>
      </c>
      <c r="B501" s="4" t="s">
        <v>146</v>
      </c>
      <c r="C501" s="4" t="s">
        <v>1022</v>
      </c>
      <c r="D501" s="4" t="s">
        <v>103</v>
      </c>
      <c r="E501" s="51" t="s">
        <v>129</v>
      </c>
      <c r="F501" s="3">
        <v>0</v>
      </c>
      <c r="G501" s="4">
        <v>7</v>
      </c>
      <c r="H501" s="4">
        <v>233357</v>
      </c>
      <c r="I501" s="51" t="s">
        <v>130</v>
      </c>
      <c r="J501" s="4">
        <v>233491</v>
      </c>
      <c r="K501" s="4" t="s">
        <v>111</v>
      </c>
      <c r="L501" s="19" t="str">
        <f>VLOOKUP(C501,'[7]Trips&amp;Operators'!$C$1:$E$10000,3,FALSE)</f>
        <v>NEWELL</v>
      </c>
      <c r="M501" s="20" t="s">
        <v>112</v>
      </c>
      <c r="N501" s="19"/>
      <c r="O501" s="19" t="str">
        <f t="shared" si="14"/>
        <v>06</v>
      </c>
      <c r="P501" s="64">
        <f t="shared" si="15"/>
        <v>42557</v>
      </c>
    </row>
    <row r="502" spans="1:16" x14ac:dyDescent="0.25">
      <c r="A502" s="26">
        <v>42557.30568287037</v>
      </c>
      <c r="B502" s="4" t="s">
        <v>142</v>
      </c>
      <c r="C502" s="4" t="s">
        <v>1023</v>
      </c>
      <c r="D502" s="4" t="s">
        <v>103</v>
      </c>
      <c r="E502" s="51" t="s">
        <v>129</v>
      </c>
      <c r="F502" s="3">
        <v>0</v>
      </c>
      <c r="G502" s="4">
        <v>7</v>
      </c>
      <c r="H502" s="4">
        <v>233328</v>
      </c>
      <c r="I502" s="51" t="s">
        <v>130</v>
      </c>
      <c r="J502" s="4">
        <v>233491</v>
      </c>
      <c r="K502" s="4" t="s">
        <v>111</v>
      </c>
      <c r="L502" s="19" t="str">
        <f>VLOOKUP(C502,'[7]Trips&amp;Operators'!$C$1:$E$10000,3,FALSE)</f>
        <v>BEAM</v>
      </c>
      <c r="M502" s="20" t="s">
        <v>112</v>
      </c>
      <c r="N502" s="19"/>
      <c r="O502" s="19" t="str">
        <f t="shared" si="14"/>
        <v>06</v>
      </c>
      <c r="P502" s="64">
        <f t="shared" si="15"/>
        <v>42557</v>
      </c>
    </row>
    <row r="503" spans="1:16" x14ac:dyDescent="0.25">
      <c r="A503" s="26">
        <v>42557.326770833337</v>
      </c>
      <c r="B503" s="4" t="s">
        <v>108</v>
      </c>
      <c r="C503" s="4" t="s">
        <v>1024</v>
      </c>
      <c r="D503" s="4" t="s">
        <v>103</v>
      </c>
      <c r="E503" s="51" t="s">
        <v>129</v>
      </c>
      <c r="F503" s="3">
        <v>0</v>
      </c>
      <c r="G503" s="4">
        <v>7</v>
      </c>
      <c r="H503" s="4">
        <v>233330</v>
      </c>
      <c r="I503" s="51" t="s">
        <v>130</v>
      </c>
      <c r="J503" s="4">
        <v>233491</v>
      </c>
      <c r="K503" s="4" t="s">
        <v>111</v>
      </c>
      <c r="L503" s="19" t="str">
        <f>VLOOKUP(C503,'[7]Trips&amp;Operators'!$C$1:$E$10000,3,FALSE)</f>
        <v>ROCHA</v>
      </c>
      <c r="M503" s="20" t="s">
        <v>112</v>
      </c>
      <c r="N503" s="19"/>
      <c r="O503" s="19" t="str">
        <f t="shared" si="14"/>
        <v>06</v>
      </c>
      <c r="P503" s="64">
        <f t="shared" si="15"/>
        <v>42557</v>
      </c>
    </row>
    <row r="504" spans="1:16" x14ac:dyDescent="0.25">
      <c r="A504" s="26">
        <v>42557.36818287037</v>
      </c>
      <c r="B504" s="4" t="s">
        <v>146</v>
      </c>
      <c r="C504" s="4" t="s">
        <v>1025</v>
      </c>
      <c r="D504" s="4" t="s">
        <v>103</v>
      </c>
      <c r="E504" s="51" t="s">
        <v>129</v>
      </c>
      <c r="F504" s="3">
        <v>0</v>
      </c>
      <c r="G504" s="4">
        <v>8</v>
      </c>
      <c r="H504" s="4">
        <v>233334</v>
      </c>
      <c r="I504" s="51" t="s">
        <v>130</v>
      </c>
      <c r="J504" s="4">
        <v>233491</v>
      </c>
      <c r="K504" s="4" t="s">
        <v>111</v>
      </c>
      <c r="L504" s="19" t="str">
        <f>VLOOKUP(C504,'[7]Trips&amp;Operators'!$C$1:$E$10000,3,FALSE)</f>
        <v>NEWELL</v>
      </c>
      <c r="M504" s="20" t="s">
        <v>112</v>
      </c>
      <c r="N504" s="19"/>
      <c r="O504" s="19" t="str">
        <f t="shared" si="14"/>
        <v>06</v>
      </c>
      <c r="P504" s="64">
        <f t="shared" si="15"/>
        <v>42557</v>
      </c>
    </row>
    <row r="505" spans="1:16" x14ac:dyDescent="0.25">
      <c r="A505" s="26">
        <v>42557.378912037035</v>
      </c>
      <c r="B505" s="4" t="s">
        <v>142</v>
      </c>
      <c r="C505" s="4" t="s">
        <v>1026</v>
      </c>
      <c r="D505" s="4" t="s">
        <v>103</v>
      </c>
      <c r="E505" s="51" t="s">
        <v>129</v>
      </c>
      <c r="F505" s="3">
        <v>0</v>
      </c>
      <c r="G505" s="4">
        <v>5</v>
      </c>
      <c r="H505" s="4">
        <v>233204</v>
      </c>
      <c r="I505" s="51" t="s">
        <v>130</v>
      </c>
      <c r="J505" s="4">
        <v>233491</v>
      </c>
      <c r="K505" s="4" t="s">
        <v>111</v>
      </c>
      <c r="L505" s="19" t="str">
        <f>VLOOKUP(C505,'[7]Trips&amp;Operators'!$C$1:$E$10000,3,FALSE)</f>
        <v>BEAM</v>
      </c>
      <c r="M505" s="20" t="s">
        <v>112</v>
      </c>
      <c r="N505" s="19"/>
      <c r="O505" s="19" t="str">
        <f t="shared" si="14"/>
        <v>06</v>
      </c>
      <c r="P505" s="64">
        <f t="shared" si="15"/>
        <v>42557</v>
      </c>
    </row>
    <row r="506" spans="1:16" x14ac:dyDescent="0.25">
      <c r="A506" s="26">
        <v>42557.441342592596</v>
      </c>
      <c r="B506" s="4" t="s">
        <v>146</v>
      </c>
      <c r="C506" s="4" t="s">
        <v>991</v>
      </c>
      <c r="D506" s="4" t="s">
        <v>103</v>
      </c>
      <c r="E506" s="51" t="s">
        <v>129</v>
      </c>
      <c r="F506" s="3">
        <v>0</v>
      </c>
      <c r="G506" s="4">
        <v>9</v>
      </c>
      <c r="H506" s="4">
        <v>233340</v>
      </c>
      <c r="I506" s="51" t="s">
        <v>130</v>
      </c>
      <c r="J506" s="4">
        <v>233491</v>
      </c>
      <c r="K506" s="4" t="s">
        <v>111</v>
      </c>
      <c r="L506" s="19" t="str">
        <f>VLOOKUP(C506,'[7]Trips&amp;Operators'!$C$1:$E$10000,3,FALSE)</f>
        <v>NEWELL</v>
      </c>
      <c r="M506" s="20" t="s">
        <v>112</v>
      </c>
      <c r="N506" s="19"/>
      <c r="O506" s="19" t="str">
        <f t="shared" si="14"/>
        <v>06</v>
      </c>
      <c r="P506" s="64">
        <f t="shared" si="15"/>
        <v>42557</v>
      </c>
    </row>
    <row r="507" spans="1:16" x14ac:dyDescent="0.25">
      <c r="A507" s="26">
        <v>42557.557928240742</v>
      </c>
      <c r="B507" s="4" t="s">
        <v>137</v>
      </c>
      <c r="C507" s="4" t="s">
        <v>1027</v>
      </c>
      <c r="D507" s="4" t="s">
        <v>103</v>
      </c>
      <c r="E507" s="51" t="s">
        <v>129</v>
      </c>
      <c r="F507" s="3">
        <v>0</v>
      </c>
      <c r="G507" s="4">
        <v>53</v>
      </c>
      <c r="H507" s="4">
        <v>233305</v>
      </c>
      <c r="I507" s="51" t="s">
        <v>130</v>
      </c>
      <c r="J507" s="4">
        <v>233491</v>
      </c>
      <c r="K507" s="4" t="s">
        <v>111</v>
      </c>
      <c r="L507" s="19" t="str">
        <f>VLOOKUP(C507,'[7]Trips&amp;Operators'!$C$1:$E$10000,3,FALSE)</f>
        <v>YOUNG</v>
      </c>
      <c r="M507" s="20" t="s">
        <v>112</v>
      </c>
      <c r="N507" s="19"/>
      <c r="O507" s="19" t="str">
        <f t="shared" si="14"/>
        <v>06</v>
      </c>
      <c r="P507" s="64">
        <f t="shared" si="15"/>
        <v>42557</v>
      </c>
    </row>
    <row r="508" spans="1:16" x14ac:dyDescent="0.25">
      <c r="A508" s="26">
        <v>42557.566388888888</v>
      </c>
      <c r="B508" s="4" t="s">
        <v>135</v>
      </c>
      <c r="C508" s="4" t="s">
        <v>1028</v>
      </c>
      <c r="D508" s="4" t="s">
        <v>103</v>
      </c>
      <c r="E508" s="51" t="s">
        <v>129</v>
      </c>
      <c r="F508" s="3">
        <v>0</v>
      </c>
      <c r="G508" s="4">
        <v>6</v>
      </c>
      <c r="H508" s="4">
        <v>233297</v>
      </c>
      <c r="I508" s="51" t="s">
        <v>130</v>
      </c>
      <c r="J508" s="4">
        <v>233491</v>
      </c>
      <c r="K508" s="4" t="s">
        <v>111</v>
      </c>
      <c r="L508" s="19" t="str">
        <f>VLOOKUP(C508,'[7]Trips&amp;Operators'!$C$1:$E$10000,3,FALSE)</f>
        <v>STAMBAUGH</v>
      </c>
      <c r="M508" s="20" t="s">
        <v>112</v>
      </c>
      <c r="N508" s="19"/>
      <c r="O508" s="19" t="str">
        <f t="shared" si="14"/>
        <v>06</v>
      </c>
      <c r="P508" s="64">
        <f t="shared" si="15"/>
        <v>42557</v>
      </c>
    </row>
    <row r="509" spans="1:16" x14ac:dyDescent="0.25">
      <c r="A509" s="26">
        <v>42557.618356481478</v>
      </c>
      <c r="B509" s="4" t="s">
        <v>108</v>
      </c>
      <c r="C509" s="4" t="s">
        <v>1029</v>
      </c>
      <c r="D509" s="4" t="s">
        <v>103</v>
      </c>
      <c r="E509" s="51" t="s">
        <v>129</v>
      </c>
      <c r="F509" s="3">
        <v>0</v>
      </c>
      <c r="G509" s="4">
        <v>5</v>
      </c>
      <c r="H509" s="4">
        <v>233320</v>
      </c>
      <c r="I509" s="51" t="s">
        <v>130</v>
      </c>
      <c r="J509" s="4">
        <v>233491</v>
      </c>
      <c r="K509" s="4" t="s">
        <v>111</v>
      </c>
      <c r="L509" s="19" t="str">
        <f>VLOOKUP(C509,'[7]Trips&amp;Operators'!$C$1:$E$10000,3,FALSE)</f>
        <v>BRANNON</v>
      </c>
      <c r="M509" s="20" t="s">
        <v>112</v>
      </c>
      <c r="N509" s="19"/>
      <c r="O509" s="19" t="str">
        <f t="shared" si="14"/>
        <v>06</v>
      </c>
      <c r="P509" s="64">
        <f t="shared" si="15"/>
        <v>42557</v>
      </c>
    </row>
    <row r="510" spans="1:16" x14ac:dyDescent="0.25">
      <c r="A510" s="26">
        <v>42557.638854166667</v>
      </c>
      <c r="B510" s="4" t="s">
        <v>135</v>
      </c>
      <c r="C510" s="4" t="s">
        <v>285</v>
      </c>
      <c r="D510" s="4" t="s">
        <v>103</v>
      </c>
      <c r="E510" s="51" t="s">
        <v>129</v>
      </c>
      <c r="F510" s="3">
        <v>0</v>
      </c>
      <c r="G510" s="4">
        <v>4</v>
      </c>
      <c r="H510" s="4">
        <v>233341</v>
      </c>
      <c r="I510" s="51" t="s">
        <v>130</v>
      </c>
      <c r="J510" s="4">
        <v>233491</v>
      </c>
      <c r="K510" s="4" t="s">
        <v>111</v>
      </c>
      <c r="L510" s="19" t="str">
        <f>VLOOKUP(C510,'[7]Trips&amp;Operators'!$C$1:$E$10000,3,FALSE)</f>
        <v>STAMBAUGH</v>
      </c>
      <c r="M510" s="20" t="s">
        <v>112</v>
      </c>
      <c r="N510" s="19"/>
      <c r="O510" s="19" t="str">
        <f t="shared" si="14"/>
        <v>06</v>
      </c>
      <c r="P510" s="64">
        <f t="shared" si="15"/>
        <v>42557</v>
      </c>
    </row>
    <row r="511" spans="1:16" x14ac:dyDescent="0.25">
      <c r="A511" s="26">
        <v>42557.670034722221</v>
      </c>
      <c r="B511" s="4" t="s">
        <v>148</v>
      </c>
      <c r="C511" s="4" t="s">
        <v>1030</v>
      </c>
      <c r="D511" s="4" t="s">
        <v>103</v>
      </c>
      <c r="E511" s="51" t="s">
        <v>129</v>
      </c>
      <c r="F511" s="3">
        <v>0</v>
      </c>
      <c r="G511" s="4">
        <v>98</v>
      </c>
      <c r="H511" s="4">
        <v>233127</v>
      </c>
      <c r="I511" s="51" t="s">
        <v>130</v>
      </c>
      <c r="J511" s="4">
        <v>233491</v>
      </c>
      <c r="K511" s="4" t="s">
        <v>111</v>
      </c>
      <c r="L511" s="19" t="str">
        <f>VLOOKUP(C511,'[7]Trips&amp;Operators'!$C$1:$E$10000,3,FALSE)</f>
        <v>SPECTOR</v>
      </c>
      <c r="M511" s="20" t="s">
        <v>112</v>
      </c>
      <c r="N511" s="19"/>
      <c r="O511" s="19" t="str">
        <f t="shared" si="14"/>
        <v>06</v>
      </c>
      <c r="P511" s="64">
        <f t="shared" si="15"/>
        <v>42557</v>
      </c>
    </row>
    <row r="512" spans="1:16" x14ac:dyDescent="0.25">
      <c r="A512" s="26">
        <v>42557.755682870367</v>
      </c>
      <c r="B512" s="4" t="s">
        <v>133</v>
      </c>
      <c r="C512" s="4" t="s">
        <v>1031</v>
      </c>
      <c r="D512" s="4" t="s">
        <v>103</v>
      </c>
      <c r="E512" s="51" t="s">
        <v>129</v>
      </c>
      <c r="F512" s="3">
        <v>0</v>
      </c>
      <c r="G512" s="4">
        <v>109</v>
      </c>
      <c r="H512" s="4">
        <v>233072</v>
      </c>
      <c r="I512" s="51" t="s">
        <v>130</v>
      </c>
      <c r="J512" s="4">
        <v>233491</v>
      </c>
      <c r="K512" s="4" t="s">
        <v>111</v>
      </c>
      <c r="L512" s="19" t="str">
        <f>VLOOKUP(C512,'[7]Trips&amp;Operators'!$C$1:$E$10000,3,FALSE)</f>
        <v>STEWART</v>
      </c>
      <c r="M512" s="20" t="s">
        <v>112</v>
      </c>
      <c r="N512" s="19"/>
      <c r="O512" s="19" t="str">
        <f t="shared" si="14"/>
        <v>06</v>
      </c>
      <c r="P512" s="64">
        <f t="shared" si="15"/>
        <v>42557</v>
      </c>
    </row>
    <row r="513" spans="1:16" x14ac:dyDescent="0.25">
      <c r="A513" s="26">
        <v>42557.878449074073</v>
      </c>
      <c r="B513" s="4" t="s">
        <v>163</v>
      </c>
      <c r="C513" s="4" t="s">
        <v>1032</v>
      </c>
      <c r="D513" s="4" t="s">
        <v>103</v>
      </c>
      <c r="E513" s="51" t="s">
        <v>129</v>
      </c>
      <c r="F513" s="3">
        <v>0</v>
      </c>
      <c r="G513" s="4">
        <v>6</v>
      </c>
      <c r="H513" s="4">
        <v>233336</v>
      </c>
      <c r="I513" s="51" t="s">
        <v>130</v>
      </c>
      <c r="J513" s="4">
        <v>233491</v>
      </c>
      <c r="K513" s="4" t="s">
        <v>111</v>
      </c>
      <c r="L513" s="19" t="str">
        <f>VLOOKUP(C513,'[7]Trips&amp;Operators'!$C$1:$E$10000,3,FALSE)</f>
        <v>GRASTON</v>
      </c>
      <c r="M513" s="20" t="s">
        <v>112</v>
      </c>
      <c r="N513" s="19"/>
      <c r="O513" s="19" t="str">
        <f t="shared" si="14"/>
        <v>06</v>
      </c>
      <c r="P513" s="64">
        <f t="shared" si="15"/>
        <v>42557</v>
      </c>
    </row>
    <row r="514" spans="1:16" x14ac:dyDescent="0.25">
      <c r="A514" s="26">
        <v>42557.922083333331</v>
      </c>
      <c r="B514" s="4" t="s">
        <v>146</v>
      </c>
      <c r="C514" s="4" t="s">
        <v>1033</v>
      </c>
      <c r="D514" s="4" t="s">
        <v>103</v>
      </c>
      <c r="E514" s="51" t="s">
        <v>129</v>
      </c>
      <c r="F514" s="3">
        <v>0</v>
      </c>
      <c r="G514" s="4">
        <v>5</v>
      </c>
      <c r="H514" s="4">
        <v>233255</v>
      </c>
      <c r="I514" s="51" t="s">
        <v>130</v>
      </c>
      <c r="J514" s="4">
        <v>233491</v>
      </c>
      <c r="K514" s="4" t="s">
        <v>111</v>
      </c>
      <c r="L514" s="19" t="str">
        <f>VLOOKUP(C514,'[7]Trips&amp;Operators'!$C$1:$E$10000,3,FALSE)</f>
        <v>DAVIS</v>
      </c>
      <c r="M514" s="20" t="s">
        <v>112</v>
      </c>
      <c r="N514" s="19"/>
      <c r="O514" s="19" t="str">
        <f t="shared" ref="O514:O577" si="16">RIGHT(C514,2)</f>
        <v>06</v>
      </c>
      <c r="P514" s="64">
        <f t="shared" si="15"/>
        <v>42557</v>
      </c>
    </row>
    <row r="515" spans="1:16" x14ac:dyDescent="0.25">
      <c r="A515" s="26">
        <v>42557.941018518519</v>
      </c>
      <c r="B515" s="4" t="s">
        <v>135</v>
      </c>
      <c r="C515" s="4" t="s">
        <v>1034</v>
      </c>
      <c r="D515" s="4" t="s">
        <v>103</v>
      </c>
      <c r="E515" s="51" t="s">
        <v>129</v>
      </c>
      <c r="F515" s="3">
        <v>0</v>
      </c>
      <c r="G515" s="4">
        <v>102</v>
      </c>
      <c r="H515" s="4">
        <v>233036</v>
      </c>
      <c r="I515" s="51" t="s">
        <v>130</v>
      </c>
      <c r="J515" s="4">
        <v>233491</v>
      </c>
      <c r="K515" s="4" t="s">
        <v>111</v>
      </c>
      <c r="L515" s="19" t="str">
        <f>VLOOKUP(C515,'[7]Trips&amp;Operators'!$C$1:$E$10000,3,FALSE)</f>
        <v>ADANE</v>
      </c>
      <c r="M515" s="20" t="s">
        <v>112</v>
      </c>
      <c r="N515" s="19"/>
      <c r="O515" s="19" t="str">
        <f t="shared" si="16"/>
        <v>06</v>
      </c>
      <c r="P515" s="64">
        <f t="shared" ref="P515:P578" si="17">42522+O515+29</f>
        <v>42557</v>
      </c>
    </row>
    <row r="516" spans="1:16" x14ac:dyDescent="0.25">
      <c r="A516" s="26">
        <v>42557.941701388889</v>
      </c>
      <c r="B516" s="4" t="s">
        <v>135</v>
      </c>
      <c r="C516" s="4" t="s">
        <v>1034</v>
      </c>
      <c r="D516" s="4" t="s">
        <v>103</v>
      </c>
      <c r="E516" s="51" t="s">
        <v>129</v>
      </c>
      <c r="F516" s="3">
        <v>0</v>
      </c>
      <c r="G516" s="4">
        <v>40</v>
      </c>
      <c r="H516" s="4">
        <v>233261</v>
      </c>
      <c r="I516" s="51" t="s">
        <v>130</v>
      </c>
      <c r="J516" s="4">
        <v>233491</v>
      </c>
      <c r="K516" s="4" t="s">
        <v>111</v>
      </c>
      <c r="L516" s="19" t="str">
        <f>VLOOKUP(C516,'[7]Trips&amp;Operators'!$C$1:$E$10000,3,FALSE)</f>
        <v>ADANE</v>
      </c>
      <c r="M516" s="20" t="s">
        <v>112</v>
      </c>
      <c r="N516" s="19"/>
      <c r="O516" s="19" t="str">
        <f t="shared" si="16"/>
        <v>06</v>
      </c>
      <c r="P516" s="64">
        <f t="shared" si="17"/>
        <v>42557</v>
      </c>
    </row>
    <row r="517" spans="1:16" x14ac:dyDescent="0.25">
      <c r="A517" s="26">
        <v>42557.267407407409</v>
      </c>
      <c r="B517" s="4" t="s">
        <v>138</v>
      </c>
      <c r="C517" s="4" t="s">
        <v>971</v>
      </c>
      <c r="D517" s="4" t="s">
        <v>103</v>
      </c>
      <c r="E517" s="51" t="s">
        <v>191</v>
      </c>
      <c r="F517" s="3">
        <v>470</v>
      </c>
      <c r="G517" s="4">
        <v>481</v>
      </c>
      <c r="H517" s="4">
        <v>10504</v>
      </c>
      <c r="I517" s="51" t="s">
        <v>172</v>
      </c>
      <c r="J517" s="4">
        <v>10716</v>
      </c>
      <c r="K517" s="4" t="s">
        <v>111</v>
      </c>
      <c r="L517" s="19" t="str">
        <f>VLOOKUP(C517,'[7]Trips&amp;Operators'!$C$1:$E$10000,3,FALSE)</f>
        <v>MAYBERRY</v>
      </c>
      <c r="M517" s="20" t="s">
        <v>107</v>
      </c>
      <c r="N517" s="19"/>
      <c r="O517" s="19" t="str">
        <f t="shared" si="16"/>
        <v>06</v>
      </c>
      <c r="P517" s="64">
        <f t="shared" si="17"/>
        <v>42557</v>
      </c>
    </row>
    <row r="518" spans="1:16" x14ac:dyDescent="0.25">
      <c r="A518" s="26">
        <v>42557.350416666668</v>
      </c>
      <c r="B518" s="4" t="s">
        <v>138</v>
      </c>
      <c r="C518" s="4" t="s">
        <v>998</v>
      </c>
      <c r="D518" s="4" t="s">
        <v>103</v>
      </c>
      <c r="E518" s="51" t="s">
        <v>191</v>
      </c>
      <c r="F518" s="3">
        <v>470</v>
      </c>
      <c r="G518" s="4">
        <v>467</v>
      </c>
      <c r="H518" s="4">
        <v>8531</v>
      </c>
      <c r="I518" s="51" t="s">
        <v>172</v>
      </c>
      <c r="J518" s="4">
        <v>10716</v>
      </c>
      <c r="K518" s="4" t="s">
        <v>111</v>
      </c>
      <c r="L518" s="19" t="str">
        <f>VLOOKUP(C518,'[7]Trips&amp;Operators'!$C$1:$E$10000,3,FALSE)</f>
        <v>MAYBERRY</v>
      </c>
      <c r="M518" s="20" t="s">
        <v>107</v>
      </c>
      <c r="N518" s="19"/>
      <c r="O518" s="19" t="str">
        <f t="shared" si="16"/>
        <v>06</v>
      </c>
      <c r="P518" s="64">
        <f t="shared" si="17"/>
        <v>42557</v>
      </c>
    </row>
    <row r="519" spans="1:16" x14ac:dyDescent="0.25">
      <c r="A519" s="26">
        <v>42557.747789351852</v>
      </c>
      <c r="B519" s="4" t="s">
        <v>120</v>
      </c>
      <c r="C519" s="4" t="s">
        <v>976</v>
      </c>
      <c r="D519" s="4" t="s">
        <v>103</v>
      </c>
      <c r="E519" s="51" t="s">
        <v>191</v>
      </c>
      <c r="F519" s="3">
        <v>470</v>
      </c>
      <c r="G519" s="4">
        <v>498</v>
      </c>
      <c r="H519" s="4">
        <v>9331</v>
      </c>
      <c r="I519" s="51" t="s">
        <v>172</v>
      </c>
      <c r="J519" s="4">
        <v>10716</v>
      </c>
      <c r="K519" s="4" t="s">
        <v>111</v>
      </c>
      <c r="L519" s="19" t="str">
        <f>VLOOKUP(C519,'[7]Trips&amp;Operators'!$C$1:$E$10000,3,FALSE)</f>
        <v>STRICKLAND</v>
      </c>
      <c r="M519" s="20" t="s">
        <v>107</v>
      </c>
      <c r="N519" s="19"/>
      <c r="O519" s="19" t="str">
        <f t="shared" si="16"/>
        <v>06</v>
      </c>
      <c r="P519" s="64">
        <f t="shared" si="17"/>
        <v>42557</v>
      </c>
    </row>
    <row r="520" spans="1:16" x14ac:dyDescent="0.25">
      <c r="A520" s="26">
        <v>42558.288287037038</v>
      </c>
      <c r="B520" s="4" t="s">
        <v>148</v>
      </c>
      <c r="C520" s="4" t="s">
        <v>1035</v>
      </c>
      <c r="D520" s="4" t="s">
        <v>116</v>
      </c>
      <c r="E520" s="4" t="s">
        <v>104</v>
      </c>
      <c r="F520" s="3">
        <v>790</v>
      </c>
      <c r="G520" s="4">
        <v>841</v>
      </c>
      <c r="H520" s="4">
        <v>140774</v>
      </c>
      <c r="I520" s="4" t="s">
        <v>105</v>
      </c>
      <c r="J520" s="4">
        <v>110617</v>
      </c>
      <c r="K520" s="4" t="s">
        <v>111</v>
      </c>
      <c r="L520" s="19" t="str">
        <f>VLOOKUP(C520,'[8]Trips&amp;Operators'!$C$1:$E$10000,3,FALSE)</f>
        <v>MAELZER</v>
      </c>
      <c r="M520" s="20" t="s">
        <v>112</v>
      </c>
      <c r="N520" s="19" t="s">
        <v>175</v>
      </c>
      <c r="O520" s="19" t="str">
        <f t="shared" si="16"/>
        <v>07</v>
      </c>
      <c r="P520" s="64">
        <f t="shared" si="17"/>
        <v>42558</v>
      </c>
    </row>
    <row r="521" spans="1:16" x14ac:dyDescent="0.25">
      <c r="A521" s="26">
        <v>42558.74728009259</v>
      </c>
      <c r="B521" s="4" t="s">
        <v>146</v>
      </c>
      <c r="C521" s="4" t="s">
        <v>675</v>
      </c>
      <c r="D521" s="4" t="s">
        <v>103</v>
      </c>
      <c r="E521" s="51" t="s">
        <v>109</v>
      </c>
      <c r="F521" s="3">
        <v>480</v>
      </c>
      <c r="G521" s="4">
        <v>528</v>
      </c>
      <c r="H521" s="4">
        <v>41540</v>
      </c>
      <c r="I521" s="51" t="s">
        <v>110</v>
      </c>
      <c r="J521" s="4">
        <v>42779</v>
      </c>
      <c r="K521" s="4" t="s">
        <v>111</v>
      </c>
      <c r="L521" s="19" t="str">
        <f>VLOOKUP(C521,'[8]Trips&amp;Operators'!$C$1:$E$10000,3,FALSE)</f>
        <v>DAVIS</v>
      </c>
      <c r="M521" s="20" t="s">
        <v>112</v>
      </c>
      <c r="N521" s="19" t="s">
        <v>113</v>
      </c>
      <c r="O521" s="19" t="str">
        <f t="shared" si="16"/>
        <v>07</v>
      </c>
      <c r="P521" s="64">
        <f t="shared" si="17"/>
        <v>42558</v>
      </c>
    </row>
    <row r="522" spans="1:16" x14ac:dyDescent="0.25">
      <c r="A522" s="26">
        <v>42558.379710648151</v>
      </c>
      <c r="B522" s="4" t="s">
        <v>136</v>
      </c>
      <c r="C522" s="4" t="s">
        <v>1036</v>
      </c>
      <c r="D522" s="4" t="s">
        <v>103</v>
      </c>
      <c r="E522" s="4" t="s">
        <v>109</v>
      </c>
      <c r="F522" s="3">
        <v>570</v>
      </c>
      <c r="G522" s="4">
        <v>636</v>
      </c>
      <c r="H522" s="4">
        <v>43060</v>
      </c>
      <c r="I522" s="4" t="s">
        <v>110</v>
      </c>
      <c r="J522" s="4">
        <v>42961</v>
      </c>
      <c r="K522" s="4" t="s">
        <v>106</v>
      </c>
      <c r="L522" s="19" t="str">
        <f>VLOOKUP(C522,'[8]Trips&amp;Operators'!$C$1:$E$10000,3,FALSE)</f>
        <v>YORK</v>
      </c>
      <c r="M522" s="20" t="s">
        <v>112</v>
      </c>
      <c r="N522" s="19" t="s">
        <v>113</v>
      </c>
      <c r="O522" s="19" t="str">
        <f t="shared" si="16"/>
        <v>07</v>
      </c>
      <c r="P522" s="64">
        <f t="shared" si="17"/>
        <v>42558</v>
      </c>
    </row>
    <row r="523" spans="1:16" x14ac:dyDescent="0.25">
      <c r="A523" s="26">
        <v>42558.664502314816</v>
      </c>
      <c r="B523" s="4" t="s">
        <v>133</v>
      </c>
      <c r="C523" s="4" t="s">
        <v>1038</v>
      </c>
      <c r="D523" s="4" t="s">
        <v>103</v>
      </c>
      <c r="E523" s="51" t="s">
        <v>109</v>
      </c>
      <c r="F523" s="3">
        <v>0</v>
      </c>
      <c r="G523" s="4">
        <v>308</v>
      </c>
      <c r="H523" s="4">
        <v>51847</v>
      </c>
      <c r="I523" s="51" t="s">
        <v>110</v>
      </c>
      <c r="J523" s="4">
        <v>53155</v>
      </c>
      <c r="K523" s="4" t="s">
        <v>111</v>
      </c>
      <c r="L523" s="19" t="str">
        <f>VLOOKUP(C523,'[8]Trips&amp;Operators'!$C$1:$E$10000,3,FALSE)</f>
        <v>STORY</v>
      </c>
      <c r="M523" s="20" t="s">
        <v>112</v>
      </c>
      <c r="N523" s="19" t="s">
        <v>186</v>
      </c>
      <c r="O523" s="19" t="str">
        <f t="shared" si="16"/>
        <v>07</v>
      </c>
      <c r="P523" s="64">
        <f t="shared" si="17"/>
        <v>42558</v>
      </c>
    </row>
    <row r="524" spans="1:16" x14ac:dyDescent="0.25">
      <c r="A524" s="26">
        <v>42558.696585648147</v>
      </c>
      <c r="B524" s="4" t="s">
        <v>136</v>
      </c>
      <c r="C524" s="4" t="s">
        <v>1037</v>
      </c>
      <c r="D524" s="4" t="s">
        <v>103</v>
      </c>
      <c r="E524" s="51" t="s">
        <v>109</v>
      </c>
      <c r="F524" s="3">
        <v>0</v>
      </c>
      <c r="G524" s="4">
        <v>657</v>
      </c>
      <c r="H524" s="4">
        <v>47975</v>
      </c>
      <c r="I524" s="51" t="s">
        <v>110</v>
      </c>
      <c r="J524" s="4">
        <v>53155</v>
      </c>
      <c r="K524" s="4" t="s">
        <v>111</v>
      </c>
      <c r="L524" s="19" t="str">
        <f>VLOOKUP(C524,'[8]Trips&amp;Operators'!$C$1:$E$10000,3,FALSE)</f>
        <v>SPECTOR</v>
      </c>
      <c r="M524" s="20" t="s">
        <v>112</v>
      </c>
      <c r="N524" s="19" t="s">
        <v>186</v>
      </c>
      <c r="O524" s="19" t="str">
        <f t="shared" si="16"/>
        <v>07</v>
      </c>
      <c r="P524" s="64">
        <f t="shared" si="17"/>
        <v>42558</v>
      </c>
    </row>
    <row r="525" spans="1:16" x14ac:dyDescent="0.25">
      <c r="A525" s="26">
        <v>42558.631111111114</v>
      </c>
      <c r="B525" s="4" t="s">
        <v>139</v>
      </c>
      <c r="C525" s="4" t="s">
        <v>1039</v>
      </c>
      <c r="D525" s="4" t="s">
        <v>103</v>
      </c>
      <c r="E525" s="51" t="s">
        <v>109</v>
      </c>
      <c r="F525" s="3">
        <v>150</v>
      </c>
      <c r="G525" s="4">
        <v>151</v>
      </c>
      <c r="H525" s="4">
        <v>53511</v>
      </c>
      <c r="I525" s="51" t="s">
        <v>110</v>
      </c>
      <c r="J525" s="4">
        <v>53277</v>
      </c>
      <c r="K525" s="4" t="s">
        <v>106</v>
      </c>
      <c r="L525" s="19" t="str">
        <f>VLOOKUP(C525,'[8]Trips&amp;Operators'!$C$1:$E$10000,3,FALSE)</f>
        <v>ROCHA</v>
      </c>
      <c r="M525" s="20" t="s">
        <v>112</v>
      </c>
      <c r="N525" s="19" t="s">
        <v>113</v>
      </c>
      <c r="O525" s="19" t="str">
        <f t="shared" si="16"/>
        <v>07</v>
      </c>
      <c r="P525" s="64">
        <f t="shared" si="17"/>
        <v>42558</v>
      </c>
    </row>
    <row r="526" spans="1:16" x14ac:dyDescent="0.25">
      <c r="A526" s="26">
        <v>42558.356296296297</v>
      </c>
      <c r="B526" s="4" t="s">
        <v>135</v>
      </c>
      <c r="C526" s="4" t="s">
        <v>1041</v>
      </c>
      <c r="D526" s="4" t="s">
        <v>116</v>
      </c>
      <c r="E526" s="51" t="s">
        <v>115</v>
      </c>
      <c r="F526" s="3">
        <v>150</v>
      </c>
      <c r="G526" s="4">
        <v>201</v>
      </c>
      <c r="H526" s="4">
        <v>2811</v>
      </c>
      <c r="I526" s="51" t="s">
        <v>105</v>
      </c>
      <c r="J526" s="4">
        <v>574</v>
      </c>
      <c r="K526" s="4" t="s">
        <v>111</v>
      </c>
      <c r="L526" s="19" t="str">
        <f>VLOOKUP(C526,'[8]Trips&amp;Operators'!$C$1:$E$10000,3,FALSE)</f>
        <v>BEAM</v>
      </c>
      <c r="M526" s="20" t="s">
        <v>112</v>
      </c>
      <c r="N526" s="19"/>
      <c r="O526" s="19" t="str">
        <f t="shared" si="16"/>
        <v>07</v>
      </c>
      <c r="P526" s="64">
        <f t="shared" si="17"/>
        <v>42558</v>
      </c>
    </row>
    <row r="527" spans="1:16" x14ac:dyDescent="0.25">
      <c r="A527" s="26">
        <v>42558.891064814816</v>
      </c>
      <c r="B527" s="4" t="s">
        <v>163</v>
      </c>
      <c r="C527" s="4" t="s">
        <v>1040</v>
      </c>
      <c r="D527" s="4" t="s">
        <v>116</v>
      </c>
      <c r="E527" s="51" t="s">
        <v>115</v>
      </c>
      <c r="F527" s="3">
        <v>150</v>
      </c>
      <c r="G527" s="4">
        <v>203</v>
      </c>
      <c r="H527" s="4">
        <v>5323</v>
      </c>
      <c r="I527" s="51" t="s">
        <v>105</v>
      </c>
      <c r="J527" s="4">
        <v>574</v>
      </c>
      <c r="K527" s="4" t="s">
        <v>111</v>
      </c>
      <c r="L527" s="19" t="str">
        <f>VLOOKUP(C527,'[8]Trips&amp;Operators'!$C$1:$E$10000,3,FALSE)</f>
        <v>MAYBERRY</v>
      </c>
      <c r="M527" s="20" t="s">
        <v>112</v>
      </c>
      <c r="N527" s="19"/>
      <c r="O527" s="19" t="str">
        <f t="shared" si="16"/>
        <v>07</v>
      </c>
      <c r="P527" s="64">
        <f t="shared" si="17"/>
        <v>42558</v>
      </c>
    </row>
    <row r="528" spans="1:16" x14ac:dyDescent="0.25">
      <c r="A528" s="26">
        <v>42558.202002314814</v>
      </c>
      <c r="B528" s="4" t="s">
        <v>119</v>
      </c>
      <c r="C528" s="4" t="s">
        <v>666</v>
      </c>
      <c r="D528" s="4" t="s">
        <v>103</v>
      </c>
      <c r="E528" s="51" t="s">
        <v>115</v>
      </c>
      <c r="F528" s="3">
        <v>150</v>
      </c>
      <c r="G528" s="4">
        <v>188</v>
      </c>
      <c r="H528" s="4">
        <v>5119</v>
      </c>
      <c r="I528" s="51" t="s">
        <v>105</v>
      </c>
      <c r="J528" s="4">
        <v>4677</v>
      </c>
      <c r="K528" s="4" t="s">
        <v>106</v>
      </c>
      <c r="L528" s="19" t="str">
        <f>VLOOKUP(C528,'[8]Trips&amp;Operators'!$C$1:$E$10000,3,FALSE)</f>
        <v>CANFIELD</v>
      </c>
      <c r="M528" s="20" t="s">
        <v>112</v>
      </c>
      <c r="N528" s="19"/>
      <c r="O528" s="19" t="str">
        <f t="shared" si="16"/>
        <v>07</v>
      </c>
      <c r="P528" s="64">
        <f t="shared" si="17"/>
        <v>42558</v>
      </c>
    </row>
    <row r="529" spans="1:16" x14ac:dyDescent="0.25">
      <c r="A529" s="26">
        <v>42558.56459490741</v>
      </c>
      <c r="B529" s="4" t="s">
        <v>118</v>
      </c>
      <c r="C529" s="4" t="s">
        <v>162</v>
      </c>
      <c r="D529" s="4" t="s">
        <v>103</v>
      </c>
      <c r="E529" s="51" t="s">
        <v>115</v>
      </c>
      <c r="F529" s="3">
        <v>150</v>
      </c>
      <c r="G529" s="4">
        <v>125</v>
      </c>
      <c r="H529" s="4">
        <v>4886</v>
      </c>
      <c r="I529" s="51" t="s">
        <v>105</v>
      </c>
      <c r="J529" s="4">
        <v>4677</v>
      </c>
      <c r="K529" s="4" t="s">
        <v>106</v>
      </c>
      <c r="L529" s="19" t="str">
        <f>VLOOKUP(C529,'[8]Trips&amp;Operators'!$C$1:$E$10000,3,FALSE)</f>
        <v>ROCHA</v>
      </c>
      <c r="M529" s="20" t="s">
        <v>112</v>
      </c>
      <c r="N529" s="19"/>
      <c r="O529" s="19" t="str">
        <f t="shared" si="16"/>
        <v>07</v>
      </c>
      <c r="P529" s="64">
        <f t="shared" si="17"/>
        <v>42558</v>
      </c>
    </row>
    <row r="530" spans="1:16" x14ac:dyDescent="0.25">
      <c r="A530" s="26">
        <v>42558.719513888886</v>
      </c>
      <c r="B530" s="4" t="s">
        <v>119</v>
      </c>
      <c r="C530" s="4" t="s">
        <v>1042</v>
      </c>
      <c r="D530" s="4" t="s">
        <v>103</v>
      </c>
      <c r="E530" s="51" t="s">
        <v>115</v>
      </c>
      <c r="F530" s="3">
        <v>150</v>
      </c>
      <c r="G530" s="4">
        <v>185</v>
      </c>
      <c r="H530" s="4">
        <v>4894</v>
      </c>
      <c r="I530" s="51" t="s">
        <v>105</v>
      </c>
      <c r="J530" s="4">
        <v>4677</v>
      </c>
      <c r="K530" s="4" t="s">
        <v>106</v>
      </c>
      <c r="L530" s="19" t="str">
        <f>VLOOKUP(C530,'[8]Trips&amp;Operators'!$C$1:$E$10000,3,FALSE)</f>
        <v>STORY</v>
      </c>
      <c r="M530" s="20" t="s">
        <v>112</v>
      </c>
      <c r="N530" s="19"/>
      <c r="O530" s="19" t="str">
        <f t="shared" si="16"/>
        <v>07</v>
      </c>
      <c r="P530" s="64">
        <f t="shared" si="17"/>
        <v>42558</v>
      </c>
    </row>
    <row r="531" spans="1:16" x14ac:dyDescent="0.25">
      <c r="A531" s="26">
        <v>42558.80841435185</v>
      </c>
      <c r="B531" s="4" t="s">
        <v>163</v>
      </c>
      <c r="C531" s="4" t="s">
        <v>1043</v>
      </c>
      <c r="D531" s="4" t="s">
        <v>116</v>
      </c>
      <c r="E531" s="51" t="s">
        <v>115</v>
      </c>
      <c r="F531" s="3">
        <v>200</v>
      </c>
      <c r="G531" s="4">
        <v>255</v>
      </c>
      <c r="H531" s="4">
        <v>6111</v>
      </c>
      <c r="I531" s="51" t="s">
        <v>105</v>
      </c>
      <c r="J531" s="4">
        <v>4790</v>
      </c>
      <c r="K531" s="4" t="s">
        <v>111</v>
      </c>
      <c r="L531" s="19" t="str">
        <f>VLOOKUP(C531,'[8]Trips&amp;Operators'!$C$1:$E$10000,3,FALSE)</f>
        <v>MAYBERRY</v>
      </c>
      <c r="M531" s="20" t="s">
        <v>112</v>
      </c>
      <c r="N531" s="19"/>
      <c r="O531" s="19" t="str">
        <f t="shared" si="16"/>
        <v>07</v>
      </c>
      <c r="P531" s="64">
        <f t="shared" si="17"/>
        <v>42558</v>
      </c>
    </row>
    <row r="532" spans="1:16" x14ac:dyDescent="0.25">
      <c r="A532" s="26">
        <v>42558.661817129629</v>
      </c>
      <c r="B532" s="4" t="s">
        <v>124</v>
      </c>
      <c r="C532" s="4" t="s">
        <v>1044</v>
      </c>
      <c r="D532" s="4" t="s">
        <v>103</v>
      </c>
      <c r="E532" s="51" t="s">
        <v>115</v>
      </c>
      <c r="F532" s="3">
        <v>150</v>
      </c>
      <c r="G532" s="4">
        <v>174</v>
      </c>
      <c r="H532" s="4">
        <v>5518</v>
      </c>
      <c r="I532" s="51" t="s">
        <v>105</v>
      </c>
      <c r="J532" s="4">
        <v>5315</v>
      </c>
      <c r="K532" s="4" t="s">
        <v>106</v>
      </c>
      <c r="L532" s="19" t="str">
        <f>VLOOKUP(C532,'[8]Trips&amp;Operators'!$C$1:$E$10000,3,FALSE)</f>
        <v>MAYBERRY</v>
      </c>
      <c r="M532" s="20" t="s">
        <v>112</v>
      </c>
      <c r="N532" s="19"/>
      <c r="O532" s="19" t="str">
        <f t="shared" si="16"/>
        <v>07</v>
      </c>
      <c r="P532" s="64">
        <f t="shared" si="17"/>
        <v>42558</v>
      </c>
    </row>
    <row r="533" spans="1:16" x14ac:dyDescent="0.25">
      <c r="A533" s="26">
        <v>42558.661099537036</v>
      </c>
      <c r="B533" s="4" t="s">
        <v>124</v>
      </c>
      <c r="C533" s="4" t="s">
        <v>1044</v>
      </c>
      <c r="D533" s="4" t="s">
        <v>103</v>
      </c>
      <c r="E533" s="51" t="s">
        <v>115</v>
      </c>
      <c r="F533" s="3">
        <v>200</v>
      </c>
      <c r="G533" s="4">
        <v>325</v>
      </c>
      <c r="H533" s="4">
        <v>7468</v>
      </c>
      <c r="I533" s="51" t="s">
        <v>105</v>
      </c>
      <c r="J533" s="4">
        <v>5990</v>
      </c>
      <c r="K533" s="4" t="s">
        <v>106</v>
      </c>
      <c r="L533" s="19" t="str">
        <f>VLOOKUP(C533,'[8]Trips&amp;Operators'!$C$1:$E$10000,3,FALSE)</f>
        <v>MAYBERRY</v>
      </c>
      <c r="M533" s="20" t="s">
        <v>112</v>
      </c>
      <c r="N533" s="19"/>
      <c r="O533" s="19" t="str">
        <f t="shared" si="16"/>
        <v>07</v>
      </c>
      <c r="P533" s="64">
        <f t="shared" si="17"/>
        <v>42558</v>
      </c>
    </row>
    <row r="534" spans="1:16" x14ac:dyDescent="0.25">
      <c r="A534" s="26">
        <v>42558.373993055553</v>
      </c>
      <c r="B534" s="4" t="s">
        <v>131</v>
      </c>
      <c r="C534" s="4" t="s">
        <v>1045</v>
      </c>
      <c r="D534" s="4" t="s">
        <v>103</v>
      </c>
      <c r="E534" s="51" t="s">
        <v>115</v>
      </c>
      <c r="F534" s="3">
        <v>450</v>
      </c>
      <c r="G534" s="4">
        <v>460</v>
      </c>
      <c r="H534" s="4">
        <v>17769</v>
      </c>
      <c r="I534" s="51" t="s">
        <v>105</v>
      </c>
      <c r="J534" s="4">
        <v>15167</v>
      </c>
      <c r="K534" s="4" t="s">
        <v>106</v>
      </c>
      <c r="L534" s="19" t="str">
        <f>VLOOKUP(C534,'[8]Trips&amp;Operators'!$C$1:$E$10000,3,FALSE)</f>
        <v>STARKS</v>
      </c>
      <c r="M534" s="20" t="s">
        <v>112</v>
      </c>
      <c r="N534" s="19"/>
      <c r="O534" s="19" t="str">
        <f t="shared" si="16"/>
        <v>07</v>
      </c>
      <c r="P534" s="64">
        <f t="shared" si="17"/>
        <v>42558</v>
      </c>
    </row>
    <row r="535" spans="1:16" x14ac:dyDescent="0.25">
      <c r="A535" s="26">
        <v>42558.77065972222</v>
      </c>
      <c r="B535" s="4" t="s">
        <v>147</v>
      </c>
      <c r="C535" s="4" t="s">
        <v>1046</v>
      </c>
      <c r="D535" s="4" t="s">
        <v>103</v>
      </c>
      <c r="E535" s="51" t="s">
        <v>115</v>
      </c>
      <c r="F535" s="3">
        <v>450</v>
      </c>
      <c r="G535" s="4">
        <v>450</v>
      </c>
      <c r="H535" s="4">
        <v>17475</v>
      </c>
      <c r="I535" s="51" t="s">
        <v>105</v>
      </c>
      <c r="J535" s="4">
        <v>15167</v>
      </c>
      <c r="K535" s="4" t="s">
        <v>106</v>
      </c>
      <c r="L535" s="19" t="str">
        <f>VLOOKUP(C535,'[8]Trips&amp;Operators'!$C$1:$E$10000,3,FALSE)</f>
        <v>COOLAHAN</v>
      </c>
      <c r="M535" s="20" t="s">
        <v>112</v>
      </c>
      <c r="N535" s="19"/>
      <c r="O535" s="19" t="str">
        <f t="shared" si="16"/>
        <v>07</v>
      </c>
      <c r="P535" s="64">
        <f t="shared" si="17"/>
        <v>42558</v>
      </c>
    </row>
    <row r="536" spans="1:16" x14ac:dyDescent="0.25">
      <c r="A536" s="26">
        <v>42558.822233796294</v>
      </c>
      <c r="B536" s="4" t="s">
        <v>136</v>
      </c>
      <c r="C536" s="4" t="s">
        <v>1047</v>
      </c>
      <c r="D536" s="4" t="s">
        <v>103</v>
      </c>
      <c r="E536" s="51" t="s">
        <v>115</v>
      </c>
      <c r="F536" s="3">
        <v>450</v>
      </c>
      <c r="G536" s="4">
        <v>445</v>
      </c>
      <c r="H536" s="4">
        <v>17548</v>
      </c>
      <c r="I536" s="51" t="s">
        <v>105</v>
      </c>
      <c r="J536" s="4">
        <v>15167</v>
      </c>
      <c r="K536" s="4" t="s">
        <v>106</v>
      </c>
      <c r="L536" s="19" t="str">
        <f>VLOOKUP(C536,'[8]Trips&amp;Operators'!$C$1:$E$10000,3,FALSE)</f>
        <v>ADANE</v>
      </c>
      <c r="M536" s="20" t="s">
        <v>112</v>
      </c>
      <c r="N536" s="19"/>
      <c r="O536" s="19" t="str">
        <f t="shared" si="16"/>
        <v>07</v>
      </c>
      <c r="P536" s="64">
        <f t="shared" si="17"/>
        <v>42558</v>
      </c>
    </row>
    <row r="537" spans="1:16" x14ac:dyDescent="0.25">
      <c r="A537" s="26">
        <v>42558.644421296296</v>
      </c>
      <c r="B537" s="4" t="s">
        <v>163</v>
      </c>
      <c r="C537" s="4" t="s">
        <v>1048</v>
      </c>
      <c r="D537" s="4" t="s">
        <v>103</v>
      </c>
      <c r="E537" s="51" t="s">
        <v>115</v>
      </c>
      <c r="F537" s="3">
        <v>300</v>
      </c>
      <c r="G537" s="4">
        <v>412</v>
      </c>
      <c r="H537" s="4">
        <v>19405</v>
      </c>
      <c r="I537" s="51" t="s">
        <v>105</v>
      </c>
      <c r="J537" s="4">
        <v>21299</v>
      </c>
      <c r="K537" s="4" t="s">
        <v>111</v>
      </c>
      <c r="L537" s="19" t="str">
        <f>VLOOKUP(C537,'[8]Trips&amp;Operators'!$C$1:$E$10000,3,FALSE)</f>
        <v>MAYBERRY</v>
      </c>
      <c r="M537" s="20" t="s">
        <v>112</v>
      </c>
      <c r="N537" s="19"/>
      <c r="O537" s="19" t="str">
        <f t="shared" si="16"/>
        <v>07</v>
      </c>
      <c r="P537" s="64">
        <f t="shared" si="17"/>
        <v>42558</v>
      </c>
    </row>
    <row r="538" spans="1:16" x14ac:dyDescent="0.25">
      <c r="A538" s="26">
        <v>42558.351956018516</v>
      </c>
      <c r="B538" s="4" t="s">
        <v>163</v>
      </c>
      <c r="C538" s="4" t="s">
        <v>1049</v>
      </c>
      <c r="D538" s="4" t="s">
        <v>103</v>
      </c>
      <c r="E538" s="51" t="s">
        <v>115</v>
      </c>
      <c r="F538" s="3">
        <v>300</v>
      </c>
      <c r="G538" s="4">
        <v>265</v>
      </c>
      <c r="H538" s="4">
        <v>19425</v>
      </c>
      <c r="I538" s="51" t="s">
        <v>105</v>
      </c>
      <c r="J538" s="4">
        <v>21314</v>
      </c>
      <c r="K538" s="4" t="s">
        <v>111</v>
      </c>
      <c r="L538" s="19" t="str">
        <f>VLOOKUP(C538,'[8]Trips&amp;Operators'!$C$1:$E$10000,3,FALSE)</f>
        <v>NELSON</v>
      </c>
      <c r="M538" s="20" t="s">
        <v>112</v>
      </c>
      <c r="N538" s="19"/>
      <c r="O538" s="19" t="str">
        <f t="shared" si="16"/>
        <v>07</v>
      </c>
      <c r="P538" s="64">
        <f t="shared" si="17"/>
        <v>42558</v>
      </c>
    </row>
    <row r="539" spans="1:16" x14ac:dyDescent="0.25">
      <c r="A539" s="26">
        <v>42558.198703703703</v>
      </c>
      <c r="B539" s="4" t="s">
        <v>119</v>
      </c>
      <c r="C539" s="4" t="s">
        <v>666</v>
      </c>
      <c r="D539" s="4" t="s">
        <v>103</v>
      </c>
      <c r="E539" s="51" t="s">
        <v>115</v>
      </c>
      <c r="F539" s="3">
        <v>300</v>
      </c>
      <c r="G539" s="4">
        <v>434</v>
      </c>
      <c r="H539" s="4">
        <v>23458</v>
      </c>
      <c r="I539" s="51" t="s">
        <v>105</v>
      </c>
      <c r="J539" s="4">
        <v>21848</v>
      </c>
      <c r="K539" s="4" t="s">
        <v>106</v>
      </c>
      <c r="L539" s="19" t="str">
        <f>VLOOKUP(C539,'[8]Trips&amp;Operators'!$C$1:$E$10000,3,FALSE)</f>
        <v>CANFIELD</v>
      </c>
      <c r="M539" s="20" t="s">
        <v>112</v>
      </c>
      <c r="N539" s="19"/>
      <c r="O539" s="19" t="str">
        <f t="shared" si="16"/>
        <v>07</v>
      </c>
      <c r="P539" s="64">
        <f t="shared" si="17"/>
        <v>42558</v>
      </c>
    </row>
    <row r="540" spans="1:16" x14ac:dyDescent="0.25">
      <c r="A540" s="26">
        <v>42558.768703703703</v>
      </c>
      <c r="B540" s="4" t="s">
        <v>147</v>
      </c>
      <c r="C540" s="4" t="s">
        <v>1046</v>
      </c>
      <c r="D540" s="4" t="s">
        <v>103</v>
      </c>
      <c r="E540" s="51" t="s">
        <v>115</v>
      </c>
      <c r="F540" s="3">
        <v>300</v>
      </c>
      <c r="G540" s="4">
        <v>394</v>
      </c>
      <c r="H540" s="4">
        <v>23018</v>
      </c>
      <c r="I540" s="51" t="s">
        <v>105</v>
      </c>
      <c r="J540" s="4">
        <v>21848</v>
      </c>
      <c r="K540" s="4" t="s">
        <v>106</v>
      </c>
      <c r="L540" s="19" t="str">
        <f>VLOOKUP(C540,'[8]Trips&amp;Operators'!$C$1:$E$10000,3,FALSE)</f>
        <v>COOLAHAN</v>
      </c>
      <c r="M540" s="20" t="s">
        <v>112</v>
      </c>
      <c r="N540" s="19"/>
      <c r="O540" s="19" t="str">
        <f t="shared" si="16"/>
        <v>07</v>
      </c>
      <c r="P540" s="64">
        <f t="shared" si="17"/>
        <v>42558</v>
      </c>
    </row>
    <row r="541" spans="1:16" x14ac:dyDescent="0.25">
      <c r="A541" s="26">
        <v>42558.382407407407</v>
      </c>
      <c r="B541" s="4" t="s">
        <v>136</v>
      </c>
      <c r="C541" s="4" t="s">
        <v>1036</v>
      </c>
      <c r="D541" s="4" t="s">
        <v>103</v>
      </c>
      <c r="E541" s="4" t="s">
        <v>115</v>
      </c>
      <c r="F541" s="3">
        <v>200</v>
      </c>
      <c r="G541" s="4">
        <v>242</v>
      </c>
      <c r="H541" s="4">
        <v>31097</v>
      </c>
      <c r="I541" s="4" t="s">
        <v>105</v>
      </c>
      <c r="J541" s="4">
        <v>30562</v>
      </c>
      <c r="K541" s="4" t="s">
        <v>106</v>
      </c>
      <c r="L541" s="19" t="str">
        <f>VLOOKUP(C541,'[8]Trips&amp;Operators'!$C$1:$E$10000,3,FALSE)</f>
        <v>YORK</v>
      </c>
      <c r="M541" s="20" t="s">
        <v>112</v>
      </c>
      <c r="N541" s="19"/>
      <c r="O541" s="19" t="str">
        <f t="shared" si="16"/>
        <v>07</v>
      </c>
      <c r="P541" s="64">
        <f t="shared" si="17"/>
        <v>42558</v>
      </c>
    </row>
    <row r="542" spans="1:16" x14ac:dyDescent="0.25">
      <c r="A542" s="26">
        <v>42558.768969907411</v>
      </c>
      <c r="B542" s="4" t="s">
        <v>163</v>
      </c>
      <c r="C542" s="4" t="s">
        <v>1050</v>
      </c>
      <c r="D542" s="4" t="s">
        <v>103</v>
      </c>
      <c r="E542" s="51" t="s">
        <v>115</v>
      </c>
      <c r="F542" s="3">
        <v>600</v>
      </c>
      <c r="G542" s="4">
        <v>652</v>
      </c>
      <c r="H542" s="4">
        <v>29083</v>
      </c>
      <c r="I542" s="51" t="s">
        <v>105</v>
      </c>
      <c r="J542" s="4">
        <v>30784</v>
      </c>
      <c r="K542" s="4" t="s">
        <v>111</v>
      </c>
      <c r="L542" s="19" t="str">
        <f>VLOOKUP(C542,'[8]Trips&amp;Operators'!$C$1:$E$10000,3,FALSE)</f>
        <v>MAYBERRY</v>
      </c>
      <c r="M542" s="20" t="s">
        <v>112</v>
      </c>
      <c r="N542" s="19"/>
      <c r="O542" s="19" t="str">
        <f t="shared" si="16"/>
        <v>07</v>
      </c>
      <c r="P542" s="64">
        <f t="shared" si="17"/>
        <v>42558</v>
      </c>
    </row>
    <row r="543" spans="1:16" x14ac:dyDescent="0.25">
      <c r="A543" s="26">
        <v>42558.206817129627</v>
      </c>
      <c r="B543" s="4" t="s">
        <v>135</v>
      </c>
      <c r="C543" s="4" t="s">
        <v>1051</v>
      </c>
      <c r="D543" s="4" t="s">
        <v>103</v>
      </c>
      <c r="E543" s="4" t="s">
        <v>115</v>
      </c>
      <c r="F543" s="3">
        <v>150</v>
      </c>
      <c r="G543" s="4">
        <v>150</v>
      </c>
      <c r="H543" s="4">
        <v>56589</v>
      </c>
      <c r="I543" s="4" t="s">
        <v>105</v>
      </c>
      <c r="J543" s="4">
        <v>57008</v>
      </c>
      <c r="K543" s="4" t="s">
        <v>111</v>
      </c>
      <c r="L543" s="19" t="str">
        <f>VLOOKUP(C543,'[8]Trips&amp;Operators'!$C$1:$E$10000,3,FALSE)</f>
        <v>BEAM</v>
      </c>
      <c r="M543" s="20" t="s">
        <v>112</v>
      </c>
      <c r="N543" s="19"/>
      <c r="O543" s="19" t="str">
        <f t="shared" si="16"/>
        <v>07</v>
      </c>
      <c r="P543" s="64">
        <f t="shared" si="17"/>
        <v>42558</v>
      </c>
    </row>
    <row r="544" spans="1:16" x14ac:dyDescent="0.25">
      <c r="A544" s="26">
        <v>42558.649687500001</v>
      </c>
      <c r="B544" s="4" t="s">
        <v>163</v>
      </c>
      <c r="C544" s="4" t="s">
        <v>1048</v>
      </c>
      <c r="D544" s="4" t="s">
        <v>103</v>
      </c>
      <c r="E544" s="51" t="s">
        <v>115</v>
      </c>
      <c r="F544" s="3">
        <v>150</v>
      </c>
      <c r="G544" s="4">
        <v>111</v>
      </c>
      <c r="H544" s="4">
        <v>56849</v>
      </c>
      <c r="I544" s="51" t="s">
        <v>105</v>
      </c>
      <c r="J544" s="4">
        <v>57008</v>
      </c>
      <c r="K544" s="4" t="s">
        <v>111</v>
      </c>
      <c r="L544" s="19" t="str">
        <f>VLOOKUP(C544,'[8]Trips&amp;Operators'!$C$1:$E$10000,3,FALSE)</f>
        <v>MAYBERRY</v>
      </c>
      <c r="M544" s="20" t="s">
        <v>112</v>
      </c>
      <c r="N544" s="19"/>
      <c r="O544" s="19" t="str">
        <f t="shared" si="16"/>
        <v>07</v>
      </c>
      <c r="P544" s="64">
        <f t="shared" si="17"/>
        <v>42558</v>
      </c>
    </row>
    <row r="545" spans="1:16" x14ac:dyDescent="0.25">
      <c r="A545" s="17">
        <v>42558.259421296294</v>
      </c>
      <c r="B545" s="18" t="s">
        <v>143</v>
      </c>
      <c r="C545" s="18" t="s">
        <v>1052</v>
      </c>
      <c r="D545" s="18" t="s">
        <v>116</v>
      </c>
      <c r="E545" s="52" t="s">
        <v>115</v>
      </c>
      <c r="F545" s="53">
        <v>150</v>
      </c>
      <c r="G545" s="18">
        <v>200</v>
      </c>
      <c r="H545" s="18">
        <v>56693</v>
      </c>
      <c r="I545" s="52" t="s">
        <v>105</v>
      </c>
      <c r="J545" s="18">
        <v>59050</v>
      </c>
      <c r="K545" s="19" t="s">
        <v>106</v>
      </c>
      <c r="L545" s="19" t="str">
        <f>VLOOKUP(C545,'[8]Trips&amp;Operators'!$C$1:$E$10000,3,FALSE)</f>
        <v>BEAM</v>
      </c>
      <c r="M545" s="20" t="s">
        <v>112</v>
      </c>
      <c r="N545" s="19"/>
      <c r="O545" s="19" t="str">
        <f t="shared" si="16"/>
        <v>07</v>
      </c>
      <c r="P545" s="64">
        <f t="shared" si="17"/>
        <v>42558</v>
      </c>
    </row>
    <row r="546" spans="1:16" x14ac:dyDescent="0.25">
      <c r="A546" s="26">
        <v>42558.655462962961</v>
      </c>
      <c r="B546" s="4" t="s">
        <v>124</v>
      </c>
      <c r="C546" s="4" t="s">
        <v>1044</v>
      </c>
      <c r="D546" s="4" t="s">
        <v>116</v>
      </c>
      <c r="E546" s="51" t="s">
        <v>115</v>
      </c>
      <c r="F546" s="3">
        <v>150</v>
      </c>
      <c r="G546" s="4">
        <v>212</v>
      </c>
      <c r="H546" s="4">
        <v>56883</v>
      </c>
      <c r="I546" s="51" t="s">
        <v>105</v>
      </c>
      <c r="J546" s="4">
        <v>59050</v>
      </c>
      <c r="K546" s="4" t="s">
        <v>106</v>
      </c>
      <c r="L546" s="19" t="str">
        <f>VLOOKUP(C546,'[8]Trips&amp;Operators'!$C$1:$E$10000,3,FALSE)</f>
        <v>MAYBERRY</v>
      </c>
      <c r="M546" s="20" t="s">
        <v>112</v>
      </c>
      <c r="N546" s="19"/>
      <c r="O546" s="19" t="str">
        <f t="shared" si="16"/>
        <v>07</v>
      </c>
      <c r="P546" s="64">
        <f t="shared" si="17"/>
        <v>42558</v>
      </c>
    </row>
    <row r="547" spans="1:16" x14ac:dyDescent="0.25">
      <c r="A547" s="26">
        <v>42558.780219907407</v>
      </c>
      <c r="B547" s="4" t="s">
        <v>124</v>
      </c>
      <c r="C547" s="4" t="s">
        <v>1053</v>
      </c>
      <c r="D547" s="4" t="s">
        <v>116</v>
      </c>
      <c r="E547" s="51" t="s">
        <v>115</v>
      </c>
      <c r="F547" s="3">
        <v>150</v>
      </c>
      <c r="G547" s="4">
        <v>208</v>
      </c>
      <c r="H547" s="4">
        <v>56896</v>
      </c>
      <c r="I547" s="51" t="s">
        <v>105</v>
      </c>
      <c r="J547" s="4">
        <v>59050</v>
      </c>
      <c r="K547" s="4" t="s">
        <v>106</v>
      </c>
      <c r="L547" s="19" t="str">
        <f>VLOOKUP(C547,'[8]Trips&amp;Operators'!$C$1:$E$10000,3,FALSE)</f>
        <v>MAYBERRY</v>
      </c>
      <c r="M547" s="20" t="s">
        <v>112</v>
      </c>
      <c r="N547" s="19"/>
      <c r="O547" s="19" t="str">
        <f t="shared" si="16"/>
        <v>07</v>
      </c>
      <c r="P547" s="64">
        <f t="shared" si="17"/>
        <v>42558</v>
      </c>
    </row>
    <row r="548" spans="1:16" x14ac:dyDescent="0.25">
      <c r="A548" s="26">
        <v>42558.655428240738</v>
      </c>
      <c r="B548" s="4" t="s">
        <v>131</v>
      </c>
      <c r="C548" s="4" t="s">
        <v>1054</v>
      </c>
      <c r="D548" s="4" t="s">
        <v>116</v>
      </c>
      <c r="E548" s="51" t="s">
        <v>115</v>
      </c>
      <c r="F548" s="3">
        <v>400</v>
      </c>
      <c r="G548" s="4">
        <v>451</v>
      </c>
      <c r="H548" s="4">
        <v>116760</v>
      </c>
      <c r="I548" s="51" t="s">
        <v>105</v>
      </c>
      <c r="J548" s="4">
        <v>119716</v>
      </c>
      <c r="K548" s="4" t="s">
        <v>106</v>
      </c>
      <c r="L548" s="19" t="str">
        <f>VLOOKUP(C548,'[8]Trips&amp;Operators'!$C$1:$E$10000,3,FALSE)</f>
        <v>BARTLETT</v>
      </c>
      <c r="M548" s="20" t="s">
        <v>112</v>
      </c>
      <c r="N548" s="19"/>
      <c r="O548" s="19" t="str">
        <f t="shared" si="16"/>
        <v>07</v>
      </c>
      <c r="P548" s="64">
        <f t="shared" si="17"/>
        <v>42558</v>
      </c>
    </row>
    <row r="549" spans="1:16" x14ac:dyDescent="0.25">
      <c r="A549" s="26">
        <v>42558.810636574075</v>
      </c>
      <c r="B549" s="4" t="s">
        <v>136</v>
      </c>
      <c r="C549" s="4" t="s">
        <v>1047</v>
      </c>
      <c r="D549" s="4" t="s">
        <v>103</v>
      </c>
      <c r="E549" s="51" t="s">
        <v>115</v>
      </c>
      <c r="F549" s="3">
        <v>400</v>
      </c>
      <c r="G549" s="4">
        <v>562</v>
      </c>
      <c r="H549" s="4">
        <v>122623</v>
      </c>
      <c r="I549" s="51" t="s">
        <v>105</v>
      </c>
      <c r="J549" s="4">
        <v>119716</v>
      </c>
      <c r="K549" s="4" t="s">
        <v>106</v>
      </c>
      <c r="L549" s="19" t="str">
        <f>VLOOKUP(C549,'[8]Trips&amp;Operators'!$C$1:$E$10000,3,FALSE)</f>
        <v>ADANE</v>
      </c>
      <c r="M549" s="20" t="s">
        <v>112</v>
      </c>
      <c r="N549" s="19"/>
      <c r="O549" s="19" t="str">
        <f t="shared" si="16"/>
        <v>07</v>
      </c>
      <c r="P549" s="64">
        <f t="shared" si="17"/>
        <v>42558</v>
      </c>
    </row>
    <row r="550" spans="1:16" x14ac:dyDescent="0.25">
      <c r="A550" s="26">
        <v>42558.804548611108</v>
      </c>
      <c r="B550" s="4" t="s">
        <v>136</v>
      </c>
      <c r="C550" s="4" t="s">
        <v>1047</v>
      </c>
      <c r="D550" s="4" t="s">
        <v>116</v>
      </c>
      <c r="E550" s="51" t="s">
        <v>115</v>
      </c>
      <c r="F550" s="3">
        <v>600</v>
      </c>
      <c r="G550" s="4">
        <v>651</v>
      </c>
      <c r="H550" s="4">
        <v>184487</v>
      </c>
      <c r="I550" s="51" t="s">
        <v>105</v>
      </c>
      <c r="J550" s="4">
        <v>190834</v>
      </c>
      <c r="K550" s="4" t="s">
        <v>106</v>
      </c>
      <c r="L550" s="19" t="str">
        <f>VLOOKUP(C550,'[8]Trips&amp;Operators'!$C$1:$E$10000,3,FALSE)</f>
        <v>ADANE</v>
      </c>
      <c r="M550" s="20" t="s">
        <v>112</v>
      </c>
      <c r="N550" s="19"/>
      <c r="O550" s="19" t="str">
        <f t="shared" si="16"/>
        <v>07</v>
      </c>
      <c r="P550" s="64">
        <f t="shared" si="17"/>
        <v>42558</v>
      </c>
    </row>
    <row r="551" spans="1:16" x14ac:dyDescent="0.25">
      <c r="A551" s="17">
        <v>42558.398506944446</v>
      </c>
      <c r="B551" s="18" t="s">
        <v>146</v>
      </c>
      <c r="C551" s="18" t="s">
        <v>1055</v>
      </c>
      <c r="D551" s="18" t="s">
        <v>103</v>
      </c>
      <c r="E551" s="52" t="s">
        <v>115</v>
      </c>
      <c r="F551" s="53">
        <v>150</v>
      </c>
      <c r="G551" s="18">
        <v>215</v>
      </c>
      <c r="H551" s="18">
        <v>229712</v>
      </c>
      <c r="I551" s="52" t="s">
        <v>105</v>
      </c>
      <c r="J551" s="18">
        <v>230436</v>
      </c>
      <c r="K551" s="19" t="s">
        <v>111</v>
      </c>
      <c r="L551" s="19" t="str">
        <f>VLOOKUP(C551,'[8]Trips&amp;Operators'!$C$1:$E$10000,3,FALSE)</f>
        <v>MALAVE</v>
      </c>
      <c r="M551" s="20" t="s">
        <v>112</v>
      </c>
      <c r="N551" s="19"/>
      <c r="O551" s="19" t="str">
        <f t="shared" si="16"/>
        <v>07</v>
      </c>
      <c r="P551" s="64">
        <f t="shared" si="17"/>
        <v>42558</v>
      </c>
    </row>
    <row r="552" spans="1:16" x14ac:dyDescent="0.25">
      <c r="A552" s="26">
        <v>42558.482256944444</v>
      </c>
      <c r="B552" s="4" t="s">
        <v>120</v>
      </c>
      <c r="C552" s="4" t="s">
        <v>1056</v>
      </c>
      <c r="D552" s="4" t="s">
        <v>103</v>
      </c>
      <c r="E552" s="4" t="s">
        <v>115</v>
      </c>
      <c r="F552" s="3">
        <v>150</v>
      </c>
      <c r="G552" s="4">
        <v>191</v>
      </c>
      <c r="H552" s="4">
        <v>231615</v>
      </c>
      <c r="I552" s="4" t="s">
        <v>105</v>
      </c>
      <c r="J552" s="4">
        <v>232107</v>
      </c>
      <c r="K552" s="4" t="s">
        <v>111</v>
      </c>
      <c r="L552" s="19" t="str">
        <f>VLOOKUP(C552,'[8]Trips&amp;Operators'!$C$1:$E$10000,3,FALSE)</f>
        <v>MALAVE</v>
      </c>
      <c r="M552" s="20" t="s">
        <v>112</v>
      </c>
      <c r="N552" s="19"/>
      <c r="O552" s="19" t="str">
        <f t="shared" si="16"/>
        <v>07</v>
      </c>
      <c r="P552" s="64">
        <f t="shared" si="17"/>
        <v>42558</v>
      </c>
    </row>
    <row r="553" spans="1:16" x14ac:dyDescent="0.25">
      <c r="A553" s="26">
        <v>42558.161469907405</v>
      </c>
      <c r="B553" s="4" t="s">
        <v>146</v>
      </c>
      <c r="C553" s="4" t="s">
        <v>668</v>
      </c>
      <c r="D553" s="4" t="s">
        <v>116</v>
      </c>
      <c r="E553" s="51" t="s">
        <v>122</v>
      </c>
      <c r="F553" s="3">
        <v>200</v>
      </c>
      <c r="G553" s="4">
        <v>254</v>
      </c>
      <c r="H553" s="4">
        <v>20507</v>
      </c>
      <c r="I553" s="51" t="s">
        <v>123</v>
      </c>
      <c r="J553" s="4">
        <v>10800</v>
      </c>
      <c r="K553" s="4" t="s">
        <v>111</v>
      </c>
      <c r="L553" s="19" t="str">
        <f>VLOOKUP(C553,'[8]Trips&amp;Operators'!$C$1:$E$10000,3,FALSE)</f>
        <v>STARKS</v>
      </c>
      <c r="M553" s="20" t="s">
        <v>112</v>
      </c>
      <c r="N553" s="19" t="s">
        <v>113</v>
      </c>
      <c r="O553" s="19" t="str">
        <f t="shared" si="16"/>
        <v>07</v>
      </c>
      <c r="P553" s="64">
        <f t="shared" si="17"/>
        <v>42558</v>
      </c>
    </row>
    <row r="554" spans="1:16" x14ac:dyDescent="0.25">
      <c r="A554" s="26">
        <v>42558.351203703707</v>
      </c>
      <c r="B554" s="4" t="s">
        <v>163</v>
      </c>
      <c r="C554" s="4" t="s">
        <v>1049</v>
      </c>
      <c r="D554" s="4" t="s">
        <v>103</v>
      </c>
      <c r="E554" s="51" t="s">
        <v>122</v>
      </c>
      <c r="F554" s="3">
        <v>0</v>
      </c>
      <c r="G554" s="4">
        <v>433</v>
      </c>
      <c r="H554" s="4">
        <v>17712</v>
      </c>
      <c r="I554" s="51" t="s">
        <v>123</v>
      </c>
      <c r="J554" s="4">
        <v>18990</v>
      </c>
      <c r="K554" s="4" t="s">
        <v>111</v>
      </c>
      <c r="L554" s="19" t="str">
        <f>VLOOKUP(C554,'[8]Trips&amp;Operators'!$C$1:$E$10000,3,FALSE)</f>
        <v>NELSON</v>
      </c>
      <c r="M554" s="20" t="s">
        <v>107</v>
      </c>
      <c r="N554" s="19" t="s">
        <v>52</v>
      </c>
      <c r="O554" s="19" t="str">
        <f t="shared" si="16"/>
        <v>07</v>
      </c>
      <c r="P554" s="64">
        <f t="shared" si="17"/>
        <v>42558</v>
      </c>
    </row>
    <row r="555" spans="1:16" x14ac:dyDescent="0.25">
      <c r="A555" s="26">
        <v>42558.331631944442</v>
      </c>
      <c r="B555" s="4" t="s">
        <v>135</v>
      </c>
      <c r="C555" s="4" t="s">
        <v>1057</v>
      </c>
      <c r="D555" s="4" t="s">
        <v>103</v>
      </c>
      <c r="E555" s="4" t="s">
        <v>122</v>
      </c>
      <c r="F555" s="3">
        <v>0</v>
      </c>
      <c r="G555" s="4">
        <v>488</v>
      </c>
      <c r="H555" s="4">
        <v>32163</v>
      </c>
      <c r="I555" s="4" t="s">
        <v>123</v>
      </c>
      <c r="J555" s="4">
        <v>33252</v>
      </c>
      <c r="K555" s="4" t="s">
        <v>111</v>
      </c>
      <c r="L555" s="19" t="str">
        <f>VLOOKUP(C555,'[8]Trips&amp;Operators'!$C$1:$E$10000,3,FALSE)</f>
        <v>BEAM</v>
      </c>
      <c r="M555" s="20" t="s">
        <v>107</v>
      </c>
      <c r="N555" s="19" t="s">
        <v>52</v>
      </c>
      <c r="O555" s="19" t="str">
        <f t="shared" si="16"/>
        <v>07</v>
      </c>
      <c r="P555" s="64">
        <f t="shared" si="17"/>
        <v>42558</v>
      </c>
    </row>
    <row r="556" spans="1:16" x14ac:dyDescent="0.25">
      <c r="A556" s="17">
        <v>42558.318831018521</v>
      </c>
      <c r="B556" s="18" t="s">
        <v>120</v>
      </c>
      <c r="C556" s="18" t="s">
        <v>290</v>
      </c>
      <c r="D556" s="18" t="s">
        <v>103</v>
      </c>
      <c r="E556" s="52" t="s">
        <v>122</v>
      </c>
      <c r="F556" s="53">
        <v>0</v>
      </c>
      <c r="G556" s="18">
        <v>511</v>
      </c>
      <c r="H556" s="18">
        <v>34843</v>
      </c>
      <c r="I556" s="52" t="s">
        <v>123</v>
      </c>
      <c r="J556" s="18">
        <v>36645</v>
      </c>
      <c r="K556" s="19" t="s">
        <v>111</v>
      </c>
      <c r="L556" s="19" t="str">
        <f>VLOOKUP(C556,'[8]Trips&amp;Operators'!$C$1:$E$10000,3,FALSE)</f>
        <v>STARKS</v>
      </c>
      <c r="M556" s="20" t="s">
        <v>107</v>
      </c>
      <c r="N556" s="19" t="s">
        <v>649</v>
      </c>
      <c r="O556" s="19" t="str">
        <f t="shared" si="16"/>
        <v>07</v>
      </c>
      <c r="P556" s="64">
        <f t="shared" si="17"/>
        <v>42558</v>
      </c>
    </row>
    <row r="557" spans="1:16" x14ac:dyDescent="0.25">
      <c r="A557" s="26">
        <v>42558.698796296296</v>
      </c>
      <c r="B557" s="4" t="s">
        <v>136</v>
      </c>
      <c r="C557" s="4" t="s">
        <v>1037</v>
      </c>
      <c r="D557" s="4" t="s">
        <v>116</v>
      </c>
      <c r="E557" s="51" t="s">
        <v>122</v>
      </c>
      <c r="F557" s="3">
        <v>0</v>
      </c>
      <c r="G557" s="4">
        <v>14</v>
      </c>
      <c r="H557" s="4">
        <v>64732</v>
      </c>
      <c r="I557" s="51" t="s">
        <v>123</v>
      </c>
      <c r="J557" s="4">
        <v>63995</v>
      </c>
      <c r="K557" s="4" t="s">
        <v>111</v>
      </c>
      <c r="L557" s="19" t="str">
        <f>VLOOKUP(C557,'[8]Trips&amp;Operators'!$C$1:$E$10000,3,FALSE)</f>
        <v>SPECTOR</v>
      </c>
      <c r="M557" s="20" t="s">
        <v>107</v>
      </c>
      <c r="N557" s="19" t="s">
        <v>47</v>
      </c>
      <c r="O557" s="19" t="str">
        <f t="shared" si="16"/>
        <v>07</v>
      </c>
      <c r="P557" s="64">
        <f t="shared" si="17"/>
        <v>42558</v>
      </c>
    </row>
    <row r="558" spans="1:16" x14ac:dyDescent="0.25">
      <c r="A558" s="26">
        <v>42558.520787037036</v>
      </c>
      <c r="B558" s="4" t="s">
        <v>133</v>
      </c>
      <c r="C558" s="4" t="s">
        <v>74</v>
      </c>
      <c r="D558" s="4" t="s">
        <v>103</v>
      </c>
      <c r="E558" s="51" t="s">
        <v>122</v>
      </c>
      <c r="F558" s="3">
        <v>0</v>
      </c>
      <c r="G558" s="4">
        <v>651</v>
      </c>
      <c r="H558" s="4">
        <v>70542</v>
      </c>
      <c r="I558" s="51" t="s">
        <v>123</v>
      </c>
      <c r="J558" s="4">
        <v>75566</v>
      </c>
      <c r="K558" s="4" t="s">
        <v>111</v>
      </c>
      <c r="L558" s="19" t="str">
        <f>VLOOKUP(C558,'[8]Trips&amp;Operators'!$C$1:$E$10000,3,FALSE)</f>
        <v>BEAM</v>
      </c>
      <c r="M558" s="20" t="s">
        <v>107</v>
      </c>
      <c r="N558" s="19" t="s">
        <v>52</v>
      </c>
      <c r="O558" s="19" t="str">
        <f t="shared" si="16"/>
        <v>07</v>
      </c>
      <c r="P558" s="64">
        <f t="shared" si="17"/>
        <v>42558</v>
      </c>
    </row>
    <row r="559" spans="1:16" x14ac:dyDescent="0.25">
      <c r="A559" s="26">
        <v>42558.521481481483</v>
      </c>
      <c r="B559" s="4" t="s">
        <v>133</v>
      </c>
      <c r="C559" s="4" t="s">
        <v>74</v>
      </c>
      <c r="D559" s="4" t="s">
        <v>103</v>
      </c>
      <c r="E559" s="51" t="s">
        <v>122</v>
      </c>
      <c r="F559" s="3">
        <v>0</v>
      </c>
      <c r="G559" s="4">
        <v>651</v>
      </c>
      <c r="H559" s="4">
        <v>70542</v>
      </c>
      <c r="I559" s="51" t="s">
        <v>123</v>
      </c>
      <c r="J559" s="4">
        <v>75566</v>
      </c>
      <c r="K559" s="4" t="s">
        <v>111</v>
      </c>
      <c r="L559" s="19" t="str">
        <f>VLOOKUP(C559,'[8]Trips&amp;Operators'!$C$1:$E$10000,3,FALSE)</f>
        <v>BEAM</v>
      </c>
      <c r="M559" s="20" t="s">
        <v>107</v>
      </c>
      <c r="N559" s="19" t="s">
        <v>52</v>
      </c>
      <c r="O559" s="19" t="str">
        <f t="shared" si="16"/>
        <v>07</v>
      </c>
      <c r="P559" s="64">
        <f t="shared" si="17"/>
        <v>42558</v>
      </c>
    </row>
    <row r="560" spans="1:16" x14ac:dyDescent="0.25">
      <c r="A560" s="26">
        <v>42558.694618055553</v>
      </c>
      <c r="B560" s="4" t="s">
        <v>139</v>
      </c>
      <c r="C560" s="4" t="s">
        <v>674</v>
      </c>
      <c r="D560" s="4" t="s">
        <v>116</v>
      </c>
      <c r="E560" s="51" t="s">
        <v>122</v>
      </c>
      <c r="F560" s="3">
        <v>200</v>
      </c>
      <c r="G560" s="4">
        <v>286</v>
      </c>
      <c r="H560" s="4">
        <v>153220</v>
      </c>
      <c r="I560" s="51" t="s">
        <v>123</v>
      </c>
      <c r="J560" s="4">
        <v>157300</v>
      </c>
      <c r="K560" s="4" t="s">
        <v>106</v>
      </c>
      <c r="L560" s="19" t="str">
        <f>VLOOKUP(C560,'[8]Trips&amp;Operators'!$C$1:$E$10000,3,FALSE)</f>
        <v>ROCHA</v>
      </c>
      <c r="M560" s="20" t="s">
        <v>112</v>
      </c>
      <c r="N560" s="19" t="s">
        <v>175</v>
      </c>
      <c r="O560" s="19" t="str">
        <f t="shared" si="16"/>
        <v>07</v>
      </c>
      <c r="P560" s="64">
        <f t="shared" si="17"/>
        <v>42558</v>
      </c>
    </row>
    <row r="561" spans="1:16" x14ac:dyDescent="0.25">
      <c r="A561" s="26">
        <v>42558.520891203705</v>
      </c>
      <c r="B561" s="4" t="s">
        <v>134</v>
      </c>
      <c r="C561" s="4" t="s">
        <v>161</v>
      </c>
      <c r="D561" s="4" t="s">
        <v>103</v>
      </c>
      <c r="E561" s="51" t="s">
        <v>122</v>
      </c>
      <c r="F561" s="3">
        <v>0</v>
      </c>
      <c r="G561" s="4">
        <v>753</v>
      </c>
      <c r="H561" s="4">
        <v>211340</v>
      </c>
      <c r="I561" s="51" t="s">
        <v>123</v>
      </c>
      <c r="J561" s="4">
        <v>210941</v>
      </c>
      <c r="K561" s="4" t="s">
        <v>106</v>
      </c>
      <c r="L561" s="19" t="str">
        <f>VLOOKUP(C561,'[8]Trips&amp;Operators'!$C$1:$E$10000,3,FALSE)</f>
        <v>STAMBAUGH</v>
      </c>
      <c r="M561" s="20" t="s">
        <v>107</v>
      </c>
      <c r="N561" s="19" t="s">
        <v>52</v>
      </c>
      <c r="O561" s="19" t="str">
        <f t="shared" si="16"/>
        <v>07</v>
      </c>
      <c r="P561" s="64">
        <f t="shared" si="17"/>
        <v>42558</v>
      </c>
    </row>
    <row r="562" spans="1:16" x14ac:dyDescent="0.25">
      <c r="A562" s="26">
        <v>42558.521585648145</v>
      </c>
      <c r="B562" s="4" t="s">
        <v>134</v>
      </c>
      <c r="C562" s="4" t="s">
        <v>161</v>
      </c>
      <c r="D562" s="4" t="s">
        <v>103</v>
      </c>
      <c r="E562" s="51" t="s">
        <v>122</v>
      </c>
      <c r="F562" s="3">
        <v>0</v>
      </c>
      <c r="G562" s="4">
        <v>753</v>
      </c>
      <c r="H562" s="4">
        <v>211340</v>
      </c>
      <c r="I562" s="51" t="s">
        <v>123</v>
      </c>
      <c r="J562" s="4">
        <v>210941</v>
      </c>
      <c r="K562" s="4" t="s">
        <v>106</v>
      </c>
      <c r="L562" s="19" t="str">
        <f>VLOOKUP(C562,'[8]Trips&amp;Operators'!$C$1:$E$10000,3,FALSE)</f>
        <v>STAMBAUGH</v>
      </c>
      <c r="M562" s="20" t="s">
        <v>107</v>
      </c>
      <c r="N562" s="19" t="s">
        <v>52</v>
      </c>
      <c r="O562" s="19" t="str">
        <f t="shared" si="16"/>
        <v>07</v>
      </c>
      <c r="P562" s="64">
        <f t="shared" si="17"/>
        <v>42558</v>
      </c>
    </row>
    <row r="563" spans="1:16" x14ac:dyDescent="0.25">
      <c r="A563" s="26">
        <v>42558.439502314817</v>
      </c>
      <c r="B563" s="4" t="s">
        <v>148</v>
      </c>
      <c r="C563" s="4" t="s">
        <v>1058</v>
      </c>
      <c r="D563" s="4" t="s">
        <v>103</v>
      </c>
      <c r="E563" s="51" t="s">
        <v>122</v>
      </c>
      <c r="F563" s="3">
        <v>0</v>
      </c>
      <c r="G563" s="4">
        <v>274</v>
      </c>
      <c r="H563" s="4">
        <v>223081</v>
      </c>
      <c r="I563" s="51" t="s">
        <v>123</v>
      </c>
      <c r="J563" s="4">
        <v>224231</v>
      </c>
      <c r="K563" s="4" t="s">
        <v>111</v>
      </c>
      <c r="L563" s="19" t="str">
        <f>VLOOKUP(C563,'[8]Trips&amp;Operators'!$C$1:$E$10000,3,FALSE)</f>
        <v>MAELZER</v>
      </c>
      <c r="M563" s="20" t="s">
        <v>107</v>
      </c>
      <c r="N563" s="19" t="s">
        <v>52</v>
      </c>
      <c r="O563" s="19" t="str">
        <f t="shared" si="16"/>
        <v>07</v>
      </c>
      <c r="P563" s="64">
        <f t="shared" si="17"/>
        <v>42558</v>
      </c>
    </row>
    <row r="564" spans="1:16" x14ac:dyDescent="0.25">
      <c r="A564" s="26">
        <v>42558.520810185182</v>
      </c>
      <c r="B564" s="4" t="s">
        <v>163</v>
      </c>
      <c r="C564" s="4" t="s">
        <v>1059</v>
      </c>
      <c r="D564" s="4" t="s">
        <v>103</v>
      </c>
      <c r="E564" s="51" t="s">
        <v>127</v>
      </c>
      <c r="F564" s="3">
        <v>0</v>
      </c>
      <c r="G564" s="4">
        <v>298</v>
      </c>
      <c r="H564" s="4">
        <v>21530</v>
      </c>
      <c r="I564" s="51" t="s">
        <v>128</v>
      </c>
      <c r="J564" s="4">
        <v>22372</v>
      </c>
      <c r="K564" s="4" t="s">
        <v>111</v>
      </c>
      <c r="L564" s="19" t="str">
        <f>VLOOKUP(C564,'[8]Trips&amp;Operators'!$C$1:$E$10000,3,FALSE)</f>
        <v>NELSON</v>
      </c>
      <c r="M564" s="20" t="s">
        <v>107</v>
      </c>
      <c r="N564" s="19" t="s">
        <v>52</v>
      </c>
      <c r="O564" s="19" t="str">
        <f t="shared" si="16"/>
        <v>07</v>
      </c>
      <c r="P564" s="64">
        <f t="shared" si="17"/>
        <v>42558</v>
      </c>
    </row>
    <row r="565" spans="1:16" x14ac:dyDescent="0.25">
      <c r="A565" s="26">
        <v>42558.521493055552</v>
      </c>
      <c r="B565" s="4" t="s">
        <v>163</v>
      </c>
      <c r="C565" s="4" t="s">
        <v>1059</v>
      </c>
      <c r="D565" s="4" t="s">
        <v>103</v>
      </c>
      <c r="E565" s="51" t="s">
        <v>127</v>
      </c>
      <c r="F565" s="3">
        <v>0</v>
      </c>
      <c r="G565" s="4">
        <v>298</v>
      </c>
      <c r="H565" s="4">
        <v>21530</v>
      </c>
      <c r="I565" s="51" t="s">
        <v>128</v>
      </c>
      <c r="J565" s="4">
        <v>22372</v>
      </c>
      <c r="K565" s="4" t="s">
        <v>111</v>
      </c>
      <c r="L565" s="19" t="str">
        <f>VLOOKUP(C565,'[8]Trips&amp;Operators'!$C$1:$E$10000,3,FALSE)</f>
        <v>NELSON</v>
      </c>
      <c r="M565" s="20" t="s">
        <v>107</v>
      </c>
      <c r="N565" s="19" t="s">
        <v>52</v>
      </c>
      <c r="O565" s="19" t="str">
        <f t="shared" si="16"/>
        <v>07</v>
      </c>
      <c r="P565" s="64">
        <f t="shared" si="17"/>
        <v>42558</v>
      </c>
    </row>
    <row r="566" spans="1:16" x14ac:dyDescent="0.25">
      <c r="A566" s="26">
        <v>42558.346203703702</v>
      </c>
      <c r="B566" s="4" t="s">
        <v>143</v>
      </c>
      <c r="C566" s="4" t="s">
        <v>1060</v>
      </c>
      <c r="D566" s="4" t="s">
        <v>103</v>
      </c>
      <c r="E566" s="4" t="s">
        <v>127</v>
      </c>
      <c r="F566" s="3">
        <v>0</v>
      </c>
      <c r="G566" s="4">
        <v>336</v>
      </c>
      <c r="H566" s="4">
        <v>24793</v>
      </c>
      <c r="I566" s="4" t="s">
        <v>128</v>
      </c>
      <c r="J566" s="4">
        <v>24193</v>
      </c>
      <c r="K566" s="4" t="s">
        <v>106</v>
      </c>
      <c r="L566" s="19" t="str">
        <f>VLOOKUP(C566,'[8]Trips&amp;Operators'!$C$1:$E$10000,3,FALSE)</f>
        <v>BEAM</v>
      </c>
      <c r="M566" s="20" t="s">
        <v>107</v>
      </c>
      <c r="N566" s="19" t="s">
        <v>52</v>
      </c>
      <c r="O566" s="19" t="str">
        <f t="shared" si="16"/>
        <v>07</v>
      </c>
      <c r="P566" s="64">
        <f t="shared" si="17"/>
        <v>42558</v>
      </c>
    </row>
    <row r="567" spans="1:16" x14ac:dyDescent="0.25">
      <c r="A567" s="26">
        <v>42558.520289351851</v>
      </c>
      <c r="B567" s="4" t="s">
        <v>136</v>
      </c>
      <c r="C567" s="4" t="s">
        <v>671</v>
      </c>
      <c r="D567" s="4" t="s">
        <v>116</v>
      </c>
      <c r="E567" s="51" t="s">
        <v>127</v>
      </c>
      <c r="F567" s="3">
        <v>0</v>
      </c>
      <c r="G567" s="4">
        <v>290</v>
      </c>
      <c r="H567" s="4">
        <v>127174</v>
      </c>
      <c r="I567" s="51" t="s">
        <v>128</v>
      </c>
      <c r="J567" s="4">
        <v>127587</v>
      </c>
      <c r="K567" s="4" t="s">
        <v>106</v>
      </c>
      <c r="L567" s="19" t="str">
        <f>VLOOKUP(C567,'[8]Trips&amp;Operators'!$C$1:$E$10000,3,FALSE)</f>
        <v>SPECTOR</v>
      </c>
      <c r="M567" s="20" t="s">
        <v>107</v>
      </c>
      <c r="N567" s="19" t="s">
        <v>52</v>
      </c>
      <c r="O567" s="19" t="str">
        <f t="shared" si="16"/>
        <v>07</v>
      </c>
      <c r="P567" s="64">
        <f t="shared" si="17"/>
        <v>42558</v>
      </c>
    </row>
    <row r="568" spans="1:16" x14ac:dyDescent="0.25">
      <c r="A568" s="26">
        <v>42558.404918981483</v>
      </c>
      <c r="B568" s="4" t="s">
        <v>120</v>
      </c>
      <c r="C568" s="4" t="s">
        <v>291</v>
      </c>
      <c r="D568" s="4" t="s">
        <v>103</v>
      </c>
      <c r="E568" s="51" t="s">
        <v>127</v>
      </c>
      <c r="F568" s="3">
        <v>0</v>
      </c>
      <c r="G568" s="4">
        <v>748</v>
      </c>
      <c r="H568" s="4">
        <v>149426</v>
      </c>
      <c r="I568" s="51" t="s">
        <v>128</v>
      </c>
      <c r="J568" s="4">
        <v>155600</v>
      </c>
      <c r="K568" s="4" t="s">
        <v>111</v>
      </c>
      <c r="L568" s="19" t="str">
        <f>VLOOKUP(C568,'[8]Trips&amp;Operators'!$C$1:$E$10000,3,FALSE)</f>
        <v>STARKS</v>
      </c>
      <c r="M568" s="20" t="s">
        <v>107</v>
      </c>
      <c r="N568" s="19" t="s">
        <v>52</v>
      </c>
      <c r="O568" s="19" t="str">
        <f t="shared" si="16"/>
        <v>07</v>
      </c>
      <c r="P568" s="64">
        <f t="shared" si="17"/>
        <v>42558</v>
      </c>
    </row>
    <row r="569" spans="1:16" x14ac:dyDescent="0.25">
      <c r="A569" s="26">
        <v>42558.520613425928</v>
      </c>
      <c r="B569" s="4" t="s">
        <v>125</v>
      </c>
      <c r="C569" s="4" t="s">
        <v>672</v>
      </c>
      <c r="D569" s="4" t="s">
        <v>103</v>
      </c>
      <c r="E569" s="51" t="s">
        <v>127</v>
      </c>
      <c r="F569" s="3">
        <v>0</v>
      </c>
      <c r="G569" s="4">
        <v>622</v>
      </c>
      <c r="H569" s="4">
        <v>186400</v>
      </c>
      <c r="I569" s="51" t="s">
        <v>128</v>
      </c>
      <c r="J569" s="4">
        <v>190834</v>
      </c>
      <c r="K569" s="4" t="s">
        <v>111</v>
      </c>
      <c r="L569" s="19" t="str">
        <f>VLOOKUP(C569,'[8]Trips&amp;Operators'!$C$1:$E$10000,3,FALSE)</f>
        <v>ROCHA</v>
      </c>
      <c r="M569" s="20" t="s">
        <v>107</v>
      </c>
      <c r="N569" s="19" t="s">
        <v>52</v>
      </c>
      <c r="O569" s="19" t="str">
        <f t="shared" si="16"/>
        <v>07</v>
      </c>
      <c r="P569" s="64">
        <f t="shared" si="17"/>
        <v>42558</v>
      </c>
    </row>
    <row r="570" spans="1:16" x14ac:dyDescent="0.25">
      <c r="A570" s="26">
        <v>42558.605636574073</v>
      </c>
      <c r="B570" s="4" t="s">
        <v>147</v>
      </c>
      <c r="C570" s="4" t="s">
        <v>673</v>
      </c>
      <c r="D570" s="4" t="s">
        <v>103</v>
      </c>
      <c r="E570" s="51" t="s">
        <v>127</v>
      </c>
      <c r="F570" s="3">
        <v>0</v>
      </c>
      <c r="G570" s="4">
        <v>436</v>
      </c>
      <c r="H570" s="4">
        <v>192931</v>
      </c>
      <c r="I570" s="51" t="s">
        <v>128</v>
      </c>
      <c r="J570" s="4">
        <v>191723</v>
      </c>
      <c r="K570" s="4" t="s">
        <v>106</v>
      </c>
      <c r="L570" s="19" t="str">
        <f>VLOOKUP(C570,'[8]Trips&amp;Operators'!$C$1:$E$10000,3,FALSE)</f>
        <v>COOLAHAN</v>
      </c>
      <c r="M570" s="20" t="s">
        <v>107</v>
      </c>
      <c r="N570" s="19" t="s">
        <v>52</v>
      </c>
      <c r="O570" s="19" t="str">
        <f t="shared" si="16"/>
        <v>07</v>
      </c>
      <c r="P570" s="64">
        <f t="shared" si="17"/>
        <v>42558</v>
      </c>
    </row>
    <row r="571" spans="1:16" x14ac:dyDescent="0.25">
      <c r="A571" s="26">
        <v>42558.221574074072</v>
      </c>
      <c r="B571" s="4" t="s">
        <v>131</v>
      </c>
      <c r="C571" s="4" t="s">
        <v>1061</v>
      </c>
      <c r="D571" s="4" t="s">
        <v>103</v>
      </c>
      <c r="E571" s="51" t="s">
        <v>129</v>
      </c>
      <c r="F571" s="3">
        <v>0</v>
      </c>
      <c r="G571" s="4">
        <v>8</v>
      </c>
      <c r="H571" s="4">
        <v>110</v>
      </c>
      <c r="I571" s="51" t="s">
        <v>130</v>
      </c>
      <c r="J571" s="4">
        <v>1</v>
      </c>
      <c r="K571" s="4" t="s">
        <v>106</v>
      </c>
      <c r="L571" s="19" t="str">
        <f>VLOOKUP(C571,'[8]Trips&amp;Operators'!$C$1:$E$10000,3,FALSE)</f>
        <v>STARKS</v>
      </c>
      <c r="M571" s="20" t="s">
        <v>112</v>
      </c>
      <c r="N571" s="19"/>
      <c r="O571" s="19" t="str">
        <f t="shared" si="16"/>
        <v>07</v>
      </c>
      <c r="P571" s="64">
        <f t="shared" si="17"/>
        <v>42558</v>
      </c>
    </row>
    <row r="572" spans="1:16" x14ac:dyDescent="0.25">
      <c r="A572" s="17">
        <v>42558.251944444448</v>
      </c>
      <c r="B572" s="18" t="s">
        <v>134</v>
      </c>
      <c r="C572" s="18" t="s">
        <v>1062</v>
      </c>
      <c r="D572" s="18" t="s">
        <v>103</v>
      </c>
      <c r="E572" s="52" t="s">
        <v>129</v>
      </c>
      <c r="F572" s="53">
        <v>0</v>
      </c>
      <c r="G572" s="18">
        <v>55</v>
      </c>
      <c r="H572" s="18">
        <v>220</v>
      </c>
      <c r="I572" s="52" t="s">
        <v>130</v>
      </c>
      <c r="J572" s="18">
        <v>1</v>
      </c>
      <c r="K572" s="19" t="s">
        <v>106</v>
      </c>
      <c r="L572" s="19" t="str">
        <f>VLOOKUP(C572,'[8]Trips&amp;Operators'!$C$1:$E$10000,3,FALSE)</f>
        <v>KILLION</v>
      </c>
      <c r="M572" s="20" t="s">
        <v>112</v>
      </c>
      <c r="N572" s="19"/>
      <c r="O572" s="19" t="str">
        <f t="shared" si="16"/>
        <v>07</v>
      </c>
      <c r="P572" s="64">
        <f t="shared" si="17"/>
        <v>42558</v>
      </c>
    </row>
    <row r="573" spans="1:16" x14ac:dyDescent="0.25">
      <c r="A573" s="26">
        <v>42558.293634259258</v>
      </c>
      <c r="B573" s="4" t="s">
        <v>145</v>
      </c>
      <c r="C573" s="4" t="s">
        <v>1063</v>
      </c>
      <c r="D573" s="4" t="s">
        <v>103</v>
      </c>
      <c r="E573" s="4" t="s">
        <v>129</v>
      </c>
      <c r="F573" s="3">
        <v>0</v>
      </c>
      <c r="G573" s="4">
        <v>5</v>
      </c>
      <c r="H573" s="4">
        <v>138</v>
      </c>
      <c r="I573" s="4" t="s">
        <v>130</v>
      </c>
      <c r="J573" s="4">
        <v>1</v>
      </c>
      <c r="K573" s="4" t="s">
        <v>106</v>
      </c>
      <c r="L573" s="19" t="str">
        <f>VLOOKUP(C573,'[8]Trips&amp;Operators'!$C$1:$E$10000,3,FALSE)</f>
        <v>MALAVE</v>
      </c>
      <c r="M573" s="20" t="s">
        <v>112</v>
      </c>
      <c r="N573" s="19"/>
      <c r="O573" s="19" t="str">
        <f t="shared" si="16"/>
        <v>07</v>
      </c>
      <c r="P573" s="64">
        <f t="shared" si="17"/>
        <v>42558</v>
      </c>
    </row>
    <row r="574" spans="1:16" x14ac:dyDescent="0.25">
      <c r="A574" s="17">
        <v>42558.335405092592</v>
      </c>
      <c r="B574" s="18" t="s">
        <v>147</v>
      </c>
      <c r="C574" s="18" t="s">
        <v>43</v>
      </c>
      <c r="D574" s="18" t="s">
        <v>103</v>
      </c>
      <c r="E574" s="52" t="s">
        <v>129</v>
      </c>
      <c r="F574" s="53">
        <v>0</v>
      </c>
      <c r="G574" s="18">
        <v>9</v>
      </c>
      <c r="H574" s="18">
        <v>105</v>
      </c>
      <c r="I574" s="52" t="s">
        <v>130</v>
      </c>
      <c r="J574" s="18">
        <v>1</v>
      </c>
      <c r="K574" s="19" t="s">
        <v>106</v>
      </c>
      <c r="L574" s="19" t="str">
        <f>VLOOKUP(C574,'[8]Trips&amp;Operators'!$C$1:$E$10000,3,FALSE)</f>
        <v>MAELZER</v>
      </c>
      <c r="M574" s="20" t="s">
        <v>112</v>
      </c>
      <c r="N574" s="19"/>
      <c r="O574" s="19" t="str">
        <f t="shared" si="16"/>
        <v>07</v>
      </c>
      <c r="P574" s="64">
        <f t="shared" si="17"/>
        <v>42558</v>
      </c>
    </row>
    <row r="575" spans="1:16" x14ac:dyDescent="0.25">
      <c r="A575" s="26">
        <v>42558.419016203705</v>
      </c>
      <c r="B575" s="4" t="s">
        <v>118</v>
      </c>
      <c r="C575" s="4" t="s">
        <v>1064</v>
      </c>
      <c r="D575" s="4" t="s">
        <v>103</v>
      </c>
      <c r="E575" s="51" t="s">
        <v>129</v>
      </c>
      <c r="F575" s="3">
        <v>0</v>
      </c>
      <c r="G575" s="4">
        <v>6</v>
      </c>
      <c r="H575" s="4">
        <v>129</v>
      </c>
      <c r="I575" s="51" t="s">
        <v>130</v>
      </c>
      <c r="J575" s="4">
        <v>1</v>
      </c>
      <c r="K575" s="4" t="s">
        <v>106</v>
      </c>
      <c r="L575" s="19" t="str">
        <f>VLOOKUP(C575,'[8]Trips&amp;Operators'!$C$1:$E$10000,3,FALSE)</f>
        <v>MOSES</v>
      </c>
      <c r="M575" s="20" t="s">
        <v>112</v>
      </c>
      <c r="N575" s="19"/>
      <c r="O575" s="19" t="str">
        <f t="shared" si="16"/>
        <v>07</v>
      </c>
      <c r="P575" s="64">
        <f t="shared" si="17"/>
        <v>42558</v>
      </c>
    </row>
    <row r="576" spans="1:16" x14ac:dyDescent="0.25">
      <c r="A576" s="26">
        <v>42558.439675925925</v>
      </c>
      <c r="B576" s="4" t="s">
        <v>145</v>
      </c>
      <c r="C576" s="4" t="s">
        <v>292</v>
      </c>
      <c r="D576" s="4" t="s">
        <v>103</v>
      </c>
      <c r="E576" s="4" t="s">
        <v>129</v>
      </c>
      <c r="F576" s="3">
        <v>0</v>
      </c>
      <c r="G576" s="4">
        <v>6</v>
      </c>
      <c r="H576" s="4">
        <v>129</v>
      </c>
      <c r="I576" s="4" t="s">
        <v>130</v>
      </c>
      <c r="J576" s="4">
        <v>1</v>
      </c>
      <c r="K576" s="4" t="s">
        <v>106</v>
      </c>
      <c r="L576" s="19" t="str">
        <f>VLOOKUP(C576,'[8]Trips&amp;Operators'!$C$1:$E$10000,3,FALSE)</f>
        <v>MALAVE</v>
      </c>
      <c r="M576" s="20" t="s">
        <v>112</v>
      </c>
      <c r="N576" s="19"/>
      <c r="O576" s="19" t="str">
        <f t="shared" si="16"/>
        <v>07</v>
      </c>
      <c r="P576" s="64">
        <f t="shared" si="17"/>
        <v>42558</v>
      </c>
    </row>
    <row r="577" spans="1:16" x14ac:dyDescent="0.25">
      <c r="A577" s="26">
        <v>42558.501851851855</v>
      </c>
      <c r="B577" s="4" t="s">
        <v>119</v>
      </c>
      <c r="C577" s="4" t="s">
        <v>97</v>
      </c>
      <c r="D577" s="4" t="s">
        <v>103</v>
      </c>
      <c r="E577" s="51" t="s">
        <v>129</v>
      </c>
      <c r="F577" s="3">
        <v>0</v>
      </c>
      <c r="G577" s="4">
        <v>35</v>
      </c>
      <c r="H577" s="4">
        <v>76</v>
      </c>
      <c r="I577" s="51" t="s">
        <v>130</v>
      </c>
      <c r="J577" s="4">
        <v>1</v>
      </c>
      <c r="K577" s="4" t="s">
        <v>106</v>
      </c>
      <c r="L577" s="19" t="str">
        <f>VLOOKUP(C577,'[8]Trips&amp;Operators'!$C$1:$E$10000,3,FALSE)</f>
        <v>MOSES</v>
      </c>
      <c r="M577" s="20" t="s">
        <v>112</v>
      </c>
      <c r="N577" s="19"/>
      <c r="O577" s="19" t="str">
        <f t="shared" si="16"/>
        <v>07</v>
      </c>
      <c r="P577" s="64">
        <f t="shared" si="17"/>
        <v>42558</v>
      </c>
    </row>
    <row r="578" spans="1:16" x14ac:dyDescent="0.25">
      <c r="A578" s="26">
        <v>42558.515879629631</v>
      </c>
      <c r="B578" s="4" t="s">
        <v>145</v>
      </c>
      <c r="C578" s="4" t="s">
        <v>160</v>
      </c>
      <c r="D578" s="4" t="s">
        <v>103</v>
      </c>
      <c r="E578" s="51" t="s">
        <v>129</v>
      </c>
      <c r="F578" s="3">
        <v>0</v>
      </c>
      <c r="G578" s="4">
        <v>62</v>
      </c>
      <c r="H578" s="4">
        <v>225</v>
      </c>
      <c r="I578" s="51" t="s">
        <v>130</v>
      </c>
      <c r="J578" s="4">
        <v>1</v>
      </c>
      <c r="K578" s="4" t="s">
        <v>106</v>
      </c>
      <c r="L578" s="19" t="str">
        <f>VLOOKUP(C578,'[8]Trips&amp;Operators'!$C$1:$E$10000,3,FALSE)</f>
        <v>STEWART</v>
      </c>
      <c r="M578" s="20" t="s">
        <v>112</v>
      </c>
      <c r="N578" s="19"/>
      <c r="O578" s="19" t="str">
        <f t="shared" ref="O578:O641" si="18">RIGHT(C578,2)</f>
        <v>07</v>
      </c>
      <c r="P578" s="64">
        <f t="shared" si="17"/>
        <v>42558</v>
      </c>
    </row>
    <row r="579" spans="1:16" x14ac:dyDescent="0.25">
      <c r="A579" s="26">
        <v>42558.544409722221</v>
      </c>
      <c r="B579" s="4" t="s">
        <v>134</v>
      </c>
      <c r="C579" s="4" t="s">
        <v>161</v>
      </c>
      <c r="D579" s="4" t="s">
        <v>103</v>
      </c>
      <c r="E579" s="51" t="s">
        <v>129</v>
      </c>
      <c r="F579" s="3">
        <v>0</v>
      </c>
      <c r="G579" s="4">
        <v>44</v>
      </c>
      <c r="H579" s="4">
        <v>154</v>
      </c>
      <c r="I579" s="51" t="s">
        <v>130</v>
      </c>
      <c r="J579" s="4">
        <v>1</v>
      </c>
      <c r="K579" s="4" t="s">
        <v>106</v>
      </c>
      <c r="L579" s="19" t="str">
        <f>VLOOKUP(C579,'[8]Trips&amp;Operators'!$C$1:$E$10000,3,FALSE)</f>
        <v>STAMBAUGH</v>
      </c>
      <c r="M579" s="20" t="s">
        <v>112</v>
      </c>
      <c r="N579" s="19"/>
      <c r="O579" s="19" t="str">
        <f t="shared" si="18"/>
        <v>07</v>
      </c>
      <c r="P579" s="64">
        <f t="shared" ref="P579:P642" si="19">42522+O579+29</f>
        <v>42558</v>
      </c>
    </row>
    <row r="580" spans="1:16" x14ac:dyDescent="0.25">
      <c r="A580" s="26">
        <v>42558.554328703707</v>
      </c>
      <c r="B580" s="4" t="s">
        <v>147</v>
      </c>
      <c r="C580" s="4" t="s">
        <v>289</v>
      </c>
      <c r="D580" s="4" t="s">
        <v>103</v>
      </c>
      <c r="E580" s="51" t="s">
        <v>129</v>
      </c>
      <c r="F580" s="3">
        <v>0</v>
      </c>
      <c r="G580" s="4">
        <v>80</v>
      </c>
      <c r="H580" s="4">
        <v>285</v>
      </c>
      <c r="I580" s="51" t="s">
        <v>130</v>
      </c>
      <c r="J580" s="4">
        <v>1</v>
      </c>
      <c r="K580" s="4" t="s">
        <v>106</v>
      </c>
      <c r="L580" s="19" t="str">
        <f>VLOOKUP(C580,'[8]Trips&amp;Operators'!$C$1:$E$10000,3,FALSE)</f>
        <v>COOLAHAN</v>
      </c>
      <c r="M580" s="20" t="s">
        <v>112</v>
      </c>
      <c r="N580" s="19"/>
      <c r="O580" s="19" t="str">
        <f t="shared" si="18"/>
        <v>07</v>
      </c>
      <c r="P580" s="64">
        <f t="shared" si="19"/>
        <v>42558</v>
      </c>
    </row>
    <row r="581" spans="1:16" x14ac:dyDescent="0.25">
      <c r="A581" s="26">
        <v>42558.57471064815</v>
      </c>
      <c r="B581" s="4" t="s">
        <v>119</v>
      </c>
      <c r="C581" s="4" t="s">
        <v>1065</v>
      </c>
      <c r="D581" s="4" t="s">
        <v>103</v>
      </c>
      <c r="E581" s="51" t="s">
        <v>129</v>
      </c>
      <c r="F581" s="3">
        <v>0</v>
      </c>
      <c r="G581" s="4">
        <v>52</v>
      </c>
      <c r="H581" s="4">
        <v>150</v>
      </c>
      <c r="I581" s="51" t="s">
        <v>130</v>
      </c>
      <c r="J581" s="4">
        <v>1</v>
      </c>
      <c r="K581" s="4" t="s">
        <v>106</v>
      </c>
      <c r="L581" s="19" t="str">
        <f>VLOOKUP(C581,'[8]Trips&amp;Operators'!$C$1:$E$10000,3,FALSE)</f>
        <v>BEAM</v>
      </c>
      <c r="M581" s="20" t="s">
        <v>112</v>
      </c>
      <c r="N581" s="19"/>
      <c r="O581" s="19" t="str">
        <f t="shared" si="18"/>
        <v>07</v>
      </c>
      <c r="P581" s="64">
        <f t="shared" si="19"/>
        <v>42558</v>
      </c>
    </row>
    <row r="582" spans="1:16" x14ac:dyDescent="0.25">
      <c r="A582" s="26">
        <v>42558.585509259261</v>
      </c>
      <c r="B582" s="4" t="s">
        <v>145</v>
      </c>
      <c r="C582" s="4" t="s">
        <v>1066</v>
      </c>
      <c r="D582" s="4" t="s">
        <v>103</v>
      </c>
      <c r="E582" s="51" t="s">
        <v>129</v>
      </c>
      <c r="F582" s="3">
        <v>0</v>
      </c>
      <c r="G582" s="4">
        <v>9</v>
      </c>
      <c r="H582" s="4">
        <v>134</v>
      </c>
      <c r="I582" s="51" t="s">
        <v>130</v>
      </c>
      <c r="J582" s="4">
        <v>1</v>
      </c>
      <c r="K582" s="4" t="s">
        <v>106</v>
      </c>
      <c r="L582" s="19" t="str">
        <f>VLOOKUP(C582,'[8]Trips&amp;Operators'!$C$1:$E$10000,3,FALSE)</f>
        <v>STEWART</v>
      </c>
      <c r="M582" s="20" t="s">
        <v>112</v>
      </c>
      <c r="N582" s="19"/>
      <c r="O582" s="19" t="str">
        <f t="shared" si="18"/>
        <v>07</v>
      </c>
      <c r="P582" s="64">
        <f t="shared" si="19"/>
        <v>42558</v>
      </c>
    </row>
    <row r="583" spans="1:16" x14ac:dyDescent="0.25">
      <c r="A583" s="26">
        <v>42558.631620370368</v>
      </c>
      <c r="B583" s="4" t="s">
        <v>147</v>
      </c>
      <c r="C583" s="4" t="s">
        <v>673</v>
      </c>
      <c r="D583" s="4" t="s">
        <v>103</v>
      </c>
      <c r="E583" s="51" t="s">
        <v>129</v>
      </c>
      <c r="F583" s="3">
        <v>0</v>
      </c>
      <c r="G583" s="4">
        <v>63</v>
      </c>
      <c r="H583" s="4">
        <v>203</v>
      </c>
      <c r="I583" s="51" t="s">
        <v>130</v>
      </c>
      <c r="J583" s="4">
        <v>1</v>
      </c>
      <c r="K583" s="4" t="s">
        <v>106</v>
      </c>
      <c r="L583" s="19" t="str">
        <f>VLOOKUP(C583,'[8]Trips&amp;Operators'!$C$1:$E$10000,3,FALSE)</f>
        <v>COOLAHAN</v>
      </c>
      <c r="M583" s="20" t="s">
        <v>112</v>
      </c>
      <c r="N583" s="19"/>
      <c r="O583" s="19" t="str">
        <f t="shared" si="18"/>
        <v>07</v>
      </c>
      <c r="P583" s="64">
        <f t="shared" si="19"/>
        <v>42558</v>
      </c>
    </row>
    <row r="584" spans="1:16" x14ac:dyDescent="0.25">
      <c r="A584" s="26">
        <v>42558.712800925925</v>
      </c>
      <c r="B584" s="4" t="s">
        <v>139</v>
      </c>
      <c r="C584" s="4" t="s">
        <v>674</v>
      </c>
      <c r="D584" s="4" t="s">
        <v>103</v>
      </c>
      <c r="E584" s="51" t="s">
        <v>129</v>
      </c>
      <c r="F584" s="3">
        <v>0</v>
      </c>
      <c r="G584" s="4">
        <v>4</v>
      </c>
      <c r="H584" s="4">
        <v>112</v>
      </c>
      <c r="I584" s="51" t="s">
        <v>130</v>
      </c>
      <c r="J584" s="4">
        <v>1</v>
      </c>
      <c r="K584" s="4" t="s">
        <v>106</v>
      </c>
      <c r="L584" s="19" t="str">
        <f>VLOOKUP(C584,'[8]Trips&amp;Operators'!$C$1:$E$10000,3,FALSE)</f>
        <v>ROCHA</v>
      </c>
      <c r="M584" s="20" t="s">
        <v>112</v>
      </c>
      <c r="N584" s="19"/>
      <c r="O584" s="19" t="str">
        <f t="shared" si="18"/>
        <v>07</v>
      </c>
      <c r="P584" s="64">
        <f t="shared" si="19"/>
        <v>42558</v>
      </c>
    </row>
    <row r="585" spans="1:16" x14ac:dyDescent="0.25">
      <c r="A585" s="26">
        <v>42558.721215277779</v>
      </c>
      <c r="B585" s="4" t="s">
        <v>119</v>
      </c>
      <c r="C585" s="4" t="s">
        <v>1042</v>
      </c>
      <c r="D585" s="4" t="s">
        <v>103</v>
      </c>
      <c r="E585" s="51" t="s">
        <v>129</v>
      </c>
      <c r="F585" s="3">
        <v>0</v>
      </c>
      <c r="G585" s="4">
        <v>57</v>
      </c>
      <c r="H585" s="4">
        <v>160</v>
      </c>
      <c r="I585" s="51" t="s">
        <v>130</v>
      </c>
      <c r="J585" s="4">
        <v>1</v>
      </c>
      <c r="K585" s="4" t="s">
        <v>106</v>
      </c>
      <c r="L585" s="19" t="str">
        <f>VLOOKUP(C585,'[8]Trips&amp;Operators'!$C$1:$E$10000,3,FALSE)</f>
        <v>STORY</v>
      </c>
      <c r="M585" s="20" t="s">
        <v>112</v>
      </c>
      <c r="N585" s="19"/>
      <c r="O585" s="19" t="str">
        <f t="shared" si="18"/>
        <v>07</v>
      </c>
      <c r="P585" s="64">
        <f t="shared" si="19"/>
        <v>42558</v>
      </c>
    </row>
    <row r="586" spans="1:16" x14ac:dyDescent="0.25">
      <c r="A586" s="26">
        <v>42558.762453703705</v>
      </c>
      <c r="B586" s="4" t="s">
        <v>134</v>
      </c>
      <c r="C586" s="4" t="s">
        <v>98</v>
      </c>
      <c r="D586" s="4" t="s">
        <v>103</v>
      </c>
      <c r="E586" s="51" t="s">
        <v>129</v>
      </c>
      <c r="F586" s="3">
        <v>0</v>
      </c>
      <c r="G586" s="4">
        <v>45</v>
      </c>
      <c r="H586" s="4">
        <v>154</v>
      </c>
      <c r="I586" s="51" t="s">
        <v>130</v>
      </c>
      <c r="J586" s="4">
        <v>1</v>
      </c>
      <c r="K586" s="4" t="s">
        <v>106</v>
      </c>
      <c r="L586" s="19" t="str">
        <f>VLOOKUP(C586,'[8]Trips&amp;Operators'!$C$1:$E$10000,3,FALSE)</f>
        <v>STAMBAUGH</v>
      </c>
      <c r="M586" s="20" t="s">
        <v>112</v>
      </c>
      <c r="N586" s="19"/>
      <c r="O586" s="19" t="str">
        <f t="shared" si="18"/>
        <v>07</v>
      </c>
      <c r="P586" s="64">
        <f t="shared" si="19"/>
        <v>42558</v>
      </c>
    </row>
    <row r="587" spans="1:16" x14ac:dyDescent="0.25">
      <c r="A587" s="26">
        <v>42558.794074074074</v>
      </c>
      <c r="B587" s="4" t="s">
        <v>119</v>
      </c>
      <c r="C587" s="4" t="s">
        <v>1067</v>
      </c>
      <c r="D587" s="4" t="s">
        <v>103</v>
      </c>
      <c r="E587" s="51" t="s">
        <v>129</v>
      </c>
      <c r="F587" s="3">
        <v>0</v>
      </c>
      <c r="G587" s="4">
        <v>53</v>
      </c>
      <c r="H587" s="4">
        <v>170</v>
      </c>
      <c r="I587" s="51" t="s">
        <v>130</v>
      </c>
      <c r="J587" s="4">
        <v>1</v>
      </c>
      <c r="K587" s="4" t="s">
        <v>106</v>
      </c>
      <c r="L587" s="19" t="str">
        <f>VLOOKUP(C587,'[8]Trips&amp;Operators'!$C$1:$E$10000,3,FALSE)</f>
        <v>STORY</v>
      </c>
      <c r="M587" s="20" t="s">
        <v>112</v>
      </c>
      <c r="N587" s="19"/>
      <c r="O587" s="19" t="str">
        <f t="shared" si="18"/>
        <v>07</v>
      </c>
      <c r="P587" s="64">
        <f t="shared" si="19"/>
        <v>42558</v>
      </c>
    </row>
    <row r="588" spans="1:16" x14ac:dyDescent="0.25">
      <c r="A588" s="26">
        <v>42558.960520833331</v>
      </c>
      <c r="B588" s="4" t="s">
        <v>145</v>
      </c>
      <c r="C588" s="4" t="s">
        <v>1068</v>
      </c>
      <c r="D588" s="4" t="s">
        <v>103</v>
      </c>
      <c r="E588" s="51" t="s">
        <v>129</v>
      </c>
      <c r="F588" s="3">
        <v>0</v>
      </c>
      <c r="G588" s="4">
        <v>7</v>
      </c>
      <c r="H588" s="4">
        <v>287</v>
      </c>
      <c r="I588" s="51" t="s">
        <v>130</v>
      </c>
      <c r="J588" s="4">
        <v>1</v>
      </c>
      <c r="K588" s="4" t="s">
        <v>106</v>
      </c>
      <c r="L588" s="19" t="str">
        <f>VLOOKUP(C588,'[8]Trips&amp;Operators'!$C$1:$E$10000,3,FALSE)</f>
        <v>DAVIS</v>
      </c>
      <c r="M588" s="20" t="s">
        <v>112</v>
      </c>
      <c r="N588" s="19"/>
      <c r="O588" s="19" t="str">
        <f t="shared" si="18"/>
        <v>07</v>
      </c>
      <c r="P588" s="64">
        <f t="shared" si="19"/>
        <v>42558</v>
      </c>
    </row>
    <row r="589" spans="1:16" x14ac:dyDescent="0.25">
      <c r="A589" s="26">
        <v>42559.064282407409</v>
      </c>
      <c r="B589" s="4" t="s">
        <v>136</v>
      </c>
      <c r="C589" s="4" t="s">
        <v>1069</v>
      </c>
      <c r="D589" s="4" t="s">
        <v>103</v>
      </c>
      <c r="E589" s="51" t="s">
        <v>129</v>
      </c>
      <c r="F589" s="3">
        <v>0</v>
      </c>
      <c r="G589" s="4">
        <v>51</v>
      </c>
      <c r="H589" s="4">
        <v>167</v>
      </c>
      <c r="I589" s="51" t="s">
        <v>130</v>
      </c>
      <c r="J589" s="4">
        <v>1</v>
      </c>
      <c r="K589" s="4" t="s">
        <v>106</v>
      </c>
      <c r="L589" s="19" t="str">
        <f>VLOOKUP(C589,'[8]Trips&amp;Operators'!$C$1:$E$10000,3,FALSE)</f>
        <v>ADANE</v>
      </c>
      <c r="M589" s="20" t="s">
        <v>112</v>
      </c>
      <c r="N589" s="19"/>
      <c r="O589" s="19" t="str">
        <f t="shared" si="18"/>
        <v>07</v>
      </c>
      <c r="P589" s="64">
        <f t="shared" si="19"/>
        <v>42558</v>
      </c>
    </row>
    <row r="590" spans="1:16" x14ac:dyDescent="0.25">
      <c r="A590" s="26">
        <v>42558.225590277776</v>
      </c>
      <c r="B590" s="4" t="s">
        <v>143</v>
      </c>
      <c r="C590" s="4" t="s">
        <v>1070</v>
      </c>
      <c r="D590" s="4" t="s">
        <v>103</v>
      </c>
      <c r="E590" s="4" t="s">
        <v>129</v>
      </c>
      <c r="F590" s="3">
        <v>0</v>
      </c>
      <c r="G590" s="4">
        <v>6</v>
      </c>
      <c r="H590" s="4">
        <v>727</v>
      </c>
      <c r="I590" s="4" t="s">
        <v>130</v>
      </c>
      <c r="J590" s="4">
        <v>575</v>
      </c>
      <c r="K590" s="4" t="s">
        <v>106</v>
      </c>
      <c r="L590" s="19" t="str">
        <f>VLOOKUP(C590,'[8]Trips&amp;Operators'!$C$1:$E$10000,3,FALSE)</f>
        <v>BEAM</v>
      </c>
      <c r="M590" s="20" t="s">
        <v>112</v>
      </c>
      <c r="N590" s="19"/>
      <c r="O590" s="19" t="str">
        <f t="shared" si="18"/>
        <v>07</v>
      </c>
      <c r="P590" s="64">
        <f t="shared" si="19"/>
        <v>42558</v>
      </c>
    </row>
    <row r="591" spans="1:16" x14ac:dyDescent="0.25">
      <c r="A591" s="26">
        <v>42558.209328703706</v>
      </c>
      <c r="B591" s="4" t="s">
        <v>135</v>
      </c>
      <c r="C591" s="4" t="s">
        <v>1051</v>
      </c>
      <c r="D591" s="4" t="s">
        <v>103</v>
      </c>
      <c r="E591" s="51" t="s">
        <v>129</v>
      </c>
      <c r="F591" s="3">
        <v>0</v>
      </c>
      <c r="G591" s="4">
        <v>7</v>
      </c>
      <c r="H591" s="4">
        <v>58956</v>
      </c>
      <c r="I591" s="51" t="s">
        <v>130</v>
      </c>
      <c r="J591" s="4">
        <v>59048</v>
      </c>
      <c r="K591" s="4" t="s">
        <v>111</v>
      </c>
      <c r="L591" s="19" t="str">
        <f>VLOOKUP(C591,'[8]Trips&amp;Operators'!$C$1:$E$10000,3,FALSE)</f>
        <v>BEAM</v>
      </c>
      <c r="M591" s="20" t="s">
        <v>112</v>
      </c>
      <c r="N591" s="19"/>
      <c r="O591" s="19" t="str">
        <f t="shared" si="18"/>
        <v>07</v>
      </c>
      <c r="P591" s="64">
        <f t="shared" si="19"/>
        <v>42558</v>
      </c>
    </row>
    <row r="592" spans="1:16" x14ac:dyDescent="0.25">
      <c r="A592" s="17">
        <v>42558.252662037034</v>
      </c>
      <c r="B592" s="18" t="s">
        <v>135</v>
      </c>
      <c r="C592" s="18" t="s">
        <v>1071</v>
      </c>
      <c r="D592" s="18" t="s">
        <v>103</v>
      </c>
      <c r="E592" s="52" t="s">
        <v>129</v>
      </c>
      <c r="F592" s="53">
        <v>0</v>
      </c>
      <c r="G592" s="18">
        <v>2</v>
      </c>
      <c r="H592" s="18">
        <v>58973</v>
      </c>
      <c r="I592" s="52" t="s">
        <v>130</v>
      </c>
      <c r="J592" s="18">
        <v>59048</v>
      </c>
      <c r="K592" s="19" t="s">
        <v>111</v>
      </c>
      <c r="L592" s="19" t="str">
        <f>VLOOKUP(C592,'[8]Trips&amp;Operators'!$C$1:$E$10000,3,FALSE)</f>
        <v>BEAM</v>
      </c>
      <c r="M592" s="20" t="s">
        <v>112</v>
      </c>
      <c r="N592" s="19"/>
      <c r="O592" s="19" t="str">
        <f t="shared" si="18"/>
        <v>07</v>
      </c>
      <c r="P592" s="64">
        <f t="shared" si="19"/>
        <v>42558</v>
      </c>
    </row>
    <row r="593" spans="1:16" x14ac:dyDescent="0.25">
      <c r="A593" s="26">
        <v>42558.315520833334</v>
      </c>
      <c r="B593" s="4" t="s">
        <v>163</v>
      </c>
      <c r="C593" s="4" t="s">
        <v>1072</v>
      </c>
      <c r="D593" s="4" t="s">
        <v>103</v>
      </c>
      <c r="E593" s="51" t="s">
        <v>129</v>
      </c>
      <c r="F593" s="3">
        <v>0</v>
      </c>
      <c r="G593" s="4">
        <v>7</v>
      </c>
      <c r="H593" s="4">
        <v>58958</v>
      </c>
      <c r="I593" s="51" t="s">
        <v>130</v>
      </c>
      <c r="J593" s="4">
        <v>59048</v>
      </c>
      <c r="K593" s="4" t="s">
        <v>111</v>
      </c>
      <c r="L593" s="19" t="str">
        <f>VLOOKUP(C593,'[8]Trips&amp;Operators'!$C$1:$E$10000,3,FALSE)</f>
        <v>NELSON</v>
      </c>
      <c r="M593" s="20" t="s">
        <v>112</v>
      </c>
      <c r="N593" s="19"/>
      <c r="O593" s="19" t="str">
        <f t="shared" si="18"/>
        <v>07</v>
      </c>
      <c r="P593" s="64">
        <f t="shared" si="19"/>
        <v>42558</v>
      </c>
    </row>
    <row r="594" spans="1:16" x14ac:dyDescent="0.25">
      <c r="A594" s="26">
        <v>42558.336643518516</v>
      </c>
      <c r="B594" s="4" t="s">
        <v>135</v>
      </c>
      <c r="C594" s="4" t="s">
        <v>1057</v>
      </c>
      <c r="D594" s="4" t="s">
        <v>103</v>
      </c>
      <c r="E594" s="4" t="s">
        <v>129</v>
      </c>
      <c r="F594" s="3">
        <v>0</v>
      </c>
      <c r="G594" s="4">
        <v>9</v>
      </c>
      <c r="H594" s="4">
        <v>58954</v>
      </c>
      <c r="I594" s="4" t="s">
        <v>130</v>
      </c>
      <c r="J594" s="4">
        <v>59048</v>
      </c>
      <c r="K594" s="4" t="s">
        <v>111</v>
      </c>
      <c r="L594" s="19" t="str">
        <f>VLOOKUP(C594,'[8]Trips&amp;Operators'!$C$1:$E$10000,3,FALSE)</f>
        <v>BEAM</v>
      </c>
      <c r="M594" s="20" t="s">
        <v>112</v>
      </c>
      <c r="N594" s="19"/>
      <c r="O594" s="19" t="str">
        <f t="shared" si="18"/>
        <v>07</v>
      </c>
      <c r="P594" s="64">
        <f t="shared" si="19"/>
        <v>42558</v>
      </c>
    </row>
    <row r="595" spans="1:16" x14ac:dyDescent="0.25">
      <c r="A595" s="26">
        <v>42558.690138888887</v>
      </c>
      <c r="B595" s="4" t="s">
        <v>163</v>
      </c>
      <c r="C595" s="4" t="s">
        <v>1073</v>
      </c>
      <c r="D595" s="4" t="s">
        <v>103</v>
      </c>
      <c r="E595" s="51" t="s">
        <v>129</v>
      </c>
      <c r="F595" s="3">
        <v>0</v>
      </c>
      <c r="G595" s="4">
        <v>37</v>
      </c>
      <c r="H595" s="4">
        <v>59001</v>
      </c>
      <c r="I595" s="51" t="s">
        <v>130</v>
      </c>
      <c r="J595" s="4">
        <v>59048</v>
      </c>
      <c r="K595" s="4" t="s">
        <v>111</v>
      </c>
      <c r="L595" s="19" t="str">
        <f>VLOOKUP(C595,'[8]Trips&amp;Operators'!$C$1:$E$10000,3,FALSE)</f>
        <v>MAYBERRY</v>
      </c>
      <c r="M595" s="20" t="s">
        <v>112</v>
      </c>
      <c r="N595" s="19"/>
      <c r="O595" s="19" t="str">
        <f t="shared" si="18"/>
        <v>07</v>
      </c>
      <c r="P595" s="64">
        <f t="shared" si="19"/>
        <v>42558</v>
      </c>
    </row>
    <row r="596" spans="1:16" x14ac:dyDescent="0.25">
      <c r="A596" s="26">
        <v>42558.773587962962</v>
      </c>
      <c r="B596" s="4" t="s">
        <v>163</v>
      </c>
      <c r="C596" s="4" t="s">
        <v>1050</v>
      </c>
      <c r="D596" s="4" t="s">
        <v>103</v>
      </c>
      <c r="E596" s="51" t="s">
        <v>129</v>
      </c>
      <c r="F596" s="3">
        <v>0</v>
      </c>
      <c r="G596" s="4">
        <v>102</v>
      </c>
      <c r="H596" s="4">
        <v>58670</v>
      </c>
      <c r="I596" s="51" t="s">
        <v>130</v>
      </c>
      <c r="J596" s="4">
        <v>59048</v>
      </c>
      <c r="K596" s="4" t="s">
        <v>111</v>
      </c>
      <c r="L596" s="19" t="str">
        <f>VLOOKUP(C596,'[8]Trips&amp;Operators'!$C$1:$E$10000,3,FALSE)</f>
        <v>MAYBERRY</v>
      </c>
      <c r="M596" s="20" t="s">
        <v>112</v>
      </c>
      <c r="N596" s="19"/>
      <c r="O596" s="19" t="str">
        <f t="shared" si="18"/>
        <v>07</v>
      </c>
      <c r="P596" s="64">
        <f t="shared" si="19"/>
        <v>42558</v>
      </c>
    </row>
    <row r="597" spans="1:16" x14ac:dyDescent="0.25">
      <c r="A597" s="26">
        <v>42558.796099537038</v>
      </c>
      <c r="B597" s="4" t="s">
        <v>135</v>
      </c>
      <c r="C597" s="4" t="s">
        <v>1074</v>
      </c>
      <c r="D597" s="4" t="s">
        <v>103</v>
      </c>
      <c r="E597" s="51" t="s">
        <v>129</v>
      </c>
      <c r="F597" s="3">
        <v>0</v>
      </c>
      <c r="G597" s="4">
        <v>4</v>
      </c>
      <c r="H597" s="4">
        <v>58952</v>
      </c>
      <c r="I597" s="51" t="s">
        <v>130</v>
      </c>
      <c r="J597" s="4">
        <v>59048</v>
      </c>
      <c r="K597" s="4" t="s">
        <v>111</v>
      </c>
      <c r="L597" s="19" t="str">
        <f>VLOOKUP(C597,'[8]Trips&amp;Operators'!$C$1:$E$10000,3,FALSE)</f>
        <v>DE LA ROSA</v>
      </c>
      <c r="M597" s="20" t="s">
        <v>112</v>
      </c>
      <c r="N597" s="19"/>
      <c r="O597" s="19" t="str">
        <f t="shared" si="18"/>
        <v>07</v>
      </c>
      <c r="P597" s="64">
        <f t="shared" si="19"/>
        <v>42558</v>
      </c>
    </row>
    <row r="598" spans="1:16" x14ac:dyDescent="0.25">
      <c r="A598" s="26">
        <v>42558.815949074073</v>
      </c>
      <c r="B598" s="4" t="s">
        <v>163</v>
      </c>
      <c r="C598" s="4" t="s">
        <v>1043</v>
      </c>
      <c r="D598" s="4" t="s">
        <v>103</v>
      </c>
      <c r="E598" s="51" t="s">
        <v>129</v>
      </c>
      <c r="F598" s="3">
        <v>0</v>
      </c>
      <c r="G598" s="4">
        <v>121</v>
      </c>
      <c r="H598" s="4">
        <v>58368</v>
      </c>
      <c r="I598" s="51" t="s">
        <v>130</v>
      </c>
      <c r="J598" s="4">
        <v>59048</v>
      </c>
      <c r="K598" s="4" t="s">
        <v>111</v>
      </c>
      <c r="L598" s="19" t="str">
        <f>VLOOKUP(C598,'[8]Trips&amp;Operators'!$C$1:$E$10000,3,FALSE)</f>
        <v>MAYBERRY</v>
      </c>
      <c r="M598" s="20" t="s">
        <v>112</v>
      </c>
      <c r="N598" s="19"/>
      <c r="O598" s="19" t="str">
        <f t="shared" si="18"/>
        <v>07</v>
      </c>
      <c r="P598" s="64">
        <f t="shared" si="19"/>
        <v>42558</v>
      </c>
    </row>
    <row r="599" spans="1:16" x14ac:dyDescent="0.25">
      <c r="A599" s="26">
        <v>42558.816840277781</v>
      </c>
      <c r="B599" s="4" t="s">
        <v>163</v>
      </c>
      <c r="C599" s="4" t="s">
        <v>1043</v>
      </c>
      <c r="D599" s="4" t="s">
        <v>103</v>
      </c>
      <c r="E599" s="51" t="s">
        <v>129</v>
      </c>
      <c r="F599" s="3">
        <v>0</v>
      </c>
      <c r="G599" s="4">
        <v>8</v>
      </c>
      <c r="H599" s="4">
        <v>58982</v>
      </c>
      <c r="I599" s="51" t="s">
        <v>130</v>
      </c>
      <c r="J599" s="4">
        <v>59048</v>
      </c>
      <c r="K599" s="4" t="s">
        <v>111</v>
      </c>
      <c r="L599" s="19" t="str">
        <f>VLOOKUP(C599,'[8]Trips&amp;Operators'!$C$1:$E$10000,3,FALSE)</f>
        <v>MAYBERRY</v>
      </c>
      <c r="M599" s="20" t="s">
        <v>112</v>
      </c>
      <c r="N599" s="19"/>
      <c r="O599" s="19" t="str">
        <f t="shared" si="18"/>
        <v>07</v>
      </c>
      <c r="P599" s="64">
        <f t="shared" si="19"/>
        <v>42558</v>
      </c>
    </row>
    <row r="600" spans="1:16" x14ac:dyDescent="0.25">
      <c r="A600" s="26">
        <v>42558.898958333331</v>
      </c>
      <c r="B600" s="4" t="s">
        <v>163</v>
      </c>
      <c r="C600" s="4" t="s">
        <v>1040</v>
      </c>
      <c r="D600" s="4" t="s">
        <v>103</v>
      </c>
      <c r="E600" s="51" t="s">
        <v>129</v>
      </c>
      <c r="F600" s="3">
        <v>0</v>
      </c>
      <c r="G600" s="4">
        <v>39</v>
      </c>
      <c r="H600" s="4">
        <v>58960</v>
      </c>
      <c r="I600" s="51" t="s">
        <v>130</v>
      </c>
      <c r="J600" s="4">
        <v>59048</v>
      </c>
      <c r="K600" s="4" t="s">
        <v>111</v>
      </c>
      <c r="L600" s="19" t="str">
        <f>VLOOKUP(C600,'[8]Trips&amp;Operators'!$C$1:$E$10000,3,FALSE)</f>
        <v>MAYBERRY</v>
      </c>
      <c r="M600" s="20" t="s">
        <v>112</v>
      </c>
      <c r="N600" s="19"/>
      <c r="O600" s="19" t="str">
        <f t="shared" si="18"/>
        <v>07</v>
      </c>
      <c r="P600" s="64">
        <f t="shared" si="19"/>
        <v>42558</v>
      </c>
    </row>
    <row r="601" spans="1:16" x14ac:dyDescent="0.25">
      <c r="A601" s="17">
        <v>42558.253831018519</v>
      </c>
      <c r="B601" s="18" t="s">
        <v>146</v>
      </c>
      <c r="C601" s="18" t="s">
        <v>1075</v>
      </c>
      <c r="D601" s="18" t="s">
        <v>103</v>
      </c>
      <c r="E601" s="52" t="s">
        <v>129</v>
      </c>
      <c r="F601" s="53">
        <v>0</v>
      </c>
      <c r="G601" s="18">
        <v>5</v>
      </c>
      <c r="H601" s="18">
        <v>233323</v>
      </c>
      <c r="I601" s="52" t="s">
        <v>130</v>
      </c>
      <c r="J601" s="18">
        <v>233491</v>
      </c>
      <c r="K601" s="19" t="s">
        <v>111</v>
      </c>
      <c r="L601" s="19" t="str">
        <f>VLOOKUP(C601,'[8]Trips&amp;Operators'!$C$1:$E$10000,3,FALSE)</f>
        <v>MALAVE</v>
      </c>
      <c r="M601" s="20" t="s">
        <v>112</v>
      </c>
      <c r="N601" s="19"/>
      <c r="O601" s="19" t="str">
        <f t="shared" si="18"/>
        <v>07</v>
      </c>
      <c r="P601" s="64">
        <f t="shared" si="19"/>
        <v>42558</v>
      </c>
    </row>
    <row r="602" spans="1:16" x14ac:dyDescent="0.25">
      <c r="A602" s="26">
        <v>42558.305717592593</v>
      </c>
      <c r="B602" s="4" t="s">
        <v>125</v>
      </c>
      <c r="C602" s="4" t="s">
        <v>1076</v>
      </c>
      <c r="D602" s="4" t="s">
        <v>103</v>
      </c>
      <c r="E602" s="51" t="s">
        <v>129</v>
      </c>
      <c r="F602" s="3">
        <v>0</v>
      </c>
      <c r="G602" s="4">
        <v>3</v>
      </c>
      <c r="H602" s="4">
        <v>233299</v>
      </c>
      <c r="I602" s="51" t="s">
        <v>130</v>
      </c>
      <c r="J602" s="4">
        <v>233491</v>
      </c>
      <c r="K602" s="4" t="s">
        <v>111</v>
      </c>
      <c r="L602" s="19" t="str">
        <f>VLOOKUP(C602,'[8]Trips&amp;Operators'!$C$1:$E$10000,3,FALSE)</f>
        <v>MOSES</v>
      </c>
      <c r="M602" s="20" t="s">
        <v>112</v>
      </c>
      <c r="N602" s="19"/>
      <c r="O602" s="19" t="str">
        <f t="shared" si="18"/>
        <v>07</v>
      </c>
      <c r="P602" s="64">
        <f t="shared" si="19"/>
        <v>42558</v>
      </c>
    </row>
    <row r="603" spans="1:16" x14ac:dyDescent="0.25">
      <c r="A603" s="26">
        <v>42558.347858796296</v>
      </c>
      <c r="B603" s="4" t="s">
        <v>138</v>
      </c>
      <c r="C603" s="4" t="s">
        <v>1077</v>
      </c>
      <c r="D603" s="4" t="s">
        <v>103</v>
      </c>
      <c r="E603" s="51" t="s">
        <v>129</v>
      </c>
      <c r="F603" s="3">
        <v>0</v>
      </c>
      <c r="G603" s="4">
        <v>6</v>
      </c>
      <c r="H603" s="4">
        <v>233301</v>
      </c>
      <c r="I603" s="51" t="s">
        <v>130</v>
      </c>
      <c r="J603" s="4">
        <v>233491</v>
      </c>
      <c r="K603" s="4" t="s">
        <v>111</v>
      </c>
      <c r="L603" s="19" t="str">
        <f>VLOOKUP(C603,'[8]Trips&amp;Operators'!$C$1:$E$10000,3,FALSE)</f>
        <v>YORK</v>
      </c>
      <c r="M603" s="20" t="s">
        <v>112</v>
      </c>
      <c r="N603" s="19"/>
      <c r="O603" s="19" t="str">
        <f t="shared" si="18"/>
        <v>07</v>
      </c>
      <c r="P603" s="64">
        <f t="shared" si="19"/>
        <v>42558</v>
      </c>
    </row>
    <row r="604" spans="1:16" x14ac:dyDescent="0.25">
      <c r="A604" s="26">
        <v>42558.39980324074</v>
      </c>
      <c r="B604" s="4" t="s">
        <v>146</v>
      </c>
      <c r="C604" s="4" t="s">
        <v>1055</v>
      </c>
      <c r="D604" s="4" t="s">
        <v>103</v>
      </c>
      <c r="E604" s="51" t="s">
        <v>129</v>
      </c>
      <c r="F604" s="3">
        <v>0</v>
      </c>
      <c r="G604" s="4">
        <v>9</v>
      </c>
      <c r="H604" s="4">
        <v>233321</v>
      </c>
      <c r="I604" s="51" t="s">
        <v>130</v>
      </c>
      <c r="J604" s="4">
        <v>233491</v>
      </c>
      <c r="K604" s="4" t="s">
        <v>111</v>
      </c>
      <c r="L604" s="19" t="str">
        <f>VLOOKUP(C604,'[8]Trips&amp;Operators'!$C$1:$E$10000,3,FALSE)</f>
        <v>MALAVE</v>
      </c>
      <c r="M604" s="20" t="s">
        <v>112</v>
      </c>
      <c r="N604" s="19"/>
      <c r="O604" s="19" t="str">
        <f t="shared" si="18"/>
        <v>07</v>
      </c>
      <c r="P604" s="64">
        <f t="shared" si="19"/>
        <v>42558</v>
      </c>
    </row>
    <row r="605" spans="1:16" x14ac:dyDescent="0.25">
      <c r="A605" s="17">
        <v>42558.412592592591</v>
      </c>
      <c r="B605" s="18" t="s">
        <v>120</v>
      </c>
      <c r="C605" s="18" t="s">
        <v>291</v>
      </c>
      <c r="D605" s="18" t="s">
        <v>103</v>
      </c>
      <c r="E605" s="52" t="s">
        <v>129</v>
      </c>
      <c r="F605" s="53">
        <v>0</v>
      </c>
      <c r="G605" s="18">
        <v>6</v>
      </c>
      <c r="H605" s="18">
        <v>233326</v>
      </c>
      <c r="I605" s="52" t="s">
        <v>130</v>
      </c>
      <c r="J605" s="18">
        <v>233491</v>
      </c>
      <c r="K605" s="19" t="s">
        <v>111</v>
      </c>
      <c r="L605" s="19" t="str">
        <f>VLOOKUP(C605,'[8]Trips&amp;Operators'!$C$1:$E$10000,3,FALSE)</f>
        <v>STARKS</v>
      </c>
      <c r="M605" s="20" t="s">
        <v>112</v>
      </c>
      <c r="N605" s="19"/>
      <c r="O605" s="19" t="str">
        <f t="shared" si="18"/>
        <v>07</v>
      </c>
      <c r="P605" s="64">
        <f t="shared" si="19"/>
        <v>42558</v>
      </c>
    </row>
    <row r="606" spans="1:16" x14ac:dyDescent="0.25">
      <c r="A606" s="26">
        <v>42558.451273148145</v>
      </c>
      <c r="B606" s="4" t="s">
        <v>125</v>
      </c>
      <c r="C606" s="4" t="s">
        <v>1078</v>
      </c>
      <c r="D606" s="4" t="s">
        <v>103</v>
      </c>
      <c r="E606" s="51" t="s">
        <v>129</v>
      </c>
      <c r="F606" s="3">
        <v>0</v>
      </c>
      <c r="G606" s="4">
        <v>8</v>
      </c>
      <c r="H606" s="4">
        <v>233336</v>
      </c>
      <c r="I606" s="51" t="s">
        <v>130</v>
      </c>
      <c r="J606" s="4">
        <v>233491</v>
      </c>
      <c r="K606" s="4" t="s">
        <v>111</v>
      </c>
      <c r="L606" s="19" t="str">
        <f>VLOOKUP(C606,'[8]Trips&amp;Operators'!$C$1:$E$10000,3,FALSE)</f>
        <v>ROCHA</v>
      </c>
      <c r="M606" s="20" t="s">
        <v>112</v>
      </c>
      <c r="N606" s="19"/>
      <c r="O606" s="19" t="str">
        <f t="shared" si="18"/>
        <v>07</v>
      </c>
      <c r="P606" s="64">
        <f t="shared" si="19"/>
        <v>42558</v>
      </c>
    </row>
    <row r="607" spans="1:16" x14ac:dyDescent="0.25">
      <c r="A607" s="17">
        <v>42558.483287037037</v>
      </c>
      <c r="B607" s="18" t="s">
        <v>120</v>
      </c>
      <c r="C607" s="18" t="s">
        <v>1056</v>
      </c>
      <c r="D607" s="18" t="s">
        <v>103</v>
      </c>
      <c r="E607" s="52" t="s">
        <v>129</v>
      </c>
      <c r="F607" s="53">
        <v>0</v>
      </c>
      <c r="G607" s="18">
        <v>9</v>
      </c>
      <c r="H607" s="18">
        <v>233329</v>
      </c>
      <c r="I607" s="52" t="s">
        <v>130</v>
      </c>
      <c r="J607" s="18">
        <v>233491</v>
      </c>
      <c r="K607" s="19" t="s">
        <v>111</v>
      </c>
      <c r="L607" s="19" t="str">
        <f>VLOOKUP(C607,'[8]Trips&amp;Operators'!$C$1:$E$10000,3,FALSE)</f>
        <v>MALAVE</v>
      </c>
      <c r="M607" s="20" t="s">
        <v>112</v>
      </c>
      <c r="N607" s="19"/>
      <c r="O607" s="19" t="str">
        <f t="shared" si="18"/>
        <v>07</v>
      </c>
      <c r="P607" s="64">
        <f t="shared" si="19"/>
        <v>42558</v>
      </c>
    </row>
    <row r="608" spans="1:16" x14ac:dyDescent="0.25">
      <c r="A608" s="26">
        <v>42558.514351851853</v>
      </c>
      <c r="B608" s="4" t="s">
        <v>148</v>
      </c>
      <c r="C608" s="4" t="s">
        <v>1079</v>
      </c>
      <c r="D608" s="4" t="s">
        <v>103</v>
      </c>
      <c r="E608" s="51" t="s">
        <v>129</v>
      </c>
      <c r="F608" s="3">
        <v>0</v>
      </c>
      <c r="G608" s="4">
        <v>7</v>
      </c>
      <c r="H608" s="4">
        <v>233307</v>
      </c>
      <c r="I608" s="51" t="s">
        <v>130</v>
      </c>
      <c r="J608" s="4">
        <v>233491</v>
      </c>
      <c r="K608" s="4" t="s">
        <v>111</v>
      </c>
      <c r="L608" s="19" t="str">
        <f>VLOOKUP(C608,'[8]Trips&amp;Operators'!$C$1:$E$10000,3,FALSE)</f>
        <v>COOLAHAN</v>
      </c>
      <c r="M608" s="20" t="s">
        <v>112</v>
      </c>
      <c r="N608" s="19"/>
      <c r="O608" s="19" t="str">
        <f t="shared" si="18"/>
        <v>07</v>
      </c>
      <c r="P608" s="64">
        <f t="shared" si="19"/>
        <v>42558</v>
      </c>
    </row>
    <row r="609" spans="1:16" x14ac:dyDescent="0.25">
      <c r="A609" s="26">
        <v>42558.640243055554</v>
      </c>
      <c r="B609" s="4" t="s">
        <v>138</v>
      </c>
      <c r="C609" s="4" t="s">
        <v>1080</v>
      </c>
      <c r="D609" s="4" t="s">
        <v>103</v>
      </c>
      <c r="E609" s="51" t="s">
        <v>129</v>
      </c>
      <c r="F609" s="3">
        <v>0</v>
      </c>
      <c r="G609" s="4">
        <v>5</v>
      </c>
      <c r="H609" s="4">
        <v>233341</v>
      </c>
      <c r="I609" s="51" t="s">
        <v>130</v>
      </c>
      <c r="J609" s="4">
        <v>233491</v>
      </c>
      <c r="K609" s="4" t="s">
        <v>111</v>
      </c>
      <c r="L609" s="19" t="str">
        <f>VLOOKUP(C609,'[8]Trips&amp;Operators'!$C$1:$E$10000,3,FALSE)</f>
        <v>SPECTOR</v>
      </c>
      <c r="M609" s="20" t="s">
        <v>112</v>
      </c>
      <c r="N609" s="19"/>
      <c r="O609" s="19" t="str">
        <f t="shared" si="18"/>
        <v>07</v>
      </c>
      <c r="P609" s="64">
        <f t="shared" si="19"/>
        <v>42558</v>
      </c>
    </row>
    <row r="610" spans="1:16" x14ac:dyDescent="0.25">
      <c r="A610" s="26">
        <v>42558.661099537036</v>
      </c>
      <c r="B610" s="4" t="s">
        <v>148</v>
      </c>
      <c r="C610" s="4" t="s">
        <v>1081</v>
      </c>
      <c r="D610" s="4" t="s">
        <v>103</v>
      </c>
      <c r="E610" s="51" t="s">
        <v>129</v>
      </c>
      <c r="F610" s="3">
        <v>0</v>
      </c>
      <c r="G610" s="4">
        <v>4</v>
      </c>
      <c r="H610" s="4">
        <v>233297</v>
      </c>
      <c r="I610" s="51" t="s">
        <v>130</v>
      </c>
      <c r="J610" s="4">
        <v>233491</v>
      </c>
      <c r="K610" s="4" t="s">
        <v>111</v>
      </c>
      <c r="L610" s="19" t="str">
        <f>VLOOKUP(C610,'[8]Trips&amp;Operators'!$C$1:$E$10000,3,FALSE)</f>
        <v>COOLAHAN</v>
      </c>
      <c r="M610" s="20" t="s">
        <v>112</v>
      </c>
      <c r="N610" s="19"/>
      <c r="O610" s="19" t="str">
        <f t="shared" si="18"/>
        <v>07</v>
      </c>
      <c r="P610" s="64">
        <f t="shared" si="19"/>
        <v>42558</v>
      </c>
    </row>
    <row r="611" spans="1:16" x14ac:dyDescent="0.25">
      <c r="A611" s="26">
        <v>42558.670474537037</v>
      </c>
      <c r="B611" s="4" t="s">
        <v>137</v>
      </c>
      <c r="C611" s="4" t="s">
        <v>1082</v>
      </c>
      <c r="D611" s="4" t="s">
        <v>103</v>
      </c>
      <c r="E611" s="51" t="s">
        <v>129</v>
      </c>
      <c r="F611" s="3">
        <v>0</v>
      </c>
      <c r="G611" s="4">
        <v>4</v>
      </c>
      <c r="H611" s="4">
        <v>233332</v>
      </c>
      <c r="I611" s="51" t="s">
        <v>130</v>
      </c>
      <c r="J611" s="4">
        <v>233491</v>
      </c>
      <c r="K611" s="4" t="s">
        <v>111</v>
      </c>
      <c r="L611" s="19" t="str">
        <f>VLOOKUP(C611,'[8]Trips&amp;Operators'!$C$1:$E$10000,3,FALSE)</f>
        <v>ROCHA</v>
      </c>
      <c r="M611" s="20" t="s">
        <v>112</v>
      </c>
      <c r="N611" s="19"/>
      <c r="O611" s="19" t="str">
        <f t="shared" si="18"/>
        <v>07</v>
      </c>
      <c r="P611" s="64">
        <f t="shared" si="19"/>
        <v>42558</v>
      </c>
    </row>
    <row r="612" spans="1:16" x14ac:dyDescent="0.25">
      <c r="A612" s="26">
        <v>42558.962129629632</v>
      </c>
      <c r="B612" s="4" t="s">
        <v>108</v>
      </c>
      <c r="C612" s="4" t="s">
        <v>1083</v>
      </c>
      <c r="D612" s="4" t="s">
        <v>103</v>
      </c>
      <c r="E612" s="51" t="s">
        <v>129</v>
      </c>
      <c r="F612" s="3">
        <v>0</v>
      </c>
      <c r="G612" s="4">
        <v>9</v>
      </c>
      <c r="H612" s="4">
        <v>233339</v>
      </c>
      <c r="I612" s="51" t="s">
        <v>130</v>
      </c>
      <c r="J612" s="4">
        <v>233491</v>
      </c>
      <c r="K612" s="4" t="s">
        <v>111</v>
      </c>
      <c r="L612" s="19" t="str">
        <f>VLOOKUP(C612,'[8]Trips&amp;Operators'!$C$1:$E$10000,3,FALSE)</f>
        <v>GRASTON</v>
      </c>
      <c r="M612" s="20" t="s">
        <v>112</v>
      </c>
      <c r="N612" s="19"/>
      <c r="O612" s="19" t="str">
        <f t="shared" si="18"/>
        <v>07</v>
      </c>
      <c r="P612" s="64">
        <f t="shared" si="19"/>
        <v>42558</v>
      </c>
    </row>
    <row r="613" spans="1:16" x14ac:dyDescent="0.25">
      <c r="A613" s="26">
        <v>42559.686192129629</v>
      </c>
      <c r="B613" s="4" t="s">
        <v>119</v>
      </c>
      <c r="C613" s="4" t="s">
        <v>679</v>
      </c>
      <c r="D613" s="4" t="s">
        <v>103</v>
      </c>
      <c r="E613" s="4" t="s">
        <v>109</v>
      </c>
      <c r="F613" s="3">
        <v>0</v>
      </c>
      <c r="G613" s="3">
        <v>227</v>
      </c>
      <c r="H613" s="3">
        <v>54094</v>
      </c>
      <c r="I613" s="4" t="s">
        <v>110</v>
      </c>
      <c r="J613" s="3">
        <v>53277</v>
      </c>
      <c r="K613" s="4" t="s">
        <v>106</v>
      </c>
      <c r="L613" s="19" t="s">
        <v>444</v>
      </c>
      <c r="M613" s="20" t="s">
        <v>112</v>
      </c>
      <c r="N613" s="19" t="s">
        <v>186</v>
      </c>
      <c r="O613" s="19" t="str">
        <f t="shared" si="18"/>
        <v>08</v>
      </c>
      <c r="P613" s="64">
        <f t="shared" si="19"/>
        <v>42559</v>
      </c>
    </row>
    <row r="614" spans="1:16" x14ac:dyDescent="0.25">
      <c r="A614" s="26">
        <v>42559.519270833334</v>
      </c>
      <c r="B614" s="4" t="s">
        <v>120</v>
      </c>
      <c r="C614" s="4" t="s">
        <v>1084</v>
      </c>
      <c r="D614" s="4" t="s">
        <v>103</v>
      </c>
      <c r="E614" s="4" t="s">
        <v>109</v>
      </c>
      <c r="F614" s="3">
        <v>0</v>
      </c>
      <c r="G614" s="3">
        <v>456</v>
      </c>
      <c r="H614" s="3">
        <v>56772</v>
      </c>
      <c r="I614" s="4" t="s">
        <v>110</v>
      </c>
      <c r="J614" s="3">
        <v>58118</v>
      </c>
      <c r="K614" s="4" t="s">
        <v>111</v>
      </c>
      <c r="L614" s="19" t="s">
        <v>409</v>
      </c>
      <c r="M614" s="20" t="s">
        <v>112</v>
      </c>
      <c r="N614" s="19" t="s">
        <v>113</v>
      </c>
      <c r="O614" s="19" t="str">
        <f t="shared" si="18"/>
        <v>08</v>
      </c>
      <c r="P614" s="64">
        <f t="shared" si="19"/>
        <v>42559</v>
      </c>
    </row>
    <row r="615" spans="1:16" x14ac:dyDescent="0.25">
      <c r="A615" s="26">
        <v>42559.288900462961</v>
      </c>
      <c r="B615" s="51" t="s">
        <v>137</v>
      </c>
      <c r="C615" s="4" t="s">
        <v>1085</v>
      </c>
      <c r="D615" s="4" t="s">
        <v>103</v>
      </c>
      <c r="E615" s="4" t="s">
        <v>109</v>
      </c>
      <c r="F615" s="3">
        <v>0</v>
      </c>
      <c r="G615" s="3">
        <v>396</v>
      </c>
      <c r="H615" s="3">
        <v>127244</v>
      </c>
      <c r="I615" s="4" t="s">
        <v>110</v>
      </c>
      <c r="J615" s="3">
        <v>127562</v>
      </c>
      <c r="K615" s="4" t="s">
        <v>111</v>
      </c>
      <c r="L615" s="19" t="s">
        <v>396</v>
      </c>
      <c r="M615" s="20" t="s">
        <v>112</v>
      </c>
      <c r="N615" s="19" t="s">
        <v>113</v>
      </c>
      <c r="O615" s="19" t="str">
        <f t="shared" si="18"/>
        <v>08</v>
      </c>
      <c r="P615" s="64">
        <f t="shared" si="19"/>
        <v>42559</v>
      </c>
    </row>
    <row r="616" spans="1:16" x14ac:dyDescent="0.25">
      <c r="A616" s="26">
        <v>42559.407824074071</v>
      </c>
      <c r="B616" s="51" t="s">
        <v>163</v>
      </c>
      <c r="C616" s="4" t="s">
        <v>1086</v>
      </c>
      <c r="D616" s="4" t="s">
        <v>116</v>
      </c>
      <c r="E616" s="51" t="s">
        <v>115</v>
      </c>
      <c r="F616" s="3">
        <v>150</v>
      </c>
      <c r="G616" s="3">
        <v>201</v>
      </c>
      <c r="H616" s="3">
        <v>3935</v>
      </c>
      <c r="I616" s="51" t="s">
        <v>105</v>
      </c>
      <c r="J616" s="3">
        <v>0</v>
      </c>
      <c r="K616" s="4" t="s">
        <v>111</v>
      </c>
      <c r="L616" s="19" t="s">
        <v>415</v>
      </c>
      <c r="M616" s="20" t="s">
        <v>112</v>
      </c>
      <c r="N616" s="19"/>
      <c r="O616" s="19" t="str">
        <f t="shared" si="18"/>
        <v>08</v>
      </c>
      <c r="P616" s="64">
        <f t="shared" si="19"/>
        <v>42559</v>
      </c>
    </row>
    <row r="617" spans="1:16" x14ac:dyDescent="0.25">
      <c r="A617" s="26">
        <v>42559.499097222222</v>
      </c>
      <c r="B617" s="4" t="s">
        <v>131</v>
      </c>
      <c r="C617" s="4" t="s">
        <v>293</v>
      </c>
      <c r="D617" s="4" t="s">
        <v>103</v>
      </c>
      <c r="E617" s="4" t="s">
        <v>115</v>
      </c>
      <c r="F617" s="3">
        <v>450</v>
      </c>
      <c r="G617" s="3">
        <v>438</v>
      </c>
      <c r="H617" s="3">
        <v>17555</v>
      </c>
      <c r="I617" s="4" t="s">
        <v>105</v>
      </c>
      <c r="J617" s="3">
        <v>15167</v>
      </c>
      <c r="K617" s="4" t="s">
        <v>106</v>
      </c>
      <c r="L617" s="19" t="s">
        <v>473</v>
      </c>
      <c r="M617" s="20" t="s">
        <v>112</v>
      </c>
      <c r="N617" s="19"/>
      <c r="O617" s="19" t="str">
        <f t="shared" si="18"/>
        <v>08</v>
      </c>
      <c r="P617" s="64">
        <f t="shared" si="19"/>
        <v>42559</v>
      </c>
    </row>
    <row r="618" spans="1:16" x14ac:dyDescent="0.25">
      <c r="A618" s="26">
        <v>42559.258483796293</v>
      </c>
      <c r="B618" s="52" t="s">
        <v>139</v>
      </c>
      <c r="C618" s="18" t="s">
        <v>297</v>
      </c>
      <c r="D618" s="18" t="s">
        <v>103</v>
      </c>
      <c r="E618" s="52" t="s">
        <v>115</v>
      </c>
      <c r="F618" s="53">
        <v>300</v>
      </c>
      <c r="G618" s="53">
        <v>485</v>
      </c>
      <c r="H618" s="53">
        <v>24128</v>
      </c>
      <c r="I618" s="52" t="s">
        <v>105</v>
      </c>
      <c r="J618" s="53">
        <v>21848</v>
      </c>
      <c r="K618" s="19" t="s">
        <v>106</v>
      </c>
      <c r="L618" s="19" t="s">
        <v>396</v>
      </c>
      <c r="M618" s="20" t="s">
        <v>112</v>
      </c>
      <c r="N618" s="19"/>
      <c r="O618" s="19" t="str">
        <f t="shared" si="18"/>
        <v>08</v>
      </c>
      <c r="P618" s="64">
        <f t="shared" si="19"/>
        <v>42559</v>
      </c>
    </row>
    <row r="619" spans="1:16" x14ac:dyDescent="0.25">
      <c r="A619" s="17">
        <v>42559.411261574074</v>
      </c>
      <c r="B619" s="51" t="s">
        <v>163</v>
      </c>
      <c r="C619" s="4" t="s">
        <v>1086</v>
      </c>
      <c r="D619" s="4" t="s">
        <v>103</v>
      </c>
      <c r="E619" s="4" t="s">
        <v>115</v>
      </c>
      <c r="F619" s="3">
        <v>200</v>
      </c>
      <c r="G619" s="3">
        <v>445</v>
      </c>
      <c r="H619" s="3">
        <v>25438</v>
      </c>
      <c r="I619" s="4" t="s">
        <v>105</v>
      </c>
      <c r="J619" s="3">
        <v>27333</v>
      </c>
      <c r="K619" s="4" t="s">
        <v>111</v>
      </c>
      <c r="L619" s="19" t="s">
        <v>415</v>
      </c>
      <c r="M619" s="20" t="s">
        <v>112</v>
      </c>
      <c r="N619" s="19"/>
      <c r="O619" s="19" t="str">
        <f t="shared" si="18"/>
        <v>08</v>
      </c>
      <c r="P619" s="64">
        <f t="shared" si="19"/>
        <v>42559</v>
      </c>
    </row>
    <row r="620" spans="1:16" x14ac:dyDescent="0.25">
      <c r="A620" s="26">
        <v>42559.46597222222</v>
      </c>
      <c r="B620" s="51" t="s">
        <v>124</v>
      </c>
      <c r="C620" s="4" t="s">
        <v>1087</v>
      </c>
      <c r="D620" s="4" t="s">
        <v>103</v>
      </c>
      <c r="E620" s="51" t="s">
        <v>115</v>
      </c>
      <c r="F620" s="3">
        <v>200</v>
      </c>
      <c r="G620" s="3">
        <v>164</v>
      </c>
      <c r="H620" s="3">
        <v>30792</v>
      </c>
      <c r="I620" s="51" t="s">
        <v>105</v>
      </c>
      <c r="J620" s="3">
        <v>30562</v>
      </c>
      <c r="K620" s="4" t="s">
        <v>106</v>
      </c>
      <c r="L620" s="19" t="s">
        <v>415</v>
      </c>
      <c r="M620" s="20" t="s">
        <v>112</v>
      </c>
      <c r="N620" s="19"/>
      <c r="O620" s="19" t="str">
        <f t="shared" si="18"/>
        <v>08</v>
      </c>
      <c r="P620" s="64">
        <f t="shared" si="19"/>
        <v>42559</v>
      </c>
    </row>
    <row r="621" spans="1:16" x14ac:dyDescent="0.25">
      <c r="A621" s="17">
        <v>42559.466099537036</v>
      </c>
      <c r="B621" s="51" t="s">
        <v>139</v>
      </c>
      <c r="C621" s="4" t="s">
        <v>1088</v>
      </c>
      <c r="D621" s="4" t="s">
        <v>103</v>
      </c>
      <c r="E621" s="51" t="s">
        <v>115</v>
      </c>
      <c r="F621" s="3">
        <v>400</v>
      </c>
      <c r="G621" s="3">
        <v>530</v>
      </c>
      <c r="H621" s="3">
        <v>121685</v>
      </c>
      <c r="I621" s="51" t="s">
        <v>105</v>
      </c>
      <c r="J621" s="3">
        <v>119716</v>
      </c>
      <c r="K621" s="4" t="s">
        <v>106</v>
      </c>
      <c r="L621" s="19" t="s">
        <v>396</v>
      </c>
      <c r="M621" s="20" t="s">
        <v>112</v>
      </c>
      <c r="N621" s="19"/>
      <c r="O621" s="19" t="str">
        <f t="shared" si="18"/>
        <v>08</v>
      </c>
      <c r="P621" s="64">
        <f t="shared" si="19"/>
        <v>42559</v>
      </c>
    </row>
    <row r="622" spans="1:16" x14ac:dyDescent="0.25">
      <c r="A622" s="26">
        <v>42559.364745370367</v>
      </c>
      <c r="B622" s="51" t="s">
        <v>137</v>
      </c>
      <c r="C622" s="4" t="s">
        <v>1089</v>
      </c>
      <c r="D622" s="4" t="s">
        <v>116</v>
      </c>
      <c r="E622" s="51" t="s">
        <v>115</v>
      </c>
      <c r="F622" s="3">
        <v>600</v>
      </c>
      <c r="G622" s="3">
        <v>651</v>
      </c>
      <c r="H622" s="3">
        <v>189470</v>
      </c>
      <c r="I622" s="51" t="s">
        <v>105</v>
      </c>
      <c r="J622" s="3">
        <v>183829</v>
      </c>
      <c r="K622" s="4" t="s">
        <v>111</v>
      </c>
      <c r="L622" s="19" t="s">
        <v>396</v>
      </c>
      <c r="M622" s="20" t="s">
        <v>112</v>
      </c>
      <c r="N622" s="19"/>
      <c r="O622" s="19" t="str">
        <f t="shared" si="18"/>
        <v>08</v>
      </c>
      <c r="P622" s="64">
        <f t="shared" si="19"/>
        <v>42559</v>
      </c>
    </row>
    <row r="623" spans="1:16" x14ac:dyDescent="0.25">
      <c r="A623" s="26">
        <v>42559.533009259256</v>
      </c>
      <c r="B623" s="4" t="s">
        <v>120</v>
      </c>
      <c r="C623" s="4" t="s">
        <v>1084</v>
      </c>
      <c r="D623" s="4" t="s">
        <v>103</v>
      </c>
      <c r="E623" s="4" t="s">
        <v>115</v>
      </c>
      <c r="F623" s="3">
        <v>600</v>
      </c>
      <c r="G623" s="3">
        <v>686</v>
      </c>
      <c r="H623" s="3">
        <v>182244</v>
      </c>
      <c r="I623" s="4" t="s">
        <v>105</v>
      </c>
      <c r="J623" s="3">
        <v>183829</v>
      </c>
      <c r="K623" s="4" t="s">
        <v>111</v>
      </c>
      <c r="L623" s="19" t="s">
        <v>409</v>
      </c>
      <c r="M623" s="20" t="s">
        <v>112</v>
      </c>
      <c r="N623" s="19"/>
      <c r="O623" s="19" t="str">
        <f t="shared" si="18"/>
        <v>08</v>
      </c>
      <c r="P623" s="64">
        <f t="shared" si="19"/>
        <v>42559</v>
      </c>
    </row>
    <row r="624" spans="1:16" x14ac:dyDescent="0.25">
      <c r="A624" s="26">
        <v>42559.732048611113</v>
      </c>
      <c r="B624" s="4" t="s">
        <v>117</v>
      </c>
      <c r="C624" s="4" t="s">
        <v>1090</v>
      </c>
      <c r="D624" s="4" t="s">
        <v>103</v>
      </c>
      <c r="E624" s="4" t="s">
        <v>115</v>
      </c>
      <c r="F624" s="3">
        <v>450</v>
      </c>
      <c r="G624" s="3">
        <v>448</v>
      </c>
      <c r="H624" s="3">
        <v>191263</v>
      </c>
      <c r="I624" s="4" t="s">
        <v>105</v>
      </c>
      <c r="J624" s="3">
        <v>191108</v>
      </c>
      <c r="K624" s="4" t="s">
        <v>106</v>
      </c>
      <c r="L624" s="19" t="s">
        <v>468</v>
      </c>
      <c r="M624" s="20" t="s">
        <v>112</v>
      </c>
      <c r="N624" s="19"/>
      <c r="O624" s="19" t="str">
        <f t="shared" si="18"/>
        <v>08</v>
      </c>
      <c r="P624" s="64">
        <f t="shared" si="19"/>
        <v>42559</v>
      </c>
    </row>
    <row r="625" spans="1:16" x14ac:dyDescent="0.25">
      <c r="A625" s="26">
        <v>42559.835150462961</v>
      </c>
      <c r="B625" s="4" t="s">
        <v>148</v>
      </c>
      <c r="C625" s="4" t="s">
        <v>1091</v>
      </c>
      <c r="D625" s="4" t="s">
        <v>103</v>
      </c>
      <c r="E625" s="4" t="s">
        <v>115</v>
      </c>
      <c r="F625" s="3">
        <v>550</v>
      </c>
      <c r="G625" s="3">
        <v>715</v>
      </c>
      <c r="H625" s="3">
        <v>219612</v>
      </c>
      <c r="I625" s="4" t="s">
        <v>105</v>
      </c>
      <c r="J625" s="3">
        <v>222090</v>
      </c>
      <c r="K625" s="4" t="s">
        <v>111</v>
      </c>
      <c r="L625" s="19" t="s">
        <v>504</v>
      </c>
      <c r="M625" s="20" t="s">
        <v>112</v>
      </c>
      <c r="N625" s="19"/>
      <c r="O625" s="19" t="str">
        <f t="shared" si="18"/>
        <v>08</v>
      </c>
      <c r="P625" s="64">
        <f t="shared" si="19"/>
        <v>42559</v>
      </c>
    </row>
    <row r="626" spans="1:16" x14ac:dyDescent="0.25">
      <c r="A626" s="26">
        <v>42559.282708333332</v>
      </c>
      <c r="B626" s="51" t="s">
        <v>163</v>
      </c>
      <c r="C626" s="4" t="s">
        <v>1092</v>
      </c>
      <c r="D626" s="4" t="s">
        <v>103</v>
      </c>
      <c r="E626" s="4" t="s">
        <v>115</v>
      </c>
      <c r="F626" s="3">
        <v>350</v>
      </c>
      <c r="G626" s="3">
        <v>546</v>
      </c>
      <c r="H626" s="3">
        <v>222779</v>
      </c>
      <c r="I626" s="4" t="s">
        <v>105</v>
      </c>
      <c r="J626" s="3">
        <v>224578</v>
      </c>
      <c r="K626" s="4" t="s">
        <v>111</v>
      </c>
      <c r="L626" s="19" t="s">
        <v>415</v>
      </c>
      <c r="M626" s="20" t="s">
        <v>112</v>
      </c>
      <c r="N626" s="19"/>
      <c r="O626" s="19" t="str">
        <f t="shared" si="18"/>
        <v>08</v>
      </c>
      <c r="P626" s="64">
        <f t="shared" si="19"/>
        <v>42559</v>
      </c>
    </row>
    <row r="627" spans="1:16" x14ac:dyDescent="0.25">
      <c r="A627" s="26">
        <v>42559.300729166665</v>
      </c>
      <c r="B627" s="51" t="s">
        <v>124</v>
      </c>
      <c r="C627" s="4" t="s">
        <v>1093</v>
      </c>
      <c r="D627" s="4" t="s">
        <v>103</v>
      </c>
      <c r="E627" s="51" t="s">
        <v>115</v>
      </c>
      <c r="F627" s="3">
        <v>150</v>
      </c>
      <c r="G627" s="3">
        <v>155</v>
      </c>
      <c r="H627" s="3">
        <v>229434</v>
      </c>
      <c r="I627" s="51" t="s">
        <v>105</v>
      </c>
      <c r="J627" s="3">
        <v>229055</v>
      </c>
      <c r="K627" s="4" t="s">
        <v>106</v>
      </c>
      <c r="L627" s="19" t="s">
        <v>415</v>
      </c>
      <c r="M627" s="20" t="s">
        <v>112</v>
      </c>
      <c r="N627" s="19"/>
      <c r="O627" s="19" t="str">
        <f t="shared" si="18"/>
        <v>08</v>
      </c>
      <c r="P627" s="64">
        <f t="shared" si="19"/>
        <v>42559</v>
      </c>
    </row>
    <row r="628" spans="1:16" x14ac:dyDescent="0.25">
      <c r="A628" s="26">
        <v>42559.51358796296</v>
      </c>
      <c r="B628" s="4" t="s">
        <v>137</v>
      </c>
      <c r="C628" s="4" t="s">
        <v>299</v>
      </c>
      <c r="D628" s="4" t="s">
        <v>103</v>
      </c>
      <c r="E628" s="4" t="s">
        <v>115</v>
      </c>
      <c r="F628" s="3">
        <v>150</v>
      </c>
      <c r="G628" s="3">
        <v>126</v>
      </c>
      <c r="H628" s="3">
        <v>231675</v>
      </c>
      <c r="I628" s="4" t="s">
        <v>105</v>
      </c>
      <c r="J628" s="3">
        <v>232080</v>
      </c>
      <c r="K628" s="4" t="s">
        <v>111</v>
      </c>
      <c r="L628" s="19" t="s">
        <v>442</v>
      </c>
      <c r="M628" s="20" t="s">
        <v>112</v>
      </c>
      <c r="N628" s="19"/>
      <c r="O628" s="19" t="str">
        <f t="shared" si="18"/>
        <v>08</v>
      </c>
      <c r="P628" s="64">
        <f t="shared" si="19"/>
        <v>42559</v>
      </c>
    </row>
    <row r="629" spans="1:16" x14ac:dyDescent="0.25">
      <c r="A629" s="26">
        <v>42559.446018518516</v>
      </c>
      <c r="B629" s="51" t="s">
        <v>143</v>
      </c>
      <c r="C629" s="4" t="s">
        <v>295</v>
      </c>
      <c r="D629" s="4" t="s">
        <v>103</v>
      </c>
      <c r="E629" s="51" t="s">
        <v>122</v>
      </c>
      <c r="F629" s="3">
        <v>0</v>
      </c>
      <c r="G629" s="3">
        <v>656</v>
      </c>
      <c r="H629" s="3">
        <v>45906</v>
      </c>
      <c r="I629" s="51" t="s">
        <v>123</v>
      </c>
      <c r="J629" s="3">
        <v>43664</v>
      </c>
      <c r="K629" s="4" t="s">
        <v>106</v>
      </c>
      <c r="L629" s="19" t="s">
        <v>459</v>
      </c>
      <c r="M629" s="20" t="s">
        <v>107</v>
      </c>
      <c r="N629" s="19" t="s">
        <v>52</v>
      </c>
      <c r="O629" s="19" t="str">
        <f t="shared" si="18"/>
        <v>08</v>
      </c>
      <c r="P629" s="64">
        <f t="shared" si="19"/>
        <v>42559</v>
      </c>
    </row>
    <row r="630" spans="1:16" x14ac:dyDescent="0.25">
      <c r="A630" s="26">
        <v>42559.41988425926</v>
      </c>
      <c r="B630" s="51" t="s">
        <v>163</v>
      </c>
      <c r="C630" s="4" t="s">
        <v>1086</v>
      </c>
      <c r="D630" s="4" t="s">
        <v>103</v>
      </c>
      <c r="E630" s="51" t="s">
        <v>122</v>
      </c>
      <c r="F630" s="3">
        <v>0</v>
      </c>
      <c r="G630" s="3">
        <v>794</v>
      </c>
      <c r="H630" s="3">
        <v>101591</v>
      </c>
      <c r="I630" s="51" t="s">
        <v>123</v>
      </c>
      <c r="J630" s="3">
        <v>107939</v>
      </c>
      <c r="K630" s="4" t="s">
        <v>111</v>
      </c>
      <c r="L630" s="19" t="s">
        <v>415</v>
      </c>
      <c r="M630" s="20" t="s">
        <v>112</v>
      </c>
      <c r="N630" s="19" t="s">
        <v>1094</v>
      </c>
      <c r="O630" s="19" t="str">
        <f t="shared" si="18"/>
        <v>08</v>
      </c>
      <c r="P630" s="64">
        <f t="shared" si="19"/>
        <v>42559</v>
      </c>
    </row>
    <row r="631" spans="1:16" x14ac:dyDescent="0.25">
      <c r="A631" s="26">
        <v>42559.685520833336</v>
      </c>
      <c r="B631" s="4" t="s">
        <v>139</v>
      </c>
      <c r="C631" s="4" t="s">
        <v>296</v>
      </c>
      <c r="D631" s="4" t="s">
        <v>103</v>
      </c>
      <c r="E631" s="4" t="s">
        <v>122</v>
      </c>
      <c r="F631" s="3">
        <v>0</v>
      </c>
      <c r="G631" s="3">
        <v>477</v>
      </c>
      <c r="H631" s="3">
        <v>130551</v>
      </c>
      <c r="I631" s="4" t="s">
        <v>123</v>
      </c>
      <c r="J631" s="3">
        <v>127587</v>
      </c>
      <c r="K631" s="4" t="s">
        <v>106</v>
      </c>
      <c r="L631" s="19" t="s">
        <v>442</v>
      </c>
      <c r="M631" s="20" t="s">
        <v>112</v>
      </c>
      <c r="N631" s="19" t="s">
        <v>1095</v>
      </c>
      <c r="O631" s="19" t="str">
        <f t="shared" si="18"/>
        <v>08</v>
      </c>
      <c r="P631" s="64">
        <f t="shared" si="19"/>
        <v>42559</v>
      </c>
    </row>
    <row r="632" spans="1:16" x14ac:dyDescent="0.25">
      <c r="A632" s="26">
        <v>42559.152326388888</v>
      </c>
      <c r="B632" s="51" t="s">
        <v>148</v>
      </c>
      <c r="C632" s="4" t="s">
        <v>676</v>
      </c>
      <c r="D632" s="4" t="s">
        <v>103</v>
      </c>
      <c r="E632" s="4" t="s">
        <v>122</v>
      </c>
      <c r="F632" s="3">
        <v>0</v>
      </c>
      <c r="G632" s="3">
        <v>427</v>
      </c>
      <c r="H632" s="3">
        <v>130246</v>
      </c>
      <c r="I632" s="4" t="s">
        <v>123</v>
      </c>
      <c r="J632" s="3">
        <v>133155</v>
      </c>
      <c r="K632" s="4" t="s">
        <v>111</v>
      </c>
      <c r="L632" s="19" t="s">
        <v>398</v>
      </c>
      <c r="M632" s="20" t="s">
        <v>107</v>
      </c>
      <c r="N632" s="19" t="s">
        <v>647</v>
      </c>
      <c r="O632" s="19" t="str">
        <f t="shared" si="18"/>
        <v>08</v>
      </c>
      <c r="P632" s="64">
        <f t="shared" si="19"/>
        <v>42559</v>
      </c>
    </row>
    <row r="633" spans="1:16" x14ac:dyDescent="0.25">
      <c r="A633" s="26">
        <v>42559.433981481481</v>
      </c>
      <c r="B633" s="51" t="s">
        <v>137</v>
      </c>
      <c r="C633" s="4" t="s">
        <v>1096</v>
      </c>
      <c r="D633" s="4" t="s">
        <v>103</v>
      </c>
      <c r="E633" s="51" t="s">
        <v>122</v>
      </c>
      <c r="F633" s="3">
        <v>0</v>
      </c>
      <c r="G633" s="3">
        <v>795</v>
      </c>
      <c r="H633" s="3">
        <v>144964</v>
      </c>
      <c r="I633" s="51" t="s">
        <v>123</v>
      </c>
      <c r="J633" s="3">
        <v>149694</v>
      </c>
      <c r="K633" s="4" t="s">
        <v>111</v>
      </c>
      <c r="L633" s="19" t="s">
        <v>396</v>
      </c>
      <c r="M633" s="20" t="s">
        <v>107</v>
      </c>
      <c r="N633" s="19" t="s">
        <v>52</v>
      </c>
      <c r="O633" s="19" t="str">
        <f t="shared" si="18"/>
        <v>08</v>
      </c>
      <c r="P633" s="64">
        <f t="shared" si="19"/>
        <v>42559</v>
      </c>
    </row>
    <row r="634" spans="1:16" x14ac:dyDescent="0.25">
      <c r="A634" s="26">
        <v>42559.271504629629</v>
      </c>
      <c r="B634" s="51" t="s">
        <v>132</v>
      </c>
      <c r="C634" s="4" t="s">
        <v>298</v>
      </c>
      <c r="D634" s="4" t="s">
        <v>103</v>
      </c>
      <c r="E634" s="51" t="s">
        <v>122</v>
      </c>
      <c r="F634" s="3">
        <v>0</v>
      </c>
      <c r="G634" s="3">
        <v>459</v>
      </c>
      <c r="H634" s="3">
        <v>194679</v>
      </c>
      <c r="I634" s="51" t="s">
        <v>123</v>
      </c>
      <c r="J634" s="3">
        <v>191723</v>
      </c>
      <c r="K634" s="4" t="s">
        <v>106</v>
      </c>
      <c r="L634" s="19" t="s">
        <v>434</v>
      </c>
      <c r="M634" s="20" t="s">
        <v>112</v>
      </c>
      <c r="N634" s="19" t="s">
        <v>1097</v>
      </c>
      <c r="O634" s="19" t="str">
        <f t="shared" si="18"/>
        <v>08</v>
      </c>
      <c r="P634" s="64">
        <f t="shared" si="19"/>
        <v>42559</v>
      </c>
    </row>
    <row r="635" spans="1:16" x14ac:dyDescent="0.25">
      <c r="A635" s="26">
        <v>42559.189976851849</v>
      </c>
      <c r="B635" s="51" t="s">
        <v>131</v>
      </c>
      <c r="C635" s="4" t="s">
        <v>677</v>
      </c>
      <c r="D635" s="4" t="s">
        <v>103</v>
      </c>
      <c r="E635" s="51" t="s">
        <v>127</v>
      </c>
      <c r="F635" s="3">
        <v>0</v>
      </c>
      <c r="G635" s="3">
        <v>794</v>
      </c>
      <c r="H635" s="3">
        <v>74878</v>
      </c>
      <c r="I635" s="51" t="s">
        <v>128</v>
      </c>
      <c r="J635" s="3">
        <v>69363</v>
      </c>
      <c r="K635" s="4" t="s">
        <v>106</v>
      </c>
      <c r="L635" s="19" t="s">
        <v>398</v>
      </c>
      <c r="M635" s="20" t="s">
        <v>107</v>
      </c>
      <c r="N635" s="19" t="s">
        <v>1098</v>
      </c>
      <c r="O635" s="19" t="str">
        <f t="shared" si="18"/>
        <v>08</v>
      </c>
      <c r="P635" s="64">
        <f t="shared" si="19"/>
        <v>42559</v>
      </c>
    </row>
    <row r="636" spans="1:16" x14ac:dyDescent="0.25">
      <c r="A636" s="26">
        <v>42559.425671296296</v>
      </c>
      <c r="B636" s="51" t="s">
        <v>143</v>
      </c>
      <c r="C636" s="4" t="s">
        <v>295</v>
      </c>
      <c r="D636" s="4" t="s">
        <v>116</v>
      </c>
      <c r="E636" s="51" t="s">
        <v>127</v>
      </c>
      <c r="F636" s="3">
        <v>0</v>
      </c>
      <c r="G636" s="3">
        <v>147</v>
      </c>
      <c r="H636" s="3">
        <v>228991</v>
      </c>
      <c r="I636" s="51" t="s">
        <v>128</v>
      </c>
      <c r="J636" s="3">
        <v>229055</v>
      </c>
      <c r="K636" s="4" t="s">
        <v>106</v>
      </c>
      <c r="L636" s="19" t="s">
        <v>459</v>
      </c>
      <c r="M636" s="20" t="s">
        <v>107</v>
      </c>
      <c r="N636" s="19" t="s">
        <v>52</v>
      </c>
      <c r="O636" s="19" t="str">
        <f t="shared" si="18"/>
        <v>08</v>
      </c>
      <c r="P636" s="64">
        <f t="shared" si="19"/>
        <v>42559</v>
      </c>
    </row>
    <row r="637" spans="1:16" x14ac:dyDescent="0.25">
      <c r="A637" s="26">
        <v>42559.612407407411</v>
      </c>
      <c r="B637" s="4" t="s">
        <v>147</v>
      </c>
      <c r="C637" s="4" t="s">
        <v>99</v>
      </c>
      <c r="D637" s="4" t="s">
        <v>103</v>
      </c>
      <c r="E637" s="4" t="s">
        <v>127</v>
      </c>
      <c r="F637" s="3">
        <v>0</v>
      </c>
      <c r="G637" s="3">
        <v>168</v>
      </c>
      <c r="H637" s="3">
        <v>232009</v>
      </c>
      <c r="I637" s="4" t="s">
        <v>128</v>
      </c>
      <c r="J637" s="3">
        <v>231147</v>
      </c>
      <c r="K637" s="4" t="s">
        <v>106</v>
      </c>
      <c r="L637" s="19" t="s">
        <v>469</v>
      </c>
      <c r="M637" s="20" t="s">
        <v>107</v>
      </c>
      <c r="N637" s="19" t="s">
        <v>52</v>
      </c>
      <c r="O637" s="19" t="str">
        <f t="shared" si="18"/>
        <v>08</v>
      </c>
      <c r="P637" s="64">
        <f t="shared" si="19"/>
        <v>42559</v>
      </c>
    </row>
    <row r="638" spans="1:16" x14ac:dyDescent="0.25">
      <c r="A638" s="26">
        <v>42559.656909722224</v>
      </c>
      <c r="B638" s="4" t="s">
        <v>119</v>
      </c>
      <c r="C638" s="4" t="s">
        <v>679</v>
      </c>
      <c r="D638" s="4" t="s">
        <v>116</v>
      </c>
      <c r="E638" s="4" t="s">
        <v>127</v>
      </c>
      <c r="F638" s="3">
        <v>0</v>
      </c>
      <c r="G638" s="3">
        <v>163</v>
      </c>
      <c r="H638" s="3">
        <v>230921</v>
      </c>
      <c r="I638" s="4" t="s">
        <v>128</v>
      </c>
      <c r="J638" s="3">
        <v>231147</v>
      </c>
      <c r="K638" s="4" t="s">
        <v>106</v>
      </c>
      <c r="L638" s="19" t="s">
        <v>444</v>
      </c>
      <c r="M638" s="20" t="s">
        <v>107</v>
      </c>
      <c r="N638" s="19" t="s">
        <v>52</v>
      </c>
      <c r="O638" s="19" t="str">
        <f t="shared" si="18"/>
        <v>08</v>
      </c>
      <c r="P638" s="64">
        <f t="shared" si="19"/>
        <v>42559</v>
      </c>
    </row>
    <row r="639" spans="1:16" x14ac:dyDescent="0.25">
      <c r="A639" s="26">
        <v>42559.800173611111</v>
      </c>
      <c r="B639" s="4" t="s">
        <v>132</v>
      </c>
      <c r="C639" s="4" t="s">
        <v>1099</v>
      </c>
      <c r="D639" s="4" t="s">
        <v>103</v>
      </c>
      <c r="E639" s="4" t="s">
        <v>127</v>
      </c>
      <c r="F639" s="3">
        <v>0</v>
      </c>
      <c r="G639" s="3">
        <v>148</v>
      </c>
      <c r="H639" s="3">
        <v>232028</v>
      </c>
      <c r="I639" s="4" t="s">
        <v>128</v>
      </c>
      <c r="J639" s="3">
        <v>231650</v>
      </c>
      <c r="K639" s="4" t="s">
        <v>106</v>
      </c>
      <c r="L639" s="19" t="s">
        <v>450</v>
      </c>
      <c r="M639" s="20" t="s">
        <v>107</v>
      </c>
      <c r="N639" s="19" t="s">
        <v>52</v>
      </c>
      <c r="O639" s="19" t="str">
        <f t="shared" si="18"/>
        <v>08</v>
      </c>
      <c r="P639" s="64">
        <f t="shared" si="19"/>
        <v>42559</v>
      </c>
    </row>
    <row r="640" spans="1:16" x14ac:dyDescent="0.25">
      <c r="A640" s="26">
        <v>42559.293356481481</v>
      </c>
      <c r="B640" s="51" t="s">
        <v>132</v>
      </c>
      <c r="C640" s="4" t="s">
        <v>298</v>
      </c>
      <c r="D640" s="4" t="s">
        <v>103</v>
      </c>
      <c r="E640" s="51" t="s">
        <v>129</v>
      </c>
      <c r="F640" s="3">
        <v>0</v>
      </c>
      <c r="G640" s="3">
        <v>53</v>
      </c>
      <c r="H640" s="3">
        <v>194</v>
      </c>
      <c r="I640" s="51" t="s">
        <v>130</v>
      </c>
      <c r="J640" s="3">
        <v>1</v>
      </c>
      <c r="K640" s="4" t="s">
        <v>106</v>
      </c>
      <c r="L640" s="19" t="s">
        <v>434</v>
      </c>
      <c r="M640" s="20" t="s">
        <v>112</v>
      </c>
      <c r="N640" s="19"/>
      <c r="O640" s="19" t="str">
        <f t="shared" si="18"/>
        <v>08</v>
      </c>
      <c r="P640" s="64">
        <f t="shared" si="19"/>
        <v>42559</v>
      </c>
    </row>
    <row r="641" spans="1:16" x14ac:dyDescent="0.25">
      <c r="A641" s="26">
        <v>42559.366793981484</v>
      </c>
      <c r="B641" s="51" t="s">
        <v>132</v>
      </c>
      <c r="C641" s="4" t="s">
        <v>1100</v>
      </c>
      <c r="D641" s="4" t="s">
        <v>103</v>
      </c>
      <c r="E641" s="51" t="s">
        <v>129</v>
      </c>
      <c r="F641" s="3">
        <v>0</v>
      </c>
      <c r="G641" s="3">
        <v>58</v>
      </c>
      <c r="H641" s="3">
        <v>203</v>
      </c>
      <c r="I641" s="51" t="s">
        <v>130</v>
      </c>
      <c r="J641" s="3">
        <v>1</v>
      </c>
      <c r="K641" s="4" t="s">
        <v>106</v>
      </c>
      <c r="L641" s="19" t="s">
        <v>434</v>
      </c>
      <c r="M641" s="20" t="s">
        <v>112</v>
      </c>
      <c r="N641" s="19"/>
      <c r="O641" s="19" t="str">
        <f t="shared" si="18"/>
        <v>08</v>
      </c>
      <c r="P641" s="64">
        <f t="shared" si="19"/>
        <v>42559</v>
      </c>
    </row>
    <row r="642" spans="1:16" x14ac:dyDescent="0.25">
      <c r="A642" s="26">
        <v>42559.555381944447</v>
      </c>
      <c r="B642" s="4" t="s">
        <v>139</v>
      </c>
      <c r="C642" s="4" t="s">
        <v>1101</v>
      </c>
      <c r="D642" s="4" t="s">
        <v>103</v>
      </c>
      <c r="E642" s="4" t="s">
        <v>129</v>
      </c>
      <c r="F642" s="3">
        <v>0</v>
      </c>
      <c r="G642" s="3">
        <v>55</v>
      </c>
      <c r="H642" s="3">
        <v>165</v>
      </c>
      <c r="I642" s="4" t="s">
        <v>130</v>
      </c>
      <c r="J642" s="3">
        <v>1</v>
      </c>
      <c r="K642" s="4" t="s">
        <v>106</v>
      </c>
      <c r="L642" s="19" t="s">
        <v>442</v>
      </c>
      <c r="M642" s="20" t="s">
        <v>112</v>
      </c>
      <c r="N642" s="19"/>
      <c r="O642" s="19" t="str">
        <f t="shared" ref="O642:O705" si="20">RIGHT(C642,2)</f>
        <v>08</v>
      </c>
      <c r="P642" s="64">
        <f t="shared" si="19"/>
        <v>42559</v>
      </c>
    </row>
    <row r="643" spans="1:16" x14ac:dyDescent="0.25">
      <c r="A643" s="26">
        <v>42559.736122685186</v>
      </c>
      <c r="B643" s="4" t="s">
        <v>132</v>
      </c>
      <c r="C643" s="4" t="s">
        <v>1102</v>
      </c>
      <c r="D643" s="4" t="s">
        <v>103</v>
      </c>
      <c r="E643" s="4" t="s">
        <v>129</v>
      </c>
      <c r="F643" s="3">
        <v>0</v>
      </c>
      <c r="G643" s="3">
        <v>47</v>
      </c>
      <c r="H643" s="3">
        <v>169</v>
      </c>
      <c r="I643" s="4" t="s">
        <v>130</v>
      </c>
      <c r="J643" s="3">
        <v>1</v>
      </c>
      <c r="K643" s="4" t="s">
        <v>106</v>
      </c>
      <c r="L643" s="19" t="s">
        <v>453</v>
      </c>
      <c r="M643" s="20" t="s">
        <v>112</v>
      </c>
      <c r="N643" s="19"/>
      <c r="O643" s="19" t="str">
        <f t="shared" si="20"/>
        <v>08</v>
      </c>
      <c r="P643" s="64">
        <f t="shared" ref="P643:P706" si="21">42522+O643+29</f>
        <v>42559</v>
      </c>
    </row>
    <row r="644" spans="1:16" x14ac:dyDescent="0.25">
      <c r="A644" s="26">
        <v>42559.482939814814</v>
      </c>
      <c r="B644" s="51" t="s">
        <v>135</v>
      </c>
      <c r="C644" s="4" t="s">
        <v>1103</v>
      </c>
      <c r="D644" s="4" t="s">
        <v>103</v>
      </c>
      <c r="E644" s="51" t="s">
        <v>129</v>
      </c>
      <c r="F644" s="3">
        <v>0</v>
      </c>
      <c r="G644" s="3">
        <v>91</v>
      </c>
      <c r="H644" s="3">
        <v>233110</v>
      </c>
      <c r="I644" s="51" t="s">
        <v>130</v>
      </c>
      <c r="J644" s="3">
        <v>233491</v>
      </c>
      <c r="K644" s="4" t="s">
        <v>111</v>
      </c>
      <c r="L644" s="19" t="s">
        <v>434</v>
      </c>
      <c r="M644" s="20" t="s">
        <v>112</v>
      </c>
      <c r="N644" s="19"/>
      <c r="O644" s="19" t="str">
        <f t="shared" si="20"/>
        <v>08</v>
      </c>
      <c r="P644" s="64">
        <f t="shared" si="21"/>
        <v>42559</v>
      </c>
    </row>
    <row r="645" spans="1:16" x14ac:dyDescent="0.25">
      <c r="A645" s="26">
        <v>42559.48333333333</v>
      </c>
      <c r="B645" s="51" t="s">
        <v>135</v>
      </c>
      <c r="C645" s="4" t="s">
        <v>1103</v>
      </c>
      <c r="D645" s="4" t="s">
        <v>103</v>
      </c>
      <c r="E645" s="4" t="s">
        <v>129</v>
      </c>
      <c r="F645" s="3">
        <v>0</v>
      </c>
      <c r="G645" s="3">
        <v>45</v>
      </c>
      <c r="H645" s="3">
        <v>233251</v>
      </c>
      <c r="I645" s="4" t="s">
        <v>130</v>
      </c>
      <c r="J645" s="3">
        <v>233491</v>
      </c>
      <c r="K645" s="4" t="s">
        <v>111</v>
      </c>
      <c r="L645" s="19" t="s">
        <v>434</v>
      </c>
      <c r="M645" s="20" t="s">
        <v>112</v>
      </c>
      <c r="N645" s="19"/>
      <c r="O645" s="19" t="str">
        <f t="shared" si="20"/>
        <v>08</v>
      </c>
      <c r="P645" s="64">
        <f t="shared" si="21"/>
        <v>42559</v>
      </c>
    </row>
    <row r="646" spans="1:16" x14ac:dyDescent="0.25">
      <c r="A646" s="26">
        <v>42559.683657407404</v>
      </c>
      <c r="B646" s="4" t="s">
        <v>120</v>
      </c>
      <c r="C646" s="4" t="s">
        <v>294</v>
      </c>
      <c r="D646" s="4" t="s">
        <v>103</v>
      </c>
      <c r="E646" s="4" t="s">
        <v>129</v>
      </c>
      <c r="F646" s="3">
        <v>0</v>
      </c>
      <c r="G646" s="3">
        <v>79</v>
      </c>
      <c r="H646" s="3">
        <v>233213</v>
      </c>
      <c r="I646" s="4" t="s">
        <v>130</v>
      </c>
      <c r="J646" s="3">
        <v>233491</v>
      </c>
      <c r="K646" s="4" t="s">
        <v>111</v>
      </c>
      <c r="L646" s="19" t="s">
        <v>409</v>
      </c>
      <c r="M646" s="20" t="s">
        <v>112</v>
      </c>
      <c r="N646" s="19"/>
      <c r="O646" s="19" t="str">
        <f t="shared" si="20"/>
        <v>08</v>
      </c>
      <c r="P646" s="64">
        <f t="shared" si="21"/>
        <v>42559</v>
      </c>
    </row>
    <row r="647" spans="1:16" x14ac:dyDescent="0.25">
      <c r="A647" s="26">
        <v>42560.068171296298</v>
      </c>
      <c r="B647" s="4" t="s">
        <v>137</v>
      </c>
      <c r="C647" s="4" t="s">
        <v>1104</v>
      </c>
      <c r="D647" s="4" t="s">
        <v>103</v>
      </c>
      <c r="E647" s="4" t="s">
        <v>129</v>
      </c>
      <c r="F647" s="3">
        <v>0</v>
      </c>
      <c r="G647" s="3">
        <v>53</v>
      </c>
      <c r="H647" s="3">
        <v>233318</v>
      </c>
      <c r="I647" s="4" t="s">
        <v>130</v>
      </c>
      <c r="J647" s="3">
        <v>233491</v>
      </c>
      <c r="K647" s="4" t="s">
        <v>111</v>
      </c>
      <c r="L647" s="56" t="b">
        <v>1</v>
      </c>
      <c r="M647" s="20" t="s">
        <v>112</v>
      </c>
      <c r="N647" s="19"/>
      <c r="O647" s="19" t="str">
        <f t="shared" si="20"/>
        <v>08</v>
      </c>
      <c r="P647" s="64">
        <f t="shared" si="21"/>
        <v>42559</v>
      </c>
    </row>
    <row r="648" spans="1:16" x14ac:dyDescent="0.25">
      <c r="A648" s="26">
        <v>42560.623113425929</v>
      </c>
      <c r="B648" s="51" t="s">
        <v>146</v>
      </c>
      <c r="C648" s="4" t="s">
        <v>1105</v>
      </c>
      <c r="D648" s="4" t="s">
        <v>103</v>
      </c>
      <c r="E648" s="51" t="s">
        <v>109</v>
      </c>
      <c r="F648" s="3">
        <v>0</v>
      </c>
      <c r="G648" s="3">
        <v>270</v>
      </c>
      <c r="H648" s="3">
        <v>58562</v>
      </c>
      <c r="I648" s="51" t="s">
        <v>110</v>
      </c>
      <c r="J648" s="3">
        <v>58783</v>
      </c>
      <c r="K648" s="4" t="s">
        <v>111</v>
      </c>
      <c r="L648" s="56" t="s">
        <v>405</v>
      </c>
      <c r="M648" s="20" t="s">
        <v>112</v>
      </c>
      <c r="N648" s="19" t="s">
        <v>113</v>
      </c>
      <c r="O648" s="19" t="str">
        <f t="shared" si="20"/>
        <v>09</v>
      </c>
      <c r="P648" s="64">
        <f t="shared" si="21"/>
        <v>42560</v>
      </c>
    </row>
    <row r="649" spans="1:16" x14ac:dyDescent="0.25">
      <c r="A649" s="26">
        <v>42560.8905787037</v>
      </c>
      <c r="B649" s="51" t="s">
        <v>125</v>
      </c>
      <c r="C649" s="4" t="s">
        <v>1106</v>
      </c>
      <c r="D649" s="4" t="s">
        <v>103</v>
      </c>
      <c r="E649" s="51" t="s">
        <v>109</v>
      </c>
      <c r="F649" s="3">
        <v>400</v>
      </c>
      <c r="G649" s="3">
        <v>595</v>
      </c>
      <c r="H649" s="3">
        <v>125262</v>
      </c>
      <c r="I649" s="51" t="s">
        <v>110</v>
      </c>
      <c r="J649" s="3">
        <v>127562</v>
      </c>
      <c r="K649" s="4" t="s">
        <v>111</v>
      </c>
      <c r="L649" s="56" t="s">
        <v>413</v>
      </c>
      <c r="M649" s="20" t="s">
        <v>112</v>
      </c>
      <c r="N649" s="19" t="s">
        <v>113</v>
      </c>
      <c r="O649" s="19" t="str">
        <f t="shared" si="20"/>
        <v>09</v>
      </c>
      <c r="P649" s="64">
        <f t="shared" si="21"/>
        <v>42560</v>
      </c>
    </row>
    <row r="650" spans="1:16" x14ac:dyDescent="0.25">
      <c r="A650" s="26">
        <v>42560.395092592589</v>
      </c>
      <c r="B650" s="4" t="s">
        <v>132</v>
      </c>
      <c r="C650" s="4" t="s">
        <v>1107</v>
      </c>
      <c r="D650" s="4" t="s">
        <v>103</v>
      </c>
      <c r="E650" s="4" t="s">
        <v>115</v>
      </c>
      <c r="F650" s="3">
        <v>450</v>
      </c>
      <c r="G650" s="3">
        <v>452</v>
      </c>
      <c r="H650" s="3">
        <v>17582</v>
      </c>
      <c r="I650" s="4" t="s">
        <v>105</v>
      </c>
      <c r="J650" s="3">
        <v>15167</v>
      </c>
      <c r="K650" s="4" t="s">
        <v>106</v>
      </c>
      <c r="L650" s="56" t="s">
        <v>1108</v>
      </c>
      <c r="M650" s="20" t="s">
        <v>112</v>
      </c>
      <c r="N650" s="19"/>
      <c r="O650" s="19" t="str">
        <f t="shared" si="20"/>
        <v>09</v>
      </c>
      <c r="P650" s="64">
        <f t="shared" si="21"/>
        <v>42560</v>
      </c>
    </row>
    <row r="651" spans="1:16" x14ac:dyDescent="0.25">
      <c r="A651" s="26">
        <v>42560.520601851851</v>
      </c>
      <c r="B651" s="51" t="s">
        <v>134</v>
      </c>
      <c r="C651" s="4" t="s">
        <v>1109</v>
      </c>
      <c r="D651" s="4" t="s">
        <v>103</v>
      </c>
      <c r="E651" s="51" t="s">
        <v>115</v>
      </c>
      <c r="F651" s="3">
        <v>450</v>
      </c>
      <c r="G651" s="3">
        <v>457</v>
      </c>
      <c r="H651" s="3">
        <v>17787</v>
      </c>
      <c r="I651" s="51" t="s">
        <v>105</v>
      </c>
      <c r="J651" s="3">
        <v>15167</v>
      </c>
      <c r="K651" s="4" t="s">
        <v>106</v>
      </c>
      <c r="L651" s="56" t="s">
        <v>415</v>
      </c>
      <c r="M651" s="20" t="s">
        <v>112</v>
      </c>
      <c r="N651" s="19"/>
      <c r="O651" s="19" t="str">
        <f t="shared" si="20"/>
        <v>09</v>
      </c>
      <c r="P651" s="64">
        <f t="shared" si="21"/>
        <v>42560</v>
      </c>
    </row>
    <row r="652" spans="1:16" x14ac:dyDescent="0.25">
      <c r="A652" s="26">
        <v>42560.623981481483</v>
      </c>
      <c r="B652" s="51" t="s">
        <v>117</v>
      </c>
      <c r="C652" s="4" t="s">
        <v>301</v>
      </c>
      <c r="D652" s="4" t="s">
        <v>103</v>
      </c>
      <c r="E652" s="51" t="s">
        <v>115</v>
      </c>
      <c r="F652" s="3">
        <v>450</v>
      </c>
      <c r="G652" s="3">
        <v>460</v>
      </c>
      <c r="H652" s="3">
        <v>17467</v>
      </c>
      <c r="I652" s="51" t="s">
        <v>105</v>
      </c>
      <c r="J652" s="3">
        <v>15167</v>
      </c>
      <c r="K652" s="4" t="s">
        <v>106</v>
      </c>
      <c r="L652" s="56" t="s">
        <v>442</v>
      </c>
      <c r="M652" s="20" t="s">
        <v>112</v>
      </c>
      <c r="N652" s="19"/>
      <c r="O652" s="19" t="str">
        <f t="shared" si="20"/>
        <v>09</v>
      </c>
      <c r="P652" s="64">
        <f t="shared" si="21"/>
        <v>42560</v>
      </c>
    </row>
    <row r="653" spans="1:16" x14ac:dyDescent="0.25">
      <c r="A653" s="26">
        <v>42560.724270833336</v>
      </c>
      <c r="B653" s="51" t="s">
        <v>125</v>
      </c>
      <c r="C653" s="4" t="s">
        <v>1110</v>
      </c>
      <c r="D653" s="4" t="s">
        <v>103</v>
      </c>
      <c r="E653" s="51" t="s">
        <v>115</v>
      </c>
      <c r="F653" s="3">
        <v>200</v>
      </c>
      <c r="G653" s="3">
        <v>153</v>
      </c>
      <c r="H653" s="3">
        <v>27280</v>
      </c>
      <c r="I653" s="51" t="s">
        <v>105</v>
      </c>
      <c r="J653" s="3">
        <v>27333</v>
      </c>
      <c r="K653" s="4" t="s">
        <v>111</v>
      </c>
      <c r="L653" s="56" t="s">
        <v>411</v>
      </c>
      <c r="M653" s="20" t="s">
        <v>112</v>
      </c>
      <c r="N653" s="19"/>
      <c r="O653" s="19" t="str">
        <f t="shared" si="20"/>
        <v>09</v>
      </c>
      <c r="P653" s="64">
        <f t="shared" si="21"/>
        <v>42560</v>
      </c>
    </row>
    <row r="654" spans="1:16" x14ac:dyDescent="0.25">
      <c r="A654" s="26">
        <v>42560.51771990741</v>
      </c>
      <c r="B654" s="51" t="s">
        <v>134</v>
      </c>
      <c r="C654" s="4" t="s">
        <v>1109</v>
      </c>
      <c r="D654" s="4" t="s">
        <v>103</v>
      </c>
      <c r="E654" s="51" t="s">
        <v>115</v>
      </c>
      <c r="F654" s="3">
        <v>200</v>
      </c>
      <c r="G654" s="3">
        <v>202</v>
      </c>
      <c r="H654" s="3">
        <v>30777</v>
      </c>
      <c r="I654" s="51" t="s">
        <v>105</v>
      </c>
      <c r="J654" s="3">
        <v>30562</v>
      </c>
      <c r="K654" s="4" t="s">
        <v>106</v>
      </c>
      <c r="L654" s="56" t="s">
        <v>415</v>
      </c>
      <c r="M654" s="20" t="s">
        <v>112</v>
      </c>
      <c r="N654" s="19"/>
      <c r="O654" s="19" t="str">
        <f t="shared" si="20"/>
        <v>09</v>
      </c>
      <c r="P654" s="64">
        <f t="shared" si="21"/>
        <v>42560</v>
      </c>
    </row>
    <row r="655" spans="1:16" x14ac:dyDescent="0.25">
      <c r="A655" s="26">
        <v>42560.52784722222</v>
      </c>
      <c r="B655" s="51" t="s">
        <v>145</v>
      </c>
      <c r="C655" s="4" t="s">
        <v>300</v>
      </c>
      <c r="D655" s="4" t="s">
        <v>103</v>
      </c>
      <c r="E655" s="51" t="s">
        <v>115</v>
      </c>
      <c r="F655" s="3">
        <v>200</v>
      </c>
      <c r="G655" s="3">
        <v>209</v>
      </c>
      <c r="H655" s="3">
        <v>30715</v>
      </c>
      <c r="I655" s="51" t="s">
        <v>105</v>
      </c>
      <c r="J655" s="3">
        <v>30562</v>
      </c>
      <c r="K655" s="4" t="s">
        <v>106</v>
      </c>
      <c r="L655" s="56" t="s">
        <v>405</v>
      </c>
      <c r="M655" s="20" t="s">
        <v>112</v>
      </c>
      <c r="N655" s="19"/>
      <c r="O655" s="19" t="str">
        <f t="shared" si="20"/>
        <v>09</v>
      </c>
      <c r="P655" s="64">
        <f t="shared" si="21"/>
        <v>42560</v>
      </c>
    </row>
    <row r="656" spans="1:16" x14ac:dyDescent="0.25">
      <c r="A656" s="26">
        <v>42560.707280092596</v>
      </c>
      <c r="B656" s="51" t="s">
        <v>131</v>
      </c>
      <c r="C656" s="4" t="s">
        <v>1111</v>
      </c>
      <c r="D656" s="4" t="s">
        <v>103</v>
      </c>
      <c r="E656" s="51" t="s">
        <v>115</v>
      </c>
      <c r="F656" s="3">
        <v>400</v>
      </c>
      <c r="G656" s="3">
        <v>421</v>
      </c>
      <c r="H656" s="3">
        <v>120450</v>
      </c>
      <c r="I656" s="51" t="s">
        <v>105</v>
      </c>
      <c r="J656" s="3">
        <v>119716</v>
      </c>
      <c r="K656" s="4" t="s">
        <v>106</v>
      </c>
      <c r="L656" s="56" t="s">
        <v>409</v>
      </c>
      <c r="M656" s="20" t="s">
        <v>112</v>
      </c>
      <c r="N656" s="19"/>
      <c r="O656" s="19" t="str">
        <f t="shared" si="20"/>
        <v>09</v>
      </c>
      <c r="P656" s="64">
        <f t="shared" si="21"/>
        <v>42560</v>
      </c>
    </row>
    <row r="657" spans="1:16" x14ac:dyDescent="0.25">
      <c r="A657" s="26">
        <v>42560.75240740741</v>
      </c>
      <c r="B657" s="51" t="s">
        <v>117</v>
      </c>
      <c r="C657" s="4" t="s">
        <v>1112</v>
      </c>
      <c r="D657" s="4" t="s">
        <v>103</v>
      </c>
      <c r="E657" s="51" t="s">
        <v>115</v>
      </c>
      <c r="F657" s="3">
        <v>450</v>
      </c>
      <c r="G657" s="3">
        <v>441</v>
      </c>
      <c r="H657" s="3">
        <v>192108</v>
      </c>
      <c r="I657" s="51" t="s">
        <v>105</v>
      </c>
      <c r="J657" s="3">
        <v>191108</v>
      </c>
      <c r="K657" s="4" t="s">
        <v>106</v>
      </c>
      <c r="L657" s="56" t="s">
        <v>442</v>
      </c>
      <c r="M657" s="20" t="s">
        <v>112</v>
      </c>
      <c r="N657" s="19"/>
      <c r="O657" s="19" t="str">
        <f t="shared" si="20"/>
        <v>09</v>
      </c>
      <c r="P657" s="64">
        <f t="shared" si="21"/>
        <v>42560</v>
      </c>
    </row>
    <row r="658" spans="1:16" x14ac:dyDescent="0.25">
      <c r="A658" s="26">
        <v>42560.93650462963</v>
      </c>
      <c r="B658" s="51" t="s">
        <v>118</v>
      </c>
      <c r="C658" s="4" t="s">
        <v>1113</v>
      </c>
      <c r="D658" s="4" t="s">
        <v>103</v>
      </c>
      <c r="E658" s="51" t="s">
        <v>122</v>
      </c>
      <c r="F658" s="3">
        <v>0</v>
      </c>
      <c r="G658" s="3">
        <v>322</v>
      </c>
      <c r="H658" s="3">
        <v>18296</v>
      </c>
      <c r="I658" s="51" t="s">
        <v>123</v>
      </c>
      <c r="J658" s="3">
        <v>17100</v>
      </c>
      <c r="K658" s="4" t="s">
        <v>106</v>
      </c>
      <c r="L658" s="56" t="s">
        <v>413</v>
      </c>
      <c r="M658" s="20" t="s">
        <v>107</v>
      </c>
      <c r="N658" s="19" t="s">
        <v>1114</v>
      </c>
      <c r="O658" s="19" t="str">
        <f t="shared" si="20"/>
        <v>09</v>
      </c>
      <c r="P658" s="64">
        <f t="shared" si="21"/>
        <v>42560</v>
      </c>
    </row>
    <row r="659" spans="1:16" x14ac:dyDescent="0.25">
      <c r="A659" s="17">
        <v>42560.279641203706</v>
      </c>
      <c r="B659" s="51" t="s">
        <v>126</v>
      </c>
      <c r="C659" s="4" t="s">
        <v>681</v>
      </c>
      <c r="D659" s="4" t="s">
        <v>103</v>
      </c>
      <c r="E659" s="51" t="s">
        <v>122</v>
      </c>
      <c r="F659" s="3">
        <v>0</v>
      </c>
      <c r="G659" s="3">
        <v>642</v>
      </c>
      <c r="H659" s="3">
        <v>58809</v>
      </c>
      <c r="I659" s="51" t="s">
        <v>123</v>
      </c>
      <c r="J659" s="3">
        <v>63995</v>
      </c>
      <c r="K659" s="4" t="s">
        <v>111</v>
      </c>
      <c r="L659" s="56" t="s">
        <v>396</v>
      </c>
      <c r="M659" s="20" t="s">
        <v>107</v>
      </c>
      <c r="N659" s="19" t="s">
        <v>52</v>
      </c>
      <c r="O659" s="19" t="str">
        <f t="shared" si="20"/>
        <v>09</v>
      </c>
      <c r="P659" s="64">
        <f t="shared" si="21"/>
        <v>42560</v>
      </c>
    </row>
    <row r="660" spans="1:16" x14ac:dyDescent="0.25">
      <c r="A660" s="26">
        <v>42560.441435185188</v>
      </c>
      <c r="B660" s="51" t="s">
        <v>125</v>
      </c>
      <c r="C660" s="4" t="s">
        <v>683</v>
      </c>
      <c r="D660" s="4" t="s">
        <v>103</v>
      </c>
      <c r="E660" s="51" t="s">
        <v>122</v>
      </c>
      <c r="F660" s="3">
        <v>0</v>
      </c>
      <c r="G660" s="3">
        <v>561</v>
      </c>
      <c r="H660" s="3">
        <v>122160</v>
      </c>
      <c r="I660" s="51" t="s">
        <v>123</v>
      </c>
      <c r="J660" s="3">
        <v>126585</v>
      </c>
      <c r="K660" s="4" t="s">
        <v>111</v>
      </c>
      <c r="L660" s="56" t="s">
        <v>411</v>
      </c>
      <c r="M660" s="20" t="s">
        <v>107</v>
      </c>
      <c r="N660" s="19" t="s">
        <v>684</v>
      </c>
      <c r="O660" s="19" t="str">
        <f t="shared" si="20"/>
        <v>09</v>
      </c>
      <c r="P660" s="64">
        <f t="shared" si="21"/>
        <v>42560</v>
      </c>
    </row>
    <row r="661" spans="1:16" x14ac:dyDescent="0.25">
      <c r="A661" s="26">
        <v>42560.467060185183</v>
      </c>
      <c r="B661" s="51" t="s">
        <v>163</v>
      </c>
      <c r="C661" s="4" t="s">
        <v>685</v>
      </c>
      <c r="D661" s="4" t="s">
        <v>103</v>
      </c>
      <c r="E661" s="51" t="s">
        <v>122</v>
      </c>
      <c r="F661" s="3">
        <v>0</v>
      </c>
      <c r="G661" s="3">
        <v>695</v>
      </c>
      <c r="H661" s="3">
        <v>161873</v>
      </c>
      <c r="I661" s="51" t="s">
        <v>123</v>
      </c>
      <c r="J661" s="3">
        <v>162254</v>
      </c>
      <c r="K661" s="4" t="s">
        <v>111</v>
      </c>
      <c r="L661" s="56" t="s">
        <v>418</v>
      </c>
      <c r="M661" s="20" t="s">
        <v>107</v>
      </c>
      <c r="N661" s="19" t="s">
        <v>52</v>
      </c>
      <c r="O661" s="19" t="str">
        <f t="shared" si="20"/>
        <v>09</v>
      </c>
      <c r="P661" s="64">
        <f t="shared" si="21"/>
        <v>42560</v>
      </c>
    </row>
    <row r="662" spans="1:16" x14ac:dyDescent="0.25">
      <c r="A662" s="26">
        <v>42560.313287037039</v>
      </c>
      <c r="B662" s="51" t="s">
        <v>117</v>
      </c>
      <c r="C662" s="4" t="s">
        <v>1115</v>
      </c>
      <c r="D662" s="4" t="s">
        <v>103</v>
      </c>
      <c r="E662" s="51" t="s">
        <v>122</v>
      </c>
      <c r="F662" s="3">
        <v>0</v>
      </c>
      <c r="G662" s="3">
        <v>484</v>
      </c>
      <c r="H662" s="3">
        <v>194512</v>
      </c>
      <c r="I662" s="51" t="s">
        <v>123</v>
      </c>
      <c r="J662" s="3">
        <v>191723</v>
      </c>
      <c r="K662" s="4" t="s">
        <v>106</v>
      </c>
      <c r="L662" s="56" t="s">
        <v>396</v>
      </c>
      <c r="M662" s="20" t="s">
        <v>112</v>
      </c>
      <c r="N662" s="19" t="s">
        <v>1116</v>
      </c>
      <c r="O662" s="19" t="str">
        <f t="shared" si="20"/>
        <v>09</v>
      </c>
      <c r="P662" s="64">
        <f t="shared" si="21"/>
        <v>42560</v>
      </c>
    </row>
    <row r="663" spans="1:16" x14ac:dyDescent="0.25">
      <c r="A663" s="26">
        <v>42560.383958333332</v>
      </c>
      <c r="B663" s="4" t="s">
        <v>117</v>
      </c>
      <c r="C663" s="4" t="s">
        <v>1117</v>
      </c>
      <c r="D663" s="4" t="s">
        <v>103</v>
      </c>
      <c r="E663" s="4" t="s">
        <v>127</v>
      </c>
      <c r="F663" s="3">
        <v>0</v>
      </c>
      <c r="G663" s="3">
        <v>155</v>
      </c>
      <c r="H663" s="3">
        <v>231560</v>
      </c>
      <c r="I663" s="4" t="s">
        <v>128</v>
      </c>
      <c r="J663" s="3">
        <v>231147</v>
      </c>
      <c r="K663" s="4" t="s">
        <v>106</v>
      </c>
      <c r="L663" s="56" t="s">
        <v>396</v>
      </c>
      <c r="M663" s="20" t="s">
        <v>107</v>
      </c>
      <c r="N663" s="19" t="s">
        <v>52</v>
      </c>
      <c r="O663" s="19" t="str">
        <f t="shared" si="20"/>
        <v>09</v>
      </c>
      <c r="P663" s="64">
        <f t="shared" si="21"/>
        <v>42560</v>
      </c>
    </row>
    <row r="664" spans="1:16" x14ac:dyDescent="0.25">
      <c r="A664" s="26">
        <v>42560.501481481479</v>
      </c>
      <c r="B664" s="51" t="s">
        <v>131</v>
      </c>
      <c r="C664" s="4" t="s">
        <v>100</v>
      </c>
      <c r="D664" s="4" t="s">
        <v>103</v>
      </c>
      <c r="E664" s="51" t="s">
        <v>129</v>
      </c>
      <c r="F664" s="3">
        <v>0</v>
      </c>
      <c r="G664" s="3">
        <v>40</v>
      </c>
      <c r="H664" s="3">
        <v>149</v>
      </c>
      <c r="I664" s="51" t="s">
        <v>130</v>
      </c>
      <c r="J664" s="3">
        <v>1</v>
      </c>
      <c r="K664" s="4" t="s">
        <v>106</v>
      </c>
      <c r="L664" s="56" t="s">
        <v>475</v>
      </c>
      <c r="M664" s="20" t="s">
        <v>112</v>
      </c>
      <c r="N664" s="19"/>
      <c r="O664" s="19" t="str">
        <f t="shared" si="20"/>
        <v>09</v>
      </c>
      <c r="P664" s="64">
        <f t="shared" si="21"/>
        <v>42560</v>
      </c>
    </row>
    <row r="665" spans="1:16" x14ac:dyDescent="0.25">
      <c r="A665" s="26">
        <v>42560.57508101852</v>
      </c>
      <c r="B665" s="51" t="s">
        <v>131</v>
      </c>
      <c r="C665" s="4" t="s">
        <v>302</v>
      </c>
      <c r="D665" s="4" t="s">
        <v>103</v>
      </c>
      <c r="E665" s="51" t="s">
        <v>129</v>
      </c>
      <c r="F665" s="3">
        <v>0</v>
      </c>
      <c r="G665" s="3">
        <v>99</v>
      </c>
      <c r="H665" s="3">
        <v>447</v>
      </c>
      <c r="I665" s="51" t="s">
        <v>130</v>
      </c>
      <c r="J665" s="3">
        <v>1</v>
      </c>
      <c r="K665" s="4" t="s">
        <v>106</v>
      </c>
      <c r="L665" s="56" t="s">
        <v>409</v>
      </c>
      <c r="M665" s="20" t="s">
        <v>112</v>
      </c>
      <c r="N665" s="19"/>
      <c r="O665" s="19" t="str">
        <f t="shared" si="20"/>
        <v>09</v>
      </c>
      <c r="P665" s="64">
        <f t="shared" si="21"/>
        <v>42560</v>
      </c>
    </row>
    <row r="666" spans="1:16" x14ac:dyDescent="0.25">
      <c r="A666" s="26">
        <v>42560.606377314813</v>
      </c>
      <c r="B666" s="51" t="s">
        <v>145</v>
      </c>
      <c r="C666" s="4" t="s">
        <v>1118</v>
      </c>
      <c r="D666" s="4" t="s">
        <v>103</v>
      </c>
      <c r="E666" s="51" t="s">
        <v>129</v>
      </c>
      <c r="F666" s="3">
        <v>0</v>
      </c>
      <c r="G666" s="3">
        <v>66</v>
      </c>
      <c r="H666" s="3">
        <v>212</v>
      </c>
      <c r="I666" s="51" t="s">
        <v>130</v>
      </c>
      <c r="J666" s="3">
        <v>1</v>
      </c>
      <c r="K666" s="4" t="s">
        <v>106</v>
      </c>
      <c r="L666" s="56" t="s">
        <v>405</v>
      </c>
      <c r="M666" s="20" t="s">
        <v>112</v>
      </c>
      <c r="N666" s="19"/>
      <c r="O666" s="19" t="str">
        <f t="shared" si="20"/>
        <v>09</v>
      </c>
      <c r="P666" s="64">
        <f t="shared" si="21"/>
        <v>42560</v>
      </c>
    </row>
    <row r="667" spans="1:16" x14ac:dyDescent="0.25">
      <c r="A667" s="26">
        <v>42560.939699074072</v>
      </c>
      <c r="B667" s="51" t="s">
        <v>118</v>
      </c>
      <c r="C667" s="4" t="s">
        <v>1113</v>
      </c>
      <c r="D667" s="4" t="s">
        <v>103</v>
      </c>
      <c r="E667" s="4" t="s">
        <v>129</v>
      </c>
      <c r="F667" s="3">
        <v>0</v>
      </c>
      <c r="G667" s="3">
        <v>106</v>
      </c>
      <c r="H667" s="3">
        <v>376</v>
      </c>
      <c r="I667" s="4" t="s">
        <v>130</v>
      </c>
      <c r="J667" s="3">
        <v>1</v>
      </c>
      <c r="K667" s="4" t="s">
        <v>106</v>
      </c>
      <c r="L667" s="56" t="s">
        <v>413</v>
      </c>
      <c r="M667" s="20" t="s">
        <v>112</v>
      </c>
      <c r="N667" s="19"/>
      <c r="O667" s="19" t="str">
        <f t="shared" si="20"/>
        <v>09</v>
      </c>
      <c r="P667" s="64">
        <f t="shared" si="21"/>
        <v>42560</v>
      </c>
    </row>
    <row r="668" spans="1:16" x14ac:dyDescent="0.25">
      <c r="A668" s="26">
        <v>42560.940104166664</v>
      </c>
      <c r="B668" s="51" t="s">
        <v>118</v>
      </c>
      <c r="C668" s="4" t="s">
        <v>1113</v>
      </c>
      <c r="D668" s="4" t="s">
        <v>103</v>
      </c>
      <c r="E668" s="51" t="s">
        <v>129</v>
      </c>
      <c r="F668" s="3">
        <v>0</v>
      </c>
      <c r="G668" s="3">
        <v>44</v>
      </c>
      <c r="H668" s="3">
        <v>174</v>
      </c>
      <c r="I668" s="51" t="s">
        <v>130</v>
      </c>
      <c r="J668" s="3">
        <v>1</v>
      </c>
      <c r="K668" s="4" t="s">
        <v>106</v>
      </c>
      <c r="L668" s="56" t="s">
        <v>413</v>
      </c>
      <c r="M668" s="20" t="s">
        <v>112</v>
      </c>
      <c r="N668" s="19"/>
      <c r="O668" s="19" t="str">
        <f t="shared" si="20"/>
        <v>09</v>
      </c>
      <c r="P668" s="64">
        <f t="shared" si="21"/>
        <v>42560</v>
      </c>
    </row>
    <row r="669" spans="1:16" x14ac:dyDescent="0.25">
      <c r="A669" s="26">
        <v>42560.40116898148</v>
      </c>
      <c r="B669" s="51" t="s">
        <v>163</v>
      </c>
      <c r="C669" s="4" t="s">
        <v>1119</v>
      </c>
      <c r="D669" s="4" t="s">
        <v>103</v>
      </c>
      <c r="E669" s="51" t="s">
        <v>129</v>
      </c>
      <c r="F669" s="3">
        <v>0</v>
      </c>
      <c r="G669" s="3">
        <v>89</v>
      </c>
      <c r="H669" s="3">
        <v>233149</v>
      </c>
      <c r="I669" s="51" t="s">
        <v>130</v>
      </c>
      <c r="J669" s="3">
        <v>233491</v>
      </c>
      <c r="K669" s="4" t="s">
        <v>111</v>
      </c>
      <c r="L669" s="56" t="s">
        <v>415</v>
      </c>
      <c r="M669" s="20" t="s">
        <v>112</v>
      </c>
      <c r="N669" s="19"/>
      <c r="O669" s="19" t="str">
        <f t="shared" si="20"/>
        <v>09</v>
      </c>
      <c r="P669" s="64">
        <f t="shared" si="21"/>
        <v>42560</v>
      </c>
    </row>
    <row r="670" spans="1:16" x14ac:dyDescent="0.25">
      <c r="A670" s="26">
        <v>42560.493217592593</v>
      </c>
      <c r="B670" s="51" t="s">
        <v>146</v>
      </c>
      <c r="C670" s="4" t="s">
        <v>1121</v>
      </c>
      <c r="D670" s="4" t="s">
        <v>103</v>
      </c>
      <c r="E670" s="51" t="s">
        <v>129</v>
      </c>
      <c r="F670" s="3">
        <v>0</v>
      </c>
      <c r="G670" s="3">
        <v>65</v>
      </c>
      <c r="H670" s="3">
        <v>233234</v>
      </c>
      <c r="I670" s="51" t="s">
        <v>130</v>
      </c>
      <c r="J670" s="3">
        <v>233491</v>
      </c>
      <c r="K670" s="4" t="s">
        <v>111</v>
      </c>
      <c r="L670" s="56" t="s">
        <v>405</v>
      </c>
      <c r="M670" s="20" t="s">
        <v>112</v>
      </c>
      <c r="N670" s="19"/>
      <c r="O670" s="19" t="str">
        <f t="shared" si="20"/>
        <v>09</v>
      </c>
      <c r="P670" s="64">
        <f t="shared" si="21"/>
        <v>42560</v>
      </c>
    </row>
    <row r="671" spans="1:16" x14ac:dyDescent="0.25">
      <c r="A671" s="26">
        <v>42561.066736111112</v>
      </c>
      <c r="B671" s="51" t="s">
        <v>125</v>
      </c>
      <c r="C671" s="4" t="s">
        <v>1120</v>
      </c>
      <c r="D671" s="4" t="s">
        <v>103</v>
      </c>
      <c r="E671" s="51" t="s">
        <v>129</v>
      </c>
      <c r="F671" s="3">
        <v>0</v>
      </c>
      <c r="G671" s="3">
        <v>80</v>
      </c>
      <c r="H671" s="3">
        <v>233203</v>
      </c>
      <c r="I671" s="51" t="s">
        <v>130</v>
      </c>
      <c r="J671" s="3">
        <v>233491</v>
      </c>
      <c r="K671" s="4" t="s">
        <v>111</v>
      </c>
      <c r="L671" s="56" t="s">
        <v>413</v>
      </c>
      <c r="M671" s="20" t="s">
        <v>112</v>
      </c>
      <c r="N671" s="19"/>
      <c r="O671" s="19" t="str">
        <f t="shared" si="20"/>
        <v>09</v>
      </c>
      <c r="P671" s="64">
        <f t="shared" si="21"/>
        <v>42560</v>
      </c>
    </row>
    <row r="672" spans="1:16" x14ac:dyDescent="0.25">
      <c r="A672" s="26">
        <v>42561.45417824074</v>
      </c>
      <c r="B672" s="51" t="s">
        <v>148</v>
      </c>
      <c r="C672" s="4" t="s">
        <v>1122</v>
      </c>
      <c r="D672" s="4" t="s">
        <v>116</v>
      </c>
      <c r="E672" s="51" t="s">
        <v>104</v>
      </c>
      <c r="F672" s="3">
        <v>790</v>
      </c>
      <c r="G672" s="3">
        <v>842</v>
      </c>
      <c r="H672" s="3">
        <v>140510</v>
      </c>
      <c r="I672" s="51" t="s">
        <v>105</v>
      </c>
      <c r="J672" s="3">
        <v>110617</v>
      </c>
      <c r="K672" s="4" t="s">
        <v>111</v>
      </c>
      <c r="L672" s="56" t="s">
        <v>405</v>
      </c>
      <c r="M672" s="20" t="s">
        <v>112</v>
      </c>
      <c r="N672" s="19" t="s">
        <v>175</v>
      </c>
      <c r="O672" s="19" t="str">
        <f t="shared" si="20"/>
        <v>10</v>
      </c>
      <c r="P672" s="64">
        <f t="shared" si="21"/>
        <v>42561</v>
      </c>
    </row>
    <row r="673" spans="1:16" x14ac:dyDescent="0.25">
      <c r="A673" s="26">
        <v>42561.628275462965</v>
      </c>
      <c r="B673" s="4" t="s">
        <v>120</v>
      </c>
      <c r="C673" s="4" t="s">
        <v>1123</v>
      </c>
      <c r="D673" s="4" t="s">
        <v>103</v>
      </c>
      <c r="E673" s="4" t="s">
        <v>109</v>
      </c>
      <c r="F673" s="3">
        <v>50</v>
      </c>
      <c r="G673" s="3">
        <v>160</v>
      </c>
      <c r="H673" s="3">
        <v>63892</v>
      </c>
      <c r="I673" s="4" t="s">
        <v>110</v>
      </c>
      <c r="J673" s="3">
        <v>63309</v>
      </c>
      <c r="K673" s="4" t="s">
        <v>106</v>
      </c>
      <c r="L673" s="56" t="s">
        <v>402</v>
      </c>
      <c r="M673" s="20" t="s">
        <v>112</v>
      </c>
      <c r="N673" s="19" t="s">
        <v>543</v>
      </c>
      <c r="O673" s="19" t="str">
        <f t="shared" si="20"/>
        <v>10</v>
      </c>
      <c r="P673" s="64">
        <f t="shared" si="21"/>
        <v>42561</v>
      </c>
    </row>
    <row r="674" spans="1:16" x14ac:dyDescent="0.25">
      <c r="A674" s="26">
        <v>42561.547002314815</v>
      </c>
      <c r="B674" s="51" t="s">
        <v>145</v>
      </c>
      <c r="C674" s="4" t="s">
        <v>401</v>
      </c>
      <c r="D674" s="4" t="s">
        <v>103</v>
      </c>
      <c r="E674" s="51" t="s">
        <v>109</v>
      </c>
      <c r="F674" s="3">
        <v>620</v>
      </c>
      <c r="G674" s="3">
        <v>764</v>
      </c>
      <c r="H674" s="3">
        <v>105852</v>
      </c>
      <c r="I674" s="51" t="s">
        <v>110</v>
      </c>
      <c r="J674" s="3">
        <v>108954</v>
      </c>
      <c r="K674" s="4" t="s">
        <v>111</v>
      </c>
      <c r="L674" s="56" t="s">
        <v>402</v>
      </c>
      <c r="M674" s="20" t="s">
        <v>112</v>
      </c>
      <c r="N674" s="19" t="s">
        <v>543</v>
      </c>
      <c r="O674" s="19" t="str">
        <f t="shared" si="20"/>
        <v>10</v>
      </c>
      <c r="P674" s="64">
        <f t="shared" si="21"/>
        <v>42561</v>
      </c>
    </row>
    <row r="675" spans="1:16" x14ac:dyDescent="0.25">
      <c r="A675" s="26">
        <v>42562.000520833331</v>
      </c>
      <c r="B675" s="51" t="s">
        <v>125</v>
      </c>
      <c r="C675" s="4" t="s">
        <v>1124</v>
      </c>
      <c r="D675" s="4" t="s">
        <v>103</v>
      </c>
      <c r="E675" s="51" t="s">
        <v>115</v>
      </c>
      <c r="F675" s="3">
        <v>150</v>
      </c>
      <c r="G675" s="3">
        <v>126</v>
      </c>
      <c r="H675" s="3">
        <v>1734</v>
      </c>
      <c r="I675" s="51" t="s">
        <v>105</v>
      </c>
      <c r="J675" s="3">
        <v>2096</v>
      </c>
      <c r="K675" s="4" t="s">
        <v>111</v>
      </c>
      <c r="L675" s="56" t="s">
        <v>411</v>
      </c>
      <c r="M675" s="20" t="s">
        <v>112</v>
      </c>
      <c r="N675" s="19"/>
      <c r="O675" s="19" t="str">
        <f t="shared" si="20"/>
        <v>10</v>
      </c>
      <c r="P675" s="64">
        <f t="shared" si="21"/>
        <v>42561</v>
      </c>
    </row>
    <row r="676" spans="1:16" x14ac:dyDescent="0.25">
      <c r="A676" s="26">
        <v>42561.704027777778</v>
      </c>
      <c r="B676" s="51" t="s">
        <v>143</v>
      </c>
      <c r="C676" s="4" t="s">
        <v>305</v>
      </c>
      <c r="D676" s="4" t="s">
        <v>103</v>
      </c>
      <c r="E676" s="51" t="s">
        <v>115</v>
      </c>
      <c r="F676" s="3">
        <v>150</v>
      </c>
      <c r="G676" s="3">
        <v>182</v>
      </c>
      <c r="H676" s="3">
        <v>4910</v>
      </c>
      <c r="I676" s="51" t="s">
        <v>105</v>
      </c>
      <c r="J676" s="3">
        <v>4677</v>
      </c>
      <c r="K676" s="4" t="s">
        <v>106</v>
      </c>
      <c r="L676" s="56" t="s">
        <v>1125</v>
      </c>
      <c r="M676" s="20" t="s">
        <v>112</v>
      </c>
      <c r="N676" s="19"/>
      <c r="O676" s="19" t="str">
        <f t="shared" si="20"/>
        <v>10</v>
      </c>
      <c r="P676" s="64">
        <f t="shared" si="21"/>
        <v>42561</v>
      </c>
    </row>
    <row r="677" spans="1:16" x14ac:dyDescent="0.25">
      <c r="A677" s="26">
        <v>42561.700868055559</v>
      </c>
      <c r="B677" s="51" t="s">
        <v>163</v>
      </c>
      <c r="C677" s="4" t="s">
        <v>170</v>
      </c>
      <c r="D677" s="4" t="s">
        <v>103</v>
      </c>
      <c r="E677" s="4" t="s">
        <v>115</v>
      </c>
      <c r="F677" s="3">
        <v>400</v>
      </c>
      <c r="G677" s="3">
        <v>486</v>
      </c>
      <c r="H677" s="3">
        <v>17261</v>
      </c>
      <c r="I677" s="4" t="s">
        <v>105</v>
      </c>
      <c r="J677" s="3">
        <v>17867</v>
      </c>
      <c r="K677" s="4" t="s">
        <v>111</v>
      </c>
      <c r="L677" s="56" t="s">
        <v>436</v>
      </c>
      <c r="M677" s="20" t="s">
        <v>112</v>
      </c>
      <c r="N677" s="19"/>
      <c r="O677" s="19" t="str">
        <f t="shared" si="20"/>
        <v>10</v>
      </c>
      <c r="P677" s="64">
        <f t="shared" si="21"/>
        <v>42561</v>
      </c>
    </row>
    <row r="678" spans="1:16" x14ac:dyDescent="0.25">
      <c r="A678" s="26">
        <v>42561.275659722225</v>
      </c>
      <c r="B678" s="51" t="s">
        <v>135</v>
      </c>
      <c r="C678" s="4" t="s">
        <v>1126</v>
      </c>
      <c r="D678" s="4" t="s">
        <v>103</v>
      </c>
      <c r="E678" s="51" t="s">
        <v>115</v>
      </c>
      <c r="F678" s="3">
        <v>200</v>
      </c>
      <c r="G678" s="3">
        <v>239</v>
      </c>
      <c r="H678" s="3">
        <v>27231</v>
      </c>
      <c r="I678" s="51" t="s">
        <v>105</v>
      </c>
      <c r="J678" s="3">
        <v>27333</v>
      </c>
      <c r="K678" s="4" t="s">
        <v>111</v>
      </c>
      <c r="L678" s="56" t="s">
        <v>396</v>
      </c>
      <c r="M678" s="20" t="s">
        <v>112</v>
      </c>
      <c r="N678" s="19"/>
      <c r="O678" s="19" t="str">
        <f t="shared" si="20"/>
        <v>10</v>
      </c>
      <c r="P678" s="64">
        <f t="shared" si="21"/>
        <v>42561</v>
      </c>
    </row>
    <row r="679" spans="1:16" x14ac:dyDescent="0.25">
      <c r="A679" s="26">
        <v>42561.769733796296</v>
      </c>
      <c r="B679" s="52" t="s">
        <v>143</v>
      </c>
      <c r="C679" s="18" t="s">
        <v>171</v>
      </c>
      <c r="D679" s="18" t="s">
        <v>103</v>
      </c>
      <c r="E679" s="52" t="s">
        <v>115</v>
      </c>
      <c r="F679" s="53">
        <v>200</v>
      </c>
      <c r="G679" s="53">
        <v>242</v>
      </c>
      <c r="H679" s="53">
        <v>30922</v>
      </c>
      <c r="I679" s="52" t="s">
        <v>105</v>
      </c>
      <c r="J679" s="53">
        <v>30562</v>
      </c>
      <c r="K679" s="19" t="s">
        <v>106</v>
      </c>
      <c r="L679" s="56" t="s">
        <v>1125</v>
      </c>
      <c r="M679" s="20" t="s">
        <v>112</v>
      </c>
      <c r="N679" s="19"/>
      <c r="O679" s="19" t="str">
        <f t="shared" si="20"/>
        <v>10</v>
      </c>
      <c r="P679" s="64">
        <f t="shared" si="21"/>
        <v>42561</v>
      </c>
    </row>
    <row r="680" spans="1:16" x14ac:dyDescent="0.25">
      <c r="A680" s="26">
        <v>42561.670023148145</v>
      </c>
      <c r="B680" s="51" t="s">
        <v>124</v>
      </c>
      <c r="C680" s="4" t="s">
        <v>1127</v>
      </c>
      <c r="D680" s="4" t="s">
        <v>116</v>
      </c>
      <c r="E680" s="51" t="s">
        <v>115</v>
      </c>
      <c r="F680" s="3">
        <v>600</v>
      </c>
      <c r="G680" s="3">
        <v>659</v>
      </c>
      <c r="H680" s="3">
        <v>184061</v>
      </c>
      <c r="I680" s="51" t="s">
        <v>105</v>
      </c>
      <c r="J680" s="3">
        <v>190834</v>
      </c>
      <c r="K680" s="4" t="s">
        <v>106</v>
      </c>
      <c r="L680" s="56" t="s">
        <v>436</v>
      </c>
      <c r="M680" s="20" t="s">
        <v>112</v>
      </c>
      <c r="N680" s="19"/>
      <c r="O680" s="19" t="str">
        <f t="shared" si="20"/>
        <v>10</v>
      </c>
      <c r="P680" s="64">
        <f t="shared" si="21"/>
        <v>42561</v>
      </c>
    </row>
    <row r="681" spans="1:16" x14ac:dyDescent="0.25">
      <c r="A681" s="26">
        <v>42561.575694444444</v>
      </c>
      <c r="B681" s="51" t="s">
        <v>163</v>
      </c>
      <c r="C681" s="4" t="s">
        <v>1128</v>
      </c>
      <c r="D681" s="4" t="s">
        <v>103</v>
      </c>
      <c r="E681" s="51" t="s">
        <v>115</v>
      </c>
      <c r="F681" s="3">
        <v>350</v>
      </c>
      <c r="G681" s="3">
        <v>534</v>
      </c>
      <c r="H681" s="3">
        <v>222916</v>
      </c>
      <c r="I681" s="51" t="s">
        <v>105</v>
      </c>
      <c r="J681" s="3">
        <v>224578</v>
      </c>
      <c r="K681" s="4" t="s">
        <v>111</v>
      </c>
      <c r="L681" s="56" t="s">
        <v>436</v>
      </c>
      <c r="M681" s="20" t="s">
        <v>112</v>
      </c>
      <c r="N681" s="19"/>
      <c r="O681" s="19" t="str">
        <f t="shared" si="20"/>
        <v>10</v>
      </c>
      <c r="P681" s="64">
        <f t="shared" si="21"/>
        <v>42561</v>
      </c>
    </row>
    <row r="682" spans="1:16" x14ac:dyDescent="0.25">
      <c r="A682" s="26">
        <v>42561.525509259256</v>
      </c>
      <c r="B682" s="51" t="s">
        <v>126</v>
      </c>
      <c r="C682" s="4" t="s">
        <v>1129</v>
      </c>
      <c r="D682" s="4" t="s">
        <v>103</v>
      </c>
      <c r="E682" s="51" t="s">
        <v>115</v>
      </c>
      <c r="F682" s="3">
        <v>150</v>
      </c>
      <c r="G682" s="3">
        <v>209</v>
      </c>
      <c r="H682" s="3">
        <v>228532</v>
      </c>
      <c r="I682" s="51" t="s">
        <v>105</v>
      </c>
      <c r="J682" s="3">
        <v>228668</v>
      </c>
      <c r="K682" s="4" t="s">
        <v>111</v>
      </c>
      <c r="L682" s="56" t="s">
        <v>404</v>
      </c>
      <c r="M682" s="20" t="s">
        <v>112</v>
      </c>
      <c r="N682" s="19"/>
      <c r="O682" s="19" t="str">
        <f t="shared" si="20"/>
        <v>10</v>
      </c>
      <c r="P682" s="64">
        <f t="shared" si="21"/>
        <v>42561</v>
      </c>
    </row>
    <row r="683" spans="1:16" x14ac:dyDescent="0.25">
      <c r="A683" s="26">
        <v>42561.698854166665</v>
      </c>
      <c r="B683" s="51" t="s">
        <v>147</v>
      </c>
      <c r="C683" s="4" t="s">
        <v>1130</v>
      </c>
      <c r="D683" s="4" t="s">
        <v>103</v>
      </c>
      <c r="E683" s="51" t="s">
        <v>115</v>
      </c>
      <c r="F683" s="3">
        <v>150</v>
      </c>
      <c r="G683" s="3">
        <v>181</v>
      </c>
      <c r="H683" s="3">
        <v>229210</v>
      </c>
      <c r="I683" s="51" t="s">
        <v>105</v>
      </c>
      <c r="J683" s="3">
        <v>229055</v>
      </c>
      <c r="K683" s="4" t="s">
        <v>106</v>
      </c>
      <c r="L683" s="56" t="s">
        <v>405</v>
      </c>
      <c r="M683" s="20" t="s">
        <v>112</v>
      </c>
      <c r="N683" s="19"/>
      <c r="O683" s="19" t="str">
        <f t="shared" si="20"/>
        <v>10</v>
      </c>
      <c r="P683" s="64">
        <f t="shared" si="21"/>
        <v>42561</v>
      </c>
    </row>
    <row r="684" spans="1:16" x14ac:dyDescent="0.25">
      <c r="A684" s="26">
        <v>42561.748807870368</v>
      </c>
      <c r="B684" s="4" t="s">
        <v>143</v>
      </c>
      <c r="C684" s="4" t="s">
        <v>171</v>
      </c>
      <c r="D684" s="4" t="s">
        <v>103</v>
      </c>
      <c r="E684" s="4" t="s">
        <v>115</v>
      </c>
      <c r="F684" s="3">
        <v>150</v>
      </c>
      <c r="G684" s="3">
        <v>185</v>
      </c>
      <c r="H684" s="3">
        <v>229339</v>
      </c>
      <c r="I684" s="4" t="s">
        <v>105</v>
      </c>
      <c r="J684" s="3">
        <v>229055</v>
      </c>
      <c r="K684" s="4" t="s">
        <v>106</v>
      </c>
      <c r="L684" s="56" t="s">
        <v>1125</v>
      </c>
      <c r="M684" s="20" t="s">
        <v>112</v>
      </c>
      <c r="N684" s="19"/>
      <c r="O684" s="19" t="str">
        <f t="shared" si="20"/>
        <v>10</v>
      </c>
      <c r="P684" s="64">
        <f t="shared" si="21"/>
        <v>42561</v>
      </c>
    </row>
    <row r="685" spans="1:16" x14ac:dyDescent="0.25">
      <c r="A685" s="26">
        <v>42561.409131944441</v>
      </c>
      <c r="B685" s="51" t="s">
        <v>146</v>
      </c>
      <c r="C685" s="4" t="s">
        <v>1131</v>
      </c>
      <c r="D685" s="4" t="s">
        <v>103</v>
      </c>
      <c r="E685" s="51" t="s">
        <v>115</v>
      </c>
      <c r="F685" s="3">
        <v>150</v>
      </c>
      <c r="G685" s="3">
        <v>162</v>
      </c>
      <c r="H685" s="3">
        <v>229619</v>
      </c>
      <c r="I685" s="51" t="s">
        <v>105</v>
      </c>
      <c r="J685" s="3">
        <v>230436</v>
      </c>
      <c r="K685" s="4" t="s">
        <v>111</v>
      </c>
      <c r="L685" s="56" t="s">
        <v>400</v>
      </c>
      <c r="M685" s="20" t="s">
        <v>112</v>
      </c>
      <c r="N685" s="19"/>
      <c r="O685" s="19" t="str">
        <f t="shared" si="20"/>
        <v>10</v>
      </c>
      <c r="P685" s="64">
        <f t="shared" si="21"/>
        <v>42561</v>
      </c>
    </row>
    <row r="686" spans="1:16" x14ac:dyDescent="0.25">
      <c r="A686" s="26">
        <v>42561.26699074074</v>
      </c>
      <c r="B686" s="51" t="s">
        <v>131</v>
      </c>
      <c r="C686" s="4" t="s">
        <v>1132</v>
      </c>
      <c r="D686" s="4" t="s">
        <v>103</v>
      </c>
      <c r="E686" s="51" t="s">
        <v>122</v>
      </c>
      <c r="F686" s="3">
        <v>0</v>
      </c>
      <c r="G686" s="3">
        <v>67</v>
      </c>
      <c r="H686" s="3">
        <v>861</v>
      </c>
      <c r="I686" s="51" t="s">
        <v>123</v>
      </c>
      <c r="J686" s="3">
        <v>1692</v>
      </c>
      <c r="K686" s="4" t="s">
        <v>111</v>
      </c>
      <c r="L686" s="56" t="b">
        <v>1</v>
      </c>
      <c r="M686" s="20" t="s">
        <v>112</v>
      </c>
      <c r="N686" s="19" t="s">
        <v>1133</v>
      </c>
      <c r="O686" s="19" t="str">
        <f t="shared" si="20"/>
        <v>10</v>
      </c>
      <c r="P686" s="64">
        <f t="shared" si="21"/>
        <v>42561</v>
      </c>
    </row>
    <row r="687" spans="1:16" x14ac:dyDescent="0.25">
      <c r="A687" s="26">
        <v>42561.213287037041</v>
      </c>
      <c r="B687" s="51" t="s">
        <v>135</v>
      </c>
      <c r="C687" s="4" t="s">
        <v>1134</v>
      </c>
      <c r="D687" s="4" t="s">
        <v>103</v>
      </c>
      <c r="E687" s="51" t="s">
        <v>122</v>
      </c>
      <c r="F687" s="3">
        <v>0</v>
      </c>
      <c r="G687" s="3">
        <v>436</v>
      </c>
      <c r="H687" s="3">
        <v>123996</v>
      </c>
      <c r="I687" s="51" t="s">
        <v>123</v>
      </c>
      <c r="J687" s="3">
        <v>126585</v>
      </c>
      <c r="K687" s="4" t="s">
        <v>111</v>
      </c>
      <c r="L687" s="56" t="s">
        <v>396</v>
      </c>
      <c r="M687" s="20" t="s">
        <v>112</v>
      </c>
      <c r="N687" s="19" t="s">
        <v>1135</v>
      </c>
      <c r="O687" s="19" t="str">
        <f t="shared" si="20"/>
        <v>10</v>
      </c>
      <c r="P687" s="64">
        <f t="shared" si="21"/>
        <v>42561</v>
      </c>
    </row>
    <row r="688" spans="1:16" x14ac:dyDescent="0.25">
      <c r="A688" s="26">
        <v>42561.558935185189</v>
      </c>
      <c r="B688" s="51" t="s">
        <v>147</v>
      </c>
      <c r="C688" s="4" t="s">
        <v>167</v>
      </c>
      <c r="D688" s="4" t="s">
        <v>103</v>
      </c>
      <c r="E688" s="51" t="s">
        <v>122</v>
      </c>
      <c r="F688" s="3">
        <v>0</v>
      </c>
      <c r="G688" s="3">
        <v>407</v>
      </c>
      <c r="H688" s="3">
        <v>129467</v>
      </c>
      <c r="I688" s="51" t="s">
        <v>123</v>
      </c>
      <c r="J688" s="3">
        <v>127587</v>
      </c>
      <c r="K688" s="4" t="s">
        <v>106</v>
      </c>
      <c r="L688" s="56" t="s">
        <v>405</v>
      </c>
      <c r="M688" s="20" t="s">
        <v>112</v>
      </c>
      <c r="N688" s="19" t="s">
        <v>1136</v>
      </c>
      <c r="O688" s="19" t="str">
        <f t="shared" si="20"/>
        <v>10</v>
      </c>
      <c r="P688" s="64">
        <f t="shared" si="21"/>
        <v>42561</v>
      </c>
    </row>
    <row r="689" spans="1:16" x14ac:dyDescent="0.25">
      <c r="A689" s="26">
        <v>42561.652812499997</v>
      </c>
      <c r="B689" s="51" t="s">
        <v>163</v>
      </c>
      <c r="C689" s="4" t="s">
        <v>304</v>
      </c>
      <c r="D689" s="4" t="s">
        <v>103</v>
      </c>
      <c r="E689" s="51" t="s">
        <v>122</v>
      </c>
      <c r="F689" s="3">
        <v>0</v>
      </c>
      <c r="G689" s="3">
        <v>483</v>
      </c>
      <c r="H689" s="3">
        <v>151939</v>
      </c>
      <c r="I689" s="51" t="s">
        <v>123</v>
      </c>
      <c r="J689" s="3">
        <v>155600</v>
      </c>
      <c r="K689" s="4" t="s">
        <v>111</v>
      </c>
      <c r="L689" s="56" t="s">
        <v>436</v>
      </c>
      <c r="M689" s="20" t="s">
        <v>112</v>
      </c>
      <c r="N689" s="19" t="s">
        <v>1137</v>
      </c>
      <c r="O689" s="19" t="str">
        <f t="shared" si="20"/>
        <v>10</v>
      </c>
      <c r="P689" s="64">
        <f t="shared" si="21"/>
        <v>42561</v>
      </c>
    </row>
    <row r="690" spans="1:16" x14ac:dyDescent="0.25">
      <c r="A690" s="26">
        <v>42561.658437500002</v>
      </c>
      <c r="B690" s="51" t="s">
        <v>163</v>
      </c>
      <c r="C690" s="4" t="s">
        <v>304</v>
      </c>
      <c r="D690" s="4" t="s">
        <v>103</v>
      </c>
      <c r="E690" s="51" t="s">
        <v>122</v>
      </c>
      <c r="F690" s="3">
        <v>0</v>
      </c>
      <c r="G690" s="3">
        <v>629</v>
      </c>
      <c r="H690" s="3">
        <v>219811</v>
      </c>
      <c r="I690" s="51" t="s">
        <v>123</v>
      </c>
      <c r="J690" s="3">
        <v>224231</v>
      </c>
      <c r="K690" s="4" t="s">
        <v>111</v>
      </c>
      <c r="L690" s="56" t="s">
        <v>436</v>
      </c>
      <c r="M690" s="20" t="s">
        <v>107</v>
      </c>
      <c r="N690" s="19" t="s">
        <v>1138</v>
      </c>
      <c r="O690" s="19" t="str">
        <f t="shared" si="20"/>
        <v>10</v>
      </c>
      <c r="P690" s="64">
        <f t="shared" si="21"/>
        <v>42561</v>
      </c>
    </row>
    <row r="691" spans="1:16" x14ac:dyDescent="0.25">
      <c r="A691" s="26">
        <v>42561.647303240738</v>
      </c>
      <c r="B691" s="51" t="s">
        <v>145</v>
      </c>
      <c r="C691" s="4" t="s">
        <v>1139</v>
      </c>
      <c r="D691" s="4" t="s">
        <v>103</v>
      </c>
      <c r="E691" s="51" t="s">
        <v>122</v>
      </c>
      <c r="F691" s="3">
        <v>0</v>
      </c>
      <c r="G691" s="3">
        <v>335</v>
      </c>
      <c r="H691" s="3">
        <v>225490</v>
      </c>
      <c r="I691" s="51" t="s">
        <v>123</v>
      </c>
      <c r="J691" s="3">
        <v>224244</v>
      </c>
      <c r="K691" s="4" t="s">
        <v>106</v>
      </c>
      <c r="L691" s="56" t="s">
        <v>409</v>
      </c>
      <c r="M691" s="20" t="s">
        <v>107</v>
      </c>
      <c r="N691" s="19" t="s">
        <v>1140</v>
      </c>
      <c r="O691" s="19" t="str">
        <f t="shared" si="20"/>
        <v>10</v>
      </c>
      <c r="P691" s="64">
        <f t="shared" si="21"/>
        <v>42561</v>
      </c>
    </row>
    <row r="692" spans="1:16" x14ac:dyDescent="0.25">
      <c r="A692" s="26">
        <v>42561.238541666666</v>
      </c>
      <c r="B692" s="51" t="s">
        <v>143</v>
      </c>
      <c r="C692" s="4" t="s">
        <v>168</v>
      </c>
      <c r="D692" s="4" t="s">
        <v>116</v>
      </c>
      <c r="E692" s="51" t="s">
        <v>122</v>
      </c>
      <c r="F692" s="3">
        <v>0</v>
      </c>
      <c r="G692" s="3">
        <v>340</v>
      </c>
      <c r="H692" s="3">
        <v>225545</v>
      </c>
      <c r="I692" s="51" t="s">
        <v>123</v>
      </c>
      <c r="J692" s="3">
        <v>231650</v>
      </c>
      <c r="K692" s="4" t="s">
        <v>106</v>
      </c>
      <c r="L692" s="56" t="s">
        <v>396</v>
      </c>
      <c r="M692" s="20" t="s">
        <v>107</v>
      </c>
      <c r="N692" s="19" t="s">
        <v>52</v>
      </c>
      <c r="O692" s="19" t="str">
        <f t="shared" si="20"/>
        <v>10</v>
      </c>
      <c r="P692" s="64">
        <f t="shared" si="21"/>
        <v>42561</v>
      </c>
    </row>
    <row r="693" spans="1:16" x14ac:dyDescent="0.25">
      <c r="A693" s="26">
        <v>42561.242951388886</v>
      </c>
      <c r="B693" s="51" t="s">
        <v>108</v>
      </c>
      <c r="C693" s="4" t="s">
        <v>397</v>
      </c>
      <c r="D693" s="4" t="s">
        <v>116</v>
      </c>
      <c r="E693" s="51" t="s">
        <v>127</v>
      </c>
      <c r="F693" s="3">
        <v>0</v>
      </c>
      <c r="G693" s="3">
        <v>344</v>
      </c>
      <c r="H693" s="3">
        <v>104095</v>
      </c>
      <c r="I693" s="51" t="s">
        <v>128</v>
      </c>
      <c r="J693" s="3">
        <v>103445</v>
      </c>
      <c r="K693" s="4" t="s">
        <v>111</v>
      </c>
      <c r="L693" s="56" t="s">
        <v>398</v>
      </c>
      <c r="M693" s="20" t="s">
        <v>107</v>
      </c>
      <c r="N693" s="19" t="s">
        <v>52</v>
      </c>
      <c r="O693" s="19" t="str">
        <f t="shared" si="20"/>
        <v>10</v>
      </c>
      <c r="P693" s="64">
        <f t="shared" si="21"/>
        <v>42561</v>
      </c>
    </row>
    <row r="694" spans="1:16" x14ac:dyDescent="0.25">
      <c r="A694" s="26">
        <v>42561.256886574076</v>
      </c>
      <c r="B694" s="51" t="s">
        <v>131</v>
      </c>
      <c r="C694" s="4" t="s">
        <v>1132</v>
      </c>
      <c r="D694" s="4" t="s">
        <v>103</v>
      </c>
      <c r="E694" s="51" t="s">
        <v>129</v>
      </c>
      <c r="F694" s="3">
        <v>0</v>
      </c>
      <c r="G694" s="3">
        <v>64</v>
      </c>
      <c r="H694" s="3">
        <v>220</v>
      </c>
      <c r="I694" s="51" t="s">
        <v>130</v>
      </c>
      <c r="J694" s="3">
        <v>1</v>
      </c>
      <c r="K694" s="4" t="s">
        <v>106</v>
      </c>
      <c r="L694" s="56" t="b">
        <v>1</v>
      </c>
      <c r="M694" s="20" t="s">
        <v>112</v>
      </c>
      <c r="N694" s="19"/>
      <c r="O694" s="19" t="str">
        <f t="shared" si="20"/>
        <v>10</v>
      </c>
      <c r="P694" s="64">
        <f t="shared" si="21"/>
        <v>42561</v>
      </c>
    </row>
    <row r="695" spans="1:16" x14ac:dyDescent="0.25">
      <c r="A695" s="26">
        <v>42561.345451388886</v>
      </c>
      <c r="B695" s="51" t="s">
        <v>117</v>
      </c>
      <c r="C695" s="4" t="s">
        <v>166</v>
      </c>
      <c r="D695" s="4" t="s">
        <v>103</v>
      </c>
      <c r="E695" s="51" t="s">
        <v>129</v>
      </c>
      <c r="F695" s="3">
        <v>0</v>
      </c>
      <c r="G695" s="3">
        <v>51</v>
      </c>
      <c r="H695" s="3">
        <v>180</v>
      </c>
      <c r="I695" s="51" t="s">
        <v>130</v>
      </c>
      <c r="J695" s="3">
        <v>1</v>
      </c>
      <c r="K695" s="4" t="s">
        <v>106</v>
      </c>
      <c r="L695" s="56" t="s">
        <v>475</v>
      </c>
      <c r="M695" s="20" t="s">
        <v>112</v>
      </c>
      <c r="N695" s="19"/>
      <c r="O695" s="19" t="str">
        <f t="shared" si="20"/>
        <v>10</v>
      </c>
      <c r="P695" s="64">
        <f t="shared" si="21"/>
        <v>42561</v>
      </c>
    </row>
    <row r="696" spans="1:16" x14ac:dyDescent="0.25">
      <c r="A696" s="26">
        <v>42561.377210648148</v>
      </c>
      <c r="B696" s="51" t="s">
        <v>145</v>
      </c>
      <c r="C696" s="4" t="s">
        <v>1141</v>
      </c>
      <c r="D696" s="4" t="s">
        <v>103</v>
      </c>
      <c r="E696" s="51" t="s">
        <v>129</v>
      </c>
      <c r="F696" s="3">
        <v>0</v>
      </c>
      <c r="G696" s="3">
        <v>52</v>
      </c>
      <c r="H696" s="3">
        <v>167</v>
      </c>
      <c r="I696" s="51" t="s">
        <v>130</v>
      </c>
      <c r="J696" s="3">
        <v>1</v>
      </c>
      <c r="K696" s="4" t="s">
        <v>106</v>
      </c>
      <c r="L696" s="56" t="s">
        <v>400</v>
      </c>
      <c r="M696" s="20" t="s">
        <v>112</v>
      </c>
      <c r="N696" s="19"/>
      <c r="O696" s="19" t="str">
        <f t="shared" si="20"/>
        <v>10</v>
      </c>
      <c r="P696" s="64">
        <f t="shared" si="21"/>
        <v>42561</v>
      </c>
    </row>
    <row r="697" spans="1:16" x14ac:dyDescent="0.25">
      <c r="A697" s="26">
        <v>42561.470659722225</v>
      </c>
      <c r="B697" s="51" t="s">
        <v>124</v>
      </c>
      <c r="C697" s="4" t="s">
        <v>303</v>
      </c>
      <c r="D697" s="4" t="s">
        <v>103</v>
      </c>
      <c r="E697" s="51" t="s">
        <v>129</v>
      </c>
      <c r="F697" s="3">
        <v>0</v>
      </c>
      <c r="G697" s="3">
        <v>65</v>
      </c>
      <c r="H697" s="3">
        <v>211</v>
      </c>
      <c r="I697" s="51" t="s">
        <v>130</v>
      </c>
      <c r="J697" s="3">
        <v>1</v>
      </c>
      <c r="K697" s="4" t="s">
        <v>106</v>
      </c>
      <c r="L697" s="56" t="s">
        <v>1142</v>
      </c>
      <c r="M697" s="20" t="s">
        <v>112</v>
      </c>
      <c r="N697" s="19"/>
      <c r="O697" s="19" t="str">
        <f t="shared" si="20"/>
        <v>10</v>
      </c>
      <c r="P697" s="64">
        <f t="shared" si="21"/>
        <v>42561</v>
      </c>
    </row>
    <row r="698" spans="1:16" x14ac:dyDescent="0.25">
      <c r="A698" s="26">
        <v>42561.650636574072</v>
      </c>
      <c r="B698" s="51" t="s">
        <v>147</v>
      </c>
      <c r="C698" s="4" t="s">
        <v>81</v>
      </c>
      <c r="D698" s="4" t="s">
        <v>103</v>
      </c>
      <c r="E698" s="51" t="s">
        <v>129</v>
      </c>
      <c r="F698" s="3">
        <v>0</v>
      </c>
      <c r="G698" s="3">
        <v>63</v>
      </c>
      <c r="H698" s="3">
        <v>200</v>
      </c>
      <c r="I698" s="51" t="s">
        <v>130</v>
      </c>
      <c r="J698" s="3">
        <v>1</v>
      </c>
      <c r="K698" s="4" t="s">
        <v>106</v>
      </c>
      <c r="L698" s="56" t="s">
        <v>405</v>
      </c>
      <c r="M698" s="20" t="s">
        <v>112</v>
      </c>
      <c r="N698" s="19"/>
      <c r="O698" s="19" t="str">
        <f t="shared" si="20"/>
        <v>10</v>
      </c>
      <c r="P698" s="64">
        <f t="shared" si="21"/>
        <v>42561</v>
      </c>
    </row>
    <row r="699" spans="1:16" x14ac:dyDescent="0.25">
      <c r="A699" s="26">
        <v>42561.744444444441</v>
      </c>
      <c r="B699" s="4" t="s">
        <v>145</v>
      </c>
      <c r="C699" s="4" t="s">
        <v>1143</v>
      </c>
      <c r="D699" s="4" t="s">
        <v>103</v>
      </c>
      <c r="E699" s="4" t="s">
        <v>129</v>
      </c>
      <c r="F699" s="3">
        <v>0</v>
      </c>
      <c r="G699" s="3">
        <v>54</v>
      </c>
      <c r="H699" s="3">
        <v>209</v>
      </c>
      <c r="I699" s="4" t="s">
        <v>130</v>
      </c>
      <c r="J699" s="3">
        <v>1</v>
      </c>
      <c r="K699" s="4" t="s">
        <v>106</v>
      </c>
      <c r="L699" s="56" t="s">
        <v>409</v>
      </c>
      <c r="M699" s="20" t="s">
        <v>112</v>
      </c>
      <c r="N699" s="19"/>
      <c r="O699" s="19" t="str">
        <f t="shared" si="20"/>
        <v>10</v>
      </c>
      <c r="P699" s="64">
        <f t="shared" si="21"/>
        <v>42561</v>
      </c>
    </row>
    <row r="700" spans="1:16" x14ac:dyDescent="0.25">
      <c r="A700" s="26">
        <v>42561.181921296295</v>
      </c>
      <c r="B700" s="51" t="s">
        <v>108</v>
      </c>
      <c r="C700" s="4" t="s">
        <v>1144</v>
      </c>
      <c r="D700" s="4" t="s">
        <v>103</v>
      </c>
      <c r="E700" s="51" t="s">
        <v>129</v>
      </c>
      <c r="F700" s="3">
        <v>0</v>
      </c>
      <c r="G700" s="3">
        <v>38</v>
      </c>
      <c r="H700" s="3">
        <v>233382</v>
      </c>
      <c r="I700" s="51" t="s">
        <v>130</v>
      </c>
      <c r="J700" s="3">
        <v>233491</v>
      </c>
      <c r="K700" s="4" t="s">
        <v>111</v>
      </c>
      <c r="L700" s="56" t="s">
        <v>400</v>
      </c>
      <c r="M700" s="20" t="s">
        <v>112</v>
      </c>
      <c r="N700" s="19"/>
      <c r="O700" s="19" t="str">
        <f t="shared" si="20"/>
        <v>10</v>
      </c>
      <c r="P700" s="64">
        <f t="shared" si="21"/>
        <v>42561</v>
      </c>
    </row>
    <row r="701" spans="1:16" x14ac:dyDescent="0.25">
      <c r="A701" s="26">
        <v>42561.651504629626</v>
      </c>
      <c r="B701" s="51" t="s">
        <v>114</v>
      </c>
      <c r="C701" s="4" t="s">
        <v>169</v>
      </c>
      <c r="D701" s="4" t="s">
        <v>103</v>
      </c>
      <c r="E701" s="51" t="s">
        <v>129</v>
      </c>
      <c r="F701" s="3">
        <v>0</v>
      </c>
      <c r="G701" s="3">
        <v>104</v>
      </c>
      <c r="H701" s="3">
        <v>233174</v>
      </c>
      <c r="I701" s="51" t="s">
        <v>130</v>
      </c>
      <c r="J701" s="3">
        <v>233491</v>
      </c>
      <c r="K701" s="4" t="s">
        <v>111</v>
      </c>
      <c r="L701" s="56" t="s">
        <v>423</v>
      </c>
      <c r="M701" s="20" t="s">
        <v>112</v>
      </c>
      <c r="N701" s="19"/>
      <c r="O701" s="19" t="str">
        <f t="shared" si="20"/>
        <v>10</v>
      </c>
      <c r="P701" s="64">
        <f t="shared" si="21"/>
        <v>42561</v>
      </c>
    </row>
    <row r="702" spans="1:16" x14ac:dyDescent="0.25">
      <c r="A702" s="26">
        <v>42562.715821759259</v>
      </c>
      <c r="B702" s="51" t="s">
        <v>108</v>
      </c>
      <c r="C702" s="4" t="s">
        <v>308</v>
      </c>
      <c r="D702" s="4" t="s">
        <v>103</v>
      </c>
      <c r="E702" s="51" t="s">
        <v>109</v>
      </c>
      <c r="F702" s="3">
        <v>0</v>
      </c>
      <c r="G702" s="3">
        <v>397</v>
      </c>
      <c r="H702" s="3">
        <v>45996</v>
      </c>
      <c r="I702" s="51" t="s">
        <v>110</v>
      </c>
      <c r="J702" s="3">
        <v>47865</v>
      </c>
      <c r="K702" s="4" t="s">
        <v>111</v>
      </c>
      <c r="L702" s="56" t="s">
        <v>405</v>
      </c>
      <c r="M702" s="20" t="s">
        <v>112</v>
      </c>
      <c r="N702" s="19" t="s">
        <v>186</v>
      </c>
      <c r="O702" s="19" t="str">
        <f t="shared" si="20"/>
        <v>11</v>
      </c>
      <c r="P702" s="64">
        <f t="shared" si="21"/>
        <v>42562</v>
      </c>
    </row>
    <row r="703" spans="1:16" x14ac:dyDescent="0.25">
      <c r="A703" s="26">
        <v>42562.68513888889</v>
      </c>
      <c r="B703" s="4" t="s">
        <v>117</v>
      </c>
      <c r="C703" s="4" t="s">
        <v>1145</v>
      </c>
      <c r="D703" s="4" t="s">
        <v>103</v>
      </c>
      <c r="E703" s="4" t="s">
        <v>109</v>
      </c>
      <c r="F703" s="3">
        <v>0</v>
      </c>
      <c r="G703" s="3">
        <v>32</v>
      </c>
      <c r="H703" s="3">
        <v>48179</v>
      </c>
      <c r="I703" s="4" t="s">
        <v>110</v>
      </c>
      <c r="J703" s="3">
        <v>48048</v>
      </c>
      <c r="K703" s="4" t="s">
        <v>106</v>
      </c>
      <c r="L703" s="56" t="s">
        <v>425</v>
      </c>
      <c r="M703" s="20" t="s">
        <v>112</v>
      </c>
      <c r="N703" s="19" t="s">
        <v>186</v>
      </c>
      <c r="O703" s="19" t="str">
        <f t="shared" si="20"/>
        <v>11</v>
      </c>
      <c r="P703" s="64">
        <f t="shared" si="21"/>
        <v>42562</v>
      </c>
    </row>
    <row r="704" spans="1:16" x14ac:dyDescent="0.25">
      <c r="A704" s="26">
        <v>42562.706550925926</v>
      </c>
      <c r="B704" s="51" t="s">
        <v>132</v>
      </c>
      <c r="C704" s="4" t="s">
        <v>1146</v>
      </c>
      <c r="D704" s="4" t="s">
        <v>103</v>
      </c>
      <c r="E704" s="51" t="s">
        <v>109</v>
      </c>
      <c r="F704" s="3">
        <v>0</v>
      </c>
      <c r="G704" s="3">
        <v>124</v>
      </c>
      <c r="H704" s="3">
        <v>48427</v>
      </c>
      <c r="I704" s="51" t="s">
        <v>110</v>
      </c>
      <c r="J704" s="3">
        <v>48048</v>
      </c>
      <c r="K704" s="4" t="s">
        <v>106</v>
      </c>
      <c r="L704" s="56" t="s">
        <v>415</v>
      </c>
      <c r="M704" s="20" t="s">
        <v>112</v>
      </c>
      <c r="N704" s="19" t="s">
        <v>186</v>
      </c>
      <c r="O704" s="19" t="str">
        <f t="shared" si="20"/>
        <v>11</v>
      </c>
      <c r="P704" s="64">
        <f t="shared" si="21"/>
        <v>42562</v>
      </c>
    </row>
    <row r="705" spans="1:16" x14ac:dyDescent="0.25">
      <c r="A705" s="26">
        <v>42562.713495370372</v>
      </c>
      <c r="B705" s="51" t="s">
        <v>164</v>
      </c>
      <c r="C705" s="4" t="s">
        <v>1147</v>
      </c>
      <c r="D705" s="4" t="s">
        <v>103</v>
      </c>
      <c r="E705" s="4" t="s">
        <v>109</v>
      </c>
      <c r="F705" s="3">
        <v>0</v>
      </c>
      <c r="G705" s="3">
        <v>372</v>
      </c>
      <c r="H705" s="3">
        <v>49851</v>
      </c>
      <c r="I705" s="4" t="s">
        <v>110</v>
      </c>
      <c r="J705" s="3">
        <v>48048</v>
      </c>
      <c r="K705" s="4" t="s">
        <v>106</v>
      </c>
      <c r="L705" s="56" t="s">
        <v>442</v>
      </c>
      <c r="M705" s="20" t="s">
        <v>112</v>
      </c>
      <c r="N705" s="19" t="s">
        <v>186</v>
      </c>
      <c r="O705" s="19" t="str">
        <f t="shared" si="20"/>
        <v>11</v>
      </c>
      <c r="P705" s="64">
        <f t="shared" si="21"/>
        <v>42562</v>
      </c>
    </row>
    <row r="706" spans="1:16" x14ac:dyDescent="0.25">
      <c r="A706" s="17">
        <v>42562.570671296293</v>
      </c>
      <c r="B706" s="51" t="s">
        <v>108</v>
      </c>
      <c r="C706" s="4" t="s">
        <v>306</v>
      </c>
      <c r="D706" s="4" t="s">
        <v>103</v>
      </c>
      <c r="E706" s="51" t="s">
        <v>109</v>
      </c>
      <c r="F706" s="3">
        <v>350</v>
      </c>
      <c r="G706" s="3">
        <v>592</v>
      </c>
      <c r="H706" s="3">
        <v>57744</v>
      </c>
      <c r="I706" s="51" t="s">
        <v>110</v>
      </c>
      <c r="J706" s="3">
        <v>58783</v>
      </c>
      <c r="K706" s="4" t="s">
        <v>111</v>
      </c>
      <c r="L706" s="56" t="s">
        <v>405</v>
      </c>
      <c r="M706" s="20" t="s">
        <v>112</v>
      </c>
      <c r="N706" s="19" t="s">
        <v>543</v>
      </c>
      <c r="O706" s="19" t="str">
        <f t="shared" ref="O706:O769" si="22">RIGHT(C706,2)</f>
        <v>11</v>
      </c>
      <c r="P706" s="64">
        <f t="shared" si="21"/>
        <v>42562</v>
      </c>
    </row>
    <row r="707" spans="1:16" x14ac:dyDescent="0.25">
      <c r="A707" s="26">
        <v>42562.803715277776</v>
      </c>
      <c r="B707" s="51" t="s">
        <v>145</v>
      </c>
      <c r="C707" s="4" t="s">
        <v>1148</v>
      </c>
      <c r="D707" s="4" t="s">
        <v>103</v>
      </c>
      <c r="E707" s="51" t="s">
        <v>115</v>
      </c>
      <c r="F707" s="3">
        <v>450</v>
      </c>
      <c r="G707" s="3">
        <v>451</v>
      </c>
      <c r="H707" s="3">
        <v>17463</v>
      </c>
      <c r="I707" s="51" t="s">
        <v>105</v>
      </c>
      <c r="J707" s="3">
        <v>15167</v>
      </c>
      <c r="K707" s="4" t="s">
        <v>106</v>
      </c>
      <c r="L707" s="56" t="s">
        <v>411</v>
      </c>
      <c r="M707" s="20" t="s">
        <v>112</v>
      </c>
      <c r="N707" s="19"/>
      <c r="O707" s="19" t="str">
        <f t="shared" si="22"/>
        <v>11</v>
      </c>
      <c r="P707" s="64">
        <f t="shared" ref="P707:P770" si="23">42522+O707+29</f>
        <v>42562</v>
      </c>
    </row>
    <row r="708" spans="1:16" x14ac:dyDescent="0.25">
      <c r="A708" s="26">
        <v>42562.769050925926</v>
      </c>
      <c r="B708" s="51" t="s">
        <v>134</v>
      </c>
      <c r="C708" s="4" t="s">
        <v>426</v>
      </c>
      <c r="D708" s="4" t="s">
        <v>103</v>
      </c>
      <c r="E708" s="4" t="s">
        <v>115</v>
      </c>
      <c r="F708" s="3">
        <v>300</v>
      </c>
      <c r="G708" s="3">
        <v>477</v>
      </c>
      <c r="H708" s="3">
        <v>23867</v>
      </c>
      <c r="I708" s="4" t="s">
        <v>105</v>
      </c>
      <c r="J708" s="3">
        <v>21848</v>
      </c>
      <c r="K708" s="4" t="s">
        <v>106</v>
      </c>
      <c r="L708" s="56" t="s">
        <v>405</v>
      </c>
      <c r="M708" s="20" t="s">
        <v>112</v>
      </c>
      <c r="N708" s="19"/>
      <c r="O708" s="19" t="str">
        <f t="shared" si="22"/>
        <v>11</v>
      </c>
      <c r="P708" s="64">
        <f t="shared" si="23"/>
        <v>42562</v>
      </c>
    </row>
    <row r="709" spans="1:16" x14ac:dyDescent="0.25">
      <c r="A709" s="26">
        <v>42562.214768518519</v>
      </c>
      <c r="B709" s="51" t="s">
        <v>121</v>
      </c>
      <c r="C709" s="4" t="s">
        <v>414</v>
      </c>
      <c r="D709" s="4" t="s">
        <v>103</v>
      </c>
      <c r="E709" s="51" t="s">
        <v>115</v>
      </c>
      <c r="F709" s="3">
        <v>200</v>
      </c>
      <c r="G709" s="3">
        <v>408</v>
      </c>
      <c r="H709" s="3">
        <v>25662</v>
      </c>
      <c r="I709" s="51" t="s">
        <v>105</v>
      </c>
      <c r="J709" s="3">
        <v>27333</v>
      </c>
      <c r="K709" s="4" t="s">
        <v>111</v>
      </c>
      <c r="L709" s="56" t="s">
        <v>415</v>
      </c>
      <c r="M709" s="20" t="s">
        <v>112</v>
      </c>
      <c r="N709" s="19"/>
      <c r="O709" s="19" t="str">
        <f t="shared" si="22"/>
        <v>11</v>
      </c>
      <c r="P709" s="64">
        <f t="shared" si="23"/>
        <v>42562</v>
      </c>
    </row>
    <row r="710" spans="1:16" x14ac:dyDescent="0.25">
      <c r="A710" s="26">
        <v>42562.577187499999</v>
      </c>
      <c r="B710" s="51" t="s">
        <v>108</v>
      </c>
      <c r="C710" s="4" t="s">
        <v>306</v>
      </c>
      <c r="D710" s="4" t="s">
        <v>103</v>
      </c>
      <c r="E710" s="51" t="s">
        <v>115</v>
      </c>
      <c r="F710" s="3">
        <v>400</v>
      </c>
      <c r="G710" s="3">
        <v>701</v>
      </c>
      <c r="H710" s="3">
        <v>113368</v>
      </c>
      <c r="I710" s="51" t="s">
        <v>105</v>
      </c>
      <c r="J710" s="3">
        <v>116838</v>
      </c>
      <c r="K710" s="4" t="s">
        <v>111</v>
      </c>
      <c r="L710" s="56" t="s">
        <v>405</v>
      </c>
      <c r="M710" s="20" t="s">
        <v>112</v>
      </c>
      <c r="N710" s="19"/>
      <c r="O710" s="19" t="str">
        <f t="shared" si="22"/>
        <v>11</v>
      </c>
      <c r="P710" s="64">
        <f t="shared" si="23"/>
        <v>42562</v>
      </c>
    </row>
    <row r="711" spans="1:16" x14ac:dyDescent="0.25">
      <c r="A711" s="26">
        <v>42562.724120370367</v>
      </c>
      <c r="B711" s="51" t="s">
        <v>108</v>
      </c>
      <c r="C711" s="4" t="s">
        <v>308</v>
      </c>
      <c r="D711" s="4" t="s">
        <v>116</v>
      </c>
      <c r="E711" s="51" t="s">
        <v>115</v>
      </c>
      <c r="F711" s="3">
        <v>600</v>
      </c>
      <c r="G711" s="3">
        <v>653</v>
      </c>
      <c r="H711" s="3">
        <v>123922</v>
      </c>
      <c r="I711" s="51" t="s">
        <v>105</v>
      </c>
      <c r="J711" s="3">
        <v>119716</v>
      </c>
      <c r="K711" s="4" t="s">
        <v>111</v>
      </c>
      <c r="L711" s="56" t="s">
        <v>405</v>
      </c>
      <c r="M711" s="20" t="s">
        <v>112</v>
      </c>
      <c r="N711" s="19"/>
      <c r="O711" s="19" t="str">
        <f t="shared" si="22"/>
        <v>11</v>
      </c>
      <c r="P711" s="64">
        <f t="shared" si="23"/>
        <v>42562</v>
      </c>
    </row>
    <row r="712" spans="1:16" x14ac:dyDescent="0.25">
      <c r="A712" s="26">
        <v>42562.729560185187</v>
      </c>
      <c r="B712" s="51" t="s">
        <v>108</v>
      </c>
      <c r="C712" s="4" t="s">
        <v>308</v>
      </c>
      <c r="D712" s="4" t="s">
        <v>116</v>
      </c>
      <c r="E712" s="51" t="s">
        <v>115</v>
      </c>
      <c r="F712" s="3">
        <v>700</v>
      </c>
      <c r="G712" s="3">
        <v>756</v>
      </c>
      <c r="H712" s="3">
        <v>174966</v>
      </c>
      <c r="I712" s="51" t="s">
        <v>105</v>
      </c>
      <c r="J712" s="3">
        <v>161962</v>
      </c>
      <c r="K712" s="4" t="s">
        <v>111</v>
      </c>
      <c r="L712" s="56" t="s">
        <v>405</v>
      </c>
      <c r="M712" s="20" t="s">
        <v>112</v>
      </c>
      <c r="N712" s="19"/>
      <c r="O712" s="19" t="str">
        <f t="shared" si="22"/>
        <v>11</v>
      </c>
      <c r="P712" s="64">
        <f t="shared" si="23"/>
        <v>42562</v>
      </c>
    </row>
    <row r="713" spans="1:16" x14ac:dyDescent="0.25">
      <c r="A713" s="26">
        <v>42562.343622685185</v>
      </c>
      <c r="B713" s="51" t="s">
        <v>135</v>
      </c>
      <c r="C713" s="4" t="s">
        <v>1149</v>
      </c>
      <c r="D713" s="4" t="s">
        <v>116</v>
      </c>
      <c r="E713" s="51" t="s">
        <v>115</v>
      </c>
      <c r="F713" s="3">
        <v>600</v>
      </c>
      <c r="G713" s="3">
        <v>651</v>
      </c>
      <c r="H713" s="3">
        <v>186758</v>
      </c>
      <c r="I713" s="51" t="s">
        <v>105</v>
      </c>
      <c r="J713" s="3">
        <v>183829</v>
      </c>
      <c r="K713" s="4" t="s">
        <v>111</v>
      </c>
      <c r="L713" s="56" t="s">
        <v>418</v>
      </c>
      <c r="M713" s="20" t="s">
        <v>112</v>
      </c>
      <c r="N713" s="19"/>
      <c r="O713" s="19" t="str">
        <f t="shared" si="22"/>
        <v>11</v>
      </c>
      <c r="P713" s="64">
        <f t="shared" si="23"/>
        <v>42562</v>
      </c>
    </row>
    <row r="714" spans="1:16" x14ac:dyDescent="0.25">
      <c r="A714" s="26">
        <v>42562.251226851855</v>
      </c>
      <c r="B714" s="51" t="s">
        <v>132</v>
      </c>
      <c r="C714" s="4" t="s">
        <v>1150</v>
      </c>
      <c r="D714" s="4" t="s">
        <v>103</v>
      </c>
      <c r="E714" s="4" t="s">
        <v>115</v>
      </c>
      <c r="F714" s="3">
        <v>450</v>
      </c>
      <c r="G714" s="3">
        <v>457</v>
      </c>
      <c r="H714" s="3">
        <v>192330</v>
      </c>
      <c r="I714" s="4" t="s">
        <v>105</v>
      </c>
      <c r="J714" s="3">
        <v>191108</v>
      </c>
      <c r="K714" s="4" t="s">
        <v>106</v>
      </c>
      <c r="L714" s="56" t="s">
        <v>415</v>
      </c>
      <c r="M714" s="20" t="s">
        <v>112</v>
      </c>
      <c r="N714" s="19"/>
      <c r="O714" s="19" t="str">
        <f t="shared" si="22"/>
        <v>11</v>
      </c>
      <c r="P714" s="64">
        <f t="shared" si="23"/>
        <v>42562</v>
      </c>
    </row>
    <row r="715" spans="1:16" x14ac:dyDescent="0.25">
      <c r="A715" s="26">
        <v>42562.532673611109</v>
      </c>
      <c r="B715" s="51" t="s">
        <v>134</v>
      </c>
      <c r="C715" s="4" t="s">
        <v>1151</v>
      </c>
      <c r="D715" s="4" t="s">
        <v>116</v>
      </c>
      <c r="E715" s="51" t="s">
        <v>115</v>
      </c>
      <c r="F715" s="3">
        <v>350</v>
      </c>
      <c r="G715" s="3">
        <v>402</v>
      </c>
      <c r="H715" s="3">
        <v>225261</v>
      </c>
      <c r="I715" s="51" t="s">
        <v>105</v>
      </c>
      <c r="J715" s="3">
        <v>228668</v>
      </c>
      <c r="K715" s="4" t="s">
        <v>106</v>
      </c>
      <c r="L715" s="56" t="s">
        <v>405</v>
      </c>
      <c r="M715" s="20" t="s">
        <v>112</v>
      </c>
      <c r="N715" s="19"/>
      <c r="O715" s="19" t="str">
        <f t="shared" si="22"/>
        <v>11</v>
      </c>
      <c r="P715" s="64">
        <f t="shared" si="23"/>
        <v>42562</v>
      </c>
    </row>
    <row r="716" spans="1:16" x14ac:dyDescent="0.25">
      <c r="A716" s="26">
        <v>42562.531307870369</v>
      </c>
      <c r="B716" s="51" t="s">
        <v>134</v>
      </c>
      <c r="C716" s="4" t="s">
        <v>1151</v>
      </c>
      <c r="D716" s="4" t="s">
        <v>103</v>
      </c>
      <c r="E716" s="51" t="s">
        <v>115</v>
      </c>
      <c r="F716" s="3">
        <v>150</v>
      </c>
      <c r="G716" s="3">
        <v>128</v>
      </c>
      <c r="H716" s="3">
        <v>229095</v>
      </c>
      <c r="I716" s="51" t="s">
        <v>105</v>
      </c>
      <c r="J716" s="3">
        <v>229055</v>
      </c>
      <c r="K716" s="4" t="s">
        <v>106</v>
      </c>
      <c r="L716" s="56" t="s">
        <v>405</v>
      </c>
      <c r="M716" s="20" t="s">
        <v>112</v>
      </c>
      <c r="N716" s="19"/>
      <c r="O716" s="19" t="str">
        <f t="shared" si="22"/>
        <v>11</v>
      </c>
      <c r="P716" s="64">
        <f t="shared" si="23"/>
        <v>42562</v>
      </c>
    </row>
    <row r="717" spans="1:16" x14ac:dyDescent="0.25">
      <c r="A717" s="26">
        <v>42562.76939814815</v>
      </c>
      <c r="B717" s="51" t="s">
        <v>164</v>
      </c>
      <c r="C717" s="4" t="s">
        <v>174</v>
      </c>
      <c r="D717" s="4" t="s">
        <v>103</v>
      </c>
      <c r="E717" s="51" t="s">
        <v>115</v>
      </c>
      <c r="F717" s="3">
        <v>150</v>
      </c>
      <c r="G717" s="3">
        <v>163</v>
      </c>
      <c r="H717" s="3">
        <v>229335</v>
      </c>
      <c r="I717" s="51" t="s">
        <v>105</v>
      </c>
      <c r="J717" s="3">
        <v>229055</v>
      </c>
      <c r="K717" s="4" t="s">
        <v>106</v>
      </c>
      <c r="L717" s="56" t="s">
        <v>404</v>
      </c>
      <c r="M717" s="20" t="s">
        <v>112</v>
      </c>
      <c r="N717" s="19"/>
      <c r="O717" s="19" t="str">
        <f t="shared" si="22"/>
        <v>11</v>
      </c>
      <c r="P717" s="64">
        <f t="shared" si="23"/>
        <v>42562</v>
      </c>
    </row>
    <row r="718" spans="1:16" x14ac:dyDescent="0.25">
      <c r="A718" s="26">
        <v>42562.234722222223</v>
      </c>
      <c r="B718" s="51" t="s">
        <v>121</v>
      </c>
      <c r="C718" s="4" t="s">
        <v>414</v>
      </c>
      <c r="D718" s="4" t="s">
        <v>103</v>
      </c>
      <c r="E718" s="51" t="s">
        <v>115</v>
      </c>
      <c r="F718" s="3">
        <v>150</v>
      </c>
      <c r="G718" s="3">
        <v>299</v>
      </c>
      <c r="H718" s="3">
        <v>228505</v>
      </c>
      <c r="I718" s="51" t="s">
        <v>105</v>
      </c>
      <c r="J718" s="3">
        <v>230436</v>
      </c>
      <c r="K718" s="4" t="s">
        <v>111</v>
      </c>
      <c r="L718" s="56" t="s">
        <v>415</v>
      </c>
      <c r="M718" s="20" t="s">
        <v>112</v>
      </c>
      <c r="N718" s="19"/>
      <c r="O718" s="19" t="str">
        <f t="shared" si="22"/>
        <v>11</v>
      </c>
      <c r="P718" s="64">
        <f t="shared" si="23"/>
        <v>42562</v>
      </c>
    </row>
    <row r="719" spans="1:16" x14ac:dyDescent="0.25">
      <c r="A719" s="26">
        <v>42562.74895833333</v>
      </c>
      <c r="B719" s="51" t="s">
        <v>134</v>
      </c>
      <c r="C719" s="4" t="s">
        <v>426</v>
      </c>
      <c r="D719" s="4" t="s">
        <v>116</v>
      </c>
      <c r="E719" s="51" t="s">
        <v>115</v>
      </c>
      <c r="F719" s="3">
        <v>350</v>
      </c>
      <c r="G719" s="3">
        <v>401</v>
      </c>
      <c r="H719" s="3">
        <v>225305</v>
      </c>
      <c r="I719" s="51" t="s">
        <v>105</v>
      </c>
      <c r="J719" s="3">
        <v>232107</v>
      </c>
      <c r="K719" s="4" t="s">
        <v>106</v>
      </c>
      <c r="L719" s="56" t="s">
        <v>405</v>
      </c>
      <c r="M719" s="20" t="s">
        <v>112</v>
      </c>
      <c r="N719" s="19"/>
      <c r="O719" s="19" t="str">
        <f t="shared" si="22"/>
        <v>11</v>
      </c>
      <c r="P719" s="64">
        <f t="shared" si="23"/>
        <v>42562</v>
      </c>
    </row>
    <row r="720" spans="1:16" x14ac:dyDescent="0.25">
      <c r="A720" s="26">
        <v>42562.591180555559</v>
      </c>
      <c r="B720" s="4" t="s">
        <v>165</v>
      </c>
      <c r="C720" s="4" t="s">
        <v>1152</v>
      </c>
      <c r="D720" s="4" t="s">
        <v>103</v>
      </c>
      <c r="E720" s="4" t="s">
        <v>122</v>
      </c>
      <c r="F720" s="3">
        <v>0</v>
      </c>
      <c r="G720" s="3">
        <v>698</v>
      </c>
      <c r="H720" s="3">
        <v>45598</v>
      </c>
      <c r="I720" s="4" t="s">
        <v>123</v>
      </c>
      <c r="J720" s="3">
        <v>50746</v>
      </c>
      <c r="K720" s="4" t="s">
        <v>111</v>
      </c>
      <c r="L720" s="56" t="s">
        <v>442</v>
      </c>
      <c r="M720" s="20" t="s">
        <v>107</v>
      </c>
      <c r="N720" s="19" t="s">
        <v>1153</v>
      </c>
      <c r="O720" s="19" t="str">
        <f t="shared" si="22"/>
        <v>11</v>
      </c>
      <c r="P720" s="64">
        <f t="shared" si="23"/>
        <v>42562</v>
      </c>
    </row>
    <row r="721" spans="1:16" x14ac:dyDescent="0.25">
      <c r="A721" s="26">
        <v>42562.512812499997</v>
      </c>
      <c r="B721" s="51" t="s">
        <v>121</v>
      </c>
      <c r="C721" s="4" t="s">
        <v>1154</v>
      </c>
      <c r="D721" s="4" t="s">
        <v>103</v>
      </c>
      <c r="E721" s="51" t="s">
        <v>122</v>
      </c>
      <c r="F721" s="3">
        <v>0</v>
      </c>
      <c r="G721" s="3">
        <v>604</v>
      </c>
      <c r="H721" s="3">
        <v>91927</v>
      </c>
      <c r="I721" s="51" t="s">
        <v>123</v>
      </c>
      <c r="J721" s="3">
        <v>95978</v>
      </c>
      <c r="K721" s="4" t="s">
        <v>111</v>
      </c>
      <c r="L721" s="56" t="s">
        <v>415</v>
      </c>
      <c r="M721" s="20" t="s">
        <v>107</v>
      </c>
      <c r="N721" s="19" t="s">
        <v>52</v>
      </c>
      <c r="O721" s="19" t="str">
        <f t="shared" si="22"/>
        <v>11</v>
      </c>
      <c r="P721" s="64">
        <f t="shared" si="23"/>
        <v>42562</v>
      </c>
    </row>
    <row r="722" spans="1:16" x14ac:dyDescent="0.25">
      <c r="A722" s="26">
        <v>42562.683749999997</v>
      </c>
      <c r="B722" s="51" t="s">
        <v>134</v>
      </c>
      <c r="C722" s="4" t="s">
        <v>1155</v>
      </c>
      <c r="D722" s="4" t="s">
        <v>103</v>
      </c>
      <c r="E722" s="51" t="s">
        <v>122</v>
      </c>
      <c r="F722" s="3">
        <v>0</v>
      </c>
      <c r="G722" s="3">
        <v>336</v>
      </c>
      <c r="H722" s="3">
        <v>128698</v>
      </c>
      <c r="I722" s="51" t="s">
        <v>123</v>
      </c>
      <c r="J722" s="3">
        <v>127587</v>
      </c>
      <c r="K722" s="4" t="s">
        <v>106</v>
      </c>
      <c r="L722" s="56" t="s">
        <v>405</v>
      </c>
      <c r="M722" s="20" t="s">
        <v>112</v>
      </c>
      <c r="N722" s="19" t="s">
        <v>1156</v>
      </c>
      <c r="O722" s="19" t="str">
        <f t="shared" si="22"/>
        <v>11</v>
      </c>
      <c r="P722" s="64">
        <f t="shared" si="23"/>
        <v>42562</v>
      </c>
    </row>
    <row r="723" spans="1:16" x14ac:dyDescent="0.25">
      <c r="A723" s="17">
        <v>42562.684282407405</v>
      </c>
      <c r="B723" s="51" t="s">
        <v>134</v>
      </c>
      <c r="C723" s="4" t="s">
        <v>1155</v>
      </c>
      <c r="D723" s="4" t="s">
        <v>103</v>
      </c>
      <c r="E723" s="4" t="s">
        <v>122</v>
      </c>
      <c r="F723" s="3">
        <v>0</v>
      </c>
      <c r="G723" s="3">
        <v>59</v>
      </c>
      <c r="H723" s="3">
        <v>128000</v>
      </c>
      <c r="I723" s="4" t="s">
        <v>123</v>
      </c>
      <c r="J723" s="3">
        <v>127587</v>
      </c>
      <c r="K723" s="4" t="s">
        <v>106</v>
      </c>
      <c r="L723" s="56" t="s">
        <v>405</v>
      </c>
      <c r="M723" s="20" t="s">
        <v>112</v>
      </c>
      <c r="N723" s="19" t="s">
        <v>1156</v>
      </c>
      <c r="O723" s="19" t="str">
        <f t="shared" si="22"/>
        <v>11</v>
      </c>
      <c r="P723" s="64">
        <f t="shared" si="23"/>
        <v>42562</v>
      </c>
    </row>
    <row r="724" spans="1:16" x14ac:dyDescent="0.25">
      <c r="A724" s="26">
        <v>42562.542557870373</v>
      </c>
      <c r="B724" s="4" t="s">
        <v>132</v>
      </c>
      <c r="C724" s="4" t="s">
        <v>1157</v>
      </c>
      <c r="D724" s="4" t="s">
        <v>103</v>
      </c>
      <c r="E724" s="4" t="s">
        <v>122</v>
      </c>
      <c r="F724" s="3">
        <v>0</v>
      </c>
      <c r="G724" s="3">
        <v>555</v>
      </c>
      <c r="H724" s="3">
        <v>195360</v>
      </c>
      <c r="I724" s="4" t="s">
        <v>123</v>
      </c>
      <c r="J724" s="3">
        <v>191723</v>
      </c>
      <c r="K724" s="4" t="s">
        <v>106</v>
      </c>
      <c r="L724" s="56" t="s">
        <v>415</v>
      </c>
      <c r="M724" s="20" t="s">
        <v>112</v>
      </c>
      <c r="N724" s="19" t="s">
        <v>1158</v>
      </c>
      <c r="O724" s="19" t="str">
        <f t="shared" si="22"/>
        <v>11</v>
      </c>
      <c r="P724" s="64">
        <f t="shared" si="23"/>
        <v>42562</v>
      </c>
    </row>
    <row r="725" spans="1:16" x14ac:dyDescent="0.25">
      <c r="A725" s="26">
        <v>42562.60497685185</v>
      </c>
      <c r="B725" s="51" t="s">
        <v>134</v>
      </c>
      <c r="C725" s="4" t="s">
        <v>173</v>
      </c>
      <c r="D725" s="4" t="s">
        <v>103</v>
      </c>
      <c r="E725" s="51" t="s">
        <v>122</v>
      </c>
      <c r="F725" s="3">
        <v>0</v>
      </c>
      <c r="G725" s="3">
        <v>460</v>
      </c>
      <c r="H725" s="3">
        <v>194200</v>
      </c>
      <c r="I725" s="51" t="s">
        <v>123</v>
      </c>
      <c r="J725" s="3">
        <v>191723</v>
      </c>
      <c r="K725" s="4" t="s">
        <v>106</v>
      </c>
      <c r="L725" s="56" t="s">
        <v>405</v>
      </c>
      <c r="M725" s="20" t="s">
        <v>112</v>
      </c>
      <c r="N725" s="19" t="s">
        <v>1159</v>
      </c>
      <c r="O725" s="19" t="str">
        <f t="shared" si="22"/>
        <v>11</v>
      </c>
      <c r="P725" s="64">
        <f t="shared" si="23"/>
        <v>42562</v>
      </c>
    </row>
    <row r="726" spans="1:16" x14ac:dyDescent="0.25">
      <c r="A726" s="26">
        <v>42562.425729166665</v>
      </c>
      <c r="B726" s="51" t="s">
        <v>139</v>
      </c>
      <c r="C726" s="4" t="s">
        <v>416</v>
      </c>
      <c r="D726" s="4" t="s">
        <v>103</v>
      </c>
      <c r="E726" s="51" t="s">
        <v>127</v>
      </c>
      <c r="F726" s="3">
        <v>0</v>
      </c>
      <c r="G726" s="3">
        <v>159</v>
      </c>
      <c r="H726" s="3">
        <v>229574</v>
      </c>
      <c r="I726" s="51" t="s">
        <v>128</v>
      </c>
      <c r="J726" s="3">
        <v>229055</v>
      </c>
      <c r="K726" s="4" t="s">
        <v>106</v>
      </c>
      <c r="L726" s="56" t="s">
        <v>400</v>
      </c>
      <c r="M726" s="20" t="s">
        <v>107</v>
      </c>
      <c r="N726" s="19" t="s">
        <v>52</v>
      </c>
      <c r="O726" s="19" t="str">
        <f t="shared" si="22"/>
        <v>11</v>
      </c>
      <c r="P726" s="64">
        <f t="shared" si="23"/>
        <v>42562</v>
      </c>
    </row>
    <row r="727" spans="1:16" x14ac:dyDescent="0.25">
      <c r="A727" s="26">
        <v>42562.530613425923</v>
      </c>
      <c r="B727" s="51" t="s">
        <v>134</v>
      </c>
      <c r="C727" s="4" t="s">
        <v>1151</v>
      </c>
      <c r="D727" s="4" t="s">
        <v>103</v>
      </c>
      <c r="E727" s="51" t="s">
        <v>127</v>
      </c>
      <c r="F727" s="3">
        <v>0</v>
      </c>
      <c r="G727" s="3">
        <v>141</v>
      </c>
      <c r="H727" s="3">
        <v>229487</v>
      </c>
      <c r="I727" s="51" t="s">
        <v>128</v>
      </c>
      <c r="J727" s="3">
        <v>229055</v>
      </c>
      <c r="K727" s="4" t="s">
        <v>106</v>
      </c>
      <c r="L727" s="56" t="s">
        <v>405</v>
      </c>
      <c r="M727" s="20" t="s">
        <v>107</v>
      </c>
      <c r="N727" s="19" t="s">
        <v>52</v>
      </c>
      <c r="O727" s="19" t="str">
        <f t="shared" si="22"/>
        <v>11</v>
      </c>
      <c r="P727" s="64">
        <f t="shared" si="23"/>
        <v>42562</v>
      </c>
    </row>
    <row r="728" spans="1:16" x14ac:dyDescent="0.25">
      <c r="A728" s="26">
        <v>42562.487314814818</v>
      </c>
      <c r="B728" s="51" t="s">
        <v>145</v>
      </c>
      <c r="C728" s="4" t="s">
        <v>1160</v>
      </c>
      <c r="D728" s="4" t="s">
        <v>103</v>
      </c>
      <c r="E728" s="51" t="s">
        <v>127</v>
      </c>
      <c r="F728" s="3">
        <v>0</v>
      </c>
      <c r="G728" s="3">
        <v>141</v>
      </c>
      <c r="H728" s="3">
        <v>232113</v>
      </c>
      <c r="I728" s="51" t="s">
        <v>128</v>
      </c>
      <c r="J728" s="3">
        <v>231147</v>
      </c>
      <c r="K728" s="4" t="s">
        <v>106</v>
      </c>
      <c r="L728" s="56" t="s">
        <v>396</v>
      </c>
      <c r="M728" s="20" t="s">
        <v>107</v>
      </c>
      <c r="N728" s="19" t="s">
        <v>52</v>
      </c>
      <c r="O728" s="19" t="str">
        <f t="shared" si="22"/>
        <v>11</v>
      </c>
      <c r="P728" s="64">
        <f t="shared" si="23"/>
        <v>42562</v>
      </c>
    </row>
    <row r="729" spans="1:16" x14ac:dyDescent="0.25">
      <c r="A729" s="26">
        <v>42562.529699074075</v>
      </c>
      <c r="B729" s="51" t="s">
        <v>134</v>
      </c>
      <c r="C729" s="4" t="s">
        <v>1151</v>
      </c>
      <c r="D729" s="4" t="s">
        <v>103</v>
      </c>
      <c r="E729" s="51" t="s">
        <v>127</v>
      </c>
      <c r="F729" s="3">
        <v>0</v>
      </c>
      <c r="G729" s="3">
        <v>138</v>
      </c>
      <c r="H729" s="3">
        <v>231729</v>
      </c>
      <c r="I729" s="51" t="s">
        <v>128</v>
      </c>
      <c r="J729" s="3">
        <v>231147</v>
      </c>
      <c r="K729" s="4" t="s">
        <v>106</v>
      </c>
      <c r="L729" s="56" t="s">
        <v>405</v>
      </c>
      <c r="M729" s="20" t="s">
        <v>107</v>
      </c>
      <c r="N729" s="19" t="s">
        <v>52</v>
      </c>
      <c r="O729" s="19" t="str">
        <f t="shared" si="22"/>
        <v>11</v>
      </c>
      <c r="P729" s="64">
        <f t="shared" si="23"/>
        <v>42562</v>
      </c>
    </row>
    <row r="730" spans="1:16" x14ac:dyDescent="0.25">
      <c r="A730" s="26">
        <v>42562.304212962961</v>
      </c>
      <c r="B730" s="51" t="s">
        <v>139</v>
      </c>
      <c r="C730" s="4" t="s">
        <v>1161</v>
      </c>
      <c r="D730" s="4" t="s">
        <v>103</v>
      </c>
      <c r="E730" s="51" t="s">
        <v>129</v>
      </c>
      <c r="F730" s="3">
        <v>0</v>
      </c>
      <c r="G730" s="3">
        <v>38</v>
      </c>
      <c r="H730" s="3">
        <v>118</v>
      </c>
      <c r="I730" s="51" t="s">
        <v>130</v>
      </c>
      <c r="J730" s="3">
        <v>1</v>
      </c>
      <c r="K730" s="4" t="s">
        <v>106</v>
      </c>
      <c r="L730" s="56" t="s">
        <v>400</v>
      </c>
      <c r="M730" s="20" t="s">
        <v>112</v>
      </c>
      <c r="N730" s="19"/>
      <c r="O730" s="19" t="str">
        <f t="shared" si="22"/>
        <v>11</v>
      </c>
      <c r="P730" s="64">
        <f t="shared" si="23"/>
        <v>42562</v>
      </c>
    </row>
    <row r="731" spans="1:16" x14ac:dyDescent="0.25">
      <c r="A731" s="26">
        <v>42562.390138888892</v>
      </c>
      <c r="B731" s="51" t="s">
        <v>143</v>
      </c>
      <c r="C731" s="4" t="s">
        <v>1162</v>
      </c>
      <c r="D731" s="4" t="s">
        <v>103</v>
      </c>
      <c r="E731" s="51" t="s">
        <v>129</v>
      </c>
      <c r="F731" s="3">
        <v>0</v>
      </c>
      <c r="G731" s="3">
        <v>62</v>
      </c>
      <c r="H731" s="3">
        <v>223</v>
      </c>
      <c r="I731" s="51" t="s">
        <v>130</v>
      </c>
      <c r="J731" s="3">
        <v>1</v>
      </c>
      <c r="K731" s="4" t="s">
        <v>106</v>
      </c>
      <c r="L731" s="56" t="s">
        <v>418</v>
      </c>
      <c r="M731" s="20" t="s">
        <v>112</v>
      </c>
      <c r="N731" s="19"/>
      <c r="O731" s="19" t="str">
        <f t="shared" si="22"/>
        <v>11</v>
      </c>
      <c r="P731" s="64">
        <f t="shared" si="23"/>
        <v>42562</v>
      </c>
    </row>
    <row r="732" spans="1:16" x14ac:dyDescent="0.25">
      <c r="A732" s="26">
        <v>42562.544270833336</v>
      </c>
      <c r="B732" s="51" t="s">
        <v>117</v>
      </c>
      <c r="C732" s="4" t="s">
        <v>1163</v>
      </c>
      <c r="D732" s="4" t="s">
        <v>103</v>
      </c>
      <c r="E732" s="51" t="s">
        <v>129</v>
      </c>
      <c r="F732" s="3">
        <v>0</v>
      </c>
      <c r="G732" s="3">
        <v>56</v>
      </c>
      <c r="H732" s="3">
        <v>192</v>
      </c>
      <c r="I732" s="51" t="s">
        <v>130</v>
      </c>
      <c r="J732" s="3">
        <v>1</v>
      </c>
      <c r="K732" s="4" t="s">
        <v>106</v>
      </c>
      <c r="L732" s="56" t="s">
        <v>425</v>
      </c>
      <c r="M732" s="20" t="s">
        <v>112</v>
      </c>
      <c r="N732" s="19"/>
      <c r="O732" s="19" t="str">
        <f t="shared" si="22"/>
        <v>11</v>
      </c>
      <c r="P732" s="64">
        <f t="shared" si="23"/>
        <v>42562</v>
      </c>
    </row>
    <row r="733" spans="1:16" x14ac:dyDescent="0.25">
      <c r="A733" s="26">
        <v>42562.607164351852</v>
      </c>
      <c r="B733" s="51" t="s">
        <v>143</v>
      </c>
      <c r="C733" s="4" t="s">
        <v>1164</v>
      </c>
      <c r="D733" s="4" t="s">
        <v>103</v>
      </c>
      <c r="E733" s="51" t="s">
        <v>129</v>
      </c>
      <c r="F733" s="3">
        <v>0</v>
      </c>
      <c r="G733" s="3">
        <v>56</v>
      </c>
      <c r="H733" s="3">
        <v>194</v>
      </c>
      <c r="I733" s="51" t="s">
        <v>130</v>
      </c>
      <c r="J733" s="3">
        <v>1</v>
      </c>
      <c r="K733" s="4" t="s">
        <v>106</v>
      </c>
      <c r="L733" s="56" t="s">
        <v>423</v>
      </c>
      <c r="M733" s="20" t="s">
        <v>112</v>
      </c>
      <c r="N733" s="19"/>
      <c r="O733" s="19" t="str">
        <f t="shared" si="22"/>
        <v>11</v>
      </c>
      <c r="P733" s="64">
        <f t="shared" si="23"/>
        <v>42562</v>
      </c>
    </row>
    <row r="734" spans="1:16" x14ac:dyDescent="0.25">
      <c r="A734" s="26">
        <v>42562.626608796294</v>
      </c>
      <c r="B734" s="51" t="s">
        <v>134</v>
      </c>
      <c r="C734" s="4" t="s">
        <v>173</v>
      </c>
      <c r="D734" s="4" t="s">
        <v>103</v>
      </c>
      <c r="E734" s="51" t="s">
        <v>129</v>
      </c>
      <c r="F734" s="3">
        <v>0</v>
      </c>
      <c r="G734" s="3">
        <v>51</v>
      </c>
      <c r="H734" s="3">
        <v>156</v>
      </c>
      <c r="I734" s="51" t="s">
        <v>130</v>
      </c>
      <c r="J734" s="3">
        <v>1</v>
      </c>
      <c r="K734" s="4" t="s">
        <v>106</v>
      </c>
      <c r="L734" s="56" t="s">
        <v>405</v>
      </c>
      <c r="M734" s="20" t="s">
        <v>112</v>
      </c>
      <c r="N734" s="19"/>
      <c r="O734" s="19" t="str">
        <f t="shared" si="22"/>
        <v>11</v>
      </c>
      <c r="P734" s="64">
        <f t="shared" si="23"/>
        <v>42562</v>
      </c>
    </row>
    <row r="735" spans="1:16" x14ac:dyDescent="0.25">
      <c r="A735" s="26">
        <v>42562.668900462966</v>
      </c>
      <c r="B735" s="4" t="s">
        <v>139</v>
      </c>
      <c r="C735" s="4" t="s">
        <v>1165</v>
      </c>
      <c r="D735" s="4" t="s">
        <v>103</v>
      </c>
      <c r="E735" s="4" t="s">
        <v>129</v>
      </c>
      <c r="F735" s="3">
        <v>0</v>
      </c>
      <c r="G735" s="3">
        <v>90</v>
      </c>
      <c r="H735" s="3">
        <v>307</v>
      </c>
      <c r="I735" s="4" t="s">
        <v>130</v>
      </c>
      <c r="J735" s="3">
        <v>1</v>
      </c>
      <c r="K735" s="4" t="s">
        <v>106</v>
      </c>
      <c r="L735" s="56" t="s">
        <v>409</v>
      </c>
      <c r="M735" s="20" t="s">
        <v>112</v>
      </c>
      <c r="N735" s="19"/>
      <c r="O735" s="19" t="str">
        <f t="shared" si="22"/>
        <v>11</v>
      </c>
      <c r="P735" s="64">
        <f t="shared" si="23"/>
        <v>42562</v>
      </c>
    </row>
    <row r="736" spans="1:16" x14ac:dyDescent="0.25">
      <c r="A736" s="26">
        <v>42562.702314814815</v>
      </c>
      <c r="B736" s="51" t="s">
        <v>134</v>
      </c>
      <c r="C736" s="4" t="s">
        <v>1155</v>
      </c>
      <c r="D736" s="4" t="s">
        <v>103</v>
      </c>
      <c r="E736" s="51" t="s">
        <v>129</v>
      </c>
      <c r="F736" s="3">
        <v>0</v>
      </c>
      <c r="G736" s="3">
        <v>75</v>
      </c>
      <c r="H736" s="3">
        <v>273</v>
      </c>
      <c r="I736" s="51" t="s">
        <v>130</v>
      </c>
      <c r="J736" s="3">
        <v>1</v>
      </c>
      <c r="K736" s="4" t="s">
        <v>106</v>
      </c>
      <c r="L736" s="56" t="s">
        <v>405</v>
      </c>
      <c r="M736" s="20" t="s">
        <v>112</v>
      </c>
      <c r="N736" s="19"/>
      <c r="O736" s="19" t="str">
        <f t="shared" si="22"/>
        <v>11</v>
      </c>
      <c r="P736" s="64">
        <f t="shared" si="23"/>
        <v>42562</v>
      </c>
    </row>
    <row r="737" spans="1:16" x14ac:dyDescent="0.25">
      <c r="A737" s="26">
        <v>42562.181747685187</v>
      </c>
      <c r="B737" s="51" t="s">
        <v>146</v>
      </c>
      <c r="C737" s="4" t="s">
        <v>1166</v>
      </c>
      <c r="D737" s="4" t="s">
        <v>103</v>
      </c>
      <c r="E737" s="51" t="s">
        <v>129</v>
      </c>
      <c r="F737" s="3">
        <v>0</v>
      </c>
      <c r="G737" s="3">
        <v>33</v>
      </c>
      <c r="H737" s="3">
        <v>233372</v>
      </c>
      <c r="I737" s="51" t="s">
        <v>130</v>
      </c>
      <c r="J737" s="3">
        <v>233491</v>
      </c>
      <c r="K737" s="4" t="s">
        <v>111</v>
      </c>
      <c r="L737" s="56" t="s">
        <v>400</v>
      </c>
      <c r="M737" s="20" t="s">
        <v>112</v>
      </c>
      <c r="N737" s="19"/>
      <c r="O737" s="19" t="str">
        <f t="shared" si="22"/>
        <v>11</v>
      </c>
      <c r="P737" s="64">
        <f t="shared" si="23"/>
        <v>42562</v>
      </c>
    </row>
    <row r="738" spans="1:16" x14ac:dyDescent="0.25">
      <c r="A738" s="26">
        <v>42562.384409722225</v>
      </c>
      <c r="B738" s="51" t="s">
        <v>121</v>
      </c>
      <c r="C738" s="4" t="s">
        <v>1167</v>
      </c>
      <c r="D738" s="4" t="s">
        <v>103</v>
      </c>
      <c r="E738" s="51" t="s">
        <v>129</v>
      </c>
      <c r="F738" s="3">
        <v>0</v>
      </c>
      <c r="G738" s="3">
        <v>31</v>
      </c>
      <c r="H738" s="3">
        <v>233385</v>
      </c>
      <c r="I738" s="51" t="s">
        <v>130</v>
      </c>
      <c r="J738" s="3">
        <v>233491</v>
      </c>
      <c r="K738" s="4" t="s">
        <v>111</v>
      </c>
      <c r="L738" s="56" t="s">
        <v>415</v>
      </c>
      <c r="M738" s="20" t="s">
        <v>112</v>
      </c>
      <c r="N738" s="19"/>
      <c r="O738" s="19" t="str">
        <f t="shared" si="22"/>
        <v>11</v>
      </c>
      <c r="P738" s="64">
        <f t="shared" si="23"/>
        <v>42562</v>
      </c>
    </row>
    <row r="739" spans="1:16" x14ac:dyDescent="0.25">
      <c r="A739" s="26">
        <v>42562.452557870369</v>
      </c>
      <c r="B739" s="51" t="s">
        <v>121</v>
      </c>
      <c r="C739" s="4" t="s">
        <v>1168</v>
      </c>
      <c r="D739" s="4" t="s">
        <v>103</v>
      </c>
      <c r="E739" s="51" t="s">
        <v>129</v>
      </c>
      <c r="F739" s="3">
        <v>0</v>
      </c>
      <c r="G739" s="3">
        <v>113</v>
      </c>
      <c r="H739" s="3">
        <v>233055</v>
      </c>
      <c r="I739" s="51" t="s">
        <v>130</v>
      </c>
      <c r="J739" s="3">
        <v>233491</v>
      </c>
      <c r="K739" s="4" t="s">
        <v>111</v>
      </c>
      <c r="L739" s="56" t="s">
        <v>415</v>
      </c>
      <c r="M739" s="20" t="s">
        <v>112</v>
      </c>
      <c r="N739" s="19"/>
      <c r="O739" s="19" t="str">
        <f t="shared" si="22"/>
        <v>11</v>
      </c>
      <c r="P739" s="64">
        <f t="shared" si="23"/>
        <v>42562</v>
      </c>
    </row>
    <row r="740" spans="1:16" x14ac:dyDescent="0.25">
      <c r="A740" s="26">
        <v>42562.587916666664</v>
      </c>
      <c r="B740" s="51" t="s">
        <v>108</v>
      </c>
      <c r="C740" s="4" t="s">
        <v>306</v>
      </c>
      <c r="D740" s="4" t="s">
        <v>103</v>
      </c>
      <c r="E740" s="51" t="s">
        <v>129</v>
      </c>
      <c r="F740" s="3">
        <v>0</v>
      </c>
      <c r="G740" s="3">
        <v>87</v>
      </c>
      <c r="H740" s="3">
        <v>233149</v>
      </c>
      <c r="I740" s="51" t="s">
        <v>130</v>
      </c>
      <c r="J740" s="3">
        <v>233491</v>
      </c>
      <c r="K740" s="4" t="s">
        <v>111</v>
      </c>
      <c r="L740" s="56" t="s">
        <v>405</v>
      </c>
      <c r="M740" s="20" t="s">
        <v>112</v>
      </c>
      <c r="N740" s="19"/>
      <c r="O740" s="19" t="str">
        <f t="shared" si="22"/>
        <v>11</v>
      </c>
      <c r="P740" s="64">
        <f t="shared" si="23"/>
        <v>42562</v>
      </c>
    </row>
    <row r="741" spans="1:16" x14ac:dyDescent="0.25">
      <c r="A741" s="26">
        <v>42562.628750000003</v>
      </c>
      <c r="B741" s="51" t="s">
        <v>137</v>
      </c>
      <c r="C741" s="4" t="s">
        <v>1169</v>
      </c>
      <c r="D741" s="4" t="s">
        <v>103</v>
      </c>
      <c r="E741" s="51" t="s">
        <v>129</v>
      </c>
      <c r="F741" s="3">
        <v>0</v>
      </c>
      <c r="G741" s="3">
        <v>85</v>
      </c>
      <c r="H741" s="3">
        <v>233151</v>
      </c>
      <c r="I741" s="51" t="s">
        <v>130</v>
      </c>
      <c r="J741" s="3">
        <v>233491</v>
      </c>
      <c r="K741" s="4" t="s">
        <v>111</v>
      </c>
      <c r="L741" s="56" t="s">
        <v>409</v>
      </c>
      <c r="M741" s="20" t="s">
        <v>112</v>
      </c>
      <c r="N741" s="19"/>
      <c r="O741" s="19" t="str">
        <f t="shared" si="22"/>
        <v>11</v>
      </c>
      <c r="P741" s="64">
        <f t="shared" si="23"/>
        <v>42562</v>
      </c>
    </row>
    <row r="742" spans="1:16" x14ac:dyDescent="0.25">
      <c r="A742" s="26">
        <v>42562.66064814815</v>
      </c>
      <c r="B742" s="51" t="s">
        <v>108</v>
      </c>
      <c r="C742" s="4" t="s">
        <v>1170</v>
      </c>
      <c r="D742" s="4" t="s">
        <v>103</v>
      </c>
      <c r="E742" s="51" t="s">
        <v>129</v>
      </c>
      <c r="F742" s="3">
        <v>0</v>
      </c>
      <c r="G742" s="3">
        <v>83</v>
      </c>
      <c r="H742" s="3">
        <v>233188</v>
      </c>
      <c r="I742" s="51" t="s">
        <v>130</v>
      </c>
      <c r="J742" s="3">
        <v>233491</v>
      </c>
      <c r="K742" s="4" t="s">
        <v>111</v>
      </c>
      <c r="L742" s="56" t="s">
        <v>405</v>
      </c>
      <c r="M742" s="20" t="s">
        <v>112</v>
      </c>
      <c r="N742" s="19"/>
      <c r="O742" s="19" t="str">
        <f t="shared" si="22"/>
        <v>11</v>
      </c>
      <c r="P742" s="64">
        <f t="shared" si="23"/>
        <v>42562</v>
      </c>
    </row>
    <row r="743" spans="1:16" x14ac:dyDescent="0.25">
      <c r="A743" s="26">
        <v>42562.734942129631</v>
      </c>
      <c r="B743" s="51" t="s">
        <v>108</v>
      </c>
      <c r="C743" s="4" t="s">
        <v>308</v>
      </c>
      <c r="D743" s="4" t="s">
        <v>103</v>
      </c>
      <c r="E743" s="51" t="s">
        <v>129</v>
      </c>
      <c r="F743" s="3">
        <v>0</v>
      </c>
      <c r="G743" s="3">
        <v>97</v>
      </c>
      <c r="H743" s="3">
        <v>233104</v>
      </c>
      <c r="I743" s="51" t="s">
        <v>130</v>
      </c>
      <c r="J743" s="3">
        <v>233491</v>
      </c>
      <c r="K743" s="4" t="s">
        <v>111</v>
      </c>
      <c r="L743" s="56" t="s">
        <v>405</v>
      </c>
      <c r="M743" s="20" t="s">
        <v>112</v>
      </c>
      <c r="N743" s="19"/>
      <c r="O743" s="19" t="str">
        <f t="shared" si="22"/>
        <v>11</v>
      </c>
      <c r="P743" s="64">
        <f t="shared" si="23"/>
        <v>42562</v>
      </c>
    </row>
    <row r="744" spans="1:16" x14ac:dyDescent="0.25">
      <c r="A744" s="26">
        <v>42563.682627314818</v>
      </c>
      <c r="B744" s="51" t="s">
        <v>147</v>
      </c>
      <c r="C744" s="4" t="s">
        <v>48</v>
      </c>
      <c r="D744" s="4" t="s">
        <v>103</v>
      </c>
      <c r="E744" s="51" t="s">
        <v>109</v>
      </c>
      <c r="F744" s="3">
        <v>0</v>
      </c>
      <c r="G744" s="3">
        <v>286</v>
      </c>
      <c r="H744" s="3">
        <v>49249</v>
      </c>
      <c r="I744" s="51" t="s">
        <v>110</v>
      </c>
      <c r="J744" s="3">
        <v>48048</v>
      </c>
      <c r="K744" s="4" t="s">
        <v>106</v>
      </c>
      <c r="L744" s="56" t="s">
        <v>442</v>
      </c>
      <c r="M744" s="20" t="s">
        <v>112</v>
      </c>
      <c r="N744" s="19" t="s">
        <v>186</v>
      </c>
      <c r="O744" s="19" t="str">
        <f t="shared" si="22"/>
        <v>12</v>
      </c>
      <c r="P744" s="64">
        <f t="shared" si="23"/>
        <v>42563</v>
      </c>
    </row>
    <row r="745" spans="1:16" x14ac:dyDescent="0.25">
      <c r="A745" s="26">
        <v>42563.744560185187</v>
      </c>
      <c r="B745" s="51" t="s">
        <v>134</v>
      </c>
      <c r="C745" s="4" t="s">
        <v>1171</v>
      </c>
      <c r="D745" s="4" t="s">
        <v>103</v>
      </c>
      <c r="E745" s="51" t="s">
        <v>109</v>
      </c>
      <c r="F745" s="3">
        <v>380</v>
      </c>
      <c r="G745" s="3">
        <v>434</v>
      </c>
      <c r="H745" s="3">
        <v>58683</v>
      </c>
      <c r="I745" s="51" t="s">
        <v>110</v>
      </c>
      <c r="J745" s="3">
        <v>58301</v>
      </c>
      <c r="K745" s="4" t="s">
        <v>106</v>
      </c>
      <c r="L745" s="56" t="s">
        <v>420</v>
      </c>
      <c r="M745" s="20" t="s">
        <v>112</v>
      </c>
      <c r="N745" s="19" t="s">
        <v>113</v>
      </c>
      <c r="O745" s="19" t="str">
        <f t="shared" si="22"/>
        <v>12</v>
      </c>
      <c r="P745" s="64">
        <f t="shared" si="23"/>
        <v>42563</v>
      </c>
    </row>
    <row r="746" spans="1:16" x14ac:dyDescent="0.25">
      <c r="A746" s="26">
        <v>42563.635937500003</v>
      </c>
      <c r="B746" s="51" t="s">
        <v>148</v>
      </c>
      <c r="C746" s="4" t="s">
        <v>1172</v>
      </c>
      <c r="D746" s="4" t="s">
        <v>103</v>
      </c>
      <c r="E746" s="51" t="s">
        <v>109</v>
      </c>
      <c r="F746" s="3">
        <v>0</v>
      </c>
      <c r="G746" s="3">
        <v>212</v>
      </c>
      <c r="H746" s="3">
        <v>77324</v>
      </c>
      <c r="I746" s="51" t="s">
        <v>110</v>
      </c>
      <c r="J746" s="3">
        <v>78349</v>
      </c>
      <c r="K746" s="4" t="s">
        <v>111</v>
      </c>
      <c r="L746" s="56" t="s">
        <v>442</v>
      </c>
      <c r="M746" s="20" t="s">
        <v>112</v>
      </c>
      <c r="N746" s="19" t="s">
        <v>186</v>
      </c>
      <c r="O746" s="19" t="str">
        <f t="shared" si="22"/>
        <v>12</v>
      </c>
      <c r="P746" s="64">
        <f t="shared" si="23"/>
        <v>42563</v>
      </c>
    </row>
    <row r="747" spans="1:16" x14ac:dyDescent="0.25">
      <c r="A747" s="26">
        <v>42563.564004629632</v>
      </c>
      <c r="B747" s="51" t="s">
        <v>142</v>
      </c>
      <c r="C747" s="4" t="s">
        <v>1173</v>
      </c>
      <c r="D747" s="4" t="s">
        <v>103</v>
      </c>
      <c r="E747" s="51" t="s">
        <v>109</v>
      </c>
      <c r="F747" s="3">
        <v>0</v>
      </c>
      <c r="G747" s="3">
        <v>60</v>
      </c>
      <c r="H747" s="3">
        <v>104372</v>
      </c>
      <c r="I747" s="51" t="s">
        <v>110</v>
      </c>
      <c r="J747" s="3">
        <v>103800</v>
      </c>
      <c r="K747" s="4" t="s">
        <v>106</v>
      </c>
      <c r="L747" s="56" t="s">
        <v>436</v>
      </c>
      <c r="M747" s="20" t="s">
        <v>112</v>
      </c>
      <c r="N747" s="19" t="s">
        <v>186</v>
      </c>
      <c r="O747" s="19" t="str">
        <f t="shared" si="22"/>
        <v>12</v>
      </c>
      <c r="P747" s="64">
        <f t="shared" si="23"/>
        <v>42563</v>
      </c>
    </row>
    <row r="748" spans="1:16" x14ac:dyDescent="0.25">
      <c r="A748" s="26">
        <v>42563.56591435185</v>
      </c>
      <c r="B748" s="51" t="s">
        <v>142</v>
      </c>
      <c r="C748" s="4" t="s">
        <v>1173</v>
      </c>
      <c r="D748" s="4" t="s">
        <v>116</v>
      </c>
      <c r="E748" s="51" t="s">
        <v>109</v>
      </c>
      <c r="F748" s="3">
        <v>0</v>
      </c>
      <c r="G748" s="3">
        <v>6</v>
      </c>
      <c r="H748" s="3">
        <v>103788</v>
      </c>
      <c r="I748" s="51" t="s">
        <v>110</v>
      </c>
      <c r="J748" s="3">
        <v>103800</v>
      </c>
      <c r="K748" s="4" t="s">
        <v>106</v>
      </c>
      <c r="L748" s="56" t="s">
        <v>436</v>
      </c>
      <c r="M748" s="20" t="s">
        <v>112</v>
      </c>
      <c r="N748" s="19" t="s">
        <v>186</v>
      </c>
      <c r="O748" s="19" t="str">
        <f t="shared" si="22"/>
        <v>12</v>
      </c>
      <c r="P748" s="64">
        <f t="shared" si="23"/>
        <v>42563</v>
      </c>
    </row>
    <row r="749" spans="1:16" x14ac:dyDescent="0.25">
      <c r="A749" s="26">
        <v>42563.389317129629</v>
      </c>
      <c r="B749" s="51" t="s">
        <v>125</v>
      </c>
      <c r="C749" s="4" t="s">
        <v>1174</v>
      </c>
      <c r="D749" s="4" t="s">
        <v>103</v>
      </c>
      <c r="E749" s="4" t="s">
        <v>115</v>
      </c>
      <c r="F749" s="3">
        <v>300</v>
      </c>
      <c r="G749" s="3">
        <v>250</v>
      </c>
      <c r="H749" s="3">
        <v>19718</v>
      </c>
      <c r="I749" s="4" t="s">
        <v>105</v>
      </c>
      <c r="J749" s="3">
        <v>20338</v>
      </c>
      <c r="K749" s="4" t="s">
        <v>111</v>
      </c>
      <c r="L749" s="56" t="s">
        <v>400</v>
      </c>
      <c r="M749" s="20" t="s">
        <v>112</v>
      </c>
      <c r="N749" s="19"/>
      <c r="O749" s="19" t="str">
        <f t="shared" si="22"/>
        <v>12</v>
      </c>
      <c r="P749" s="64">
        <f t="shared" si="23"/>
        <v>42563</v>
      </c>
    </row>
    <row r="750" spans="1:16" x14ac:dyDescent="0.25">
      <c r="A750" s="26">
        <v>42563.718495370369</v>
      </c>
      <c r="B750" s="51" t="s">
        <v>141</v>
      </c>
      <c r="C750" s="4" t="s">
        <v>1175</v>
      </c>
      <c r="D750" s="4" t="s">
        <v>103</v>
      </c>
      <c r="E750" s="51" t="s">
        <v>115</v>
      </c>
      <c r="F750" s="3">
        <v>300</v>
      </c>
      <c r="G750" s="3">
        <v>432</v>
      </c>
      <c r="H750" s="3">
        <v>23521</v>
      </c>
      <c r="I750" s="51" t="s">
        <v>105</v>
      </c>
      <c r="J750" s="3">
        <v>21848</v>
      </c>
      <c r="K750" s="4" t="s">
        <v>106</v>
      </c>
      <c r="L750" s="56" t="s">
        <v>436</v>
      </c>
      <c r="M750" s="20" t="s">
        <v>112</v>
      </c>
      <c r="N750" s="19"/>
      <c r="O750" s="19" t="str">
        <f t="shared" si="22"/>
        <v>12</v>
      </c>
      <c r="P750" s="64">
        <f t="shared" si="23"/>
        <v>42563</v>
      </c>
    </row>
    <row r="751" spans="1:16" x14ac:dyDescent="0.25">
      <c r="A751" s="26">
        <v>42564.039444444446</v>
      </c>
      <c r="B751" s="51" t="s">
        <v>164</v>
      </c>
      <c r="C751" s="4" t="s">
        <v>1176</v>
      </c>
      <c r="D751" s="4" t="s">
        <v>103</v>
      </c>
      <c r="E751" s="51" t="s">
        <v>115</v>
      </c>
      <c r="F751" s="3">
        <v>200</v>
      </c>
      <c r="G751" s="3">
        <v>343</v>
      </c>
      <c r="H751" s="3">
        <v>31704</v>
      </c>
      <c r="I751" s="51" t="s">
        <v>105</v>
      </c>
      <c r="J751" s="3">
        <v>30289</v>
      </c>
      <c r="K751" s="4" t="s">
        <v>106</v>
      </c>
      <c r="L751" s="56" t="s">
        <v>473</v>
      </c>
      <c r="M751" s="20" t="s">
        <v>112</v>
      </c>
      <c r="N751" s="19"/>
      <c r="O751" s="19" t="str">
        <f t="shared" si="22"/>
        <v>12</v>
      </c>
      <c r="P751" s="64">
        <f t="shared" si="23"/>
        <v>42563</v>
      </c>
    </row>
    <row r="752" spans="1:16" x14ac:dyDescent="0.25">
      <c r="A752" s="26">
        <v>42563.405648148146</v>
      </c>
      <c r="B752" s="51" t="s">
        <v>119</v>
      </c>
      <c r="C752" s="4" t="s">
        <v>1177</v>
      </c>
      <c r="D752" s="4" t="s">
        <v>103</v>
      </c>
      <c r="E752" s="51" t="s">
        <v>115</v>
      </c>
      <c r="F752" s="3">
        <v>400</v>
      </c>
      <c r="G752" s="3">
        <v>451</v>
      </c>
      <c r="H752" s="3">
        <v>120965</v>
      </c>
      <c r="I752" s="51" t="s">
        <v>105</v>
      </c>
      <c r="J752" s="3">
        <v>119716</v>
      </c>
      <c r="K752" s="4" t="s">
        <v>106</v>
      </c>
      <c r="L752" s="56" t="s">
        <v>558</v>
      </c>
      <c r="M752" s="20" t="s">
        <v>112</v>
      </c>
      <c r="N752" s="19"/>
      <c r="O752" s="19" t="str">
        <f t="shared" si="22"/>
        <v>12</v>
      </c>
      <c r="P752" s="64">
        <f t="shared" si="23"/>
        <v>42563</v>
      </c>
    </row>
    <row r="753" spans="1:16" x14ac:dyDescent="0.25">
      <c r="A753" s="26">
        <v>42563.639814814815</v>
      </c>
      <c r="B753" s="51" t="s">
        <v>141</v>
      </c>
      <c r="C753" s="4" t="s">
        <v>435</v>
      </c>
      <c r="D753" s="4" t="s">
        <v>103</v>
      </c>
      <c r="E753" s="51" t="s">
        <v>115</v>
      </c>
      <c r="F753" s="3">
        <v>400</v>
      </c>
      <c r="G753" s="3">
        <v>441</v>
      </c>
      <c r="H753" s="3">
        <v>120861</v>
      </c>
      <c r="I753" s="51" t="s">
        <v>105</v>
      </c>
      <c r="J753" s="3">
        <v>119716</v>
      </c>
      <c r="K753" s="4" t="s">
        <v>106</v>
      </c>
      <c r="L753" s="56" t="s">
        <v>436</v>
      </c>
      <c r="M753" s="20" t="s">
        <v>112</v>
      </c>
      <c r="N753" s="19"/>
      <c r="O753" s="19" t="str">
        <f t="shared" si="22"/>
        <v>12</v>
      </c>
      <c r="P753" s="64">
        <f t="shared" si="23"/>
        <v>42563</v>
      </c>
    </row>
    <row r="754" spans="1:16" x14ac:dyDescent="0.25">
      <c r="A754" s="26">
        <v>42563.696840277778</v>
      </c>
      <c r="B754" s="51" t="s">
        <v>119</v>
      </c>
      <c r="C754" s="4" t="s">
        <v>1178</v>
      </c>
      <c r="D754" s="4" t="s">
        <v>103</v>
      </c>
      <c r="E754" s="51" t="s">
        <v>115</v>
      </c>
      <c r="F754" s="3">
        <v>400</v>
      </c>
      <c r="G754" s="3">
        <v>430</v>
      </c>
      <c r="H754" s="3">
        <v>120558</v>
      </c>
      <c r="I754" s="51" t="s">
        <v>105</v>
      </c>
      <c r="J754" s="3">
        <v>119716</v>
      </c>
      <c r="K754" s="4" t="s">
        <v>106</v>
      </c>
      <c r="L754" s="56" t="s">
        <v>404</v>
      </c>
      <c r="M754" s="20" t="s">
        <v>112</v>
      </c>
      <c r="N754" s="19"/>
      <c r="O754" s="19" t="str">
        <f t="shared" si="22"/>
        <v>12</v>
      </c>
      <c r="P754" s="64">
        <f t="shared" si="23"/>
        <v>42563</v>
      </c>
    </row>
    <row r="755" spans="1:16" x14ac:dyDescent="0.25">
      <c r="A755" s="26">
        <v>42563.945949074077</v>
      </c>
      <c r="B755" s="51" t="s">
        <v>164</v>
      </c>
      <c r="C755" s="4" t="s">
        <v>1179</v>
      </c>
      <c r="D755" s="4" t="s">
        <v>103</v>
      </c>
      <c r="E755" s="51" t="s">
        <v>115</v>
      </c>
      <c r="F755" s="3">
        <v>400</v>
      </c>
      <c r="G755" s="3">
        <v>509</v>
      </c>
      <c r="H755" s="3">
        <v>121168</v>
      </c>
      <c r="I755" s="51" t="s">
        <v>105</v>
      </c>
      <c r="J755" s="3">
        <v>119716</v>
      </c>
      <c r="K755" s="4" t="s">
        <v>106</v>
      </c>
      <c r="L755" s="56" t="s">
        <v>473</v>
      </c>
      <c r="M755" s="20" t="s">
        <v>112</v>
      </c>
      <c r="N755" s="19"/>
      <c r="O755" s="19" t="str">
        <f t="shared" si="22"/>
        <v>12</v>
      </c>
      <c r="P755" s="64">
        <f t="shared" si="23"/>
        <v>42563</v>
      </c>
    </row>
    <row r="756" spans="1:16" x14ac:dyDescent="0.25">
      <c r="A756" s="17">
        <v>42563.461956018517</v>
      </c>
      <c r="B756" s="51" t="s">
        <v>142</v>
      </c>
      <c r="C756" s="4" t="s">
        <v>1180</v>
      </c>
      <c r="D756" s="4" t="s">
        <v>103</v>
      </c>
      <c r="E756" s="4" t="s">
        <v>115</v>
      </c>
      <c r="F756" s="3">
        <v>150</v>
      </c>
      <c r="G756" s="3">
        <v>128</v>
      </c>
      <c r="H756" s="3">
        <v>229893</v>
      </c>
      <c r="I756" s="4" t="s">
        <v>105</v>
      </c>
      <c r="J756" s="3">
        <v>230436</v>
      </c>
      <c r="K756" s="4" t="s">
        <v>111</v>
      </c>
      <c r="L756" s="56" t="s">
        <v>415</v>
      </c>
      <c r="M756" s="20" t="s">
        <v>112</v>
      </c>
      <c r="N756" s="19"/>
      <c r="O756" s="19" t="str">
        <f t="shared" si="22"/>
        <v>12</v>
      </c>
      <c r="P756" s="64">
        <f t="shared" si="23"/>
        <v>42563</v>
      </c>
    </row>
    <row r="757" spans="1:16" x14ac:dyDescent="0.25">
      <c r="A757" s="26">
        <v>42563.629259259258</v>
      </c>
      <c r="B757" s="52" t="s">
        <v>165</v>
      </c>
      <c r="C757" s="18" t="s">
        <v>1181</v>
      </c>
      <c r="D757" s="18" t="s">
        <v>103</v>
      </c>
      <c r="E757" s="52" t="s">
        <v>115</v>
      </c>
      <c r="F757" s="53">
        <v>150</v>
      </c>
      <c r="G757" s="53">
        <v>154</v>
      </c>
      <c r="H757" s="53">
        <v>229995</v>
      </c>
      <c r="I757" s="52" t="s">
        <v>105</v>
      </c>
      <c r="J757" s="53">
        <v>230436</v>
      </c>
      <c r="K757" s="19" t="s">
        <v>111</v>
      </c>
      <c r="L757" s="56" t="s">
        <v>440</v>
      </c>
      <c r="M757" s="20" t="s">
        <v>112</v>
      </c>
      <c r="N757" s="19"/>
      <c r="O757" s="19" t="str">
        <f t="shared" si="22"/>
        <v>12</v>
      </c>
      <c r="P757" s="64">
        <f t="shared" si="23"/>
        <v>42563</v>
      </c>
    </row>
    <row r="758" spans="1:16" x14ac:dyDescent="0.25">
      <c r="A758" s="26">
        <v>42563.339525462965</v>
      </c>
      <c r="B758" s="51" t="s">
        <v>141</v>
      </c>
      <c r="C758" s="4" t="s">
        <v>310</v>
      </c>
      <c r="D758" s="4" t="s">
        <v>103</v>
      </c>
      <c r="E758" s="51" t="s">
        <v>122</v>
      </c>
      <c r="F758" s="3">
        <v>0</v>
      </c>
      <c r="G758" s="3">
        <v>368</v>
      </c>
      <c r="H758" s="3">
        <v>128971</v>
      </c>
      <c r="I758" s="51" t="s">
        <v>123</v>
      </c>
      <c r="J758" s="3">
        <v>127587</v>
      </c>
      <c r="K758" s="4" t="s">
        <v>106</v>
      </c>
      <c r="L758" s="56" t="s">
        <v>463</v>
      </c>
      <c r="M758" s="20" t="s">
        <v>112</v>
      </c>
      <c r="N758" s="19" t="s">
        <v>1182</v>
      </c>
      <c r="O758" s="19" t="str">
        <f t="shared" si="22"/>
        <v>12</v>
      </c>
      <c r="P758" s="64">
        <f t="shared" si="23"/>
        <v>42563</v>
      </c>
    </row>
    <row r="759" spans="1:16" x14ac:dyDescent="0.25">
      <c r="A759" s="26">
        <v>42563.444178240738</v>
      </c>
      <c r="B759" s="4" t="s">
        <v>133</v>
      </c>
      <c r="C759" s="4" t="s">
        <v>1183</v>
      </c>
      <c r="D759" s="4" t="s">
        <v>103</v>
      </c>
      <c r="E759" s="4" t="s">
        <v>122</v>
      </c>
      <c r="F759" s="3">
        <v>0</v>
      </c>
      <c r="G759" s="3">
        <v>791</v>
      </c>
      <c r="H759" s="3">
        <v>144036</v>
      </c>
      <c r="I759" s="4" t="s">
        <v>123</v>
      </c>
      <c r="J759" s="3">
        <v>144300</v>
      </c>
      <c r="K759" s="4" t="s">
        <v>111</v>
      </c>
      <c r="L759" s="56" t="s">
        <v>558</v>
      </c>
      <c r="M759" s="20" t="s">
        <v>107</v>
      </c>
      <c r="N759" s="19" t="s">
        <v>52</v>
      </c>
      <c r="O759" s="19" t="str">
        <f t="shared" si="22"/>
        <v>12</v>
      </c>
      <c r="P759" s="64">
        <f t="shared" si="23"/>
        <v>42563</v>
      </c>
    </row>
    <row r="760" spans="1:16" x14ac:dyDescent="0.25">
      <c r="A760" s="26">
        <v>42563.681250000001</v>
      </c>
      <c r="B760" s="51" t="s">
        <v>142</v>
      </c>
      <c r="C760" s="4" t="s">
        <v>1184</v>
      </c>
      <c r="D760" s="4" t="s">
        <v>103</v>
      </c>
      <c r="E760" s="51" t="s">
        <v>122</v>
      </c>
      <c r="F760" s="3">
        <v>0</v>
      </c>
      <c r="G760" s="3">
        <v>458</v>
      </c>
      <c r="H760" s="3">
        <v>153048</v>
      </c>
      <c r="I760" s="51" t="s">
        <v>123</v>
      </c>
      <c r="J760" s="3">
        <v>155600</v>
      </c>
      <c r="K760" s="4" t="s">
        <v>111</v>
      </c>
      <c r="L760" s="56" t="s">
        <v>436</v>
      </c>
      <c r="M760" s="20" t="s">
        <v>112</v>
      </c>
      <c r="N760" s="19" t="s">
        <v>1185</v>
      </c>
      <c r="O760" s="19" t="str">
        <f t="shared" si="22"/>
        <v>12</v>
      </c>
      <c r="P760" s="64">
        <f t="shared" si="23"/>
        <v>42563</v>
      </c>
    </row>
    <row r="761" spans="1:16" x14ac:dyDescent="0.25">
      <c r="A761" s="26">
        <v>42563.632997685185</v>
      </c>
      <c r="B761" s="51" t="s">
        <v>141</v>
      </c>
      <c r="C761" s="4" t="s">
        <v>435</v>
      </c>
      <c r="D761" s="4" t="s">
        <v>116</v>
      </c>
      <c r="E761" s="51" t="s">
        <v>122</v>
      </c>
      <c r="F761" s="3">
        <v>200</v>
      </c>
      <c r="G761" s="3">
        <v>250</v>
      </c>
      <c r="H761" s="3">
        <v>153191</v>
      </c>
      <c r="I761" s="51" t="s">
        <v>123</v>
      </c>
      <c r="J761" s="3">
        <v>157300</v>
      </c>
      <c r="K761" s="4" t="s">
        <v>106</v>
      </c>
      <c r="L761" s="56" t="s">
        <v>436</v>
      </c>
      <c r="M761" s="20" t="s">
        <v>112</v>
      </c>
      <c r="N761" s="19" t="s">
        <v>175</v>
      </c>
      <c r="O761" s="19" t="str">
        <f t="shared" si="22"/>
        <v>12</v>
      </c>
      <c r="P761" s="64">
        <f t="shared" si="23"/>
        <v>42563</v>
      </c>
    </row>
    <row r="762" spans="1:16" x14ac:dyDescent="0.25">
      <c r="A762" s="26">
        <v>42563.717326388891</v>
      </c>
      <c r="B762" s="4" t="s">
        <v>148</v>
      </c>
      <c r="C762" s="4" t="s">
        <v>446</v>
      </c>
      <c r="D762" s="4" t="s">
        <v>103</v>
      </c>
      <c r="E762" s="4" t="s">
        <v>122</v>
      </c>
      <c r="F762" s="3">
        <v>0</v>
      </c>
      <c r="G762" s="3">
        <v>695</v>
      </c>
      <c r="H762" s="3">
        <v>165885</v>
      </c>
      <c r="I762" s="4" t="s">
        <v>123</v>
      </c>
      <c r="J762" s="3">
        <v>168003</v>
      </c>
      <c r="K762" s="4" t="s">
        <v>111</v>
      </c>
      <c r="L762" s="56" t="s">
        <v>442</v>
      </c>
      <c r="M762" s="20" t="s">
        <v>107</v>
      </c>
      <c r="N762" s="19" t="s">
        <v>52</v>
      </c>
      <c r="O762" s="19" t="str">
        <f t="shared" si="22"/>
        <v>12</v>
      </c>
      <c r="P762" s="64">
        <f t="shared" si="23"/>
        <v>42563</v>
      </c>
    </row>
    <row r="763" spans="1:16" x14ac:dyDescent="0.25">
      <c r="A763" s="26">
        <v>42563.460601851853</v>
      </c>
      <c r="B763" s="51" t="s">
        <v>132</v>
      </c>
      <c r="C763" s="4" t="s">
        <v>1186</v>
      </c>
      <c r="D763" s="4" t="s">
        <v>103</v>
      </c>
      <c r="E763" s="51" t="s">
        <v>122</v>
      </c>
      <c r="F763" s="3">
        <v>0</v>
      </c>
      <c r="G763" s="3">
        <v>564</v>
      </c>
      <c r="H763" s="3">
        <v>184552</v>
      </c>
      <c r="I763" s="51" t="s">
        <v>123</v>
      </c>
      <c r="J763" s="3">
        <v>182920</v>
      </c>
      <c r="K763" s="4" t="s">
        <v>106</v>
      </c>
      <c r="L763" s="56" t="s">
        <v>1108</v>
      </c>
      <c r="M763" s="20" t="s">
        <v>107</v>
      </c>
      <c r="N763" s="19" t="s">
        <v>52</v>
      </c>
      <c r="O763" s="19" t="str">
        <f t="shared" si="22"/>
        <v>12</v>
      </c>
      <c r="P763" s="64">
        <f t="shared" si="23"/>
        <v>42563</v>
      </c>
    </row>
    <row r="764" spans="1:16" x14ac:dyDescent="0.25">
      <c r="A764" s="26">
        <v>42563.751527777778</v>
      </c>
      <c r="B764" s="51" t="s">
        <v>132</v>
      </c>
      <c r="C764" s="4" t="s">
        <v>1187</v>
      </c>
      <c r="D764" s="4" t="s">
        <v>103</v>
      </c>
      <c r="E764" s="51" t="s">
        <v>122</v>
      </c>
      <c r="F764" s="3">
        <v>0</v>
      </c>
      <c r="G764" s="3">
        <v>416</v>
      </c>
      <c r="H764" s="3">
        <v>194401</v>
      </c>
      <c r="I764" s="51" t="s">
        <v>123</v>
      </c>
      <c r="J764" s="3">
        <v>191723</v>
      </c>
      <c r="K764" s="4" t="s">
        <v>106</v>
      </c>
      <c r="L764" s="56" t="s">
        <v>425</v>
      </c>
      <c r="M764" s="20" t="s">
        <v>112</v>
      </c>
      <c r="N764" s="19" t="s">
        <v>1188</v>
      </c>
      <c r="O764" s="19" t="str">
        <f t="shared" si="22"/>
        <v>12</v>
      </c>
      <c r="P764" s="64">
        <f t="shared" si="23"/>
        <v>42563</v>
      </c>
    </row>
    <row r="765" spans="1:16" x14ac:dyDescent="0.25">
      <c r="A765" s="26">
        <v>42563.770127314812</v>
      </c>
      <c r="B765" s="51" t="s">
        <v>141</v>
      </c>
      <c r="C765" s="4" t="s">
        <v>437</v>
      </c>
      <c r="D765" s="4" t="s">
        <v>103</v>
      </c>
      <c r="E765" s="51" t="s">
        <v>122</v>
      </c>
      <c r="F765" s="3">
        <v>0</v>
      </c>
      <c r="G765" s="3">
        <v>357</v>
      </c>
      <c r="H765" s="3">
        <v>225976</v>
      </c>
      <c r="I765" s="51" t="s">
        <v>123</v>
      </c>
      <c r="J765" s="3">
        <v>224244</v>
      </c>
      <c r="K765" s="4" t="s">
        <v>106</v>
      </c>
      <c r="L765" s="56" t="s">
        <v>404</v>
      </c>
      <c r="M765" s="20" t="s">
        <v>107</v>
      </c>
      <c r="N765" s="19" t="s">
        <v>52</v>
      </c>
      <c r="O765" s="19" t="str">
        <f t="shared" si="22"/>
        <v>12</v>
      </c>
      <c r="P765" s="64">
        <f t="shared" si="23"/>
        <v>42563</v>
      </c>
    </row>
    <row r="766" spans="1:16" x14ac:dyDescent="0.25">
      <c r="A766" s="26">
        <v>42563.602222222224</v>
      </c>
      <c r="B766" s="51" t="s">
        <v>132</v>
      </c>
      <c r="C766" s="4" t="s">
        <v>445</v>
      </c>
      <c r="D766" s="4" t="s">
        <v>116</v>
      </c>
      <c r="E766" s="51" t="s">
        <v>122</v>
      </c>
      <c r="F766" s="3">
        <v>0</v>
      </c>
      <c r="G766" s="3">
        <v>153</v>
      </c>
      <c r="H766" s="3">
        <v>230668</v>
      </c>
      <c r="I766" s="51" t="s">
        <v>123</v>
      </c>
      <c r="J766" s="3">
        <v>231147</v>
      </c>
      <c r="K766" s="4" t="s">
        <v>106</v>
      </c>
      <c r="L766" s="56" t="s">
        <v>425</v>
      </c>
      <c r="M766" s="20" t="s">
        <v>107</v>
      </c>
      <c r="N766" s="19" t="s">
        <v>52</v>
      </c>
      <c r="O766" s="19" t="str">
        <f t="shared" si="22"/>
        <v>12</v>
      </c>
      <c r="P766" s="64">
        <f t="shared" si="23"/>
        <v>42563</v>
      </c>
    </row>
    <row r="767" spans="1:16" x14ac:dyDescent="0.25">
      <c r="A767" s="26">
        <v>42563.414317129631</v>
      </c>
      <c r="B767" s="51" t="s">
        <v>164</v>
      </c>
      <c r="C767" s="4" t="s">
        <v>1189</v>
      </c>
      <c r="D767" s="4" t="s">
        <v>103</v>
      </c>
      <c r="E767" s="51" t="s">
        <v>122</v>
      </c>
      <c r="F767" s="3">
        <v>0</v>
      </c>
      <c r="G767" s="3">
        <v>128</v>
      </c>
      <c r="H767" s="3">
        <v>232424</v>
      </c>
      <c r="I767" s="51" t="s">
        <v>123</v>
      </c>
      <c r="J767" s="3">
        <v>231650</v>
      </c>
      <c r="K767" s="4" t="s">
        <v>106</v>
      </c>
      <c r="L767" s="56" t="s">
        <v>453</v>
      </c>
      <c r="M767" s="20" t="s">
        <v>107</v>
      </c>
      <c r="N767" s="19" t="s">
        <v>52</v>
      </c>
      <c r="O767" s="19" t="str">
        <f t="shared" si="22"/>
        <v>12</v>
      </c>
      <c r="P767" s="64">
        <f t="shared" si="23"/>
        <v>42563</v>
      </c>
    </row>
    <row r="768" spans="1:16" x14ac:dyDescent="0.25">
      <c r="A768" s="26">
        <v>42563.620023148149</v>
      </c>
      <c r="B768" s="51" t="s">
        <v>165</v>
      </c>
      <c r="C768" s="4" t="s">
        <v>1181</v>
      </c>
      <c r="D768" s="4" t="s">
        <v>103</v>
      </c>
      <c r="E768" s="51" t="s">
        <v>127</v>
      </c>
      <c r="F768" s="3">
        <v>0</v>
      </c>
      <c r="G768" s="3">
        <v>570</v>
      </c>
      <c r="H768" s="3">
        <v>123769</v>
      </c>
      <c r="I768" s="51" t="s">
        <v>128</v>
      </c>
      <c r="J768" s="3">
        <v>126678</v>
      </c>
      <c r="K768" s="4" t="s">
        <v>111</v>
      </c>
      <c r="L768" s="56" t="s">
        <v>440</v>
      </c>
      <c r="M768" s="20" t="s">
        <v>107</v>
      </c>
      <c r="N768" s="19" t="s">
        <v>52</v>
      </c>
      <c r="O768" s="19" t="str">
        <f t="shared" si="22"/>
        <v>12</v>
      </c>
      <c r="P768" s="64">
        <f t="shared" si="23"/>
        <v>42563</v>
      </c>
    </row>
    <row r="769" spans="1:16" x14ac:dyDescent="0.25">
      <c r="A769" s="26">
        <v>42563.674814814818</v>
      </c>
      <c r="B769" s="51" t="s">
        <v>132</v>
      </c>
      <c r="C769" s="4" t="s">
        <v>1190</v>
      </c>
      <c r="D769" s="4" t="s">
        <v>103</v>
      </c>
      <c r="E769" s="51" t="s">
        <v>127</v>
      </c>
      <c r="F769" s="3">
        <v>0</v>
      </c>
      <c r="G769" s="3">
        <v>121</v>
      </c>
      <c r="H769" s="3">
        <v>232445</v>
      </c>
      <c r="I769" s="51" t="s">
        <v>128</v>
      </c>
      <c r="J769" s="3">
        <v>231650</v>
      </c>
      <c r="K769" s="4" t="s">
        <v>106</v>
      </c>
      <c r="L769" s="56" t="s">
        <v>425</v>
      </c>
      <c r="M769" s="20" t="s">
        <v>107</v>
      </c>
      <c r="N769" s="19" t="s">
        <v>52</v>
      </c>
      <c r="O769" s="19" t="str">
        <f t="shared" si="22"/>
        <v>12</v>
      </c>
      <c r="P769" s="64">
        <f t="shared" si="23"/>
        <v>42563</v>
      </c>
    </row>
    <row r="770" spans="1:16" x14ac:dyDescent="0.25">
      <c r="A770" s="26">
        <v>42563.758090277777</v>
      </c>
      <c r="B770" s="4" t="s">
        <v>119</v>
      </c>
      <c r="C770" s="4" t="s">
        <v>1191</v>
      </c>
      <c r="D770" s="4" t="s">
        <v>103</v>
      </c>
      <c r="E770" s="4" t="s">
        <v>127</v>
      </c>
      <c r="F770" s="3">
        <v>0</v>
      </c>
      <c r="G770" s="3">
        <v>115</v>
      </c>
      <c r="H770" s="3">
        <v>232305</v>
      </c>
      <c r="I770" s="4" t="s">
        <v>128</v>
      </c>
      <c r="J770" s="3">
        <v>231650</v>
      </c>
      <c r="K770" s="4" t="s">
        <v>106</v>
      </c>
      <c r="L770" s="56" t="s">
        <v>428</v>
      </c>
      <c r="M770" s="20" t="s">
        <v>107</v>
      </c>
      <c r="N770" s="19" t="s">
        <v>52</v>
      </c>
      <c r="O770" s="19" t="str">
        <f t="shared" ref="O770:O833" si="24">RIGHT(C770,2)</f>
        <v>12</v>
      </c>
      <c r="P770" s="64">
        <f t="shared" si="23"/>
        <v>42563</v>
      </c>
    </row>
    <row r="771" spans="1:16" x14ac:dyDescent="0.25">
      <c r="A771" s="17">
        <v>42563.221851851849</v>
      </c>
      <c r="B771" s="51" t="s">
        <v>118</v>
      </c>
      <c r="C771" s="4" t="s">
        <v>1192</v>
      </c>
      <c r="D771" s="4" t="s">
        <v>103</v>
      </c>
      <c r="E771" s="51" t="s">
        <v>129</v>
      </c>
      <c r="F771" s="3">
        <v>0</v>
      </c>
      <c r="G771" s="3">
        <v>27</v>
      </c>
      <c r="H771" s="3">
        <v>59</v>
      </c>
      <c r="I771" s="51" t="s">
        <v>130</v>
      </c>
      <c r="J771" s="3">
        <v>1</v>
      </c>
      <c r="K771" s="4" t="s">
        <v>106</v>
      </c>
      <c r="L771" s="56" t="s">
        <v>400</v>
      </c>
      <c r="M771" s="20" t="s">
        <v>112</v>
      </c>
      <c r="N771" s="19"/>
      <c r="O771" s="19" t="str">
        <f t="shared" si="24"/>
        <v>12</v>
      </c>
      <c r="P771" s="64">
        <f t="shared" ref="P771:P834" si="25">42522+O771+29</f>
        <v>42563</v>
      </c>
    </row>
    <row r="772" spans="1:16" x14ac:dyDescent="0.25">
      <c r="A772" s="26">
        <v>42563.450300925928</v>
      </c>
      <c r="B772" s="51" t="s">
        <v>118</v>
      </c>
      <c r="C772" s="4" t="s">
        <v>1193</v>
      </c>
      <c r="D772" s="4" t="s">
        <v>103</v>
      </c>
      <c r="E772" s="51" t="s">
        <v>129</v>
      </c>
      <c r="F772" s="3">
        <v>0</v>
      </c>
      <c r="G772" s="3">
        <v>61</v>
      </c>
      <c r="H772" s="3">
        <v>205</v>
      </c>
      <c r="I772" s="51" t="s">
        <v>130</v>
      </c>
      <c r="J772" s="3">
        <v>1</v>
      </c>
      <c r="K772" s="4" t="s">
        <v>106</v>
      </c>
      <c r="L772" s="56" t="s">
        <v>400</v>
      </c>
      <c r="M772" s="20" t="s">
        <v>112</v>
      </c>
      <c r="N772" s="19"/>
      <c r="O772" s="19" t="str">
        <f t="shared" si="24"/>
        <v>12</v>
      </c>
      <c r="P772" s="64">
        <f t="shared" si="25"/>
        <v>42563</v>
      </c>
    </row>
    <row r="773" spans="1:16" x14ac:dyDescent="0.25">
      <c r="A773" s="26">
        <v>42563.775219907409</v>
      </c>
      <c r="B773" s="51" t="s">
        <v>132</v>
      </c>
      <c r="C773" s="4" t="s">
        <v>1187</v>
      </c>
      <c r="D773" s="4" t="s">
        <v>103</v>
      </c>
      <c r="E773" s="51" t="s">
        <v>129</v>
      </c>
      <c r="F773" s="3">
        <v>0</v>
      </c>
      <c r="G773" s="3">
        <v>49</v>
      </c>
      <c r="H773" s="3">
        <v>174</v>
      </c>
      <c r="I773" s="51" t="s">
        <v>130</v>
      </c>
      <c r="J773" s="3">
        <v>1</v>
      </c>
      <c r="K773" s="4" t="s">
        <v>106</v>
      </c>
      <c r="L773" s="56" t="s">
        <v>425</v>
      </c>
      <c r="M773" s="20" t="s">
        <v>112</v>
      </c>
      <c r="N773" s="19"/>
      <c r="O773" s="19" t="str">
        <f t="shared" si="24"/>
        <v>12</v>
      </c>
      <c r="P773" s="64">
        <f t="shared" si="25"/>
        <v>42563</v>
      </c>
    </row>
    <row r="774" spans="1:16" x14ac:dyDescent="0.25">
      <c r="A774" s="26">
        <v>42564.593506944446</v>
      </c>
      <c r="B774" s="51" t="s">
        <v>124</v>
      </c>
      <c r="C774" s="4" t="s">
        <v>1194</v>
      </c>
      <c r="D774" s="4" t="s">
        <v>103</v>
      </c>
      <c r="E774" s="51" t="s">
        <v>109</v>
      </c>
      <c r="F774" s="3">
        <v>0</v>
      </c>
      <c r="G774" s="3">
        <v>55</v>
      </c>
      <c r="H774" s="3">
        <v>31107</v>
      </c>
      <c r="I774" s="51" t="s">
        <v>110</v>
      </c>
      <c r="J774" s="3">
        <v>30970</v>
      </c>
      <c r="K774" s="4" t="s">
        <v>106</v>
      </c>
      <c r="L774" s="56" t="s">
        <v>425</v>
      </c>
      <c r="M774" s="20" t="s">
        <v>112</v>
      </c>
      <c r="N774" s="19" t="s">
        <v>186</v>
      </c>
      <c r="O774" s="19" t="str">
        <f t="shared" si="24"/>
        <v>13</v>
      </c>
      <c r="P774" s="64">
        <f t="shared" si="25"/>
        <v>42564</v>
      </c>
    </row>
    <row r="775" spans="1:16" x14ac:dyDescent="0.25">
      <c r="A775" s="17">
        <v>42564.485949074071</v>
      </c>
      <c r="B775" s="51" t="s">
        <v>132</v>
      </c>
      <c r="C775" s="4" t="s">
        <v>1195</v>
      </c>
      <c r="D775" s="4" t="s">
        <v>116</v>
      </c>
      <c r="E775" s="51" t="s">
        <v>109</v>
      </c>
      <c r="F775" s="3">
        <v>0</v>
      </c>
      <c r="G775" s="3">
        <v>325</v>
      </c>
      <c r="H775" s="3">
        <v>37437</v>
      </c>
      <c r="I775" s="51" t="s">
        <v>110</v>
      </c>
      <c r="J775" s="3">
        <v>37462</v>
      </c>
      <c r="K775" s="4" t="s">
        <v>106</v>
      </c>
      <c r="L775" s="56" t="s">
        <v>453</v>
      </c>
      <c r="M775" s="20" t="s">
        <v>112</v>
      </c>
      <c r="N775" s="19" t="s">
        <v>543</v>
      </c>
      <c r="O775" s="19" t="str">
        <f t="shared" si="24"/>
        <v>13</v>
      </c>
      <c r="P775" s="64">
        <f t="shared" si="25"/>
        <v>42564</v>
      </c>
    </row>
    <row r="776" spans="1:16" x14ac:dyDescent="0.25">
      <c r="A776" s="26">
        <v>42564.286041666666</v>
      </c>
      <c r="B776" s="51" t="s">
        <v>102</v>
      </c>
      <c r="C776" s="4" t="s">
        <v>84</v>
      </c>
      <c r="D776" s="4" t="s">
        <v>103</v>
      </c>
      <c r="E776" s="51" t="s">
        <v>109</v>
      </c>
      <c r="F776" s="3">
        <v>490</v>
      </c>
      <c r="G776" s="3">
        <v>610</v>
      </c>
      <c r="H776" s="3">
        <v>44064</v>
      </c>
      <c r="I776" s="51" t="s">
        <v>110</v>
      </c>
      <c r="J776" s="3">
        <v>42961</v>
      </c>
      <c r="K776" s="4" t="s">
        <v>106</v>
      </c>
      <c r="L776" s="56" t="s">
        <v>418</v>
      </c>
      <c r="M776" s="20" t="s">
        <v>112</v>
      </c>
      <c r="N776" s="19" t="s">
        <v>543</v>
      </c>
      <c r="O776" s="19" t="str">
        <f t="shared" si="24"/>
        <v>13</v>
      </c>
      <c r="P776" s="64">
        <f t="shared" si="25"/>
        <v>42564</v>
      </c>
    </row>
    <row r="777" spans="1:16" x14ac:dyDescent="0.25">
      <c r="A777" s="26">
        <v>42564.795682870368</v>
      </c>
      <c r="B777" s="51" t="s">
        <v>102</v>
      </c>
      <c r="C777" s="4" t="s">
        <v>1197</v>
      </c>
      <c r="D777" s="4" t="s">
        <v>103</v>
      </c>
      <c r="E777" s="51" t="s">
        <v>109</v>
      </c>
      <c r="F777" s="3">
        <v>440</v>
      </c>
      <c r="G777" s="3">
        <v>512</v>
      </c>
      <c r="H777" s="3">
        <v>58398</v>
      </c>
      <c r="I777" s="51" t="s">
        <v>110</v>
      </c>
      <c r="J777" s="3">
        <v>58301</v>
      </c>
      <c r="K777" s="4" t="s">
        <v>106</v>
      </c>
      <c r="L777" s="56" t="s">
        <v>434</v>
      </c>
      <c r="M777" s="20" t="s">
        <v>112</v>
      </c>
      <c r="N777" s="19" t="s">
        <v>543</v>
      </c>
      <c r="O777" s="19" t="str">
        <f t="shared" si="24"/>
        <v>13</v>
      </c>
      <c r="P777" s="64">
        <f t="shared" si="25"/>
        <v>42564</v>
      </c>
    </row>
    <row r="778" spans="1:16" x14ac:dyDescent="0.25">
      <c r="A778" s="26">
        <v>42564.514525462961</v>
      </c>
      <c r="B778" s="51" t="s">
        <v>124</v>
      </c>
      <c r="C778" s="4" t="s">
        <v>1196</v>
      </c>
      <c r="D778" s="4" t="s">
        <v>103</v>
      </c>
      <c r="E778" s="51" t="s">
        <v>109</v>
      </c>
      <c r="F778" s="3">
        <v>470</v>
      </c>
      <c r="G778" s="3">
        <v>533</v>
      </c>
      <c r="H778" s="3">
        <v>58792</v>
      </c>
      <c r="I778" s="51" t="s">
        <v>110</v>
      </c>
      <c r="J778" s="3">
        <v>58301</v>
      </c>
      <c r="K778" s="4" t="s">
        <v>106</v>
      </c>
      <c r="L778" s="56" t="s">
        <v>425</v>
      </c>
      <c r="M778" s="20" t="s">
        <v>112</v>
      </c>
      <c r="N778" s="19" t="s">
        <v>543</v>
      </c>
      <c r="O778" s="19" t="str">
        <f t="shared" si="24"/>
        <v>13</v>
      </c>
      <c r="P778" s="64">
        <f t="shared" si="25"/>
        <v>42564</v>
      </c>
    </row>
    <row r="779" spans="1:16" x14ac:dyDescent="0.25">
      <c r="A779" s="26">
        <v>42564.704884259256</v>
      </c>
      <c r="B779" s="51" t="s">
        <v>132</v>
      </c>
      <c r="C779" s="4" t="s">
        <v>1198</v>
      </c>
      <c r="D779" s="4" t="s">
        <v>103</v>
      </c>
      <c r="E779" s="51" t="s">
        <v>109</v>
      </c>
      <c r="F779" s="3">
        <v>190</v>
      </c>
      <c r="G779" s="3">
        <v>504</v>
      </c>
      <c r="H779" s="3">
        <v>59958</v>
      </c>
      <c r="I779" s="51" t="s">
        <v>110</v>
      </c>
      <c r="J779" s="3">
        <v>58904</v>
      </c>
      <c r="K779" s="4" t="s">
        <v>106</v>
      </c>
      <c r="L779" s="56" t="s">
        <v>404</v>
      </c>
      <c r="M779" s="20" t="s">
        <v>112</v>
      </c>
      <c r="N779" s="19" t="s">
        <v>543</v>
      </c>
      <c r="O779" s="19" t="str">
        <f t="shared" si="24"/>
        <v>13</v>
      </c>
      <c r="P779" s="64">
        <f t="shared" si="25"/>
        <v>42564</v>
      </c>
    </row>
    <row r="780" spans="1:16" x14ac:dyDescent="0.25">
      <c r="A780" s="26">
        <v>42564.702719907407</v>
      </c>
      <c r="B780" s="51" t="s">
        <v>137</v>
      </c>
      <c r="C780" s="4" t="s">
        <v>312</v>
      </c>
      <c r="D780" s="4" t="s">
        <v>103</v>
      </c>
      <c r="E780" s="51" t="s">
        <v>115</v>
      </c>
      <c r="F780" s="3">
        <v>300</v>
      </c>
      <c r="G780" s="3">
        <v>283</v>
      </c>
      <c r="H780" s="3">
        <v>19996</v>
      </c>
      <c r="I780" s="51" t="s">
        <v>105</v>
      </c>
      <c r="J780" s="3">
        <v>20338</v>
      </c>
      <c r="K780" s="4" t="s">
        <v>111</v>
      </c>
      <c r="L780" s="56" t="s">
        <v>442</v>
      </c>
      <c r="M780" s="20" t="s">
        <v>112</v>
      </c>
      <c r="N780" s="19"/>
      <c r="O780" s="19" t="str">
        <f t="shared" si="24"/>
        <v>13</v>
      </c>
      <c r="P780" s="64">
        <f t="shared" si="25"/>
        <v>42564</v>
      </c>
    </row>
    <row r="781" spans="1:16" x14ac:dyDescent="0.25">
      <c r="A781" s="26">
        <v>42564.598969907405</v>
      </c>
      <c r="B781" s="51" t="s">
        <v>114</v>
      </c>
      <c r="C781" s="4" t="s">
        <v>1199</v>
      </c>
      <c r="D781" s="4" t="s">
        <v>103</v>
      </c>
      <c r="E781" s="51" t="s">
        <v>115</v>
      </c>
      <c r="F781" s="3">
        <v>200</v>
      </c>
      <c r="G781" s="3">
        <v>350</v>
      </c>
      <c r="H781" s="3">
        <v>26056</v>
      </c>
      <c r="I781" s="51" t="s">
        <v>105</v>
      </c>
      <c r="J781" s="3">
        <v>27333</v>
      </c>
      <c r="K781" s="4" t="s">
        <v>111</v>
      </c>
      <c r="L781" s="56" t="s">
        <v>440</v>
      </c>
      <c r="M781" s="20" t="s">
        <v>112</v>
      </c>
      <c r="N781" s="19"/>
      <c r="O781" s="19" t="str">
        <f t="shared" si="24"/>
        <v>13</v>
      </c>
      <c r="P781" s="64">
        <f t="shared" si="25"/>
        <v>42564</v>
      </c>
    </row>
    <row r="782" spans="1:16" x14ac:dyDescent="0.25">
      <c r="A782" s="26">
        <v>42564.572002314817</v>
      </c>
      <c r="B782" s="51" t="s">
        <v>143</v>
      </c>
      <c r="C782" s="4" t="s">
        <v>1200</v>
      </c>
      <c r="D782" s="4" t="s">
        <v>103</v>
      </c>
      <c r="E782" s="4" t="s">
        <v>115</v>
      </c>
      <c r="F782" s="3">
        <v>200</v>
      </c>
      <c r="G782" s="3">
        <v>175</v>
      </c>
      <c r="H782" s="3">
        <v>30677</v>
      </c>
      <c r="I782" s="4" t="s">
        <v>105</v>
      </c>
      <c r="J782" s="3">
        <v>30562</v>
      </c>
      <c r="K782" s="4" t="s">
        <v>106</v>
      </c>
      <c r="L782" s="56" t="s">
        <v>450</v>
      </c>
      <c r="M782" s="20" t="s">
        <v>112</v>
      </c>
      <c r="N782" s="19"/>
      <c r="O782" s="19" t="str">
        <f t="shared" si="24"/>
        <v>13</v>
      </c>
      <c r="P782" s="64">
        <f t="shared" si="25"/>
        <v>42564</v>
      </c>
    </row>
    <row r="783" spans="1:16" x14ac:dyDescent="0.25">
      <c r="A783" s="26">
        <v>42564.626307870371</v>
      </c>
      <c r="B783" s="51" t="s">
        <v>141</v>
      </c>
      <c r="C783" s="4" t="s">
        <v>176</v>
      </c>
      <c r="D783" s="4" t="s">
        <v>103</v>
      </c>
      <c r="E783" s="51" t="s">
        <v>115</v>
      </c>
      <c r="F783" s="3">
        <v>200</v>
      </c>
      <c r="G783" s="3">
        <v>171</v>
      </c>
      <c r="H783" s="3">
        <v>30815</v>
      </c>
      <c r="I783" s="51" t="s">
        <v>105</v>
      </c>
      <c r="J783" s="3">
        <v>30562</v>
      </c>
      <c r="K783" s="4" t="s">
        <v>106</v>
      </c>
      <c r="L783" s="56" t="s">
        <v>413</v>
      </c>
      <c r="M783" s="20" t="s">
        <v>112</v>
      </c>
      <c r="N783" s="19"/>
      <c r="O783" s="19" t="str">
        <f t="shared" si="24"/>
        <v>13</v>
      </c>
      <c r="P783" s="64">
        <f t="shared" si="25"/>
        <v>42564</v>
      </c>
    </row>
    <row r="784" spans="1:16" x14ac:dyDescent="0.25">
      <c r="A784" s="26">
        <v>42564.641759259262</v>
      </c>
      <c r="B784" s="51" t="s">
        <v>132</v>
      </c>
      <c r="C784" s="4" t="s">
        <v>447</v>
      </c>
      <c r="D784" s="4" t="s">
        <v>103</v>
      </c>
      <c r="E784" s="51" t="s">
        <v>115</v>
      </c>
      <c r="F784" s="3">
        <v>200</v>
      </c>
      <c r="G784" s="3">
        <v>178</v>
      </c>
      <c r="H784" s="3">
        <v>30708</v>
      </c>
      <c r="I784" s="51" t="s">
        <v>105</v>
      </c>
      <c r="J784" s="3">
        <v>30562</v>
      </c>
      <c r="K784" s="4" t="s">
        <v>106</v>
      </c>
      <c r="L784" s="56" t="s">
        <v>404</v>
      </c>
      <c r="M784" s="20" t="s">
        <v>112</v>
      </c>
      <c r="N784" s="19"/>
      <c r="O784" s="19" t="str">
        <f t="shared" si="24"/>
        <v>13</v>
      </c>
      <c r="P784" s="64">
        <f t="shared" si="25"/>
        <v>42564</v>
      </c>
    </row>
    <row r="785" spans="1:16" x14ac:dyDescent="0.25">
      <c r="A785" s="26">
        <v>42564.405497685184</v>
      </c>
      <c r="B785" s="51" t="s">
        <v>132</v>
      </c>
      <c r="C785" s="4" t="s">
        <v>1201</v>
      </c>
      <c r="D785" s="4" t="s">
        <v>103</v>
      </c>
      <c r="E785" s="51" t="s">
        <v>115</v>
      </c>
      <c r="F785" s="3">
        <v>450</v>
      </c>
      <c r="G785" s="3">
        <v>497</v>
      </c>
      <c r="H785" s="3">
        <v>110646</v>
      </c>
      <c r="I785" s="51" t="s">
        <v>105</v>
      </c>
      <c r="J785" s="3">
        <v>110617</v>
      </c>
      <c r="K785" s="4" t="s">
        <v>106</v>
      </c>
      <c r="L785" s="56" t="s">
        <v>453</v>
      </c>
      <c r="M785" s="20" t="s">
        <v>112</v>
      </c>
      <c r="N785" s="19"/>
      <c r="O785" s="19" t="str">
        <f t="shared" si="24"/>
        <v>13</v>
      </c>
      <c r="P785" s="64">
        <f t="shared" si="25"/>
        <v>42564</v>
      </c>
    </row>
    <row r="786" spans="1:16" x14ac:dyDescent="0.25">
      <c r="A786" s="26">
        <v>42564.305810185186</v>
      </c>
      <c r="B786" s="51" t="s">
        <v>139</v>
      </c>
      <c r="C786" s="4" t="s">
        <v>178</v>
      </c>
      <c r="D786" s="4" t="s">
        <v>103</v>
      </c>
      <c r="E786" s="51" t="s">
        <v>115</v>
      </c>
      <c r="F786" s="3">
        <v>450</v>
      </c>
      <c r="G786" s="3">
        <v>643</v>
      </c>
      <c r="H786" s="3">
        <v>159111</v>
      </c>
      <c r="I786" s="51" t="s">
        <v>105</v>
      </c>
      <c r="J786" s="3">
        <v>156300</v>
      </c>
      <c r="K786" s="4" t="s">
        <v>106</v>
      </c>
      <c r="L786" s="56" t="s">
        <v>444</v>
      </c>
      <c r="M786" s="20" t="s">
        <v>112</v>
      </c>
      <c r="N786" s="19"/>
      <c r="O786" s="19" t="str">
        <f t="shared" si="24"/>
        <v>13</v>
      </c>
      <c r="P786" s="64">
        <f t="shared" si="25"/>
        <v>42564</v>
      </c>
    </row>
    <row r="787" spans="1:16" x14ac:dyDescent="0.25">
      <c r="A787" s="26">
        <v>42564.556111111109</v>
      </c>
      <c r="B787" s="51" t="s">
        <v>143</v>
      </c>
      <c r="C787" s="4" t="s">
        <v>1200</v>
      </c>
      <c r="D787" s="4" t="s">
        <v>116</v>
      </c>
      <c r="E787" s="51" t="s">
        <v>115</v>
      </c>
      <c r="F787" s="3">
        <v>700</v>
      </c>
      <c r="G787" s="3">
        <v>751</v>
      </c>
      <c r="H787" s="3">
        <v>179676</v>
      </c>
      <c r="I787" s="51" t="s">
        <v>105</v>
      </c>
      <c r="J787" s="3">
        <v>183829</v>
      </c>
      <c r="K787" s="4" t="s">
        <v>106</v>
      </c>
      <c r="L787" s="56" t="s">
        <v>450</v>
      </c>
      <c r="M787" s="20" t="s">
        <v>112</v>
      </c>
      <c r="N787" s="19"/>
      <c r="O787" s="19" t="str">
        <f t="shared" si="24"/>
        <v>13</v>
      </c>
      <c r="P787" s="64">
        <f t="shared" si="25"/>
        <v>42564</v>
      </c>
    </row>
    <row r="788" spans="1:16" x14ac:dyDescent="0.25">
      <c r="A788" s="26">
        <v>42564.743645833332</v>
      </c>
      <c r="B788" s="51" t="s">
        <v>139</v>
      </c>
      <c r="C788" s="4" t="s">
        <v>1202</v>
      </c>
      <c r="D788" s="4" t="s">
        <v>116</v>
      </c>
      <c r="E788" s="51" t="s">
        <v>115</v>
      </c>
      <c r="F788" s="3">
        <v>700</v>
      </c>
      <c r="G788" s="3">
        <v>750</v>
      </c>
      <c r="H788" s="3">
        <v>180549</v>
      </c>
      <c r="I788" s="51" t="s">
        <v>105</v>
      </c>
      <c r="J788" s="3">
        <v>183829</v>
      </c>
      <c r="K788" s="4" t="s">
        <v>106</v>
      </c>
      <c r="L788" s="56" t="s">
        <v>442</v>
      </c>
      <c r="M788" s="20" t="s">
        <v>112</v>
      </c>
      <c r="N788" s="19"/>
      <c r="O788" s="19" t="str">
        <f t="shared" si="24"/>
        <v>13</v>
      </c>
      <c r="P788" s="64">
        <f t="shared" si="25"/>
        <v>42564</v>
      </c>
    </row>
    <row r="789" spans="1:16" x14ac:dyDescent="0.25">
      <c r="A789" s="26">
        <v>42564.803379629629</v>
      </c>
      <c r="B789" s="51" t="s">
        <v>118</v>
      </c>
      <c r="C789" s="4" t="s">
        <v>1203</v>
      </c>
      <c r="D789" s="4" t="s">
        <v>103</v>
      </c>
      <c r="E789" s="51" t="s">
        <v>115</v>
      </c>
      <c r="F789" s="3">
        <v>600</v>
      </c>
      <c r="G789" s="3">
        <v>623</v>
      </c>
      <c r="H789" s="3">
        <v>192897</v>
      </c>
      <c r="I789" s="51" t="s">
        <v>105</v>
      </c>
      <c r="J789" s="3">
        <v>191104</v>
      </c>
      <c r="K789" s="4" t="s">
        <v>106</v>
      </c>
      <c r="L789" s="56" t="s">
        <v>538</v>
      </c>
      <c r="M789" s="20" t="s">
        <v>112</v>
      </c>
      <c r="N789" s="19"/>
      <c r="O789" s="19" t="str">
        <f t="shared" si="24"/>
        <v>13</v>
      </c>
      <c r="P789" s="64">
        <f t="shared" si="25"/>
        <v>42564</v>
      </c>
    </row>
    <row r="790" spans="1:16" x14ac:dyDescent="0.25">
      <c r="A790" s="26">
        <v>42564.418634259258</v>
      </c>
      <c r="B790" s="51" t="s">
        <v>125</v>
      </c>
      <c r="C790" s="4" t="s">
        <v>1204</v>
      </c>
      <c r="D790" s="4" t="s">
        <v>103</v>
      </c>
      <c r="E790" s="51" t="s">
        <v>115</v>
      </c>
      <c r="F790" s="3">
        <v>550</v>
      </c>
      <c r="G790" s="3">
        <v>649</v>
      </c>
      <c r="H790" s="3">
        <v>219923</v>
      </c>
      <c r="I790" s="51" t="s">
        <v>105</v>
      </c>
      <c r="J790" s="3">
        <v>222090</v>
      </c>
      <c r="K790" s="4" t="s">
        <v>111</v>
      </c>
      <c r="L790" s="56" t="s">
        <v>1108</v>
      </c>
      <c r="M790" s="20" t="s">
        <v>112</v>
      </c>
      <c r="N790" s="19"/>
      <c r="O790" s="19" t="str">
        <f t="shared" si="24"/>
        <v>13</v>
      </c>
      <c r="P790" s="64">
        <f t="shared" si="25"/>
        <v>42564</v>
      </c>
    </row>
    <row r="791" spans="1:16" x14ac:dyDescent="0.25">
      <c r="A791" s="26">
        <v>42564.324907407405</v>
      </c>
      <c r="B791" s="51" t="s">
        <v>114</v>
      </c>
      <c r="C791" s="4" t="s">
        <v>315</v>
      </c>
      <c r="D791" s="4" t="s">
        <v>103</v>
      </c>
      <c r="E791" s="51" t="s">
        <v>115</v>
      </c>
      <c r="F791" s="3">
        <v>350</v>
      </c>
      <c r="G791" s="3">
        <v>389</v>
      </c>
      <c r="H791" s="3">
        <v>223891</v>
      </c>
      <c r="I791" s="51" t="s">
        <v>105</v>
      </c>
      <c r="J791" s="3">
        <v>224578</v>
      </c>
      <c r="K791" s="4" t="s">
        <v>111</v>
      </c>
      <c r="L791" s="56" t="s">
        <v>418</v>
      </c>
      <c r="M791" s="20" t="s">
        <v>112</v>
      </c>
      <c r="N791" s="19"/>
      <c r="O791" s="19" t="str">
        <f t="shared" si="24"/>
        <v>13</v>
      </c>
      <c r="P791" s="64">
        <f t="shared" si="25"/>
        <v>42564</v>
      </c>
    </row>
    <row r="792" spans="1:16" x14ac:dyDescent="0.25">
      <c r="A792" s="26">
        <v>42564.738680555558</v>
      </c>
      <c r="B792" s="51" t="s">
        <v>139</v>
      </c>
      <c r="C792" s="4" t="s">
        <v>1202</v>
      </c>
      <c r="D792" s="4" t="s">
        <v>116</v>
      </c>
      <c r="E792" s="51" t="s">
        <v>115</v>
      </c>
      <c r="F792" s="3">
        <v>350</v>
      </c>
      <c r="G792" s="3">
        <v>400</v>
      </c>
      <c r="H792" s="3">
        <v>225994</v>
      </c>
      <c r="I792" s="51" t="s">
        <v>105</v>
      </c>
      <c r="J792" s="3">
        <v>228668</v>
      </c>
      <c r="K792" s="4" t="s">
        <v>106</v>
      </c>
      <c r="L792" s="56" t="s">
        <v>442</v>
      </c>
      <c r="M792" s="20" t="s">
        <v>112</v>
      </c>
      <c r="N792" s="19"/>
      <c r="O792" s="19" t="str">
        <f t="shared" si="24"/>
        <v>13</v>
      </c>
      <c r="P792" s="64">
        <f t="shared" si="25"/>
        <v>42564</v>
      </c>
    </row>
    <row r="793" spans="1:16" x14ac:dyDescent="0.25">
      <c r="A793" s="26">
        <v>42564.935868055552</v>
      </c>
      <c r="B793" s="51" t="s">
        <v>102</v>
      </c>
      <c r="C793" s="4" t="s">
        <v>177</v>
      </c>
      <c r="D793" s="4" t="s">
        <v>103</v>
      </c>
      <c r="E793" s="51" t="s">
        <v>115</v>
      </c>
      <c r="F793" s="3">
        <v>150</v>
      </c>
      <c r="G793" s="3">
        <v>183</v>
      </c>
      <c r="H793" s="3">
        <v>229355</v>
      </c>
      <c r="I793" s="51" t="s">
        <v>105</v>
      </c>
      <c r="J793" s="3">
        <v>229055</v>
      </c>
      <c r="K793" s="4" t="s">
        <v>106</v>
      </c>
      <c r="L793" s="56" t="s">
        <v>434</v>
      </c>
      <c r="M793" s="20" t="s">
        <v>112</v>
      </c>
      <c r="N793" s="19"/>
      <c r="O793" s="19" t="str">
        <f t="shared" si="24"/>
        <v>13</v>
      </c>
      <c r="P793" s="64">
        <f t="shared" si="25"/>
        <v>42564</v>
      </c>
    </row>
    <row r="794" spans="1:16" x14ac:dyDescent="0.25">
      <c r="A794" s="26">
        <v>42565.04011574074</v>
      </c>
      <c r="B794" s="51" t="s">
        <v>118</v>
      </c>
      <c r="C794" s="4" t="s">
        <v>313</v>
      </c>
      <c r="D794" s="4" t="s">
        <v>103</v>
      </c>
      <c r="E794" s="51" t="s">
        <v>115</v>
      </c>
      <c r="F794" s="3">
        <v>150</v>
      </c>
      <c r="G794" s="3">
        <v>197</v>
      </c>
      <c r="H794" s="3">
        <v>229395</v>
      </c>
      <c r="I794" s="51" t="s">
        <v>105</v>
      </c>
      <c r="J794" s="3">
        <v>229055</v>
      </c>
      <c r="K794" s="4" t="s">
        <v>106</v>
      </c>
      <c r="L794" s="56" t="s">
        <v>538</v>
      </c>
      <c r="M794" s="20" t="s">
        <v>112</v>
      </c>
      <c r="N794" s="19"/>
      <c r="O794" s="19" t="str">
        <f t="shared" si="24"/>
        <v>13</v>
      </c>
      <c r="P794" s="64">
        <f t="shared" si="25"/>
        <v>42564</v>
      </c>
    </row>
    <row r="795" spans="1:16" x14ac:dyDescent="0.25">
      <c r="A795" s="26">
        <v>42564.544317129628</v>
      </c>
      <c r="B795" s="51" t="s">
        <v>114</v>
      </c>
      <c r="C795" s="4" t="s">
        <v>179</v>
      </c>
      <c r="D795" s="4" t="s">
        <v>103</v>
      </c>
      <c r="E795" s="51" t="s">
        <v>115</v>
      </c>
      <c r="F795" s="3">
        <v>150</v>
      </c>
      <c r="G795" s="3">
        <v>224</v>
      </c>
      <c r="H795" s="3">
        <v>229705</v>
      </c>
      <c r="I795" s="51" t="s">
        <v>105</v>
      </c>
      <c r="J795" s="3">
        <v>230436</v>
      </c>
      <c r="K795" s="4" t="s">
        <v>111</v>
      </c>
      <c r="L795" s="56" t="s">
        <v>440</v>
      </c>
      <c r="M795" s="20" t="s">
        <v>112</v>
      </c>
      <c r="N795" s="19"/>
      <c r="O795" s="19" t="str">
        <f t="shared" si="24"/>
        <v>13</v>
      </c>
      <c r="P795" s="64">
        <f t="shared" si="25"/>
        <v>42564</v>
      </c>
    </row>
    <row r="796" spans="1:16" x14ac:dyDescent="0.25">
      <c r="A796" s="26">
        <v>42564.607372685183</v>
      </c>
      <c r="B796" s="51" t="s">
        <v>135</v>
      </c>
      <c r="C796" s="4" t="s">
        <v>1205</v>
      </c>
      <c r="D796" s="4" t="s">
        <v>103</v>
      </c>
      <c r="E796" s="51" t="s">
        <v>115</v>
      </c>
      <c r="F796" s="3">
        <v>150</v>
      </c>
      <c r="G796" s="3">
        <v>154</v>
      </c>
      <c r="H796" s="3">
        <v>229838</v>
      </c>
      <c r="I796" s="51" t="s">
        <v>105</v>
      </c>
      <c r="J796" s="3">
        <v>230436</v>
      </c>
      <c r="K796" s="4" t="s">
        <v>111</v>
      </c>
      <c r="L796" s="56" t="s">
        <v>450</v>
      </c>
      <c r="M796" s="20" t="s">
        <v>112</v>
      </c>
      <c r="N796" s="19"/>
      <c r="O796" s="19" t="str">
        <f t="shared" si="24"/>
        <v>13</v>
      </c>
      <c r="P796" s="64">
        <f t="shared" si="25"/>
        <v>42564</v>
      </c>
    </row>
    <row r="797" spans="1:16" x14ac:dyDescent="0.25">
      <c r="A797" s="26">
        <v>42564.330868055556</v>
      </c>
      <c r="B797" s="51" t="s">
        <v>143</v>
      </c>
      <c r="C797" s="4" t="s">
        <v>314</v>
      </c>
      <c r="D797" s="4" t="s">
        <v>116</v>
      </c>
      <c r="E797" s="51" t="s">
        <v>115</v>
      </c>
      <c r="F797" s="3">
        <v>150</v>
      </c>
      <c r="G797" s="3">
        <v>202</v>
      </c>
      <c r="H797" s="3">
        <v>232420</v>
      </c>
      <c r="I797" s="51" t="s">
        <v>105</v>
      </c>
      <c r="J797" s="3">
        <v>233492</v>
      </c>
      <c r="K797" s="4" t="s">
        <v>106</v>
      </c>
      <c r="L797" s="56" t="s">
        <v>463</v>
      </c>
      <c r="M797" s="20" t="s">
        <v>112</v>
      </c>
      <c r="N797" s="19"/>
      <c r="O797" s="19" t="str">
        <f t="shared" si="24"/>
        <v>13</v>
      </c>
      <c r="P797" s="64">
        <f t="shared" si="25"/>
        <v>42564</v>
      </c>
    </row>
    <row r="798" spans="1:16" x14ac:dyDescent="0.25">
      <c r="A798" s="26">
        <v>42564.745208333334</v>
      </c>
      <c r="B798" s="51" t="s">
        <v>114</v>
      </c>
      <c r="C798" s="4" t="s">
        <v>452</v>
      </c>
      <c r="D798" s="4" t="s">
        <v>103</v>
      </c>
      <c r="E798" s="51" t="s">
        <v>122</v>
      </c>
      <c r="F798" s="3">
        <v>0</v>
      </c>
      <c r="G798" s="3">
        <v>176</v>
      </c>
      <c r="H798" s="3">
        <v>19878</v>
      </c>
      <c r="I798" s="51" t="s">
        <v>123</v>
      </c>
      <c r="J798" s="3">
        <v>20617</v>
      </c>
      <c r="K798" s="4" t="s">
        <v>111</v>
      </c>
      <c r="L798" s="56" t="s">
        <v>434</v>
      </c>
      <c r="M798" s="20" t="s">
        <v>112</v>
      </c>
      <c r="N798" s="19" t="s">
        <v>1206</v>
      </c>
      <c r="O798" s="19" t="str">
        <f t="shared" si="24"/>
        <v>13</v>
      </c>
      <c r="P798" s="64">
        <f t="shared" si="25"/>
        <v>42564</v>
      </c>
    </row>
    <row r="799" spans="1:16" x14ac:dyDescent="0.25">
      <c r="A799" s="26">
        <v>42564.758287037039</v>
      </c>
      <c r="B799" s="51" t="s">
        <v>114</v>
      </c>
      <c r="C799" s="4" t="s">
        <v>452</v>
      </c>
      <c r="D799" s="4" t="s">
        <v>116</v>
      </c>
      <c r="E799" s="51" t="s">
        <v>122</v>
      </c>
      <c r="F799" s="3">
        <v>200</v>
      </c>
      <c r="G799" s="3">
        <v>254</v>
      </c>
      <c r="H799" s="3">
        <v>130925</v>
      </c>
      <c r="I799" s="51" t="s">
        <v>123</v>
      </c>
      <c r="J799" s="3">
        <v>126585</v>
      </c>
      <c r="K799" s="4" t="s">
        <v>111</v>
      </c>
      <c r="L799" s="56" t="s">
        <v>434</v>
      </c>
      <c r="M799" s="20" t="s">
        <v>112</v>
      </c>
      <c r="N799" s="19" t="s">
        <v>175</v>
      </c>
      <c r="O799" s="19" t="str">
        <f t="shared" si="24"/>
        <v>13</v>
      </c>
      <c r="P799" s="64">
        <f t="shared" si="25"/>
        <v>42564</v>
      </c>
    </row>
    <row r="800" spans="1:16" x14ac:dyDescent="0.25">
      <c r="A800" s="26">
        <v>42564.591006944444</v>
      </c>
      <c r="B800" s="51" t="s">
        <v>118</v>
      </c>
      <c r="C800" s="4" t="s">
        <v>1207</v>
      </c>
      <c r="D800" s="4" t="s">
        <v>103</v>
      </c>
      <c r="E800" s="51" t="s">
        <v>122</v>
      </c>
      <c r="F800" s="3">
        <v>0</v>
      </c>
      <c r="G800" s="3">
        <v>131</v>
      </c>
      <c r="H800" s="3">
        <v>128063</v>
      </c>
      <c r="I800" s="51" t="s">
        <v>123</v>
      </c>
      <c r="J800" s="3">
        <v>127587</v>
      </c>
      <c r="K800" s="4" t="s">
        <v>106</v>
      </c>
      <c r="L800" s="56" t="s">
        <v>423</v>
      </c>
      <c r="M800" s="20" t="s">
        <v>112</v>
      </c>
      <c r="N800" s="19" t="s">
        <v>1182</v>
      </c>
      <c r="O800" s="19" t="str">
        <f t="shared" si="24"/>
        <v>13</v>
      </c>
      <c r="P800" s="64">
        <f t="shared" si="25"/>
        <v>42564</v>
      </c>
    </row>
    <row r="801" spans="1:16" x14ac:dyDescent="0.25">
      <c r="A801" s="26">
        <v>42564.591643518521</v>
      </c>
      <c r="B801" s="51" t="s">
        <v>118</v>
      </c>
      <c r="C801" s="4" t="s">
        <v>1207</v>
      </c>
      <c r="D801" s="4" t="s">
        <v>103</v>
      </c>
      <c r="E801" s="51" t="s">
        <v>122</v>
      </c>
      <c r="F801" s="3">
        <v>0</v>
      </c>
      <c r="G801" s="3">
        <v>46</v>
      </c>
      <c r="H801" s="3">
        <v>127901</v>
      </c>
      <c r="I801" s="51" t="s">
        <v>123</v>
      </c>
      <c r="J801" s="3">
        <v>127587</v>
      </c>
      <c r="K801" s="4" t="s">
        <v>106</v>
      </c>
      <c r="L801" s="56" t="s">
        <v>423</v>
      </c>
      <c r="M801" s="20" t="s">
        <v>112</v>
      </c>
      <c r="N801" s="19" t="s">
        <v>1182</v>
      </c>
      <c r="O801" s="19" t="str">
        <f t="shared" si="24"/>
        <v>13</v>
      </c>
      <c r="P801" s="64">
        <f t="shared" si="25"/>
        <v>42564</v>
      </c>
    </row>
    <row r="802" spans="1:16" x14ac:dyDescent="0.25">
      <c r="A802" s="26">
        <v>42564.757013888891</v>
      </c>
      <c r="B802" s="51" t="s">
        <v>141</v>
      </c>
      <c r="C802" s="4" t="s">
        <v>1208</v>
      </c>
      <c r="D802" s="4" t="s">
        <v>103</v>
      </c>
      <c r="E802" s="51" t="s">
        <v>122</v>
      </c>
      <c r="F802" s="3">
        <v>0</v>
      </c>
      <c r="G802" s="3">
        <v>419</v>
      </c>
      <c r="H802" s="3">
        <v>129513</v>
      </c>
      <c r="I802" s="51" t="s">
        <v>123</v>
      </c>
      <c r="J802" s="3">
        <v>127587</v>
      </c>
      <c r="K802" s="4" t="s">
        <v>106</v>
      </c>
      <c r="L802" s="56" t="s">
        <v>413</v>
      </c>
      <c r="M802" s="20" t="s">
        <v>112</v>
      </c>
      <c r="N802" s="19" t="s">
        <v>1182</v>
      </c>
      <c r="O802" s="19" t="str">
        <f t="shared" si="24"/>
        <v>13</v>
      </c>
      <c r="P802" s="64">
        <f t="shared" si="25"/>
        <v>42564</v>
      </c>
    </row>
    <row r="803" spans="1:16" x14ac:dyDescent="0.25">
      <c r="A803" s="26">
        <v>42564.501458333332</v>
      </c>
      <c r="B803" s="51" t="s">
        <v>124</v>
      </c>
      <c r="C803" s="4" t="s">
        <v>1196</v>
      </c>
      <c r="D803" s="4" t="s">
        <v>103</v>
      </c>
      <c r="E803" s="51" t="s">
        <v>122</v>
      </c>
      <c r="F803" s="3">
        <v>0</v>
      </c>
      <c r="G803" s="3">
        <v>491</v>
      </c>
      <c r="H803" s="3">
        <v>193762</v>
      </c>
      <c r="I803" s="51" t="s">
        <v>123</v>
      </c>
      <c r="J803" s="3">
        <v>191723</v>
      </c>
      <c r="K803" s="4" t="s">
        <v>106</v>
      </c>
      <c r="L803" s="56" t="s">
        <v>425</v>
      </c>
      <c r="M803" s="20" t="s">
        <v>107</v>
      </c>
      <c r="N803" s="19" t="s">
        <v>1209</v>
      </c>
      <c r="O803" s="19" t="str">
        <f t="shared" si="24"/>
        <v>13</v>
      </c>
      <c r="P803" s="64">
        <f t="shared" si="25"/>
        <v>42564</v>
      </c>
    </row>
    <row r="804" spans="1:16" x14ac:dyDescent="0.25">
      <c r="A804" s="26">
        <v>42564.4687962963</v>
      </c>
      <c r="B804" s="51" t="s">
        <v>132</v>
      </c>
      <c r="C804" s="4" t="s">
        <v>1195</v>
      </c>
      <c r="D804" s="4" t="s">
        <v>103</v>
      </c>
      <c r="E804" s="51" t="s">
        <v>122</v>
      </c>
      <c r="F804" s="3">
        <v>0</v>
      </c>
      <c r="G804" s="3">
        <v>45</v>
      </c>
      <c r="H804" s="3">
        <v>231510</v>
      </c>
      <c r="I804" s="51" t="s">
        <v>123</v>
      </c>
      <c r="J804" s="3">
        <v>231147</v>
      </c>
      <c r="K804" s="4" t="s">
        <v>106</v>
      </c>
      <c r="L804" s="56" t="s">
        <v>453</v>
      </c>
      <c r="M804" s="20" t="s">
        <v>107</v>
      </c>
      <c r="N804" s="19" t="s">
        <v>448</v>
      </c>
      <c r="O804" s="19" t="str">
        <f t="shared" si="24"/>
        <v>13</v>
      </c>
      <c r="P804" s="64">
        <f t="shared" si="25"/>
        <v>42564</v>
      </c>
    </row>
    <row r="805" spans="1:16" x14ac:dyDescent="0.25">
      <c r="A805" s="26">
        <v>42564.550856481481</v>
      </c>
      <c r="B805" s="51" t="s">
        <v>143</v>
      </c>
      <c r="C805" s="4" t="s">
        <v>1200</v>
      </c>
      <c r="D805" s="4" t="s">
        <v>103</v>
      </c>
      <c r="E805" s="51" t="s">
        <v>122</v>
      </c>
      <c r="F805" s="3">
        <v>0</v>
      </c>
      <c r="G805" s="3">
        <v>151</v>
      </c>
      <c r="H805" s="3">
        <v>231888</v>
      </c>
      <c r="I805" s="51" t="s">
        <v>123</v>
      </c>
      <c r="J805" s="3">
        <v>231147</v>
      </c>
      <c r="K805" s="4" t="s">
        <v>106</v>
      </c>
      <c r="L805" s="56" t="s">
        <v>450</v>
      </c>
      <c r="M805" s="20" t="s">
        <v>107</v>
      </c>
      <c r="N805" s="19" t="s">
        <v>448</v>
      </c>
      <c r="O805" s="19" t="str">
        <f t="shared" si="24"/>
        <v>13</v>
      </c>
      <c r="P805" s="64">
        <f t="shared" si="25"/>
        <v>42564</v>
      </c>
    </row>
    <row r="806" spans="1:16" x14ac:dyDescent="0.25">
      <c r="A806" s="26">
        <v>42564.445798611108</v>
      </c>
      <c r="B806" s="51" t="s">
        <v>139</v>
      </c>
      <c r="C806" s="4" t="s">
        <v>1210</v>
      </c>
      <c r="D806" s="4" t="s">
        <v>103</v>
      </c>
      <c r="E806" s="51" t="s">
        <v>127</v>
      </c>
      <c r="F806" s="3">
        <v>0</v>
      </c>
      <c r="G806" s="3">
        <v>143</v>
      </c>
      <c r="H806" s="3">
        <v>231679</v>
      </c>
      <c r="I806" s="51" t="s">
        <v>128</v>
      </c>
      <c r="J806" s="3">
        <v>231147</v>
      </c>
      <c r="K806" s="4" t="s">
        <v>106</v>
      </c>
      <c r="L806" s="56" t="s">
        <v>444</v>
      </c>
      <c r="M806" s="20" t="s">
        <v>107</v>
      </c>
      <c r="N806" s="19" t="s">
        <v>448</v>
      </c>
      <c r="O806" s="19" t="str">
        <f t="shared" si="24"/>
        <v>13</v>
      </c>
      <c r="P806" s="64">
        <f t="shared" si="25"/>
        <v>42564</v>
      </c>
    </row>
    <row r="807" spans="1:16" x14ac:dyDescent="0.25">
      <c r="A807" s="26">
        <v>42564.468344907407</v>
      </c>
      <c r="B807" s="51" t="s">
        <v>132</v>
      </c>
      <c r="C807" s="4" t="s">
        <v>1195</v>
      </c>
      <c r="D807" s="4" t="s">
        <v>103</v>
      </c>
      <c r="E807" s="51" t="s">
        <v>127</v>
      </c>
      <c r="F807" s="3">
        <v>0</v>
      </c>
      <c r="G807" s="3">
        <v>134</v>
      </c>
      <c r="H807" s="3">
        <v>231729</v>
      </c>
      <c r="I807" s="51" t="s">
        <v>128</v>
      </c>
      <c r="J807" s="3">
        <v>231147</v>
      </c>
      <c r="K807" s="4" t="s">
        <v>106</v>
      </c>
      <c r="L807" s="56" t="s">
        <v>453</v>
      </c>
      <c r="M807" s="20" t="s">
        <v>107</v>
      </c>
      <c r="N807" s="19" t="s">
        <v>448</v>
      </c>
      <c r="O807" s="19" t="str">
        <f t="shared" si="24"/>
        <v>13</v>
      </c>
      <c r="P807" s="64">
        <f t="shared" si="25"/>
        <v>42564</v>
      </c>
    </row>
    <row r="808" spans="1:16" x14ac:dyDescent="0.25">
      <c r="A808" s="26">
        <v>42564.591458333336</v>
      </c>
      <c r="B808" s="51" t="s">
        <v>139</v>
      </c>
      <c r="C808" s="4" t="s">
        <v>1211</v>
      </c>
      <c r="D808" s="4" t="s">
        <v>103</v>
      </c>
      <c r="E808" s="51" t="s">
        <v>127</v>
      </c>
      <c r="F808" s="3">
        <v>0</v>
      </c>
      <c r="G808" s="3">
        <v>154</v>
      </c>
      <c r="H808" s="3">
        <v>231974</v>
      </c>
      <c r="I808" s="51" t="s">
        <v>128</v>
      </c>
      <c r="J808" s="3">
        <v>231147</v>
      </c>
      <c r="K808" s="4" t="s">
        <v>106</v>
      </c>
      <c r="L808" s="56" t="s">
        <v>442</v>
      </c>
      <c r="M808" s="20" t="s">
        <v>107</v>
      </c>
      <c r="N808" s="19" t="s">
        <v>448</v>
      </c>
      <c r="O808" s="19" t="str">
        <f t="shared" si="24"/>
        <v>13</v>
      </c>
      <c r="P808" s="64">
        <f t="shared" si="25"/>
        <v>42564</v>
      </c>
    </row>
    <row r="809" spans="1:16" x14ac:dyDescent="0.25">
      <c r="A809" s="26">
        <v>42564.71670138889</v>
      </c>
      <c r="B809" s="51" t="s">
        <v>124</v>
      </c>
      <c r="C809" s="4" t="s">
        <v>1212</v>
      </c>
      <c r="D809" s="4" t="s">
        <v>103</v>
      </c>
      <c r="E809" s="51" t="s">
        <v>127</v>
      </c>
      <c r="F809" s="3">
        <v>0</v>
      </c>
      <c r="G809" s="3">
        <v>123</v>
      </c>
      <c r="H809" s="3">
        <v>231610</v>
      </c>
      <c r="I809" s="51" t="s">
        <v>128</v>
      </c>
      <c r="J809" s="3">
        <v>231147</v>
      </c>
      <c r="K809" s="4" t="s">
        <v>106</v>
      </c>
      <c r="L809" s="56" t="s">
        <v>425</v>
      </c>
      <c r="M809" s="20" t="s">
        <v>107</v>
      </c>
      <c r="N809" s="19" t="s">
        <v>448</v>
      </c>
      <c r="O809" s="19" t="str">
        <f t="shared" si="24"/>
        <v>13</v>
      </c>
      <c r="P809" s="64">
        <f t="shared" si="25"/>
        <v>42564</v>
      </c>
    </row>
    <row r="810" spans="1:16" x14ac:dyDescent="0.25">
      <c r="A810" s="26">
        <v>42564.24795138889</v>
      </c>
      <c r="B810" s="51" t="s">
        <v>132</v>
      </c>
      <c r="C810" s="4" t="s">
        <v>1213</v>
      </c>
      <c r="D810" s="4" t="s">
        <v>103</v>
      </c>
      <c r="E810" s="51" t="s">
        <v>127</v>
      </c>
      <c r="F810" s="3">
        <v>0</v>
      </c>
      <c r="G810" s="3">
        <v>155</v>
      </c>
      <c r="H810" s="3">
        <v>232262</v>
      </c>
      <c r="I810" s="51" t="s">
        <v>128</v>
      </c>
      <c r="J810" s="3">
        <v>231650</v>
      </c>
      <c r="K810" s="4" t="s">
        <v>106</v>
      </c>
      <c r="L810" s="56" t="s">
        <v>453</v>
      </c>
      <c r="M810" s="20" t="s">
        <v>107</v>
      </c>
      <c r="N810" s="19" t="s">
        <v>448</v>
      </c>
      <c r="O810" s="19" t="str">
        <f t="shared" si="24"/>
        <v>13</v>
      </c>
      <c r="P810" s="64">
        <f t="shared" si="25"/>
        <v>42564</v>
      </c>
    </row>
    <row r="811" spans="1:16" x14ac:dyDescent="0.25">
      <c r="A811" s="26">
        <v>42564.435763888891</v>
      </c>
      <c r="B811" s="51" t="s">
        <v>118</v>
      </c>
      <c r="C811" s="4" t="s">
        <v>1214</v>
      </c>
      <c r="D811" s="4" t="s">
        <v>116</v>
      </c>
      <c r="E811" s="51" t="s">
        <v>127</v>
      </c>
      <c r="F811" s="3">
        <v>0</v>
      </c>
      <c r="G811" s="3">
        <v>168</v>
      </c>
      <c r="H811" s="3">
        <v>231223</v>
      </c>
      <c r="I811" s="51" t="s">
        <v>128</v>
      </c>
      <c r="J811" s="3">
        <v>231650</v>
      </c>
      <c r="K811" s="4" t="s">
        <v>106</v>
      </c>
      <c r="L811" s="56" t="s">
        <v>1108</v>
      </c>
      <c r="M811" s="20" t="s">
        <v>107</v>
      </c>
      <c r="N811" s="19" t="s">
        <v>448</v>
      </c>
      <c r="O811" s="19" t="str">
        <f t="shared" si="24"/>
        <v>13</v>
      </c>
      <c r="P811" s="64">
        <f t="shared" si="25"/>
        <v>42564</v>
      </c>
    </row>
    <row r="812" spans="1:16" x14ac:dyDescent="0.25">
      <c r="A812" s="26">
        <v>42564.497685185182</v>
      </c>
      <c r="B812" s="51" t="s">
        <v>124</v>
      </c>
      <c r="C812" s="4" t="s">
        <v>1196</v>
      </c>
      <c r="D812" s="4" t="s">
        <v>103</v>
      </c>
      <c r="E812" s="51" t="s">
        <v>127</v>
      </c>
      <c r="F812" s="3">
        <v>0</v>
      </c>
      <c r="G812" s="3">
        <v>152</v>
      </c>
      <c r="H812" s="3">
        <v>232103</v>
      </c>
      <c r="I812" s="51" t="s">
        <v>128</v>
      </c>
      <c r="J812" s="3">
        <v>231650</v>
      </c>
      <c r="K812" s="4" t="s">
        <v>106</v>
      </c>
      <c r="L812" s="56" t="s">
        <v>425</v>
      </c>
      <c r="M812" s="20" t="s">
        <v>107</v>
      </c>
      <c r="N812" s="19" t="s">
        <v>448</v>
      </c>
      <c r="O812" s="19" t="str">
        <f t="shared" si="24"/>
        <v>13</v>
      </c>
      <c r="P812" s="64">
        <f t="shared" si="25"/>
        <v>42564</v>
      </c>
    </row>
    <row r="813" spans="1:16" x14ac:dyDescent="0.25">
      <c r="A813" s="26">
        <v>42564.221724537034</v>
      </c>
      <c r="B813" s="51" t="s">
        <v>124</v>
      </c>
      <c r="C813" s="4" t="s">
        <v>1215</v>
      </c>
      <c r="D813" s="4" t="s">
        <v>103</v>
      </c>
      <c r="E813" s="51" t="s">
        <v>129</v>
      </c>
      <c r="F813" s="3">
        <v>0</v>
      </c>
      <c r="G813" s="3">
        <v>28</v>
      </c>
      <c r="H813" s="3">
        <v>70</v>
      </c>
      <c r="I813" s="51" t="s">
        <v>130</v>
      </c>
      <c r="J813" s="3">
        <v>1</v>
      </c>
      <c r="K813" s="4" t="s">
        <v>106</v>
      </c>
      <c r="L813" s="56" t="s">
        <v>400</v>
      </c>
      <c r="M813" s="20" t="s">
        <v>112</v>
      </c>
      <c r="N813" s="19"/>
      <c r="O813" s="19" t="str">
        <f t="shared" si="24"/>
        <v>13</v>
      </c>
      <c r="P813" s="64">
        <f t="shared" si="25"/>
        <v>42564</v>
      </c>
    </row>
    <row r="814" spans="1:16" x14ac:dyDescent="0.25">
      <c r="A814" s="26">
        <v>42564.304305555554</v>
      </c>
      <c r="B814" s="51" t="s">
        <v>124</v>
      </c>
      <c r="C814" s="4" t="s">
        <v>1216</v>
      </c>
      <c r="D814" s="4" t="s">
        <v>103</v>
      </c>
      <c r="E814" s="51" t="s">
        <v>129</v>
      </c>
      <c r="F814" s="3">
        <v>0</v>
      </c>
      <c r="G814" s="3">
        <v>49</v>
      </c>
      <c r="H814" s="3">
        <v>147</v>
      </c>
      <c r="I814" s="51" t="s">
        <v>130</v>
      </c>
      <c r="J814" s="3">
        <v>1</v>
      </c>
      <c r="K814" s="4" t="s">
        <v>106</v>
      </c>
      <c r="L814" s="56" t="s">
        <v>400</v>
      </c>
      <c r="M814" s="20" t="s">
        <v>112</v>
      </c>
      <c r="N814" s="19"/>
      <c r="O814" s="19" t="str">
        <f t="shared" si="24"/>
        <v>13</v>
      </c>
      <c r="P814" s="64">
        <f t="shared" si="25"/>
        <v>42564</v>
      </c>
    </row>
    <row r="815" spans="1:16" x14ac:dyDescent="0.25">
      <c r="A815" s="26">
        <v>42564.387314814812</v>
      </c>
      <c r="B815" s="51" t="s">
        <v>118</v>
      </c>
      <c r="C815" s="4" t="s">
        <v>1217</v>
      </c>
      <c r="D815" s="4" t="s">
        <v>103</v>
      </c>
      <c r="E815" s="51" t="s">
        <v>129</v>
      </c>
      <c r="F815" s="3">
        <v>0</v>
      </c>
      <c r="G815" s="3">
        <v>48</v>
      </c>
      <c r="H815" s="3">
        <v>158</v>
      </c>
      <c r="I815" s="51" t="s">
        <v>130</v>
      </c>
      <c r="J815" s="3">
        <v>1</v>
      </c>
      <c r="K815" s="4" t="s">
        <v>106</v>
      </c>
      <c r="L815" s="56" t="s">
        <v>1108</v>
      </c>
      <c r="M815" s="20" t="s">
        <v>112</v>
      </c>
      <c r="N815" s="19"/>
      <c r="O815" s="19" t="str">
        <f t="shared" si="24"/>
        <v>13</v>
      </c>
      <c r="P815" s="64">
        <f t="shared" si="25"/>
        <v>42564</v>
      </c>
    </row>
    <row r="816" spans="1:16" x14ac:dyDescent="0.25">
      <c r="A816" s="26">
        <v>42564.470856481479</v>
      </c>
      <c r="B816" s="51" t="s">
        <v>139</v>
      </c>
      <c r="C816" s="4" t="s">
        <v>1210</v>
      </c>
      <c r="D816" s="4" t="s">
        <v>103</v>
      </c>
      <c r="E816" s="51" t="s">
        <v>129</v>
      </c>
      <c r="F816" s="3">
        <v>0</v>
      </c>
      <c r="G816" s="3">
        <v>49</v>
      </c>
      <c r="H816" s="3">
        <v>165</v>
      </c>
      <c r="I816" s="51" t="s">
        <v>130</v>
      </c>
      <c r="J816" s="3">
        <v>1</v>
      </c>
      <c r="K816" s="4" t="s">
        <v>106</v>
      </c>
      <c r="L816" s="56" t="s">
        <v>444</v>
      </c>
      <c r="M816" s="20" t="s">
        <v>112</v>
      </c>
      <c r="N816" s="19"/>
      <c r="O816" s="19" t="str">
        <f t="shared" si="24"/>
        <v>13</v>
      </c>
      <c r="P816" s="64">
        <f t="shared" si="25"/>
        <v>42564</v>
      </c>
    </row>
    <row r="817" spans="1:16" x14ac:dyDescent="0.25">
      <c r="A817" s="26">
        <v>42564.48097222222</v>
      </c>
      <c r="B817" s="4" t="s">
        <v>141</v>
      </c>
      <c r="C817" s="4" t="s">
        <v>1218</v>
      </c>
      <c r="D817" s="4" t="s">
        <v>103</v>
      </c>
      <c r="E817" s="4" t="s">
        <v>129</v>
      </c>
      <c r="F817" s="3">
        <v>0</v>
      </c>
      <c r="G817" s="3">
        <v>52</v>
      </c>
      <c r="H817" s="3">
        <v>181</v>
      </c>
      <c r="I817" s="4" t="s">
        <v>130</v>
      </c>
      <c r="J817" s="3">
        <v>1</v>
      </c>
      <c r="K817" s="4" t="s">
        <v>106</v>
      </c>
      <c r="L817" s="56" t="s">
        <v>490</v>
      </c>
      <c r="M817" s="20" t="s">
        <v>112</v>
      </c>
      <c r="N817" s="19"/>
      <c r="O817" s="19" t="str">
        <f t="shared" si="24"/>
        <v>13</v>
      </c>
      <c r="P817" s="64">
        <f t="shared" si="25"/>
        <v>42564</v>
      </c>
    </row>
    <row r="818" spans="1:16" x14ac:dyDescent="0.25">
      <c r="A818" s="26">
        <v>42564.632094907407</v>
      </c>
      <c r="B818" s="51" t="s">
        <v>141</v>
      </c>
      <c r="C818" s="4" t="s">
        <v>176</v>
      </c>
      <c r="D818" s="4" t="s">
        <v>103</v>
      </c>
      <c r="E818" s="51" t="s">
        <v>129</v>
      </c>
      <c r="F818" s="3">
        <v>0</v>
      </c>
      <c r="G818" s="3">
        <v>34</v>
      </c>
      <c r="H818" s="3">
        <v>121</v>
      </c>
      <c r="I818" s="51" t="s">
        <v>130</v>
      </c>
      <c r="J818" s="3">
        <v>1</v>
      </c>
      <c r="K818" s="4" t="s">
        <v>106</v>
      </c>
      <c r="L818" s="56" t="s">
        <v>413</v>
      </c>
      <c r="M818" s="20" t="s">
        <v>112</v>
      </c>
      <c r="N818" s="19"/>
      <c r="O818" s="19" t="str">
        <f t="shared" si="24"/>
        <v>13</v>
      </c>
      <c r="P818" s="64">
        <f t="shared" si="25"/>
        <v>42564</v>
      </c>
    </row>
    <row r="819" spans="1:16" x14ac:dyDescent="0.25">
      <c r="A819" s="26">
        <v>42564.772627314815</v>
      </c>
      <c r="B819" s="51" t="s">
        <v>141</v>
      </c>
      <c r="C819" s="4" t="s">
        <v>1208</v>
      </c>
      <c r="D819" s="4" t="s">
        <v>103</v>
      </c>
      <c r="E819" s="51" t="s">
        <v>129</v>
      </c>
      <c r="F819" s="3">
        <v>0</v>
      </c>
      <c r="G819" s="3">
        <v>38</v>
      </c>
      <c r="H819" s="3">
        <v>136</v>
      </c>
      <c r="I819" s="51" t="s">
        <v>130</v>
      </c>
      <c r="J819" s="3">
        <v>1</v>
      </c>
      <c r="K819" s="4" t="s">
        <v>106</v>
      </c>
      <c r="L819" s="56" t="s">
        <v>413</v>
      </c>
      <c r="M819" s="20" t="s">
        <v>112</v>
      </c>
      <c r="N819" s="19"/>
      <c r="O819" s="19" t="str">
        <f t="shared" si="24"/>
        <v>13</v>
      </c>
      <c r="P819" s="64">
        <f t="shared" si="25"/>
        <v>42564</v>
      </c>
    </row>
    <row r="820" spans="1:16" x14ac:dyDescent="0.25">
      <c r="A820" s="26">
        <v>42564.880127314813</v>
      </c>
      <c r="B820" s="51" t="s">
        <v>102</v>
      </c>
      <c r="C820" s="4" t="s">
        <v>1219</v>
      </c>
      <c r="D820" s="4" t="s">
        <v>103</v>
      </c>
      <c r="E820" s="51" t="s">
        <v>129</v>
      </c>
      <c r="F820" s="3">
        <v>0</v>
      </c>
      <c r="G820" s="3">
        <v>37</v>
      </c>
      <c r="H820" s="3">
        <v>99</v>
      </c>
      <c r="I820" s="51" t="s">
        <v>130</v>
      </c>
      <c r="J820" s="3">
        <v>1</v>
      </c>
      <c r="K820" s="4" t="s">
        <v>106</v>
      </c>
      <c r="L820" s="56" t="s">
        <v>434</v>
      </c>
      <c r="M820" s="20" t="s">
        <v>112</v>
      </c>
      <c r="N820" s="19"/>
      <c r="O820" s="19" t="str">
        <f t="shared" si="24"/>
        <v>13</v>
      </c>
      <c r="P820" s="64">
        <f t="shared" si="25"/>
        <v>42564</v>
      </c>
    </row>
    <row r="821" spans="1:16" x14ac:dyDescent="0.25">
      <c r="A821" s="26">
        <v>42564.253518518519</v>
      </c>
      <c r="B821" s="51" t="s">
        <v>114</v>
      </c>
      <c r="C821" s="4" t="s">
        <v>1220</v>
      </c>
      <c r="D821" s="4" t="s">
        <v>103</v>
      </c>
      <c r="E821" s="51" t="s">
        <v>129</v>
      </c>
      <c r="F821" s="3">
        <v>0</v>
      </c>
      <c r="G821" s="3">
        <v>134</v>
      </c>
      <c r="H821" s="3">
        <v>232908</v>
      </c>
      <c r="I821" s="51" t="s">
        <v>130</v>
      </c>
      <c r="J821" s="3">
        <v>233491</v>
      </c>
      <c r="K821" s="4" t="s">
        <v>111</v>
      </c>
      <c r="L821" s="56" t="s">
        <v>418</v>
      </c>
      <c r="M821" s="20" t="s">
        <v>112</v>
      </c>
      <c r="N821" s="19"/>
      <c r="O821" s="19" t="str">
        <f t="shared" si="24"/>
        <v>13</v>
      </c>
      <c r="P821" s="64">
        <f t="shared" si="25"/>
        <v>42564</v>
      </c>
    </row>
    <row r="822" spans="1:16" x14ac:dyDescent="0.25">
      <c r="A822" s="26">
        <v>42564.472361111111</v>
      </c>
      <c r="B822" s="51" t="s">
        <v>114</v>
      </c>
      <c r="C822" s="4" t="s">
        <v>311</v>
      </c>
      <c r="D822" s="4" t="s">
        <v>103</v>
      </c>
      <c r="E822" s="51" t="s">
        <v>129</v>
      </c>
      <c r="F822" s="3">
        <v>0</v>
      </c>
      <c r="G822" s="3">
        <v>35</v>
      </c>
      <c r="H822" s="3">
        <v>233387</v>
      </c>
      <c r="I822" s="51" t="s">
        <v>130</v>
      </c>
      <c r="J822" s="3">
        <v>233491</v>
      </c>
      <c r="K822" s="4" t="s">
        <v>111</v>
      </c>
      <c r="L822" s="56" t="s">
        <v>418</v>
      </c>
      <c r="M822" s="20" t="s">
        <v>112</v>
      </c>
      <c r="N822" s="19"/>
      <c r="O822" s="19" t="str">
        <f t="shared" si="24"/>
        <v>13</v>
      </c>
      <c r="P822" s="64">
        <f t="shared" si="25"/>
        <v>42564</v>
      </c>
    </row>
    <row r="823" spans="1:16" x14ac:dyDescent="0.25">
      <c r="A823" s="26">
        <v>42564.546018518522</v>
      </c>
      <c r="B823" s="4" t="s">
        <v>114</v>
      </c>
      <c r="C823" s="4" t="s">
        <v>179</v>
      </c>
      <c r="D823" s="4" t="s">
        <v>103</v>
      </c>
      <c r="E823" s="4" t="s">
        <v>129</v>
      </c>
      <c r="F823" s="3">
        <v>0</v>
      </c>
      <c r="G823" s="3">
        <v>26</v>
      </c>
      <c r="H823" s="3">
        <v>233425</v>
      </c>
      <c r="I823" s="4" t="s">
        <v>130</v>
      </c>
      <c r="J823" s="3">
        <v>233491</v>
      </c>
      <c r="K823" s="4" t="s">
        <v>111</v>
      </c>
      <c r="L823" s="56" t="s">
        <v>440</v>
      </c>
      <c r="M823" s="20" t="s">
        <v>112</v>
      </c>
      <c r="N823" s="19"/>
      <c r="O823" s="19" t="str">
        <f t="shared" si="24"/>
        <v>13</v>
      </c>
      <c r="P823" s="64">
        <f t="shared" si="25"/>
        <v>42564</v>
      </c>
    </row>
    <row r="824" spans="1:16" x14ac:dyDescent="0.25">
      <c r="A824" s="26">
        <v>42564.626782407409</v>
      </c>
      <c r="B824" s="51" t="s">
        <v>114</v>
      </c>
      <c r="C824" s="4" t="s">
        <v>1199</v>
      </c>
      <c r="D824" s="4" t="s">
        <v>103</v>
      </c>
      <c r="E824" s="51" t="s">
        <v>129</v>
      </c>
      <c r="F824" s="3">
        <v>0</v>
      </c>
      <c r="G824" s="3">
        <v>41</v>
      </c>
      <c r="H824" s="3">
        <v>233366</v>
      </c>
      <c r="I824" s="51" t="s">
        <v>130</v>
      </c>
      <c r="J824" s="3">
        <v>233491</v>
      </c>
      <c r="K824" s="4" t="s">
        <v>111</v>
      </c>
      <c r="L824" s="56" t="s">
        <v>440</v>
      </c>
      <c r="M824" s="20" t="s">
        <v>112</v>
      </c>
      <c r="N824" s="19"/>
      <c r="O824" s="19" t="str">
        <f t="shared" si="24"/>
        <v>13</v>
      </c>
      <c r="P824" s="64">
        <f t="shared" si="25"/>
        <v>42564</v>
      </c>
    </row>
    <row r="825" spans="1:16" x14ac:dyDescent="0.25">
      <c r="A825" s="26">
        <v>42564.656631944446</v>
      </c>
      <c r="B825" s="51" t="s">
        <v>137</v>
      </c>
      <c r="C825" s="4" t="s">
        <v>451</v>
      </c>
      <c r="D825" s="4" t="s">
        <v>103</v>
      </c>
      <c r="E825" s="51" t="s">
        <v>129</v>
      </c>
      <c r="F825" s="3">
        <v>0</v>
      </c>
      <c r="G825" s="3">
        <v>63</v>
      </c>
      <c r="H825" s="3">
        <v>233280</v>
      </c>
      <c r="I825" s="51" t="s">
        <v>130</v>
      </c>
      <c r="J825" s="3">
        <v>233491</v>
      </c>
      <c r="K825" s="4" t="s">
        <v>111</v>
      </c>
      <c r="L825" s="56" t="s">
        <v>442</v>
      </c>
      <c r="M825" s="20" t="s">
        <v>112</v>
      </c>
      <c r="N825" s="19"/>
      <c r="O825" s="19" t="str">
        <f t="shared" si="24"/>
        <v>13</v>
      </c>
      <c r="P825" s="64">
        <f t="shared" si="25"/>
        <v>42564</v>
      </c>
    </row>
    <row r="826" spans="1:16" x14ac:dyDescent="0.25">
      <c r="A826" s="26">
        <v>42564.694456018522</v>
      </c>
      <c r="B826" s="51" t="s">
        <v>114</v>
      </c>
      <c r="C826" s="4" t="s">
        <v>180</v>
      </c>
      <c r="D826" s="4" t="s">
        <v>103</v>
      </c>
      <c r="E826" s="51" t="s">
        <v>129</v>
      </c>
      <c r="F826" s="3">
        <v>0</v>
      </c>
      <c r="G826" s="3">
        <v>28</v>
      </c>
      <c r="H826" s="3">
        <v>233427</v>
      </c>
      <c r="I826" s="51" t="s">
        <v>130</v>
      </c>
      <c r="J826" s="3">
        <v>233491</v>
      </c>
      <c r="K826" s="4" t="s">
        <v>111</v>
      </c>
      <c r="L826" s="56" t="s">
        <v>440</v>
      </c>
      <c r="M826" s="20" t="s">
        <v>112</v>
      </c>
      <c r="N826" s="19"/>
      <c r="O826" s="19" t="str">
        <f t="shared" si="24"/>
        <v>13</v>
      </c>
      <c r="P826" s="64">
        <f t="shared" si="25"/>
        <v>42564</v>
      </c>
    </row>
    <row r="827" spans="1:16" x14ac:dyDescent="0.25">
      <c r="A827" s="26">
        <v>42564.767430555556</v>
      </c>
      <c r="B827" s="51" t="s">
        <v>114</v>
      </c>
      <c r="C827" s="4" t="s">
        <v>452</v>
      </c>
      <c r="D827" s="4" t="s">
        <v>103</v>
      </c>
      <c r="E827" s="51" t="s">
        <v>129</v>
      </c>
      <c r="F827" s="3">
        <v>0</v>
      </c>
      <c r="G827" s="3">
        <v>25</v>
      </c>
      <c r="H827" s="3">
        <v>233435</v>
      </c>
      <c r="I827" s="51" t="s">
        <v>130</v>
      </c>
      <c r="J827" s="3">
        <v>233491</v>
      </c>
      <c r="K827" s="4" t="s">
        <v>111</v>
      </c>
      <c r="L827" s="56" t="s">
        <v>434</v>
      </c>
      <c r="M827" s="20" t="s">
        <v>112</v>
      </c>
      <c r="N827" s="19"/>
      <c r="O827" s="19" t="str">
        <f t="shared" si="24"/>
        <v>13</v>
      </c>
      <c r="P827" s="64">
        <f t="shared" si="25"/>
        <v>42564</v>
      </c>
    </row>
    <row r="828" spans="1:16" x14ac:dyDescent="0.25">
      <c r="A828" s="26">
        <v>42565.568923611114</v>
      </c>
      <c r="B828" s="51" t="s">
        <v>134</v>
      </c>
      <c r="C828" s="4" t="s">
        <v>317</v>
      </c>
      <c r="D828" s="4" t="s">
        <v>103</v>
      </c>
      <c r="E828" s="51" t="s">
        <v>109</v>
      </c>
      <c r="F828" s="3">
        <v>410</v>
      </c>
      <c r="G828" s="3">
        <v>594</v>
      </c>
      <c r="H828" s="3">
        <v>44197</v>
      </c>
      <c r="I828" s="51" t="s">
        <v>110</v>
      </c>
      <c r="J828" s="3">
        <v>42961</v>
      </c>
      <c r="K828" s="4" t="s">
        <v>106</v>
      </c>
      <c r="L828" s="56" t="s">
        <v>413</v>
      </c>
      <c r="M828" s="20" t="s">
        <v>112</v>
      </c>
      <c r="N828" s="19" t="s">
        <v>543</v>
      </c>
      <c r="O828" s="19" t="str">
        <f t="shared" si="24"/>
        <v>14</v>
      </c>
      <c r="P828" s="64">
        <f t="shared" si="25"/>
        <v>42565</v>
      </c>
    </row>
    <row r="829" spans="1:16" x14ac:dyDescent="0.25">
      <c r="A829" s="26">
        <v>42565.612615740742</v>
      </c>
      <c r="B829" s="51" t="s">
        <v>133</v>
      </c>
      <c r="C829" s="4" t="s">
        <v>1221</v>
      </c>
      <c r="D829" s="4" t="s">
        <v>103</v>
      </c>
      <c r="E829" s="51" t="s">
        <v>109</v>
      </c>
      <c r="F829" s="3">
        <v>0</v>
      </c>
      <c r="G829" s="3">
        <v>98</v>
      </c>
      <c r="H829" s="3">
        <v>47544</v>
      </c>
      <c r="I829" s="51" t="s">
        <v>110</v>
      </c>
      <c r="J829" s="3">
        <v>47865</v>
      </c>
      <c r="K829" s="4" t="s">
        <v>111</v>
      </c>
      <c r="L829" s="56" t="s">
        <v>425</v>
      </c>
      <c r="M829" s="20" t="s">
        <v>112</v>
      </c>
      <c r="N829" s="19" t="s">
        <v>186</v>
      </c>
      <c r="O829" s="19" t="str">
        <f t="shared" si="24"/>
        <v>14</v>
      </c>
      <c r="P829" s="64">
        <f t="shared" si="25"/>
        <v>42565</v>
      </c>
    </row>
    <row r="830" spans="1:16" x14ac:dyDescent="0.25">
      <c r="A830" s="26">
        <v>42565.662766203706</v>
      </c>
      <c r="B830" s="51" t="s">
        <v>119</v>
      </c>
      <c r="C830" s="4" t="s">
        <v>319</v>
      </c>
      <c r="D830" s="4" t="s">
        <v>103</v>
      </c>
      <c r="E830" s="51" t="s">
        <v>109</v>
      </c>
      <c r="F830" s="3">
        <v>0</v>
      </c>
      <c r="G830" s="3">
        <v>103</v>
      </c>
      <c r="H830" s="3">
        <v>48334</v>
      </c>
      <c r="I830" s="51" t="s">
        <v>110</v>
      </c>
      <c r="J830" s="3">
        <v>48048</v>
      </c>
      <c r="K830" s="4" t="s">
        <v>106</v>
      </c>
      <c r="L830" s="56" t="s">
        <v>425</v>
      </c>
      <c r="M830" s="20" t="s">
        <v>112</v>
      </c>
      <c r="N830" s="19" t="s">
        <v>186</v>
      </c>
      <c r="O830" s="19" t="str">
        <f t="shared" si="24"/>
        <v>14</v>
      </c>
      <c r="P830" s="64">
        <f t="shared" si="25"/>
        <v>42565</v>
      </c>
    </row>
    <row r="831" spans="1:16" x14ac:dyDescent="0.25">
      <c r="A831" s="26">
        <v>42565.639444444445</v>
      </c>
      <c r="B831" s="51" t="s">
        <v>134</v>
      </c>
      <c r="C831" s="4" t="s">
        <v>1222</v>
      </c>
      <c r="D831" s="4" t="s">
        <v>103</v>
      </c>
      <c r="E831" s="51" t="s">
        <v>109</v>
      </c>
      <c r="F831" s="3">
        <v>390</v>
      </c>
      <c r="G831" s="3">
        <v>484</v>
      </c>
      <c r="H831" s="3">
        <v>78740</v>
      </c>
      <c r="I831" s="51" t="s">
        <v>110</v>
      </c>
      <c r="J831" s="3">
        <v>78469</v>
      </c>
      <c r="K831" s="4" t="s">
        <v>106</v>
      </c>
      <c r="L831" s="56" t="s">
        <v>413</v>
      </c>
      <c r="M831" s="20" t="s">
        <v>112</v>
      </c>
      <c r="N831" s="19" t="s">
        <v>543</v>
      </c>
      <c r="O831" s="19" t="str">
        <f t="shared" si="24"/>
        <v>14</v>
      </c>
      <c r="P831" s="64">
        <f t="shared" si="25"/>
        <v>42565</v>
      </c>
    </row>
    <row r="832" spans="1:16" x14ac:dyDescent="0.25">
      <c r="A832" s="26">
        <v>42565.721990740742</v>
      </c>
      <c r="B832" s="51" t="s">
        <v>134</v>
      </c>
      <c r="C832" s="4" t="s">
        <v>1223</v>
      </c>
      <c r="D832" s="4" t="s">
        <v>103</v>
      </c>
      <c r="E832" s="51" t="s">
        <v>115</v>
      </c>
      <c r="F832" s="3">
        <v>600</v>
      </c>
      <c r="G832" s="3">
        <v>650</v>
      </c>
      <c r="H832" s="3">
        <v>12651</v>
      </c>
      <c r="I832" s="51" t="s">
        <v>105</v>
      </c>
      <c r="J832" s="3">
        <v>10694</v>
      </c>
      <c r="K832" s="4" t="s">
        <v>106</v>
      </c>
      <c r="L832" s="56" t="s">
        <v>413</v>
      </c>
      <c r="M832" s="20" t="s">
        <v>112</v>
      </c>
      <c r="N832" s="19"/>
      <c r="O832" s="19" t="str">
        <f t="shared" si="24"/>
        <v>14</v>
      </c>
      <c r="P832" s="64">
        <f t="shared" si="25"/>
        <v>42565</v>
      </c>
    </row>
    <row r="833" spans="1:16" x14ac:dyDescent="0.25">
      <c r="A833" s="26">
        <v>42565.43644675926</v>
      </c>
      <c r="B833" s="51" t="s">
        <v>141</v>
      </c>
      <c r="C833" s="4" t="s">
        <v>1224</v>
      </c>
      <c r="D833" s="4" t="s">
        <v>103</v>
      </c>
      <c r="E833" s="51" t="s">
        <v>115</v>
      </c>
      <c r="F833" s="3">
        <v>450</v>
      </c>
      <c r="G833" s="3">
        <v>440</v>
      </c>
      <c r="H833" s="3">
        <v>17530</v>
      </c>
      <c r="I833" s="51" t="s">
        <v>105</v>
      </c>
      <c r="J833" s="3">
        <v>15167</v>
      </c>
      <c r="K833" s="4" t="s">
        <v>106</v>
      </c>
      <c r="L833" s="56" t="s">
        <v>418</v>
      </c>
      <c r="M833" s="20" t="s">
        <v>112</v>
      </c>
      <c r="N833" s="19"/>
      <c r="O833" s="19" t="str">
        <f t="shared" si="24"/>
        <v>14</v>
      </c>
      <c r="P833" s="64">
        <f t="shared" si="25"/>
        <v>42565</v>
      </c>
    </row>
    <row r="834" spans="1:16" x14ac:dyDescent="0.25">
      <c r="A834" s="26">
        <v>42565.801458333335</v>
      </c>
      <c r="B834" s="51" t="s">
        <v>141</v>
      </c>
      <c r="C834" s="4" t="s">
        <v>1225</v>
      </c>
      <c r="D834" s="4" t="s">
        <v>103</v>
      </c>
      <c r="E834" s="51" t="s">
        <v>115</v>
      </c>
      <c r="F834" s="3">
        <v>450</v>
      </c>
      <c r="G834" s="3">
        <v>468</v>
      </c>
      <c r="H834" s="3">
        <v>17427</v>
      </c>
      <c r="I834" s="51" t="s">
        <v>105</v>
      </c>
      <c r="J834" s="3">
        <v>15167</v>
      </c>
      <c r="K834" s="4" t="s">
        <v>106</v>
      </c>
      <c r="L834" s="56" t="s">
        <v>473</v>
      </c>
      <c r="M834" s="20" t="s">
        <v>112</v>
      </c>
      <c r="N834" s="19"/>
      <c r="O834" s="19" t="str">
        <f t="shared" ref="O834:O897" si="26">RIGHT(C834,2)</f>
        <v>14</v>
      </c>
      <c r="P834" s="64">
        <f t="shared" si="25"/>
        <v>42565</v>
      </c>
    </row>
    <row r="835" spans="1:16" x14ac:dyDescent="0.25">
      <c r="A835" s="26">
        <v>42565.316134259258</v>
      </c>
      <c r="B835" s="51" t="s">
        <v>133</v>
      </c>
      <c r="C835" s="4" t="s">
        <v>1226</v>
      </c>
      <c r="D835" s="4" t="s">
        <v>103</v>
      </c>
      <c r="E835" s="4" t="s">
        <v>115</v>
      </c>
      <c r="F835" s="3">
        <v>400</v>
      </c>
      <c r="G835" s="3">
        <v>500</v>
      </c>
      <c r="H835" s="3">
        <v>15302</v>
      </c>
      <c r="I835" s="4" t="s">
        <v>105</v>
      </c>
      <c r="J835" s="3">
        <v>17867</v>
      </c>
      <c r="K835" s="4" t="s">
        <v>111</v>
      </c>
      <c r="L835" s="56" t="s">
        <v>444</v>
      </c>
      <c r="M835" s="20" t="s">
        <v>112</v>
      </c>
      <c r="N835" s="19"/>
      <c r="O835" s="19" t="str">
        <f t="shared" si="26"/>
        <v>14</v>
      </c>
      <c r="P835" s="64">
        <f t="shared" ref="P835:P898" si="27">42522+O835+29</f>
        <v>42565</v>
      </c>
    </row>
    <row r="836" spans="1:16" x14ac:dyDescent="0.25">
      <c r="A836" s="26">
        <v>42565.257708333331</v>
      </c>
      <c r="B836" s="51" t="s">
        <v>124</v>
      </c>
      <c r="C836" s="4" t="s">
        <v>1227</v>
      </c>
      <c r="D836" s="4" t="s">
        <v>103</v>
      </c>
      <c r="E836" s="51" t="s">
        <v>115</v>
      </c>
      <c r="F836" s="3">
        <v>300</v>
      </c>
      <c r="G836" s="3">
        <v>478</v>
      </c>
      <c r="H836" s="3">
        <v>24082</v>
      </c>
      <c r="I836" s="51" t="s">
        <v>105</v>
      </c>
      <c r="J836" s="3">
        <v>21848</v>
      </c>
      <c r="K836" s="4" t="s">
        <v>106</v>
      </c>
      <c r="L836" s="56" t="s">
        <v>453</v>
      </c>
      <c r="M836" s="20" t="s">
        <v>112</v>
      </c>
      <c r="N836" s="19"/>
      <c r="O836" s="19" t="str">
        <f t="shared" si="26"/>
        <v>14</v>
      </c>
      <c r="P836" s="64">
        <f t="shared" si="27"/>
        <v>42565</v>
      </c>
    </row>
    <row r="837" spans="1:16" x14ac:dyDescent="0.25">
      <c r="A837" s="26">
        <v>42565.360729166663</v>
      </c>
      <c r="B837" s="51" t="s">
        <v>141</v>
      </c>
      <c r="C837" s="4" t="s">
        <v>1228</v>
      </c>
      <c r="D837" s="4" t="s">
        <v>103</v>
      </c>
      <c r="E837" s="51" t="s">
        <v>115</v>
      </c>
      <c r="F837" s="3">
        <v>200</v>
      </c>
      <c r="G837" s="3">
        <v>440</v>
      </c>
      <c r="H837" s="3">
        <v>32946</v>
      </c>
      <c r="I837" s="51" t="s">
        <v>105</v>
      </c>
      <c r="J837" s="3">
        <v>30562</v>
      </c>
      <c r="K837" s="4" t="s">
        <v>106</v>
      </c>
      <c r="L837" s="56" t="s">
        <v>418</v>
      </c>
      <c r="M837" s="20" t="s">
        <v>112</v>
      </c>
      <c r="N837" s="19"/>
      <c r="O837" s="19" t="str">
        <f t="shared" si="26"/>
        <v>14</v>
      </c>
      <c r="P837" s="64">
        <f t="shared" si="27"/>
        <v>42565</v>
      </c>
    </row>
    <row r="838" spans="1:16" x14ac:dyDescent="0.25">
      <c r="A838" s="26">
        <v>42565.871354166666</v>
      </c>
      <c r="B838" s="51" t="s">
        <v>141</v>
      </c>
      <c r="C838" s="4" t="s">
        <v>1229</v>
      </c>
      <c r="D838" s="4" t="s">
        <v>103</v>
      </c>
      <c r="E838" s="51" t="s">
        <v>115</v>
      </c>
      <c r="F838" s="3">
        <v>200</v>
      </c>
      <c r="G838" s="3">
        <v>384</v>
      </c>
      <c r="H838" s="3">
        <v>32303</v>
      </c>
      <c r="I838" s="51" t="s">
        <v>105</v>
      </c>
      <c r="J838" s="3">
        <v>30562</v>
      </c>
      <c r="K838" s="4" t="s">
        <v>106</v>
      </c>
      <c r="L838" s="56" t="s">
        <v>434</v>
      </c>
      <c r="M838" s="20" t="s">
        <v>112</v>
      </c>
      <c r="N838" s="19"/>
      <c r="O838" s="19" t="str">
        <f t="shared" si="26"/>
        <v>14</v>
      </c>
      <c r="P838" s="64">
        <f t="shared" si="27"/>
        <v>42565</v>
      </c>
    </row>
    <row r="839" spans="1:16" x14ac:dyDescent="0.25">
      <c r="A839" s="26">
        <v>42565.872013888889</v>
      </c>
      <c r="B839" s="4" t="s">
        <v>141</v>
      </c>
      <c r="C839" s="4" t="s">
        <v>1229</v>
      </c>
      <c r="D839" s="4" t="s">
        <v>103</v>
      </c>
      <c r="E839" s="4" t="s">
        <v>115</v>
      </c>
      <c r="F839" s="3">
        <v>200</v>
      </c>
      <c r="G839" s="3">
        <v>191</v>
      </c>
      <c r="H839" s="3">
        <v>30801</v>
      </c>
      <c r="I839" s="4" t="s">
        <v>105</v>
      </c>
      <c r="J839" s="3">
        <v>30562</v>
      </c>
      <c r="K839" s="4" t="s">
        <v>106</v>
      </c>
      <c r="L839" s="56" t="s">
        <v>434</v>
      </c>
      <c r="M839" s="20" t="s">
        <v>112</v>
      </c>
      <c r="N839" s="19"/>
      <c r="O839" s="19" t="str">
        <f t="shared" si="26"/>
        <v>14</v>
      </c>
      <c r="P839" s="64">
        <f t="shared" si="27"/>
        <v>42565</v>
      </c>
    </row>
    <row r="840" spans="1:16" x14ac:dyDescent="0.25">
      <c r="A840" s="26">
        <v>42565.384756944448</v>
      </c>
      <c r="B840" s="51" t="s">
        <v>108</v>
      </c>
      <c r="C840" s="4" t="s">
        <v>1230</v>
      </c>
      <c r="D840" s="4" t="s">
        <v>116</v>
      </c>
      <c r="E840" s="51" t="s">
        <v>115</v>
      </c>
      <c r="F840" s="3">
        <v>700</v>
      </c>
      <c r="G840" s="3">
        <v>755</v>
      </c>
      <c r="H840" s="3">
        <v>169759</v>
      </c>
      <c r="I840" s="51" t="s">
        <v>105</v>
      </c>
      <c r="J840" s="3">
        <v>161962</v>
      </c>
      <c r="K840" s="4" t="s">
        <v>111</v>
      </c>
      <c r="L840" s="56" t="s">
        <v>463</v>
      </c>
      <c r="M840" s="20" t="s">
        <v>112</v>
      </c>
      <c r="N840" s="19"/>
      <c r="O840" s="19" t="str">
        <f t="shared" si="26"/>
        <v>14</v>
      </c>
      <c r="P840" s="64">
        <f t="shared" si="27"/>
        <v>42565</v>
      </c>
    </row>
    <row r="841" spans="1:16" x14ac:dyDescent="0.25">
      <c r="A841" s="26">
        <v>42565.389652777776</v>
      </c>
      <c r="B841" s="51" t="s">
        <v>124</v>
      </c>
      <c r="C841" s="4" t="s">
        <v>1231</v>
      </c>
      <c r="D841" s="4" t="s">
        <v>116</v>
      </c>
      <c r="E841" s="51" t="s">
        <v>115</v>
      </c>
      <c r="F841" s="3">
        <v>700</v>
      </c>
      <c r="G841" s="3">
        <v>752</v>
      </c>
      <c r="H841" s="3">
        <v>165748</v>
      </c>
      <c r="I841" s="51" t="s">
        <v>105</v>
      </c>
      <c r="J841" s="3">
        <v>183829</v>
      </c>
      <c r="K841" s="4" t="s">
        <v>106</v>
      </c>
      <c r="L841" s="56" t="s">
        <v>453</v>
      </c>
      <c r="M841" s="20" t="s">
        <v>112</v>
      </c>
      <c r="N841" s="19"/>
      <c r="O841" s="19" t="str">
        <f t="shared" si="26"/>
        <v>14</v>
      </c>
      <c r="P841" s="64">
        <f t="shared" si="27"/>
        <v>42565</v>
      </c>
    </row>
    <row r="842" spans="1:16" x14ac:dyDescent="0.25">
      <c r="A842" s="26">
        <v>42565.572523148148</v>
      </c>
      <c r="B842" s="51" t="s">
        <v>119</v>
      </c>
      <c r="C842" s="4" t="s">
        <v>1232</v>
      </c>
      <c r="D842" s="4" t="s">
        <v>116</v>
      </c>
      <c r="E842" s="51" t="s">
        <v>115</v>
      </c>
      <c r="F842" s="3">
        <v>350</v>
      </c>
      <c r="G842" s="3">
        <v>406</v>
      </c>
      <c r="H842" s="3">
        <v>224610</v>
      </c>
      <c r="I842" s="51" t="s">
        <v>105</v>
      </c>
      <c r="J842" s="3">
        <v>228668</v>
      </c>
      <c r="K842" s="4" t="s">
        <v>106</v>
      </c>
      <c r="L842" s="56" t="s">
        <v>425</v>
      </c>
      <c r="M842" s="20" t="s">
        <v>112</v>
      </c>
      <c r="N842" s="19"/>
      <c r="O842" s="19" t="str">
        <f t="shared" si="26"/>
        <v>14</v>
      </c>
      <c r="P842" s="64">
        <f t="shared" si="27"/>
        <v>42565</v>
      </c>
    </row>
    <row r="843" spans="1:16" x14ac:dyDescent="0.25">
      <c r="A843" s="26">
        <v>42565.60869212963</v>
      </c>
      <c r="B843" s="51" t="s">
        <v>108</v>
      </c>
      <c r="C843" s="4" t="s">
        <v>456</v>
      </c>
      <c r="D843" s="4" t="s">
        <v>103</v>
      </c>
      <c r="E843" s="51" t="s">
        <v>115</v>
      </c>
      <c r="F843" s="3">
        <v>150</v>
      </c>
      <c r="G843" s="3">
        <v>150</v>
      </c>
      <c r="H843" s="3">
        <v>229874</v>
      </c>
      <c r="I843" s="51" t="s">
        <v>105</v>
      </c>
      <c r="J843" s="3">
        <v>230436</v>
      </c>
      <c r="K843" s="4" t="s">
        <v>111</v>
      </c>
      <c r="L843" s="56" t="s">
        <v>413</v>
      </c>
      <c r="M843" s="20" t="s">
        <v>112</v>
      </c>
      <c r="N843" s="19"/>
      <c r="O843" s="19" t="str">
        <f t="shared" si="26"/>
        <v>14</v>
      </c>
      <c r="P843" s="64">
        <f t="shared" si="27"/>
        <v>42565</v>
      </c>
    </row>
    <row r="844" spans="1:16" x14ac:dyDescent="0.25">
      <c r="A844" s="26">
        <v>42565.920671296299</v>
      </c>
      <c r="B844" s="51" t="s">
        <v>142</v>
      </c>
      <c r="C844" s="4" t="s">
        <v>1233</v>
      </c>
      <c r="D844" s="4" t="s">
        <v>103</v>
      </c>
      <c r="E844" s="51" t="s">
        <v>115</v>
      </c>
      <c r="F844" s="3">
        <v>150</v>
      </c>
      <c r="G844" s="3">
        <v>195</v>
      </c>
      <c r="H844" s="3">
        <v>231481</v>
      </c>
      <c r="I844" s="51" t="s">
        <v>105</v>
      </c>
      <c r="J844" s="3">
        <v>232080</v>
      </c>
      <c r="K844" s="4" t="s">
        <v>111</v>
      </c>
      <c r="L844" s="56" t="s">
        <v>473</v>
      </c>
      <c r="M844" s="20" t="s">
        <v>112</v>
      </c>
      <c r="N844" s="19"/>
      <c r="O844" s="19" t="str">
        <f t="shared" si="26"/>
        <v>14</v>
      </c>
      <c r="P844" s="64">
        <f t="shared" si="27"/>
        <v>42565</v>
      </c>
    </row>
    <row r="845" spans="1:16" x14ac:dyDescent="0.25">
      <c r="A845" s="26">
        <v>42565.275138888886</v>
      </c>
      <c r="B845" s="51" t="s">
        <v>138</v>
      </c>
      <c r="C845" s="4" t="s">
        <v>1234</v>
      </c>
      <c r="D845" s="4" t="s">
        <v>103</v>
      </c>
      <c r="E845" s="51" t="s">
        <v>115</v>
      </c>
      <c r="F845" s="3">
        <v>150</v>
      </c>
      <c r="G845" s="3">
        <v>128</v>
      </c>
      <c r="H845" s="3">
        <v>231671</v>
      </c>
      <c r="I845" s="51" t="s">
        <v>105</v>
      </c>
      <c r="J845" s="3">
        <v>232107</v>
      </c>
      <c r="K845" s="4" t="s">
        <v>111</v>
      </c>
      <c r="L845" s="56" t="s">
        <v>396</v>
      </c>
      <c r="M845" s="20" t="s">
        <v>112</v>
      </c>
      <c r="N845" s="19"/>
      <c r="O845" s="19" t="str">
        <f t="shared" si="26"/>
        <v>14</v>
      </c>
      <c r="P845" s="64">
        <f t="shared" si="27"/>
        <v>42565</v>
      </c>
    </row>
    <row r="846" spans="1:16" x14ac:dyDescent="0.25">
      <c r="A846" s="26">
        <v>42565.717824074076</v>
      </c>
      <c r="B846" s="51" t="s">
        <v>119</v>
      </c>
      <c r="C846" s="4" t="s">
        <v>1235</v>
      </c>
      <c r="D846" s="4" t="s">
        <v>116</v>
      </c>
      <c r="E846" s="51" t="s">
        <v>115</v>
      </c>
      <c r="F846" s="3">
        <v>350</v>
      </c>
      <c r="G846" s="3">
        <v>401</v>
      </c>
      <c r="H846" s="3">
        <v>224678</v>
      </c>
      <c r="I846" s="51" t="s">
        <v>105</v>
      </c>
      <c r="J846" s="3">
        <v>232107</v>
      </c>
      <c r="K846" s="4" t="s">
        <v>106</v>
      </c>
      <c r="L846" s="56" t="s">
        <v>425</v>
      </c>
      <c r="M846" s="20" t="s">
        <v>112</v>
      </c>
      <c r="N846" s="19"/>
      <c r="O846" s="19" t="str">
        <f t="shared" si="26"/>
        <v>14</v>
      </c>
      <c r="P846" s="64">
        <f t="shared" si="27"/>
        <v>42565</v>
      </c>
    </row>
    <row r="847" spans="1:16" x14ac:dyDescent="0.25">
      <c r="A847" s="26">
        <v>42565.591574074075</v>
      </c>
      <c r="B847" s="51" t="s">
        <v>143</v>
      </c>
      <c r="C847" s="4" t="s">
        <v>1236</v>
      </c>
      <c r="D847" s="4" t="s">
        <v>103</v>
      </c>
      <c r="E847" s="51" t="s">
        <v>122</v>
      </c>
      <c r="F847" s="3">
        <v>0</v>
      </c>
      <c r="G847" s="3">
        <v>149</v>
      </c>
      <c r="H847" s="3">
        <v>232140</v>
      </c>
      <c r="I847" s="51" t="s">
        <v>123</v>
      </c>
      <c r="J847" s="3">
        <v>231147</v>
      </c>
      <c r="K847" s="4" t="s">
        <v>106</v>
      </c>
      <c r="L847" s="56" t="s">
        <v>490</v>
      </c>
      <c r="M847" s="20" t="s">
        <v>107</v>
      </c>
      <c r="N847" s="19" t="s">
        <v>448</v>
      </c>
      <c r="O847" s="19" t="str">
        <f t="shared" si="26"/>
        <v>14</v>
      </c>
      <c r="P847" s="64">
        <f t="shared" si="27"/>
        <v>42565</v>
      </c>
    </row>
    <row r="848" spans="1:16" x14ac:dyDescent="0.25">
      <c r="A848" s="26">
        <v>42565.758275462962</v>
      </c>
      <c r="B848" s="51" t="s">
        <v>117</v>
      </c>
      <c r="C848" s="4" t="s">
        <v>1237</v>
      </c>
      <c r="D848" s="4" t="s">
        <v>103</v>
      </c>
      <c r="E848" s="51" t="s">
        <v>122</v>
      </c>
      <c r="F848" s="3">
        <v>0</v>
      </c>
      <c r="G848" s="3">
        <v>122</v>
      </c>
      <c r="H848" s="3">
        <v>232318</v>
      </c>
      <c r="I848" s="51" t="s">
        <v>123</v>
      </c>
      <c r="J848" s="3">
        <v>231650</v>
      </c>
      <c r="K848" s="4" t="s">
        <v>106</v>
      </c>
      <c r="L848" s="56" t="s">
        <v>428</v>
      </c>
      <c r="M848" s="20" t="s">
        <v>107</v>
      </c>
      <c r="N848" s="19" t="s">
        <v>448</v>
      </c>
      <c r="O848" s="19" t="str">
        <f t="shared" si="26"/>
        <v>14</v>
      </c>
      <c r="P848" s="64">
        <f t="shared" si="27"/>
        <v>42565</v>
      </c>
    </row>
    <row r="849" spans="1:16" x14ac:dyDescent="0.25">
      <c r="A849" s="26">
        <v>42565.758958333332</v>
      </c>
      <c r="B849" s="51" t="s">
        <v>117</v>
      </c>
      <c r="C849" s="4" t="s">
        <v>1237</v>
      </c>
      <c r="D849" s="4" t="s">
        <v>103</v>
      </c>
      <c r="E849" s="51" t="s">
        <v>122</v>
      </c>
      <c r="F849" s="3">
        <v>0</v>
      </c>
      <c r="G849" s="3">
        <v>122</v>
      </c>
      <c r="H849" s="3">
        <v>232318</v>
      </c>
      <c r="I849" s="51" t="s">
        <v>123</v>
      </c>
      <c r="J849" s="3">
        <v>231650</v>
      </c>
      <c r="K849" s="4" t="s">
        <v>106</v>
      </c>
      <c r="L849" s="56" t="s">
        <v>428</v>
      </c>
      <c r="M849" s="20" t="s">
        <v>107</v>
      </c>
      <c r="N849" s="19" t="s">
        <v>448</v>
      </c>
      <c r="O849" s="19" t="str">
        <f t="shared" si="26"/>
        <v>14</v>
      </c>
      <c r="P849" s="64">
        <f t="shared" si="27"/>
        <v>42565</v>
      </c>
    </row>
    <row r="850" spans="1:16" x14ac:dyDescent="0.25">
      <c r="A850" s="17">
        <v>42565.800034722219</v>
      </c>
      <c r="B850" s="51" t="s">
        <v>124</v>
      </c>
      <c r="C850" s="4" t="s">
        <v>181</v>
      </c>
      <c r="D850" s="4" t="s">
        <v>103</v>
      </c>
      <c r="E850" s="4" t="s">
        <v>127</v>
      </c>
      <c r="F850" s="3">
        <v>0</v>
      </c>
      <c r="G850" s="3">
        <v>140</v>
      </c>
      <c r="H850" s="3">
        <v>232368</v>
      </c>
      <c r="I850" s="4" t="s">
        <v>128</v>
      </c>
      <c r="J850" s="3">
        <v>231650</v>
      </c>
      <c r="K850" s="4" t="s">
        <v>106</v>
      </c>
      <c r="L850" s="56" t="s">
        <v>538</v>
      </c>
      <c r="M850" s="20" t="s">
        <v>107</v>
      </c>
      <c r="N850" s="19" t="s">
        <v>448</v>
      </c>
      <c r="O850" s="19" t="str">
        <f t="shared" si="26"/>
        <v>14</v>
      </c>
      <c r="P850" s="64">
        <f t="shared" si="27"/>
        <v>42565</v>
      </c>
    </row>
    <row r="851" spans="1:16" x14ac:dyDescent="0.25">
      <c r="A851" s="26">
        <v>42565.293124999997</v>
      </c>
      <c r="B851" s="51" t="s">
        <v>141</v>
      </c>
      <c r="C851" s="4" t="s">
        <v>1238</v>
      </c>
      <c r="D851" s="4" t="s">
        <v>103</v>
      </c>
      <c r="E851" s="51" t="s">
        <v>129</v>
      </c>
      <c r="F851" s="3">
        <v>0</v>
      </c>
      <c r="G851" s="3">
        <v>66</v>
      </c>
      <c r="H851" s="3">
        <v>207</v>
      </c>
      <c r="I851" s="51" t="s">
        <v>130</v>
      </c>
      <c r="J851" s="3">
        <v>1</v>
      </c>
      <c r="K851" s="4" t="s">
        <v>106</v>
      </c>
      <c r="L851" s="56" t="s">
        <v>418</v>
      </c>
      <c r="M851" s="20" t="s">
        <v>112</v>
      </c>
      <c r="N851" s="19"/>
      <c r="O851" s="19" t="str">
        <f t="shared" si="26"/>
        <v>14</v>
      </c>
      <c r="P851" s="64">
        <f t="shared" si="27"/>
        <v>42565</v>
      </c>
    </row>
    <row r="852" spans="1:16" x14ac:dyDescent="0.25">
      <c r="A852" s="26">
        <v>42565.366851851853</v>
      </c>
      <c r="B852" s="51" t="s">
        <v>141</v>
      </c>
      <c r="C852" s="4" t="s">
        <v>1228</v>
      </c>
      <c r="D852" s="4" t="s">
        <v>103</v>
      </c>
      <c r="E852" s="51" t="s">
        <v>129</v>
      </c>
      <c r="F852" s="3">
        <v>0</v>
      </c>
      <c r="G852" s="3">
        <v>60</v>
      </c>
      <c r="H852" s="3">
        <v>214</v>
      </c>
      <c r="I852" s="51" t="s">
        <v>130</v>
      </c>
      <c r="J852" s="3">
        <v>1</v>
      </c>
      <c r="K852" s="4" t="s">
        <v>106</v>
      </c>
      <c r="L852" s="56" t="s">
        <v>418</v>
      </c>
      <c r="M852" s="20" t="s">
        <v>112</v>
      </c>
      <c r="N852" s="19"/>
      <c r="O852" s="19" t="str">
        <f t="shared" si="26"/>
        <v>14</v>
      </c>
      <c r="P852" s="64">
        <f t="shared" si="27"/>
        <v>42565</v>
      </c>
    </row>
    <row r="853" spans="1:16" x14ac:dyDescent="0.25">
      <c r="A853" s="26">
        <v>42565.491898148146</v>
      </c>
      <c r="B853" s="51" t="s">
        <v>117</v>
      </c>
      <c r="C853" s="4" t="s">
        <v>1239</v>
      </c>
      <c r="D853" s="4" t="s">
        <v>103</v>
      </c>
      <c r="E853" s="51" t="s">
        <v>129</v>
      </c>
      <c r="F853" s="3">
        <v>0</v>
      </c>
      <c r="G853" s="3">
        <v>73</v>
      </c>
      <c r="H853" s="3">
        <v>271</v>
      </c>
      <c r="I853" s="51" t="s">
        <v>130</v>
      </c>
      <c r="J853" s="3">
        <v>1</v>
      </c>
      <c r="K853" s="4" t="s">
        <v>106</v>
      </c>
      <c r="L853" s="56" t="s">
        <v>415</v>
      </c>
      <c r="M853" s="20" t="s">
        <v>112</v>
      </c>
      <c r="N853" s="19"/>
      <c r="O853" s="19" t="str">
        <f t="shared" si="26"/>
        <v>14</v>
      </c>
      <c r="P853" s="64">
        <f t="shared" si="27"/>
        <v>42565</v>
      </c>
    </row>
    <row r="854" spans="1:16" x14ac:dyDescent="0.25">
      <c r="A854" s="26">
        <v>42565.762326388889</v>
      </c>
      <c r="B854" s="51" t="s">
        <v>143</v>
      </c>
      <c r="C854" s="4" t="s">
        <v>1240</v>
      </c>
      <c r="D854" s="4" t="s">
        <v>103</v>
      </c>
      <c r="E854" s="4" t="s">
        <v>129</v>
      </c>
      <c r="F854" s="3">
        <v>0</v>
      </c>
      <c r="G854" s="3">
        <v>49</v>
      </c>
      <c r="H854" s="3">
        <v>165</v>
      </c>
      <c r="I854" s="4" t="s">
        <v>130</v>
      </c>
      <c r="J854" s="3">
        <v>1</v>
      </c>
      <c r="K854" s="4" t="s">
        <v>106</v>
      </c>
      <c r="L854" s="56" t="s">
        <v>490</v>
      </c>
      <c r="M854" s="20" t="s">
        <v>112</v>
      </c>
      <c r="N854" s="19"/>
      <c r="O854" s="19" t="str">
        <f t="shared" si="26"/>
        <v>14</v>
      </c>
      <c r="P854" s="64">
        <f t="shared" si="27"/>
        <v>42565</v>
      </c>
    </row>
    <row r="855" spans="1:16" x14ac:dyDescent="0.25">
      <c r="A855" s="26">
        <v>42566.044548611113</v>
      </c>
      <c r="B855" s="51" t="s">
        <v>141</v>
      </c>
      <c r="C855" s="4" t="s">
        <v>1241</v>
      </c>
      <c r="D855" s="4" t="s">
        <v>103</v>
      </c>
      <c r="E855" s="51" t="s">
        <v>129</v>
      </c>
      <c r="F855" s="3">
        <v>0</v>
      </c>
      <c r="G855" s="3">
        <v>55</v>
      </c>
      <c r="H855" s="3">
        <v>183</v>
      </c>
      <c r="I855" s="51" t="s">
        <v>130</v>
      </c>
      <c r="J855" s="3">
        <v>1</v>
      </c>
      <c r="K855" s="4" t="s">
        <v>106</v>
      </c>
      <c r="L855" s="56" t="s">
        <v>473</v>
      </c>
      <c r="M855" s="20" t="s">
        <v>112</v>
      </c>
      <c r="N855" s="19"/>
      <c r="O855" s="19" t="str">
        <f t="shared" si="26"/>
        <v>14</v>
      </c>
      <c r="P855" s="64">
        <f t="shared" si="27"/>
        <v>42565</v>
      </c>
    </row>
    <row r="856" spans="1:16" x14ac:dyDescent="0.25">
      <c r="A856" s="26">
        <v>42565.285069444442</v>
      </c>
      <c r="B856" s="51" t="s">
        <v>135</v>
      </c>
      <c r="C856" s="4" t="s">
        <v>1242</v>
      </c>
      <c r="D856" s="4" t="s">
        <v>103</v>
      </c>
      <c r="E856" s="51" t="s">
        <v>129</v>
      </c>
      <c r="F856" s="3">
        <v>0</v>
      </c>
      <c r="G856" s="3">
        <v>66</v>
      </c>
      <c r="H856" s="3">
        <v>233249</v>
      </c>
      <c r="I856" s="51" t="s">
        <v>130</v>
      </c>
      <c r="J856" s="3">
        <v>233491</v>
      </c>
      <c r="K856" s="4" t="s">
        <v>111</v>
      </c>
      <c r="L856" s="56" t="s">
        <v>1108</v>
      </c>
      <c r="M856" s="20" t="s">
        <v>112</v>
      </c>
      <c r="N856" s="19"/>
      <c r="O856" s="19" t="str">
        <f t="shared" si="26"/>
        <v>14</v>
      </c>
      <c r="P856" s="64">
        <f t="shared" si="27"/>
        <v>42565</v>
      </c>
    </row>
    <row r="857" spans="1:16" x14ac:dyDescent="0.25">
      <c r="A857" s="26">
        <v>42565.358124999999</v>
      </c>
      <c r="B857" s="51" t="s">
        <v>135</v>
      </c>
      <c r="C857" s="4" t="s">
        <v>318</v>
      </c>
      <c r="D857" s="4" t="s">
        <v>103</v>
      </c>
      <c r="E857" s="51" t="s">
        <v>129</v>
      </c>
      <c r="F857" s="3">
        <v>0</v>
      </c>
      <c r="G857" s="3">
        <v>74</v>
      </c>
      <c r="H857" s="3">
        <v>233221</v>
      </c>
      <c r="I857" s="51" t="s">
        <v>130</v>
      </c>
      <c r="J857" s="3">
        <v>233491</v>
      </c>
      <c r="K857" s="4" t="s">
        <v>111</v>
      </c>
      <c r="L857" s="56" t="s">
        <v>1108</v>
      </c>
      <c r="M857" s="20" t="s">
        <v>112</v>
      </c>
      <c r="N857" s="19"/>
      <c r="O857" s="19" t="str">
        <f t="shared" si="26"/>
        <v>14</v>
      </c>
      <c r="P857" s="64">
        <f t="shared" si="27"/>
        <v>42565</v>
      </c>
    </row>
    <row r="858" spans="1:16" x14ac:dyDescent="0.25">
      <c r="A858" s="26">
        <v>42565.431018518517</v>
      </c>
      <c r="B858" s="51" t="s">
        <v>135</v>
      </c>
      <c r="C858" s="4" t="s">
        <v>1243</v>
      </c>
      <c r="D858" s="4" t="s">
        <v>103</v>
      </c>
      <c r="E858" s="51" t="s">
        <v>129</v>
      </c>
      <c r="F858" s="3">
        <v>0</v>
      </c>
      <c r="G858" s="3">
        <v>77</v>
      </c>
      <c r="H858" s="3">
        <v>233216</v>
      </c>
      <c r="I858" s="51" t="s">
        <v>130</v>
      </c>
      <c r="J858" s="3">
        <v>233491</v>
      </c>
      <c r="K858" s="4" t="s">
        <v>111</v>
      </c>
      <c r="L858" s="56" t="s">
        <v>1108</v>
      </c>
      <c r="M858" s="20" t="s">
        <v>112</v>
      </c>
      <c r="N858" s="19"/>
      <c r="O858" s="19" t="str">
        <f t="shared" si="26"/>
        <v>14</v>
      </c>
      <c r="P858" s="64">
        <f t="shared" si="27"/>
        <v>42565</v>
      </c>
    </row>
    <row r="859" spans="1:16" x14ac:dyDescent="0.25">
      <c r="A859" s="26">
        <v>42566.58326388889</v>
      </c>
      <c r="B859" s="51" t="s">
        <v>119</v>
      </c>
      <c r="C859" s="4" t="s">
        <v>1244</v>
      </c>
      <c r="D859" s="4" t="s">
        <v>103</v>
      </c>
      <c r="E859" s="51" t="s">
        <v>115</v>
      </c>
      <c r="F859" s="3">
        <v>450</v>
      </c>
      <c r="G859" s="3">
        <v>446</v>
      </c>
      <c r="H859" s="3">
        <v>17186</v>
      </c>
      <c r="I859" s="51" t="s">
        <v>105</v>
      </c>
      <c r="J859" s="3">
        <v>15167</v>
      </c>
      <c r="K859" s="4" t="s">
        <v>106</v>
      </c>
      <c r="L859" s="56" t="s">
        <v>440</v>
      </c>
      <c r="M859" s="20" t="s">
        <v>112</v>
      </c>
      <c r="N859" s="19"/>
      <c r="O859" s="19" t="str">
        <f t="shared" si="26"/>
        <v>15</v>
      </c>
      <c r="P859" s="64">
        <f t="shared" si="27"/>
        <v>42566</v>
      </c>
    </row>
    <row r="860" spans="1:16" x14ac:dyDescent="0.25">
      <c r="A860" s="26">
        <v>42566.545740740738</v>
      </c>
      <c r="B860" s="51" t="s">
        <v>120</v>
      </c>
      <c r="C860" s="4" t="s">
        <v>63</v>
      </c>
      <c r="D860" s="4" t="s">
        <v>103</v>
      </c>
      <c r="E860" s="51" t="s">
        <v>115</v>
      </c>
      <c r="F860" s="3">
        <v>300</v>
      </c>
      <c r="G860" s="3">
        <v>296</v>
      </c>
      <c r="H860" s="3">
        <v>20317</v>
      </c>
      <c r="I860" s="51" t="s">
        <v>105</v>
      </c>
      <c r="J860" s="3">
        <v>20338</v>
      </c>
      <c r="K860" s="4" t="s">
        <v>111</v>
      </c>
      <c r="L860" s="56" t="s">
        <v>490</v>
      </c>
      <c r="M860" s="20" t="s">
        <v>112</v>
      </c>
      <c r="N860" s="19"/>
      <c r="O860" s="19" t="str">
        <f t="shared" si="26"/>
        <v>15</v>
      </c>
      <c r="P860" s="64">
        <f t="shared" si="27"/>
        <v>42566</v>
      </c>
    </row>
    <row r="861" spans="1:16" x14ac:dyDescent="0.25">
      <c r="A861" s="26">
        <v>42566.404178240744</v>
      </c>
      <c r="B861" s="51" t="s">
        <v>134</v>
      </c>
      <c r="C861" s="4" t="s">
        <v>1245</v>
      </c>
      <c r="D861" s="4" t="s">
        <v>103</v>
      </c>
      <c r="E861" s="51" t="s">
        <v>115</v>
      </c>
      <c r="F861" s="3">
        <v>300</v>
      </c>
      <c r="G861" s="3">
        <v>336</v>
      </c>
      <c r="H861" s="3">
        <v>22115</v>
      </c>
      <c r="I861" s="51" t="s">
        <v>105</v>
      </c>
      <c r="J861" s="3">
        <v>21848</v>
      </c>
      <c r="K861" s="4" t="s">
        <v>106</v>
      </c>
      <c r="L861" s="56" t="s">
        <v>558</v>
      </c>
      <c r="M861" s="20" t="s">
        <v>112</v>
      </c>
      <c r="N861" s="19"/>
      <c r="O861" s="19" t="str">
        <f t="shared" si="26"/>
        <v>15</v>
      </c>
      <c r="P861" s="64">
        <f t="shared" si="27"/>
        <v>42566</v>
      </c>
    </row>
    <row r="862" spans="1:16" x14ac:dyDescent="0.25">
      <c r="A862" s="26">
        <v>42566.851898148147</v>
      </c>
      <c r="B862" s="51" t="s">
        <v>164</v>
      </c>
      <c r="C862" s="4" t="s">
        <v>1246</v>
      </c>
      <c r="D862" s="4" t="s">
        <v>103</v>
      </c>
      <c r="E862" s="51" t="s">
        <v>115</v>
      </c>
      <c r="F862" s="3">
        <v>200</v>
      </c>
      <c r="G862" s="3">
        <v>236</v>
      </c>
      <c r="H862" s="3">
        <v>31019</v>
      </c>
      <c r="I862" s="51" t="s">
        <v>105</v>
      </c>
      <c r="J862" s="3">
        <v>30562</v>
      </c>
      <c r="K862" s="4" t="s">
        <v>106</v>
      </c>
      <c r="L862" s="56" t="s">
        <v>473</v>
      </c>
      <c r="M862" s="20" t="s">
        <v>112</v>
      </c>
      <c r="N862" s="19"/>
      <c r="O862" s="19" t="str">
        <f t="shared" si="26"/>
        <v>15</v>
      </c>
      <c r="P862" s="64">
        <f t="shared" si="27"/>
        <v>42566</v>
      </c>
    </row>
    <row r="863" spans="1:16" x14ac:dyDescent="0.25">
      <c r="A863" s="26">
        <v>42566.9606712963</v>
      </c>
      <c r="B863" s="51" t="s">
        <v>131</v>
      </c>
      <c r="C863" s="4" t="s">
        <v>1247</v>
      </c>
      <c r="D863" s="4" t="s">
        <v>103</v>
      </c>
      <c r="E863" s="51" t="s">
        <v>115</v>
      </c>
      <c r="F863" s="3">
        <v>600</v>
      </c>
      <c r="G863" s="3">
        <v>651</v>
      </c>
      <c r="H863" s="3">
        <v>193101</v>
      </c>
      <c r="I863" s="51" t="s">
        <v>105</v>
      </c>
      <c r="J863" s="3">
        <v>191104</v>
      </c>
      <c r="K863" s="4" t="s">
        <v>106</v>
      </c>
      <c r="L863" s="56" t="s">
        <v>432</v>
      </c>
      <c r="M863" s="20" t="s">
        <v>112</v>
      </c>
      <c r="N863" s="19"/>
      <c r="O863" s="19" t="str">
        <f t="shared" si="26"/>
        <v>15</v>
      </c>
      <c r="P863" s="64">
        <f t="shared" si="27"/>
        <v>42566</v>
      </c>
    </row>
    <row r="864" spans="1:16" x14ac:dyDescent="0.25">
      <c r="A864" s="26">
        <v>42566.302800925929</v>
      </c>
      <c r="B864" s="51" t="s">
        <v>132</v>
      </c>
      <c r="C864" s="4" t="s">
        <v>1248</v>
      </c>
      <c r="D864" s="4" t="s">
        <v>103</v>
      </c>
      <c r="E864" s="51" t="s">
        <v>115</v>
      </c>
      <c r="F864" s="3">
        <v>750</v>
      </c>
      <c r="G864" s="3">
        <v>791</v>
      </c>
      <c r="H864" s="3">
        <v>202555</v>
      </c>
      <c r="I864" s="51" t="s">
        <v>105</v>
      </c>
      <c r="J864" s="3">
        <v>200464</v>
      </c>
      <c r="K864" s="4" t="s">
        <v>106</v>
      </c>
      <c r="L864" s="56" t="s">
        <v>418</v>
      </c>
      <c r="M864" s="20" t="s">
        <v>112</v>
      </c>
      <c r="N864" s="19"/>
      <c r="O864" s="19" t="str">
        <f t="shared" si="26"/>
        <v>15</v>
      </c>
      <c r="P864" s="64">
        <f t="shared" si="27"/>
        <v>42566</v>
      </c>
    </row>
    <row r="865" spans="1:16" x14ac:dyDescent="0.25">
      <c r="A865" s="26">
        <v>42566.858287037037</v>
      </c>
      <c r="B865" s="51" t="s">
        <v>120</v>
      </c>
      <c r="C865" s="4" t="s">
        <v>1249</v>
      </c>
      <c r="D865" s="4" t="s">
        <v>103</v>
      </c>
      <c r="E865" s="51" t="s">
        <v>115</v>
      </c>
      <c r="F865" s="3">
        <v>450</v>
      </c>
      <c r="G865" s="3">
        <v>565</v>
      </c>
      <c r="H865" s="3">
        <v>217690</v>
      </c>
      <c r="I865" s="51" t="s">
        <v>105</v>
      </c>
      <c r="J865" s="3">
        <v>218954</v>
      </c>
      <c r="K865" s="4" t="s">
        <v>111</v>
      </c>
      <c r="L865" s="56" t="s">
        <v>432</v>
      </c>
      <c r="M865" s="20" t="s">
        <v>112</v>
      </c>
      <c r="N865" s="19"/>
      <c r="O865" s="19" t="str">
        <f t="shared" si="26"/>
        <v>15</v>
      </c>
      <c r="P865" s="64">
        <f t="shared" si="27"/>
        <v>42566</v>
      </c>
    </row>
    <row r="866" spans="1:16" x14ac:dyDescent="0.25">
      <c r="A866" s="26">
        <v>42566.645277777781</v>
      </c>
      <c r="B866" s="51" t="s">
        <v>118</v>
      </c>
      <c r="C866" s="4" t="s">
        <v>320</v>
      </c>
      <c r="D866" s="4" t="s">
        <v>116</v>
      </c>
      <c r="E866" s="51" t="s">
        <v>115</v>
      </c>
      <c r="F866" s="3">
        <v>350</v>
      </c>
      <c r="G866" s="3">
        <v>404</v>
      </c>
      <c r="H866" s="3">
        <v>225902</v>
      </c>
      <c r="I866" s="51" t="s">
        <v>105</v>
      </c>
      <c r="J866" s="3">
        <v>228668</v>
      </c>
      <c r="K866" s="4" t="s">
        <v>106</v>
      </c>
      <c r="L866" s="56" t="s">
        <v>409</v>
      </c>
      <c r="M866" s="20" t="s">
        <v>112</v>
      </c>
      <c r="N866" s="19"/>
      <c r="O866" s="19" t="str">
        <f t="shared" si="26"/>
        <v>15</v>
      </c>
      <c r="P866" s="64">
        <f t="shared" si="27"/>
        <v>42566</v>
      </c>
    </row>
    <row r="867" spans="1:16" x14ac:dyDescent="0.25">
      <c r="A867" s="17">
        <v>42566.822638888887</v>
      </c>
      <c r="B867" s="51" t="s">
        <v>165</v>
      </c>
      <c r="C867" s="4" t="s">
        <v>1250</v>
      </c>
      <c r="D867" s="4" t="s">
        <v>103</v>
      </c>
      <c r="E867" s="51" t="s">
        <v>115</v>
      </c>
      <c r="F867" s="3">
        <v>150</v>
      </c>
      <c r="G867" s="3">
        <v>304</v>
      </c>
      <c r="H867" s="3">
        <v>229456</v>
      </c>
      <c r="I867" s="51" t="s">
        <v>105</v>
      </c>
      <c r="J867" s="3">
        <v>230436</v>
      </c>
      <c r="K867" s="4" t="s">
        <v>111</v>
      </c>
      <c r="L867" s="56" t="s">
        <v>473</v>
      </c>
      <c r="M867" s="20" t="s">
        <v>112</v>
      </c>
      <c r="N867" s="19"/>
      <c r="O867" s="19" t="str">
        <f t="shared" si="26"/>
        <v>15</v>
      </c>
      <c r="P867" s="64">
        <f t="shared" si="27"/>
        <v>42566</v>
      </c>
    </row>
    <row r="868" spans="1:16" x14ac:dyDescent="0.25">
      <c r="A868" s="26">
        <v>42566.524247685185</v>
      </c>
      <c r="B868" s="51" t="s">
        <v>165</v>
      </c>
      <c r="C868" s="4" t="s">
        <v>1251</v>
      </c>
      <c r="D868" s="4" t="s">
        <v>103</v>
      </c>
      <c r="E868" s="51" t="s">
        <v>115</v>
      </c>
      <c r="F868" s="3">
        <v>150</v>
      </c>
      <c r="G868" s="3">
        <v>131</v>
      </c>
      <c r="H868" s="3">
        <v>231652</v>
      </c>
      <c r="I868" s="51" t="s">
        <v>105</v>
      </c>
      <c r="J868" s="3">
        <v>232080</v>
      </c>
      <c r="K868" s="4" t="s">
        <v>111</v>
      </c>
      <c r="L868" s="56" t="s">
        <v>413</v>
      </c>
      <c r="M868" s="20" t="s">
        <v>112</v>
      </c>
      <c r="N868" s="19"/>
      <c r="O868" s="19" t="str">
        <f t="shared" si="26"/>
        <v>15</v>
      </c>
      <c r="P868" s="64">
        <f t="shared" si="27"/>
        <v>42566</v>
      </c>
    </row>
    <row r="869" spans="1:16" x14ac:dyDescent="0.25">
      <c r="A869" s="26">
        <v>42566.620613425926</v>
      </c>
      <c r="B869" s="51" t="s">
        <v>133</v>
      </c>
      <c r="C869" s="4" t="s">
        <v>1252</v>
      </c>
      <c r="D869" s="4" t="s">
        <v>103</v>
      </c>
      <c r="E869" s="51" t="s">
        <v>115</v>
      </c>
      <c r="F869" s="3">
        <v>150</v>
      </c>
      <c r="G869" s="3">
        <v>142</v>
      </c>
      <c r="H869" s="3">
        <v>231517</v>
      </c>
      <c r="I869" s="51" t="s">
        <v>105</v>
      </c>
      <c r="J869" s="3">
        <v>232107</v>
      </c>
      <c r="K869" s="4" t="s">
        <v>111</v>
      </c>
      <c r="L869" s="56" t="s">
        <v>440</v>
      </c>
      <c r="M869" s="20" t="s">
        <v>112</v>
      </c>
      <c r="N869" s="19"/>
      <c r="O869" s="19" t="str">
        <f t="shared" si="26"/>
        <v>15</v>
      </c>
      <c r="P869" s="64">
        <f t="shared" si="27"/>
        <v>42566</v>
      </c>
    </row>
    <row r="870" spans="1:16" x14ac:dyDescent="0.25">
      <c r="A870" s="26">
        <v>42566.721759259257</v>
      </c>
      <c r="B870" s="51" t="s">
        <v>108</v>
      </c>
      <c r="C870" s="4" t="s">
        <v>465</v>
      </c>
      <c r="D870" s="4" t="s">
        <v>103</v>
      </c>
      <c r="E870" s="51" t="s">
        <v>122</v>
      </c>
      <c r="F870" s="3">
        <v>0</v>
      </c>
      <c r="G870" s="3">
        <v>75</v>
      </c>
      <c r="H870" s="3">
        <v>64374</v>
      </c>
      <c r="I870" s="51" t="s">
        <v>123</v>
      </c>
      <c r="J870" s="3">
        <v>64008</v>
      </c>
      <c r="K870" s="4" t="s">
        <v>106</v>
      </c>
      <c r="L870" s="56" t="s">
        <v>434</v>
      </c>
      <c r="M870" s="20" t="s">
        <v>112</v>
      </c>
      <c r="N870" s="19"/>
      <c r="O870" s="19" t="str">
        <f t="shared" si="26"/>
        <v>15</v>
      </c>
      <c r="P870" s="64">
        <f t="shared" si="27"/>
        <v>42566</v>
      </c>
    </row>
    <row r="871" spans="1:16" x14ac:dyDescent="0.25">
      <c r="A871" s="26">
        <v>42566.726111111115</v>
      </c>
      <c r="B871" s="51" t="s">
        <v>118</v>
      </c>
      <c r="C871" s="4" t="s">
        <v>1253</v>
      </c>
      <c r="D871" s="4" t="s">
        <v>103</v>
      </c>
      <c r="E871" s="51" t="s">
        <v>122</v>
      </c>
      <c r="F871" s="3">
        <v>0</v>
      </c>
      <c r="G871" s="3">
        <v>100</v>
      </c>
      <c r="H871" s="3">
        <v>127933</v>
      </c>
      <c r="I871" s="51" t="s">
        <v>123</v>
      </c>
      <c r="J871" s="3">
        <v>127587</v>
      </c>
      <c r="K871" s="4" t="s">
        <v>106</v>
      </c>
      <c r="L871" s="56" t="s">
        <v>409</v>
      </c>
      <c r="M871" s="20" t="s">
        <v>112</v>
      </c>
      <c r="N871" s="19"/>
      <c r="O871" s="19" t="str">
        <f t="shared" si="26"/>
        <v>15</v>
      </c>
      <c r="P871" s="64">
        <f t="shared" si="27"/>
        <v>42566</v>
      </c>
    </row>
    <row r="872" spans="1:16" x14ac:dyDescent="0.25">
      <c r="A872" s="26">
        <v>42566.69902777778</v>
      </c>
      <c r="B872" s="51" t="s">
        <v>136</v>
      </c>
      <c r="C872" s="4" t="s">
        <v>1254</v>
      </c>
      <c r="D872" s="4" t="s">
        <v>103</v>
      </c>
      <c r="E872" s="51" t="s">
        <v>122</v>
      </c>
      <c r="F872" s="3">
        <v>0</v>
      </c>
      <c r="G872" s="3">
        <v>435</v>
      </c>
      <c r="H872" s="3">
        <v>194027</v>
      </c>
      <c r="I872" s="51" t="s">
        <v>123</v>
      </c>
      <c r="J872" s="3">
        <v>191723</v>
      </c>
      <c r="K872" s="4" t="s">
        <v>106</v>
      </c>
      <c r="L872" s="56" t="s">
        <v>468</v>
      </c>
      <c r="M872" s="20" t="s">
        <v>112</v>
      </c>
      <c r="N872" s="19"/>
      <c r="O872" s="19" t="str">
        <f t="shared" si="26"/>
        <v>15</v>
      </c>
      <c r="P872" s="64">
        <f t="shared" si="27"/>
        <v>42566</v>
      </c>
    </row>
    <row r="873" spans="1:16" x14ac:dyDescent="0.25">
      <c r="A873" s="26">
        <v>42566.824537037035</v>
      </c>
      <c r="B873" s="51" t="s">
        <v>165</v>
      </c>
      <c r="C873" s="4" t="s">
        <v>1250</v>
      </c>
      <c r="D873" s="4" t="s">
        <v>116</v>
      </c>
      <c r="E873" s="51" t="s">
        <v>1255</v>
      </c>
      <c r="F873" s="3">
        <v>0</v>
      </c>
      <c r="G873" s="3">
        <v>138</v>
      </c>
      <c r="H873" s="3">
        <v>230448</v>
      </c>
      <c r="I873" s="51" t="s">
        <v>128</v>
      </c>
      <c r="J873" s="3">
        <v>228572</v>
      </c>
      <c r="K873" s="4" t="s">
        <v>111</v>
      </c>
      <c r="L873" s="56" t="s">
        <v>473</v>
      </c>
      <c r="M873" s="20" t="s">
        <v>112</v>
      </c>
      <c r="N873" s="19"/>
      <c r="O873" s="19" t="str">
        <f t="shared" si="26"/>
        <v>15</v>
      </c>
      <c r="P873" s="64">
        <f t="shared" si="27"/>
        <v>42566</v>
      </c>
    </row>
    <row r="874" spans="1:16" x14ac:dyDescent="0.25">
      <c r="A874" s="26">
        <v>42566.761597222219</v>
      </c>
      <c r="B874" s="51" t="s">
        <v>120</v>
      </c>
      <c r="C874" s="4" t="s">
        <v>1256</v>
      </c>
      <c r="D874" s="4" t="s">
        <v>103</v>
      </c>
      <c r="E874" s="51" t="s">
        <v>127</v>
      </c>
      <c r="F874" s="3">
        <v>0</v>
      </c>
      <c r="G874" s="3">
        <v>155</v>
      </c>
      <c r="H874" s="3">
        <v>1442</v>
      </c>
      <c r="I874" s="51" t="s">
        <v>128</v>
      </c>
      <c r="J874" s="3">
        <v>1942</v>
      </c>
      <c r="K874" s="4" t="s">
        <v>111</v>
      </c>
      <c r="L874" s="56" t="s">
        <v>432</v>
      </c>
      <c r="M874" s="20" t="s">
        <v>107</v>
      </c>
      <c r="N874" s="19"/>
      <c r="O874" s="19" t="str">
        <f t="shared" si="26"/>
        <v>15</v>
      </c>
      <c r="P874" s="64">
        <f t="shared" si="27"/>
        <v>42566</v>
      </c>
    </row>
    <row r="875" spans="1:16" x14ac:dyDescent="0.25">
      <c r="A875" s="26">
        <v>42566.362337962964</v>
      </c>
      <c r="B875" s="51" t="s">
        <v>131</v>
      </c>
      <c r="C875" s="4" t="s">
        <v>1257</v>
      </c>
      <c r="D875" s="4" t="s">
        <v>103</v>
      </c>
      <c r="E875" s="51" t="s">
        <v>127</v>
      </c>
      <c r="F875" s="3">
        <v>0</v>
      </c>
      <c r="G875" s="3">
        <v>150</v>
      </c>
      <c r="H875" s="3">
        <v>232218</v>
      </c>
      <c r="I875" s="51" t="s">
        <v>128</v>
      </c>
      <c r="J875" s="3">
        <v>231650</v>
      </c>
      <c r="K875" s="4" t="s">
        <v>106</v>
      </c>
      <c r="L875" s="56" t="s">
        <v>396</v>
      </c>
      <c r="M875" s="20" t="s">
        <v>107</v>
      </c>
      <c r="N875" s="19"/>
      <c r="O875" s="19" t="str">
        <f t="shared" si="26"/>
        <v>15</v>
      </c>
      <c r="P875" s="64">
        <f t="shared" si="27"/>
        <v>42566</v>
      </c>
    </row>
    <row r="876" spans="1:16" x14ac:dyDescent="0.25">
      <c r="A876" s="26">
        <v>42566.24291666667</v>
      </c>
      <c r="B876" s="51" t="s">
        <v>145</v>
      </c>
      <c r="C876" s="4" t="s">
        <v>321</v>
      </c>
      <c r="D876" s="4" t="s">
        <v>103</v>
      </c>
      <c r="E876" s="51" t="s">
        <v>129</v>
      </c>
      <c r="F876" s="3">
        <v>0</v>
      </c>
      <c r="G876" s="3">
        <v>16</v>
      </c>
      <c r="H876" s="3">
        <v>17</v>
      </c>
      <c r="I876" s="51" t="s">
        <v>130</v>
      </c>
      <c r="J876" s="3">
        <v>1</v>
      </c>
      <c r="K876" s="4" t="s">
        <v>106</v>
      </c>
      <c r="L876" s="56" t="s">
        <v>396</v>
      </c>
      <c r="M876" s="20" t="s">
        <v>112</v>
      </c>
      <c r="N876" s="19"/>
      <c r="O876" s="19" t="str">
        <f t="shared" si="26"/>
        <v>15</v>
      </c>
      <c r="P876" s="64">
        <f t="shared" si="27"/>
        <v>42566</v>
      </c>
    </row>
    <row r="877" spans="1:16" x14ac:dyDescent="0.25">
      <c r="A877" s="26">
        <v>42566.335451388892</v>
      </c>
      <c r="B877" s="51" t="s">
        <v>134</v>
      </c>
      <c r="C877" s="4" t="s">
        <v>54</v>
      </c>
      <c r="D877" s="4" t="s">
        <v>103</v>
      </c>
      <c r="E877" s="4" t="s">
        <v>129</v>
      </c>
      <c r="F877" s="3">
        <v>0</v>
      </c>
      <c r="G877" s="3">
        <v>71</v>
      </c>
      <c r="H877" s="3">
        <v>278</v>
      </c>
      <c r="I877" s="4" t="s">
        <v>130</v>
      </c>
      <c r="J877" s="3">
        <v>1</v>
      </c>
      <c r="K877" s="4" t="s">
        <v>106</v>
      </c>
      <c r="L877" s="56" t="s">
        <v>558</v>
      </c>
      <c r="M877" s="20" t="s">
        <v>112</v>
      </c>
      <c r="N877" s="19"/>
      <c r="O877" s="19" t="str">
        <f t="shared" si="26"/>
        <v>15</v>
      </c>
      <c r="P877" s="64">
        <f t="shared" si="27"/>
        <v>42566</v>
      </c>
    </row>
    <row r="878" spans="1:16" x14ac:dyDescent="0.25">
      <c r="A878" s="26">
        <v>42566.544062499997</v>
      </c>
      <c r="B878" s="51" t="s">
        <v>132</v>
      </c>
      <c r="C878" s="4" t="s">
        <v>1258</v>
      </c>
      <c r="D878" s="4" t="s">
        <v>103</v>
      </c>
      <c r="E878" s="51" t="s">
        <v>129</v>
      </c>
      <c r="F878" s="3">
        <v>0</v>
      </c>
      <c r="G878" s="3">
        <v>39</v>
      </c>
      <c r="H878" s="3">
        <v>136</v>
      </c>
      <c r="I878" s="51" t="s">
        <v>130</v>
      </c>
      <c r="J878" s="3">
        <v>1</v>
      </c>
      <c r="K878" s="4" t="s">
        <v>106</v>
      </c>
      <c r="L878" s="56" t="s">
        <v>425</v>
      </c>
      <c r="M878" s="20" t="s">
        <v>112</v>
      </c>
      <c r="N878" s="19"/>
      <c r="O878" s="19" t="str">
        <f t="shared" si="26"/>
        <v>15</v>
      </c>
      <c r="P878" s="64">
        <f t="shared" si="27"/>
        <v>42566</v>
      </c>
    </row>
    <row r="879" spans="1:16" x14ac:dyDescent="0.25">
      <c r="A879" s="26">
        <v>42566.59584490741</v>
      </c>
      <c r="B879" s="51" t="s">
        <v>118</v>
      </c>
      <c r="C879" s="4" t="s">
        <v>1259</v>
      </c>
      <c r="D879" s="4" t="s">
        <v>103</v>
      </c>
      <c r="E879" s="51" t="s">
        <v>129</v>
      </c>
      <c r="F879" s="3">
        <v>0</v>
      </c>
      <c r="G879" s="3">
        <v>71</v>
      </c>
      <c r="H879" s="3">
        <v>254</v>
      </c>
      <c r="I879" s="51" t="s">
        <v>130</v>
      </c>
      <c r="J879" s="3">
        <v>1</v>
      </c>
      <c r="K879" s="4" t="s">
        <v>106</v>
      </c>
      <c r="L879" s="56" t="s">
        <v>409</v>
      </c>
      <c r="M879" s="20" t="s">
        <v>112</v>
      </c>
      <c r="N879" s="19"/>
      <c r="O879" s="19" t="str">
        <f t="shared" si="26"/>
        <v>15</v>
      </c>
      <c r="P879" s="64">
        <f t="shared" si="27"/>
        <v>42566</v>
      </c>
    </row>
    <row r="880" spans="1:16" x14ac:dyDescent="0.25">
      <c r="A880" s="26">
        <v>42566.638298611113</v>
      </c>
      <c r="B880" s="51" t="s">
        <v>164</v>
      </c>
      <c r="C880" s="4" t="s">
        <v>1260</v>
      </c>
      <c r="D880" s="4" t="s">
        <v>103</v>
      </c>
      <c r="E880" s="51" t="s">
        <v>129</v>
      </c>
      <c r="F880" s="3">
        <v>0</v>
      </c>
      <c r="G880" s="3">
        <v>70</v>
      </c>
      <c r="H880" s="3">
        <v>245</v>
      </c>
      <c r="I880" s="51" t="s">
        <v>130</v>
      </c>
      <c r="J880" s="3">
        <v>1</v>
      </c>
      <c r="K880" s="4" t="s">
        <v>106</v>
      </c>
      <c r="L880" s="56" t="s">
        <v>413</v>
      </c>
      <c r="M880" s="20" t="s">
        <v>112</v>
      </c>
      <c r="N880" s="19"/>
      <c r="O880" s="19" t="str">
        <f t="shared" si="26"/>
        <v>15</v>
      </c>
      <c r="P880" s="64">
        <f t="shared" si="27"/>
        <v>42566</v>
      </c>
    </row>
    <row r="881" spans="1:16" x14ac:dyDescent="0.25">
      <c r="A881" s="26">
        <v>42566.326284722221</v>
      </c>
      <c r="B881" s="51" t="s">
        <v>125</v>
      </c>
      <c r="C881" s="4" t="s">
        <v>1261</v>
      </c>
      <c r="D881" s="4" t="s">
        <v>103</v>
      </c>
      <c r="E881" s="51" t="s">
        <v>129</v>
      </c>
      <c r="F881" s="3">
        <v>0</v>
      </c>
      <c r="G881" s="3">
        <v>73</v>
      </c>
      <c r="H881" s="3">
        <v>233226</v>
      </c>
      <c r="I881" s="51" t="s">
        <v>130</v>
      </c>
      <c r="J881" s="3">
        <v>233491</v>
      </c>
      <c r="K881" s="4" t="s">
        <v>111</v>
      </c>
      <c r="L881" s="56" t="s">
        <v>463</v>
      </c>
      <c r="M881" s="20" t="s">
        <v>112</v>
      </c>
      <c r="N881" s="19"/>
      <c r="O881" s="19" t="str">
        <f t="shared" si="26"/>
        <v>15</v>
      </c>
      <c r="P881" s="64">
        <f t="shared" si="27"/>
        <v>42566</v>
      </c>
    </row>
    <row r="882" spans="1:16" x14ac:dyDescent="0.25">
      <c r="A882" s="26">
        <v>42567.699062500003</v>
      </c>
      <c r="B882" s="51" t="s">
        <v>102</v>
      </c>
      <c r="C882" s="4" t="s">
        <v>89</v>
      </c>
      <c r="D882" s="4" t="s">
        <v>103</v>
      </c>
      <c r="E882" s="51" t="s">
        <v>104</v>
      </c>
      <c r="F882" s="3">
        <v>790</v>
      </c>
      <c r="G882" s="3">
        <v>196</v>
      </c>
      <c r="H882" s="3">
        <v>28503</v>
      </c>
      <c r="I882" s="51" t="s">
        <v>105</v>
      </c>
      <c r="J882" s="3">
        <v>68497</v>
      </c>
      <c r="K882" s="4" t="s">
        <v>106</v>
      </c>
      <c r="L882" s="56" t="s">
        <v>409</v>
      </c>
      <c r="M882" s="20" t="s">
        <v>107</v>
      </c>
      <c r="N882" s="19" t="s">
        <v>47</v>
      </c>
      <c r="O882" s="19" t="str">
        <f t="shared" si="26"/>
        <v>16</v>
      </c>
      <c r="P882" s="64">
        <f t="shared" si="27"/>
        <v>42567</v>
      </c>
    </row>
    <row r="883" spans="1:16" x14ac:dyDescent="0.25">
      <c r="A883" s="26">
        <v>42567.601666666669</v>
      </c>
      <c r="B883" s="51" t="s">
        <v>146</v>
      </c>
      <c r="C883" s="4" t="s">
        <v>325</v>
      </c>
      <c r="D883" s="4" t="s">
        <v>103</v>
      </c>
      <c r="E883" s="51" t="s">
        <v>115</v>
      </c>
      <c r="F883" s="3">
        <v>150</v>
      </c>
      <c r="G883" s="3">
        <v>126</v>
      </c>
      <c r="H883" s="3">
        <v>1851</v>
      </c>
      <c r="I883" s="51" t="s">
        <v>105</v>
      </c>
      <c r="J883" s="3">
        <v>2096</v>
      </c>
      <c r="K883" s="4" t="s">
        <v>111</v>
      </c>
      <c r="L883" s="56" t="s">
        <v>480</v>
      </c>
      <c r="M883" s="20" t="s">
        <v>112</v>
      </c>
      <c r="N883" s="19"/>
      <c r="O883" s="19" t="str">
        <f t="shared" si="26"/>
        <v>16</v>
      </c>
      <c r="P883" s="64">
        <f t="shared" si="27"/>
        <v>42567</v>
      </c>
    </row>
    <row r="884" spans="1:16" x14ac:dyDescent="0.25">
      <c r="A884" s="26">
        <v>42567.763356481482</v>
      </c>
      <c r="B884" s="51" t="s">
        <v>108</v>
      </c>
      <c r="C884" s="4" t="s">
        <v>1262</v>
      </c>
      <c r="D884" s="4" t="s">
        <v>116</v>
      </c>
      <c r="E884" s="51" t="s">
        <v>115</v>
      </c>
      <c r="F884" s="3">
        <v>150</v>
      </c>
      <c r="G884" s="3">
        <v>201</v>
      </c>
      <c r="H884" s="3">
        <v>3600</v>
      </c>
      <c r="I884" s="51" t="s">
        <v>105</v>
      </c>
      <c r="J884" s="3">
        <v>2096</v>
      </c>
      <c r="K884" s="4" t="s">
        <v>111</v>
      </c>
      <c r="L884" s="56" t="s">
        <v>432</v>
      </c>
      <c r="M884" s="20" t="s">
        <v>112</v>
      </c>
      <c r="N884" s="19"/>
      <c r="O884" s="19" t="str">
        <f t="shared" si="26"/>
        <v>16</v>
      </c>
      <c r="P884" s="64">
        <f t="shared" si="27"/>
        <v>42567</v>
      </c>
    </row>
    <row r="885" spans="1:16" x14ac:dyDescent="0.25">
      <c r="A885" s="26">
        <v>42567.853449074071</v>
      </c>
      <c r="B885" s="51" t="s">
        <v>134</v>
      </c>
      <c r="C885" s="4" t="s">
        <v>1263</v>
      </c>
      <c r="D885" s="4" t="s">
        <v>103</v>
      </c>
      <c r="E885" s="51" t="s">
        <v>115</v>
      </c>
      <c r="F885" s="3">
        <v>450</v>
      </c>
      <c r="G885" s="3">
        <v>452</v>
      </c>
      <c r="H885" s="3">
        <v>17759</v>
      </c>
      <c r="I885" s="51" t="s">
        <v>105</v>
      </c>
      <c r="J885" s="3">
        <v>15167</v>
      </c>
      <c r="K885" s="4" t="s">
        <v>106</v>
      </c>
      <c r="L885" s="56" t="s">
        <v>538</v>
      </c>
      <c r="M885" s="20" t="s">
        <v>112</v>
      </c>
      <c r="N885" s="19"/>
      <c r="O885" s="19" t="str">
        <f t="shared" si="26"/>
        <v>16</v>
      </c>
      <c r="P885" s="64">
        <f t="shared" si="27"/>
        <v>42567</v>
      </c>
    </row>
    <row r="886" spans="1:16" x14ac:dyDescent="0.25">
      <c r="A886" s="26">
        <v>42567.676504629628</v>
      </c>
      <c r="B886" s="51" t="s">
        <v>117</v>
      </c>
      <c r="C886" s="4" t="s">
        <v>479</v>
      </c>
      <c r="D886" s="4" t="s">
        <v>103</v>
      </c>
      <c r="E886" s="51" t="s">
        <v>115</v>
      </c>
      <c r="F886" s="3">
        <v>200</v>
      </c>
      <c r="G886" s="3">
        <v>235</v>
      </c>
      <c r="H886" s="3">
        <v>30432</v>
      </c>
      <c r="I886" s="51" t="s">
        <v>105</v>
      </c>
      <c r="J886" s="3">
        <v>30289</v>
      </c>
      <c r="K886" s="4" t="s">
        <v>106</v>
      </c>
      <c r="L886" s="56" t="s">
        <v>405</v>
      </c>
      <c r="M886" s="20" t="s">
        <v>112</v>
      </c>
      <c r="N886" s="19"/>
      <c r="O886" s="19" t="str">
        <f t="shared" si="26"/>
        <v>16</v>
      </c>
      <c r="P886" s="64">
        <f t="shared" si="27"/>
        <v>42567</v>
      </c>
    </row>
    <row r="887" spans="1:16" x14ac:dyDescent="0.25">
      <c r="A887" s="26">
        <v>42567.194895833331</v>
      </c>
      <c r="B887" s="51" t="s">
        <v>117</v>
      </c>
      <c r="C887" s="4" t="s">
        <v>1264</v>
      </c>
      <c r="D887" s="4" t="s">
        <v>103</v>
      </c>
      <c r="E887" s="51" t="s">
        <v>115</v>
      </c>
      <c r="F887" s="3">
        <v>200</v>
      </c>
      <c r="G887" s="3">
        <v>194</v>
      </c>
      <c r="H887" s="3">
        <v>30750</v>
      </c>
      <c r="I887" s="51" t="s">
        <v>105</v>
      </c>
      <c r="J887" s="3">
        <v>30562</v>
      </c>
      <c r="K887" s="4" t="s">
        <v>106</v>
      </c>
      <c r="L887" s="56" t="s">
        <v>1108</v>
      </c>
      <c r="M887" s="20" t="s">
        <v>112</v>
      </c>
      <c r="N887" s="19"/>
      <c r="O887" s="19" t="str">
        <f t="shared" si="26"/>
        <v>16</v>
      </c>
      <c r="P887" s="64">
        <f t="shared" si="27"/>
        <v>42567</v>
      </c>
    </row>
    <row r="888" spans="1:16" x14ac:dyDescent="0.25">
      <c r="A888" s="26">
        <v>42567.576261574075</v>
      </c>
      <c r="B888" s="51" t="s">
        <v>117</v>
      </c>
      <c r="C888" s="4" t="s">
        <v>182</v>
      </c>
      <c r="D888" s="4" t="s">
        <v>103</v>
      </c>
      <c r="E888" s="51" t="s">
        <v>115</v>
      </c>
      <c r="F888" s="3">
        <v>200</v>
      </c>
      <c r="G888" s="3">
        <v>268</v>
      </c>
      <c r="H888" s="3">
        <v>31240</v>
      </c>
      <c r="I888" s="51" t="s">
        <v>105</v>
      </c>
      <c r="J888" s="3">
        <v>30562</v>
      </c>
      <c r="K888" s="4" t="s">
        <v>106</v>
      </c>
      <c r="L888" s="56" t="s">
        <v>405</v>
      </c>
      <c r="M888" s="20" t="s">
        <v>112</v>
      </c>
      <c r="N888" s="19"/>
      <c r="O888" s="19" t="str">
        <f t="shared" si="26"/>
        <v>16</v>
      </c>
      <c r="P888" s="64">
        <f t="shared" si="27"/>
        <v>42567</v>
      </c>
    </row>
    <row r="889" spans="1:16" x14ac:dyDescent="0.25">
      <c r="A889" s="26">
        <v>42567.692800925928</v>
      </c>
      <c r="B889" s="51" t="s">
        <v>134</v>
      </c>
      <c r="C889" s="4" t="s">
        <v>90</v>
      </c>
      <c r="D889" s="4" t="s">
        <v>103</v>
      </c>
      <c r="E889" s="51" t="s">
        <v>115</v>
      </c>
      <c r="F889" s="3">
        <v>450</v>
      </c>
      <c r="G889" s="3">
        <v>442</v>
      </c>
      <c r="H889" s="3">
        <v>105048</v>
      </c>
      <c r="I889" s="51" t="s">
        <v>105</v>
      </c>
      <c r="J889" s="3">
        <v>104646</v>
      </c>
      <c r="K889" s="4" t="s">
        <v>106</v>
      </c>
      <c r="L889" s="56" t="s">
        <v>436</v>
      </c>
      <c r="M889" s="20" t="s">
        <v>112</v>
      </c>
      <c r="N889" s="19"/>
      <c r="O889" s="19" t="str">
        <f t="shared" si="26"/>
        <v>16</v>
      </c>
      <c r="P889" s="64">
        <f t="shared" si="27"/>
        <v>42567</v>
      </c>
    </row>
    <row r="890" spans="1:16" x14ac:dyDescent="0.25">
      <c r="A890" s="26">
        <v>42567.754120370373</v>
      </c>
      <c r="B890" s="51" t="s">
        <v>117</v>
      </c>
      <c r="C890" s="4" t="s">
        <v>183</v>
      </c>
      <c r="D890" s="4" t="s">
        <v>103</v>
      </c>
      <c r="E890" s="4" t="s">
        <v>115</v>
      </c>
      <c r="F890" s="3">
        <v>450</v>
      </c>
      <c r="G890" s="3">
        <v>586</v>
      </c>
      <c r="H890" s="3">
        <v>158761</v>
      </c>
      <c r="I890" s="4" t="s">
        <v>105</v>
      </c>
      <c r="J890" s="3">
        <v>156300</v>
      </c>
      <c r="K890" s="4" t="s">
        <v>106</v>
      </c>
      <c r="L890" s="56" t="s">
        <v>405</v>
      </c>
      <c r="M890" s="20" t="s">
        <v>112</v>
      </c>
      <c r="N890" s="19"/>
      <c r="O890" s="19" t="str">
        <f t="shared" si="26"/>
        <v>16</v>
      </c>
      <c r="P890" s="64">
        <f t="shared" si="27"/>
        <v>42567</v>
      </c>
    </row>
    <row r="891" spans="1:16" x14ac:dyDescent="0.25">
      <c r="A891" s="26">
        <v>42567.786099537036</v>
      </c>
      <c r="B891" s="51" t="s">
        <v>124</v>
      </c>
      <c r="C891" s="4" t="s">
        <v>92</v>
      </c>
      <c r="D891" s="4" t="s">
        <v>116</v>
      </c>
      <c r="E891" s="51" t="s">
        <v>115</v>
      </c>
      <c r="F891" s="3">
        <v>700</v>
      </c>
      <c r="G891" s="3">
        <v>752</v>
      </c>
      <c r="H891" s="3">
        <v>180016</v>
      </c>
      <c r="I891" s="51" t="s">
        <v>105</v>
      </c>
      <c r="J891" s="3">
        <v>183829</v>
      </c>
      <c r="K891" s="4" t="s">
        <v>106</v>
      </c>
      <c r="L891" s="56" t="s">
        <v>450</v>
      </c>
      <c r="M891" s="20" t="s">
        <v>112</v>
      </c>
      <c r="N891" s="19"/>
      <c r="O891" s="19" t="str">
        <f t="shared" si="26"/>
        <v>16</v>
      </c>
      <c r="P891" s="64">
        <f t="shared" si="27"/>
        <v>42567</v>
      </c>
    </row>
    <row r="892" spans="1:16" x14ac:dyDescent="0.25">
      <c r="A892" s="26">
        <v>42567.314571759256</v>
      </c>
      <c r="B892" s="51" t="s">
        <v>141</v>
      </c>
      <c r="C892" s="4" t="s">
        <v>1265</v>
      </c>
      <c r="D892" s="4" t="s">
        <v>116</v>
      </c>
      <c r="E892" s="51" t="s">
        <v>115</v>
      </c>
      <c r="F892" s="3">
        <v>600</v>
      </c>
      <c r="G892" s="3">
        <v>658</v>
      </c>
      <c r="H892" s="3">
        <v>184419</v>
      </c>
      <c r="I892" s="51" t="s">
        <v>105</v>
      </c>
      <c r="J892" s="3">
        <v>190834</v>
      </c>
      <c r="K892" s="4" t="s">
        <v>106</v>
      </c>
      <c r="L892" s="56" t="s">
        <v>418</v>
      </c>
      <c r="M892" s="20" t="s">
        <v>112</v>
      </c>
      <c r="N892" s="19"/>
      <c r="O892" s="19" t="str">
        <f t="shared" si="26"/>
        <v>16</v>
      </c>
      <c r="P892" s="64">
        <f t="shared" si="27"/>
        <v>42567</v>
      </c>
    </row>
    <row r="893" spans="1:16" x14ac:dyDescent="0.25">
      <c r="A893" s="26">
        <v>42567.605902777781</v>
      </c>
      <c r="B893" s="51" t="s">
        <v>141</v>
      </c>
      <c r="C893" s="4" t="s">
        <v>1266</v>
      </c>
      <c r="D893" s="4" t="s">
        <v>116</v>
      </c>
      <c r="E893" s="51" t="s">
        <v>115</v>
      </c>
      <c r="F893" s="3">
        <v>600</v>
      </c>
      <c r="G893" s="3">
        <v>650</v>
      </c>
      <c r="H893" s="3">
        <v>184463</v>
      </c>
      <c r="I893" s="51" t="s">
        <v>105</v>
      </c>
      <c r="J893" s="3">
        <v>190834</v>
      </c>
      <c r="K893" s="4" t="s">
        <v>106</v>
      </c>
      <c r="L893" s="56" t="s">
        <v>468</v>
      </c>
      <c r="M893" s="20" t="s">
        <v>112</v>
      </c>
      <c r="N893" s="19"/>
      <c r="O893" s="19" t="str">
        <f t="shared" si="26"/>
        <v>16</v>
      </c>
      <c r="P893" s="64">
        <f t="shared" si="27"/>
        <v>42567</v>
      </c>
    </row>
    <row r="894" spans="1:16" x14ac:dyDescent="0.25">
      <c r="A894" s="26">
        <v>42567.731469907405</v>
      </c>
      <c r="B894" s="51" t="s">
        <v>126</v>
      </c>
      <c r="C894" s="4" t="s">
        <v>1267</v>
      </c>
      <c r="D894" s="4" t="s">
        <v>103</v>
      </c>
      <c r="E894" s="51" t="s">
        <v>115</v>
      </c>
      <c r="F894" s="3">
        <v>350</v>
      </c>
      <c r="G894" s="3">
        <v>497</v>
      </c>
      <c r="H894" s="3">
        <v>223129</v>
      </c>
      <c r="I894" s="51" t="s">
        <v>105</v>
      </c>
      <c r="J894" s="3">
        <v>224578</v>
      </c>
      <c r="K894" s="4" t="s">
        <v>111</v>
      </c>
      <c r="L894" s="56" t="s">
        <v>405</v>
      </c>
      <c r="M894" s="20" t="s">
        <v>112</v>
      </c>
      <c r="N894" s="19"/>
      <c r="O894" s="19" t="str">
        <f t="shared" si="26"/>
        <v>16</v>
      </c>
      <c r="P894" s="64">
        <f t="shared" si="27"/>
        <v>42567</v>
      </c>
    </row>
    <row r="895" spans="1:16" x14ac:dyDescent="0.25">
      <c r="A895" s="26">
        <v>42567.510023148148</v>
      </c>
      <c r="B895" s="51" t="s">
        <v>134</v>
      </c>
      <c r="C895" s="4" t="s">
        <v>1268</v>
      </c>
      <c r="D895" s="4" t="s">
        <v>116</v>
      </c>
      <c r="E895" s="51" t="s">
        <v>115</v>
      </c>
      <c r="F895" s="3">
        <v>350</v>
      </c>
      <c r="G895" s="3">
        <v>402</v>
      </c>
      <c r="H895" s="3">
        <v>225922</v>
      </c>
      <c r="I895" s="51" t="s">
        <v>105</v>
      </c>
      <c r="J895" s="3">
        <v>228668</v>
      </c>
      <c r="K895" s="4" t="s">
        <v>106</v>
      </c>
      <c r="L895" s="56" t="s">
        <v>605</v>
      </c>
      <c r="M895" s="20" t="s">
        <v>112</v>
      </c>
      <c r="N895" s="19"/>
      <c r="O895" s="19" t="str">
        <f t="shared" si="26"/>
        <v>16</v>
      </c>
      <c r="P895" s="64">
        <f t="shared" si="27"/>
        <v>42567</v>
      </c>
    </row>
    <row r="896" spans="1:16" x14ac:dyDescent="0.25">
      <c r="A896" s="26">
        <v>42567.793425925927</v>
      </c>
      <c r="B896" s="4" t="s">
        <v>136</v>
      </c>
      <c r="C896" s="4" t="s">
        <v>1269</v>
      </c>
      <c r="D896" s="4" t="s">
        <v>116</v>
      </c>
      <c r="E896" s="4" t="s">
        <v>115</v>
      </c>
      <c r="F896" s="3">
        <v>350</v>
      </c>
      <c r="G896" s="3">
        <v>406</v>
      </c>
      <c r="H896" s="3">
        <v>225413</v>
      </c>
      <c r="I896" s="4" t="s">
        <v>105</v>
      </c>
      <c r="J896" s="3">
        <v>228668</v>
      </c>
      <c r="K896" s="4" t="s">
        <v>106</v>
      </c>
      <c r="L896" s="56" t="s">
        <v>434</v>
      </c>
      <c r="M896" s="20" t="s">
        <v>112</v>
      </c>
      <c r="N896" s="19"/>
      <c r="O896" s="19" t="str">
        <f t="shared" si="26"/>
        <v>16</v>
      </c>
      <c r="P896" s="64">
        <f t="shared" si="27"/>
        <v>42567</v>
      </c>
    </row>
    <row r="897" spans="1:16" x14ac:dyDescent="0.25">
      <c r="A897" s="26">
        <v>42567.831666666665</v>
      </c>
      <c r="B897" s="51" t="s">
        <v>134</v>
      </c>
      <c r="C897" s="4" t="s">
        <v>1263</v>
      </c>
      <c r="D897" s="4" t="s">
        <v>103</v>
      </c>
      <c r="E897" s="51" t="s">
        <v>115</v>
      </c>
      <c r="F897" s="3">
        <v>150</v>
      </c>
      <c r="G897" s="3">
        <v>211</v>
      </c>
      <c r="H897" s="3">
        <v>229894</v>
      </c>
      <c r="I897" s="51" t="s">
        <v>105</v>
      </c>
      <c r="J897" s="3">
        <v>229055</v>
      </c>
      <c r="K897" s="4" t="s">
        <v>106</v>
      </c>
      <c r="L897" s="56" t="s">
        <v>538</v>
      </c>
      <c r="M897" s="20" t="s">
        <v>112</v>
      </c>
      <c r="N897" s="19"/>
      <c r="O897" s="19" t="str">
        <f t="shared" si="26"/>
        <v>16</v>
      </c>
      <c r="P897" s="64">
        <f t="shared" si="27"/>
        <v>42567</v>
      </c>
    </row>
    <row r="898" spans="1:16" x14ac:dyDescent="0.25">
      <c r="A898" s="26">
        <v>42567.676342592589</v>
      </c>
      <c r="B898" s="51" t="s">
        <v>142</v>
      </c>
      <c r="C898" s="4" t="s">
        <v>64</v>
      </c>
      <c r="D898" s="4" t="s">
        <v>103</v>
      </c>
      <c r="E898" s="51" t="s">
        <v>115</v>
      </c>
      <c r="F898" s="3">
        <v>150</v>
      </c>
      <c r="G898" s="3">
        <v>117</v>
      </c>
      <c r="H898" s="3">
        <v>231544</v>
      </c>
      <c r="I898" s="51" t="s">
        <v>105</v>
      </c>
      <c r="J898" s="3">
        <v>232080</v>
      </c>
      <c r="K898" s="4" t="s">
        <v>111</v>
      </c>
      <c r="L898" s="56" t="s">
        <v>468</v>
      </c>
      <c r="M898" s="20" t="s">
        <v>112</v>
      </c>
      <c r="N898" s="19"/>
      <c r="O898" s="19" t="str">
        <f t="shared" ref="O898:O961" si="28">RIGHT(C898,2)</f>
        <v>16</v>
      </c>
      <c r="P898" s="64">
        <f t="shared" si="27"/>
        <v>42567</v>
      </c>
    </row>
    <row r="899" spans="1:16" x14ac:dyDescent="0.25">
      <c r="A899" s="26">
        <v>42567.552106481482</v>
      </c>
      <c r="B899" s="51" t="s">
        <v>117</v>
      </c>
      <c r="C899" s="4" t="s">
        <v>182</v>
      </c>
      <c r="D899" s="4" t="s">
        <v>116</v>
      </c>
      <c r="E899" s="4" t="s">
        <v>115</v>
      </c>
      <c r="F899" s="3">
        <v>350</v>
      </c>
      <c r="G899" s="3">
        <v>400</v>
      </c>
      <c r="H899" s="3">
        <v>225294</v>
      </c>
      <c r="I899" s="4" t="s">
        <v>105</v>
      </c>
      <c r="J899" s="3">
        <v>232080</v>
      </c>
      <c r="K899" s="4" t="s">
        <v>106</v>
      </c>
      <c r="L899" s="56" t="s">
        <v>405</v>
      </c>
      <c r="M899" s="20" t="s">
        <v>112</v>
      </c>
      <c r="N899" s="19"/>
      <c r="O899" s="19" t="str">
        <f t="shared" si="28"/>
        <v>16</v>
      </c>
      <c r="P899" s="64">
        <f t="shared" ref="P899:P962" si="29">42522+O899+29</f>
        <v>42567</v>
      </c>
    </row>
    <row r="900" spans="1:16" x14ac:dyDescent="0.25">
      <c r="A900" s="26">
        <v>42567.575092592589</v>
      </c>
      <c r="B900" s="51" t="s">
        <v>142</v>
      </c>
      <c r="C900" s="4" t="s">
        <v>324</v>
      </c>
      <c r="D900" s="4" t="s">
        <v>103</v>
      </c>
      <c r="E900" s="51" t="s">
        <v>122</v>
      </c>
      <c r="F900" s="3">
        <v>0</v>
      </c>
      <c r="G900" s="3">
        <v>100</v>
      </c>
      <c r="H900" s="3">
        <v>56483</v>
      </c>
      <c r="I900" s="51" t="s">
        <v>123</v>
      </c>
      <c r="J900" s="3">
        <v>56883</v>
      </c>
      <c r="K900" s="4" t="s">
        <v>111</v>
      </c>
      <c r="L900" s="56" t="s">
        <v>468</v>
      </c>
      <c r="M900" s="20" t="s">
        <v>107</v>
      </c>
      <c r="N900" s="19" t="s">
        <v>485</v>
      </c>
      <c r="O900" s="19" t="str">
        <f t="shared" si="28"/>
        <v>16</v>
      </c>
      <c r="P900" s="64">
        <f t="shared" si="29"/>
        <v>42567</v>
      </c>
    </row>
    <row r="901" spans="1:16" x14ac:dyDescent="0.25">
      <c r="A901" s="26">
        <v>42567.715381944443</v>
      </c>
      <c r="B901" s="51" t="s">
        <v>134</v>
      </c>
      <c r="C901" s="4" t="s">
        <v>90</v>
      </c>
      <c r="D901" s="4" t="s">
        <v>103</v>
      </c>
      <c r="E901" s="51" t="s">
        <v>122</v>
      </c>
      <c r="F901" s="3">
        <v>0</v>
      </c>
      <c r="G901" s="3">
        <v>105</v>
      </c>
      <c r="H901" s="3">
        <v>76036</v>
      </c>
      <c r="I901" s="51" t="s">
        <v>123</v>
      </c>
      <c r="J901" s="3">
        <v>75579</v>
      </c>
      <c r="K901" s="4" t="s">
        <v>106</v>
      </c>
      <c r="L901" s="56" t="s">
        <v>436</v>
      </c>
      <c r="M901" s="20" t="s">
        <v>107</v>
      </c>
      <c r="N901" s="19" t="s">
        <v>482</v>
      </c>
      <c r="O901" s="19" t="str">
        <f t="shared" si="28"/>
        <v>16</v>
      </c>
      <c r="P901" s="64">
        <f t="shared" si="29"/>
        <v>42567</v>
      </c>
    </row>
    <row r="902" spans="1:16" x14ac:dyDescent="0.25">
      <c r="A902" s="26">
        <v>42567.71292824074</v>
      </c>
      <c r="B902" s="4" t="s">
        <v>134</v>
      </c>
      <c r="C902" s="4" t="s">
        <v>90</v>
      </c>
      <c r="D902" s="4" t="s">
        <v>103</v>
      </c>
      <c r="E902" s="4" t="s">
        <v>122</v>
      </c>
      <c r="F902" s="3">
        <v>0</v>
      </c>
      <c r="G902" s="3">
        <v>131</v>
      </c>
      <c r="H902" s="3">
        <v>82382</v>
      </c>
      <c r="I902" s="4" t="s">
        <v>123</v>
      </c>
      <c r="J902" s="3">
        <v>81751</v>
      </c>
      <c r="K902" s="4" t="s">
        <v>106</v>
      </c>
      <c r="L902" s="56" t="s">
        <v>436</v>
      </c>
      <c r="M902" s="20" t="s">
        <v>107</v>
      </c>
      <c r="N902" s="19" t="s">
        <v>1270</v>
      </c>
      <c r="O902" s="19" t="str">
        <f t="shared" si="28"/>
        <v>16</v>
      </c>
      <c r="P902" s="64">
        <f t="shared" si="29"/>
        <v>42567</v>
      </c>
    </row>
    <row r="903" spans="1:16" x14ac:dyDescent="0.25">
      <c r="A903" s="26">
        <v>42567.728819444441</v>
      </c>
      <c r="B903" s="51" t="s">
        <v>143</v>
      </c>
      <c r="C903" s="4" t="s">
        <v>91</v>
      </c>
      <c r="D903" s="4" t="s">
        <v>103</v>
      </c>
      <c r="E903" s="51" t="s">
        <v>122</v>
      </c>
      <c r="F903" s="3">
        <v>0</v>
      </c>
      <c r="G903" s="3">
        <v>44</v>
      </c>
      <c r="H903" s="3">
        <v>88045</v>
      </c>
      <c r="I903" s="51" t="s">
        <v>123</v>
      </c>
      <c r="J903" s="3">
        <v>87902</v>
      </c>
      <c r="K903" s="4" t="s">
        <v>106</v>
      </c>
      <c r="L903" s="56" t="s">
        <v>420</v>
      </c>
      <c r="M903" s="20" t="s">
        <v>107</v>
      </c>
      <c r="N903" s="19" t="s">
        <v>483</v>
      </c>
      <c r="O903" s="19" t="str">
        <f t="shared" si="28"/>
        <v>16</v>
      </c>
      <c r="P903" s="64">
        <f t="shared" si="29"/>
        <v>42567</v>
      </c>
    </row>
    <row r="904" spans="1:16" x14ac:dyDescent="0.25">
      <c r="A904" s="26">
        <v>42567.291192129633</v>
      </c>
      <c r="B904" s="51" t="s">
        <v>102</v>
      </c>
      <c r="C904" s="4" t="s">
        <v>1271</v>
      </c>
      <c r="D904" s="4" t="s">
        <v>103</v>
      </c>
      <c r="E904" s="51" t="s">
        <v>122</v>
      </c>
      <c r="F904" s="3">
        <v>0</v>
      </c>
      <c r="G904" s="3">
        <v>778</v>
      </c>
      <c r="H904" s="3">
        <v>101834</v>
      </c>
      <c r="I904" s="51" t="s">
        <v>123</v>
      </c>
      <c r="J904" s="3">
        <v>95986</v>
      </c>
      <c r="K904" s="4" t="s">
        <v>106</v>
      </c>
      <c r="L904" s="56" t="s">
        <v>396</v>
      </c>
      <c r="M904" s="20" t="s">
        <v>107</v>
      </c>
      <c r="N904" s="19" t="s">
        <v>1272</v>
      </c>
      <c r="O904" s="19" t="str">
        <f t="shared" si="28"/>
        <v>16</v>
      </c>
      <c r="P904" s="64">
        <f t="shared" si="29"/>
        <v>42567</v>
      </c>
    </row>
    <row r="905" spans="1:16" x14ac:dyDescent="0.25">
      <c r="A905" s="26">
        <v>42567.764664351853</v>
      </c>
      <c r="B905" s="51" t="s">
        <v>114</v>
      </c>
      <c r="C905" s="4" t="s">
        <v>487</v>
      </c>
      <c r="D905" s="4" t="s">
        <v>103</v>
      </c>
      <c r="E905" s="51" t="s">
        <v>122</v>
      </c>
      <c r="F905" s="3">
        <v>0</v>
      </c>
      <c r="G905" s="3">
        <v>78</v>
      </c>
      <c r="H905" s="3">
        <v>103208</v>
      </c>
      <c r="I905" s="51" t="s">
        <v>123</v>
      </c>
      <c r="J905" s="3">
        <v>103445</v>
      </c>
      <c r="K905" s="4" t="s">
        <v>111</v>
      </c>
      <c r="L905" s="56" t="s">
        <v>411</v>
      </c>
      <c r="M905" s="20" t="s">
        <v>107</v>
      </c>
      <c r="N905" s="19" t="s">
        <v>1273</v>
      </c>
      <c r="O905" s="19" t="str">
        <f t="shared" si="28"/>
        <v>16</v>
      </c>
      <c r="P905" s="64">
        <f t="shared" si="29"/>
        <v>42567</v>
      </c>
    </row>
    <row r="906" spans="1:16" x14ac:dyDescent="0.25">
      <c r="A906" s="26">
        <v>42567.804965277777</v>
      </c>
      <c r="B906" s="51" t="s">
        <v>126</v>
      </c>
      <c r="C906" s="4" t="s">
        <v>326</v>
      </c>
      <c r="D906" s="4" t="s">
        <v>103</v>
      </c>
      <c r="E906" s="51" t="s">
        <v>122</v>
      </c>
      <c r="F906" s="3">
        <v>0</v>
      </c>
      <c r="G906" s="3">
        <v>440</v>
      </c>
      <c r="H906" s="3">
        <v>105204</v>
      </c>
      <c r="I906" s="51" t="s">
        <v>123</v>
      </c>
      <c r="J906" s="3">
        <v>107939</v>
      </c>
      <c r="K906" s="4" t="s">
        <v>111</v>
      </c>
      <c r="L906" s="56" t="s">
        <v>538</v>
      </c>
      <c r="M906" s="20" t="s">
        <v>107</v>
      </c>
      <c r="N906" s="19" t="s">
        <v>1274</v>
      </c>
      <c r="O906" s="19" t="str">
        <f t="shared" si="28"/>
        <v>16</v>
      </c>
      <c r="P906" s="64">
        <f t="shared" si="29"/>
        <v>42567</v>
      </c>
    </row>
    <row r="907" spans="1:16" x14ac:dyDescent="0.25">
      <c r="A907" s="17">
        <v>42567.604780092595</v>
      </c>
      <c r="B907" s="51" t="s">
        <v>126</v>
      </c>
      <c r="C907" s="4" t="s">
        <v>1275</v>
      </c>
      <c r="D907" s="4" t="s">
        <v>103</v>
      </c>
      <c r="E907" s="4" t="s">
        <v>122</v>
      </c>
      <c r="F907" s="3">
        <v>0</v>
      </c>
      <c r="G907" s="3">
        <v>748</v>
      </c>
      <c r="H907" s="3">
        <v>148782</v>
      </c>
      <c r="I907" s="4" t="s">
        <v>123</v>
      </c>
      <c r="J907" s="3">
        <v>155600</v>
      </c>
      <c r="K907" s="4" t="s">
        <v>111</v>
      </c>
      <c r="L907" s="56" t="s">
        <v>405</v>
      </c>
      <c r="M907" s="20" t="s">
        <v>107</v>
      </c>
      <c r="N907" s="19" t="s">
        <v>1185</v>
      </c>
      <c r="O907" s="19" t="str">
        <f t="shared" si="28"/>
        <v>16</v>
      </c>
      <c r="P907" s="64">
        <f t="shared" si="29"/>
        <v>42567</v>
      </c>
    </row>
    <row r="908" spans="1:16" x14ac:dyDescent="0.25">
      <c r="A908" s="26">
        <v>42567.774791666663</v>
      </c>
      <c r="B908" s="4" t="s">
        <v>114</v>
      </c>
      <c r="C908" s="4" t="s">
        <v>487</v>
      </c>
      <c r="D908" s="4" t="s">
        <v>103</v>
      </c>
      <c r="E908" s="4" t="s">
        <v>122</v>
      </c>
      <c r="F908" s="3">
        <v>0</v>
      </c>
      <c r="G908" s="3">
        <v>526</v>
      </c>
      <c r="H908" s="3">
        <v>152488</v>
      </c>
      <c r="I908" s="4" t="s">
        <v>123</v>
      </c>
      <c r="J908" s="3">
        <v>155600</v>
      </c>
      <c r="K908" s="4" t="s">
        <v>111</v>
      </c>
      <c r="L908" s="56" t="s">
        <v>411</v>
      </c>
      <c r="M908" s="20" t="s">
        <v>107</v>
      </c>
      <c r="N908" s="19" t="s">
        <v>1185</v>
      </c>
      <c r="O908" s="19" t="str">
        <f t="shared" si="28"/>
        <v>16</v>
      </c>
      <c r="P908" s="64">
        <f t="shared" si="29"/>
        <v>42567</v>
      </c>
    </row>
    <row r="909" spans="1:16" x14ac:dyDescent="0.25">
      <c r="A909" s="26">
        <v>42568.063125000001</v>
      </c>
      <c r="B909" s="4" t="s">
        <v>108</v>
      </c>
      <c r="C909" s="4" t="s">
        <v>1276</v>
      </c>
      <c r="D909" s="4" t="s">
        <v>103</v>
      </c>
      <c r="E909" s="4" t="s">
        <v>122</v>
      </c>
      <c r="F909" s="3">
        <v>0</v>
      </c>
      <c r="G909" s="3">
        <v>480</v>
      </c>
      <c r="H909" s="3">
        <v>152724</v>
      </c>
      <c r="I909" s="4" t="s">
        <v>123</v>
      </c>
      <c r="J909" s="3">
        <v>155600</v>
      </c>
      <c r="K909" s="4" t="s">
        <v>111</v>
      </c>
      <c r="L909" s="56" t="s">
        <v>538</v>
      </c>
      <c r="M909" s="20" t="s">
        <v>107</v>
      </c>
      <c r="N909" s="19" t="s">
        <v>1185</v>
      </c>
      <c r="O909" s="19" t="str">
        <f t="shared" si="28"/>
        <v>16</v>
      </c>
      <c r="P909" s="64">
        <f t="shared" si="29"/>
        <v>42567</v>
      </c>
    </row>
    <row r="910" spans="1:16" x14ac:dyDescent="0.25">
      <c r="A910" s="26">
        <v>42567.668622685182</v>
      </c>
      <c r="B910" s="51" t="s">
        <v>134</v>
      </c>
      <c r="C910" s="4" t="s">
        <v>90</v>
      </c>
      <c r="D910" s="4" t="s">
        <v>103</v>
      </c>
      <c r="E910" s="51" t="s">
        <v>122</v>
      </c>
      <c r="F910" s="3">
        <v>0</v>
      </c>
      <c r="G910" s="3">
        <v>369</v>
      </c>
      <c r="H910" s="3">
        <v>194122</v>
      </c>
      <c r="I910" s="51" t="s">
        <v>123</v>
      </c>
      <c r="J910" s="3">
        <v>191723</v>
      </c>
      <c r="K910" s="4" t="s">
        <v>106</v>
      </c>
      <c r="L910" s="56" t="s">
        <v>436</v>
      </c>
      <c r="M910" s="20" t="s">
        <v>107</v>
      </c>
      <c r="N910" s="19" t="s">
        <v>1277</v>
      </c>
      <c r="O910" s="19" t="str">
        <f t="shared" si="28"/>
        <v>16</v>
      </c>
      <c r="P910" s="64">
        <f t="shared" si="29"/>
        <v>42567</v>
      </c>
    </row>
    <row r="911" spans="1:16" x14ac:dyDescent="0.25">
      <c r="A911" s="26">
        <v>42567.784618055557</v>
      </c>
      <c r="B911" s="4" t="s">
        <v>108</v>
      </c>
      <c r="C911" s="4" t="s">
        <v>1262</v>
      </c>
      <c r="D911" s="4" t="s">
        <v>103</v>
      </c>
      <c r="E911" s="4" t="s">
        <v>122</v>
      </c>
      <c r="F911" s="3">
        <v>0</v>
      </c>
      <c r="G911" s="3">
        <v>698</v>
      </c>
      <c r="H911" s="3">
        <v>196667</v>
      </c>
      <c r="I911" s="4" t="s">
        <v>123</v>
      </c>
      <c r="J911" s="3">
        <v>198242</v>
      </c>
      <c r="K911" s="4" t="s">
        <v>111</v>
      </c>
      <c r="L911" s="56" t="s">
        <v>432</v>
      </c>
      <c r="M911" s="20" t="s">
        <v>107</v>
      </c>
      <c r="N911" s="19" t="s">
        <v>52</v>
      </c>
      <c r="O911" s="19" t="str">
        <f t="shared" si="28"/>
        <v>16</v>
      </c>
      <c r="P911" s="64">
        <f t="shared" si="29"/>
        <v>42567</v>
      </c>
    </row>
    <row r="912" spans="1:16" x14ac:dyDescent="0.25">
      <c r="A912" s="26">
        <v>42567.981493055559</v>
      </c>
      <c r="B912" s="51" t="s">
        <v>108</v>
      </c>
      <c r="C912" s="4" t="s">
        <v>1278</v>
      </c>
      <c r="D912" s="4" t="s">
        <v>103</v>
      </c>
      <c r="E912" s="51" t="s">
        <v>122</v>
      </c>
      <c r="F912" s="3">
        <v>0</v>
      </c>
      <c r="G912" s="3">
        <v>527</v>
      </c>
      <c r="H912" s="3">
        <v>221458</v>
      </c>
      <c r="I912" s="51" t="s">
        <v>123</v>
      </c>
      <c r="J912" s="3">
        <v>224231</v>
      </c>
      <c r="K912" s="4" t="s">
        <v>111</v>
      </c>
      <c r="L912" s="56" t="s">
        <v>538</v>
      </c>
      <c r="M912" s="20" t="s">
        <v>107</v>
      </c>
      <c r="N912" s="19" t="s">
        <v>1279</v>
      </c>
      <c r="O912" s="19" t="str">
        <f t="shared" si="28"/>
        <v>16</v>
      </c>
      <c r="P912" s="64">
        <f t="shared" si="29"/>
        <v>42567</v>
      </c>
    </row>
    <row r="913" spans="1:16" x14ac:dyDescent="0.25">
      <c r="A913" s="26">
        <v>42567.749189814815</v>
      </c>
      <c r="B913" s="51" t="s">
        <v>117</v>
      </c>
      <c r="C913" s="4" t="s">
        <v>183</v>
      </c>
      <c r="D913" s="4" t="s">
        <v>103</v>
      </c>
      <c r="E913" s="51" t="s">
        <v>122</v>
      </c>
      <c r="F913" s="3">
        <v>0</v>
      </c>
      <c r="G913" s="3">
        <v>357</v>
      </c>
      <c r="H913" s="3">
        <v>224717</v>
      </c>
      <c r="I913" s="51" t="s">
        <v>123</v>
      </c>
      <c r="J913" s="3">
        <v>224244</v>
      </c>
      <c r="K913" s="4" t="s">
        <v>106</v>
      </c>
      <c r="L913" s="56" t="s">
        <v>405</v>
      </c>
      <c r="M913" s="20" t="s">
        <v>107</v>
      </c>
      <c r="N913" s="19" t="s">
        <v>52</v>
      </c>
      <c r="O913" s="19" t="str">
        <f t="shared" si="28"/>
        <v>16</v>
      </c>
      <c r="P913" s="64">
        <f t="shared" si="29"/>
        <v>42567</v>
      </c>
    </row>
    <row r="914" spans="1:16" x14ac:dyDescent="0.25">
      <c r="A914" s="26">
        <v>42567.793009259258</v>
      </c>
      <c r="B914" s="51" t="s">
        <v>108</v>
      </c>
      <c r="C914" s="4" t="s">
        <v>1262</v>
      </c>
      <c r="D914" s="4" t="s">
        <v>103</v>
      </c>
      <c r="E914" s="51" t="s">
        <v>122</v>
      </c>
      <c r="F914" s="3">
        <v>0</v>
      </c>
      <c r="G914" s="3">
        <v>18</v>
      </c>
      <c r="H914" s="3">
        <v>227831</v>
      </c>
      <c r="I914" s="51" t="s">
        <v>123</v>
      </c>
      <c r="J914" s="3">
        <v>228572</v>
      </c>
      <c r="K914" s="4" t="s">
        <v>111</v>
      </c>
      <c r="L914" s="56" t="s">
        <v>432</v>
      </c>
      <c r="M914" s="20" t="s">
        <v>107</v>
      </c>
      <c r="N914" s="19" t="s">
        <v>1280</v>
      </c>
      <c r="O914" s="19" t="str">
        <f t="shared" si="28"/>
        <v>16</v>
      </c>
      <c r="P914" s="64">
        <f t="shared" si="29"/>
        <v>42567</v>
      </c>
    </row>
    <row r="915" spans="1:16" x14ac:dyDescent="0.25">
      <c r="A915" s="26">
        <v>42567.20076388889</v>
      </c>
      <c r="B915" s="51" t="s">
        <v>117</v>
      </c>
      <c r="C915" s="4" t="s">
        <v>1264</v>
      </c>
      <c r="D915" s="4" t="s">
        <v>103</v>
      </c>
      <c r="E915" s="51" t="s">
        <v>129</v>
      </c>
      <c r="F915" s="3">
        <v>0</v>
      </c>
      <c r="G915" s="3">
        <v>48</v>
      </c>
      <c r="H915" s="3">
        <v>176</v>
      </c>
      <c r="I915" s="51" t="s">
        <v>130</v>
      </c>
      <c r="J915" s="3">
        <v>1</v>
      </c>
      <c r="K915" s="4" t="s">
        <v>106</v>
      </c>
      <c r="L915" s="56" t="s">
        <v>1108</v>
      </c>
      <c r="M915" s="20" t="s">
        <v>112</v>
      </c>
      <c r="N915" s="19"/>
      <c r="O915" s="19" t="str">
        <f t="shared" si="28"/>
        <v>16</v>
      </c>
      <c r="P915" s="64">
        <f t="shared" si="29"/>
        <v>42567</v>
      </c>
    </row>
    <row r="916" spans="1:16" x14ac:dyDescent="0.25">
      <c r="A916" s="26">
        <v>42567.283368055556</v>
      </c>
      <c r="B916" s="51" t="s">
        <v>117</v>
      </c>
      <c r="C916" s="4" t="s">
        <v>1282</v>
      </c>
      <c r="D916" s="4" t="s">
        <v>103</v>
      </c>
      <c r="E916" s="51" t="s">
        <v>129</v>
      </c>
      <c r="F916" s="3">
        <v>0</v>
      </c>
      <c r="G916" s="3">
        <v>51</v>
      </c>
      <c r="H916" s="3">
        <v>176</v>
      </c>
      <c r="I916" s="51" t="s">
        <v>130</v>
      </c>
      <c r="J916" s="3">
        <v>1</v>
      </c>
      <c r="K916" s="4" t="s">
        <v>106</v>
      </c>
      <c r="L916" s="56" t="s">
        <v>1108</v>
      </c>
      <c r="M916" s="20" t="s">
        <v>112</v>
      </c>
      <c r="N916" s="19"/>
      <c r="O916" s="19" t="str">
        <f t="shared" si="28"/>
        <v>16</v>
      </c>
      <c r="P916" s="64">
        <f t="shared" si="29"/>
        <v>42567</v>
      </c>
    </row>
    <row r="917" spans="1:16" x14ac:dyDescent="0.25">
      <c r="A917" s="26">
        <v>42567.428564814814</v>
      </c>
      <c r="B917" s="51" t="s">
        <v>117</v>
      </c>
      <c r="C917" s="4" t="s">
        <v>1283</v>
      </c>
      <c r="D917" s="4" t="s">
        <v>103</v>
      </c>
      <c r="E917" s="51" t="s">
        <v>129</v>
      </c>
      <c r="F917" s="3">
        <v>0</v>
      </c>
      <c r="G917" s="3">
        <v>77</v>
      </c>
      <c r="H917" s="3">
        <v>278</v>
      </c>
      <c r="I917" s="51" t="s">
        <v>130</v>
      </c>
      <c r="J917" s="3">
        <v>1</v>
      </c>
      <c r="K917" s="4" t="s">
        <v>106</v>
      </c>
      <c r="L917" s="56" t="s">
        <v>1108</v>
      </c>
      <c r="M917" s="20" t="s">
        <v>112</v>
      </c>
      <c r="N917" s="19"/>
      <c r="O917" s="19" t="str">
        <f t="shared" si="28"/>
        <v>16</v>
      </c>
      <c r="P917" s="64">
        <f t="shared" si="29"/>
        <v>42567</v>
      </c>
    </row>
    <row r="918" spans="1:16" x14ac:dyDescent="0.25">
      <c r="A918" s="26">
        <v>42567.683206018519</v>
      </c>
      <c r="B918" s="51" t="s">
        <v>117</v>
      </c>
      <c r="C918" s="4" t="s">
        <v>479</v>
      </c>
      <c r="D918" s="4" t="s">
        <v>103</v>
      </c>
      <c r="E918" s="51" t="s">
        <v>129</v>
      </c>
      <c r="F918" s="3">
        <v>0</v>
      </c>
      <c r="G918" s="3">
        <v>57</v>
      </c>
      <c r="H918" s="3">
        <v>194</v>
      </c>
      <c r="I918" s="51" t="s">
        <v>130</v>
      </c>
      <c r="J918" s="3">
        <v>1</v>
      </c>
      <c r="K918" s="4" t="s">
        <v>106</v>
      </c>
      <c r="L918" s="56" t="s">
        <v>405</v>
      </c>
      <c r="M918" s="20" t="s">
        <v>112</v>
      </c>
      <c r="N918" s="19"/>
      <c r="O918" s="19" t="str">
        <f t="shared" si="28"/>
        <v>16</v>
      </c>
      <c r="P918" s="64">
        <f t="shared" si="29"/>
        <v>42567</v>
      </c>
    </row>
    <row r="919" spans="1:16" x14ac:dyDescent="0.25">
      <c r="A919" s="26">
        <v>42567.768287037034</v>
      </c>
      <c r="B919" s="51" t="s">
        <v>141</v>
      </c>
      <c r="C919" s="4" t="s">
        <v>484</v>
      </c>
      <c r="D919" s="4" t="s">
        <v>103</v>
      </c>
      <c r="E919" s="51" t="s">
        <v>129</v>
      </c>
      <c r="F919" s="3">
        <v>0</v>
      </c>
      <c r="G919" s="3">
        <v>61</v>
      </c>
      <c r="H919" s="3">
        <v>216</v>
      </c>
      <c r="I919" s="51" t="s">
        <v>130</v>
      </c>
      <c r="J919" s="3">
        <v>1</v>
      </c>
      <c r="K919" s="4" t="s">
        <v>106</v>
      </c>
      <c r="L919" s="56" t="s">
        <v>468</v>
      </c>
      <c r="M919" s="20" t="s">
        <v>112</v>
      </c>
      <c r="N919" s="19"/>
      <c r="O919" s="19" t="str">
        <f t="shared" si="28"/>
        <v>16</v>
      </c>
      <c r="P919" s="64">
        <f t="shared" si="29"/>
        <v>42567</v>
      </c>
    </row>
    <row r="920" spans="1:16" x14ac:dyDescent="0.25">
      <c r="A920" s="26">
        <v>42567.78434027778</v>
      </c>
      <c r="B920" s="51" t="s">
        <v>117</v>
      </c>
      <c r="C920" s="4" t="s">
        <v>183</v>
      </c>
      <c r="D920" s="4" t="s">
        <v>103</v>
      </c>
      <c r="E920" s="51" t="s">
        <v>129</v>
      </c>
      <c r="F920" s="3">
        <v>0</v>
      </c>
      <c r="G920" s="3">
        <v>67</v>
      </c>
      <c r="H920" s="3">
        <v>218</v>
      </c>
      <c r="I920" s="51" t="s">
        <v>130</v>
      </c>
      <c r="J920" s="3">
        <v>1</v>
      </c>
      <c r="K920" s="4" t="s">
        <v>106</v>
      </c>
      <c r="L920" s="56" t="s">
        <v>405</v>
      </c>
      <c r="M920" s="20" t="s">
        <v>112</v>
      </c>
      <c r="N920" s="19"/>
      <c r="O920" s="19" t="str">
        <f t="shared" si="28"/>
        <v>16</v>
      </c>
      <c r="P920" s="64">
        <f t="shared" si="29"/>
        <v>42567</v>
      </c>
    </row>
    <row r="921" spans="1:16" x14ac:dyDescent="0.25">
      <c r="A921" s="26">
        <v>42567.836597222224</v>
      </c>
      <c r="B921" s="51" t="s">
        <v>143</v>
      </c>
      <c r="C921" s="4" t="s">
        <v>1284</v>
      </c>
      <c r="D921" s="4" t="s">
        <v>103</v>
      </c>
      <c r="E921" s="51" t="s">
        <v>129</v>
      </c>
      <c r="F921" s="3">
        <v>0</v>
      </c>
      <c r="G921" s="3">
        <v>56</v>
      </c>
      <c r="H921" s="3">
        <v>176</v>
      </c>
      <c r="I921" s="51" t="s">
        <v>130</v>
      </c>
      <c r="J921" s="3">
        <v>1</v>
      </c>
      <c r="K921" s="4" t="s">
        <v>106</v>
      </c>
      <c r="L921" s="56" t="s">
        <v>432</v>
      </c>
      <c r="M921" s="20" t="s">
        <v>112</v>
      </c>
      <c r="N921" s="19"/>
      <c r="O921" s="19" t="str">
        <f t="shared" si="28"/>
        <v>16</v>
      </c>
      <c r="P921" s="64">
        <f t="shared" si="29"/>
        <v>42567</v>
      </c>
    </row>
    <row r="922" spans="1:16" x14ac:dyDescent="0.25">
      <c r="A922" s="26">
        <v>42567.899062500001</v>
      </c>
      <c r="B922" s="51" t="s">
        <v>102</v>
      </c>
      <c r="C922" s="4" t="s">
        <v>1285</v>
      </c>
      <c r="D922" s="4" t="s">
        <v>103</v>
      </c>
      <c r="E922" s="51" t="s">
        <v>129</v>
      </c>
      <c r="F922" s="3">
        <v>0</v>
      </c>
      <c r="G922" s="3">
        <v>54</v>
      </c>
      <c r="H922" s="3">
        <v>194</v>
      </c>
      <c r="I922" s="51" t="s">
        <v>130</v>
      </c>
      <c r="J922" s="3">
        <v>1</v>
      </c>
      <c r="K922" s="4" t="s">
        <v>106</v>
      </c>
      <c r="L922" s="56" t="s">
        <v>434</v>
      </c>
      <c r="M922" s="20" t="s">
        <v>112</v>
      </c>
      <c r="N922" s="19"/>
      <c r="O922" s="19" t="str">
        <f t="shared" si="28"/>
        <v>16</v>
      </c>
      <c r="P922" s="64">
        <f t="shared" si="29"/>
        <v>42567</v>
      </c>
    </row>
    <row r="923" spans="1:16" x14ac:dyDescent="0.25">
      <c r="A923" s="26">
        <v>42568.064467592594</v>
      </c>
      <c r="B923" s="51" t="s">
        <v>143</v>
      </c>
      <c r="C923" s="4" t="s">
        <v>327</v>
      </c>
      <c r="D923" s="4" t="s">
        <v>103</v>
      </c>
      <c r="E923" s="51" t="s">
        <v>129</v>
      </c>
      <c r="F923" s="3">
        <v>0</v>
      </c>
      <c r="G923" s="3">
        <v>80</v>
      </c>
      <c r="H923" s="3">
        <v>276</v>
      </c>
      <c r="I923" s="51" t="s">
        <v>130</v>
      </c>
      <c r="J923" s="3">
        <v>1</v>
      </c>
      <c r="K923" s="4" t="s">
        <v>106</v>
      </c>
      <c r="L923" s="56" t="s">
        <v>432</v>
      </c>
      <c r="M923" s="20" t="s">
        <v>112</v>
      </c>
      <c r="N923" s="19"/>
      <c r="O923" s="19" t="str">
        <f t="shared" si="28"/>
        <v>16</v>
      </c>
      <c r="P923" s="64">
        <f t="shared" si="29"/>
        <v>42567</v>
      </c>
    </row>
    <row r="924" spans="1:16" x14ac:dyDescent="0.25">
      <c r="A924" s="26">
        <v>42567.420659722222</v>
      </c>
      <c r="B924" s="51" t="s">
        <v>108</v>
      </c>
      <c r="C924" s="4" t="s">
        <v>1286</v>
      </c>
      <c r="D924" s="4" t="s">
        <v>103</v>
      </c>
      <c r="E924" s="51" t="s">
        <v>129</v>
      </c>
      <c r="F924" s="3">
        <v>0</v>
      </c>
      <c r="G924" s="3">
        <v>65</v>
      </c>
      <c r="H924" s="3">
        <v>233278</v>
      </c>
      <c r="I924" s="51" t="s">
        <v>130</v>
      </c>
      <c r="J924" s="3">
        <v>233491</v>
      </c>
      <c r="K924" s="4" t="s">
        <v>111</v>
      </c>
      <c r="L924" s="56" t="s">
        <v>400</v>
      </c>
      <c r="M924" s="20" t="s">
        <v>112</v>
      </c>
      <c r="N924" s="19"/>
      <c r="O924" s="19" t="str">
        <f t="shared" si="28"/>
        <v>16</v>
      </c>
      <c r="P924" s="64">
        <f t="shared" si="29"/>
        <v>42567</v>
      </c>
    </row>
    <row r="925" spans="1:16" x14ac:dyDescent="0.25">
      <c r="A925" s="26">
        <v>42567.516365740739</v>
      </c>
      <c r="B925" s="51" t="s">
        <v>126</v>
      </c>
      <c r="C925" s="4" t="s">
        <v>1281</v>
      </c>
      <c r="D925" s="4" t="s">
        <v>103</v>
      </c>
      <c r="E925" s="51" t="s">
        <v>191</v>
      </c>
      <c r="F925" s="3">
        <v>230</v>
      </c>
      <c r="G925" s="3">
        <v>215</v>
      </c>
      <c r="H925" s="3">
        <v>30754</v>
      </c>
      <c r="I925" s="51" t="s">
        <v>172</v>
      </c>
      <c r="J925" s="3">
        <v>30830</v>
      </c>
      <c r="K925" s="4" t="s">
        <v>111</v>
      </c>
      <c r="L925" s="56" t="s">
        <v>405</v>
      </c>
      <c r="M925" s="20" t="s">
        <v>107</v>
      </c>
      <c r="N925" s="19" t="s">
        <v>52</v>
      </c>
      <c r="O925" s="19" t="str">
        <f t="shared" si="28"/>
        <v>16</v>
      </c>
      <c r="P925" s="64">
        <f t="shared" si="29"/>
        <v>42567</v>
      </c>
    </row>
    <row r="926" spans="1:16" x14ac:dyDescent="0.25">
      <c r="A926" s="26">
        <v>42568.620358796295</v>
      </c>
      <c r="B926" s="51" t="s">
        <v>139</v>
      </c>
      <c r="C926" s="4" t="s">
        <v>188</v>
      </c>
      <c r="D926" s="4" t="s">
        <v>103</v>
      </c>
      <c r="E926" s="51" t="s">
        <v>109</v>
      </c>
      <c r="F926" s="3">
        <v>0</v>
      </c>
      <c r="G926" s="3">
        <v>179</v>
      </c>
      <c r="H926" s="3">
        <v>109673</v>
      </c>
      <c r="I926" s="51" t="s">
        <v>110</v>
      </c>
      <c r="J926" s="3">
        <v>109135</v>
      </c>
      <c r="K926" s="4" t="s">
        <v>106</v>
      </c>
      <c r="L926" s="57" t="s">
        <v>493</v>
      </c>
      <c r="M926" s="20" t="s">
        <v>112</v>
      </c>
      <c r="N926" s="19" t="s">
        <v>186</v>
      </c>
      <c r="O926" s="19" t="str">
        <f t="shared" si="28"/>
        <v>17</v>
      </c>
      <c r="P926" s="64">
        <f t="shared" si="29"/>
        <v>42568</v>
      </c>
    </row>
    <row r="927" spans="1:16" x14ac:dyDescent="0.25">
      <c r="A927" s="26">
        <v>42568.480949074074</v>
      </c>
      <c r="B927" s="51" t="s">
        <v>146</v>
      </c>
      <c r="C927" s="4" t="s">
        <v>53</v>
      </c>
      <c r="D927" s="4" t="s">
        <v>116</v>
      </c>
      <c r="E927" s="51" t="s">
        <v>115</v>
      </c>
      <c r="F927" s="3">
        <v>200</v>
      </c>
      <c r="G927" s="3">
        <v>250</v>
      </c>
      <c r="H927" s="3">
        <v>5426</v>
      </c>
      <c r="I927" s="51" t="s">
        <v>105</v>
      </c>
      <c r="J927" s="3">
        <v>4677</v>
      </c>
      <c r="K927" s="4" t="s">
        <v>111</v>
      </c>
      <c r="L927" s="56" t="s">
        <v>450</v>
      </c>
      <c r="M927" s="20" t="s">
        <v>112</v>
      </c>
      <c r="N927" s="19"/>
      <c r="O927" s="19" t="str">
        <f t="shared" si="28"/>
        <v>17</v>
      </c>
      <c r="P927" s="64">
        <f t="shared" si="29"/>
        <v>42568</v>
      </c>
    </row>
    <row r="928" spans="1:16" x14ac:dyDescent="0.25">
      <c r="A928" s="26">
        <v>42568.198564814818</v>
      </c>
      <c r="B928" s="51" t="s">
        <v>132</v>
      </c>
      <c r="C928" s="4" t="s">
        <v>1287</v>
      </c>
      <c r="D928" s="4" t="s">
        <v>103</v>
      </c>
      <c r="E928" s="51" t="s">
        <v>115</v>
      </c>
      <c r="F928" s="3">
        <v>200</v>
      </c>
      <c r="G928" s="3">
        <v>292</v>
      </c>
      <c r="H928" s="3">
        <v>6651</v>
      </c>
      <c r="I928" s="51" t="s">
        <v>105</v>
      </c>
      <c r="J928" s="3">
        <v>5457</v>
      </c>
      <c r="K928" s="4" t="s">
        <v>106</v>
      </c>
      <c r="L928" s="56" t="s">
        <v>453</v>
      </c>
      <c r="M928" s="20" t="s">
        <v>112</v>
      </c>
      <c r="N928" s="19"/>
      <c r="O928" s="19" t="str">
        <f t="shared" si="28"/>
        <v>17</v>
      </c>
      <c r="P928" s="64">
        <f t="shared" si="29"/>
        <v>42568</v>
      </c>
    </row>
    <row r="929" spans="1:16" x14ac:dyDescent="0.25">
      <c r="A929" s="26">
        <v>42568.520891203705</v>
      </c>
      <c r="B929" s="51" t="s">
        <v>131</v>
      </c>
      <c r="C929" s="4" t="s">
        <v>1288</v>
      </c>
      <c r="D929" s="4" t="s">
        <v>103</v>
      </c>
      <c r="E929" s="4" t="s">
        <v>115</v>
      </c>
      <c r="F929" s="3">
        <v>450</v>
      </c>
      <c r="G929" s="3">
        <v>457</v>
      </c>
      <c r="H929" s="3">
        <v>17664</v>
      </c>
      <c r="I929" s="4" t="s">
        <v>105</v>
      </c>
      <c r="J929" s="3">
        <v>15167</v>
      </c>
      <c r="K929" s="4" t="s">
        <v>106</v>
      </c>
      <c r="L929" s="56" t="s">
        <v>409</v>
      </c>
      <c r="M929" s="20" t="s">
        <v>112</v>
      </c>
      <c r="N929" s="19"/>
      <c r="O929" s="19" t="str">
        <f t="shared" si="28"/>
        <v>17</v>
      </c>
      <c r="P929" s="64">
        <f t="shared" si="29"/>
        <v>42568</v>
      </c>
    </row>
    <row r="930" spans="1:16" x14ac:dyDescent="0.25">
      <c r="A930" s="26">
        <v>42568.277928240743</v>
      </c>
      <c r="B930" s="51" t="s">
        <v>132</v>
      </c>
      <c r="C930" s="4" t="s">
        <v>1289</v>
      </c>
      <c r="D930" s="4" t="s">
        <v>103</v>
      </c>
      <c r="E930" s="51" t="s">
        <v>115</v>
      </c>
      <c r="F930" s="3">
        <v>200</v>
      </c>
      <c r="G930" s="3">
        <v>207</v>
      </c>
      <c r="H930" s="3">
        <v>30719</v>
      </c>
      <c r="I930" s="51" t="s">
        <v>105</v>
      </c>
      <c r="J930" s="3">
        <v>30562</v>
      </c>
      <c r="K930" s="4" t="s">
        <v>106</v>
      </c>
      <c r="L930" s="56" t="s">
        <v>453</v>
      </c>
      <c r="M930" s="20" t="s">
        <v>112</v>
      </c>
      <c r="N930" s="19"/>
      <c r="O930" s="19" t="str">
        <f t="shared" si="28"/>
        <v>17</v>
      </c>
      <c r="P930" s="64">
        <f t="shared" si="29"/>
        <v>42568</v>
      </c>
    </row>
    <row r="931" spans="1:16" x14ac:dyDescent="0.25">
      <c r="A931" s="26">
        <v>42568.719189814816</v>
      </c>
      <c r="B931" s="51" t="s">
        <v>132</v>
      </c>
      <c r="C931" s="4" t="s">
        <v>1290</v>
      </c>
      <c r="D931" s="4" t="s">
        <v>103</v>
      </c>
      <c r="E931" s="51" t="s">
        <v>115</v>
      </c>
      <c r="F931" s="3">
        <v>200</v>
      </c>
      <c r="G931" s="3">
        <v>403</v>
      </c>
      <c r="H931" s="3">
        <v>32565</v>
      </c>
      <c r="I931" s="51" t="s">
        <v>105</v>
      </c>
      <c r="J931" s="3">
        <v>30562</v>
      </c>
      <c r="K931" s="4" t="s">
        <v>106</v>
      </c>
      <c r="L931" s="56" t="s">
        <v>405</v>
      </c>
      <c r="M931" s="20" t="s">
        <v>112</v>
      </c>
      <c r="N931" s="19"/>
      <c r="O931" s="19" t="str">
        <f t="shared" si="28"/>
        <v>17</v>
      </c>
      <c r="P931" s="64">
        <f t="shared" si="29"/>
        <v>42568</v>
      </c>
    </row>
    <row r="932" spans="1:16" x14ac:dyDescent="0.25">
      <c r="A932" s="26">
        <v>42568.719675925924</v>
      </c>
      <c r="B932" s="51" t="s">
        <v>132</v>
      </c>
      <c r="C932" s="4" t="s">
        <v>1290</v>
      </c>
      <c r="D932" s="4" t="s">
        <v>103</v>
      </c>
      <c r="E932" s="51" t="s">
        <v>115</v>
      </c>
      <c r="F932" s="3">
        <v>200</v>
      </c>
      <c r="G932" s="3">
        <v>169</v>
      </c>
      <c r="H932" s="3">
        <v>31060</v>
      </c>
      <c r="I932" s="51" t="s">
        <v>105</v>
      </c>
      <c r="J932" s="3">
        <v>30562</v>
      </c>
      <c r="K932" s="4" t="s">
        <v>106</v>
      </c>
      <c r="L932" s="56" t="s">
        <v>405</v>
      </c>
      <c r="M932" s="20" t="s">
        <v>112</v>
      </c>
      <c r="N932" s="19"/>
      <c r="O932" s="19" t="str">
        <f t="shared" si="28"/>
        <v>17</v>
      </c>
      <c r="P932" s="64">
        <f t="shared" si="29"/>
        <v>42568</v>
      </c>
    </row>
    <row r="933" spans="1:16" x14ac:dyDescent="0.25">
      <c r="A933" s="26">
        <v>42568.598090277781</v>
      </c>
      <c r="B933" s="51" t="s">
        <v>121</v>
      </c>
      <c r="C933" s="4" t="s">
        <v>1291</v>
      </c>
      <c r="D933" s="4" t="s">
        <v>103</v>
      </c>
      <c r="E933" s="51" t="s">
        <v>115</v>
      </c>
      <c r="F933" s="3">
        <v>400</v>
      </c>
      <c r="G933" s="3">
        <v>537</v>
      </c>
      <c r="H933" s="3">
        <v>115753</v>
      </c>
      <c r="I933" s="51" t="s">
        <v>105</v>
      </c>
      <c r="J933" s="3">
        <v>116838</v>
      </c>
      <c r="K933" s="4" t="s">
        <v>111</v>
      </c>
      <c r="L933" s="56" t="s">
        <v>405</v>
      </c>
      <c r="M933" s="20" t="s">
        <v>112</v>
      </c>
      <c r="N933" s="19"/>
      <c r="O933" s="19" t="str">
        <f t="shared" si="28"/>
        <v>17</v>
      </c>
      <c r="P933" s="64">
        <f t="shared" si="29"/>
        <v>42568</v>
      </c>
    </row>
    <row r="934" spans="1:16" x14ac:dyDescent="0.25">
      <c r="A934" s="26">
        <v>42568.920856481483</v>
      </c>
      <c r="B934" s="4" t="s">
        <v>136</v>
      </c>
      <c r="C934" s="4" t="s">
        <v>1292</v>
      </c>
      <c r="D934" s="4" t="s">
        <v>103</v>
      </c>
      <c r="E934" s="4" t="s">
        <v>115</v>
      </c>
      <c r="F934" s="3">
        <v>450</v>
      </c>
      <c r="G934" s="3">
        <v>522</v>
      </c>
      <c r="H934" s="3">
        <v>158588</v>
      </c>
      <c r="I934" s="4" t="s">
        <v>105</v>
      </c>
      <c r="J934" s="3">
        <v>156300</v>
      </c>
      <c r="K934" s="4" t="s">
        <v>106</v>
      </c>
      <c r="L934" s="56" t="s">
        <v>504</v>
      </c>
      <c r="M934" s="20" t="s">
        <v>112</v>
      </c>
      <c r="N934" s="19"/>
      <c r="O934" s="19" t="str">
        <f t="shared" si="28"/>
        <v>17</v>
      </c>
      <c r="P934" s="64">
        <f t="shared" si="29"/>
        <v>42568</v>
      </c>
    </row>
    <row r="935" spans="1:16" x14ac:dyDescent="0.25">
      <c r="A935" s="26">
        <v>42568.702847222223</v>
      </c>
      <c r="B935" s="4" t="s">
        <v>132</v>
      </c>
      <c r="C935" s="4" t="s">
        <v>1290</v>
      </c>
      <c r="D935" s="4" t="s">
        <v>116</v>
      </c>
      <c r="E935" s="4" t="s">
        <v>115</v>
      </c>
      <c r="F935" s="3">
        <v>600</v>
      </c>
      <c r="G935" s="3">
        <v>654</v>
      </c>
      <c r="H935" s="3">
        <v>184252</v>
      </c>
      <c r="I935" s="4" t="s">
        <v>105</v>
      </c>
      <c r="J935" s="3">
        <v>190834</v>
      </c>
      <c r="K935" s="4" t="s">
        <v>106</v>
      </c>
      <c r="L935" s="56" t="s">
        <v>405</v>
      </c>
      <c r="M935" s="20" t="s">
        <v>112</v>
      </c>
      <c r="N935" s="19"/>
      <c r="O935" s="19" t="str">
        <f t="shared" si="28"/>
        <v>17</v>
      </c>
      <c r="P935" s="64">
        <f t="shared" si="29"/>
        <v>42568</v>
      </c>
    </row>
    <row r="936" spans="1:16" x14ac:dyDescent="0.25">
      <c r="A936" s="26">
        <v>42568.634143518517</v>
      </c>
      <c r="B936" s="51" t="s">
        <v>141</v>
      </c>
      <c r="C936" s="4" t="s">
        <v>499</v>
      </c>
      <c r="D936" s="4" t="s">
        <v>103</v>
      </c>
      <c r="E936" s="51" t="s">
        <v>115</v>
      </c>
      <c r="F936" s="3">
        <v>150</v>
      </c>
      <c r="G936" s="3">
        <v>190</v>
      </c>
      <c r="H936" s="3">
        <v>229317</v>
      </c>
      <c r="I936" s="51" t="s">
        <v>105</v>
      </c>
      <c r="J936" s="3">
        <v>229055</v>
      </c>
      <c r="K936" s="4" t="s">
        <v>106</v>
      </c>
      <c r="L936" s="56" t="s">
        <v>434</v>
      </c>
      <c r="M936" s="20" t="s">
        <v>112</v>
      </c>
      <c r="N936" s="19"/>
      <c r="O936" s="19" t="str">
        <f t="shared" si="28"/>
        <v>17</v>
      </c>
      <c r="P936" s="64">
        <f t="shared" si="29"/>
        <v>42568</v>
      </c>
    </row>
    <row r="937" spans="1:16" x14ac:dyDescent="0.25">
      <c r="A937" s="26">
        <v>42568.654999999999</v>
      </c>
      <c r="B937" s="4" t="s">
        <v>118</v>
      </c>
      <c r="C937" s="4" t="s">
        <v>1293</v>
      </c>
      <c r="D937" s="4" t="s">
        <v>103</v>
      </c>
      <c r="E937" s="4" t="s">
        <v>115</v>
      </c>
      <c r="F937" s="3">
        <v>150</v>
      </c>
      <c r="G937" s="3">
        <v>187</v>
      </c>
      <c r="H937" s="3">
        <v>229401</v>
      </c>
      <c r="I937" s="4" t="s">
        <v>105</v>
      </c>
      <c r="J937" s="3">
        <v>229055</v>
      </c>
      <c r="K937" s="4" t="s">
        <v>106</v>
      </c>
      <c r="L937" s="56" t="s">
        <v>436</v>
      </c>
      <c r="M937" s="20" t="s">
        <v>112</v>
      </c>
      <c r="N937" s="19"/>
      <c r="O937" s="19" t="str">
        <f t="shared" si="28"/>
        <v>17</v>
      </c>
      <c r="P937" s="64">
        <f t="shared" si="29"/>
        <v>42568</v>
      </c>
    </row>
    <row r="938" spans="1:16" x14ac:dyDescent="0.25">
      <c r="A938" s="26">
        <v>42568.717581018522</v>
      </c>
      <c r="B938" s="51" t="s">
        <v>125</v>
      </c>
      <c r="C938" s="4" t="s">
        <v>1294</v>
      </c>
      <c r="D938" s="4" t="s">
        <v>103</v>
      </c>
      <c r="E938" s="51" t="s">
        <v>115</v>
      </c>
      <c r="F938" s="3">
        <v>150</v>
      </c>
      <c r="G938" s="3">
        <v>125</v>
      </c>
      <c r="H938" s="3">
        <v>231650</v>
      </c>
      <c r="I938" s="51" t="s">
        <v>105</v>
      </c>
      <c r="J938" s="3">
        <v>232080</v>
      </c>
      <c r="K938" s="4" t="s">
        <v>111</v>
      </c>
      <c r="L938" s="56" t="s">
        <v>436</v>
      </c>
      <c r="M938" s="20" t="s">
        <v>112</v>
      </c>
      <c r="N938" s="19"/>
      <c r="O938" s="19" t="str">
        <f t="shared" si="28"/>
        <v>17</v>
      </c>
      <c r="P938" s="64">
        <f t="shared" si="29"/>
        <v>42568</v>
      </c>
    </row>
    <row r="939" spans="1:16" x14ac:dyDescent="0.25">
      <c r="A939" s="26">
        <v>42568.761192129627</v>
      </c>
      <c r="B939" s="51" t="s">
        <v>133</v>
      </c>
      <c r="C939" s="4" t="s">
        <v>505</v>
      </c>
      <c r="D939" s="4" t="s">
        <v>116</v>
      </c>
      <c r="E939" s="51" t="s">
        <v>122</v>
      </c>
      <c r="F939" s="3">
        <v>0</v>
      </c>
      <c r="G939" s="3">
        <v>42</v>
      </c>
      <c r="H939" s="3">
        <v>1733</v>
      </c>
      <c r="I939" s="51" t="s">
        <v>123</v>
      </c>
      <c r="J939" s="3">
        <v>1692</v>
      </c>
      <c r="K939" s="4" t="s">
        <v>111</v>
      </c>
      <c r="L939" s="56" t="s">
        <v>411</v>
      </c>
      <c r="M939" s="20" t="s">
        <v>107</v>
      </c>
      <c r="N939" s="19" t="s">
        <v>52</v>
      </c>
      <c r="O939" s="19" t="str">
        <f t="shared" si="28"/>
        <v>17</v>
      </c>
      <c r="P939" s="64">
        <f t="shared" si="29"/>
        <v>42568</v>
      </c>
    </row>
    <row r="940" spans="1:16" x14ac:dyDescent="0.25">
      <c r="A940" s="26">
        <v>42568.18341435185</v>
      </c>
      <c r="B940" s="51" t="s">
        <v>125</v>
      </c>
      <c r="C940" s="4" t="s">
        <v>489</v>
      </c>
      <c r="D940" s="4" t="s">
        <v>103</v>
      </c>
      <c r="E940" s="51" t="s">
        <v>122</v>
      </c>
      <c r="F940" s="3">
        <v>0</v>
      </c>
      <c r="G940" s="3">
        <v>279</v>
      </c>
      <c r="H940" s="3">
        <v>36538</v>
      </c>
      <c r="I940" s="51" t="s">
        <v>123</v>
      </c>
      <c r="J940" s="3">
        <v>36645</v>
      </c>
      <c r="K940" s="4" t="s">
        <v>111</v>
      </c>
      <c r="L940" s="56" t="s">
        <v>428</v>
      </c>
      <c r="M940" s="20" t="s">
        <v>107</v>
      </c>
      <c r="N940" s="19" t="s">
        <v>52</v>
      </c>
      <c r="O940" s="19" t="str">
        <f t="shared" si="28"/>
        <v>17</v>
      </c>
      <c r="P940" s="64">
        <f t="shared" si="29"/>
        <v>42568</v>
      </c>
    </row>
    <row r="941" spans="1:16" x14ac:dyDescent="0.25">
      <c r="A941" s="26">
        <v>42568.184594907405</v>
      </c>
      <c r="B941" s="51" t="s">
        <v>125</v>
      </c>
      <c r="C941" s="4" t="s">
        <v>489</v>
      </c>
      <c r="D941" s="4" t="s">
        <v>116</v>
      </c>
      <c r="E941" s="51" t="s">
        <v>122</v>
      </c>
      <c r="F941" s="3">
        <v>0</v>
      </c>
      <c r="G941" s="3">
        <v>5</v>
      </c>
      <c r="H941" s="3">
        <v>36897</v>
      </c>
      <c r="I941" s="51" t="s">
        <v>123</v>
      </c>
      <c r="J941" s="3">
        <v>36645</v>
      </c>
      <c r="K941" s="4" t="s">
        <v>111</v>
      </c>
      <c r="L941" s="56" t="s">
        <v>428</v>
      </c>
      <c r="M941" s="20" t="s">
        <v>107</v>
      </c>
      <c r="N941" s="19" t="s">
        <v>52</v>
      </c>
      <c r="O941" s="19" t="str">
        <f t="shared" si="28"/>
        <v>17</v>
      </c>
      <c r="P941" s="64">
        <f t="shared" si="29"/>
        <v>42568</v>
      </c>
    </row>
    <row r="942" spans="1:16" x14ac:dyDescent="0.25">
      <c r="A942" s="26">
        <v>42568.628657407404</v>
      </c>
      <c r="B942" s="51" t="s">
        <v>125</v>
      </c>
      <c r="C942" s="4" t="s">
        <v>77</v>
      </c>
      <c r="D942" s="4" t="s">
        <v>116</v>
      </c>
      <c r="E942" s="51" t="s">
        <v>122</v>
      </c>
      <c r="F942" s="3">
        <v>200</v>
      </c>
      <c r="G942" s="3">
        <v>250</v>
      </c>
      <c r="H942" s="3">
        <v>65537</v>
      </c>
      <c r="I942" s="51" t="s">
        <v>123</v>
      </c>
      <c r="J942" s="3">
        <v>63995</v>
      </c>
      <c r="K942" s="4" t="s">
        <v>111</v>
      </c>
      <c r="L942" s="56" t="s">
        <v>436</v>
      </c>
      <c r="M942" s="20" t="s">
        <v>112</v>
      </c>
      <c r="N942" s="19" t="s">
        <v>175</v>
      </c>
      <c r="O942" s="19" t="str">
        <f t="shared" si="28"/>
        <v>17</v>
      </c>
      <c r="P942" s="64">
        <f t="shared" si="29"/>
        <v>42568</v>
      </c>
    </row>
    <row r="943" spans="1:16" x14ac:dyDescent="0.25">
      <c r="A943" s="26">
        <v>42568.66684027778</v>
      </c>
      <c r="B943" s="4" t="s">
        <v>165</v>
      </c>
      <c r="C943" s="4" t="s">
        <v>502</v>
      </c>
      <c r="D943" s="4" t="s">
        <v>116</v>
      </c>
      <c r="E943" s="4" t="s">
        <v>122</v>
      </c>
      <c r="F943" s="3">
        <v>200</v>
      </c>
      <c r="G943" s="3">
        <v>297</v>
      </c>
      <c r="H943" s="3">
        <v>65423</v>
      </c>
      <c r="I943" s="4" t="s">
        <v>123</v>
      </c>
      <c r="J943" s="3">
        <v>63995</v>
      </c>
      <c r="K943" s="4" t="s">
        <v>111</v>
      </c>
      <c r="L943" s="56" t="s">
        <v>420</v>
      </c>
      <c r="M943" s="20" t="s">
        <v>112</v>
      </c>
      <c r="N943" s="19" t="s">
        <v>175</v>
      </c>
      <c r="O943" s="19" t="str">
        <f t="shared" si="28"/>
        <v>17</v>
      </c>
      <c r="P943" s="64">
        <f t="shared" si="29"/>
        <v>42568</v>
      </c>
    </row>
    <row r="944" spans="1:16" x14ac:dyDescent="0.25">
      <c r="A944" s="26">
        <v>42568.50309027778</v>
      </c>
      <c r="B944" s="51" t="s">
        <v>137</v>
      </c>
      <c r="C944" s="4" t="s">
        <v>236</v>
      </c>
      <c r="D944" s="4" t="s">
        <v>103</v>
      </c>
      <c r="E944" s="51" t="s">
        <v>122</v>
      </c>
      <c r="F944" s="3">
        <v>0</v>
      </c>
      <c r="G944" s="3">
        <v>736</v>
      </c>
      <c r="H944" s="3">
        <v>107055</v>
      </c>
      <c r="I944" s="51" t="s">
        <v>123</v>
      </c>
      <c r="J944" s="3">
        <v>107939</v>
      </c>
      <c r="K944" s="4" t="s">
        <v>111</v>
      </c>
      <c r="L944" s="56" t="s">
        <v>493</v>
      </c>
      <c r="M944" s="20" t="s">
        <v>107</v>
      </c>
      <c r="N944" s="19" t="s">
        <v>494</v>
      </c>
      <c r="O944" s="19" t="str">
        <f t="shared" si="28"/>
        <v>17</v>
      </c>
      <c r="P944" s="64">
        <f t="shared" si="29"/>
        <v>42568</v>
      </c>
    </row>
    <row r="945" spans="1:16" x14ac:dyDescent="0.25">
      <c r="A945" s="26">
        <v>42568.686354166668</v>
      </c>
      <c r="B945" s="51" t="s">
        <v>139</v>
      </c>
      <c r="C945" s="4" t="s">
        <v>1295</v>
      </c>
      <c r="D945" s="4" t="s">
        <v>103</v>
      </c>
      <c r="E945" s="51" t="s">
        <v>122</v>
      </c>
      <c r="F945" s="3">
        <v>0</v>
      </c>
      <c r="G945" s="3">
        <v>404</v>
      </c>
      <c r="H945" s="3">
        <v>129268</v>
      </c>
      <c r="I945" s="51" t="s">
        <v>123</v>
      </c>
      <c r="J945" s="3">
        <v>127587</v>
      </c>
      <c r="K945" s="4" t="s">
        <v>106</v>
      </c>
      <c r="L945" s="56" t="s">
        <v>493</v>
      </c>
      <c r="M945" s="20" t="s">
        <v>112</v>
      </c>
      <c r="N945" s="19" t="s">
        <v>1182</v>
      </c>
      <c r="O945" s="19" t="str">
        <f t="shared" si="28"/>
        <v>17</v>
      </c>
      <c r="P945" s="64">
        <f t="shared" si="29"/>
        <v>42568</v>
      </c>
    </row>
    <row r="946" spans="1:16" x14ac:dyDescent="0.25">
      <c r="A946" s="26">
        <v>42568.590092592596</v>
      </c>
      <c r="B946" s="4" t="s">
        <v>165</v>
      </c>
      <c r="C946" s="4" t="s">
        <v>1296</v>
      </c>
      <c r="D946" s="4" t="s">
        <v>103</v>
      </c>
      <c r="E946" s="4" t="s">
        <v>122</v>
      </c>
      <c r="F946" s="3">
        <v>0</v>
      </c>
      <c r="G946" s="3">
        <v>787</v>
      </c>
      <c r="H946" s="3">
        <v>144702</v>
      </c>
      <c r="I946" s="4" t="s">
        <v>123</v>
      </c>
      <c r="J946" s="3">
        <v>149694</v>
      </c>
      <c r="K946" s="4" t="s">
        <v>111</v>
      </c>
      <c r="L946" s="56" t="s">
        <v>420</v>
      </c>
      <c r="M946" s="20" t="s">
        <v>107</v>
      </c>
      <c r="N946" s="19" t="s">
        <v>52</v>
      </c>
      <c r="O946" s="19" t="str">
        <f t="shared" si="28"/>
        <v>17</v>
      </c>
      <c r="P946" s="64">
        <f t="shared" si="29"/>
        <v>42568</v>
      </c>
    </row>
    <row r="947" spans="1:16" x14ac:dyDescent="0.25">
      <c r="A947" s="26">
        <v>42568.788171296299</v>
      </c>
      <c r="B947" s="51" t="s">
        <v>146</v>
      </c>
      <c r="C947" s="4" t="s">
        <v>80</v>
      </c>
      <c r="D947" s="4" t="s">
        <v>103</v>
      </c>
      <c r="E947" s="51" t="s">
        <v>122</v>
      </c>
      <c r="F947" s="3">
        <v>0</v>
      </c>
      <c r="G947" s="3">
        <v>572</v>
      </c>
      <c r="H947" s="3">
        <v>151840</v>
      </c>
      <c r="I947" s="51" t="s">
        <v>123</v>
      </c>
      <c r="J947" s="3">
        <v>155600</v>
      </c>
      <c r="K947" s="4" t="s">
        <v>111</v>
      </c>
      <c r="L947" s="56" t="s">
        <v>432</v>
      </c>
      <c r="M947" s="20" t="s">
        <v>112</v>
      </c>
      <c r="N947" s="19" t="s">
        <v>1297</v>
      </c>
      <c r="O947" s="19" t="str">
        <f t="shared" si="28"/>
        <v>17</v>
      </c>
      <c r="P947" s="64">
        <f t="shared" si="29"/>
        <v>42568</v>
      </c>
    </row>
    <row r="948" spans="1:16" x14ac:dyDescent="0.25">
      <c r="A948" s="26">
        <v>42568.816423611112</v>
      </c>
      <c r="B948" s="4" t="s">
        <v>145</v>
      </c>
      <c r="C948" s="4" t="s">
        <v>1298</v>
      </c>
      <c r="D948" s="4" t="s">
        <v>103</v>
      </c>
      <c r="E948" s="4" t="s">
        <v>122</v>
      </c>
      <c r="F948" s="3">
        <v>0</v>
      </c>
      <c r="G948" s="3">
        <v>687</v>
      </c>
      <c r="H948" s="3">
        <v>164629</v>
      </c>
      <c r="I948" s="4" t="s">
        <v>123</v>
      </c>
      <c r="J948" s="3">
        <v>162262</v>
      </c>
      <c r="K948" s="4" t="s">
        <v>106</v>
      </c>
      <c r="L948" s="56" t="s">
        <v>432</v>
      </c>
      <c r="M948" s="20" t="s">
        <v>107</v>
      </c>
      <c r="N948" s="19" t="s">
        <v>52</v>
      </c>
      <c r="O948" s="19" t="str">
        <f t="shared" si="28"/>
        <v>17</v>
      </c>
      <c r="P948" s="64">
        <f t="shared" si="29"/>
        <v>42568</v>
      </c>
    </row>
    <row r="949" spans="1:16" x14ac:dyDescent="0.25">
      <c r="A949" s="26">
        <v>42568.840011574073</v>
      </c>
      <c r="B949" s="51" t="s">
        <v>136</v>
      </c>
      <c r="C949" s="4" t="s">
        <v>1299</v>
      </c>
      <c r="D949" s="4" t="s">
        <v>103</v>
      </c>
      <c r="E949" s="51" t="s">
        <v>122</v>
      </c>
      <c r="F949" s="3">
        <v>0</v>
      </c>
      <c r="G949" s="3">
        <v>704</v>
      </c>
      <c r="H949" s="3">
        <v>164178</v>
      </c>
      <c r="I949" s="51" t="s">
        <v>123</v>
      </c>
      <c r="J949" s="3">
        <v>162262</v>
      </c>
      <c r="K949" s="4" t="s">
        <v>106</v>
      </c>
      <c r="L949" s="56" t="s">
        <v>413</v>
      </c>
      <c r="M949" s="20" t="s">
        <v>107</v>
      </c>
      <c r="N949" s="19" t="s">
        <v>52</v>
      </c>
      <c r="O949" s="19" t="str">
        <f t="shared" si="28"/>
        <v>17</v>
      </c>
      <c r="P949" s="64">
        <f t="shared" si="29"/>
        <v>42568</v>
      </c>
    </row>
    <row r="950" spans="1:16" x14ac:dyDescent="0.25">
      <c r="A950" s="26">
        <v>42568.878483796296</v>
      </c>
      <c r="B950" s="4" t="s">
        <v>119</v>
      </c>
      <c r="C950" s="4" t="s">
        <v>238</v>
      </c>
      <c r="D950" s="4" t="s">
        <v>103</v>
      </c>
      <c r="E950" s="4" t="s">
        <v>122</v>
      </c>
      <c r="F950" s="3">
        <v>0</v>
      </c>
      <c r="G950" s="3">
        <v>717</v>
      </c>
      <c r="H950" s="3">
        <v>164874</v>
      </c>
      <c r="I950" s="4" t="s">
        <v>123</v>
      </c>
      <c r="J950" s="3">
        <v>162262</v>
      </c>
      <c r="K950" s="4" t="s">
        <v>106</v>
      </c>
      <c r="L950" s="56" t="s">
        <v>411</v>
      </c>
      <c r="M950" s="20" t="s">
        <v>107</v>
      </c>
      <c r="N950" s="19" t="s">
        <v>52</v>
      </c>
      <c r="O950" s="19" t="str">
        <f t="shared" si="28"/>
        <v>17</v>
      </c>
      <c r="P950" s="64">
        <f t="shared" si="29"/>
        <v>42568</v>
      </c>
    </row>
    <row r="951" spans="1:16" x14ac:dyDescent="0.25">
      <c r="A951" s="26">
        <v>42568.919918981483</v>
      </c>
      <c r="B951" s="51" t="s">
        <v>136</v>
      </c>
      <c r="C951" s="4" t="s">
        <v>1292</v>
      </c>
      <c r="D951" s="4" t="s">
        <v>103</v>
      </c>
      <c r="E951" s="51" t="s">
        <v>122</v>
      </c>
      <c r="F951" s="3">
        <v>0</v>
      </c>
      <c r="G951" s="3">
        <v>709</v>
      </c>
      <c r="H951" s="3">
        <v>164764</v>
      </c>
      <c r="I951" s="51" t="s">
        <v>123</v>
      </c>
      <c r="J951" s="3">
        <v>162262</v>
      </c>
      <c r="K951" s="4" t="s">
        <v>106</v>
      </c>
      <c r="L951" s="56" t="s">
        <v>504</v>
      </c>
      <c r="M951" s="20" t="s">
        <v>107</v>
      </c>
      <c r="N951" s="19" t="s">
        <v>52</v>
      </c>
      <c r="O951" s="19" t="str">
        <f t="shared" si="28"/>
        <v>17</v>
      </c>
      <c r="P951" s="64">
        <f t="shared" si="29"/>
        <v>42568</v>
      </c>
    </row>
    <row r="952" spans="1:16" x14ac:dyDescent="0.25">
      <c r="A952" s="26">
        <v>42568.963414351849</v>
      </c>
      <c r="B952" s="51" t="s">
        <v>119</v>
      </c>
      <c r="C952" s="4" t="s">
        <v>240</v>
      </c>
      <c r="D952" s="4" t="s">
        <v>103</v>
      </c>
      <c r="E952" s="51" t="s">
        <v>122</v>
      </c>
      <c r="F952" s="3">
        <v>0</v>
      </c>
      <c r="G952" s="3">
        <v>709</v>
      </c>
      <c r="H952" s="3">
        <v>163871</v>
      </c>
      <c r="I952" s="51" t="s">
        <v>123</v>
      </c>
      <c r="J952" s="3">
        <v>162262</v>
      </c>
      <c r="K952" s="4" t="s">
        <v>106</v>
      </c>
      <c r="L952" s="56" t="s">
        <v>411</v>
      </c>
      <c r="M952" s="20" t="s">
        <v>107</v>
      </c>
      <c r="N952" s="19" t="s">
        <v>52</v>
      </c>
      <c r="O952" s="19" t="str">
        <f t="shared" si="28"/>
        <v>17</v>
      </c>
      <c r="P952" s="64">
        <f t="shared" si="29"/>
        <v>42568</v>
      </c>
    </row>
    <row r="953" spans="1:16" x14ac:dyDescent="0.25">
      <c r="A953" s="26">
        <v>42568.982974537037</v>
      </c>
      <c r="B953" s="51" t="s">
        <v>145</v>
      </c>
      <c r="C953" s="4" t="s">
        <v>507</v>
      </c>
      <c r="D953" s="4" t="s">
        <v>103</v>
      </c>
      <c r="E953" s="51" t="s">
        <v>122</v>
      </c>
      <c r="F953" s="3">
        <v>0</v>
      </c>
      <c r="G953" s="3">
        <v>718</v>
      </c>
      <c r="H953" s="3">
        <v>164530</v>
      </c>
      <c r="I953" s="51" t="s">
        <v>123</v>
      </c>
      <c r="J953" s="3">
        <v>162262</v>
      </c>
      <c r="K953" s="4" t="s">
        <v>106</v>
      </c>
      <c r="L953" s="56" t="s">
        <v>432</v>
      </c>
      <c r="M953" s="20" t="s">
        <v>107</v>
      </c>
      <c r="N953" s="19" t="s">
        <v>52</v>
      </c>
      <c r="O953" s="19" t="str">
        <f t="shared" si="28"/>
        <v>17</v>
      </c>
      <c r="P953" s="64">
        <f t="shared" si="29"/>
        <v>42568</v>
      </c>
    </row>
    <row r="954" spans="1:16" x14ac:dyDescent="0.25">
      <c r="A954" s="26">
        <v>42568.960150462961</v>
      </c>
      <c r="B954" s="51" t="s">
        <v>119</v>
      </c>
      <c r="C954" s="4" t="s">
        <v>240</v>
      </c>
      <c r="D954" s="4" t="s">
        <v>103</v>
      </c>
      <c r="E954" s="51" t="s">
        <v>122</v>
      </c>
      <c r="F954" s="3">
        <v>0</v>
      </c>
      <c r="G954" s="3">
        <v>745</v>
      </c>
      <c r="H954" s="3">
        <v>202778</v>
      </c>
      <c r="I954" s="51" t="s">
        <v>123</v>
      </c>
      <c r="J954" s="3">
        <v>198256</v>
      </c>
      <c r="K954" s="4" t="s">
        <v>106</v>
      </c>
      <c r="L954" s="56" t="s">
        <v>411</v>
      </c>
      <c r="M954" s="20" t="s">
        <v>107</v>
      </c>
      <c r="N954" s="19" t="s">
        <v>52</v>
      </c>
      <c r="O954" s="19" t="str">
        <f t="shared" si="28"/>
        <v>17</v>
      </c>
      <c r="P954" s="64">
        <f t="shared" si="29"/>
        <v>42568</v>
      </c>
    </row>
    <row r="955" spans="1:16" x14ac:dyDescent="0.25">
      <c r="A955" s="26">
        <v>42568.733715277776</v>
      </c>
      <c r="B955" s="51" t="s">
        <v>137</v>
      </c>
      <c r="C955" s="4" t="s">
        <v>1300</v>
      </c>
      <c r="D955" s="4" t="s">
        <v>103</v>
      </c>
      <c r="E955" s="51" t="s">
        <v>122</v>
      </c>
      <c r="F955" s="3">
        <v>0</v>
      </c>
      <c r="G955" s="3">
        <v>397</v>
      </c>
      <c r="H955" s="3">
        <v>223107</v>
      </c>
      <c r="I955" s="51" t="s">
        <v>123</v>
      </c>
      <c r="J955" s="3">
        <v>224231</v>
      </c>
      <c r="K955" s="4" t="s">
        <v>111</v>
      </c>
      <c r="L955" s="56" t="s">
        <v>493</v>
      </c>
      <c r="M955" s="20" t="s">
        <v>107</v>
      </c>
      <c r="N955" s="19" t="s">
        <v>52</v>
      </c>
      <c r="O955" s="19" t="str">
        <f t="shared" si="28"/>
        <v>17</v>
      </c>
      <c r="P955" s="64">
        <f t="shared" si="29"/>
        <v>42568</v>
      </c>
    </row>
    <row r="956" spans="1:16" x14ac:dyDescent="0.25">
      <c r="A956" s="26">
        <v>42568.738541666666</v>
      </c>
      <c r="B956" s="51" t="s">
        <v>145</v>
      </c>
      <c r="C956" s="4" t="s">
        <v>1301</v>
      </c>
      <c r="D956" s="4" t="s">
        <v>103</v>
      </c>
      <c r="E956" s="51" t="s">
        <v>122</v>
      </c>
      <c r="F956" s="3">
        <v>0</v>
      </c>
      <c r="G956" s="3">
        <v>354</v>
      </c>
      <c r="H956" s="3">
        <v>226421</v>
      </c>
      <c r="I956" s="51" t="s">
        <v>123</v>
      </c>
      <c r="J956" s="3">
        <v>224244</v>
      </c>
      <c r="K956" s="4" t="s">
        <v>106</v>
      </c>
      <c r="L956" s="56" t="s">
        <v>450</v>
      </c>
      <c r="M956" s="20" t="s">
        <v>107</v>
      </c>
      <c r="N956" s="19" t="s">
        <v>52</v>
      </c>
      <c r="O956" s="19" t="str">
        <f t="shared" si="28"/>
        <v>17</v>
      </c>
      <c r="P956" s="64">
        <f t="shared" si="29"/>
        <v>42568</v>
      </c>
    </row>
    <row r="957" spans="1:16" x14ac:dyDescent="0.25">
      <c r="A957" s="26">
        <v>42568.210636574076</v>
      </c>
      <c r="B957" s="51" t="s">
        <v>131</v>
      </c>
      <c r="C957" s="4" t="s">
        <v>488</v>
      </c>
      <c r="D957" s="4" t="s">
        <v>103</v>
      </c>
      <c r="E957" s="51" t="s">
        <v>127</v>
      </c>
      <c r="F957" s="3">
        <v>0</v>
      </c>
      <c r="G957" s="3">
        <v>730</v>
      </c>
      <c r="H957" s="3">
        <v>71017</v>
      </c>
      <c r="I957" s="51" t="s">
        <v>128</v>
      </c>
      <c r="J957" s="3">
        <v>69363</v>
      </c>
      <c r="K957" s="4" t="s">
        <v>106</v>
      </c>
      <c r="L957" s="56" t="s">
        <v>400</v>
      </c>
      <c r="M957" s="20" t="s">
        <v>107</v>
      </c>
      <c r="N957" s="19" t="s">
        <v>52</v>
      </c>
      <c r="O957" s="19" t="str">
        <f t="shared" si="28"/>
        <v>17</v>
      </c>
      <c r="P957" s="64">
        <f t="shared" si="29"/>
        <v>42568</v>
      </c>
    </row>
    <row r="958" spans="1:16" x14ac:dyDescent="0.25">
      <c r="A958" s="26">
        <v>42568.303969907407</v>
      </c>
      <c r="B958" s="51" t="s">
        <v>131</v>
      </c>
      <c r="C958" s="4" t="s">
        <v>187</v>
      </c>
      <c r="D958" s="4" t="s">
        <v>103</v>
      </c>
      <c r="E958" s="51" t="s">
        <v>129</v>
      </c>
      <c r="F958" s="3">
        <v>0</v>
      </c>
      <c r="G958" s="3">
        <v>53</v>
      </c>
      <c r="H958" s="3">
        <v>129</v>
      </c>
      <c r="I958" s="51" t="s">
        <v>130</v>
      </c>
      <c r="J958" s="3">
        <v>1</v>
      </c>
      <c r="K958" s="4" t="s">
        <v>106</v>
      </c>
      <c r="L958" s="56" t="s">
        <v>400</v>
      </c>
      <c r="M958" s="20" t="s">
        <v>112</v>
      </c>
      <c r="N958" s="19"/>
      <c r="O958" s="19" t="str">
        <f t="shared" si="28"/>
        <v>17</v>
      </c>
      <c r="P958" s="64">
        <f t="shared" si="29"/>
        <v>42568</v>
      </c>
    </row>
    <row r="959" spans="1:16" x14ac:dyDescent="0.25">
      <c r="A959" s="26">
        <v>42568.356365740743</v>
      </c>
      <c r="B959" s="51" t="s">
        <v>132</v>
      </c>
      <c r="C959" s="4" t="s">
        <v>1302</v>
      </c>
      <c r="D959" s="4" t="s">
        <v>103</v>
      </c>
      <c r="E959" s="51" t="s">
        <v>129</v>
      </c>
      <c r="F959" s="3">
        <v>0</v>
      </c>
      <c r="G959" s="3">
        <v>56</v>
      </c>
      <c r="H959" s="3">
        <v>212</v>
      </c>
      <c r="I959" s="51" t="s">
        <v>130</v>
      </c>
      <c r="J959" s="3">
        <v>1</v>
      </c>
      <c r="K959" s="4" t="s">
        <v>106</v>
      </c>
      <c r="L959" s="56" t="s">
        <v>415</v>
      </c>
      <c r="M959" s="20" t="s">
        <v>112</v>
      </c>
      <c r="N959" s="19"/>
      <c r="O959" s="19" t="str">
        <f t="shared" si="28"/>
        <v>17</v>
      </c>
      <c r="P959" s="64">
        <f t="shared" si="29"/>
        <v>42568</v>
      </c>
    </row>
    <row r="960" spans="1:16" x14ac:dyDescent="0.25">
      <c r="A960" s="26">
        <v>42568.377083333333</v>
      </c>
      <c r="B960" s="51" t="s">
        <v>131</v>
      </c>
      <c r="C960" s="4" t="s">
        <v>1303</v>
      </c>
      <c r="D960" s="4" t="s">
        <v>103</v>
      </c>
      <c r="E960" s="51" t="s">
        <v>129</v>
      </c>
      <c r="F960" s="3">
        <v>0</v>
      </c>
      <c r="G960" s="3">
        <v>37</v>
      </c>
      <c r="H960" s="3">
        <v>121</v>
      </c>
      <c r="I960" s="51" t="s">
        <v>130</v>
      </c>
      <c r="J960" s="3">
        <v>1</v>
      </c>
      <c r="K960" s="4" t="s">
        <v>106</v>
      </c>
      <c r="L960" s="56" t="s">
        <v>400</v>
      </c>
      <c r="M960" s="20" t="s">
        <v>112</v>
      </c>
      <c r="N960" s="19"/>
      <c r="O960" s="19" t="str">
        <f t="shared" si="28"/>
        <v>17</v>
      </c>
      <c r="P960" s="64">
        <f t="shared" si="29"/>
        <v>42568</v>
      </c>
    </row>
    <row r="961" spans="1:16" x14ac:dyDescent="0.25">
      <c r="A961" s="26">
        <v>42568.554039351853</v>
      </c>
      <c r="B961" s="51" t="s">
        <v>139</v>
      </c>
      <c r="C961" s="4" t="s">
        <v>237</v>
      </c>
      <c r="D961" s="4" t="s">
        <v>103</v>
      </c>
      <c r="E961" s="51" t="s">
        <v>129</v>
      </c>
      <c r="F961" s="3">
        <v>0</v>
      </c>
      <c r="G961" s="3">
        <v>36</v>
      </c>
      <c r="H961" s="3">
        <v>127</v>
      </c>
      <c r="I961" s="51" t="s">
        <v>130</v>
      </c>
      <c r="J961" s="3">
        <v>1</v>
      </c>
      <c r="K961" s="4" t="s">
        <v>106</v>
      </c>
      <c r="L961" s="56" t="s">
        <v>493</v>
      </c>
      <c r="M961" s="20" t="s">
        <v>112</v>
      </c>
      <c r="N961" s="19"/>
      <c r="O961" s="19" t="str">
        <f t="shared" si="28"/>
        <v>17</v>
      </c>
      <c r="P961" s="64">
        <f t="shared" si="29"/>
        <v>42568</v>
      </c>
    </row>
    <row r="962" spans="1:16" x14ac:dyDescent="0.25">
      <c r="A962" s="17">
        <v>42568.65283564815</v>
      </c>
      <c r="B962" s="51" t="s">
        <v>132</v>
      </c>
      <c r="C962" s="4" t="s">
        <v>498</v>
      </c>
      <c r="D962" s="4" t="s">
        <v>103</v>
      </c>
      <c r="E962" s="4" t="s">
        <v>129</v>
      </c>
      <c r="F962" s="3">
        <v>0</v>
      </c>
      <c r="G962" s="3">
        <v>62</v>
      </c>
      <c r="H962" s="3">
        <v>207</v>
      </c>
      <c r="I962" s="4" t="s">
        <v>130</v>
      </c>
      <c r="J962" s="3">
        <v>1</v>
      </c>
      <c r="K962" s="4" t="s">
        <v>106</v>
      </c>
      <c r="L962" s="56" t="s">
        <v>405</v>
      </c>
      <c r="M962" s="20" t="s">
        <v>112</v>
      </c>
      <c r="N962" s="19"/>
      <c r="O962" s="19" t="str">
        <f t="shared" ref="O962:O1025" si="30">RIGHT(C962,2)</f>
        <v>17</v>
      </c>
      <c r="P962" s="64">
        <f t="shared" si="29"/>
        <v>42568</v>
      </c>
    </row>
    <row r="963" spans="1:16" x14ac:dyDescent="0.25">
      <c r="A963" s="26">
        <v>42568.754664351851</v>
      </c>
      <c r="B963" s="51" t="s">
        <v>118</v>
      </c>
      <c r="C963" s="4" t="s">
        <v>1304</v>
      </c>
      <c r="D963" s="4" t="s">
        <v>103</v>
      </c>
      <c r="E963" s="51" t="s">
        <v>129</v>
      </c>
      <c r="F963" s="3">
        <v>0</v>
      </c>
      <c r="G963" s="3">
        <v>92</v>
      </c>
      <c r="H963" s="3">
        <v>323</v>
      </c>
      <c r="I963" s="51" t="s">
        <v>130</v>
      </c>
      <c r="J963" s="3">
        <v>1</v>
      </c>
      <c r="K963" s="4" t="s">
        <v>106</v>
      </c>
      <c r="L963" s="56" t="s">
        <v>436</v>
      </c>
      <c r="M963" s="20" t="s">
        <v>112</v>
      </c>
      <c r="N963" s="19"/>
      <c r="O963" s="19" t="str">
        <f t="shared" si="30"/>
        <v>17</v>
      </c>
      <c r="P963" s="64">
        <f t="shared" ref="P963:P1026" si="31">42522+O963+29</f>
        <v>42568</v>
      </c>
    </row>
    <row r="964" spans="1:16" x14ac:dyDescent="0.25">
      <c r="A964" s="17">
        <v>42568.755300925928</v>
      </c>
      <c r="B964" s="51" t="s">
        <v>118</v>
      </c>
      <c r="C964" s="4" t="s">
        <v>1304</v>
      </c>
      <c r="D964" s="4" t="s">
        <v>103</v>
      </c>
      <c r="E964" s="51" t="s">
        <v>129</v>
      </c>
      <c r="F964" s="3">
        <v>0</v>
      </c>
      <c r="G964" s="3">
        <v>21</v>
      </c>
      <c r="H964" s="3">
        <v>82</v>
      </c>
      <c r="I964" s="51" t="s">
        <v>130</v>
      </c>
      <c r="J964" s="3">
        <v>1</v>
      </c>
      <c r="K964" s="4" t="s">
        <v>106</v>
      </c>
      <c r="L964" s="56" t="s">
        <v>436</v>
      </c>
      <c r="M964" s="20" t="s">
        <v>112</v>
      </c>
      <c r="N964" s="19"/>
      <c r="O964" s="19" t="str">
        <f t="shared" si="30"/>
        <v>17</v>
      </c>
      <c r="P964" s="64">
        <f t="shared" si="31"/>
        <v>42568</v>
      </c>
    </row>
    <row r="965" spans="1:16" x14ac:dyDescent="0.25">
      <c r="A965" s="26">
        <v>42568.773356481484</v>
      </c>
      <c r="B965" s="51" t="s">
        <v>139</v>
      </c>
      <c r="C965" s="4" t="s">
        <v>1305</v>
      </c>
      <c r="D965" s="4" t="s">
        <v>103</v>
      </c>
      <c r="E965" s="51" t="s">
        <v>129</v>
      </c>
      <c r="F965" s="3">
        <v>0</v>
      </c>
      <c r="G965" s="3">
        <v>70</v>
      </c>
      <c r="H965" s="3">
        <v>242</v>
      </c>
      <c r="I965" s="51" t="s">
        <v>130</v>
      </c>
      <c r="J965" s="3">
        <v>1</v>
      </c>
      <c r="K965" s="4" t="s">
        <v>106</v>
      </c>
      <c r="L965" s="56" t="s">
        <v>493</v>
      </c>
      <c r="M965" s="20" t="s">
        <v>112</v>
      </c>
      <c r="N965" s="19"/>
      <c r="O965" s="19" t="str">
        <f t="shared" si="30"/>
        <v>17</v>
      </c>
      <c r="P965" s="64">
        <f t="shared" si="31"/>
        <v>42568</v>
      </c>
    </row>
    <row r="966" spans="1:16" x14ac:dyDescent="0.25">
      <c r="A966" s="26">
        <v>42568.773784722223</v>
      </c>
      <c r="B966" s="51" t="s">
        <v>139</v>
      </c>
      <c r="C966" s="4" t="s">
        <v>1305</v>
      </c>
      <c r="D966" s="4" t="s">
        <v>103</v>
      </c>
      <c r="E966" s="51" t="s">
        <v>129</v>
      </c>
      <c r="F966" s="3">
        <v>0</v>
      </c>
      <c r="G966" s="3">
        <v>30</v>
      </c>
      <c r="H966" s="3">
        <v>125</v>
      </c>
      <c r="I966" s="51" t="s">
        <v>130</v>
      </c>
      <c r="J966" s="3">
        <v>1</v>
      </c>
      <c r="K966" s="4" t="s">
        <v>106</v>
      </c>
      <c r="L966" s="56" t="s">
        <v>493</v>
      </c>
      <c r="M966" s="20" t="s">
        <v>112</v>
      </c>
      <c r="N966" s="19"/>
      <c r="O966" s="19" t="str">
        <f t="shared" si="30"/>
        <v>17</v>
      </c>
      <c r="P966" s="64">
        <f t="shared" si="31"/>
        <v>42568</v>
      </c>
    </row>
    <row r="967" spans="1:16" x14ac:dyDescent="0.25">
      <c r="A967" s="26">
        <v>42568.806712962964</v>
      </c>
      <c r="B967" s="51" t="s">
        <v>141</v>
      </c>
      <c r="C967" s="4" t="s">
        <v>1306</v>
      </c>
      <c r="D967" s="4" t="s">
        <v>103</v>
      </c>
      <c r="E967" s="51" t="s">
        <v>129</v>
      </c>
      <c r="F967" s="3">
        <v>0</v>
      </c>
      <c r="G967" s="3">
        <v>96</v>
      </c>
      <c r="H967" s="3">
        <v>338</v>
      </c>
      <c r="I967" s="51" t="s">
        <v>130</v>
      </c>
      <c r="J967" s="3">
        <v>1</v>
      </c>
      <c r="K967" s="4" t="s">
        <v>106</v>
      </c>
      <c r="L967" s="56" t="s">
        <v>506</v>
      </c>
      <c r="M967" s="20" t="s">
        <v>112</v>
      </c>
      <c r="N967" s="19"/>
      <c r="O967" s="19" t="str">
        <f t="shared" si="30"/>
        <v>17</v>
      </c>
      <c r="P967" s="64">
        <f t="shared" si="31"/>
        <v>42568</v>
      </c>
    </row>
    <row r="968" spans="1:16" x14ac:dyDescent="0.25">
      <c r="A968" s="26">
        <v>42568.963402777779</v>
      </c>
      <c r="B968" s="51" t="s">
        <v>141</v>
      </c>
      <c r="C968" s="4" t="s">
        <v>239</v>
      </c>
      <c r="D968" s="4" t="s">
        <v>103</v>
      </c>
      <c r="E968" s="51" t="s">
        <v>129</v>
      </c>
      <c r="F968" s="3">
        <v>0</v>
      </c>
      <c r="G968" s="3">
        <v>54</v>
      </c>
      <c r="H968" s="3">
        <v>185</v>
      </c>
      <c r="I968" s="51" t="s">
        <v>130</v>
      </c>
      <c r="J968" s="3">
        <v>1</v>
      </c>
      <c r="K968" s="4" t="s">
        <v>106</v>
      </c>
      <c r="L968" s="56" t="s">
        <v>506</v>
      </c>
      <c r="M968" s="20" t="s">
        <v>112</v>
      </c>
      <c r="N968" s="19"/>
      <c r="O968" s="19" t="str">
        <f t="shared" si="30"/>
        <v>17</v>
      </c>
      <c r="P968" s="64">
        <f t="shared" si="31"/>
        <v>42568</v>
      </c>
    </row>
    <row r="969" spans="1:16" x14ac:dyDescent="0.25">
      <c r="A969" s="26">
        <v>42568.587013888886</v>
      </c>
      <c r="B969" s="51" t="s">
        <v>137</v>
      </c>
      <c r="C969" s="4" t="s">
        <v>1307</v>
      </c>
      <c r="D969" s="4" t="s">
        <v>103</v>
      </c>
      <c r="E969" s="51" t="s">
        <v>129</v>
      </c>
      <c r="F969" s="3">
        <v>0</v>
      </c>
      <c r="G969" s="3">
        <v>92</v>
      </c>
      <c r="H969" s="3">
        <v>233142</v>
      </c>
      <c r="I969" s="51" t="s">
        <v>130</v>
      </c>
      <c r="J969" s="3">
        <v>233491</v>
      </c>
      <c r="K969" s="4" t="s">
        <v>111</v>
      </c>
      <c r="L969" s="56" t="s">
        <v>493</v>
      </c>
      <c r="M969" s="20" t="s">
        <v>112</v>
      </c>
      <c r="N969" s="19"/>
      <c r="O969" s="19" t="str">
        <f t="shared" si="30"/>
        <v>17</v>
      </c>
      <c r="P969" s="64">
        <f t="shared" si="31"/>
        <v>42568</v>
      </c>
    </row>
    <row r="970" spans="1:16" x14ac:dyDescent="0.25">
      <c r="A970" s="26">
        <v>42569.686874999999</v>
      </c>
      <c r="B970" s="51" t="s">
        <v>137</v>
      </c>
      <c r="C970" s="4" t="s">
        <v>519</v>
      </c>
      <c r="D970" s="4" t="s">
        <v>103</v>
      </c>
      <c r="E970" s="51" t="s">
        <v>104</v>
      </c>
      <c r="F970" s="3">
        <v>790</v>
      </c>
      <c r="G970" s="3">
        <v>701</v>
      </c>
      <c r="H970" s="3">
        <v>134703</v>
      </c>
      <c r="I970" s="51" t="s">
        <v>105</v>
      </c>
      <c r="J970" s="3">
        <v>104646</v>
      </c>
      <c r="K970" s="4" t="s">
        <v>111</v>
      </c>
      <c r="L970" s="56" t="s">
        <v>436</v>
      </c>
      <c r="M970" s="20" t="s">
        <v>107</v>
      </c>
      <c r="N970" s="19" t="s">
        <v>47</v>
      </c>
      <c r="O970" s="19" t="str">
        <f t="shared" si="30"/>
        <v>18</v>
      </c>
      <c r="P970" s="64">
        <f t="shared" si="31"/>
        <v>42569</v>
      </c>
    </row>
    <row r="971" spans="1:16" x14ac:dyDescent="0.25">
      <c r="A971" s="26">
        <v>42569.607928240737</v>
      </c>
      <c r="B971" s="51" t="s">
        <v>118</v>
      </c>
      <c r="C971" s="4" t="s">
        <v>190</v>
      </c>
      <c r="D971" s="4" t="s">
        <v>103</v>
      </c>
      <c r="E971" s="51" t="s">
        <v>109</v>
      </c>
      <c r="F971" s="3">
        <v>0</v>
      </c>
      <c r="G971" s="3">
        <v>366</v>
      </c>
      <c r="H971" s="3">
        <v>80342</v>
      </c>
      <c r="I971" s="51" t="s">
        <v>110</v>
      </c>
      <c r="J971" s="3">
        <v>78469</v>
      </c>
      <c r="K971" s="4" t="s">
        <v>106</v>
      </c>
      <c r="L971" s="56" t="s">
        <v>558</v>
      </c>
      <c r="M971" s="20" t="s">
        <v>112</v>
      </c>
      <c r="N971" s="19" t="s">
        <v>186</v>
      </c>
      <c r="O971" s="19" t="str">
        <f t="shared" si="30"/>
        <v>18</v>
      </c>
      <c r="P971" s="64">
        <f t="shared" si="31"/>
        <v>42569</v>
      </c>
    </row>
    <row r="972" spans="1:16" x14ac:dyDescent="0.25">
      <c r="A972" s="26">
        <v>42569.332442129627</v>
      </c>
      <c r="B972" s="51" t="s">
        <v>164</v>
      </c>
      <c r="C972" s="4" t="s">
        <v>330</v>
      </c>
      <c r="D972" s="4" t="s">
        <v>103</v>
      </c>
      <c r="E972" s="51" t="s">
        <v>115</v>
      </c>
      <c r="F972" s="3">
        <v>450</v>
      </c>
      <c r="G972" s="3">
        <v>456</v>
      </c>
      <c r="H972" s="3">
        <v>17386</v>
      </c>
      <c r="I972" s="51" t="s">
        <v>105</v>
      </c>
      <c r="J972" s="3">
        <v>15167</v>
      </c>
      <c r="K972" s="4" t="s">
        <v>106</v>
      </c>
      <c r="L972" s="56" t="s">
        <v>398</v>
      </c>
      <c r="M972" s="20" t="s">
        <v>112</v>
      </c>
      <c r="N972" s="19"/>
      <c r="O972" s="19" t="str">
        <f t="shared" si="30"/>
        <v>18</v>
      </c>
      <c r="P972" s="64">
        <f t="shared" si="31"/>
        <v>42569</v>
      </c>
    </row>
    <row r="973" spans="1:16" x14ac:dyDescent="0.25">
      <c r="A973" s="26">
        <v>42569.357824074075</v>
      </c>
      <c r="B973" s="51" t="s">
        <v>108</v>
      </c>
      <c r="C973" s="4" t="s">
        <v>1308</v>
      </c>
      <c r="D973" s="4" t="s">
        <v>103</v>
      </c>
      <c r="E973" s="51" t="s">
        <v>115</v>
      </c>
      <c r="F973" s="3">
        <v>400</v>
      </c>
      <c r="G973" s="3">
        <v>473</v>
      </c>
      <c r="H973" s="3">
        <v>17165</v>
      </c>
      <c r="I973" s="51" t="s">
        <v>105</v>
      </c>
      <c r="J973" s="3">
        <v>17867</v>
      </c>
      <c r="K973" s="4" t="s">
        <v>111</v>
      </c>
      <c r="L973" s="56" t="s">
        <v>415</v>
      </c>
      <c r="M973" s="20" t="s">
        <v>112</v>
      </c>
      <c r="N973" s="19"/>
      <c r="O973" s="19" t="str">
        <f t="shared" si="30"/>
        <v>18</v>
      </c>
      <c r="P973" s="64">
        <f t="shared" si="31"/>
        <v>42569</v>
      </c>
    </row>
    <row r="974" spans="1:16" x14ac:dyDescent="0.25">
      <c r="A974" s="26">
        <v>42569.567719907405</v>
      </c>
      <c r="B974" s="51" t="s">
        <v>165</v>
      </c>
      <c r="C974" s="4" t="s">
        <v>1309</v>
      </c>
      <c r="D974" s="4" t="s">
        <v>103</v>
      </c>
      <c r="E974" s="51" t="s">
        <v>115</v>
      </c>
      <c r="F974" s="3">
        <v>300</v>
      </c>
      <c r="G974" s="3">
        <v>289</v>
      </c>
      <c r="H974" s="3">
        <v>20031</v>
      </c>
      <c r="I974" s="51" t="s">
        <v>105</v>
      </c>
      <c r="J974" s="3">
        <v>20338</v>
      </c>
      <c r="K974" s="4" t="s">
        <v>111</v>
      </c>
      <c r="L974" s="56" t="s">
        <v>405</v>
      </c>
      <c r="M974" s="20" t="s">
        <v>112</v>
      </c>
      <c r="N974" s="19"/>
      <c r="O974" s="19" t="str">
        <f t="shared" si="30"/>
        <v>18</v>
      </c>
      <c r="P974" s="64">
        <f t="shared" si="31"/>
        <v>42569</v>
      </c>
    </row>
    <row r="975" spans="1:16" x14ac:dyDescent="0.25">
      <c r="A975" s="26">
        <v>42569.639652777776</v>
      </c>
      <c r="B975" s="51" t="s">
        <v>165</v>
      </c>
      <c r="C975" s="4" t="s">
        <v>1310</v>
      </c>
      <c r="D975" s="4" t="s">
        <v>103</v>
      </c>
      <c r="E975" s="51" t="s">
        <v>115</v>
      </c>
      <c r="F975" s="3">
        <v>300</v>
      </c>
      <c r="G975" s="3">
        <v>284</v>
      </c>
      <c r="H975" s="3">
        <v>20060</v>
      </c>
      <c r="I975" s="51" t="s">
        <v>105</v>
      </c>
      <c r="J975" s="3">
        <v>20338</v>
      </c>
      <c r="K975" s="4" t="s">
        <v>111</v>
      </c>
      <c r="L975" s="56" t="s">
        <v>405</v>
      </c>
      <c r="M975" s="20" t="s">
        <v>112</v>
      </c>
      <c r="N975" s="19"/>
      <c r="O975" s="19" t="str">
        <f t="shared" si="30"/>
        <v>18</v>
      </c>
      <c r="P975" s="64">
        <f t="shared" si="31"/>
        <v>42569</v>
      </c>
    </row>
    <row r="976" spans="1:16" x14ac:dyDescent="0.25">
      <c r="A976" s="26">
        <v>42569.723553240743</v>
      </c>
      <c r="B976" s="51" t="s">
        <v>165</v>
      </c>
      <c r="C976" s="4" t="s">
        <v>329</v>
      </c>
      <c r="D976" s="4" t="s">
        <v>103</v>
      </c>
      <c r="E976" s="51" t="s">
        <v>115</v>
      </c>
      <c r="F976" s="3">
        <v>400</v>
      </c>
      <c r="G976" s="3">
        <v>532</v>
      </c>
      <c r="H976" s="3">
        <v>115467</v>
      </c>
      <c r="I976" s="51" t="s">
        <v>105</v>
      </c>
      <c r="J976" s="3">
        <v>116838</v>
      </c>
      <c r="K976" s="4" t="s">
        <v>111</v>
      </c>
      <c r="L976" s="56" t="s">
        <v>405</v>
      </c>
      <c r="M976" s="20" t="s">
        <v>112</v>
      </c>
      <c r="N976" s="19"/>
      <c r="O976" s="19" t="str">
        <f t="shared" si="30"/>
        <v>18</v>
      </c>
      <c r="P976" s="64">
        <f t="shared" si="31"/>
        <v>42569</v>
      </c>
    </row>
    <row r="977" spans="1:16" x14ac:dyDescent="0.25">
      <c r="A977" s="26">
        <v>42569.446909722225</v>
      </c>
      <c r="B977" s="51" t="s">
        <v>108</v>
      </c>
      <c r="C977" s="4" t="s">
        <v>51</v>
      </c>
      <c r="D977" s="4" t="s">
        <v>103</v>
      </c>
      <c r="E977" s="51" t="s">
        <v>115</v>
      </c>
      <c r="F977" s="3">
        <v>600</v>
      </c>
      <c r="G977" s="3">
        <v>720</v>
      </c>
      <c r="H977" s="3">
        <v>181177</v>
      </c>
      <c r="I977" s="51" t="s">
        <v>105</v>
      </c>
      <c r="J977" s="3">
        <v>183829</v>
      </c>
      <c r="K977" s="4" t="s">
        <v>111</v>
      </c>
      <c r="L977" s="56" t="s">
        <v>415</v>
      </c>
      <c r="M977" s="20" t="s">
        <v>112</v>
      </c>
      <c r="N977" s="19"/>
      <c r="O977" s="19" t="str">
        <f t="shared" si="30"/>
        <v>18</v>
      </c>
      <c r="P977" s="64">
        <f t="shared" si="31"/>
        <v>42569</v>
      </c>
    </row>
    <row r="978" spans="1:16" x14ac:dyDescent="0.25">
      <c r="A978" s="26">
        <v>42569.54415509259</v>
      </c>
      <c r="B978" s="51" t="s">
        <v>134</v>
      </c>
      <c r="C978" s="4" t="s">
        <v>1311</v>
      </c>
      <c r="D978" s="4" t="s">
        <v>116</v>
      </c>
      <c r="E978" s="51" t="s">
        <v>115</v>
      </c>
      <c r="F978" s="3">
        <v>600</v>
      </c>
      <c r="G978" s="3">
        <v>650</v>
      </c>
      <c r="H978" s="3">
        <v>184686</v>
      </c>
      <c r="I978" s="51" t="s">
        <v>105</v>
      </c>
      <c r="J978" s="3">
        <v>190834</v>
      </c>
      <c r="K978" s="4" t="s">
        <v>106</v>
      </c>
      <c r="L978" s="56" t="s">
        <v>404</v>
      </c>
      <c r="M978" s="20" t="s">
        <v>112</v>
      </c>
      <c r="N978" s="19"/>
      <c r="O978" s="19" t="str">
        <f t="shared" si="30"/>
        <v>18</v>
      </c>
      <c r="P978" s="64">
        <f t="shared" si="31"/>
        <v>42569</v>
      </c>
    </row>
    <row r="979" spans="1:16" x14ac:dyDescent="0.25">
      <c r="A979" s="26">
        <v>42569.58666666667</v>
      </c>
      <c r="B979" s="51" t="s">
        <v>165</v>
      </c>
      <c r="C979" s="4" t="s">
        <v>1309</v>
      </c>
      <c r="D979" s="4" t="s">
        <v>103</v>
      </c>
      <c r="E979" s="51" t="s">
        <v>115</v>
      </c>
      <c r="F979" s="3">
        <v>350</v>
      </c>
      <c r="G979" s="3">
        <v>422</v>
      </c>
      <c r="H979" s="3">
        <v>223724</v>
      </c>
      <c r="I979" s="51" t="s">
        <v>105</v>
      </c>
      <c r="J979" s="3">
        <v>224578</v>
      </c>
      <c r="K979" s="4" t="s">
        <v>111</v>
      </c>
      <c r="L979" s="56" t="s">
        <v>405</v>
      </c>
      <c r="M979" s="20" t="s">
        <v>112</v>
      </c>
      <c r="N979" s="19"/>
      <c r="O979" s="19" t="str">
        <f t="shared" si="30"/>
        <v>18</v>
      </c>
      <c r="P979" s="64">
        <f t="shared" si="31"/>
        <v>42569</v>
      </c>
    </row>
    <row r="980" spans="1:16" x14ac:dyDescent="0.25">
      <c r="A980" s="26">
        <v>42569.395312499997</v>
      </c>
      <c r="B980" s="51" t="s">
        <v>134</v>
      </c>
      <c r="C980" s="4" t="s">
        <v>331</v>
      </c>
      <c r="D980" s="4" t="s">
        <v>116</v>
      </c>
      <c r="E980" s="51" t="s">
        <v>115</v>
      </c>
      <c r="F980" s="3">
        <v>550</v>
      </c>
      <c r="G980" s="3">
        <v>601</v>
      </c>
      <c r="H980" s="3">
        <v>222446</v>
      </c>
      <c r="I980" s="51" t="s">
        <v>105</v>
      </c>
      <c r="J980" s="3">
        <v>224581</v>
      </c>
      <c r="K980" s="4" t="s">
        <v>106</v>
      </c>
      <c r="L980" s="56" t="s">
        <v>415</v>
      </c>
      <c r="M980" s="20" t="s">
        <v>112</v>
      </c>
      <c r="N980" s="19"/>
      <c r="O980" s="19" t="str">
        <f t="shared" si="30"/>
        <v>18</v>
      </c>
      <c r="P980" s="64">
        <f t="shared" si="31"/>
        <v>42569</v>
      </c>
    </row>
    <row r="981" spans="1:16" x14ac:dyDescent="0.25">
      <c r="A981" s="26">
        <v>42569.467256944445</v>
      </c>
      <c r="B981" s="51" t="s">
        <v>134</v>
      </c>
      <c r="C981" s="4" t="s">
        <v>1312</v>
      </c>
      <c r="D981" s="4" t="s">
        <v>103</v>
      </c>
      <c r="E981" s="51" t="s">
        <v>115</v>
      </c>
      <c r="F981" s="3">
        <v>150</v>
      </c>
      <c r="G981" s="3">
        <v>187</v>
      </c>
      <c r="H981" s="3">
        <v>229337</v>
      </c>
      <c r="I981" s="51" t="s">
        <v>105</v>
      </c>
      <c r="J981" s="3">
        <v>229055</v>
      </c>
      <c r="K981" s="4" t="s">
        <v>106</v>
      </c>
      <c r="L981" s="56" t="s">
        <v>415</v>
      </c>
      <c r="M981" s="20" t="s">
        <v>112</v>
      </c>
      <c r="N981" s="19"/>
      <c r="O981" s="19" t="str">
        <f t="shared" si="30"/>
        <v>18</v>
      </c>
      <c r="P981" s="64">
        <f t="shared" si="31"/>
        <v>42569</v>
      </c>
    </row>
    <row r="982" spans="1:16" x14ac:dyDescent="0.25">
      <c r="A982" s="26">
        <v>42569.242662037039</v>
      </c>
      <c r="B982" s="51" t="s">
        <v>108</v>
      </c>
      <c r="C982" s="4" t="s">
        <v>514</v>
      </c>
      <c r="D982" s="4" t="s">
        <v>103</v>
      </c>
      <c r="E982" s="51" t="s">
        <v>115</v>
      </c>
      <c r="F982" s="3">
        <v>150</v>
      </c>
      <c r="G982" s="3">
        <v>124</v>
      </c>
      <c r="H982" s="3">
        <v>231510</v>
      </c>
      <c r="I982" s="51" t="s">
        <v>105</v>
      </c>
      <c r="J982" s="3">
        <v>232107</v>
      </c>
      <c r="K982" s="4" t="s">
        <v>111</v>
      </c>
      <c r="L982" s="56" t="s">
        <v>415</v>
      </c>
      <c r="M982" s="20" t="s">
        <v>112</v>
      </c>
      <c r="N982" s="19"/>
      <c r="O982" s="19" t="str">
        <f t="shared" si="30"/>
        <v>18</v>
      </c>
      <c r="P982" s="64">
        <f t="shared" si="31"/>
        <v>42569</v>
      </c>
    </row>
    <row r="983" spans="1:16" x14ac:dyDescent="0.25">
      <c r="A983" s="26">
        <v>42569.48364583333</v>
      </c>
      <c r="B983" s="51" t="s">
        <v>135</v>
      </c>
      <c r="C983" s="4" t="s">
        <v>1313</v>
      </c>
      <c r="D983" s="4" t="s">
        <v>103</v>
      </c>
      <c r="E983" s="51" t="s">
        <v>115</v>
      </c>
      <c r="F983" s="3">
        <v>150</v>
      </c>
      <c r="G983" s="3">
        <v>143</v>
      </c>
      <c r="H983" s="3">
        <v>231476</v>
      </c>
      <c r="I983" s="51" t="s">
        <v>105</v>
      </c>
      <c r="J983" s="3">
        <v>232107</v>
      </c>
      <c r="K983" s="4" t="s">
        <v>111</v>
      </c>
      <c r="L983" s="56" t="s">
        <v>409</v>
      </c>
      <c r="M983" s="20" t="s">
        <v>112</v>
      </c>
      <c r="N983" s="19"/>
      <c r="O983" s="19" t="str">
        <f t="shared" si="30"/>
        <v>18</v>
      </c>
      <c r="P983" s="64">
        <f t="shared" si="31"/>
        <v>42569</v>
      </c>
    </row>
    <row r="984" spans="1:16" x14ac:dyDescent="0.25">
      <c r="A984" s="26">
        <v>42569.6096412037</v>
      </c>
      <c r="B984" s="51" t="s">
        <v>139</v>
      </c>
      <c r="C984" s="4" t="s">
        <v>516</v>
      </c>
      <c r="D984" s="4" t="s">
        <v>116</v>
      </c>
      <c r="E984" s="51" t="s">
        <v>122</v>
      </c>
      <c r="F984" s="3">
        <v>200</v>
      </c>
      <c r="G984" s="3">
        <v>258</v>
      </c>
      <c r="H984" s="3">
        <v>18149</v>
      </c>
      <c r="I984" s="51" t="s">
        <v>123</v>
      </c>
      <c r="J984" s="3">
        <v>20632</v>
      </c>
      <c r="K984" s="4" t="s">
        <v>106</v>
      </c>
      <c r="L984" s="56" t="s">
        <v>436</v>
      </c>
      <c r="M984" s="20" t="s">
        <v>112</v>
      </c>
      <c r="N984" s="19" t="s">
        <v>175</v>
      </c>
      <c r="O984" s="19" t="str">
        <f t="shared" si="30"/>
        <v>18</v>
      </c>
      <c r="P984" s="64">
        <f t="shared" si="31"/>
        <v>42569</v>
      </c>
    </row>
    <row r="985" spans="1:16" x14ac:dyDescent="0.25">
      <c r="A985" s="26">
        <v>42569.603784722225</v>
      </c>
      <c r="B985" s="51" t="s">
        <v>139</v>
      </c>
      <c r="C985" s="4" t="s">
        <v>516</v>
      </c>
      <c r="D985" s="4" t="s">
        <v>103</v>
      </c>
      <c r="E985" s="51" t="s">
        <v>122</v>
      </c>
      <c r="F985" s="3">
        <v>0</v>
      </c>
      <c r="G985" s="3">
        <v>129</v>
      </c>
      <c r="H985" s="3">
        <v>36690</v>
      </c>
      <c r="I985" s="51" t="s">
        <v>123</v>
      </c>
      <c r="J985" s="3">
        <v>36657</v>
      </c>
      <c r="K985" s="4" t="s">
        <v>106</v>
      </c>
      <c r="L985" s="56" t="s">
        <v>436</v>
      </c>
      <c r="M985" s="20" t="s">
        <v>107</v>
      </c>
      <c r="N985" s="19" t="s">
        <v>517</v>
      </c>
      <c r="O985" s="19" t="str">
        <f t="shared" si="30"/>
        <v>18</v>
      </c>
      <c r="P985" s="64">
        <f t="shared" si="31"/>
        <v>42569</v>
      </c>
    </row>
    <row r="986" spans="1:16" x14ac:dyDescent="0.25">
      <c r="A986" s="26">
        <v>42569.604444444441</v>
      </c>
      <c r="B986" s="51" t="s">
        <v>139</v>
      </c>
      <c r="C986" s="4" t="s">
        <v>516</v>
      </c>
      <c r="D986" s="4" t="s">
        <v>116</v>
      </c>
      <c r="E986" s="51" t="s">
        <v>122</v>
      </c>
      <c r="F986" s="3">
        <v>0</v>
      </c>
      <c r="G986" s="3">
        <v>7</v>
      </c>
      <c r="H986" s="3">
        <v>36324</v>
      </c>
      <c r="I986" s="51" t="s">
        <v>123</v>
      </c>
      <c r="J986" s="3">
        <v>36657</v>
      </c>
      <c r="K986" s="4" t="s">
        <v>106</v>
      </c>
      <c r="L986" s="56" t="s">
        <v>436</v>
      </c>
      <c r="M986" s="20" t="s">
        <v>107</v>
      </c>
      <c r="N986" s="19" t="s">
        <v>517</v>
      </c>
      <c r="O986" s="19" t="str">
        <f t="shared" si="30"/>
        <v>18</v>
      </c>
      <c r="P986" s="64">
        <f t="shared" si="31"/>
        <v>42569</v>
      </c>
    </row>
    <row r="987" spans="1:16" x14ac:dyDescent="0.25">
      <c r="A987" s="26">
        <v>42569.947453703702</v>
      </c>
      <c r="B987" s="51" t="s">
        <v>163</v>
      </c>
      <c r="C987" s="4" t="s">
        <v>1314</v>
      </c>
      <c r="D987" s="4" t="s">
        <v>103</v>
      </c>
      <c r="E987" s="51" t="s">
        <v>122</v>
      </c>
      <c r="F987" s="3">
        <v>0</v>
      </c>
      <c r="G987" s="3">
        <v>660</v>
      </c>
      <c r="H987" s="3">
        <v>70593</v>
      </c>
      <c r="I987" s="51" t="s">
        <v>123</v>
      </c>
      <c r="J987" s="3">
        <v>75566</v>
      </c>
      <c r="K987" s="4" t="s">
        <v>111</v>
      </c>
      <c r="L987" s="56" t="s">
        <v>469</v>
      </c>
      <c r="M987" s="20" t="s">
        <v>107</v>
      </c>
      <c r="N987" s="19" t="s">
        <v>1315</v>
      </c>
      <c r="O987" s="19" t="str">
        <f t="shared" si="30"/>
        <v>18</v>
      </c>
      <c r="P987" s="64">
        <f t="shared" si="31"/>
        <v>42569</v>
      </c>
    </row>
    <row r="988" spans="1:16" x14ac:dyDescent="0.25">
      <c r="A988" s="26">
        <v>42569.181145833332</v>
      </c>
      <c r="B988" s="51" t="s">
        <v>102</v>
      </c>
      <c r="C988" s="4" t="s">
        <v>93</v>
      </c>
      <c r="D988" s="4" t="s">
        <v>103</v>
      </c>
      <c r="E988" s="51" t="s">
        <v>122</v>
      </c>
      <c r="F988" s="3">
        <v>0</v>
      </c>
      <c r="G988" s="3">
        <v>703</v>
      </c>
      <c r="H988" s="3">
        <v>164758</v>
      </c>
      <c r="I988" s="51" t="s">
        <v>123</v>
      </c>
      <c r="J988" s="3">
        <v>162262</v>
      </c>
      <c r="K988" s="4" t="s">
        <v>106</v>
      </c>
      <c r="L988" s="56" t="s">
        <v>473</v>
      </c>
      <c r="M988" s="20" t="s">
        <v>107</v>
      </c>
      <c r="N988" s="19" t="s">
        <v>52</v>
      </c>
      <c r="O988" s="19" t="str">
        <f t="shared" si="30"/>
        <v>18</v>
      </c>
      <c r="P988" s="64">
        <f t="shared" si="31"/>
        <v>42569</v>
      </c>
    </row>
    <row r="989" spans="1:16" x14ac:dyDescent="0.25">
      <c r="A989" s="26">
        <v>42569.23233796296</v>
      </c>
      <c r="B989" s="51" t="s">
        <v>118</v>
      </c>
      <c r="C989" s="4" t="s">
        <v>332</v>
      </c>
      <c r="D989" s="4" t="s">
        <v>103</v>
      </c>
      <c r="E989" s="51" t="s">
        <v>122</v>
      </c>
      <c r="F989" s="3">
        <v>0</v>
      </c>
      <c r="G989" s="3">
        <v>678</v>
      </c>
      <c r="H989" s="3">
        <v>164786</v>
      </c>
      <c r="I989" s="51" t="s">
        <v>123</v>
      </c>
      <c r="J989" s="3">
        <v>162262</v>
      </c>
      <c r="K989" s="4" t="s">
        <v>106</v>
      </c>
      <c r="L989" s="56" t="s">
        <v>444</v>
      </c>
      <c r="M989" s="20" t="s">
        <v>107</v>
      </c>
      <c r="N989" s="19" t="s">
        <v>52</v>
      </c>
      <c r="O989" s="19" t="str">
        <f t="shared" si="30"/>
        <v>18</v>
      </c>
      <c r="P989" s="64">
        <f t="shared" si="31"/>
        <v>42569</v>
      </c>
    </row>
    <row r="990" spans="1:16" x14ac:dyDescent="0.25">
      <c r="A990" s="26">
        <v>42569.386250000003</v>
      </c>
      <c r="B990" s="51" t="s">
        <v>114</v>
      </c>
      <c r="C990" s="4" t="s">
        <v>1316</v>
      </c>
      <c r="D990" s="4" t="s">
        <v>103</v>
      </c>
      <c r="E990" s="51" t="s">
        <v>122</v>
      </c>
      <c r="F990" s="3">
        <v>0</v>
      </c>
      <c r="G990" s="3">
        <v>764</v>
      </c>
      <c r="H990" s="3">
        <v>198055</v>
      </c>
      <c r="I990" s="51" t="s">
        <v>123</v>
      </c>
      <c r="J990" s="3">
        <v>198242</v>
      </c>
      <c r="K990" s="4" t="s">
        <v>111</v>
      </c>
      <c r="L990" s="56" t="s">
        <v>473</v>
      </c>
      <c r="M990" s="20" t="s">
        <v>107</v>
      </c>
      <c r="N990" s="19" t="s">
        <v>199</v>
      </c>
      <c r="O990" s="19" t="str">
        <f t="shared" si="30"/>
        <v>18</v>
      </c>
      <c r="P990" s="64">
        <f t="shared" si="31"/>
        <v>42569</v>
      </c>
    </row>
    <row r="991" spans="1:16" x14ac:dyDescent="0.25">
      <c r="A991" s="26">
        <v>42569.20107638889</v>
      </c>
      <c r="B991" s="51" t="s">
        <v>102</v>
      </c>
      <c r="C991" s="4" t="s">
        <v>93</v>
      </c>
      <c r="D991" s="4" t="s">
        <v>103</v>
      </c>
      <c r="E991" s="51" t="s">
        <v>129</v>
      </c>
      <c r="F991" s="3">
        <v>0</v>
      </c>
      <c r="G991" s="3">
        <v>61</v>
      </c>
      <c r="H991" s="3">
        <v>227</v>
      </c>
      <c r="I991" s="51" t="s">
        <v>130</v>
      </c>
      <c r="J991" s="3">
        <v>1</v>
      </c>
      <c r="K991" s="4" t="s">
        <v>106</v>
      </c>
      <c r="L991" s="56" t="s">
        <v>473</v>
      </c>
      <c r="M991" s="20" t="s">
        <v>112</v>
      </c>
      <c r="N991" s="19"/>
      <c r="O991" s="19" t="str">
        <f t="shared" si="30"/>
        <v>18</v>
      </c>
      <c r="P991" s="64">
        <f t="shared" si="31"/>
        <v>42569</v>
      </c>
    </row>
    <row r="992" spans="1:16" x14ac:dyDescent="0.25">
      <c r="A992" s="26">
        <v>42569.304224537038</v>
      </c>
      <c r="B992" s="51" t="s">
        <v>143</v>
      </c>
      <c r="C992" s="4" t="s">
        <v>1318</v>
      </c>
      <c r="D992" s="4" t="s">
        <v>103</v>
      </c>
      <c r="E992" s="51" t="s">
        <v>129</v>
      </c>
      <c r="F992" s="3">
        <v>0</v>
      </c>
      <c r="G992" s="3">
        <v>46</v>
      </c>
      <c r="H992" s="3">
        <v>127</v>
      </c>
      <c r="I992" s="51" t="s">
        <v>130</v>
      </c>
      <c r="J992" s="3">
        <v>1</v>
      </c>
      <c r="K992" s="4" t="s">
        <v>106</v>
      </c>
      <c r="L992" s="56" t="s">
        <v>400</v>
      </c>
      <c r="M992" s="20" t="s">
        <v>112</v>
      </c>
      <c r="N992" s="19"/>
      <c r="O992" s="19" t="str">
        <f t="shared" si="30"/>
        <v>18</v>
      </c>
      <c r="P992" s="64">
        <f t="shared" si="31"/>
        <v>42569</v>
      </c>
    </row>
    <row r="993" spans="1:16" x14ac:dyDescent="0.25">
      <c r="A993" s="26">
        <v>42569.366724537038</v>
      </c>
      <c r="B993" s="51" t="s">
        <v>132</v>
      </c>
      <c r="C993" s="4" t="s">
        <v>1319</v>
      </c>
      <c r="D993" s="4" t="s">
        <v>103</v>
      </c>
      <c r="E993" s="51" t="s">
        <v>129</v>
      </c>
      <c r="F993" s="3">
        <v>0</v>
      </c>
      <c r="G993" s="3">
        <v>81</v>
      </c>
      <c r="H993" s="3">
        <v>313</v>
      </c>
      <c r="I993" s="51" t="s">
        <v>130</v>
      </c>
      <c r="J993" s="3">
        <v>1</v>
      </c>
      <c r="K993" s="4" t="s">
        <v>106</v>
      </c>
      <c r="L993" s="56" t="s">
        <v>396</v>
      </c>
      <c r="M993" s="20" t="s">
        <v>112</v>
      </c>
      <c r="N993" s="19"/>
      <c r="O993" s="19" t="str">
        <f t="shared" si="30"/>
        <v>18</v>
      </c>
      <c r="P993" s="64">
        <f t="shared" si="31"/>
        <v>42569</v>
      </c>
    </row>
    <row r="994" spans="1:16" x14ac:dyDescent="0.25">
      <c r="A994" s="26">
        <v>42569.513113425928</v>
      </c>
      <c r="B994" s="51" t="s">
        <v>132</v>
      </c>
      <c r="C994" s="4" t="s">
        <v>1320</v>
      </c>
      <c r="D994" s="4" t="s">
        <v>103</v>
      </c>
      <c r="E994" s="51" t="s">
        <v>129</v>
      </c>
      <c r="F994" s="3">
        <v>0</v>
      </c>
      <c r="G994" s="3">
        <v>52</v>
      </c>
      <c r="H994" s="3">
        <v>189</v>
      </c>
      <c r="I994" s="51" t="s">
        <v>130</v>
      </c>
      <c r="J994" s="3">
        <v>1</v>
      </c>
      <c r="K994" s="4" t="s">
        <v>106</v>
      </c>
      <c r="L994" s="56" t="s">
        <v>396</v>
      </c>
      <c r="M994" s="20" t="s">
        <v>112</v>
      </c>
      <c r="N994" s="19"/>
      <c r="O994" s="19" t="str">
        <f t="shared" si="30"/>
        <v>18</v>
      </c>
      <c r="P994" s="64">
        <f t="shared" si="31"/>
        <v>42569</v>
      </c>
    </row>
    <row r="995" spans="1:16" x14ac:dyDescent="0.25">
      <c r="A995" s="26">
        <v>42569.545069444444</v>
      </c>
      <c r="B995" s="51" t="s">
        <v>118</v>
      </c>
      <c r="C995" s="4" t="s">
        <v>1321</v>
      </c>
      <c r="D995" s="4" t="s">
        <v>103</v>
      </c>
      <c r="E995" s="51" t="s">
        <v>129</v>
      </c>
      <c r="F995" s="3">
        <v>0</v>
      </c>
      <c r="G995" s="3">
        <v>44</v>
      </c>
      <c r="H995" s="3">
        <v>158</v>
      </c>
      <c r="I995" s="51" t="s">
        <v>130</v>
      </c>
      <c r="J995" s="3">
        <v>1</v>
      </c>
      <c r="K995" s="4" t="s">
        <v>106</v>
      </c>
      <c r="L995" s="56" t="s">
        <v>558</v>
      </c>
      <c r="M995" s="20" t="s">
        <v>112</v>
      </c>
      <c r="N995" s="19"/>
      <c r="O995" s="19" t="str">
        <f t="shared" si="30"/>
        <v>18</v>
      </c>
      <c r="P995" s="64">
        <f t="shared" si="31"/>
        <v>42569</v>
      </c>
    </row>
    <row r="996" spans="1:16" x14ac:dyDescent="0.25">
      <c r="A996" s="26">
        <v>42569.553611111114</v>
      </c>
      <c r="B996" s="51" t="s">
        <v>164</v>
      </c>
      <c r="C996" s="4" t="s">
        <v>1322</v>
      </c>
      <c r="D996" s="4" t="s">
        <v>103</v>
      </c>
      <c r="E996" s="51" t="s">
        <v>129</v>
      </c>
      <c r="F996" s="3">
        <v>0</v>
      </c>
      <c r="G996" s="3">
        <v>108</v>
      </c>
      <c r="H996" s="3">
        <v>378</v>
      </c>
      <c r="I996" s="51" t="s">
        <v>130</v>
      </c>
      <c r="J996" s="3">
        <v>1</v>
      </c>
      <c r="K996" s="4" t="s">
        <v>106</v>
      </c>
      <c r="L996" s="56" t="s">
        <v>405</v>
      </c>
      <c r="M996" s="20" t="s">
        <v>112</v>
      </c>
      <c r="N996" s="19"/>
      <c r="O996" s="19" t="str">
        <f t="shared" si="30"/>
        <v>18</v>
      </c>
      <c r="P996" s="64">
        <f t="shared" si="31"/>
        <v>42569</v>
      </c>
    </row>
    <row r="997" spans="1:16" x14ac:dyDescent="0.25">
      <c r="A997" s="26">
        <v>42569.595983796295</v>
      </c>
      <c r="B997" s="51" t="s">
        <v>143</v>
      </c>
      <c r="C997" s="4" t="s">
        <v>1323</v>
      </c>
      <c r="D997" s="4" t="s">
        <v>103</v>
      </c>
      <c r="E997" s="51" t="s">
        <v>129</v>
      </c>
      <c r="F997" s="3">
        <v>0</v>
      </c>
      <c r="G997" s="3">
        <v>88</v>
      </c>
      <c r="H997" s="3">
        <v>355</v>
      </c>
      <c r="I997" s="51" t="s">
        <v>130</v>
      </c>
      <c r="J997" s="3">
        <v>1</v>
      </c>
      <c r="K997" s="4" t="s">
        <v>106</v>
      </c>
      <c r="L997" s="56" t="s">
        <v>409</v>
      </c>
      <c r="M997" s="20" t="s">
        <v>112</v>
      </c>
      <c r="N997" s="19"/>
      <c r="O997" s="19" t="str">
        <f t="shared" si="30"/>
        <v>18</v>
      </c>
      <c r="P997" s="64">
        <f t="shared" si="31"/>
        <v>42569</v>
      </c>
    </row>
    <row r="998" spans="1:16" x14ac:dyDescent="0.25">
      <c r="A998" s="26">
        <v>42569.753900462965</v>
      </c>
      <c r="B998" s="51" t="s">
        <v>139</v>
      </c>
      <c r="C998" s="4" t="s">
        <v>1324</v>
      </c>
      <c r="D998" s="4" t="s">
        <v>103</v>
      </c>
      <c r="E998" s="51" t="s">
        <v>129</v>
      </c>
      <c r="F998" s="3">
        <v>0</v>
      </c>
      <c r="G998" s="3">
        <v>54</v>
      </c>
      <c r="H998" s="3">
        <v>165</v>
      </c>
      <c r="I998" s="51" t="s">
        <v>130</v>
      </c>
      <c r="J998" s="3">
        <v>1</v>
      </c>
      <c r="K998" s="4" t="s">
        <v>106</v>
      </c>
      <c r="L998" s="56" t="s">
        <v>436</v>
      </c>
      <c r="M998" s="20" t="s">
        <v>112</v>
      </c>
      <c r="N998" s="19"/>
      <c r="O998" s="19" t="str">
        <f t="shared" si="30"/>
        <v>18</v>
      </c>
      <c r="P998" s="64">
        <f t="shared" si="31"/>
        <v>42569</v>
      </c>
    </row>
    <row r="999" spans="1:16" x14ac:dyDescent="0.25">
      <c r="A999" s="26">
        <v>42569.796064814815</v>
      </c>
      <c r="B999" s="51" t="s">
        <v>102</v>
      </c>
      <c r="C999" s="4" t="s">
        <v>333</v>
      </c>
      <c r="D999" s="4" t="s">
        <v>103</v>
      </c>
      <c r="E999" s="51" t="s">
        <v>129</v>
      </c>
      <c r="F999" s="3">
        <v>0</v>
      </c>
      <c r="G999" s="3">
        <v>38</v>
      </c>
      <c r="H999" s="3">
        <v>138</v>
      </c>
      <c r="I999" s="51" t="s">
        <v>130</v>
      </c>
      <c r="J999" s="3">
        <v>1</v>
      </c>
      <c r="K999" s="4" t="s">
        <v>106</v>
      </c>
      <c r="L999" s="56" t="s">
        <v>404</v>
      </c>
      <c r="M999" s="20" t="s">
        <v>112</v>
      </c>
      <c r="N999" s="19"/>
      <c r="O999" s="19" t="str">
        <f t="shared" si="30"/>
        <v>18</v>
      </c>
      <c r="P999" s="64">
        <f t="shared" si="31"/>
        <v>42569</v>
      </c>
    </row>
    <row r="1000" spans="1:16" x14ac:dyDescent="0.25">
      <c r="A1000" s="26">
        <v>42569.8359837963</v>
      </c>
      <c r="B1000" s="51" t="s">
        <v>124</v>
      </c>
      <c r="C1000" s="4" t="s">
        <v>1325</v>
      </c>
      <c r="D1000" s="4" t="s">
        <v>103</v>
      </c>
      <c r="E1000" s="51" t="s">
        <v>129</v>
      </c>
      <c r="F1000" s="3">
        <v>0</v>
      </c>
      <c r="G1000" s="3">
        <v>62</v>
      </c>
      <c r="H1000" s="3">
        <v>214</v>
      </c>
      <c r="I1000" s="51" t="s">
        <v>130</v>
      </c>
      <c r="J1000" s="3">
        <v>1</v>
      </c>
      <c r="K1000" s="4" t="s">
        <v>106</v>
      </c>
      <c r="L1000" s="56" t="s">
        <v>1326</v>
      </c>
      <c r="M1000" s="20" t="s">
        <v>112</v>
      </c>
      <c r="N1000" s="19"/>
      <c r="O1000" s="19" t="str">
        <f t="shared" si="30"/>
        <v>18</v>
      </c>
      <c r="P1000" s="64">
        <f t="shared" si="31"/>
        <v>42569</v>
      </c>
    </row>
    <row r="1001" spans="1:16" x14ac:dyDescent="0.25">
      <c r="A1001" s="26">
        <v>42569.876782407409</v>
      </c>
      <c r="B1001" s="51" t="s">
        <v>132</v>
      </c>
      <c r="C1001" s="4" t="s">
        <v>1327</v>
      </c>
      <c r="D1001" s="4" t="s">
        <v>103</v>
      </c>
      <c r="E1001" s="51" t="s">
        <v>129</v>
      </c>
      <c r="F1001" s="3">
        <v>0</v>
      </c>
      <c r="G1001" s="3">
        <v>52</v>
      </c>
      <c r="H1001" s="3">
        <v>174</v>
      </c>
      <c r="I1001" s="51" t="s">
        <v>130</v>
      </c>
      <c r="J1001" s="3">
        <v>1</v>
      </c>
      <c r="K1001" s="4" t="s">
        <v>106</v>
      </c>
      <c r="L1001" s="56" t="s">
        <v>411</v>
      </c>
      <c r="M1001" s="20" t="s">
        <v>112</v>
      </c>
      <c r="N1001" s="19"/>
      <c r="O1001" s="19" t="str">
        <f t="shared" si="30"/>
        <v>18</v>
      </c>
      <c r="P1001" s="64">
        <f t="shared" si="31"/>
        <v>42569</v>
      </c>
    </row>
    <row r="1002" spans="1:16" x14ac:dyDescent="0.25">
      <c r="A1002" s="26">
        <v>42569.181388888886</v>
      </c>
      <c r="B1002" s="51" t="s">
        <v>121</v>
      </c>
      <c r="C1002" s="4" t="s">
        <v>1328</v>
      </c>
      <c r="D1002" s="4" t="s">
        <v>103</v>
      </c>
      <c r="E1002" s="51" t="s">
        <v>129</v>
      </c>
      <c r="F1002" s="3">
        <v>0</v>
      </c>
      <c r="G1002" s="3">
        <v>44</v>
      </c>
      <c r="H1002" s="3">
        <v>233311</v>
      </c>
      <c r="I1002" s="51" t="s">
        <v>130</v>
      </c>
      <c r="J1002" s="3">
        <v>233491</v>
      </c>
      <c r="K1002" s="4" t="s">
        <v>111</v>
      </c>
      <c r="L1002" s="56" t="s">
        <v>400</v>
      </c>
      <c r="M1002" s="20" t="s">
        <v>112</v>
      </c>
      <c r="N1002" s="19"/>
      <c r="O1002" s="19" t="str">
        <f t="shared" si="30"/>
        <v>18</v>
      </c>
      <c r="P1002" s="64">
        <f t="shared" si="31"/>
        <v>42569</v>
      </c>
    </row>
    <row r="1003" spans="1:16" x14ac:dyDescent="0.25">
      <c r="A1003" s="26">
        <v>42569.391261574077</v>
      </c>
      <c r="B1003" s="51" t="s">
        <v>114</v>
      </c>
      <c r="C1003" s="4" t="s">
        <v>1316</v>
      </c>
      <c r="D1003" s="4" t="s">
        <v>103</v>
      </c>
      <c r="E1003" s="51" t="s">
        <v>129</v>
      </c>
      <c r="F1003" s="3">
        <v>0</v>
      </c>
      <c r="G1003" s="3">
        <v>46</v>
      </c>
      <c r="H1003" s="3">
        <v>233353</v>
      </c>
      <c r="I1003" s="51" t="s">
        <v>130</v>
      </c>
      <c r="J1003" s="3">
        <v>233491</v>
      </c>
      <c r="K1003" s="4" t="s">
        <v>111</v>
      </c>
      <c r="L1003" s="56" t="s">
        <v>473</v>
      </c>
      <c r="M1003" s="20" t="s">
        <v>112</v>
      </c>
      <c r="N1003" s="19"/>
      <c r="O1003" s="19" t="str">
        <f t="shared" si="30"/>
        <v>18</v>
      </c>
      <c r="P1003" s="64">
        <f t="shared" si="31"/>
        <v>42569</v>
      </c>
    </row>
    <row r="1004" spans="1:16" x14ac:dyDescent="0.25">
      <c r="A1004" s="26">
        <v>42569.535162037035</v>
      </c>
      <c r="B1004" s="51" t="s">
        <v>114</v>
      </c>
      <c r="C1004" s="4" t="s">
        <v>1329</v>
      </c>
      <c r="D1004" s="4" t="s">
        <v>103</v>
      </c>
      <c r="E1004" s="51" t="s">
        <v>129</v>
      </c>
      <c r="F1004" s="3">
        <v>0</v>
      </c>
      <c r="G1004" s="3">
        <v>51</v>
      </c>
      <c r="H1004" s="3">
        <v>233311</v>
      </c>
      <c r="I1004" s="51" t="s">
        <v>130</v>
      </c>
      <c r="J1004" s="3">
        <v>233491</v>
      </c>
      <c r="K1004" s="4" t="s">
        <v>111</v>
      </c>
      <c r="L1004" s="56" t="s">
        <v>442</v>
      </c>
      <c r="M1004" s="20" t="s">
        <v>112</v>
      </c>
      <c r="N1004" s="19"/>
      <c r="O1004" s="19" t="str">
        <f t="shared" si="30"/>
        <v>18</v>
      </c>
      <c r="P1004" s="64">
        <f t="shared" si="31"/>
        <v>42569</v>
      </c>
    </row>
    <row r="1005" spans="1:16" x14ac:dyDescent="0.25">
      <c r="A1005" s="26">
        <v>42569.608530092592</v>
      </c>
      <c r="B1005" s="51" t="s">
        <v>114</v>
      </c>
      <c r="C1005" s="4" t="s">
        <v>518</v>
      </c>
      <c r="D1005" s="4" t="s">
        <v>103</v>
      </c>
      <c r="E1005" s="51" t="s">
        <v>129</v>
      </c>
      <c r="F1005" s="3">
        <v>0</v>
      </c>
      <c r="G1005" s="3">
        <v>19</v>
      </c>
      <c r="H1005" s="3">
        <v>233434</v>
      </c>
      <c r="I1005" s="51" t="s">
        <v>130</v>
      </c>
      <c r="J1005" s="3">
        <v>233491</v>
      </c>
      <c r="K1005" s="4" t="s">
        <v>111</v>
      </c>
      <c r="L1005" s="56" t="s">
        <v>442</v>
      </c>
      <c r="M1005" s="20" t="s">
        <v>112</v>
      </c>
      <c r="N1005" s="19"/>
      <c r="O1005" s="19" t="str">
        <f t="shared" si="30"/>
        <v>18</v>
      </c>
      <c r="P1005" s="64">
        <f t="shared" si="31"/>
        <v>42569</v>
      </c>
    </row>
    <row r="1006" spans="1:16" x14ac:dyDescent="0.25">
      <c r="A1006" s="26">
        <v>42569.660300925927</v>
      </c>
      <c r="B1006" s="51" t="s">
        <v>165</v>
      </c>
      <c r="C1006" s="4" t="s">
        <v>1310</v>
      </c>
      <c r="D1006" s="4" t="s">
        <v>103</v>
      </c>
      <c r="E1006" s="51" t="s">
        <v>129</v>
      </c>
      <c r="F1006" s="3">
        <v>0</v>
      </c>
      <c r="G1006" s="3">
        <v>145</v>
      </c>
      <c r="H1006" s="3">
        <v>232904</v>
      </c>
      <c r="I1006" s="51" t="s">
        <v>130</v>
      </c>
      <c r="J1006" s="3">
        <v>233491</v>
      </c>
      <c r="K1006" s="4" t="s">
        <v>111</v>
      </c>
      <c r="L1006" s="56" t="s">
        <v>405</v>
      </c>
      <c r="M1006" s="20" t="s">
        <v>112</v>
      </c>
      <c r="N1006" s="19"/>
      <c r="O1006" s="19" t="str">
        <f t="shared" si="30"/>
        <v>18</v>
      </c>
      <c r="P1006" s="64">
        <f t="shared" si="31"/>
        <v>42569</v>
      </c>
    </row>
    <row r="1007" spans="1:16" x14ac:dyDescent="0.25">
      <c r="A1007" s="26">
        <v>42569.68105324074</v>
      </c>
      <c r="B1007" s="51" t="s">
        <v>114</v>
      </c>
      <c r="C1007" s="4" t="s">
        <v>1330</v>
      </c>
      <c r="D1007" s="4" t="s">
        <v>103</v>
      </c>
      <c r="E1007" s="51" t="s">
        <v>129</v>
      </c>
      <c r="F1007" s="3">
        <v>0</v>
      </c>
      <c r="G1007" s="3">
        <v>24</v>
      </c>
      <c r="H1007" s="3">
        <v>233449</v>
      </c>
      <c r="I1007" s="51" t="s">
        <v>130</v>
      </c>
      <c r="J1007" s="3">
        <v>233491</v>
      </c>
      <c r="K1007" s="4" t="s">
        <v>111</v>
      </c>
      <c r="L1007" s="56" t="s">
        <v>442</v>
      </c>
      <c r="M1007" s="20" t="s">
        <v>112</v>
      </c>
      <c r="N1007" s="19"/>
      <c r="O1007" s="19" t="str">
        <f t="shared" si="30"/>
        <v>18</v>
      </c>
      <c r="P1007" s="64">
        <f t="shared" si="31"/>
        <v>42569</v>
      </c>
    </row>
    <row r="1008" spans="1:16" x14ac:dyDescent="0.25">
      <c r="A1008" s="26">
        <v>42569.71980324074</v>
      </c>
      <c r="B1008" s="51" t="s">
        <v>137</v>
      </c>
      <c r="C1008" s="4" t="s">
        <v>519</v>
      </c>
      <c r="D1008" s="4" t="s">
        <v>103</v>
      </c>
      <c r="E1008" s="51" t="s">
        <v>129</v>
      </c>
      <c r="F1008" s="3">
        <v>0</v>
      </c>
      <c r="G1008" s="3">
        <v>114</v>
      </c>
      <c r="H1008" s="3">
        <v>233023</v>
      </c>
      <c r="I1008" s="51" t="s">
        <v>130</v>
      </c>
      <c r="J1008" s="3">
        <v>233491</v>
      </c>
      <c r="K1008" s="4" t="s">
        <v>111</v>
      </c>
      <c r="L1008" s="56" t="s">
        <v>436</v>
      </c>
      <c r="M1008" s="20" t="s">
        <v>112</v>
      </c>
      <c r="N1008" s="19"/>
      <c r="O1008" s="19" t="str">
        <f t="shared" si="30"/>
        <v>18</v>
      </c>
      <c r="P1008" s="64">
        <f t="shared" si="31"/>
        <v>42569</v>
      </c>
    </row>
    <row r="1009" spans="1:16" x14ac:dyDescent="0.25">
      <c r="A1009" s="26">
        <v>42570.003599537034</v>
      </c>
      <c r="B1009" s="51" t="s">
        <v>121</v>
      </c>
      <c r="C1009" s="4" t="s">
        <v>1331</v>
      </c>
      <c r="D1009" s="4" t="s">
        <v>103</v>
      </c>
      <c r="E1009" s="51" t="s">
        <v>129</v>
      </c>
      <c r="F1009" s="3">
        <v>0</v>
      </c>
      <c r="G1009" s="3">
        <v>79</v>
      </c>
      <c r="H1009" s="3">
        <v>233165</v>
      </c>
      <c r="I1009" s="51" t="s">
        <v>130</v>
      </c>
      <c r="J1009" s="3">
        <v>233491</v>
      </c>
      <c r="K1009" s="4" t="s">
        <v>111</v>
      </c>
      <c r="L1009" s="56" t="s">
        <v>411</v>
      </c>
      <c r="M1009" s="20" t="s">
        <v>112</v>
      </c>
      <c r="N1009" s="19"/>
      <c r="O1009" s="19" t="str">
        <f t="shared" si="30"/>
        <v>18</v>
      </c>
      <c r="P1009" s="64">
        <f t="shared" si="31"/>
        <v>42569</v>
      </c>
    </row>
    <row r="1010" spans="1:16" x14ac:dyDescent="0.25">
      <c r="A1010" s="26">
        <v>42569.240486111114</v>
      </c>
      <c r="B1010" s="51" t="s">
        <v>114</v>
      </c>
      <c r="C1010" s="4" t="s">
        <v>515</v>
      </c>
      <c r="D1010" s="4" t="s">
        <v>116</v>
      </c>
      <c r="E1010" s="51" t="s">
        <v>1317</v>
      </c>
      <c r="F1010" s="3">
        <v>0</v>
      </c>
      <c r="G1010" s="3">
        <v>3</v>
      </c>
      <c r="H1010" s="3">
        <v>155244</v>
      </c>
      <c r="I1010" s="51" t="s">
        <v>172</v>
      </c>
      <c r="J1010" s="3">
        <v>190834</v>
      </c>
      <c r="K1010" s="4" t="s">
        <v>106</v>
      </c>
      <c r="L1010" s="56" t="s">
        <v>473</v>
      </c>
      <c r="M1010" s="20" t="s">
        <v>107</v>
      </c>
      <c r="N1010" s="19" t="s">
        <v>47</v>
      </c>
      <c r="O1010" s="19" t="str">
        <f t="shared" si="30"/>
        <v>18</v>
      </c>
      <c r="P1010" s="64">
        <f t="shared" si="31"/>
        <v>42569</v>
      </c>
    </row>
    <row r="1011" spans="1:16" x14ac:dyDescent="0.25">
      <c r="A1011" s="26">
        <v>42570.737592592595</v>
      </c>
      <c r="B1011" s="51" t="s">
        <v>125</v>
      </c>
      <c r="C1011" s="4" t="s">
        <v>525</v>
      </c>
      <c r="D1011" s="4" t="s">
        <v>103</v>
      </c>
      <c r="E1011" s="51" t="s">
        <v>104</v>
      </c>
      <c r="F1011" s="3">
        <v>790</v>
      </c>
      <c r="G1011" s="3">
        <v>729</v>
      </c>
      <c r="H1011" s="3">
        <v>145229</v>
      </c>
      <c r="I1011" s="51" t="s">
        <v>105</v>
      </c>
      <c r="J1011" s="3">
        <v>110617</v>
      </c>
      <c r="K1011" s="4" t="s">
        <v>111</v>
      </c>
      <c r="L1011" s="56" t="s">
        <v>506</v>
      </c>
      <c r="M1011" s="20" t="s">
        <v>107</v>
      </c>
      <c r="N1011" s="19" t="s">
        <v>47</v>
      </c>
      <c r="O1011" s="19" t="str">
        <f t="shared" si="30"/>
        <v>19</v>
      </c>
      <c r="P1011" s="64">
        <f t="shared" si="31"/>
        <v>42570</v>
      </c>
    </row>
    <row r="1012" spans="1:16" x14ac:dyDescent="0.25">
      <c r="A1012" s="26">
        <v>42570.806620370371</v>
      </c>
      <c r="B1012" s="51" t="s">
        <v>136</v>
      </c>
      <c r="C1012" s="4" t="s">
        <v>527</v>
      </c>
      <c r="D1012" s="4" t="s">
        <v>103</v>
      </c>
      <c r="E1012" s="51" t="s">
        <v>109</v>
      </c>
      <c r="F1012" s="3">
        <v>580</v>
      </c>
      <c r="G1012" s="3">
        <v>643</v>
      </c>
      <c r="H1012" s="3">
        <v>79260</v>
      </c>
      <c r="I1012" s="51" t="s">
        <v>110</v>
      </c>
      <c r="J1012" s="3">
        <v>78469</v>
      </c>
      <c r="K1012" s="4" t="s">
        <v>106</v>
      </c>
      <c r="L1012" s="56" t="s">
        <v>425</v>
      </c>
      <c r="M1012" s="20" t="s">
        <v>112</v>
      </c>
      <c r="N1012" s="19" t="s">
        <v>543</v>
      </c>
      <c r="O1012" s="19" t="str">
        <f t="shared" si="30"/>
        <v>19</v>
      </c>
      <c r="P1012" s="64">
        <f t="shared" si="31"/>
        <v>42570</v>
      </c>
    </row>
    <row r="1013" spans="1:16" x14ac:dyDescent="0.25">
      <c r="A1013" s="26">
        <v>42570.552407407406</v>
      </c>
      <c r="B1013" s="51" t="s">
        <v>133</v>
      </c>
      <c r="C1013" s="4" t="s">
        <v>1332</v>
      </c>
      <c r="D1013" s="4" t="s">
        <v>116</v>
      </c>
      <c r="E1013" s="51" t="s">
        <v>115</v>
      </c>
      <c r="F1013" s="3">
        <v>150</v>
      </c>
      <c r="G1013" s="3">
        <v>208</v>
      </c>
      <c r="H1013" s="3">
        <v>992</v>
      </c>
      <c r="I1013" s="51" t="s">
        <v>105</v>
      </c>
      <c r="J1013" s="3">
        <v>0</v>
      </c>
      <c r="K1013" s="4" t="s">
        <v>111</v>
      </c>
      <c r="L1013" s="56" t="s">
        <v>442</v>
      </c>
      <c r="M1013" s="20" t="s">
        <v>112</v>
      </c>
      <c r="N1013" s="19"/>
      <c r="O1013" s="19" t="str">
        <f t="shared" si="30"/>
        <v>19</v>
      </c>
      <c r="P1013" s="64">
        <f t="shared" si="31"/>
        <v>42570</v>
      </c>
    </row>
    <row r="1014" spans="1:16" x14ac:dyDescent="0.25">
      <c r="A1014" s="26">
        <v>42570.660185185188</v>
      </c>
      <c r="B1014" s="51" t="s">
        <v>120</v>
      </c>
      <c r="C1014" s="4" t="s">
        <v>67</v>
      </c>
      <c r="D1014" s="4" t="s">
        <v>103</v>
      </c>
      <c r="E1014" s="51" t="s">
        <v>115</v>
      </c>
      <c r="F1014" s="3">
        <v>300</v>
      </c>
      <c r="G1014" s="3">
        <v>279</v>
      </c>
      <c r="H1014" s="3">
        <v>19951</v>
      </c>
      <c r="I1014" s="51" t="s">
        <v>105</v>
      </c>
      <c r="J1014" s="3">
        <v>20338</v>
      </c>
      <c r="K1014" s="4" t="s">
        <v>111</v>
      </c>
      <c r="L1014" s="56" t="s">
        <v>405</v>
      </c>
      <c r="M1014" s="20" t="s">
        <v>112</v>
      </c>
      <c r="N1014" s="19"/>
      <c r="O1014" s="19" t="str">
        <f t="shared" si="30"/>
        <v>19</v>
      </c>
      <c r="P1014" s="64">
        <f t="shared" si="31"/>
        <v>42570</v>
      </c>
    </row>
    <row r="1015" spans="1:16" x14ac:dyDescent="0.25">
      <c r="A1015" s="26">
        <v>42570.518067129633</v>
      </c>
      <c r="B1015" s="51" t="s">
        <v>136</v>
      </c>
      <c r="C1015" s="4" t="s">
        <v>1333</v>
      </c>
      <c r="D1015" s="4" t="s">
        <v>103</v>
      </c>
      <c r="E1015" s="51" t="s">
        <v>115</v>
      </c>
      <c r="F1015" s="3">
        <v>300</v>
      </c>
      <c r="G1015" s="3">
        <v>458</v>
      </c>
      <c r="H1015" s="3">
        <v>23636</v>
      </c>
      <c r="I1015" s="51" t="s">
        <v>105</v>
      </c>
      <c r="J1015" s="3">
        <v>21848</v>
      </c>
      <c r="K1015" s="4" t="s">
        <v>106</v>
      </c>
      <c r="L1015" s="56" t="s">
        <v>436</v>
      </c>
      <c r="M1015" s="20" t="s">
        <v>112</v>
      </c>
      <c r="N1015" s="19"/>
      <c r="O1015" s="19" t="str">
        <f t="shared" si="30"/>
        <v>19</v>
      </c>
      <c r="P1015" s="64">
        <f t="shared" si="31"/>
        <v>42570</v>
      </c>
    </row>
    <row r="1016" spans="1:16" x14ac:dyDescent="0.25">
      <c r="A1016" s="26">
        <v>42570.670335648145</v>
      </c>
      <c r="B1016" s="51" t="s">
        <v>120</v>
      </c>
      <c r="C1016" s="4" t="s">
        <v>67</v>
      </c>
      <c r="D1016" s="4" t="s">
        <v>103</v>
      </c>
      <c r="E1016" s="51" t="s">
        <v>115</v>
      </c>
      <c r="F1016" s="3">
        <v>400</v>
      </c>
      <c r="G1016" s="3">
        <v>466</v>
      </c>
      <c r="H1016" s="3">
        <v>116364</v>
      </c>
      <c r="I1016" s="51" t="s">
        <v>105</v>
      </c>
      <c r="J1016" s="3">
        <v>116838</v>
      </c>
      <c r="K1016" s="4" t="s">
        <v>111</v>
      </c>
      <c r="L1016" s="56" t="s">
        <v>405</v>
      </c>
      <c r="M1016" s="20" t="s">
        <v>112</v>
      </c>
      <c r="N1016" s="19"/>
      <c r="O1016" s="19" t="str">
        <f t="shared" si="30"/>
        <v>19</v>
      </c>
      <c r="P1016" s="64">
        <f t="shared" si="31"/>
        <v>42570</v>
      </c>
    </row>
    <row r="1017" spans="1:16" x14ac:dyDescent="0.25">
      <c r="A1017" s="26">
        <v>42570.238541666666</v>
      </c>
      <c r="B1017" s="51" t="s">
        <v>136</v>
      </c>
      <c r="C1017" s="4" t="s">
        <v>1334</v>
      </c>
      <c r="D1017" s="4" t="s">
        <v>103</v>
      </c>
      <c r="E1017" s="51" t="s">
        <v>115</v>
      </c>
      <c r="F1017" s="3">
        <v>400</v>
      </c>
      <c r="G1017" s="3">
        <v>444</v>
      </c>
      <c r="H1017" s="3">
        <v>120519</v>
      </c>
      <c r="I1017" s="51" t="s">
        <v>105</v>
      </c>
      <c r="J1017" s="3">
        <v>119716</v>
      </c>
      <c r="K1017" s="4" t="s">
        <v>106</v>
      </c>
      <c r="L1017" s="56" t="s">
        <v>444</v>
      </c>
      <c r="M1017" s="20" t="s">
        <v>112</v>
      </c>
      <c r="N1017" s="19"/>
      <c r="O1017" s="19" t="str">
        <f t="shared" si="30"/>
        <v>19</v>
      </c>
      <c r="P1017" s="64">
        <f t="shared" si="31"/>
        <v>42570</v>
      </c>
    </row>
    <row r="1018" spans="1:16" x14ac:dyDescent="0.25">
      <c r="A1018" s="26">
        <v>42570.525625000002</v>
      </c>
      <c r="B1018" s="51" t="s">
        <v>120</v>
      </c>
      <c r="C1018" s="4" t="s">
        <v>1335</v>
      </c>
      <c r="D1018" s="4" t="s">
        <v>116</v>
      </c>
      <c r="E1018" s="51" t="s">
        <v>115</v>
      </c>
      <c r="F1018" s="3">
        <v>600</v>
      </c>
      <c r="G1018" s="3">
        <v>650</v>
      </c>
      <c r="H1018" s="3">
        <v>123946</v>
      </c>
      <c r="I1018" s="51" t="s">
        <v>105</v>
      </c>
      <c r="J1018" s="3">
        <v>119716</v>
      </c>
      <c r="K1018" s="4" t="s">
        <v>111</v>
      </c>
      <c r="L1018" s="56" t="s">
        <v>405</v>
      </c>
      <c r="M1018" s="20" t="s">
        <v>112</v>
      </c>
      <c r="N1018" s="19"/>
      <c r="O1018" s="19" t="str">
        <f t="shared" si="30"/>
        <v>19</v>
      </c>
      <c r="P1018" s="64">
        <f t="shared" si="31"/>
        <v>42570</v>
      </c>
    </row>
    <row r="1019" spans="1:16" x14ac:dyDescent="0.25">
      <c r="A1019" s="26">
        <v>42570.231631944444</v>
      </c>
      <c r="B1019" s="51" t="s">
        <v>136</v>
      </c>
      <c r="C1019" s="4" t="s">
        <v>1334</v>
      </c>
      <c r="D1019" s="4" t="s">
        <v>116</v>
      </c>
      <c r="E1019" s="51" t="s">
        <v>115</v>
      </c>
      <c r="F1019" s="3">
        <v>600</v>
      </c>
      <c r="G1019" s="3">
        <v>654</v>
      </c>
      <c r="H1019" s="3">
        <v>184903</v>
      </c>
      <c r="I1019" s="51" t="s">
        <v>105</v>
      </c>
      <c r="J1019" s="3">
        <v>190834</v>
      </c>
      <c r="K1019" s="4" t="s">
        <v>106</v>
      </c>
      <c r="L1019" s="56" t="s">
        <v>444</v>
      </c>
      <c r="M1019" s="20" t="s">
        <v>112</v>
      </c>
      <c r="N1019" s="19"/>
      <c r="O1019" s="19" t="str">
        <f t="shared" si="30"/>
        <v>19</v>
      </c>
      <c r="P1019" s="64">
        <f t="shared" si="31"/>
        <v>42570</v>
      </c>
    </row>
    <row r="1020" spans="1:16" x14ac:dyDescent="0.25">
      <c r="A1020" s="26">
        <v>42570.680104166669</v>
      </c>
      <c r="B1020" s="51" t="s">
        <v>164</v>
      </c>
      <c r="C1020" s="4" t="s">
        <v>1336</v>
      </c>
      <c r="D1020" s="4" t="s">
        <v>116</v>
      </c>
      <c r="E1020" s="51" t="s">
        <v>115</v>
      </c>
      <c r="F1020" s="3">
        <v>600</v>
      </c>
      <c r="G1020" s="3">
        <v>651</v>
      </c>
      <c r="H1020" s="3">
        <v>184476</v>
      </c>
      <c r="I1020" s="51" t="s">
        <v>105</v>
      </c>
      <c r="J1020" s="3">
        <v>190834</v>
      </c>
      <c r="K1020" s="4" t="s">
        <v>106</v>
      </c>
      <c r="L1020" s="56" t="s">
        <v>558</v>
      </c>
      <c r="M1020" s="20" t="s">
        <v>112</v>
      </c>
      <c r="N1020" s="19"/>
      <c r="O1020" s="19" t="str">
        <f t="shared" si="30"/>
        <v>19</v>
      </c>
      <c r="P1020" s="64">
        <f t="shared" si="31"/>
        <v>42570</v>
      </c>
    </row>
    <row r="1021" spans="1:16" x14ac:dyDescent="0.25">
      <c r="A1021" s="26">
        <v>42570.66920138889</v>
      </c>
      <c r="B1021" s="51" t="s">
        <v>119</v>
      </c>
      <c r="C1021" s="4" t="s">
        <v>1337</v>
      </c>
      <c r="D1021" s="4" t="s">
        <v>103</v>
      </c>
      <c r="E1021" s="51" t="s">
        <v>115</v>
      </c>
      <c r="F1021" s="3">
        <v>450</v>
      </c>
      <c r="G1021" s="3">
        <v>440</v>
      </c>
      <c r="H1021" s="3">
        <v>192161</v>
      </c>
      <c r="I1021" s="51" t="s">
        <v>105</v>
      </c>
      <c r="J1021" s="3">
        <v>191108</v>
      </c>
      <c r="K1021" s="4" t="s">
        <v>106</v>
      </c>
      <c r="L1021" s="56" t="s">
        <v>442</v>
      </c>
      <c r="M1021" s="20" t="s">
        <v>112</v>
      </c>
      <c r="N1021" s="19"/>
      <c r="O1021" s="19" t="str">
        <f t="shared" si="30"/>
        <v>19</v>
      </c>
      <c r="P1021" s="64">
        <f t="shared" si="31"/>
        <v>42570</v>
      </c>
    </row>
    <row r="1022" spans="1:16" x14ac:dyDescent="0.25">
      <c r="A1022" s="26">
        <v>42570.675625000003</v>
      </c>
      <c r="B1022" s="51" t="s">
        <v>164</v>
      </c>
      <c r="C1022" s="4" t="s">
        <v>1336</v>
      </c>
      <c r="D1022" s="4" t="s">
        <v>103</v>
      </c>
      <c r="E1022" s="51" t="s">
        <v>115</v>
      </c>
      <c r="F1022" s="3">
        <v>150</v>
      </c>
      <c r="G1022" s="3">
        <v>200</v>
      </c>
      <c r="H1022" s="3">
        <v>229416</v>
      </c>
      <c r="I1022" s="51" t="s">
        <v>105</v>
      </c>
      <c r="J1022" s="3">
        <v>229055</v>
      </c>
      <c r="K1022" s="4" t="s">
        <v>106</v>
      </c>
      <c r="L1022" s="56" t="s">
        <v>558</v>
      </c>
      <c r="M1022" s="20" t="s">
        <v>112</v>
      </c>
      <c r="N1022" s="19"/>
      <c r="O1022" s="19" t="str">
        <f t="shared" si="30"/>
        <v>19</v>
      </c>
      <c r="P1022" s="64">
        <f t="shared" si="31"/>
        <v>42570</v>
      </c>
    </row>
    <row r="1023" spans="1:16" x14ac:dyDescent="0.25">
      <c r="A1023" s="26">
        <v>42570.629247685189</v>
      </c>
      <c r="B1023" s="51" t="s">
        <v>138</v>
      </c>
      <c r="C1023" s="4" t="s">
        <v>1338</v>
      </c>
      <c r="D1023" s="4" t="s">
        <v>103</v>
      </c>
      <c r="E1023" s="51" t="s">
        <v>115</v>
      </c>
      <c r="F1023" s="3">
        <v>150</v>
      </c>
      <c r="G1023" s="3">
        <v>151</v>
      </c>
      <c r="H1023" s="3">
        <v>230046</v>
      </c>
      <c r="I1023" s="51" t="s">
        <v>105</v>
      </c>
      <c r="J1023" s="3">
        <v>230436</v>
      </c>
      <c r="K1023" s="4" t="s">
        <v>111</v>
      </c>
      <c r="L1023" s="56" t="s">
        <v>436</v>
      </c>
      <c r="M1023" s="20" t="s">
        <v>112</v>
      </c>
      <c r="N1023" s="19"/>
      <c r="O1023" s="19" t="str">
        <f t="shared" si="30"/>
        <v>19</v>
      </c>
      <c r="P1023" s="64">
        <f t="shared" si="31"/>
        <v>42570</v>
      </c>
    </row>
    <row r="1024" spans="1:16" x14ac:dyDescent="0.25">
      <c r="A1024" s="26">
        <v>42570.31690972222</v>
      </c>
      <c r="B1024" s="51" t="s">
        <v>138</v>
      </c>
      <c r="C1024" s="4" t="s">
        <v>522</v>
      </c>
      <c r="D1024" s="4" t="s">
        <v>116</v>
      </c>
      <c r="E1024" s="51" t="s">
        <v>122</v>
      </c>
      <c r="F1024" s="3">
        <v>0</v>
      </c>
      <c r="G1024" s="3">
        <v>51</v>
      </c>
      <c r="H1024" s="3">
        <v>1810</v>
      </c>
      <c r="I1024" s="51" t="s">
        <v>123</v>
      </c>
      <c r="J1024" s="3">
        <v>1692</v>
      </c>
      <c r="K1024" s="4" t="s">
        <v>111</v>
      </c>
      <c r="L1024" s="56" t="s">
        <v>453</v>
      </c>
      <c r="M1024" s="20" t="s">
        <v>112</v>
      </c>
      <c r="N1024" s="19" t="s">
        <v>523</v>
      </c>
      <c r="O1024" s="19" t="str">
        <f t="shared" si="30"/>
        <v>19</v>
      </c>
      <c r="P1024" s="64">
        <f t="shared" si="31"/>
        <v>42570</v>
      </c>
    </row>
    <row r="1025" spans="1:16" x14ac:dyDescent="0.25">
      <c r="A1025" s="26">
        <v>42570.317465277774</v>
      </c>
      <c r="B1025" s="51" t="s">
        <v>138</v>
      </c>
      <c r="C1025" s="4" t="s">
        <v>522</v>
      </c>
      <c r="D1025" s="4" t="s">
        <v>116</v>
      </c>
      <c r="E1025" s="51" t="s">
        <v>122</v>
      </c>
      <c r="F1025" s="3">
        <v>0</v>
      </c>
      <c r="G1025" s="3">
        <v>4</v>
      </c>
      <c r="H1025" s="3">
        <v>1865</v>
      </c>
      <c r="I1025" s="51" t="s">
        <v>123</v>
      </c>
      <c r="J1025" s="3">
        <v>1692</v>
      </c>
      <c r="K1025" s="4" t="s">
        <v>111</v>
      </c>
      <c r="L1025" s="56" t="s">
        <v>453</v>
      </c>
      <c r="M1025" s="20" t="s">
        <v>112</v>
      </c>
      <c r="N1025" s="19" t="s">
        <v>523</v>
      </c>
      <c r="O1025" s="19" t="str">
        <f t="shared" si="30"/>
        <v>19</v>
      </c>
      <c r="P1025" s="64">
        <f t="shared" si="31"/>
        <v>42570</v>
      </c>
    </row>
    <row r="1026" spans="1:16" x14ac:dyDescent="0.25">
      <c r="A1026" s="26">
        <v>42570.380069444444</v>
      </c>
      <c r="B1026" s="51" t="s">
        <v>147</v>
      </c>
      <c r="C1026" s="4" t="s">
        <v>524</v>
      </c>
      <c r="D1026" s="4" t="s">
        <v>103</v>
      </c>
      <c r="E1026" s="51" t="s">
        <v>122</v>
      </c>
      <c r="F1026" s="3">
        <v>0</v>
      </c>
      <c r="G1026" s="3">
        <v>457</v>
      </c>
      <c r="H1026" s="3">
        <v>39178</v>
      </c>
      <c r="I1026" s="51" t="s">
        <v>123</v>
      </c>
      <c r="J1026" s="3">
        <v>38656</v>
      </c>
      <c r="K1026" s="4" t="s">
        <v>106</v>
      </c>
      <c r="L1026" s="56" t="s">
        <v>400</v>
      </c>
      <c r="M1026" s="20" t="s">
        <v>107</v>
      </c>
      <c r="N1026" s="19" t="s">
        <v>52</v>
      </c>
      <c r="O1026" s="19" t="str">
        <f t="shared" ref="O1026:O1089" si="32">RIGHT(C1026,2)</f>
        <v>19</v>
      </c>
      <c r="P1026" s="64">
        <f t="shared" si="31"/>
        <v>42570</v>
      </c>
    </row>
    <row r="1027" spans="1:16" x14ac:dyDescent="0.25">
      <c r="A1027" s="26">
        <v>42570.552777777775</v>
      </c>
      <c r="B1027" s="51" t="s">
        <v>133</v>
      </c>
      <c r="C1027" s="4" t="s">
        <v>1332</v>
      </c>
      <c r="D1027" s="4" t="s">
        <v>103</v>
      </c>
      <c r="E1027" s="51" t="s">
        <v>122</v>
      </c>
      <c r="F1027" s="3">
        <v>0</v>
      </c>
      <c r="G1027" s="3">
        <v>15</v>
      </c>
      <c r="H1027" s="3">
        <v>1242</v>
      </c>
      <c r="I1027" s="51" t="s">
        <v>123</v>
      </c>
      <c r="J1027" s="3">
        <v>63995</v>
      </c>
      <c r="K1027" s="4" t="s">
        <v>111</v>
      </c>
      <c r="L1027" s="56" t="s">
        <v>442</v>
      </c>
      <c r="M1027" s="20" t="s">
        <v>107</v>
      </c>
      <c r="N1027" s="19" t="s">
        <v>52</v>
      </c>
      <c r="O1027" s="19" t="str">
        <f t="shared" si="32"/>
        <v>19</v>
      </c>
      <c r="P1027" s="64">
        <f t="shared" ref="P1027:P1090" si="33">42522+O1027+29</f>
        <v>42570</v>
      </c>
    </row>
    <row r="1028" spans="1:16" x14ac:dyDescent="0.25">
      <c r="A1028" s="26">
        <v>42570.553460648145</v>
      </c>
      <c r="B1028" s="51" t="s">
        <v>133</v>
      </c>
      <c r="C1028" s="4" t="s">
        <v>1332</v>
      </c>
      <c r="D1028" s="4" t="s">
        <v>103</v>
      </c>
      <c r="E1028" s="51" t="s">
        <v>122</v>
      </c>
      <c r="F1028" s="3">
        <v>0</v>
      </c>
      <c r="G1028" s="3">
        <v>15</v>
      </c>
      <c r="H1028" s="3">
        <v>1242</v>
      </c>
      <c r="I1028" s="51" t="s">
        <v>123</v>
      </c>
      <c r="J1028" s="3">
        <v>63995</v>
      </c>
      <c r="K1028" s="4" t="s">
        <v>111</v>
      </c>
      <c r="L1028" s="56" t="s">
        <v>442</v>
      </c>
      <c r="M1028" s="20" t="s">
        <v>107</v>
      </c>
      <c r="N1028" s="19" t="s">
        <v>52</v>
      </c>
      <c r="O1028" s="19" t="str">
        <f t="shared" si="32"/>
        <v>19</v>
      </c>
      <c r="P1028" s="64">
        <f t="shared" si="33"/>
        <v>42570</v>
      </c>
    </row>
    <row r="1029" spans="1:16" x14ac:dyDescent="0.25">
      <c r="A1029" s="26">
        <v>42570.554155092592</v>
      </c>
      <c r="B1029" s="51" t="s">
        <v>133</v>
      </c>
      <c r="C1029" s="4" t="s">
        <v>1332</v>
      </c>
      <c r="D1029" s="4" t="s">
        <v>103</v>
      </c>
      <c r="E1029" s="51" t="s">
        <v>122</v>
      </c>
      <c r="F1029" s="3">
        <v>0</v>
      </c>
      <c r="G1029" s="3">
        <v>15</v>
      </c>
      <c r="H1029" s="3">
        <v>1242</v>
      </c>
      <c r="I1029" s="51" t="s">
        <v>123</v>
      </c>
      <c r="J1029" s="3">
        <v>63995</v>
      </c>
      <c r="K1029" s="4" t="s">
        <v>111</v>
      </c>
      <c r="L1029" s="56" t="s">
        <v>442</v>
      </c>
      <c r="M1029" s="20" t="s">
        <v>107</v>
      </c>
      <c r="N1029" s="19" t="s">
        <v>52</v>
      </c>
      <c r="O1029" s="19" t="str">
        <f t="shared" si="32"/>
        <v>19</v>
      </c>
      <c r="P1029" s="64">
        <f t="shared" si="33"/>
        <v>42570</v>
      </c>
    </row>
    <row r="1030" spans="1:16" x14ac:dyDescent="0.25">
      <c r="A1030" s="26">
        <v>42570.99019675926</v>
      </c>
      <c r="B1030" s="51" t="s">
        <v>132</v>
      </c>
      <c r="C1030" s="4" t="s">
        <v>529</v>
      </c>
      <c r="D1030" s="4" t="s">
        <v>103</v>
      </c>
      <c r="E1030" s="51" t="s">
        <v>122</v>
      </c>
      <c r="F1030" s="3">
        <v>0</v>
      </c>
      <c r="G1030" s="3">
        <v>607</v>
      </c>
      <c r="H1030" s="3">
        <v>89837</v>
      </c>
      <c r="I1030" s="51" t="s">
        <v>123</v>
      </c>
      <c r="J1030" s="3">
        <v>87902</v>
      </c>
      <c r="K1030" s="4" t="s">
        <v>106</v>
      </c>
      <c r="L1030" s="56" t="s">
        <v>432</v>
      </c>
      <c r="M1030" s="20" t="s">
        <v>107</v>
      </c>
      <c r="N1030" s="19" t="s">
        <v>52</v>
      </c>
      <c r="O1030" s="19" t="str">
        <f t="shared" si="32"/>
        <v>19</v>
      </c>
      <c r="P1030" s="64">
        <f t="shared" si="33"/>
        <v>42570</v>
      </c>
    </row>
    <row r="1031" spans="1:16" x14ac:dyDescent="0.25">
      <c r="A1031" s="26">
        <v>42570.475914351853</v>
      </c>
      <c r="B1031" s="51" t="s">
        <v>138</v>
      </c>
      <c r="C1031" s="4" t="s">
        <v>1339</v>
      </c>
      <c r="D1031" s="4" t="s">
        <v>103</v>
      </c>
      <c r="E1031" s="51" t="s">
        <v>122</v>
      </c>
      <c r="F1031" s="3">
        <v>0</v>
      </c>
      <c r="G1031" s="3">
        <v>609</v>
      </c>
      <c r="H1031" s="3">
        <v>151270</v>
      </c>
      <c r="I1031" s="51" t="s">
        <v>123</v>
      </c>
      <c r="J1031" s="3">
        <v>155600</v>
      </c>
      <c r="K1031" s="4" t="s">
        <v>111</v>
      </c>
      <c r="L1031" s="56" t="s">
        <v>436</v>
      </c>
      <c r="M1031" s="20" t="s">
        <v>112</v>
      </c>
      <c r="N1031" s="19" t="s">
        <v>1340</v>
      </c>
      <c r="O1031" s="19" t="str">
        <f t="shared" si="32"/>
        <v>19</v>
      </c>
      <c r="P1031" s="64">
        <f t="shared" si="33"/>
        <v>42570</v>
      </c>
    </row>
    <row r="1032" spans="1:16" x14ac:dyDescent="0.25">
      <c r="A1032" s="26">
        <v>42570.22142361111</v>
      </c>
      <c r="B1032" s="51" t="s">
        <v>147</v>
      </c>
      <c r="C1032" s="4" t="s">
        <v>193</v>
      </c>
      <c r="D1032" s="4" t="s">
        <v>103</v>
      </c>
      <c r="E1032" s="51" t="s">
        <v>129</v>
      </c>
      <c r="F1032" s="3">
        <v>0</v>
      </c>
      <c r="G1032" s="3">
        <v>28</v>
      </c>
      <c r="H1032" s="3">
        <v>63</v>
      </c>
      <c r="I1032" s="51" t="s">
        <v>130</v>
      </c>
      <c r="J1032" s="3">
        <v>1</v>
      </c>
      <c r="K1032" s="4" t="s">
        <v>106</v>
      </c>
      <c r="L1032" s="56" t="s">
        <v>400</v>
      </c>
      <c r="M1032" s="20" t="s">
        <v>112</v>
      </c>
      <c r="N1032" s="19"/>
      <c r="O1032" s="19" t="str">
        <f t="shared" si="32"/>
        <v>19</v>
      </c>
      <c r="P1032" s="64">
        <f t="shared" si="33"/>
        <v>42570</v>
      </c>
    </row>
    <row r="1033" spans="1:16" x14ac:dyDescent="0.25">
      <c r="A1033" s="26">
        <v>42570.554814814815</v>
      </c>
      <c r="B1033" s="51" t="s">
        <v>164</v>
      </c>
      <c r="C1033" s="4" t="s">
        <v>1341</v>
      </c>
      <c r="D1033" s="4" t="s">
        <v>103</v>
      </c>
      <c r="E1033" s="51" t="s">
        <v>129</v>
      </c>
      <c r="F1033" s="3">
        <v>0</v>
      </c>
      <c r="G1033" s="3">
        <v>47</v>
      </c>
      <c r="H1033" s="3">
        <v>143</v>
      </c>
      <c r="I1033" s="51" t="s">
        <v>130</v>
      </c>
      <c r="J1033" s="3">
        <v>1</v>
      </c>
      <c r="K1033" s="4" t="s">
        <v>106</v>
      </c>
      <c r="L1033" s="56" t="s">
        <v>558</v>
      </c>
      <c r="M1033" s="20" t="s">
        <v>112</v>
      </c>
      <c r="N1033" s="19"/>
      <c r="O1033" s="19" t="str">
        <f t="shared" si="32"/>
        <v>19</v>
      </c>
      <c r="P1033" s="64">
        <f t="shared" si="33"/>
        <v>42570</v>
      </c>
    </row>
    <row r="1034" spans="1:16" x14ac:dyDescent="0.25">
      <c r="A1034" s="26">
        <v>42570.576423611114</v>
      </c>
      <c r="B1034" s="51" t="s">
        <v>131</v>
      </c>
      <c r="C1034" s="4" t="s">
        <v>50</v>
      </c>
      <c r="D1034" s="4" t="s">
        <v>103</v>
      </c>
      <c r="E1034" s="51" t="s">
        <v>129</v>
      </c>
      <c r="F1034" s="3">
        <v>0</v>
      </c>
      <c r="G1034" s="3">
        <v>55</v>
      </c>
      <c r="H1034" s="3">
        <v>181</v>
      </c>
      <c r="I1034" s="51" t="s">
        <v>130</v>
      </c>
      <c r="J1034" s="3">
        <v>1</v>
      </c>
      <c r="K1034" s="4" t="s">
        <v>106</v>
      </c>
      <c r="L1034" s="56" t="s">
        <v>405</v>
      </c>
      <c r="M1034" s="20" t="s">
        <v>112</v>
      </c>
      <c r="N1034" s="19"/>
      <c r="O1034" s="19" t="str">
        <f t="shared" si="32"/>
        <v>19</v>
      </c>
      <c r="P1034" s="64">
        <f t="shared" si="33"/>
        <v>42570</v>
      </c>
    </row>
    <row r="1035" spans="1:16" x14ac:dyDescent="0.25">
      <c r="A1035" s="26">
        <v>42570.798078703701</v>
      </c>
      <c r="B1035" s="51" t="s">
        <v>131</v>
      </c>
      <c r="C1035" s="4" t="s">
        <v>1342</v>
      </c>
      <c r="D1035" s="4" t="s">
        <v>103</v>
      </c>
      <c r="E1035" s="51" t="s">
        <v>129</v>
      </c>
      <c r="F1035" s="3">
        <v>0</v>
      </c>
      <c r="G1035" s="3">
        <v>46</v>
      </c>
      <c r="H1035" s="3">
        <v>150</v>
      </c>
      <c r="I1035" s="51" t="s">
        <v>130</v>
      </c>
      <c r="J1035" s="3">
        <v>1</v>
      </c>
      <c r="K1035" s="4" t="s">
        <v>106</v>
      </c>
      <c r="L1035" s="56" t="s">
        <v>404</v>
      </c>
      <c r="M1035" s="20" t="s">
        <v>112</v>
      </c>
      <c r="N1035" s="19"/>
      <c r="O1035" s="19" t="str">
        <f t="shared" si="32"/>
        <v>19</v>
      </c>
      <c r="P1035" s="64">
        <f t="shared" si="33"/>
        <v>42570</v>
      </c>
    </row>
    <row r="1036" spans="1:16" x14ac:dyDescent="0.25">
      <c r="A1036" s="26">
        <v>42570.821342592593</v>
      </c>
      <c r="B1036" s="51" t="s">
        <v>136</v>
      </c>
      <c r="C1036" s="4" t="s">
        <v>527</v>
      </c>
      <c r="D1036" s="4" t="s">
        <v>103</v>
      </c>
      <c r="E1036" s="51" t="s">
        <v>129</v>
      </c>
      <c r="F1036" s="3">
        <v>0</v>
      </c>
      <c r="G1036" s="3">
        <v>51</v>
      </c>
      <c r="H1036" s="3">
        <v>161</v>
      </c>
      <c r="I1036" s="51" t="s">
        <v>130</v>
      </c>
      <c r="J1036" s="3">
        <v>1</v>
      </c>
      <c r="K1036" s="4" t="s">
        <v>106</v>
      </c>
      <c r="L1036" s="56" t="s">
        <v>425</v>
      </c>
      <c r="M1036" s="20" t="s">
        <v>112</v>
      </c>
      <c r="N1036" s="19"/>
      <c r="O1036" s="19" t="str">
        <f t="shared" si="32"/>
        <v>19</v>
      </c>
      <c r="P1036" s="64">
        <f t="shared" si="33"/>
        <v>42570</v>
      </c>
    </row>
    <row r="1037" spans="1:16" x14ac:dyDescent="0.25">
      <c r="A1037" s="26">
        <v>42570.555925925924</v>
      </c>
      <c r="B1037" s="51" t="s">
        <v>138</v>
      </c>
      <c r="C1037" s="4" t="s">
        <v>1343</v>
      </c>
      <c r="D1037" s="4" t="s">
        <v>103</v>
      </c>
      <c r="E1037" s="51" t="s">
        <v>129</v>
      </c>
      <c r="F1037" s="3">
        <v>0</v>
      </c>
      <c r="G1037" s="3">
        <v>108</v>
      </c>
      <c r="H1037" s="3">
        <v>233071</v>
      </c>
      <c r="I1037" s="51" t="s">
        <v>130</v>
      </c>
      <c r="J1037" s="3">
        <v>233491</v>
      </c>
      <c r="K1037" s="4" t="s">
        <v>111</v>
      </c>
      <c r="L1037" s="56" t="s">
        <v>436</v>
      </c>
      <c r="M1037" s="20" t="s">
        <v>112</v>
      </c>
      <c r="N1037" s="19"/>
      <c r="O1037" s="19" t="str">
        <f t="shared" si="32"/>
        <v>19</v>
      </c>
      <c r="P1037" s="64">
        <f t="shared" si="33"/>
        <v>42570</v>
      </c>
    </row>
    <row r="1038" spans="1:16" x14ac:dyDescent="0.25">
      <c r="A1038" s="26">
        <v>42571.81627314815</v>
      </c>
      <c r="B1038" s="51" t="s">
        <v>117</v>
      </c>
      <c r="C1038" s="4" t="s">
        <v>1344</v>
      </c>
      <c r="D1038" s="4" t="s">
        <v>116</v>
      </c>
      <c r="E1038" s="51" t="s">
        <v>109</v>
      </c>
      <c r="F1038" s="3">
        <v>360</v>
      </c>
      <c r="G1038" s="3">
        <v>421</v>
      </c>
      <c r="H1038" s="3">
        <v>58281</v>
      </c>
      <c r="I1038" s="51" t="s">
        <v>110</v>
      </c>
      <c r="J1038" s="3">
        <v>58301</v>
      </c>
      <c r="K1038" s="4" t="s">
        <v>106</v>
      </c>
      <c r="L1038" s="56" t="s">
        <v>538</v>
      </c>
      <c r="M1038" s="20" t="s">
        <v>112</v>
      </c>
      <c r="N1038" s="19" t="s">
        <v>543</v>
      </c>
      <c r="O1038" s="19" t="str">
        <f t="shared" si="32"/>
        <v>20</v>
      </c>
      <c r="P1038" s="64">
        <f t="shared" si="33"/>
        <v>42571</v>
      </c>
    </row>
    <row r="1039" spans="1:16" x14ac:dyDescent="0.25">
      <c r="A1039" s="26">
        <v>42571.847569444442</v>
      </c>
      <c r="B1039" s="51" t="s">
        <v>126</v>
      </c>
      <c r="C1039" s="4" t="s">
        <v>1345</v>
      </c>
      <c r="D1039" s="4" t="s">
        <v>103</v>
      </c>
      <c r="E1039" s="51" t="s">
        <v>109</v>
      </c>
      <c r="F1039" s="3">
        <v>530</v>
      </c>
      <c r="G1039" s="3">
        <v>587</v>
      </c>
      <c r="H1039" s="3">
        <v>108405</v>
      </c>
      <c r="I1039" s="51" t="s">
        <v>110</v>
      </c>
      <c r="J1039" s="3">
        <v>108954</v>
      </c>
      <c r="K1039" s="4" t="s">
        <v>111</v>
      </c>
      <c r="L1039" s="56" t="s">
        <v>538</v>
      </c>
      <c r="M1039" s="20" t="s">
        <v>112</v>
      </c>
      <c r="N1039" s="19" t="s">
        <v>543</v>
      </c>
      <c r="O1039" s="19" t="str">
        <f t="shared" si="32"/>
        <v>20</v>
      </c>
      <c r="P1039" s="64">
        <f t="shared" si="33"/>
        <v>42571</v>
      </c>
    </row>
    <row r="1040" spans="1:16" x14ac:dyDescent="0.25">
      <c r="A1040" s="26">
        <v>42571.594490740739</v>
      </c>
      <c r="B1040" s="51" t="s">
        <v>117</v>
      </c>
      <c r="C1040" s="4" t="s">
        <v>1346</v>
      </c>
      <c r="D1040" s="4" t="s">
        <v>103</v>
      </c>
      <c r="E1040" s="51" t="s">
        <v>109</v>
      </c>
      <c r="F1040" s="3">
        <v>0</v>
      </c>
      <c r="G1040" s="3">
        <v>28</v>
      </c>
      <c r="H1040" s="3">
        <v>109209</v>
      </c>
      <c r="I1040" s="51" t="s">
        <v>110</v>
      </c>
      <c r="J1040" s="3">
        <v>109135</v>
      </c>
      <c r="K1040" s="4" t="s">
        <v>106</v>
      </c>
      <c r="L1040" s="56" t="s">
        <v>558</v>
      </c>
      <c r="M1040" s="20" t="s">
        <v>112</v>
      </c>
      <c r="N1040" s="19" t="s">
        <v>186</v>
      </c>
      <c r="O1040" s="19" t="str">
        <f t="shared" si="32"/>
        <v>20</v>
      </c>
      <c r="P1040" s="64">
        <f t="shared" si="33"/>
        <v>42571</v>
      </c>
    </row>
    <row r="1041" spans="1:16" x14ac:dyDescent="0.25">
      <c r="A1041" s="26">
        <v>42571.347685185188</v>
      </c>
      <c r="B1041" s="51" t="s">
        <v>114</v>
      </c>
      <c r="C1041" s="4" t="s">
        <v>1347</v>
      </c>
      <c r="D1041" s="4" t="s">
        <v>103</v>
      </c>
      <c r="E1041" s="51" t="s">
        <v>115</v>
      </c>
      <c r="F1041" s="3">
        <v>300</v>
      </c>
      <c r="G1041" s="3">
        <v>302</v>
      </c>
      <c r="H1041" s="3">
        <v>20284</v>
      </c>
      <c r="I1041" s="51" t="s">
        <v>105</v>
      </c>
      <c r="J1041" s="3">
        <v>20338</v>
      </c>
      <c r="K1041" s="4" t="s">
        <v>111</v>
      </c>
      <c r="L1041" s="56" t="s">
        <v>490</v>
      </c>
      <c r="M1041" s="20" t="s">
        <v>112</v>
      </c>
      <c r="N1041" s="19"/>
      <c r="O1041" s="19" t="str">
        <f t="shared" si="32"/>
        <v>20</v>
      </c>
      <c r="P1041" s="64">
        <f t="shared" si="33"/>
        <v>42571</v>
      </c>
    </row>
    <row r="1042" spans="1:16" x14ac:dyDescent="0.25">
      <c r="A1042" s="26">
        <v>42571.566261574073</v>
      </c>
      <c r="B1042" s="51" t="s">
        <v>138</v>
      </c>
      <c r="C1042" s="4" t="s">
        <v>241</v>
      </c>
      <c r="D1042" s="4" t="s">
        <v>103</v>
      </c>
      <c r="E1042" s="51" t="s">
        <v>115</v>
      </c>
      <c r="F1042" s="3">
        <v>300</v>
      </c>
      <c r="G1042" s="3">
        <v>256</v>
      </c>
      <c r="H1042" s="3">
        <v>19689</v>
      </c>
      <c r="I1042" s="51" t="s">
        <v>105</v>
      </c>
      <c r="J1042" s="3">
        <v>20338</v>
      </c>
      <c r="K1042" s="4" t="s">
        <v>111</v>
      </c>
      <c r="L1042" s="56" t="s">
        <v>442</v>
      </c>
      <c r="M1042" s="20" t="s">
        <v>112</v>
      </c>
      <c r="N1042" s="19"/>
      <c r="O1042" s="19" t="str">
        <f t="shared" si="32"/>
        <v>20</v>
      </c>
      <c r="P1042" s="64">
        <f t="shared" si="33"/>
        <v>42571</v>
      </c>
    </row>
    <row r="1043" spans="1:16" x14ac:dyDescent="0.25">
      <c r="A1043" s="26">
        <v>42571.661412037036</v>
      </c>
      <c r="B1043" s="51" t="s">
        <v>165</v>
      </c>
      <c r="C1043" s="4" t="s">
        <v>532</v>
      </c>
      <c r="D1043" s="4" t="s">
        <v>116</v>
      </c>
      <c r="E1043" s="51" t="s">
        <v>115</v>
      </c>
      <c r="F1043" s="3">
        <v>300</v>
      </c>
      <c r="G1043" s="3">
        <v>350</v>
      </c>
      <c r="H1043" s="3">
        <v>21190</v>
      </c>
      <c r="I1043" s="51" t="s">
        <v>105</v>
      </c>
      <c r="J1043" s="3">
        <v>20338</v>
      </c>
      <c r="K1043" s="4" t="s">
        <v>111</v>
      </c>
      <c r="L1043" s="56" t="s">
        <v>404</v>
      </c>
      <c r="M1043" s="20" t="s">
        <v>112</v>
      </c>
      <c r="N1043" s="19"/>
      <c r="O1043" s="19" t="str">
        <f t="shared" si="32"/>
        <v>20</v>
      </c>
      <c r="P1043" s="64">
        <f t="shared" si="33"/>
        <v>42571</v>
      </c>
    </row>
    <row r="1044" spans="1:16" x14ac:dyDescent="0.25">
      <c r="A1044" s="26">
        <v>42571.837372685186</v>
      </c>
      <c r="B1044" s="51" t="s">
        <v>126</v>
      </c>
      <c r="C1044" s="4" t="s">
        <v>1345</v>
      </c>
      <c r="D1044" s="4" t="s">
        <v>103</v>
      </c>
      <c r="E1044" s="51" t="s">
        <v>115</v>
      </c>
      <c r="F1044" s="3">
        <v>300</v>
      </c>
      <c r="G1044" s="3">
        <v>293</v>
      </c>
      <c r="H1044" s="3">
        <v>20190</v>
      </c>
      <c r="I1044" s="51" t="s">
        <v>105</v>
      </c>
      <c r="J1044" s="3">
        <v>20338</v>
      </c>
      <c r="K1044" s="4" t="s">
        <v>111</v>
      </c>
      <c r="L1044" s="56" t="s">
        <v>538</v>
      </c>
      <c r="M1044" s="20" t="s">
        <v>112</v>
      </c>
      <c r="N1044" s="19"/>
      <c r="O1044" s="19" t="str">
        <f t="shared" si="32"/>
        <v>20</v>
      </c>
      <c r="P1044" s="64">
        <f t="shared" si="33"/>
        <v>42571</v>
      </c>
    </row>
    <row r="1045" spans="1:16" x14ac:dyDescent="0.25">
      <c r="A1045" s="26">
        <v>42571.423680555556</v>
      </c>
      <c r="B1045" s="51" t="s">
        <v>114</v>
      </c>
      <c r="C1045" s="4" t="s">
        <v>530</v>
      </c>
      <c r="D1045" s="4" t="s">
        <v>116</v>
      </c>
      <c r="E1045" s="51" t="s">
        <v>115</v>
      </c>
      <c r="F1045" s="3">
        <v>200</v>
      </c>
      <c r="G1045" s="3">
        <v>257</v>
      </c>
      <c r="H1045" s="3">
        <v>27696</v>
      </c>
      <c r="I1045" s="51" t="s">
        <v>105</v>
      </c>
      <c r="J1045" s="3">
        <v>27333</v>
      </c>
      <c r="K1045" s="4" t="s">
        <v>111</v>
      </c>
      <c r="L1045" s="56" t="s">
        <v>490</v>
      </c>
      <c r="M1045" s="20" t="s">
        <v>112</v>
      </c>
      <c r="N1045" s="19"/>
      <c r="O1045" s="19" t="str">
        <f t="shared" si="32"/>
        <v>20</v>
      </c>
      <c r="P1045" s="64">
        <f t="shared" si="33"/>
        <v>42571</v>
      </c>
    </row>
    <row r="1046" spans="1:16" x14ac:dyDescent="0.25">
      <c r="A1046" s="26">
        <v>42571.339953703704</v>
      </c>
      <c r="B1046" s="51" t="s">
        <v>164</v>
      </c>
      <c r="C1046" s="4" t="s">
        <v>1348</v>
      </c>
      <c r="D1046" s="4" t="s">
        <v>103</v>
      </c>
      <c r="E1046" s="51" t="s">
        <v>115</v>
      </c>
      <c r="F1046" s="3">
        <v>200</v>
      </c>
      <c r="G1046" s="3">
        <v>457</v>
      </c>
      <c r="H1046" s="3">
        <v>33245</v>
      </c>
      <c r="I1046" s="51" t="s">
        <v>105</v>
      </c>
      <c r="J1046" s="3">
        <v>30562</v>
      </c>
      <c r="K1046" s="4" t="s">
        <v>106</v>
      </c>
      <c r="L1046" s="56" t="s">
        <v>453</v>
      </c>
      <c r="M1046" s="20" t="s">
        <v>112</v>
      </c>
      <c r="N1046" s="19"/>
      <c r="O1046" s="19" t="str">
        <f t="shared" si="32"/>
        <v>20</v>
      </c>
      <c r="P1046" s="64">
        <f t="shared" si="33"/>
        <v>42571</v>
      </c>
    </row>
    <row r="1047" spans="1:16" x14ac:dyDescent="0.25">
      <c r="A1047" s="26">
        <v>42571.699675925927</v>
      </c>
      <c r="B1047" s="51" t="s">
        <v>133</v>
      </c>
      <c r="C1047" s="4" t="s">
        <v>1349</v>
      </c>
      <c r="D1047" s="4" t="s">
        <v>116</v>
      </c>
      <c r="E1047" s="51" t="s">
        <v>115</v>
      </c>
      <c r="F1047" s="3">
        <v>600</v>
      </c>
      <c r="G1047" s="3">
        <v>650</v>
      </c>
      <c r="H1047" s="3">
        <v>189419</v>
      </c>
      <c r="I1047" s="51" t="s">
        <v>105</v>
      </c>
      <c r="J1047" s="3">
        <v>183829</v>
      </c>
      <c r="K1047" s="4" t="s">
        <v>111</v>
      </c>
      <c r="L1047" s="56" t="s">
        <v>480</v>
      </c>
      <c r="M1047" s="20" t="s">
        <v>112</v>
      </c>
      <c r="N1047" s="19"/>
      <c r="O1047" s="19" t="str">
        <f t="shared" si="32"/>
        <v>20</v>
      </c>
      <c r="P1047" s="64">
        <f t="shared" si="33"/>
        <v>42571</v>
      </c>
    </row>
    <row r="1048" spans="1:16" x14ac:dyDescent="0.25">
      <c r="A1048" s="26">
        <v>42571.428379629629</v>
      </c>
      <c r="B1048" s="51" t="s">
        <v>138</v>
      </c>
      <c r="C1048" s="4" t="s">
        <v>194</v>
      </c>
      <c r="D1048" s="4" t="s">
        <v>116</v>
      </c>
      <c r="E1048" s="51" t="s">
        <v>122</v>
      </c>
      <c r="F1048" s="3">
        <v>200</v>
      </c>
      <c r="G1048" s="3">
        <v>251</v>
      </c>
      <c r="H1048" s="3">
        <v>69909</v>
      </c>
      <c r="I1048" s="51" t="s">
        <v>123</v>
      </c>
      <c r="J1048" s="3">
        <v>68372</v>
      </c>
      <c r="K1048" s="4" t="s">
        <v>111</v>
      </c>
      <c r="L1048" s="56" t="s">
        <v>444</v>
      </c>
      <c r="M1048" s="20" t="s">
        <v>112</v>
      </c>
      <c r="N1048" s="19" t="s">
        <v>175</v>
      </c>
      <c r="O1048" s="19" t="str">
        <f t="shared" si="32"/>
        <v>20</v>
      </c>
      <c r="P1048" s="64">
        <f t="shared" si="33"/>
        <v>42571</v>
      </c>
    </row>
    <row r="1049" spans="1:16" x14ac:dyDescent="0.25">
      <c r="A1049" s="26">
        <v>42571.597893518519</v>
      </c>
      <c r="B1049" s="51" t="s">
        <v>165</v>
      </c>
      <c r="C1049" s="4" t="s">
        <v>1350</v>
      </c>
      <c r="D1049" s="4" t="s">
        <v>103</v>
      </c>
      <c r="E1049" s="51" t="s">
        <v>122</v>
      </c>
      <c r="F1049" s="3">
        <v>0</v>
      </c>
      <c r="G1049" s="3">
        <v>722</v>
      </c>
      <c r="H1049" s="3">
        <v>78932</v>
      </c>
      <c r="I1049" s="51" t="s">
        <v>123</v>
      </c>
      <c r="J1049" s="3">
        <v>81738</v>
      </c>
      <c r="K1049" s="4" t="s">
        <v>111</v>
      </c>
      <c r="L1049" s="56" t="s">
        <v>404</v>
      </c>
      <c r="M1049" s="20" t="s">
        <v>107</v>
      </c>
      <c r="N1049" s="19" t="s">
        <v>52</v>
      </c>
      <c r="O1049" s="19" t="str">
        <f t="shared" si="32"/>
        <v>20</v>
      </c>
      <c r="P1049" s="64">
        <f t="shared" si="33"/>
        <v>42571</v>
      </c>
    </row>
    <row r="1050" spans="1:16" x14ac:dyDescent="0.25">
      <c r="A1050" s="26">
        <v>42571.678159722222</v>
      </c>
      <c r="B1050" s="51" t="s">
        <v>165</v>
      </c>
      <c r="C1050" s="4" t="s">
        <v>532</v>
      </c>
      <c r="D1050" s="4" t="s">
        <v>116</v>
      </c>
      <c r="E1050" s="51" t="s">
        <v>122</v>
      </c>
      <c r="F1050" s="3">
        <v>200</v>
      </c>
      <c r="G1050" s="3">
        <v>276</v>
      </c>
      <c r="H1050" s="3">
        <v>128990</v>
      </c>
      <c r="I1050" s="51" t="s">
        <v>123</v>
      </c>
      <c r="J1050" s="3">
        <v>126585</v>
      </c>
      <c r="K1050" s="4" t="s">
        <v>111</v>
      </c>
      <c r="L1050" s="56" t="s">
        <v>404</v>
      </c>
      <c r="M1050" s="20" t="s">
        <v>112</v>
      </c>
      <c r="N1050" s="19" t="s">
        <v>175</v>
      </c>
      <c r="O1050" s="19" t="str">
        <f t="shared" si="32"/>
        <v>20</v>
      </c>
      <c r="P1050" s="64">
        <f t="shared" si="33"/>
        <v>42571</v>
      </c>
    </row>
    <row r="1051" spans="1:16" x14ac:dyDescent="0.25">
      <c r="A1051" s="26">
        <v>42571.422847222224</v>
      </c>
      <c r="B1051" s="51" t="s">
        <v>143</v>
      </c>
      <c r="C1051" s="4" t="s">
        <v>334</v>
      </c>
      <c r="D1051" s="4" t="s">
        <v>103</v>
      </c>
      <c r="E1051" s="51" t="s">
        <v>122</v>
      </c>
      <c r="F1051" s="3">
        <v>0</v>
      </c>
      <c r="G1051" s="3">
        <v>447</v>
      </c>
      <c r="H1051" s="3">
        <v>129656</v>
      </c>
      <c r="I1051" s="51" t="s">
        <v>123</v>
      </c>
      <c r="J1051" s="3">
        <v>127587</v>
      </c>
      <c r="K1051" s="4" t="s">
        <v>106</v>
      </c>
      <c r="L1051" s="56" t="s">
        <v>418</v>
      </c>
      <c r="M1051" s="20" t="s">
        <v>107</v>
      </c>
      <c r="N1051" s="19" t="s">
        <v>52</v>
      </c>
      <c r="O1051" s="19" t="str">
        <f t="shared" si="32"/>
        <v>20</v>
      </c>
      <c r="P1051" s="64">
        <f t="shared" si="33"/>
        <v>42571</v>
      </c>
    </row>
    <row r="1052" spans="1:16" x14ac:dyDescent="0.25">
      <c r="A1052" s="26">
        <v>42571.30265046296</v>
      </c>
      <c r="B1052" s="51" t="s">
        <v>142</v>
      </c>
      <c r="C1052" s="4" t="s">
        <v>1351</v>
      </c>
      <c r="D1052" s="4" t="s">
        <v>103</v>
      </c>
      <c r="E1052" s="51" t="s">
        <v>127</v>
      </c>
      <c r="F1052" s="3">
        <v>0</v>
      </c>
      <c r="G1052" s="3">
        <v>348</v>
      </c>
      <c r="H1052" s="3">
        <v>65693</v>
      </c>
      <c r="I1052" s="51" t="s">
        <v>128</v>
      </c>
      <c r="J1052" s="3">
        <v>68372</v>
      </c>
      <c r="K1052" s="4" t="s">
        <v>111</v>
      </c>
      <c r="L1052" s="56" t="s">
        <v>428</v>
      </c>
      <c r="M1052" s="20" t="s">
        <v>107</v>
      </c>
      <c r="N1052" s="19" t="s">
        <v>52</v>
      </c>
      <c r="O1052" s="19" t="str">
        <f t="shared" si="32"/>
        <v>20</v>
      </c>
      <c r="P1052" s="64">
        <f t="shared" si="33"/>
        <v>42571</v>
      </c>
    </row>
    <row r="1053" spans="1:16" x14ac:dyDescent="0.25">
      <c r="A1053" s="26">
        <v>42571.980844907404</v>
      </c>
      <c r="B1053" s="51" t="s">
        <v>114</v>
      </c>
      <c r="C1053" s="4" t="s">
        <v>535</v>
      </c>
      <c r="D1053" s="4" t="s">
        <v>103</v>
      </c>
      <c r="E1053" s="51" t="s">
        <v>127</v>
      </c>
      <c r="F1053" s="3">
        <v>0</v>
      </c>
      <c r="G1053" s="3">
        <v>719</v>
      </c>
      <c r="H1053" s="3">
        <v>215374</v>
      </c>
      <c r="I1053" s="51" t="s">
        <v>128</v>
      </c>
      <c r="J1053" s="3">
        <v>217106</v>
      </c>
      <c r="K1053" s="4" t="s">
        <v>111</v>
      </c>
      <c r="L1053" s="56" t="s">
        <v>459</v>
      </c>
      <c r="M1053" s="20" t="s">
        <v>107</v>
      </c>
      <c r="N1053" s="19" t="s">
        <v>52</v>
      </c>
      <c r="O1053" s="19" t="str">
        <f t="shared" si="32"/>
        <v>20</v>
      </c>
      <c r="P1053" s="64">
        <f t="shared" si="33"/>
        <v>42571</v>
      </c>
    </row>
    <row r="1054" spans="1:16" x14ac:dyDescent="0.25">
      <c r="A1054" s="26">
        <v>42571.304490740738</v>
      </c>
      <c r="B1054" s="51" t="s">
        <v>117</v>
      </c>
      <c r="C1054" s="4" t="s">
        <v>1352</v>
      </c>
      <c r="D1054" s="4" t="s">
        <v>103</v>
      </c>
      <c r="E1054" s="51" t="s">
        <v>129</v>
      </c>
      <c r="F1054" s="3">
        <v>0</v>
      </c>
      <c r="G1054" s="3">
        <v>42</v>
      </c>
      <c r="H1054" s="3">
        <v>143</v>
      </c>
      <c r="I1054" s="51" t="s">
        <v>130</v>
      </c>
      <c r="J1054" s="3">
        <v>1</v>
      </c>
      <c r="K1054" s="4" t="s">
        <v>106</v>
      </c>
      <c r="L1054" s="56" t="s">
        <v>400</v>
      </c>
      <c r="M1054" s="20" t="s">
        <v>112</v>
      </c>
      <c r="N1054" s="19"/>
      <c r="O1054" s="19" t="str">
        <f t="shared" si="32"/>
        <v>20</v>
      </c>
      <c r="P1054" s="64">
        <f t="shared" si="33"/>
        <v>42571</v>
      </c>
    </row>
    <row r="1055" spans="1:16" x14ac:dyDescent="0.25">
      <c r="A1055" s="26">
        <v>42571.679108796299</v>
      </c>
      <c r="B1055" s="51" t="s">
        <v>117</v>
      </c>
      <c r="C1055" s="4" t="s">
        <v>337</v>
      </c>
      <c r="D1055" s="4" t="s">
        <v>103</v>
      </c>
      <c r="E1055" s="51" t="s">
        <v>129</v>
      </c>
      <c r="F1055" s="3">
        <v>0</v>
      </c>
      <c r="G1055" s="3">
        <v>38</v>
      </c>
      <c r="H1055" s="3">
        <v>116</v>
      </c>
      <c r="I1055" s="51" t="s">
        <v>130</v>
      </c>
      <c r="J1055" s="3">
        <v>1</v>
      </c>
      <c r="K1055" s="4" t="s">
        <v>106</v>
      </c>
      <c r="L1055" s="56" t="s">
        <v>558</v>
      </c>
      <c r="M1055" s="20" t="s">
        <v>112</v>
      </c>
      <c r="N1055" s="19"/>
      <c r="O1055" s="19" t="str">
        <f t="shared" si="32"/>
        <v>20</v>
      </c>
      <c r="P1055" s="64">
        <f t="shared" si="33"/>
        <v>42571</v>
      </c>
    </row>
    <row r="1056" spans="1:16" x14ac:dyDescent="0.25">
      <c r="A1056" s="26">
        <v>42571.18109953704</v>
      </c>
      <c r="B1056" s="51" t="s">
        <v>135</v>
      </c>
      <c r="C1056" s="4" t="s">
        <v>1353</v>
      </c>
      <c r="D1056" s="4" t="s">
        <v>103</v>
      </c>
      <c r="E1056" s="51" t="s">
        <v>129</v>
      </c>
      <c r="F1056" s="3">
        <v>0</v>
      </c>
      <c r="G1056" s="3">
        <v>49</v>
      </c>
      <c r="H1056" s="3">
        <v>233291</v>
      </c>
      <c r="I1056" s="51" t="s">
        <v>130</v>
      </c>
      <c r="J1056" s="3">
        <v>233491</v>
      </c>
      <c r="K1056" s="4" t="s">
        <v>111</v>
      </c>
      <c r="L1056" s="56" t="s">
        <v>400</v>
      </c>
      <c r="M1056" s="20" t="s">
        <v>112</v>
      </c>
      <c r="N1056" s="19"/>
      <c r="O1056" s="19" t="str">
        <f t="shared" si="32"/>
        <v>20</v>
      </c>
      <c r="P1056" s="64">
        <f t="shared" si="33"/>
        <v>42571</v>
      </c>
    </row>
    <row r="1057" spans="1:16" x14ac:dyDescent="0.25">
      <c r="A1057" s="26">
        <v>42571.222928240742</v>
      </c>
      <c r="B1057" s="51" t="s">
        <v>114</v>
      </c>
      <c r="C1057" s="4" t="s">
        <v>1354</v>
      </c>
      <c r="D1057" s="4" t="s">
        <v>103</v>
      </c>
      <c r="E1057" s="51" t="s">
        <v>129</v>
      </c>
      <c r="F1057" s="3">
        <v>0</v>
      </c>
      <c r="G1057" s="3">
        <v>19</v>
      </c>
      <c r="H1057" s="3">
        <v>233462</v>
      </c>
      <c r="I1057" s="51" t="s">
        <v>130</v>
      </c>
      <c r="J1057" s="3">
        <v>233491</v>
      </c>
      <c r="K1057" s="4" t="s">
        <v>111</v>
      </c>
      <c r="L1057" s="56" t="s">
        <v>490</v>
      </c>
      <c r="M1057" s="20" t="s">
        <v>112</v>
      </c>
      <c r="N1057" s="19"/>
      <c r="O1057" s="19" t="str">
        <f t="shared" si="32"/>
        <v>20</v>
      </c>
      <c r="P1057" s="64">
        <f t="shared" si="33"/>
        <v>42571</v>
      </c>
    </row>
    <row r="1058" spans="1:16" x14ac:dyDescent="0.25">
      <c r="A1058" s="26">
        <v>42571.446226851855</v>
      </c>
      <c r="B1058" s="51" t="s">
        <v>138</v>
      </c>
      <c r="C1058" s="4" t="s">
        <v>194</v>
      </c>
      <c r="D1058" s="4" t="s">
        <v>103</v>
      </c>
      <c r="E1058" s="51" t="s">
        <v>129</v>
      </c>
      <c r="F1058" s="3">
        <v>0</v>
      </c>
      <c r="G1058" s="3">
        <v>90</v>
      </c>
      <c r="H1058" s="3">
        <v>233138</v>
      </c>
      <c r="I1058" s="51" t="s">
        <v>130</v>
      </c>
      <c r="J1058" s="3">
        <v>233491</v>
      </c>
      <c r="K1058" s="4" t="s">
        <v>111</v>
      </c>
      <c r="L1058" s="56" t="s">
        <v>444</v>
      </c>
      <c r="M1058" s="20" t="s">
        <v>112</v>
      </c>
      <c r="N1058" s="19"/>
      <c r="O1058" s="19" t="str">
        <f t="shared" si="32"/>
        <v>20</v>
      </c>
      <c r="P1058" s="64">
        <f t="shared" si="33"/>
        <v>42571</v>
      </c>
    </row>
    <row r="1059" spans="1:16" x14ac:dyDescent="0.25">
      <c r="A1059" s="26">
        <v>42571.599953703706</v>
      </c>
      <c r="B1059" s="51" t="s">
        <v>114</v>
      </c>
      <c r="C1059" s="4" t="s">
        <v>1355</v>
      </c>
      <c r="D1059" s="4" t="s">
        <v>103</v>
      </c>
      <c r="E1059" s="51" t="s">
        <v>129</v>
      </c>
      <c r="F1059" s="3">
        <v>0</v>
      </c>
      <c r="G1059" s="3">
        <v>68</v>
      </c>
      <c r="H1059" s="3">
        <v>233226</v>
      </c>
      <c r="I1059" s="51" t="s">
        <v>130</v>
      </c>
      <c r="J1059" s="3">
        <v>233491</v>
      </c>
      <c r="K1059" s="4" t="s">
        <v>111</v>
      </c>
      <c r="L1059" s="56" t="s">
        <v>468</v>
      </c>
      <c r="M1059" s="20" t="s">
        <v>112</v>
      </c>
      <c r="N1059" s="19"/>
      <c r="O1059" s="19" t="str">
        <f t="shared" si="32"/>
        <v>20</v>
      </c>
      <c r="P1059" s="64">
        <f t="shared" si="33"/>
        <v>42571</v>
      </c>
    </row>
    <row r="1060" spans="1:16" x14ac:dyDescent="0.25">
      <c r="A1060" s="26">
        <v>42571.651435185187</v>
      </c>
      <c r="B1060" s="51" t="s">
        <v>135</v>
      </c>
      <c r="C1060" s="4" t="s">
        <v>336</v>
      </c>
      <c r="D1060" s="4" t="s">
        <v>103</v>
      </c>
      <c r="E1060" s="51" t="s">
        <v>129</v>
      </c>
      <c r="F1060" s="3">
        <v>0</v>
      </c>
      <c r="G1060" s="3">
        <v>53</v>
      </c>
      <c r="H1060" s="3">
        <v>233268</v>
      </c>
      <c r="I1060" s="51" t="s">
        <v>130</v>
      </c>
      <c r="J1060" s="3">
        <v>233491</v>
      </c>
      <c r="K1060" s="4" t="s">
        <v>111</v>
      </c>
      <c r="L1060" s="56" t="s">
        <v>407</v>
      </c>
      <c r="M1060" s="20" t="s">
        <v>112</v>
      </c>
      <c r="N1060" s="19"/>
      <c r="O1060" s="19" t="str">
        <f t="shared" si="32"/>
        <v>20</v>
      </c>
      <c r="P1060" s="64">
        <f t="shared" si="33"/>
        <v>42571</v>
      </c>
    </row>
    <row r="1061" spans="1:16" x14ac:dyDescent="0.25">
      <c r="A1061" s="26">
        <v>42571.706643518519</v>
      </c>
      <c r="B1061" s="51" t="s">
        <v>120</v>
      </c>
      <c r="C1061" s="4" t="s">
        <v>533</v>
      </c>
      <c r="D1061" s="4" t="s">
        <v>103</v>
      </c>
      <c r="E1061" s="51" t="s">
        <v>191</v>
      </c>
      <c r="F1061" s="3">
        <v>690</v>
      </c>
      <c r="G1061" s="3">
        <v>728</v>
      </c>
      <c r="H1061" s="3">
        <v>47053</v>
      </c>
      <c r="I1061" s="51" t="s">
        <v>172</v>
      </c>
      <c r="J1061" s="3">
        <v>47866</v>
      </c>
      <c r="K1061" s="4" t="s">
        <v>111</v>
      </c>
      <c r="L1061" s="56" t="s">
        <v>420</v>
      </c>
      <c r="M1061" s="20" t="s">
        <v>107</v>
      </c>
      <c r="N1061" s="19" t="s">
        <v>52</v>
      </c>
      <c r="O1061" s="19" t="str">
        <f t="shared" si="32"/>
        <v>20</v>
      </c>
      <c r="P1061" s="64">
        <f t="shared" si="33"/>
        <v>42571</v>
      </c>
    </row>
    <row r="1062" spans="1:16" x14ac:dyDescent="0.25">
      <c r="A1062" s="26">
        <v>42572.623807870368</v>
      </c>
      <c r="B1062" s="51" t="s">
        <v>119</v>
      </c>
      <c r="C1062" s="4" t="s">
        <v>1356</v>
      </c>
      <c r="D1062" s="4" t="s">
        <v>103</v>
      </c>
      <c r="E1062" s="51" t="s">
        <v>109</v>
      </c>
      <c r="F1062" s="3">
        <v>0</v>
      </c>
      <c r="G1062" s="3">
        <v>79</v>
      </c>
      <c r="H1062" s="3">
        <v>26482</v>
      </c>
      <c r="I1062" s="51" t="s">
        <v>110</v>
      </c>
      <c r="J1062" s="3">
        <v>27052</v>
      </c>
      <c r="K1062" s="4" t="s">
        <v>111</v>
      </c>
      <c r="L1062" s="56" t="s">
        <v>425</v>
      </c>
      <c r="M1062" s="20" t="s">
        <v>112</v>
      </c>
      <c r="N1062" s="19" t="s">
        <v>186</v>
      </c>
      <c r="O1062" s="19" t="str">
        <f t="shared" si="32"/>
        <v>21</v>
      </c>
      <c r="P1062" s="64">
        <f t="shared" si="33"/>
        <v>42572</v>
      </c>
    </row>
    <row r="1063" spans="1:16" x14ac:dyDescent="0.25">
      <c r="A1063" s="26">
        <v>42572.625694444447</v>
      </c>
      <c r="B1063" s="51" t="s">
        <v>119</v>
      </c>
      <c r="C1063" s="4" t="s">
        <v>1356</v>
      </c>
      <c r="D1063" s="4" t="s">
        <v>116</v>
      </c>
      <c r="E1063" s="51" t="s">
        <v>109</v>
      </c>
      <c r="F1063" s="3">
        <v>0</v>
      </c>
      <c r="G1063" s="3">
        <v>16</v>
      </c>
      <c r="H1063" s="3">
        <v>27066</v>
      </c>
      <c r="I1063" s="51" t="s">
        <v>110</v>
      </c>
      <c r="J1063" s="3">
        <v>27052</v>
      </c>
      <c r="K1063" s="4" t="s">
        <v>111</v>
      </c>
      <c r="L1063" s="56" t="s">
        <v>425</v>
      </c>
      <c r="M1063" s="20" t="s">
        <v>112</v>
      </c>
      <c r="N1063" s="19" t="s">
        <v>186</v>
      </c>
      <c r="O1063" s="19" t="str">
        <f t="shared" si="32"/>
        <v>21</v>
      </c>
      <c r="P1063" s="64">
        <f t="shared" si="33"/>
        <v>42572</v>
      </c>
    </row>
    <row r="1064" spans="1:16" x14ac:dyDescent="0.25">
      <c r="A1064" s="26">
        <v>42572.596643518518</v>
      </c>
      <c r="B1064" s="51" t="s">
        <v>136</v>
      </c>
      <c r="C1064" s="4" t="s">
        <v>339</v>
      </c>
      <c r="D1064" s="4" t="s">
        <v>103</v>
      </c>
      <c r="E1064" s="51" t="s">
        <v>109</v>
      </c>
      <c r="F1064" s="3">
        <v>0</v>
      </c>
      <c r="G1064" s="3">
        <v>37</v>
      </c>
      <c r="H1064" s="3">
        <v>27448</v>
      </c>
      <c r="I1064" s="51" t="s">
        <v>110</v>
      </c>
      <c r="J1064" s="3">
        <v>27350</v>
      </c>
      <c r="K1064" s="4" t="s">
        <v>106</v>
      </c>
      <c r="L1064" s="56" t="s">
        <v>552</v>
      </c>
      <c r="M1064" s="20" t="s">
        <v>112</v>
      </c>
      <c r="N1064" s="19" t="s">
        <v>186</v>
      </c>
      <c r="O1064" s="19" t="str">
        <f t="shared" si="32"/>
        <v>21</v>
      </c>
      <c r="P1064" s="64">
        <f t="shared" si="33"/>
        <v>42572</v>
      </c>
    </row>
    <row r="1065" spans="1:16" x14ac:dyDescent="0.25">
      <c r="A1065" s="26">
        <v>42572.633946759262</v>
      </c>
      <c r="B1065" s="51" t="s">
        <v>119</v>
      </c>
      <c r="C1065" s="4" t="s">
        <v>1356</v>
      </c>
      <c r="D1065" s="4" t="s">
        <v>103</v>
      </c>
      <c r="E1065" s="51" t="s">
        <v>109</v>
      </c>
      <c r="F1065" s="3">
        <v>0</v>
      </c>
      <c r="G1065" s="3">
        <v>86</v>
      </c>
      <c r="H1065" s="3">
        <v>108171</v>
      </c>
      <c r="I1065" s="51" t="s">
        <v>110</v>
      </c>
      <c r="J1065" s="3">
        <v>108954</v>
      </c>
      <c r="K1065" s="4" t="s">
        <v>111</v>
      </c>
      <c r="L1065" s="56" t="s">
        <v>425</v>
      </c>
      <c r="M1065" s="20" t="s">
        <v>112</v>
      </c>
      <c r="N1065" s="19" t="s">
        <v>186</v>
      </c>
      <c r="O1065" s="19" t="str">
        <f t="shared" si="32"/>
        <v>21</v>
      </c>
      <c r="P1065" s="64">
        <f t="shared" si="33"/>
        <v>42572</v>
      </c>
    </row>
    <row r="1066" spans="1:16" x14ac:dyDescent="0.25">
      <c r="A1066" s="26">
        <v>42572.636365740742</v>
      </c>
      <c r="B1066" s="51" t="s">
        <v>119</v>
      </c>
      <c r="C1066" s="4" t="s">
        <v>1356</v>
      </c>
      <c r="D1066" s="4" t="s">
        <v>116</v>
      </c>
      <c r="E1066" s="51" t="s">
        <v>109</v>
      </c>
      <c r="F1066" s="3">
        <v>0</v>
      </c>
      <c r="G1066" s="3">
        <v>10</v>
      </c>
      <c r="H1066" s="3">
        <v>108963</v>
      </c>
      <c r="I1066" s="51" t="s">
        <v>110</v>
      </c>
      <c r="J1066" s="3">
        <v>108954</v>
      </c>
      <c r="K1066" s="4" t="s">
        <v>111</v>
      </c>
      <c r="L1066" s="56" t="s">
        <v>425</v>
      </c>
      <c r="M1066" s="20" t="s">
        <v>112</v>
      </c>
      <c r="N1066" s="19" t="s">
        <v>186</v>
      </c>
      <c r="O1066" s="19" t="str">
        <f t="shared" si="32"/>
        <v>21</v>
      </c>
      <c r="P1066" s="64">
        <f t="shared" si="33"/>
        <v>42572</v>
      </c>
    </row>
    <row r="1067" spans="1:16" x14ac:dyDescent="0.25">
      <c r="A1067" s="26">
        <v>42572.585590277777</v>
      </c>
      <c r="B1067" s="51" t="s">
        <v>136</v>
      </c>
      <c r="C1067" s="4" t="s">
        <v>339</v>
      </c>
      <c r="D1067" s="4" t="s">
        <v>103</v>
      </c>
      <c r="E1067" s="51" t="s">
        <v>109</v>
      </c>
      <c r="F1067" s="3">
        <v>0</v>
      </c>
      <c r="G1067" s="3">
        <v>59</v>
      </c>
      <c r="H1067" s="3">
        <v>109228</v>
      </c>
      <c r="I1067" s="51" t="s">
        <v>110</v>
      </c>
      <c r="J1067" s="3">
        <v>109135</v>
      </c>
      <c r="K1067" s="4" t="s">
        <v>106</v>
      </c>
      <c r="L1067" s="56" t="s">
        <v>552</v>
      </c>
      <c r="M1067" s="20" t="s">
        <v>112</v>
      </c>
      <c r="N1067" s="19" t="s">
        <v>186</v>
      </c>
      <c r="O1067" s="19" t="str">
        <f t="shared" si="32"/>
        <v>21</v>
      </c>
      <c r="P1067" s="64">
        <f t="shared" si="33"/>
        <v>42572</v>
      </c>
    </row>
    <row r="1068" spans="1:16" x14ac:dyDescent="0.25">
      <c r="A1068" s="26">
        <v>42572.638611111113</v>
      </c>
      <c r="B1068" s="51" t="s">
        <v>143</v>
      </c>
      <c r="C1068" s="4" t="s">
        <v>1357</v>
      </c>
      <c r="D1068" s="4" t="s">
        <v>103</v>
      </c>
      <c r="E1068" s="51" t="s">
        <v>109</v>
      </c>
      <c r="F1068" s="3">
        <v>0</v>
      </c>
      <c r="G1068" s="3">
        <v>334</v>
      </c>
      <c r="H1068" s="3">
        <v>110653</v>
      </c>
      <c r="I1068" s="51" t="s">
        <v>110</v>
      </c>
      <c r="J1068" s="3">
        <v>109135</v>
      </c>
      <c r="K1068" s="4" t="s">
        <v>106</v>
      </c>
      <c r="L1068" s="56" t="s">
        <v>413</v>
      </c>
      <c r="M1068" s="20" t="s">
        <v>112</v>
      </c>
      <c r="N1068" s="19" t="s">
        <v>186</v>
      </c>
      <c r="O1068" s="19" t="str">
        <f t="shared" si="32"/>
        <v>21</v>
      </c>
      <c r="P1068" s="64">
        <f t="shared" si="33"/>
        <v>42572</v>
      </c>
    </row>
    <row r="1069" spans="1:16" x14ac:dyDescent="0.25">
      <c r="A1069" s="26">
        <v>42572.645798611113</v>
      </c>
      <c r="B1069" s="51" t="s">
        <v>164</v>
      </c>
      <c r="C1069" s="4" t="s">
        <v>1358</v>
      </c>
      <c r="D1069" s="4" t="s">
        <v>103</v>
      </c>
      <c r="E1069" s="51" t="s">
        <v>109</v>
      </c>
      <c r="F1069" s="3">
        <v>0</v>
      </c>
      <c r="G1069" s="3">
        <v>195</v>
      </c>
      <c r="H1069" s="3">
        <v>110262</v>
      </c>
      <c r="I1069" s="51" t="s">
        <v>110</v>
      </c>
      <c r="J1069" s="3">
        <v>109135</v>
      </c>
      <c r="K1069" s="4" t="s">
        <v>106</v>
      </c>
      <c r="L1069" s="56" t="s">
        <v>480</v>
      </c>
      <c r="M1069" s="20" t="s">
        <v>112</v>
      </c>
      <c r="N1069" s="19" t="s">
        <v>186</v>
      </c>
      <c r="O1069" s="19" t="str">
        <f t="shared" si="32"/>
        <v>21</v>
      </c>
      <c r="P1069" s="64">
        <f t="shared" si="33"/>
        <v>42572</v>
      </c>
    </row>
    <row r="1070" spans="1:16" x14ac:dyDescent="0.25">
      <c r="A1070" s="26">
        <v>42572.657395833332</v>
      </c>
      <c r="B1070" s="51" t="s">
        <v>136</v>
      </c>
      <c r="C1070" s="4" t="s">
        <v>1359</v>
      </c>
      <c r="D1070" s="4" t="s">
        <v>103</v>
      </c>
      <c r="E1070" s="51" t="s">
        <v>109</v>
      </c>
      <c r="F1070" s="3">
        <v>0</v>
      </c>
      <c r="G1070" s="3">
        <v>91</v>
      </c>
      <c r="H1070" s="3">
        <v>109295</v>
      </c>
      <c r="I1070" s="51" t="s">
        <v>110</v>
      </c>
      <c r="J1070" s="3">
        <v>109135</v>
      </c>
      <c r="K1070" s="4" t="s">
        <v>106</v>
      </c>
      <c r="L1070" s="56" t="s">
        <v>552</v>
      </c>
      <c r="M1070" s="20" t="s">
        <v>112</v>
      </c>
      <c r="N1070" s="19" t="s">
        <v>186</v>
      </c>
      <c r="O1070" s="19" t="str">
        <f t="shared" si="32"/>
        <v>21</v>
      </c>
      <c r="P1070" s="64">
        <f t="shared" si="33"/>
        <v>42572</v>
      </c>
    </row>
    <row r="1071" spans="1:16" x14ac:dyDescent="0.25">
      <c r="A1071" s="26">
        <v>42572.67869212963</v>
      </c>
      <c r="B1071" s="51" t="s">
        <v>147</v>
      </c>
      <c r="C1071" s="4" t="s">
        <v>348</v>
      </c>
      <c r="D1071" s="4" t="s">
        <v>103</v>
      </c>
      <c r="E1071" s="51" t="s">
        <v>109</v>
      </c>
      <c r="F1071" s="3">
        <v>0</v>
      </c>
      <c r="G1071" s="3">
        <v>262</v>
      </c>
      <c r="H1071" s="3">
        <v>110311</v>
      </c>
      <c r="I1071" s="51" t="s">
        <v>110</v>
      </c>
      <c r="J1071" s="3">
        <v>109135</v>
      </c>
      <c r="K1071" s="4" t="s">
        <v>106</v>
      </c>
      <c r="L1071" s="56" t="s">
        <v>473</v>
      </c>
      <c r="M1071" s="20" t="s">
        <v>112</v>
      </c>
      <c r="N1071" s="19" t="s">
        <v>186</v>
      </c>
      <c r="O1071" s="19" t="str">
        <f t="shared" si="32"/>
        <v>21</v>
      </c>
      <c r="P1071" s="64">
        <f t="shared" si="33"/>
        <v>42572</v>
      </c>
    </row>
    <row r="1072" spans="1:16" x14ac:dyDescent="0.25">
      <c r="A1072" s="26">
        <v>42572.709641203706</v>
      </c>
      <c r="B1072" s="51" t="s">
        <v>143</v>
      </c>
      <c r="C1072" s="4" t="s">
        <v>1360</v>
      </c>
      <c r="D1072" s="4" t="s">
        <v>103</v>
      </c>
      <c r="E1072" s="51" t="s">
        <v>109</v>
      </c>
      <c r="F1072" s="3">
        <v>0</v>
      </c>
      <c r="G1072" s="3">
        <v>263</v>
      </c>
      <c r="H1072" s="3">
        <v>110267</v>
      </c>
      <c r="I1072" s="51" t="s">
        <v>110</v>
      </c>
      <c r="J1072" s="3">
        <v>109135</v>
      </c>
      <c r="K1072" s="4" t="s">
        <v>106</v>
      </c>
      <c r="L1072" s="56" t="s">
        <v>413</v>
      </c>
      <c r="M1072" s="20" t="s">
        <v>112</v>
      </c>
      <c r="N1072" s="19" t="s">
        <v>186</v>
      </c>
      <c r="O1072" s="19" t="str">
        <f t="shared" si="32"/>
        <v>21</v>
      </c>
      <c r="P1072" s="64">
        <f t="shared" si="33"/>
        <v>42572</v>
      </c>
    </row>
    <row r="1073" spans="1:16" x14ac:dyDescent="0.25">
      <c r="A1073" s="26">
        <v>42572.77443287037</v>
      </c>
      <c r="B1073" s="51" t="s">
        <v>119</v>
      </c>
      <c r="C1073" s="4" t="s">
        <v>1361</v>
      </c>
      <c r="D1073" s="4" t="s">
        <v>103</v>
      </c>
      <c r="E1073" s="51" t="s">
        <v>109</v>
      </c>
      <c r="F1073" s="3">
        <v>0</v>
      </c>
      <c r="G1073" s="3">
        <v>192</v>
      </c>
      <c r="H1073" s="3">
        <v>110259</v>
      </c>
      <c r="I1073" s="51" t="s">
        <v>110</v>
      </c>
      <c r="J1073" s="3">
        <v>109135</v>
      </c>
      <c r="K1073" s="4" t="s">
        <v>106</v>
      </c>
      <c r="L1073" s="56" t="s">
        <v>425</v>
      </c>
      <c r="M1073" s="20" t="s">
        <v>112</v>
      </c>
      <c r="N1073" s="19" t="s">
        <v>186</v>
      </c>
      <c r="O1073" s="19" t="str">
        <f t="shared" si="32"/>
        <v>21</v>
      </c>
      <c r="P1073" s="64">
        <f t="shared" si="33"/>
        <v>42572</v>
      </c>
    </row>
    <row r="1074" spans="1:16" x14ac:dyDescent="0.25">
      <c r="A1074" s="26">
        <v>42572.775821759256</v>
      </c>
      <c r="B1074" s="51" t="s">
        <v>119</v>
      </c>
      <c r="C1074" s="4" t="s">
        <v>1361</v>
      </c>
      <c r="D1074" s="4" t="s">
        <v>103</v>
      </c>
      <c r="E1074" s="51" t="s">
        <v>109</v>
      </c>
      <c r="F1074" s="3">
        <v>0</v>
      </c>
      <c r="G1074" s="3">
        <v>192</v>
      </c>
      <c r="H1074" s="3">
        <v>110259</v>
      </c>
      <c r="I1074" s="51" t="s">
        <v>110</v>
      </c>
      <c r="J1074" s="3">
        <v>109135</v>
      </c>
      <c r="K1074" s="4" t="s">
        <v>106</v>
      </c>
      <c r="L1074" s="56" t="s">
        <v>425</v>
      </c>
      <c r="M1074" s="20" t="s">
        <v>112</v>
      </c>
      <c r="N1074" s="19" t="s">
        <v>186</v>
      </c>
      <c r="O1074" s="19" t="str">
        <f t="shared" si="32"/>
        <v>21</v>
      </c>
      <c r="P1074" s="64">
        <f t="shared" si="33"/>
        <v>42572</v>
      </c>
    </row>
    <row r="1075" spans="1:16" x14ac:dyDescent="0.25">
      <c r="A1075" s="26">
        <v>42572.793287037035</v>
      </c>
      <c r="B1075" s="51" t="s">
        <v>134</v>
      </c>
      <c r="C1075" s="4" t="s">
        <v>342</v>
      </c>
      <c r="D1075" s="4" t="s">
        <v>103</v>
      </c>
      <c r="E1075" s="51" t="s">
        <v>109</v>
      </c>
      <c r="F1075" s="3">
        <v>0</v>
      </c>
      <c r="G1075" s="3">
        <v>172</v>
      </c>
      <c r="H1075" s="3">
        <v>110266</v>
      </c>
      <c r="I1075" s="51" t="s">
        <v>110</v>
      </c>
      <c r="J1075" s="3">
        <v>109135</v>
      </c>
      <c r="K1075" s="4" t="s">
        <v>106</v>
      </c>
      <c r="L1075" s="56" t="s">
        <v>504</v>
      </c>
      <c r="M1075" s="20" t="s">
        <v>112</v>
      </c>
      <c r="N1075" s="19" t="s">
        <v>186</v>
      </c>
      <c r="O1075" s="19" t="str">
        <f t="shared" si="32"/>
        <v>21</v>
      </c>
      <c r="P1075" s="64">
        <f t="shared" si="33"/>
        <v>42572</v>
      </c>
    </row>
    <row r="1076" spans="1:16" x14ac:dyDescent="0.25">
      <c r="A1076" s="26">
        <v>42572.920520833337</v>
      </c>
      <c r="B1076" s="51" t="s">
        <v>143</v>
      </c>
      <c r="C1076" s="4" t="s">
        <v>346</v>
      </c>
      <c r="D1076" s="4" t="s">
        <v>103</v>
      </c>
      <c r="E1076" s="51" t="s">
        <v>109</v>
      </c>
      <c r="F1076" s="3">
        <v>0</v>
      </c>
      <c r="G1076" s="3">
        <v>219</v>
      </c>
      <c r="H1076" s="3">
        <v>110459</v>
      </c>
      <c r="I1076" s="51" t="s">
        <v>110</v>
      </c>
      <c r="J1076" s="3">
        <v>109135</v>
      </c>
      <c r="K1076" s="4" t="s">
        <v>106</v>
      </c>
      <c r="L1076" s="56" t="s">
        <v>506</v>
      </c>
      <c r="M1076" s="20" t="s">
        <v>112</v>
      </c>
      <c r="N1076" s="19" t="s">
        <v>186</v>
      </c>
      <c r="O1076" s="19" t="str">
        <f t="shared" si="32"/>
        <v>21</v>
      </c>
      <c r="P1076" s="64">
        <f t="shared" si="33"/>
        <v>42572</v>
      </c>
    </row>
    <row r="1077" spans="1:16" x14ac:dyDescent="0.25">
      <c r="A1077" s="26">
        <v>42572.36478009259</v>
      </c>
      <c r="B1077" s="51" t="s">
        <v>164</v>
      </c>
      <c r="C1077" s="4" t="s">
        <v>347</v>
      </c>
      <c r="D1077" s="4" t="s">
        <v>103</v>
      </c>
      <c r="E1077" s="51" t="s">
        <v>115</v>
      </c>
      <c r="F1077" s="3">
        <v>150</v>
      </c>
      <c r="G1077" s="3">
        <v>188</v>
      </c>
      <c r="H1077" s="3">
        <v>4927</v>
      </c>
      <c r="I1077" s="51" t="s">
        <v>105</v>
      </c>
      <c r="J1077" s="3">
        <v>4677</v>
      </c>
      <c r="K1077" s="4" t="s">
        <v>106</v>
      </c>
      <c r="L1077" s="56" t="s">
        <v>418</v>
      </c>
      <c r="M1077" s="20" t="s">
        <v>112</v>
      </c>
      <c r="N1077" s="19"/>
      <c r="O1077" s="19" t="str">
        <f t="shared" si="32"/>
        <v>21</v>
      </c>
      <c r="P1077" s="64">
        <f t="shared" si="33"/>
        <v>42572</v>
      </c>
    </row>
    <row r="1078" spans="1:16" x14ac:dyDescent="0.25">
      <c r="A1078" s="26">
        <v>42572.376655092594</v>
      </c>
      <c r="B1078" s="51" t="s">
        <v>136</v>
      </c>
      <c r="C1078" s="4" t="s">
        <v>343</v>
      </c>
      <c r="D1078" s="4" t="s">
        <v>103</v>
      </c>
      <c r="E1078" s="51" t="s">
        <v>115</v>
      </c>
      <c r="F1078" s="3">
        <v>150</v>
      </c>
      <c r="G1078" s="3">
        <v>195</v>
      </c>
      <c r="H1078" s="3">
        <v>5049</v>
      </c>
      <c r="I1078" s="51" t="s">
        <v>105</v>
      </c>
      <c r="J1078" s="3">
        <v>4677</v>
      </c>
      <c r="K1078" s="4" t="s">
        <v>106</v>
      </c>
      <c r="L1078" s="56" t="s">
        <v>444</v>
      </c>
      <c r="M1078" s="20" t="s">
        <v>112</v>
      </c>
      <c r="N1078" s="19"/>
      <c r="O1078" s="19" t="str">
        <f t="shared" si="32"/>
        <v>21</v>
      </c>
      <c r="P1078" s="64">
        <f t="shared" si="33"/>
        <v>42572</v>
      </c>
    </row>
    <row r="1079" spans="1:16" x14ac:dyDescent="0.25">
      <c r="A1079" s="26">
        <v>42573.03230324074</v>
      </c>
      <c r="B1079" s="51" t="s">
        <v>119</v>
      </c>
      <c r="C1079" s="4" t="s">
        <v>1362</v>
      </c>
      <c r="D1079" s="4" t="s">
        <v>116</v>
      </c>
      <c r="E1079" s="51" t="s">
        <v>115</v>
      </c>
      <c r="F1079" s="3">
        <v>200</v>
      </c>
      <c r="G1079" s="3">
        <v>254</v>
      </c>
      <c r="H1079" s="3">
        <v>6168</v>
      </c>
      <c r="I1079" s="51" t="s">
        <v>105</v>
      </c>
      <c r="J1079" s="3">
        <v>4790</v>
      </c>
      <c r="K1079" s="4" t="s">
        <v>111</v>
      </c>
      <c r="L1079" s="56" t="s">
        <v>434</v>
      </c>
      <c r="M1079" s="20" t="s">
        <v>112</v>
      </c>
      <c r="N1079" s="19"/>
      <c r="O1079" s="19" t="str">
        <f t="shared" si="32"/>
        <v>21</v>
      </c>
      <c r="P1079" s="64">
        <f t="shared" si="33"/>
        <v>42572</v>
      </c>
    </row>
    <row r="1080" spans="1:16" x14ac:dyDescent="0.25">
      <c r="A1080" s="26">
        <v>42572.376516203702</v>
      </c>
      <c r="B1080" s="51" t="s">
        <v>117</v>
      </c>
      <c r="C1080" s="4" t="s">
        <v>1381</v>
      </c>
      <c r="D1080" s="4" t="s">
        <v>103</v>
      </c>
      <c r="E1080" s="51" t="s">
        <v>115</v>
      </c>
      <c r="F1080" s="3">
        <v>500</v>
      </c>
      <c r="G1080" s="3">
        <v>541</v>
      </c>
      <c r="H1080" s="3">
        <v>11678</v>
      </c>
      <c r="I1080" s="51" t="s">
        <v>105</v>
      </c>
      <c r="J1080" s="3">
        <v>11582</v>
      </c>
      <c r="K1080" s="4" t="s">
        <v>106</v>
      </c>
      <c r="L1080" s="56" t="s">
        <v>475</v>
      </c>
      <c r="M1080" s="20" t="s">
        <v>112</v>
      </c>
      <c r="N1080" s="19"/>
      <c r="O1080" s="19" t="str">
        <f t="shared" si="32"/>
        <v>21</v>
      </c>
      <c r="P1080" s="64">
        <f t="shared" si="33"/>
        <v>42572</v>
      </c>
    </row>
    <row r="1081" spans="1:16" x14ac:dyDescent="0.25">
      <c r="A1081" s="26">
        <v>42572.611435185187</v>
      </c>
      <c r="B1081" s="51" t="s">
        <v>117</v>
      </c>
      <c r="C1081" s="4" t="s">
        <v>1382</v>
      </c>
      <c r="D1081" s="4" t="s">
        <v>103</v>
      </c>
      <c r="E1081" s="51" t="s">
        <v>115</v>
      </c>
      <c r="F1081" s="3">
        <v>500</v>
      </c>
      <c r="G1081" s="3">
        <v>474</v>
      </c>
      <c r="H1081" s="3">
        <v>18604</v>
      </c>
      <c r="I1081" s="51" t="s">
        <v>105</v>
      </c>
      <c r="J1081" s="3">
        <v>16928</v>
      </c>
      <c r="K1081" s="4" t="s">
        <v>106</v>
      </c>
      <c r="L1081" s="56" t="s">
        <v>1383</v>
      </c>
      <c r="M1081" s="20" t="s">
        <v>112</v>
      </c>
      <c r="N1081" s="19"/>
      <c r="O1081" s="19" t="str">
        <f t="shared" si="32"/>
        <v>21</v>
      </c>
      <c r="P1081" s="64">
        <f t="shared" si="33"/>
        <v>42572</v>
      </c>
    </row>
    <row r="1082" spans="1:16" x14ac:dyDescent="0.25">
      <c r="A1082" s="26">
        <v>42572.631932870368</v>
      </c>
      <c r="B1082" s="51" t="s">
        <v>117</v>
      </c>
      <c r="C1082" s="4" t="s">
        <v>1382</v>
      </c>
      <c r="D1082" s="4" t="s">
        <v>103</v>
      </c>
      <c r="E1082" s="51" t="s">
        <v>115</v>
      </c>
      <c r="F1082" s="3">
        <v>500</v>
      </c>
      <c r="G1082" s="3">
        <v>476</v>
      </c>
      <c r="H1082" s="3">
        <v>18531</v>
      </c>
      <c r="I1082" s="51" t="s">
        <v>105</v>
      </c>
      <c r="J1082" s="3">
        <v>16928</v>
      </c>
      <c r="K1082" s="4" t="s">
        <v>106</v>
      </c>
      <c r="L1082" s="56" t="s">
        <v>1383</v>
      </c>
      <c r="M1082" s="20" t="s">
        <v>112</v>
      </c>
      <c r="N1082" s="19"/>
      <c r="O1082" s="19" t="str">
        <f t="shared" si="32"/>
        <v>21</v>
      </c>
      <c r="P1082" s="64">
        <f t="shared" si="33"/>
        <v>42572</v>
      </c>
    </row>
    <row r="1083" spans="1:16" x14ac:dyDescent="0.25">
      <c r="A1083" s="26">
        <v>42572.556018518517</v>
      </c>
      <c r="B1083" s="51" t="s">
        <v>148</v>
      </c>
      <c r="C1083" s="4" t="s">
        <v>1363</v>
      </c>
      <c r="D1083" s="4" t="s">
        <v>103</v>
      </c>
      <c r="E1083" s="51" t="s">
        <v>115</v>
      </c>
      <c r="F1083" s="3">
        <v>300</v>
      </c>
      <c r="G1083" s="3">
        <v>322</v>
      </c>
      <c r="H1083" s="3">
        <v>20319</v>
      </c>
      <c r="I1083" s="51" t="s">
        <v>105</v>
      </c>
      <c r="J1083" s="3">
        <v>20338</v>
      </c>
      <c r="K1083" s="4" t="s">
        <v>111</v>
      </c>
      <c r="L1083" s="56" t="s">
        <v>473</v>
      </c>
      <c r="M1083" s="20" t="s">
        <v>112</v>
      </c>
      <c r="N1083" s="19"/>
      <c r="O1083" s="19" t="str">
        <f t="shared" si="32"/>
        <v>21</v>
      </c>
      <c r="P1083" s="64">
        <f t="shared" si="33"/>
        <v>42572</v>
      </c>
    </row>
    <row r="1084" spans="1:16" x14ac:dyDescent="0.25">
      <c r="A1084" s="26">
        <v>42572.568518518521</v>
      </c>
      <c r="B1084" s="51" t="s">
        <v>126</v>
      </c>
      <c r="C1084" s="4" t="s">
        <v>1384</v>
      </c>
      <c r="D1084" s="4" t="s">
        <v>103</v>
      </c>
      <c r="E1084" s="51" t="s">
        <v>115</v>
      </c>
      <c r="F1084" s="3">
        <v>300</v>
      </c>
      <c r="G1084" s="3">
        <v>323</v>
      </c>
      <c r="H1084" s="3">
        <v>20208</v>
      </c>
      <c r="I1084" s="51" t="s">
        <v>105</v>
      </c>
      <c r="J1084" s="3">
        <v>21314</v>
      </c>
      <c r="K1084" s="4" t="s">
        <v>111</v>
      </c>
      <c r="L1084" s="56" t="s">
        <v>442</v>
      </c>
      <c r="M1084" s="20" t="s">
        <v>112</v>
      </c>
      <c r="N1084" s="19"/>
      <c r="O1084" s="19" t="str">
        <f t="shared" si="32"/>
        <v>21</v>
      </c>
      <c r="P1084" s="64">
        <f t="shared" si="33"/>
        <v>42572</v>
      </c>
    </row>
    <row r="1085" spans="1:16" x14ac:dyDescent="0.25">
      <c r="A1085" s="26">
        <v>42572.277638888889</v>
      </c>
      <c r="B1085" s="51" t="s">
        <v>143</v>
      </c>
      <c r="C1085" s="4" t="s">
        <v>1364</v>
      </c>
      <c r="D1085" s="4" t="s">
        <v>103</v>
      </c>
      <c r="E1085" s="51" t="s">
        <v>115</v>
      </c>
      <c r="F1085" s="3">
        <v>200</v>
      </c>
      <c r="G1085" s="3">
        <v>222</v>
      </c>
      <c r="H1085" s="3">
        <v>30606</v>
      </c>
      <c r="I1085" s="51" t="s">
        <v>105</v>
      </c>
      <c r="J1085" s="3">
        <v>30562</v>
      </c>
      <c r="K1085" s="4" t="s">
        <v>106</v>
      </c>
      <c r="L1085" s="56" t="s">
        <v>428</v>
      </c>
      <c r="M1085" s="20" t="s">
        <v>112</v>
      </c>
      <c r="N1085" s="19"/>
      <c r="O1085" s="19" t="str">
        <f t="shared" si="32"/>
        <v>21</v>
      </c>
      <c r="P1085" s="64">
        <f t="shared" si="33"/>
        <v>42572</v>
      </c>
    </row>
    <row r="1086" spans="1:16" x14ac:dyDescent="0.25">
      <c r="A1086" s="26">
        <v>42572.691759259258</v>
      </c>
      <c r="B1086" s="51" t="s">
        <v>126</v>
      </c>
      <c r="C1086" s="4" t="s">
        <v>1385</v>
      </c>
      <c r="D1086" s="4" t="s">
        <v>103</v>
      </c>
      <c r="E1086" s="51" t="s">
        <v>115</v>
      </c>
      <c r="F1086" s="3">
        <v>150</v>
      </c>
      <c r="G1086" s="3">
        <v>342</v>
      </c>
      <c r="H1086" s="3">
        <v>55983</v>
      </c>
      <c r="I1086" s="51" t="s">
        <v>105</v>
      </c>
      <c r="J1086" s="3">
        <v>57008</v>
      </c>
      <c r="K1086" s="4" t="s">
        <v>111</v>
      </c>
      <c r="L1086" s="56" t="s">
        <v>1383</v>
      </c>
      <c r="M1086" s="20" t="s">
        <v>112</v>
      </c>
      <c r="N1086" s="19"/>
      <c r="O1086" s="19" t="str">
        <f t="shared" si="32"/>
        <v>21</v>
      </c>
      <c r="P1086" s="64">
        <f t="shared" si="33"/>
        <v>42572</v>
      </c>
    </row>
    <row r="1087" spans="1:16" x14ac:dyDescent="0.25">
      <c r="A1087" s="26">
        <v>42572.691770833335</v>
      </c>
      <c r="B1087" s="51" t="s">
        <v>117</v>
      </c>
      <c r="C1087" s="4" t="s">
        <v>1382</v>
      </c>
      <c r="D1087" s="4" t="s">
        <v>103</v>
      </c>
      <c r="E1087" s="51" t="s">
        <v>115</v>
      </c>
      <c r="F1087" s="3">
        <v>150</v>
      </c>
      <c r="G1087" s="3">
        <v>342</v>
      </c>
      <c r="H1087" s="3">
        <v>56038</v>
      </c>
      <c r="I1087" s="51" t="s">
        <v>105</v>
      </c>
      <c r="J1087" s="3">
        <v>57008</v>
      </c>
      <c r="K1087" s="4" t="s">
        <v>111</v>
      </c>
      <c r="L1087" s="56" t="s">
        <v>1383</v>
      </c>
      <c r="M1087" s="20" t="s">
        <v>112</v>
      </c>
      <c r="N1087" s="19"/>
      <c r="O1087" s="19" t="str">
        <f t="shared" si="32"/>
        <v>21</v>
      </c>
      <c r="P1087" s="64">
        <f t="shared" si="33"/>
        <v>42572</v>
      </c>
    </row>
    <row r="1088" spans="1:16" x14ac:dyDescent="0.25">
      <c r="A1088" s="26">
        <v>42572.394259259258</v>
      </c>
      <c r="B1088" s="51" t="s">
        <v>165</v>
      </c>
      <c r="C1088" s="4" t="s">
        <v>1365</v>
      </c>
      <c r="D1088" s="4" t="s">
        <v>116</v>
      </c>
      <c r="E1088" s="51" t="s">
        <v>115</v>
      </c>
      <c r="F1088" s="3">
        <v>700</v>
      </c>
      <c r="G1088" s="3">
        <v>751</v>
      </c>
      <c r="H1088" s="3">
        <v>164058</v>
      </c>
      <c r="I1088" s="51" t="s">
        <v>105</v>
      </c>
      <c r="J1088" s="3">
        <v>161962</v>
      </c>
      <c r="K1088" s="4" t="s">
        <v>111</v>
      </c>
      <c r="L1088" s="56" t="s">
        <v>418</v>
      </c>
      <c r="M1088" s="20" t="s">
        <v>112</v>
      </c>
      <c r="N1088" s="19"/>
      <c r="O1088" s="19" t="str">
        <f t="shared" si="32"/>
        <v>21</v>
      </c>
      <c r="P1088" s="64">
        <f t="shared" si="33"/>
        <v>42572</v>
      </c>
    </row>
    <row r="1089" spans="1:16" x14ac:dyDescent="0.25">
      <c r="A1089" s="26">
        <v>42572.94390046296</v>
      </c>
      <c r="B1089" s="51" t="s">
        <v>133</v>
      </c>
      <c r="C1089" s="4" t="s">
        <v>1366</v>
      </c>
      <c r="D1089" s="4" t="s">
        <v>103</v>
      </c>
      <c r="E1089" s="51" t="s">
        <v>115</v>
      </c>
      <c r="F1089" s="3">
        <v>450</v>
      </c>
      <c r="G1089" s="3">
        <v>500</v>
      </c>
      <c r="H1089" s="3">
        <v>189952</v>
      </c>
      <c r="I1089" s="51" t="s">
        <v>105</v>
      </c>
      <c r="J1089" s="3">
        <v>190834</v>
      </c>
      <c r="K1089" s="4" t="s">
        <v>111</v>
      </c>
      <c r="L1089" s="56" t="s">
        <v>434</v>
      </c>
      <c r="M1089" s="20" t="s">
        <v>112</v>
      </c>
      <c r="N1089" s="19"/>
      <c r="O1089" s="19" t="str">
        <f t="shared" si="32"/>
        <v>21</v>
      </c>
      <c r="P1089" s="64">
        <f t="shared" si="33"/>
        <v>42572</v>
      </c>
    </row>
    <row r="1090" spans="1:16" x14ac:dyDescent="0.25">
      <c r="A1090" s="26">
        <v>42572.96125</v>
      </c>
      <c r="B1090" s="51" t="s">
        <v>119</v>
      </c>
      <c r="C1090" s="4" t="s">
        <v>1362</v>
      </c>
      <c r="D1090" s="4" t="s">
        <v>103</v>
      </c>
      <c r="E1090" s="51" t="s">
        <v>115</v>
      </c>
      <c r="F1090" s="3">
        <v>600</v>
      </c>
      <c r="G1090" s="3">
        <v>636</v>
      </c>
      <c r="H1090" s="3">
        <v>192374</v>
      </c>
      <c r="I1090" s="51" t="s">
        <v>105</v>
      </c>
      <c r="J1090" s="3">
        <v>191104</v>
      </c>
      <c r="K1090" s="4" t="s">
        <v>106</v>
      </c>
      <c r="L1090" s="56" t="s">
        <v>434</v>
      </c>
      <c r="M1090" s="20" t="s">
        <v>112</v>
      </c>
      <c r="N1090" s="19"/>
      <c r="O1090" s="19" t="str">
        <f t="shared" ref="O1090:O1153" si="34">RIGHT(C1090,2)</f>
        <v>21</v>
      </c>
      <c r="P1090" s="64">
        <f t="shared" si="33"/>
        <v>42572</v>
      </c>
    </row>
    <row r="1091" spans="1:16" x14ac:dyDescent="0.25">
      <c r="A1091" s="26">
        <v>42573.054386574076</v>
      </c>
      <c r="B1091" s="51" t="s">
        <v>148</v>
      </c>
      <c r="C1091" s="4" t="s">
        <v>1367</v>
      </c>
      <c r="D1091" s="4" t="s">
        <v>103</v>
      </c>
      <c r="E1091" s="51" t="s">
        <v>115</v>
      </c>
      <c r="F1091" s="3">
        <v>350</v>
      </c>
      <c r="G1091" s="3">
        <v>406</v>
      </c>
      <c r="H1091" s="3">
        <v>223840</v>
      </c>
      <c r="I1091" s="51" t="s">
        <v>105</v>
      </c>
      <c r="J1091" s="3">
        <v>224578</v>
      </c>
      <c r="K1091" s="4" t="s">
        <v>111</v>
      </c>
      <c r="L1091" s="56" t="s">
        <v>504</v>
      </c>
      <c r="M1091" s="20" t="s">
        <v>112</v>
      </c>
      <c r="N1091" s="19"/>
      <c r="O1091" s="19" t="str">
        <f t="shared" si="34"/>
        <v>21</v>
      </c>
      <c r="P1091" s="64">
        <f t="shared" ref="P1091:P1154" si="35">42522+O1091+29</f>
        <v>42572</v>
      </c>
    </row>
    <row r="1092" spans="1:16" x14ac:dyDescent="0.25">
      <c r="A1092" s="26">
        <v>42572.947569444441</v>
      </c>
      <c r="B1092" s="51" t="s">
        <v>133</v>
      </c>
      <c r="C1092" s="4" t="s">
        <v>1366</v>
      </c>
      <c r="D1092" s="4" t="s">
        <v>103</v>
      </c>
      <c r="E1092" s="51" t="s">
        <v>115</v>
      </c>
      <c r="F1092" s="3">
        <v>150</v>
      </c>
      <c r="G1092" s="3">
        <v>215</v>
      </c>
      <c r="H1092" s="3">
        <v>228162</v>
      </c>
      <c r="I1092" s="51" t="s">
        <v>105</v>
      </c>
      <c r="J1092" s="3">
        <v>228668</v>
      </c>
      <c r="K1092" s="4" t="s">
        <v>111</v>
      </c>
      <c r="L1092" s="56" t="s">
        <v>434</v>
      </c>
      <c r="M1092" s="20" t="s">
        <v>112</v>
      </c>
      <c r="N1092" s="19"/>
      <c r="O1092" s="19" t="str">
        <f t="shared" si="34"/>
        <v>21</v>
      </c>
      <c r="P1092" s="64">
        <f t="shared" si="35"/>
        <v>42572</v>
      </c>
    </row>
    <row r="1093" spans="1:16" x14ac:dyDescent="0.25">
      <c r="A1093" s="26">
        <v>42572.58253472222</v>
      </c>
      <c r="B1093" s="51" t="s">
        <v>119</v>
      </c>
      <c r="C1093" s="4" t="s">
        <v>1356</v>
      </c>
      <c r="D1093" s="4" t="s">
        <v>116</v>
      </c>
      <c r="E1093" s="51" t="s">
        <v>115</v>
      </c>
      <c r="F1093" s="3">
        <v>350</v>
      </c>
      <c r="G1093" s="3">
        <v>405</v>
      </c>
      <c r="H1093" s="3">
        <v>225917</v>
      </c>
      <c r="I1093" s="51" t="s">
        <v>105</v>
      </c>
      <c r="J1093" s="3">
        <v>232080</v>
      </c>
      <c r="K1093" s="4" t="s">
        <v>106</v>
      </c>
      <c r="L1093" s="56" t="s">
        <v>425</v>
      </c>
      <c r="M1093" s="20" t="s">
        <v>112</v>
      </c>
      <c r="N1093" s="19"/>
      <c r="O1093" s="19" t="str">
        <f t="shared" si="34"/>
        <v>21</v>
      </c>
      <c r="P1093" s="64">
        <f t="shared" si="35"/>
        <v>42572</v>
      </c>
    </row>
    <row r="1094" spans="1:16" x14ac:dyDescent="0.25">
      <c r="A1094" s="26">
        <v>42572.557430555556</v>
      </c>
      <c r="B1094" s="51" t="s">
        <v>118</v>
      </c>
      <c r="C1094" s="4" t="s">
        <v>243</v>
      </c>
      <c r="D1094" s="4" t="s">
        <v>103</v>
      </c>
      <c r="E1094" s="51" t="s">
        <v>122</v>
      </c>
      <c r="F1094" s="3">
        <v>0</v>
      </c>
      <c r="G1094" s="3">
        <v>630</v>
      </c>
      <c r="H1094" s="3">
        <v>41701</v>
      </c>
      <c r="I1094" s="51" t="s">
        <v>123</v>
      </c>
      <c r="J1094" s="3">
        <v>38656</v>
      </c>
      <c r="K1094" s="4" t="s">
        <v>106</v>
      </c>
      <c r="L1094" s="56" t="s">
        <v>551</v>
      </c>
      <c r="M1094" s="20" t="s">
        <v>107</v>
      </c>
      <c r="N1094" s="19" t="s">
        <v>52</v>
      </c>
      <c r="O1094" s="19" t="str">
        <f t="shared" si="34"/>
        <v>21</v>
      </c>
      <c r="P1094" s="64">
        <f t="shared" si="35"/>
        <v>42572</v>
      </c>
    </row>
    <row r="1095" spans="1:16" x14ac:dyDescent="0.25">
      <c r="A1095" s="26">
        <v>42572.793229166666</v>
      </c>
      <c r="B1095" s="51" t="s">
        <v>147</v>
      </c>
      <c r="C1095" s="4" t="s">
        <v>341</v>
      </c>
      <c r="D1095" s="4" t="s">
        <v>103</v>
      </c>
      <c r="E1095" s="51" t="s">
        <v>122</v>
      </c>
      <c r="F1095" s="3">
        <v>0</v>
      </c>
      <c r="G1095" s="3">
        <v>443</v>
      </c>
      <c r="H1095" s="3">
        <v>40843</v>
      </c>
      <c r="I1095" s="51" t="s">
        <v>123</v>
      </c>
      <c r="J1095" s="3">
        <v>38656</v>
      </c>
      <c r="K1095" s="4" t="s">
        <v>106</v>
      </c>
      <c r="L1095" s="56" t="s">
        <v>473</v>
      </c>
      <c r="M1095" s="20" t="s">
        <v>112</v>
      </c>
      <c r="N1095" s="19" t="s">
        <v>175</v>
      </c>
      <c r="O1095" s="19" t="str">
        <f t="shared" si="34"/>
        <v>21</v>
      </c>
      <c r="P1095" s="64">
        <f t="shared" si="35"/>
        <v>42572</v>
      </c>
    </row>
    <row r="1096" spans="1:16" x14ac:dyDescent="0.25">
      <c r="A1096" s="26">
        <v>42572.809444444443</v>
      </c>
      <c r="B1096" s="51" t="s">
        <v>143</v>
      </c>
      <c r="C1096" s="4" t="s">
        <v>345</v>
      </c>
      <c r="D1096" s="4" t="s">
        <v>103</v>
      </c>
      <c r="E1096" s="51" t="s">
        <v>122</v>
      </c>
      <c r="F1096" s="3">
        <v>0</v>
      </c>
      <c r="G1096" s="3">
        <v>64</v>
      </c>
      <c r="H1096" s="3">
        <v>69776</v>
      </c>
      <c r="I1096" s="51" t="s">
        <v>123</v>
      </c>
      <c r="J1096" s="3">
        <v>69363</v>
      </c>
      <c r="K1096" s="4" t="s">
        <v>106</v>
      </c>
      <c r="L1096" s="56" t="s">
        <v>506</v>
      </c>
      <c r="M1096" s="20" t="s">
        <v>112</v>
      </c>
      <c r="N1096" s="19" t="s">
        <v>1368</v>
      </c>
      <c r="O1096" s="19" t="str">
        <f t="shared" si="34"/>
        <v>21</v>
      </c>
      <c r="P1096" s="64">
        <f t="shared" si="35"/>
        <v>42572</v>
      </c>
    </row>
    <row r="1097" spans="1:16" x14ac:dyDescent="0.25">
      <c r="A1097" s="26">
        <v>42572.776412037034</v>
      </c>
      <c r="B1097" s="51" t="s">
        <v>163</v>
      </c>
      <c r="C1097" s="4" t="s">
        <v>245</v>
      </c>
      <c r="D1097" s="4" t="s">
        <v>103</v>
      </c>
      <c r="E1097" s="51" t="s">
        <v>122</v>
      </c>
      <c r="F1097" s="3">
        <v>0</v>
      </c>
      <c r="G1097" s="3">
        <v>402</v>
      </c>
      <c r="H1097" s="3">
        <v>106115</v>
      </c>
      <c r="I1097" s="51" t="s">
        <v>123</v>
      </c>
      <c r="J1097" s="3">
        <v>107939</v>
      </c>
      <c r="K1097" s="4" t="s">
        <v>111</v>
      </c>
      <c r="L1097" s="56" t="s">
        <v>538</v>
      </c>
      <c r="M1097" s="20" t="s">
        <v>112</v>
      </c>
      <c r="N1097" s="19" t="s">
        <v>1274</v>
      </c>
      <c r="O1097" s="19" t="str">
        <f t="shared" si="34"/>
        <v>21</v>
      </c>
      <c r="P1097" s="64">
        <f t="shared" si="35"/>
        <v>42572</v>
      </c>
    </row>
    <row r="1098" spans="1:16" x14ac:dyDescent="0.25">
      <c r="A1098" s="26">
        <v>42572.979363425926</v>
      </c>
      <c r="B1098" s="51" t="s">
        <v>119</v>
      </c>
      <c r="C1098" s="4" t="s">
        <v>1362</v>
      </c>
      <c r="D1098" s="4" t="s">
        <v>103</v>
      </c>
      <c r="E1098" s="51" t="s">
        <v>122</v>
      </c>
      <c r="F1098" s="3">
        <v>0</v>
      </c>
      <c r="G1098" s="3">
        <v>381</v>
      </c>
      <c r="H1098" s="3">
        <v>120884</v>
      </c>
      <c r="I1098" s="51" t="s">
        <v>123</v>
      </c>
      <c r="J1098" s="3">
        <v>118741</v>
      </c>
      <c r="K1098" s="4" t="s">
        <v>106</v>
      </c>
      <c r="L1098" s="56" t="s">
        <v>434</v>
      </c>
      <c r="M1098" s="20" t="s">
        <v>107</v>
      </c>
      <c r="N1098" s="19" t="s">
        <v>52</v>
      </c>
      <c r="O1098" s="19" t="str">
        <f t="shared" si="34"/>
        <v>21</v>
      </c>
      <c r="P1098" s="64">
        <f t="shared" si="35"/>
        <v>42572</v>
      </c>
    </row>
    <row r="1099" spans="1:16" x14ac:dyDescent="0.25">
      <c r="A1099" s="26">
        <v>42572.600370370368</v>
      </c>
      <c r="B1099" s="51" t="s">
        <v>147</v>
      </c>
      <c r="C1099" s="4" t="s">
        <v>1369</v>
      </c>
      <c r="D1099" s="4" t="s">
        <v>103</v>
      </c>
      <c r="E1099" s="51" t="s">
        <v>122</v>
      </c>
      <c r="F1099" s="3">
        <v>0</v>
      </c>
      <c r="G1099" s="3">
        <v>525</v>
      </c>
      <c r="H1099" s="3">
        <v>130412</v>
      </c>
      <c r="I1099" s="51" t="s">
        <v>123</v>
      </c>
      <c r="J1099" s="3">
        <v>127587</v>
      </c>
      <c r="K1099" s="4" t="s">
        <v>106</v>
      </c>
      <c r="L1099" s="56" t="s">
        <v>473</v>
      </c>
      <c r="M1099" s="20" t="s">
        <v>112</v>
      </c>
      <c r="N1099" s="19" t="s">
        <v>1370</v>
      </c>
      <c r="O1099" s="19" t="str">
        <f t="shared" si="34"/>
        <v>21</v>
      </c>
      <c r="P1099" s="64">
        <f t="shared" si="35"/>
        <v>42572</v>
      </c>
    </row>
    <row r="1100" spans="1:16" x14ac:dyDescent="0.25">
      <c r="A1100" s="26">
        <v>42572.595821759256</v>
      </c>
      <c r="B1100" s="51" t="s">
        <v>125</v>
      </c>
      <c r="C1100" s="4" t="s">
        <v>244</v>
      </c>
      <c r="D1100" s="4" t="s">
        <v>103</v>
      </c>
      <c r="E1100" s="51" t="s">
        <v>122</v>
      </c>
      <c r="F1100" s="3">
        <v>0</v>
      </c>
      <c r="G1100" s="3">
        <v>79</v>
      </c>
      <c r="H1100" s="3">
        <v>155225</v>
      </c>
      <c r="I1100" s="51" t="s">
        <v>123</v>
      </c>
      <c r="J1100" s="3">
        <v>155600</v>
      </c>
      <c r="K1100" s="4" t="s">
        <v>111</v>
      </c>
      <c r="L1100" s="56" t="s">
        <v>1371</v>
      </c>
      <c r="M1100" s="20" t="s">
        <v>112</v>
      </c>
      <c r="N1100" s="19" t="s">
        <v>1372</v>
      </c>
      <c r="O1100" s="19" t="str">
        <f t="shared" si="34"/>
        <v>21</v>
      </c>
      <c r="P1100" s="64">
        <f t="shared" si="35"/>
        <v>42572</v>
      </c>
    </row>
    <row r="1101" spans="1:16" x14ac:dyDescent="0.25">
      <c r="A1101" s="26">
        <v>42572.667557870373</v>
      </c>
      <c r="B1101" s="51" t="s">
        <v>125</v>
      </c>
      <c r="C1101" s="4" t="s">
        <v>1373</v>
      </c>
      <c r="D1101" s="4" t="s">
        <v>103</v>
      </c>
      <c r="E1101" s="51" t="s">
        <v>122</v>
      </c>
      <c r="F1101" s="3">
        <v>0</v>
      </c>
      <c r="G1101" s="3">
        <v>645</v>
      </c>
      <c r="H1101" s="3">
        <v>151015</v>
      </c>
      <c r="I1101" s="51" t="s">
        <v>123</v>
      </c>
      <c r="J1101" s="3">
        <v>155600</v>
      </c>
      <c r="K1101" s="4" t="s">
        <v>111</v>
      </c>
      <c r="L1101" s="56" t="s">
        <v>558</v>
      </c>
      <c r="M1101" s="20" t="s">
        <v>112</v>
      </c>
      <c r="N1101" s="19" t="s">
        <v>1372</v>
      </c>
      <c r="O1101" s="19" t="str">
        <f t="shared" si="34"/>
        <v>21</v>
      </c>
      <c r="P1101" s="64">
        <f t="shared" si="35"/>
        <v>42572</v>
      </c>
    </row>
    <row r="1102" spans="1:16" x14ac:dyDescent="0.25">
      <c r="A1102" s="26">
        <v>42572.240810185183</v>
      </c>
      <c r="B1102" s="51" t="s">
        <v>134</v>
      </c>
      <c r="C1102" s="4" t="s">
        <v>1374</v>
      </c>
      <c r="D1102" s="4" t="s">
        <v>103</v>
      </c>
      <c r="E1102" s="51" t="s">
        <v>122</v>
      </c>
      <c r="F1102" s="3">
        <v>0</v>
      </c>
      <c r="G1102" s="3">
        <v>501</v>
      </c>
      <c r="H1102" s="3">
        <v>194508</v>
      </c>
      <c r="I1102" s="51" t="s">
        <v>123</v>
      </c>
      <c r="J1102" s="3">
        <v>191723</v>
      </c>
      <c r="K1102" s="4" t="s">
        <v>106</v>
      </c>
      <c r="L1102" s="56" t="s">
        <v>453</v>
      </c>
      <c r="M1102" s="20" t="s">
        <v>112</v>
      </c>
      <c r="N1102" s="19" t="s">
        <v>1159</v>
      </c>
      <c r="O1102" s="19" t="str">
        <f t="shared" si="34"/>
        <v>21</v>
      </c>
      <c r="P1102" s="64">
        <f t="shared" si="35"/>
        <v>42572</v>
      </c>
    </row>
    <row r="1103" spans="1:16" x14ac:dyDescent="0.25">
      <c r="A1103" s="26">
        <v>42572.573472222219</v>
      </c>
      <c r="B1103" s="51" t="s">
        <v>136</v>
      </c>
      <c r="C1103" s="4" t="s">
        <v>339</v>
      </c>
      <c r="D1103" s="4" t="s">
        <v>103</v>
      </c>
      <c r="E1103" s="51" t="s">
        <v>122</v>
      </c>
      <c r="F1103" s="3">
        <v>0</v>
      </c>
      <c r="G1103" s="3">
        <v>462</v>
      </c>
      <c r="H1103" s="3">
        <v>194261</v>
      </c>
      <c r="I1103" s="51" t="s">
        <v>123</v>
      </c>
      <c r="J1103" s="3">
        <v>191723</v>
      </c>
      <c r="K1103" s="4" t="s">
        <v>106</v>
      </c>
      <c r="L1103" s="56" t="s">
        <v>552</v>
      </c>
      <c r="M1103" s="20" t="s">
        <v>112</v>
      </c>
      <c r="N1103" s="19" t="s">
        <v>1375</v>
      </c>
      <c r="O1103" s="19" t="str">
        <f t="shared" si="34"/>
        <v>21</v>
      </c>
      <c r="P1103" s="64">
        <f t="shared" si="35"/>
        <v>42572</v>
      </c>
    </row>
    <row r="1104" spans="1:16" x14ac:dyDescent="0.25">
      <c r="A1104" s="26">
        <v>42572.647511574076</v>
      </c>
      <c r="B1104" s="51" t="s">
        <v>136</v>
      </c>
      <c r="C1104" s="4" t="s">
        <v>1359</v>
      </c>
      <c r="D1104" s="4" t="s">
        <v>103</v>
      </c>
      <c r="E1104" s="51" t="s">
        <v>122</v>
      </c>
      <c r="F1104" s="3">
        <v>0</v>
      </c>
      <c r="G1104" s="3">
        <v>345</v>
      </c>
      <c r="H1104" s="3">
        <v>193556</v>
      </c>
      <c r="I1104" s="51" t="s">
        <v>123</v>
      </c>
      <c r="J1104" s="3">
        <v>191723</v>
      </c>
      <c r="K1104" s="4" t="s">
        <v>106</v>
      </c>
      <c r="L1104" s="56" t="s">
        <v>552</v>
      </c>
      <c r="M1104" s="20" t="s">
        <v>112</v>
      </c>
      <c r="N1104" s="19" t="s">
        <v>1375</v>
      </c>
      <c r="O1104" s="19" t="str">
        <f t="shared" si="34"/>
        <v>21</v>
      </c>
      <c r="P1104" s="64">
        <f t="shared" si="35"/>
        <v>42572</v>
      </c>
    </row>
    <row r="1105" spans="1:16" x14ac:dyDescent="0.25">
      <c r="A1105" s="26">
        <v>42572.417326388888</v>
      </c>
      <c r="B1105" s="51" t="s">
        <v>133</v>
      </c>
      <c r="C1105" s="4" t="s">
        <v>1376</v>
      </c>
      <c r="D1105" s="4" t="s">
        <v>103</v>
      </c>
      <c r="E1105" s="51" t="s">
        <v>122</v>
      </c>
      <c r="F1105" s="3">
        <v>0</v>
      </c>
      <c r="G1105" s="3">
        <v>661</v>
      </c>
      <c r="H1105" s="3">
        <v>194439</v>
      </c>
      <c r="I1105" s="51" t="s">
        <v>123</v>
      </c>
      <c r="J1105" s="3">
        <v>198242</v>
      </c>
      <c r="K1105" s="4" t="s">
        <v>111</v>
      </c>
      <c r="L1105" s="56" t="s">
        <v>396</v>
      </c>
      <c r="M1105" s="20" t="s">
        <v>107</v>
      </c>
      <c r="N1105" s="19" t="s">
        <v>1377</v>
      </c>
      <c r="O1105" s="19" t="str">
        <f t="shared" si="34"/>
        <v>21</v>
      </c>
      <c r="P1105" s="64">
        <f t="shared" si="35"/>
        <v>42572</v>
      </c>
    </row>
    <row r="1106" spans="1:16" x14ac:dyDescent="0.25">
      <c r="A1106" s="26">
        <v>42572.180034722223</v>
      </c>
      <c r="B1106" s="51" t="s">
        <v>165</v>
      </c>
      <c r="C1106" s="4" t="s">
        <v>1378</v>
      </c>
      <c r="D1106" s="4" t="s">
        <v>103</v>
      </c>
      <c r="E1106" s="51" t="s">
        <v>122</v>
      </c>
      <c r="F1106" s="3">
        <v>0</v>
      </c>
      <c r="G1106" s="3">
        <v>412</v>
      </c>
      <c r="H1106" s="3">
        <v>223307</v>
      </c>
      <c r="I1106" s="51" t="s">
        <v>123</v>
      </c>
      <c r="J1106" s="3">
        <v>224231</v>
      </c>
      <c r="K1106" s="4" t="s">
        <v>111</v>
      </c>
      <c r="L1106" s="56" t="s">
        <v>444</v>
      </c>
      <c r="M1106" s="20" t="s">
        <v>107</v>
      </c>
      <c r="N1106" s="19" t="s">
        <v>52</v>
      </c>
      <c r="O1106" s="19" t="str">
        <f t="shared" si="34"/>
        <v>21</v>
      </c>
      <c r="P1106" s="64">
        <f t="shared" si="35"/>
        <v>42572</v>
      </c>
    </row>
    <row r="1107" spans="1:16" x14ac:dyDescent="0.25">
      <c r="A1107" s="26">
        <v>42572.211053240739</v>
      </c>
      <c r="B1107" s="51" t="s">
        <v>143</v>
      </c>
      <c r="C1107" s="4" t="s">
        <v>242</v>
      </c>
      <c r="D1107" s="4" t="s">
        <v>103</v>
      </c>
      <c r="E1107" s="51" t="s">
        <v>129</v>
      </c>
      <c r="F1107" s="3">
        <v>0</v>
      </c>
      <c r="G1107" s="3">
        <v>36</v>
      </c>
      <c r="H1107" s="3">
        <v>107</v>
      </c>
      <c r="I1107" s="51" t="s">
        <v>130</v>
      </c>
      <c r="J1107" s="3">
        <v>1</v>
      </c>
      <c r="K1107" s="4" t="s">
        <v>106</v>
      </c>
      <c r="L1107" s="56" t="s">
        <v>428</v>
      </c>
      <c r="M1107" s="20" t="s">
        <v>112</v>
      </c>
      <c r="N1107" s="19"/>
      <c r="O1107" s="19" t="str">
        <f t="shared" si="34"/>
        <v>21</v>
      </c>
      <c r="P1107" s="64">
        <f t="shared" si="35"/>
        <v>42572</v>
      </c>
    </row>
    <row r="1108" spans="1:16" x14ac:dyDescent="0.25">
      <c r="A1108" s="26">
        <v>42572.303831018522</v>
      </c>
      <c r="B1108" s="51" t="s">
        <v>136</v>
      </c>
      <c r="C1108" s="4" t="s">
        <v>1379</v>
      </c>
      <c r="D1108" s="4" t="s">
        <v>103</v>
      </c>
      <c r="E1108" s="51" t="s">
        <v>129</v>
      </c>
      <c r="F1108" s="3">
        <v>0</v>
      </c>
      <c r="G1108" s="3">
        <v>64</v>
      </c>
      <c r="H1108" s="3">
        <v>189</v>
      </c>
      <c r="I1108" s="51" t="s">
        <v>130</v>
      </c>
      <c r="J1108" s="3">
        <v>1</v>
      </c>
      <c r="K1108" s="4" t="s">
        <v>106</v>
      </c>
      <c r="L1108" s="56" t="s">
        <v>444</v>
      </c>
      <c r="M1108" s="20" t="s">
        <v>112</v>
      </c>
      <c r="N1108" s="19"/>
      <c r="O1108" s="19" t="str">
        <f t="shared" si="34"/>
        <v>21</v>
      </c>
      <c r="P1108" s="64">
        <f t="shared" si="35"/>
        <v>42572</v>
      </c>
    </row>
    <row r="1109" spans="1:16" x14ac:dyDescent="0.25">
      <c r="A1109" s="26">
        <v>42573.018067129633</v>
      </c>
      <c r="B1109" s="51" t="s">
        <v>147</v>
      </c>
      <c r="C1109" s="4" t="s">
        <v>1380</v>
      </c>
      <c r="D1109" s="4" t="s">
        <v>103</v>
      </c>
      <c r="E1109" s="51" t="s">
        <v>129</v>
      </c>
      <c r="F1109" s="3">
        <v>0</v>
      </c>
      <c r="G1109" s="3">
        <v>70</v>
      </c>
      <c r="H1109" s="3">
        <v>238</v>
      </c>
      <c r="I1109" s="51" t="s">
        <v>130</v>
      </c>
      <c r="J1109" s="3">
        <v>1</v>
      </c>
      <c r="K1109" s="4" t="s">
        <v>106</v>
      </c>
      <c r="L1109" s="56" t="s">
        <v>504</v>
      </c>
      <c r="M1109" s="20" t="s">
        <v>112</v>
      </c>
      <c r="N1109" s="19"/>
      <c r="O1109" s="19" t="str">
        <f t="shared" si="34"/>
        <v>21</v>
      </c>
      <c r="P1109" s="64">
        <f t="shared" si="35"/>
        <v>42572</v>
      </c>
    </row>
    <row r="1110" spans="1:16" x14ac:dyDescent="0.25">
      <c r="A1110" s="26">
        <v>42572.811030092591</v>
      </c>
      <c r="B1110" s="51" t="s">
        <v>134</v>
      </c>
      <c r="C1110" s="4" t="s">
        <v>342</v>
      </c>
      <c r="D1110" s="4" t="s">
        <v>103</v>
      </c>
      <c r="E1110" s="51" t="s">
        <v>129</v>
      </c>
      <c r="F1110" s="3">
        <v>0</v>
      </c>
      <c r="G1110" s="3">
        <v>68</v>
      </c>
      <c r="H1110" s="3">
        <v>1064</v>
      </c>
      <c r="I1110" s="51" t="s">
        <v>130</v>
      </c>
      <c r="J1110" s="3">
        <v>839</v>
      </c>
      <c r="K1110" s="4" t="s">
        <v>106</v>
      </c>
      <c r="L1110" s="56" t="s">
        <v>504</v>
      </c>
      <c r="M1110" s="20" t="s">
        <v>112</v>
      </c>
      <c r="N1110" s="19"/>
      <c r="O1110" s="19" t="str">
        <f t="shared" si="34"/>
        <v>21</v>
      </c>
      <c r="P1110" s="64">
        <f t="shared" si="35"/>
        <v>42572</v>
      </c>
    </row>
    <row r="1111" spans="1:16" x14ac:dyDescent="0.25">
      <c r="A1111" s="26">
        <v>42572.811516203707</v>
      </c>
      <c r="B1111" s="51" t="s">
        <v>134</v>
      </c>
      <c r="C1111" s="4" t="s">
        <v>342</v>
      </c>
      <c r="D1111" s="4" t="s">
        <v>103</v>
      </c>
      <c r="E1111" s="51" t="s">
        <v>129</v>
      </c>
      <c r="F1111" s="3">
        <v>0</v>
      </c>
      <c r="G1111" s="3">
        <v>42</v>
      </c>
      <c r="H1111" s="3">
        <v>954</v>
      </c>
      <c r="I1111" s="51" t="s">
        <v>130</v>
      </c>
      <c r="J1111" s="3">
        <v>839</v>
      </c>
      <c r="K1111" s="4" t="s">
        <v>106</v>
      </c>
      <c r="L1111" s="56" t="s">
        <v>504</v>
      </c>
      <c r="M1111" s="20" t="s">
        <v>112</v>
      </c>
      <c r="N1111" s="19"/>
      <c r="O1111" s="19" t="str">
        <f t="shared" si="34"/>
        <v>21</v>
      </c>
      <c r="P1111" s="64">
        <f t="shared" si="35"/>
        <v>42572</v>
      </c>
    </row>
    <row r="1112" spans="1:16" x14ac:dyDescent="0.25">
      <c r="A1112" s="26">
        <v>42572.397569444445</v>
      </c>
      <c r="B1112" s="51" t="s">
        <v>126</v>
      </c>
      <c r="C1112" s="4" t="s">
        <v>1386</v>
      </c>
      <c r="D1112" s="4" t="s">
        <v>103</v>
      </c>
      <c r="E1112" s="51" t="s">
        <v>129</v>
      </c>
      <c r="F1112" s="3">
        <v>0</v>
      </c>
      <c r="G1112" s="3">
        <v>31</v>
      </c>
      <c r="H1112" s="3">
        <v>58956</v>
      </c>
      <c r="I1112" s="51" t="s">
        <v>130</v>
      </c>
      <c r="J1112" s="3">
        <v>59048</v>
      </c>
      <c r="K1112" s="4" t="s">
        <v>111</v>
      </c>
      <c r="L1112" s="56" t="s">
        <v>475</v>
      </c>
      <c r="M1112" s="20" t="s">
        <v>112</v>
      </c>
      <c r="N1112" s="19"/>
      <c r="O1112" s="19" t="str">
        <f t="shared" si="34"/>
        <v>21</v>
      </c>
      <c r="P1112" s="64">
        <f t="shared" si="35"/>
        <v>42572</v>
      </c>
    </row>
    <row r="1113" spans="1:16" x14ac:dyDescent="0.25">
      <c r="A1113" s="26">
        <v>42572.410752314812</v>
      </c>
      <c r="B1113" s="51" t="s">
        <v>138</v>
      </c>
      <c r="C1113" s="4" t="s">
        <v>344</v>
      </c>
      <c r="D1113" s="4" t="s">
        <v>103</v>
      </c>
      <c r="E1113" s="51" t="s">
        <v>129</v>
      </c>
      <c r="F1113" s="3">
        <v>0</v>
      </c>
      <c r="G1113" s="3">
        <v>58</v>
      </c>
      <c r="H1113" s="3">
        <v>233213</v>
      </c>
      <c r="I1113" s="51" t="s">
        <v>130</v>
      </c>
      <c r="J1113" s="3">
        <v>233491</v>
      </c>
      <c r="K1113" s="4" t="s">
        <v>111</v>
      </c>
      <c r="L1113" s="56" t="s">
        <v>444</v>
      </c>
      <c r="M1113" s="20" t="s">
        <v>112</v>
      </c>
      <c r="N1113" s="19"/>
      <c r="O1113" s="19" t="str">
        <f t="shared" si="34"/>
        <v>21</v>
      </c>
      <c r="P1113" s="64">
        <f t="shared" si="35"/>
        <v>42572</v>
      </c>
    </row>
    <row r="1114" spans="1:16" x14ac:dyDescent="0.25">
      <c r="A1114" s="26">
        <v>42573.450173611112</v>
      </c>
      <c r="B1114" s="51" t="s">
        <v>124</v>
      </c>
      <c r="C1114" s="4" t="s">
        <v>1387</v>
      </c>
      <c r="D1114" s="4" t="s">
        <v>116</v>
      </c>
      <c r="E1114" s="51" t="s">
        <v>104</v>
      </c>
      <c r="F1114" s="3">
        <v>790</v>
      </c>
      <c r="G1114" s="3">
        <v>841</v>
      </c>
      <c r="H1114" s="3">
        <v>72745</v>
      </c>
      <c r="I1114" s="51" t="s">
        <v>105</v>
      </c>
      <c r="J1114" s="3">
        <v>103864</v>
      </c>
      <c r="K1114" s="4" t="s">
        <v>106</v>
      </c>
      <c r="L1114" s="56" t="s">
        <v>396</v>
      </c>
      <c r="M1114" s="20" t="s">
        <v>112</v>
      </c>
      <c r="N1114" s="19" t="s">
        <v>175</v>
      </c>
      <c r="O1114" s="19" t="str">
        <f t="shared" si="34"/>
        <v>22</v>
      </c>
      <c r="P1114" s="64">
        <f t="shared" si="35"/>
        <v>42573</v>
      </c>
    </row>
    <row r="1115" spans="1:16" x14ac:dyDescent="0.25">
      <c r="A1115" s="26">
        <v>42573.573831018519</v>
      </c>
      <c r="B1115" s="51" t="s">
        <v>139</v>
      </c>
      <c r="C1115" s="4" t="s">
        <v>1388</v>
      </c>
      <c r="D1115" s="4" t="s">
        <v>103</v>
      </c>
      <c r="E1115" s="51" t="s">
        <v>115</v>
      </c>
      <c r="F1115" s="3">
        <v>150</v>
      </c>
      <c r="G1115" s="3">
        <v>179</v>
      </c>
      <c r="H1115" s="3">
        <v>4685</v>
      </c>
      <c r="I1115" s="51" t="s">
        <v>105</v>
      </c>
      <c r="J1115" s="3">
        <v>4677</v>
      </c>
      <c r="K1115" s="4" t="s">
        <v>106</v>
      </c>
      <c r="L1115" s="56" t="s">
        <v>425</v>
      </c>
      <c r="M1115" s="20" t="s">
        <v>112</v>
      </c>
      <c r="N1115" s="19"/>
      <c r="O1115" s="19" t="str">
        <f t="shared" si="34"/>
        <v>22</v>
      </c>
      <c r="P1115" s="64">
        <f t="shared" si="35"/>
        <v>42573</v>
      </c>
    </row>
    <row r="1116" spans="1:16" x14ac:dyDescent="0.25">
      <c r="A1116" s="26">
        <v>42573.223344907405</v>
      </c>
      <c r="B1116" s="51" t="s">
        <v>137</v>
      </c>
      <c r="C1116" s="4" t="s">
        <v>1389</v>
      </c>
      <c r="D1116" s="4" t="s">
        <v>103</v>
      </c>
      <c r="E1116" s="51" t="s">
        <v>115</v>
      </c>
      <c r="F1116" s="3">
        <v>300</v>
      </c>
      <c r="G1116" s="3">
        <v>248</v>
      </c>
      <c r="H1116" s="3">
        <v>19739</v>
      </c>
      <c r="I1116" s="51" t="s">
        <v>105</v>
      </c>
      <c r="J1116" s="3">
        <v>20338</v>
      </c>
      <c r="K1116" s="4" t="s">
        <v>111</v>
      </c>
      <c r="L1116" s="56" t="s">
        <v>428</v>
      </c>
      <c r="M1116" s="20" t="s">
        <v>112</v>
      </c>
      <c r="N1116" s="19"/>
      <c r="O1116" s="19" t="str">
        <f t="shared" si="34"/>
        <v>22</v>
      </c>
      <c r="P1116" s="64">
        <f t="shared" si="35"/>
        <v>42573</v>
      </c>
    </row>
    <row r="1117" spans="1:16" x14ac:dyDescent="0.25">
      <c r="A1117" s="26">
        <v>42573.58866898148</v>
      </c>
      <c r="B1117" s="51" t="s">
        <v>137</v>
      </c>
      <c r="C1117" s="4" t="s">
        <v>1390</v>
      </c>
      <c r="D1117" s="4" t="s">
        <v>103</v>
      </c>
      <c r="E1117" s="51" t="s">
        <v>115</v>
      </c>
      <c r="F1117" s="3">
        <v>200</v>
      </c>
      <c r="G1117" s="3">
        <v>222</v>
      </c>
      <c r="H1117" s="3">
        <v>27280</v>
      </c>
      <c r="I1117" s="51" t="s">
        <v>105</v>
      </c>
      <c r="J1117" s="3">
        <v>27333</v>
      </c>
      <c r="K1117" s="4" t="s">
        <v>111</v>
      </c>
      <c r="L1117" s="56" t="s">
        <v>425</v>
      </c>
      <c r="M1117" s="20" t="s">
        <v>112</v>
      </c>
      <c r="N1117" s="19"/>
      <c r="O1117" s="19" t="str">
        <f t="shared" si="34"/>
        <v>22</v>
      </c>
      <c r="P1117" s="64">
        <f t="shared" si="35"/>
        <v>42573</v>
      </c>
    </row>
    <row r="1118" spans="1:16" x14ac:dyDescent="0.25">
      <c r="A1118" s="26">
        <v>42573.603310185186</v>
      </c>
      <c r="B1118" s="51" t="s">
        <v>138</v>
      </c>
      <c r="C1118" s="4" t="s">
        <v>1391</v>
      </c>
      <c r="D1118" s="4" t="s">
        <v>103</v>
      </c>
      <c r="E1118" s="51" t="s">
        <v>115</v>
      </c>
      <c r="F1118" s="3">
        <v>200</v>
      </c>
      <c r="G1118" s="3">
        <v>335</v>
      </c>
      <c r="H1118" s="3">
        <v>26521</v>
      </c>
      <c r="I1118" s="51" t="s">
        <v>105</v>
      </c>
      <c r="J1118" s="3">
        <v>27333</v>
      </c>
      <c r="K1118" s="4" t="s">
        <v>111</v>
      </c>
      <c r="L1118" s="56" t="s">
        <v>480</v>
      </c>
      <c r="M1118" s="20" t="s">
        <v>112</v>
      </c>
      <c r="N1118" s="19"/>
      <c r="O1118" s="19" t="str">
        <f t="shared" si="34"/>
        <v>22</v>
      </c>
      <c r="P1118" s="64">
        <f t="shared" si="35"/>
        <v>42573</v>
      </c>
    </row>
    <row r="1119" spans="1:16" x14ac:dyDescent="0.25">
      <c r="A1119" s="26">
        <v>42573.682210648149</v>
      </c>
      <c r="B1119" s="51" t="s">
        <v>126</v>
      </c>
      <c r="C1119" s="4" t="s">
        <v>1392</v>
      </c>
      <c r="D1119" s="4" t="s">
        <v>103</v>
      </c>
      <c r="E1119" s="51" t="s">
        <v>115</v>
      </c>
      <c r="F1119" s="3">
        <v>200</v>
      </c>
      <c r="G1119" s="3">
        <v>353</v>
      </c>
      <c r="H1119" s="3">
        <v>26580</v>
      </c>
      <c r="I1119" s="51" t="s">
        <v>105</v>
      </c>
      <c r="J1119" s="3">
        <v>27333</v>
      </c>
      <c r="K1119" s="4" t="s">
        <v>111</v>
      </c>
      <c r="L1119" s="56" t="s">
        <v>409</v>
      </c>
      <c r="M1119" s="20" t="s">
        <v>112</v>
      </c>
      <c r="N1119" s="19"/>
      <c r="O1119" s="19" t="str">
        <f t="shared" si="34"/>
        <v>22</v>
      </c>
      <c r="P1119" s="64">
        <f t="shared" si="35"/>
        <v>42573</v>
      </c>
    </row>
    <row r="1120" spans="1:16" x14ac:dyDescent="0.25">
      <c r="A1120" s="26">
        <v>42573.893437500003</v>
      </c>
      <c r="B1120" s="51" t="s">
        <v>132</v>
      </c>
      <c r="C1120" s="4" t="s">
        <v>1393</v>
      </c>
      <c r="D1120" s="4" t="s">
        <v>103</v>
      </c>
      <c r="E1120" s="51" t="s">
        <v>115</v>
      </c>
      <c r="F1120" s="3">
        <v>200</v>
      </c>
      <c r="G1120" s="3">
        <v>228</v>
      </c>
      <c r="H1120" s="3">
        <v>30781</v>
      </c>
      <c r="I1120" s="51" t="s">
        <v>105</v>
      </c>
      <c r="J1120" s="3">
        <v>30562</v>
      </c>
      <c r="K1120" s="4" t="s">
        <v>106</v>
      </c>
      <c r="L1120" s="56" t="s">
        <v>432</v>
      </c>
      <c r="M1120" s="20" t="s">
        <v>112</v>
      </c>
      <c r="N1120" s="19"/>
      <c r="O1120" s="19" t="str">
        <f t="shared" si="34"/>
        <v>22</v>
      </c>
      <c r="P1120" s="64">
        <f t="shared" si="35"/>
        <v>42573</v>
      </c>
    </row>
    <row r="1121" spans="1:16" x14ac:dyDescent="0.25">
      <c r="A1121" s="26">
        <v>42573.644583333335</v>
      </c>
      <c r="B1121" s="51" t="s">
        <v>136</v>
      </c>
      <c r="C1121" s="4" t="s">
        <v>246</v>
      </c>
      <c r="D1121" s="4" t="s">
        <v>103</v>
      </c>
      <c r="E1121" s="51" t="s">
        <v>115</v>
      </c>
      <c r="F1121" s="3">
        <v>400</v>
      </c>
      <c r="G1121" s="3">
        <v>444</v>
      </c>
      <c r="H1121" s="3">
        <v>120630</v>
      </c>
      <c r="I1121" s="51" t="s">
        <v>105</v>
      </c>
      <c r="J1121" s="3">
        <v>119716</v>
      </c>
      <c r="K1121" s="4" t="s">
        <v>106</v>
      </c>
      <c r="L1121" s="56" t="s">
        <v>480</v>
      </c>
      <c r="M1121" s="20" t="s">
        <v>112</v>
      </c>
      <c r="N1121" s="19"/>
      <c r="O1121" s="19" t="str">
        <f t="shared" si="34"/>
        <v>22</v>
      </c>
      <c r="P1121" s="64">
        <f t="shared" si="35"/>
        <v>42573</v>
      </c>
    </row>
    <row r="1122" spans="1:16" x14ac:dyDescent="0.25">
      <c r="A1122" s="26">
        <v>42573.685497685183</v>
      </c>
      <c r="B1122" s="51" t="s">
        <v>119</v>
      </c>
      <c r="C1122" s="4" t="s">
        <v>1394</v>
      </c>
      <c r="D1122" s="4" t="s">
        <v>103</v>
      </c>
      <c r="E1122" s="51" t="s">
        <v>115</v>
      </c>
      <c r="F1122" s="3">
        <v>400</v>
      </c>
      <c r="G1122" s="3">
        <v>473</v>
      </c>
      <c r="H1122" s="3">
        <v>120984</v>
      </c>
      <c r="I1122" s="51" t="s">
        <v>105</v>
      </c>
      <c r="J1122" s="3">
        <v>119716</v>
      </c>
      <c r="K1122" s="4" t="s">
        <v>106</v>
      </c>
      <c r="L1122" s="56" t="s">
        <v>473</v>
      </c>
      <c r="M1122" s="20" t="s">
        <v>112</v>
      </c>
      <c r="N1122" s="19"/>
      <c r="O1122" s="19" t="str">
        <f t="shared" si="34"/>
        <v>22</v>
      </c>
      <c r="P1122" s="64">
        <f t="shared" si="35"/>
        <v>42573</v>
      </c>
    </row>
    <row r="1123" spans="1:16" x14ac:dyDescent="0.25">
      <c r="A1123" s="26">
        <v>42573.522129629629</v>
      </c>
      <c r="B1123" s="51" t="s">
        <v>141</v>
      </c>
      <c r="C1123" s="4" t="s">
        <v>1395</v>
      </c>
      <c r="D1123" s="4" t="s">
        <v>103</v>
      </c>
      <c r="E1123" s="51" t="s">
        <v>115</v>
      </c>
      <c r="F1123" s="3">
        <v>450</v>
      </c>
      <c r="G1123" s="3">
        <v>478</v>
      </c>
      <c r="H1123" s="3">
        <v>192544</v>
      </c>
      <c r="I1123" s="51" t="s">
        <v>105</v>
      </c>
      <c r="J1123" s="3">
        <v>191108</v>
      </c>
      <c r="K1123" s="4" t="s">
        <v>106</v>
      </c>
      <c r="L1123" s="56" t="s">
        <v>468</v>
      </c>
      <c r="M1123" s="20" t="s">
        <v>112</v>
      </c>
      <c r="N1123" s="19"/>
      <c r="O1123" s="19" t="str">
        <f t="shared" si="34"/>
        <v>22</v>
      </c>
      <c r="P1123" s="64">
        <f t="shared" si="35"/>
        <v>42573</v>
      </c>
    </row>
    <row r="1124" spans="1:16" x14ac:dyDescent="0.25">
      <c r="A1124" s="26">
        <v>42573.654895833337</v>
      </c>
      <c r="B1124" s="51" t="s">
        <v>124</v>
      </c>
      <c r="C1124" s="4" t="s">
        <v>350</v>
      </c>
      <c r="D1124" s="4" t="s">
        <v>103</v>
      </c>
      <c r="E1124" s="51" t="s">
        <v>115</v>
      </c>
      <c r="F1124" s="3">
        <v>150</v>
      </c>
      <c r="G1124" s="3">
        <v>192</v>
      </c>
      <c r="H1124" s="3">
        <v>229436</v>
      </c>
      <c r="I1124" s="51" t="s">
        <v>105</v>
      </c>
      <c r="J1124" s="3">
        <v>229055</v>
      </c>
      <c r="K1124" s="4" t="s">
        <v>106</v>
      </c>
      <c r="L1124" s="56" t="s">
        <v>405</v>
      </c>
      <c r="M1124" s="20" t="s">
        <v>112</v>
      </c>
      <c r="N1124" s="19"/>
      <c r="O1124" s="19" t="str">
        <f t="shared" si="34"/>
        <v>22</v>
      </c>
      <c r="P1124" s="64">
        <f t="shared" si="35"/>
        <v>42573</v>
      </c>
    </row>
    <row r="1125" spans="1:16" x14ac:dyDescent="0.25">
      <c r="A1125" s="26">
        <v>42573.565393518518</v>
      </c>
      <c r="B1125" s="51" t="s">
        <v>163</v>
      </c>
      <c r="C1125" s="4" t="s">
        <v>1396</v>
      </c>
      <c r="D1125" s="4" t="s">
        <v>103</v>
      </c>
      <c r="E1125" s="51" t="s">
        <v>115</v>
      </c>
      <c r="F1125" s="3">
        <v>150</v>
      </c>
      <c r="G1125" s="3">
        <v>150</v>
      </c>
      <c r="H1125" s="3">
        <v>230046</v>
      </c>
      <c r="I1125" s="51" t="s">
        <v>105</v>
      </c>
      <c r="J1125" s="3">
        <v>230436</v>
      </c>
      <c r="K1125" s="4" t="s">
        <v>111</v>
      </c>
      <c r="L1125" s="56" t="s">
        <v>405</v>
      </c>
      <c r="M1125" s="20" t="s">
        <v>112</v>
      </c>
      <c r="N1125" s="19"/>
      <c r="O1125" s="19" t="str">
        <f t="shared" si="34"/>
        <v>22</v>
      </c>
      <c r="P1125" s="64">
        <f t="shared" si="35"/>
        <v>42573</v>
      </c>
    </row>
    <row r="1126" spans="1:16" x14ac:dyDescent="0.25">
      <c r="A1126" s="26">
        <v>42573.763541666667</v>
      </c>
      <c r="B1126" s="51" t="s">
        <v>121</v>
      </c>
      <c r="C1126" s="4" t="s">
        <v>540</v>
      </c>
      <c r="D1126" s="4" t="s">
        <v>116</v>
      </c>
      <c r="E1126" s="51" t="s">
        <v>122</v>
      </c>
      <c r="F1126" s="3">
        <v>0</v>
      </c>
      <c r="G1126" s="3">
        <v>101</v>
      </c>
      <c r="H1126" s="3">
        <v>1884</v>
      </c>
      <c r="I1126" s="51" t="s">
        <v>123</v>
      </c>
      <c r="J1126" s="3">
        <v>1692</v>
      </c>
      <c r="K1126" s="4" t="s">
        <v>111</v>
      </c>
      <c r="L1126" s="56" t="s">
        <v>432</v>
      </c>
      <c r="M1126" s="20" t="s">
        <v>112</v>
      </c>
      <c r="N1126" s="19" t="s">
        <v>523</v>
      </c>
      <c r="O1126" s="19" t="str">
        <f t="shared" si="34"/>
        <v>22</v>
      </c>
      <c r="P1126" s="64">
        <f t="shared" si="35"/>
        <v>42573</v>
      </c>
    </row>
    <row r="1127" spans="1:16" x14ac:dyDescent="0.25">
      <c r="A1127" s="26">
        <v>42573.400648148148</v>
      </c>
      <c r="B1127" s="51" t="s">
        <v>163</v>
      </c>
      <c r="C1127" s="4" t="s">
        <v>539</v>
      </c>
      <c r="D1127" s="4" t="s">
        <v>103</v>
      </c>
      <c r="E1127" s="51" t="s">
        <v>122</v>
      </c>
      <c r="F1127" s="3">
        <v>0</v>
      </c>
      <c r="G1127" s="3">
        <v>220</v>
      </c>
      <c r="H1127" s="3">
        <v>19649</v>
      </c>
      <c r="I1127" s="51" t="s">
        <v>123</v>
      </c>
      <c r="J1127" s="3">
        <v>20617</v>
      </c>
      <c r="K1127" s="4" t="s">
        <v>111</v>
      </c>
      <c r="L1127" s="56" t="s">
        <v>396</v>
      </c>
      <c r="M1127" s="20" t="s">
        <v>112</v>
      </c>
      <c r="N1127" s="19" t="s">
        <v>1397</v>
      </c>
      <c r="O1127" s="19" t="str">
        <f t="shared" si="34"/>
        <v>22</v>
      </c>
      <c r="P1127" s="64">
        <f t="shared" si="35"/>
        <v>42573</v>
      </c>
    </row>
    <row r="1128" spans="1:16" x14ac:dyDescent="0.25">
      <c r="A1128" s="26">
        <v>42573.402106481481</v>
      </c>
      <c r="B1128" s="51" t="s">
        <v>163</v>
      </c>
      <c r="C1128" s="4" t="s">
        <v>539</v>
      </c>
      <c r="D1128" s="4" t="s">
        <v>103</v>
      </c>
      <c r="E1128" s="51" t="s">
        <v>122</v>
      </c>
      <c r="F1128" s="3">
        <v>0</v>
      </c>
      <c r="G1128" s="3">
        <v>68</v>
      </c>
      <c r="H1128" s="3">
        <v>20356</v>
      </c>
      <c r="I1128" s="51" t="s">
        <v>123</v>
      </c>
      <c r="J1128" s="3">
        <v>20617</v>
      </c>
      <c r="K1128" s="4" t="s">
        <v>111</v>
      </c>
      <c r="L1128" s="56" t="s">
        <v>396</v>
      </c>
      <c r="M1128" s="20" t="s">
        <v>112</v>
      </c>
      <c r="N1128" s="19" t="s">
        <v>1397</v>
      </c>
      <c r="O1128" s="19" t="str">
        <f t="shared" si="34"/>
        <v>22</v>
      </c>
      <c r="P1128" s="64">
        <f t="shared" si="35"/>
        <v>42573</v>
      </c>
    </row>
    <row r="1129" spans="1:16" x14ac:dyDescent="0.25">
      <c r="A1129" s="26">
        <v>42573.906956018516</v>
      </c>
      <c r="B1129" s="51" t="s">
        <v>138</v>
      </c>
      <c r="C1129" s="4" t="s">
        <v>1398</v>
      </c>
      <c r="D1129" s="4" t="s">
        <v>103</v>
      </c>
      <c r="E1129" s="51" t="s">
        <v>122</v>
      </c>
      <c r="F1129" s="3">
        <v>0</v>
      </c>
      <c r="G1129" s="3">
        <v>736</v>
      </c>
      <c r="H1129" s="3">
        <v>74025</v>
      </c>
      <c r="I1129" s="51" t="s">
        <v>123</v>
      </c>
      <c r="J1129" s="3">
        <v>75566</v>
      </c>
      <c r="K1129" s="4" t="s">
        <v>111</v>
      </c>
      <c r="L1129" s="56" t="s">
        <v>469</v>
      </c>
      <c r="M1129" s="20" t="s">
        <v>107</v>
      </c>
      <c r="N1129" s="19" t="s">
        <v>52</v>
      </c>
      <c r="O1129" s="19" t="str">
        <f t="shared" si="34"/>
        <v>22</v>
      </c>
      <c r="P1129" s="64">
        <f t="shared" si="35"/>
        <v>42573</v>
      </c>
    </row>
    <row r="1130" spans="1:16" x14ac:dyDescent="0.25">
      <c r="A1130" s="26">
        <v>42573.805520833332</v>
      </c>
      <c r="B1130" s="51" t="s">
        <v>125</v>
      </c>
      <c r="C1130" s="4" t="s">
        <v>349</v>
      </c>
      <c r="D1130" s="4" t="s">
        <v>103</v>
      </c>
      <c r="E1130" s="51" t="s">
        <v>122</v>
      </c>
      <c r="F1130" s="3">
        <v>0</v>
      </c>
      <c r="G1130" s="3">
        <v>433</v>
      </c>
      <c r="H1130" s="3">
        <v>105793</v>
      </c>
      <c r="I1130" s="51" t="s">
        <v>123</v>
      </c>
      <c r="J1130" s="3">
        <v>107939</v>
      </c>
      <c r="K1130" s="4" t="s">
        <v>111</v>
      </c>
      <c r="L1130" s="56" t="s">
        <v>538</v>
      </c>
      <c r="M1130" s="20" t="s">
        <v>112</v>
      </c>
      <c r="N1130" s="19" t="s">
        <v>1274</v>
      </c>
      <c r="O1130" s="19" t="str">
        <f t="shared" si="34"/>
        <v>22</v>
      </c>
      <c r="P1130" s="64">
        <f t="shared" si="35"/>
        <v>42573</v>
      </c>
    </row>
    <row r="1131" spans="1:16" x14ac:dyDescent="0.25">
      <c r="A1131" s="26">
        <v>42573.280821759261</v>
      </c>
      <c r="B1131" s="51" t="s">
        <v>124</v>
      </c>
      <c r="C1131" s="4" t="s">
        <v>1399</v>
      </c>
      <c r="D1131" s="4" t="s">
        <v>116</v>
      </c>
      <c r="E1131" s="51" t="s">
        <v>1400</v>
      </c>
      <c r="F1131" s="3">
        <v>790</v>
      </c>
      <c r="G1131" s="3">
        <v>846</v>
      </c>
      <c r="H1131" s="3">
        <v>99069</v>
      </c>
      <c r="I1131" s="51" t="s">
        <v>105</v>
      </c>
      <c r="J1131" s="3">
        <v>126678</v>
      </c>
      <c r="K1131" s="4" t="s">
        <v>106</v>
      </c>
      <c r="L1131" s="56" t="s">
        <v>453</v>
      </c>
      <c r="M1131" s="20" t="s">
        <v>112</v>
      </c>
      <c r="N1131" s="19"/>
      <c r="O1131" s="19" t="str">
        <f t="shared" si="34"/>
        <v>22</v>
      </c>
      <c r="P1131" s="64">
        <f t="shared" si="35"/>
        <v>42573</v>
      </c>
    </row>
    <row r="1132" spans="1:16" x14ac:dyDescent="0.25">
      <c r="A1132" s="26">
        <v>42573.200624999998</v>
      </c>
      <c r="B1132" s="51" t="s">
        <v>139</v>
      </c>
      <c r="C1132" s="4" t="s">
        <v>1401</v>
      </c>
      <c r="D1132" s="4" t="s">
        <v>103</v>
      </c>
      <c r="E1132" s="51" t="s">
        <v>129</v>
      </c>
      <c r="F1132" s="3">
        <v>0</v>
      </c>
      <c r="G1132" s="3">
        <v>41</v>
      </c>
      <c r="H1132" s="3">
        <v>145</v>
      </c>
      <c r="I1132" s="51" t="s">
        <v>130</v>
      </c>
      <c r="J1132" s="3">
        <v>1</v>
      </c>
      <c r="K1132" s="4" t="s">
        <v>106</v>
      </c>
      <c r="L1132" s="56" t="s">
        <v>428</v>
      </c>
      <c r="M1132" s="20" t="s">
        <v>112</v>
      </c>
      <c r="N1132" s="19"/>
      <c r="O1132" s="19" t="str">
        <f t="shared" si="34"/>
        <v>22</v>
      </c>
      <c r="P1132" s="64">
        <f t="shared" si="35"/>
        <v>42573</v>
      </c>
    </row>
    <row r="1133" spans="1:16" x14ac:dyDescent="0.25">
      <c r="A1133" s="26">
        <v>42573.283148148148</v>
      </c>
      <c r="B1133" s="51" t="s">
        <v>139</v>
      </c>
      <c r="C1133" s="4" t="s">
        <v>197</v>
      </c>
      <c r="D1133" s="4" t="s">
        <v>103</v>
      </c>
      <c r="E1133" s="51" t="s">
        <v>129</v>
      </c>
      <c r="F1133" s="3">
        <v>0</v>
      </c>
      <c r="G1133" s="3">
        <v>48</v>
      </c>
      <c r="H1133" s="3">
        <v>174</v>
      </c>
      <c r="I1133" s="51" t="s">
        <v>130</v>
      </c>
      <c r="J1133" s="3">
        <v>1</v>
      </c>
      <c r="K1133" s="4" t="s">
        <v>106</v>
      </c>
      <c r="L1133" s="56" t="s">
        <v>428</v>
      </c>
      <c r="M1133" s="20" t="s">
        <v>112</v>
      </c>
      <c r="N1133" s="19"/>
      <c r="O1133" s="19" t="str">
        <f t="shared" si="34"/>
        <v>22</v>
      </c>
      <c r="P1133" s="64">
        <f t="shared" si="35"/>
        <v>42573</v>
      </c>
    </row>
    <row r="1134" spans="1:16" x14ac:dyDescent="0.25">
      <c r="A1134" s="26">
        <v>42573.345879629633</v>
      </c>
      <c r="B1134" s="51" t="s">
        <v>131</v>
      </c>
      <c r="C1134" s="4" t="s">
        <v>1402</v>
      </c>
      <c r="D1134" s="4" t="s">
        <v>103</v>
      </c>
      <c r="E1134" s="51" t="s">
        <v>129</v>
      </c>
      <c r="F1134" s="3">
        <v>0</v>
      </c>
      <c r="G1134" s="3">
        <v>45</v>
      </c>
      <c r="H1134" s="3">
        <v>172</v>
      </c>
      <c r="I1134" s="51" t="s">
        <v>130</v>
      </c>
      <c r="J1134" s="3">
        <v>1</v>
      </c>
      <c r="K1134" s="4" t="s">
        <v>106</v>
      </c>
      <c r="L1134" s="56" t="s">
        <v>444</v>
      </c>
      <c r="M1134" s="20" t="s">
        <v>112</v>
      </c>
      <c r="N1134" s="19"/>
      <c r="O1134" s="19" t="str">
        <f t="shared" si="34"/>
        <v>22</v>
      </c>
      <c r="P1134" s="64">
        <f t="shared" si="35"/>
        <v>42573</v>
      </c>
    </row>
    <row r="1135" spans="1:16" x14ac:dyDescent="0.25">
      <c r="A1135" s="26">
        <v>42573.629317129627</v>
      </c>
      <c r="B1135" s="51" t="s">
        <v>119</v>
      </c>
      <c r="C1135" s="4" t="s">
        <v>200</v>
      </c>
      <c r="D1135" s="4" t="s">
        <v>103</v>
      </c>
      <c r="E1135" s="51" t="s">
        <v>129</v>
      </c>
      <c r="F1135" s="3">
        <v>0</v>
      </c>
      <c r="G1135" s="3">
        <v>51</v>
      </c>
      <c r="H1135" s="3">
        <v>185</v>
      </c>
      <c r="I1135" s="51" t="s">
        <v>130</v>
      </c>
      <c r="J1135" s="3">
        <v>1</v>
      </c>
      <c r="K1135" s="4" t="s">
        <v>106</v>
      </c>
      <c r="L1135" s="56" t="s">
        <v>473</v>
      </c>
      <c r="M1135" s="20" t="s">
        <v>112</v>
      </c>
      <c r="N1135" s="19"/>
      <c r="O1135" s="19" t="str">
        <f t="shared" si="34"/>
        <v>22</v>
      </c>
      <c r="P1135" s="64">
        <f t="shared" si="35"/>
        <v>42573</v>
      </c>
    </row>
    <row r="1136" spans="1:16" x14ac:dyDescent="0.25">
      <c r="A1136" s="26">
        <v>42573.701215277775</v>
      </c>
      <c r="B1136" s="51" t="s">
        <v>119</v>
      </c>
      <c r="C1136" s="4" t="s">
        <v>1394</v>
      </c>
      <c r="D1136" s="4" t="s">
        <v>103</v>
      </c>
      <c r="E1136" s="51" t="s">
        <v>129</v>
      </c>
      <c r="F1136" s="3">
        <v>0</v>
      </c>
      <c r="G1136" s="3">
        <v>57</v>
      </c>
      <c r="H1136" s="3">
        <v>178</v>
      </c>
      <c r="I1136" s="51" t="s">
        <v>130</v>
      </c>
      <c r="J1136" s="3">
        <v>1</v>
      </c>
      <c r="K1136" s="4" t="s">
        <v>106</v>
      </c>
      <c r="L1136" s="56" t="s">
        <v>473</v>
      </c>
      <c r="M1136" s="20" t="s">
        <v>112</v>
      </c>
      <c r="N1136" s="19"/>
      <c r="O1136" s="19" t="str">
        <f t="shared" si="34"/>
        <v>22</v>
      </c>
      <c r="P1136" s="64">
        <f t="shared" si="35"/>
        <v>42573</v>
      </c>
    </row>
    <row r="1137" spans="1:16" x14ac:dyDescent="0.25">
      <c r="A1137" s="26">
        <v>42573.779236111113</v>
      </c>
      <c r="B1137" s="51" t="s">
        <v>119</v>
      </c>
      <c r="C1137" s="4" t="s">
        <v>198</v>
      </c>
      <c r="D1137" s="4" t="s">
        <v>103</v>
      </c>
      <c r="E1137" s="51" t="s">
        <v>129</v>
      </c>
      <c r="F1137" s="3">
        <v>0</v>
      </c>
      <c r="G1137" s="3">
        <v>69</v>
      </c>
      <c r="H1137" s="3">
        <v>229</v>
      </c>
      <c r="I1137" s="51" t="s">
        <v>130</v>
      </c>
      <c r="J1137" s="3">
        <v>1</v>
      </c>
      <c r="K1137" s="4" t="s">
        <v>106</v>
      </c>
      <c r="L1137" s="56" t="s">
        <v>473</v>
      </c>
      <c r="M1137" s="20" t="s">
        <v>112</v>
      </c>
      <c r="N1137" s="19"/>
      <c r="O1137" s="19" t="str">
        <f t="shared" si="34"/>
        <v>22</v>
      </c>
      <c r="P1137" s="64">
        <f t="shared" si="35"/>
        <v>42573</v>
      </c>
    </row>
    <row r="1138" spans="1:16" x14ac:dyDescent="0.25">
      <c r="A1138" s="26">
        <v>42573.795925925922</v>
      </c>
      <c r="B1138" s="51" t="s">
        <v>139</v>
      </c>
      <c r="C1138" s="4" t="s">
        <v>1403</v>
      </c>
      <c r="D1138" s="4" t="s">
        <v>103</v>
      </c>
      <c r="E1138" s="51" t="s">
        <v>129</v>
      </c>
      <c r="F1138" s="3">
        <v>0</v>
      </c>
      <c r="G1138" s="3">
        <v>45</v>
      </c>
      <c r="H1138" s="3">
        <v>126</v>
      </c>
      <c r="I1138" s="51" t="s">
        <v>130</v>
      </c>
      <c r="J1138" s="3">
        <v>1</v>
      </c>
      <c r="K1138" s="4" t="s">
        <v>106</v>
      </c>
      <c r="L1138" s="56" t="s">
        <v>425</v>
      </c>
      <c r="M1138" s="20" t="s">
        <v>112</v>
      </c>
      <c r="N1138" s="19"/>
      <c r="O1138" s="19" t="str">
        <f t="shared" si="34"/>
        <v>22</v>
      </c>
      <c r="P1138" s="64">
        <f t="shared" si="35"/>
        <v>42573</v>
      </c>
    </row>
    <row r="1139" spans="1:16" x14ac:dyDescent="0.25">
      <c r="A1139" s="26">
        <v>42573.900069444448</v>
      </c>
      <c r="B1139" s="51" t="s">
        <v>132</v>
      </c>
      <c r="C1139" s="4" t="s">
        <v>1393</v>
      </c>
      <c r="D1139" s="4" t="s">
        <v>103</v>
      </c>
      <c r="E1139" s="51" t="s">
        <v>129</v>
      </c>
      <c r="F1139" s="3">
        <v>0</v>
      </c>
      <c r="G1139" s="3">
        <v>60</v>
      </c>
      <c r="H1139" s="3">
        <v>234</v>
      </c>
      <c r="I1139" s="51" t="s">
        <v>130</v>
      </c>
      <c r="J1139" s="3">
        <v>1</v>
      </c>
      <c r="K1139" s="4" t="s">
        <v>106</v>
      </c>
      <c r="L1139" s="56" t="s">
        <v>432</v>
      </c>
      <c r="M1139" s="20" t="s">
        <v>112</v>
      </c>
      <c r="N1139" s="19"/>
      <c r="O1139" s="19" t="str">
        <f t="shared" si="34"/>
        <v>22</v>
      </c>
      <c r="P1139" s="64">
        <f t="shared" si="35"/>
        <v>42573</v>
      </c>
    </row>
    <row r="1140" spans="1:16" x14ac:dyDescent="0.25">
      <c r="A1140" s="26">
        <v>42573.984733796293</v>
      </c>
      <c r="B1140" s="51" t="s">
        <v>132</v>
      </c>
      <c r="C1140" s="4" t="s">
        <v>1404</v>
      </c>
      <c r="D1140" s="4" t="s">
        <v>103</v>
      </c>
      <c r="E1140" s="51" t="s">
        <v>129</v>
      </c>
      <c r="F1140" s="3">
        <v>0</v>
      </c>
      <c r="G1140" s="3">
        <v>54</v>
      </c>
      <c r="H1140" s="3">
        <v>192</v>
      </c>
      <c r="I1140" s="51" t="s">
        <v>130</v>
      </c>
      <c r="J1140" s="3">
        <v>1</v>
      </c>
      <c r="K1140" s="4" t="s">
        <v>106</v>
      </c>
      <c r="L1140" s="56" t="s">
        <v>432</v>
      </c>
      <c r="M1140" s="20" t="s">
        <v>112</v>
      </c>
      <c r="N1140" s="19"/>
      <c r="O1140" s="19" t="str">
        <f t="shared" si="34"/>
        <v>22</v>
      </c>
      <c r="P1140" s="64">
        <f t="shared" si="35"/>
        <v>42573</v>
      </c>
    </row>
    <row r="1141" spans="1:16" x14ac:dyDescent="0.25">
      <c r="A1141" s="26">
        <v>42573.483437499999</v>
      </c>
      <c r="B1141" s="51" t="s">
        <v>108</v>
      </c>
      <c r="C1141" s="4" t="s">
        <v>1405</v>
      </c>
      <c r="D1141" s="4" t="s">
        <v>103</v>
      </c>
      <c r="E1141" s="51" t="s">
        <v>129</v>
      </c>
      <c r="F1141" s="3">
        <v>0</v>
      </c>
      <c r="G1141" s="3">
        <v>60</v>
      </c>
      <c r="H1141" s="3">
        <v>233261</v>
      </c>
      <c r="I1141" s="51" t="s">
        <v>130</v>
      </c>
      <c r="J1141" s="3">
        <v>233491</v>
      </c>
      <c r="K1141" s="4" t="s">
        <v>111</v>
      </c>
      <c r="L1141" s="56" t="s">
        <v>409</v>
      </c>
      <c r="M1141" s="20" t="s">
        <v>112</v>
      </c>
      <c r="N1141" s="19"/>
      <c r="O1141" s="19" t="str">
        <f t="shared" si="34"/>
        <v>22</v>
      </c>
      <c r="P1141" s="64">
        <f t="shared" si="35"/>
        <v>42573</v>
      </c>
    </row>
    <row r="1142" spans="1:16" x14ac:dyDescent="0.25">
      <c r="A1142" s="26">
        <v>42574.519745370373</v>
      </c>
      <c r="B1142" s="51" t="s">
        <v>163</v>
      </c>
      <c r="C1142" s="4" t="s">
        <v>1406</v>
      </c>
      <c r="D1142" s="4" t="s">
        <v>103</v>
      </c>
      <c r="E1142" s="51" t="s">
        <v>109</v>
      </c>
      <c r="F1142" s="3">
        <v>0</v>
      </c>
      <c r="G1142" s="3">
        <v>509</v>
      </c>
      <c r="H1142" s="3">
        <v>58167</v>
      </c>
      <c r="I1142" s="51" t="s">
        <v>110</v>
      </c>
      <c r="J1142" s="3">
        <v>58783</v>
      </c>
      <c r="K1142" s="4" t="s">
        <v>111</v>
      </c>
      <c r="L1142" s="56" t="s">
        <v>405</v>
      </c>
      <c r="M1142" s="20" t="s">
        <v>112</v>
      </c>
      <c r="N1142" s="19" t="s">
        <v>543</v>
      </c>
      <c r="O1142" s="19" t="str">
        <f t="shared" si="34"/>
        <v>23</v>
      </c>
      <c r="P1142" s="64">
        <f t="shared" si="35"/>
        <v>42574</v>
      </c>
    </row>
    <row r="1143" spans="1:16" x14ac:dyDescent="0.25">
      <c r="A1143" s="26">
        <v>42574.379513888889</v>
      </c>
      <c r="B1143" s="51" t="s">
        <v>163</v>
      </c>
      <c r="C1143" s="4" t="s">
        <v>542</v>
      </c>
      <c r="D1143" s="4" t="s">
        <v>103</v>
      </c>
      <c r="E1143" s="51" t="s">
        <v>109</v>
      </c>
      <c r="F1143" s="3">
        <v>230</v>
      </c>
      <c r="G1143" s="3">
        <v>342</v>
      </c>
      <c r="H1143" s="3">
        <v>127222</v>
      </c>
      <c r="I1143" s="51" t="s">
        <v>110</v>
      </c>
      <c r="J1143" s="3">
        <v>127562</v>
      </c>
      <c r="K1143" s="4" t="s">
        <v>111</v>
      </c>
      <c r="L1143" s="56" t="s">
        <v>428</v>
      </c>
      <c r="M1143" s="20" t="s">
        <v>112</v>
      </c>
      <c r="N1143" s="19" t="s">
        <v>543</v>
      </c>
      <c r="O1143" s="19" t="str">
        <f t="shared" si="34"/>
        <v>23</v>
      </c>
      <c r="P1143" s="64">
        <f t="shared" si="35"/>
        <v>42574</v>
      </c>
    </row>
    <row r="1144" spans="1:16" x14ac:dyDescent="0.25">
      <c r="A1144" s="26">
        <v>42574.657592592594</v>
      </c>
      <c r="B1144" s="51" t="s">
        <v>163</v>
      </c>
      <c r="C1144" s="4" t="s">
        <v>1407</v>
      </c>
      <c r="D1144" s="4" t="s">
        <v>116</v>
      </c>
      <c r="E1144" s="51" t="s">
        <v>115</v>
      </c>
      <c r="F1144" s="3">
        <v>150</v>
      </c>
      <c r="G1144" s="3">
        <v>209</v>
      </c>
      <c r="H1144" s="3">
        <v>3241</v>
      </c>
      <c r="I1144" s="51" t="s">
        <v>105</v>
      </c>
      <c r="J1144" s="3">
        <v>0</v>
      </c>
      <c r="K1144" s="4" t="s">
        <v>111</v>
      </c>
      <c r="L1144" s="56" t="s">
        <v>405</v>
      </c>
      <c r="M1144" s="20" t="s">
        <v>112</v>
      </c>
      <c r="N1144" s="19"/>
      <c r="O1144" s="19" t="str">
        <f t="shared" si="34"/>
        <v>23</v>
      </c>
      <c r="P1144" s="64">
        <f t="shared" si="35"/>
        <v>42574</v>
      </c>
    </row>
    <row r="1145" spans="1:16" x14ac:dyDescent="0.25">
      <c r="A1145" s="26">
        <v>42574.4690162037</v>
      </c>
      <c r="B1145" s="51" t="s">
        <v>117</v>
      </c>
      <c r="C1145" s="4" t="s">
        <v>1408</v>
      </c>
      <c r="D1145" s="4" t="s">
        <v>103</v>
      </c>
      <c r="E1145" s="51" t="s">
        <v>115</v>
      </c>
      <c r="F1145" s="3">
        <v>150</v>
      </c>
      <c r="G1145" s="3">
        <v>195</v>
      </c>
      <c r="H1145" s="3">
        <v>4877</v>
      </c>
      <c r="I1145" s="51" t="s">
        <v>105</v>
      </c>
      <c r="J1145" s="3">
        <v>4677</v>
      </c>
      <c r="K1145" s="4" t="s">
        <v>106</v>
      </c>
      <c r="L1145" s="56" t="s">
        <v>468</v>
      </c>
      <c r="M1145" s="20" t="s">
        <v>112</v>
      </c>
      <c r="N1145" s="19"/>
      <c r="O1145" s="19" t="str">
        <f t="shared" si="34"/>
        <v>23</v>
      </c>
      <c r="P1145" s="64">
        <f t="shared" si="35"/>
        <v>42574</v>
      </c>
    </row>
    <row r="1146" spans="1:16" x14ac:dyDescent="0.25">
      <c r="A1146" s="26">
        <v>42574.497141203705</v>
      </c>
      <c r="B1146" s="51" t="s">
        <v>143</v>
      </c>
      <c r="C1146" s="4" t="s">
        <v>1422</v>
      </c>
      <c r="D1146" s="4" t="s">
        <v>103</v>
      </c>
      <c r="E1146" s="51" t="s">
        <v>115</v>
      </c>
      <c r="F1146" s="3">
        <v>150</v>
      </c>
      <c r="G1146" s="3">
        <v>84</v>
      </c>
      <c r="H1146" s="3">
        <v>6265</v>
      </c>
      <c r="I1146" s="51" t="s">
        <v>105</v>
      </c>
      <c r="J1146" s="3">
        <v>5315</v>
      </c>
      <c r="K1146" s="4" t="s">
        <v>106</v>
      </c>
      <c r="L1146" s="56" t="s">
        <v>398</v>
      </c>
      <c r="M1146" s="20" t="s">
        <v>112</v>
      </c>
      <c r="N1146" s="19"/>
      <c r="O1146" s="19" t="str">
        <f t="shared" si="34"/>
        <v>23</v>
      </c>
      <c r="P1146" s="64">
        <f t="shared" si="35"/>
        <v>42574</v>
      </c>
    </row>
    <row r="1147" spans="1:16" x14ac:dyDescent="0.25">
      <c r="A1147" s="26">
        <v>42574.703067129631</v>
      </c>
      <c r="B1147" s="51" t="s">
        <v>143</v>
      </c>
      <c r="C1147" s="4" t="s">
        <v>1423</v>
      </c>
      <c r="D1147" s="4" t="s">
        <v>103</v>
      </c>
      <c r="E1147" s="51" t="s">
        <v>115</v>
      </c>
      <c r="F1147" s="3">
        <v>150</v>
      </c>
      <c r="G1147" s="3">
        <v>138</v>
      </c>
      <c r="H1147" s="3">
        <v>7200</v>
      </c>
      <c r="I1147" s="51" t="s">
        <v>105</v>
      </c>
      <c r="J1147" s="3">
        <v>5315</v>
      </c>
      <c r="K1147" s="4" t="s">
        <v>106</v>
      </c>
      <c r="L1147" s="56" t="s">
        <v>413</v>
      </c>
      <c r="M1147" s="20" t="s">
        <v>112</v>
      </c>
      <c r="N1147" s="19"/>
      <c r="O1147" s="19" t="str">
        <f t="shared" si="34"/>
        <v>23</v>
      </c>
      <c r="P1147" s="64">
        <f t="shared" si="35"/>
        <v>42574</v>
      </c>
    </row>
    <row r="1148" spans="1:16" x14ac:dyDescent="0.25">
      <c r="A1148" s="26">
        <v>42574.496724537035</v>
      </c>
      <c r="B1148" s="51" t="s">
        <v>143</v>
      </c>
      <c r="C1148" s="4" t="s">
        <v>1422</v>
      </c>
      <c r="D1148" s="4" t="s">
        <v>103</v>
      </c>
      <c r="E1148" s="51" t="s">
        <v>115</v>
      </c>
      <c r="F1148" s="3">
        <v>200</v>
      </c>
      <c r="G1148" s="3">
        <v>178</v>
      </c>
      <c r="H1148" s="3">
        <v>6738</v>
      </c>
      <c r="I1148" s="51" t="s">
        <v>105</v>
      </c>
      <c r="J1148" s="3">
        <v>5990</v>
      </c>
      <c r="K1148" s="4" t="s">
        <v>106</v>
      </c>
      <c r="L1148" s="56" t="s">
        <v>398</v>
      </c>
      <c r="M1148" s="20" t="s">
        <v>112</v>
      </c>
      <c r="N1148" s="19"/>
      <c r="O1148" s="19" t="str">
        <f t="shared" si="34"/>
        <v>23</v>
      </c>
      <c r="P1148" s="64">
        <f t="shared" si="35"/>
        <v>42574</v>
      </c>
    </row>
    <row r="1149" spans="1:16" x14ac:dyDescent="0.25">
      <c r="A1149" s="26">
        <v>42574.534780092596</v>
      </c>
      <c r="B1149" s="51" t="s">
        <v>143</v>
      </c>
      <c r="C1149" s="4" t="s">
        <v>1424</v>
      </c>
      <c r="D1149" s="4" t="s">
        <v>103</v>
      </c>
      <c r="E1149" s="51" t="s">
        <v>115</v>
      </c>
      <c r="F1149" s="3">
        <v>500</v>
      </c>
      <c r="G1149" s="3">
        <v>552</v>
      </c>
      <c r="H1149" s="3">
        <v>13294</v>
      </c>
      <c r="I1149" s="51" t="s">
        <v>105</v>
      </c>
      <c r="J1149" s="3">
        <v>11582</v>
      </c>
      <c r="K1149" s="4" t="s">
        <v>106</v>
      </c>
      <c r="L1149" s="56" t="s">
        <v>398</v>
      </c>
      <c r="M1149" s="20" t="s">
        <v>112</v>
      </c>
      <c r="N1149" s="19"/>
      <c r="O1149" s="19" t="str">
        <f t="shared" si="34"/>
        <v>23</v>
      </c>
      <c r="P1149" s="64">
        <f t="shared" si="35"/>
        <v>42574</v>
      </c>
    </row>
    <row r="1150" spans="1:16" x14ac:dyDescent="0.25">
      <c r="A1150" s="26">
        <v>42574.451064814813</v>
      </c>
      <c r="B1150" s="51" t="s">
        <v>143</v>
      </c>
      <c r="C1150" s="4" t="s">
        <v>1425</v>
      </c>
      <c r="D1150" s="4" t="s">
        <v>103</v>
      </c>
      <c r="E1150" s="51" t="s">
        <v>115</v>
      </c>
      <c r="F1150" s="3">
        <v>500</v>
      </c>
      <c r="G1150" s="3">
        <v>473</v>
      </c>
      <c r="H1150" s="3">
        <v>18624</v>
      </c>
      <c r="I1150" s="51" t="s">
        <v>105</v>
      </c>
      <c r="J1150" s="3">
        <v>16928</v>
      </c>
      <c r="K1150" s="4" t="s">
        <v>106</v>
      </c>
      <c r="L1150" s="56" t="s">
        <v>398</v>
      </c>
      <c r="M1150" s="20" t="s">
        <v>112</v>
      </c>
      <c r="N1150" s="19"/>
      <c r="O1150" s="19" t="str">
        <f t="shared" si="34"/>
        <v>23</v>
      </c>
      <c r="P1150" s="64">
        <f t="shared" si="35"/>
        <v>42574</v>
      </c>
    </row>
    <row r="1151" spans="1:16" x14ac:dyDescent="0.25">
      <c r="A1151" s="26">
        <v>42574.982361111113</v>
      </c>
      <c r="B1151" s="4" t="s">
        <v>133</v>
      </c>
      <c r="C1151" s="4" t="s">
        <v>1409</v>
      </c>
      <c r="D1151" s="4" t="s">
        <v>103</v>
      </c>
      <c r="E1151" s="4" t="s">
        <v>115</v>
      </c>
      <c r="F1151" s="3">
        <v>400</v>
      </c>
      <c r="G1151" s="3">
        <v>451</v>
      </c>
      <c r="H1151" s="3">
        <v>17349</v>
      </c>
      <c r="I1151" s="4" t="s">
        <v>105</v>
      </c>
      <c r="J1151" s="3">
        <v>17867</v>
      </c>
      <c r="K1151" s="4" t="s">
        <v>111</v>
      </c>
      <c r="L1151" s="56" t="s">
        <v>432</v>
      </c>
      <c r="M1151" s="20" t="s">
        <v>112</v>
      </c>
      <c r="N1151" s="19"/>
      <c r="O1151" s="19" t="str">
        <f t="shared" si="34"/>
        <v>23</v>
      </c>
      <c r="P1151" s="64">
        <f t="shared" si="35"/>
        <v>42574</v>
      </c>
    </row>
    <row r="1152" spans="1:16" x14ac:dyDescent="0.25">
      <c r="A1152" s="26">
        <v>42574.51489583333</v>
      </c>
      <c r="B1152" s="51" t="s">
        <v>163</v>
      </c>
      <c r="C1152" s="4" t="s">
        <v>1406</v>
      </c>
      <c r="D1152" s="4" t="s">
        <v>116</v>
      </c>
      <c r="E1152" s="51" t="s">
        <v>115</v>
      </c>
      <c r="F1152" s="3">
        <v>300</v>
      </c>
      <c r="G1152" s="3">
        <v>352</v>
      </c>
      <c r="H1152" s="3">
        <v>21940</v>
      </c>
      <c r="I1152" s="51" t="s">
        <v>105</v>
      </c>
      <c r="J1152" s="3">
        <v>20338</v>
      </c>
      <c r="K1152" s="4" t="s">
        <v>111</v>
      </c>
      <c r="L1152" s="56" t="s">
        <v>405</v>
      </c>
      <c r="M1152" s="20" t="s">
        <v>112</v>
      </c>
      <c r="N1152" s="19"/>
      <c r="O1152" s="19" t="str">
        <f t="shared" si="34"/>
        <v>23</v>
      </c>
      <c r="P1152" s="64">
        <f t="shared" si="35"/>
        <v>42574</v>
      </c>
    </row>
    <row r="1153" spans="1:16" x14ac:dyDescent="0.25">
      <c r="A1153" s="26">
        <v>42574.352546296293</v>
      </c>
      <c r="B1153" s="51" t="s">
        <v>135</v>
      </c>
      <c r="C1153" s="4" t="s">
        <v>1426</v>
      </c>
      <c r="D1153" s="4" t="s">
        <v>103</v>
      </c>
      <c r="E1153" s="51" t="s">
        <v>115</v>
      </c>
      <c r="F1153" s="3">
        <v>300</v>
      </c>
      <c r="G1153" s="3">
        <v>306</v>
      </c>
      <c r="H1153" s="3">
        <v>20737</v>
      </c>
      <c r="I1153" s="51" t="s">
        <v>105</v>
      </c>
      <c r="J1153" s="3">
        <v>21314</v>
      </c>
      <c r="K1153" s="4" t="s">
        <v>111</v>
      </c>
      <c r="L1153" s="56" t="s">
        <v>398</v>
      </c>
      <c r="M1153" s="20" t="s">
        <v>112</v>
      </c>
      <c r="N1153" s="19"/>
      <c r="O1153" s="19" t="str">
        <f t="shared" si="34"/>
        <v>23</v>
      </c>
      <c r="P1153" s="64">
        <f t="shared" si="35"/>
        <v>42574</v>
      </c>
    </row>
    <row r="1154" spans="1:16" x14ac:dyDescent="0.25">
      <c r="A1154" s="26">
        <v>42574.6015162037</v>
      </c>
      <c r="B1154" s="51" t="s">
        <v>135</v>
      </c>
      <c r="C1154" s="4" t="s">
        <v>1427</v>
      </c>
      <c r="D1154" s="4" t="s">
        <v>103</v>
      </c>
      <c r="E1154" s="51" t="s">
        <v>115</v>
      </c>
      <c r="F1154" s="3">
        <v>300</v>
      </c>
      <c r="G1154" s="3">
        <v>307</v>
      </c>
      <c r="H1154" s="3">
        <v>20261</v>
      </c>
      <c r="I1154" s="51" t="s">
        <v>105</v>
      </c>
      <c r="J1154" s="3">
        <v>21314</v>
      </c>
      <c r="K1154" s="4" t="s">
        <v>111</v>
      </c>
      <c r="L1154" s="56" t="s">
        <v>413</v>
      </c>
      <c r="M1154" s="20" t="s">
        <v>112</v>
      </c>
      <c r="N1154" s="19"/>
      <c r="O1154" s="19" t="str">
        <f t="shared" ref="O1154:O1217" si="36">RIGHT(C1154,2)</f>
        <v>23</v>
      </c>
      <c r="P1154" s="64">
        <f t="shared" si="35"/>
        <v>42574</v>
      </c>
    </row>
    <row r="1155" spans="1:16" x14ac:dyDescent="0.25">
      <c r="A1155" s="26">
        <v>42574.497719907406</v>
      </c>
      <c r="B1155" s="51" t="s">
        <v>124</v>
      </c>
      <c r="C1155" s="4" t="s">
        <v>353</v>
      </c>
      <c r="D1155" s="4" t="s">
        <v>103</v>
      </c>
      <c r="E1155" s="51" t="s">
        <v>115</v>
      </c>
      <c r="F1155" s="3">
        <v>300</v>
      </c>
      <c r="G1155" s="3">
        <v>510</v>
      </c>
      <c r="H1155" s="3">
        <v>24364</v>
      </c>
      <c r="I1155" s="51" t="s">
        <v>105</v>
      </c>
      <c r="J1155" s="3">
        <v>21848</v>
      </c>
      <c r="K1155" s="4" t="s">
        <v>106</v>
      </c>
      <c r="L1155" s="56" t="s">
        <v>405</v>
      </c>
      <c r="M1155" s="20" t="s">
        <v>112</v>
      </c>
      <c r="N1155" s="19"/>
      <c r="O1155" s="19" t="str">
        <f t="shared" si="36"/>
        <v>23</v>
      </c>
      <c r="P1155" s="64">
        <f t="shared" ref="P1155:P1218" si="37">42522+O1155+29</f>
        <v>42574</v>
      </c>
    </row>
    <row r="1156" spans="1:16" x14ac:dyDescent="0.25">
      <c r="A1156" s="26">
        <v>42574.569756944446</v>
      </c>
      <c r="B1156" s="51" t="s">
        <v>124</v>
      </c>
      <c r="C1156" s="4" t="s">
        <v>351</v>
      </c>
      <c r="D1156" s="4" t="s">
        <v>103</v>
      </c>
      <c r="E1156" s="51" t="s">
        <v>115</v>
      </c>
      <c r="F1156" s="3">
        <v>200</v>
      </c>
      <c r="G1156" s="3">
        <v>434</v>
      </c>
      <c r="H1156" s="3">
        <v>32944</v>
      </c>
      <c r="I1156" s="51" t="s">
        <v>105</v>
      </c>
      <c r="J1156" s="3">
        <v>30562</v>
      </c>
      <c r="K1156" s="4" t="s">
        <v>106</v>
      </c>
      <c r="L1156" s="56" t="s">
        <v>405</v>
      </c>
      <c r="M1156" s="20" t="s">
        <v>112</v>
      </c>
      <c r="N1156" s="19"/>
      <c r="O1156" s="19" t="str">
        <f t="shared" si="36"/>
        <v>23</v>
      </c>
      <c r="P1156" s="64">
        <f t="shared" si="37"/>
        <v>42574</v>
      </c>
    </row>
    <row r="1157" spans="1:16" x14ac:dyDescent="0.25">
      <c r="A1157" s="26">
        <v>42574.687488425923</v>
      </c>
      <c r="B1157" s="51" t="s">
        <v>135</v>
      </c>
      <c r="C1157" s="4" t="s">
        <v>1428</v>
      </c>
      <c r="D1157" s="4" t="s">
        <v>103</v>
      </c>
      <c r="E1157" s="51" t="s">
        <v>115</v>
      </c>
      <c r="F1157" s="3">
        <v>600</v>
      </c>
      <c r="G1157" s="3">
        <v>651</v>
      </c>
      <c r="H1157" s="3">
        <v>29217</v>
      </c>
      <c r="I1157" s="51" t="s">
        <v>105</v>
      </c>
      <c r="J1157" s="3">
        <v>30784</v>
      </c>
      <c r="K1157" s="4" t="s">
        <v>111</v>
      </c>
      <c r="L1157" s="56" t="s">
        <v>413</v>
      </c>
      <c r="M1157" s="20" t="s">
        <v>112</v>
      </c>
      <c r="N1157" s="19"/>
      <c r="O1157" s="19" t="str">
        <f t="shared" si="36"/>
        <v>23</v>
      </c>
      <c r="P1157" s="64">
        <f t="shared" si="37"/>
        <v>42574</v>
      </c>
    </row>
    <row r="1158" spans="1:16" x14ac:dyDescent="0.25">
      <c r="A1158" s="26">
        <v>42574.699965277781</v>
      </c>
      <c r="B1158" s="51" t="s">
        <v>143</v>
      </c>
      <c r="C1158" s="4" t="s">
        <v>1423</v>
      </c>
      <c r="D1158" s="4" t="s">
        <v>116</v>
      </c>
      <c r="E1158" s="51" t="s">
        <v>115</v>
      </c>
      <c r="F1158" s="3">
        <v>600</v>
      </c>
      <c r="G1158" s="3">
        <v>652</v>
      </c>
      <c r="H1158" s="3">
        <v>30854</v>
      </c>
      <c r="I1158" s="51" t="s">
        <v>105</v>
      </c>
      <c r="J1158" s="3">
        <v>37577</v>
      </c>
      <c r="K1158" s="4" t="s">
        <v>106</v>
      </c>
      <c r="L1158" s="56" t="s">
        <v>413</v>
      </c>
      <c r="M1158" s="20" t="s">
        <v>112</v>
      </c>
      <c r="N1158" s="19"/>
      <c r="O1158" s="19" t="str">
        <f t="shared" si="36"/>
        <v>23</v>
      </c>
      <c r="P1158" s="64">
        <f t="shared" si="37"/>
        <v>42574</v>
      </c>
    </row>
    <row r="1159" spans="1:16" x14ac:dyDescent="0.25">
      <c r="A1159" s="26">
        <v>42574.936192129629</v>
      </c>
      <c r="B1159" s="4" t="s">
        <v>135</v>
      </c>
      <c r="C1159" s="4" t="s">
        <v>1429</v>
      </c>
      <c r="D1159" s="4" t="s">
        <v>103</v>
      </c>
      <c r="E1159" s="4" t="s">
        <v>115</v>
      </c>
      <c r="F1159" s="3">
        <v>400</v>
      </c>
      <c r="G1159" s="3">
        <v>453</v>
      </c>
      <c r="H1159" s="3">
        <v>37543</v>
      </c>
      <c r="I1159" s="4" t="s">
        <v>105</v>
      </c>
      <c r="J1159" s="3">
        <v>38171</v>
      </c>
      <c r="K1159" s="4" t="s">
        <v>111</v>
      </c>
      <c r="L1159" s="56" t="s">
        <v>413</v>
      </c>
      <c r="M1159" s="20" t="s">
        <v>112</v>
      </c>
      <c r="N1159" s="19"/>
      <c r="O1159" s="19" t="str">
        <f t="shared" si="36"/>
        <v>23</v>
      </c>
      <c r="P1159" s="64">
        <f t="shared" si="37"/>
        <v>42574</v>
      </c>
    </row>
    <row r="1160" spans="1:16" x14ac:dyDescent="0.25">
      <c r="A1160" s="26">
        <v>42574.604745370372</v>
      </c>
      <c r="B1160" s="51" t="s">
        <v>135</v>
      </c>
      <c r="C1160" s="4" t="s">
        <v>1427</v>
      </c>
      <c r="D1160" s="4" t="s">
        <v>103</v>
      </c>
      <c r="E1160" s="51" t="s">
        <v>115</v>
      </c>
      <c r="F1160" s="3">
        <v>300</v>
      </c>
      <c r="G1160" s="3">
        <v>270</v>
      </c>
      <c r="H1160" s="3">
        <v>40353</v>
      </c>
      <c r="I1160" s="51" t="s">
        <v>105</v>
      </c>
      <c r="J1160" s="3">
        <v>40977</v>
      </c>
      <c r="K1160" s="4" t="s">
        <v>111</v>
      </c>
      <c r="L1160" s="56" t="s">
        <v>413</v>
      </c>
      <c r="M1160" s="20" t="s">
        <v>112</v>
      </c>
      <c r="N1160" s="19"/>
      <c r="O1160" s="19" t="str">
        <f t="shared" si="36"/>
        <v>23</v>
      </c>
      <c r="P1160" s="64">
        <f t="shared" si="37"/>
        <v>42574</v>
      </c>
    </row>
    <row r="1161" spans="1:16" x14ac:dyDescent="0.25">
      <c r="A1161" s="26">
        <v>42574.647303240738</v>
      </c>
      <c r="B1161" s="51" t="s">
        <v>135</v>
      </c>
      <c r="C1161" s="4" t="s">
        <v>1430</v>
      </c>
      <c r="D1161" s="4" t="s">
        <v>103</v>
      </c>
      <c r="E1161" s="51" t="s">
        <v>115</v>
      </c>
      <c r="F1161" s="3">
        <v>150</v>
      </c>
      <c r="G1161" s="3">
        <v>138</v>
      </c>
      <c r="H1161" s="3">
        <v>56644</v>
      </c>
      <c r="I1161" s="51" t="s">
        <v>105</v>
      </c>
      <c r="J1161" s="3">
        <v>57008</v>
      </c>
      <c r="K1161" s="4" t="s">
        <v>111</v>
      </c>
      <c r="L1161" s="56" t="s">
        <v>413</v>
      </c>
      <c r="M1161" s="20" t="s">
        <v>112</v>
      </c>
      <c r="N1161" s="19"/>
      <c r="O1161" s="19" t="str">
        <f t="shared" si="36"/>
        <v>23</v>
      </c>
      <c r="P1161" s="64">
        <f t="shared" si="37"/>
        <v>42574</v>
      </c>
    </row>
    <row r="1162" spans="1:16" x14ac:dyDescent="0.25">
      <c r="A1162" s="26">
        <v>42574.51935185185</v>
      </c>
      <c r="B1162" s="51" t="s">
        <v>119</v>
      </c>
      <c r="C1162" s="4" t="s">
        <v>1410</v>
      </c>
      <c r="D1162" s="4" t="s">
        <v>103</v>
      </c>
      <c r="E1162" s="51" t="s">
        <v>115</v>
      </c>
      <c r="F1162" s="3">
        <v>400</v>
      </c>
      <c r="G1162" s="3">
        <v>491</v>
      </c>
      <c r="H1162" s="3">
        <v>121105</v>
      </c>
      <c r="I1162" s="51" t="s">
        <v>105</v>
      </c>
      <c r="J1162" s="3">
        <v>119716</v>
      </c>
      <c r="K1162" s="4" t="s">
        <v>106</v>
      </c>
      <c r="L1162" s="56" t="s">
        <v>436</v>
      </c>
      <c r="M1162" s="20" t="s">
        <v>112</v>
      </c>
      <c r="N1162" s="19"/>
      <c r="O1162" s="19" t="str">
        <f t="shared" si="36"/>
        <v>23</v>
      </c>
      <c r="P1162" s="64">
        <f t="shared" si="37"/>
        <v>42574</v>
      </c>
    </row>
    <row r="1163" spans="1:16" x14ac:dyDescent="0.25">
      <c r="A1163" s="26">
        <v>42574.737546296295</v>
      </c>
      <c r="B1163" s="51" t="s">
        <v>119</v>
      </c>
      <c r="C1163" s="4" t="s">
        <v>1411</v>
      </c>
      <c r="D1163" s="4" t="s">
        <v>103</v>
      </c>
      <c r="E1163" s="51" t="s">
        <v>115</v>
      </c>
      <c r="F1163" s="3">
        <v>400</v>
      </c>
      <c r="G1163" s="3">
        <v>485</v>
      </c>
      <c r="H1163" s="3">
        <v>120963</v>
      </c>
      <c r="I1163" s="51" t="s">
        <v>105</v>
      </c>
      <c r="J1163" s="3">
        <v>119716</v>
      </c>
      <c r="K1163" s="4" t="s">
        <v>106</v>
      </c>
      <c r="L1163" s="56" t="s">
        <v>436</v>
      </c>
      <c r="M1163" s="20" t="s">
        <v>112</v>
      </c>
      <c r="N1163" s="19"/>
      <c r="O1163" s="19" t="str">
        <f t="shared" si="36"/>
        <v>23</v>
      </c>
      <c r="P1163" s="64">
        <f t="shared" si="37"/>
        <v>42574</v>
      </c>
    </row>
    <row r="1164" spans="1:16" x14ac:dyDescent="0.25">
      <c r="A1164" s="26">
        <v>42574.841608796298</v>
      </c>
      <c r="B1164" s="4" t="s">
        <v>165</v>
      </c>
      <c r="C1164" s="4" t="s">
        <v>1412</v>
      </c>
      <c r="D1164" s="4" t="s">
        <v>103</v>
      </c>
      <c r="E1164" s="4" t="s">
        <v>115</v>
      </c>
      <c r="F1164" s="3">
        <v>450</v>
      </c>
      <c r="G1164" s="3">
        <v>560</v>
      </c>
      <c r="H1164" s="3">
        <v>188577</v>
      </c>
      <c r="I1164" s="4" t="s">
        <v>105</v>
      </c>
      <c r="J1164" s="3">
        <v>190834</v>
      </c>
      <c r="K1164" s="4" t="s">
        <v>111</v>
      </c>
      <c r="L1164" s="56" t="s">
        <v>538</v>
      </c>
      <c r="M1164" s="20" t="s">
        <v>112</v>
      </c>
      <c r="N1164" s="19"/>
      <c r="O1164" s="19" t="str">
        <f t="shared" si="36"/>
        <v>23</v>
      </c>
      <c r="P1164" s="64">
        <f t="shared" si="37"/>
        <v>42574</v>
      </c>
    </row>
    <row r="1165" spans="1:16" x14ac:dyDescent="0.25">
      <c r="A1165" s="26">
        <v>42574.981712962966</v>
      </c>
      <c r="B1165" s="4" t="s">
        <v>102</v>
      </c>
      <c r="C1165" s="4" t="s">
        <v>1413</v>
      </c>
      <c r="D1165" s="4" t="s">
        <v>116</v>
      </c>
      <c r="E1165" s="4" t="s">
        <v>115</v>
      </c>
      <c r="F1165" s="3">
        <v>600</v>
      </c>
      <c r="G1165" s="3">
        <v>650</v>
      </c>
      <c r="H1165" s="3">
        <v>183773</v>
      </c>
      <c r="I1165" s="4" t="s">
        <v>105</v>
      </c>
      <c r="J1165" s="3">
        <v>190834</v>
      </c>
      <c r="K1165" s="4" t="s">
        <v>106</v>
      </c>
      <c r="L1165" s="56" t="s">
        <v>538</v>
      </c>
      <c r="M1165" s="20" t="s">
        <v>112</v>
      </c>
      <c r="N1165" s="19"/>
      <c r="O1165" s="19" t="str">
        <f t="shared" si="36"/>
        <v>23</v>
      </c>
      <c r="P1165" s="64">
        <f t="shared" si="37"/>
        <v>42574</v>
      </c>
    </row>
    <row r="1166" spans="1:16" x14ac:dyDescent="0.25">
      <c r="A1166" s="26">
        <v>42574.553333333337</v>
      </c>
      <c r="B1166" s="51" t="s">
        <v>124</v>
      </c>
      <c r="C1166" s="4" t="s">
        <v>351</v>
      </c>
      <c r="D1166" s="4" t="s">
        <v>103</v>
      </c>
      <c r="E1166" s="51" t="s">
        <v>115</v>
      </c>
      <c r="F1166" s="3">
        <v>750</v>
      </c>
      <c r="G1166" s="3">
        <v>805</v>
      </c>
      <c r="H1166" s="3">
        <v>202136</v>
      </c>
      <c r="I1166" s="51" t="s">
        <v>105</v>
      </c>
      <c r="J1166" s="3">
        <v>200464</v>
      </c>
      <c r="K1166" s="4" t="s">
        <v>106</v>
      </c>
      <c r="L1166" s="56" t="s">
        <v>405</v>
      </c>
      <c r="M1166" s="20" t="s">
        <v>112</v>
      </c>
      <c r="N1166" s="19"/>
      <c r="O1166" s="19" t="str">
        <f t="shared" si="36"/>
        <v>23</v>
      </c>
      <c r="P1166" s="64">
        <f t="shared" si="37"/>
        <v>42574</v>
      </c>
    </row>
    <row r="1167" spans="1:16" x14ac:dyDescent="0.25">
      <c r="A1167" s="26">
        <v>42574.502199074072</v>
      </c>
      <c r="B1167" s="51" t="s">
        <v>126</v>
      </c>
      <c r="C1167" s="4" t="s">
        <v>1414</v>
      </c>
      <c r="D1167" s="4" t="s">
        <v>103</v>
      </c>
      <c r="E1167" s="51" t="s">
        <v>115</v>
      </c>
      <c r="F1167" s="3">
        <v>550</v>
      </c>
      <c r="G1167" s="3">
        <v>639</v>
      </c>
      <c r="H1167" s="3">
        <v>220087</v>
      </c>
      <c r="I1167" s="51" t="s">
        <v>105</v>
      </c>
      <c r="J1167" s="3">
        <v>222090</v>
      </c>
      <c r="K1167" s="4" t="s">
        <v>111</v>
      </c>
      <c r="L1167" s="56" t="s">
        <v>473</v>
      </c>
      <c r="M1167" s="20" t="s">
        <v>112</v>
      </c>
      <c r="N1167" s="19"/>
      <c r="O1167" s="19" t="str">
        <f t="shared" si="36"/>
        <v>23</v>
      </c>
      <c r="P1167" s="64">
        <f t="shared" si="37"/>
        <v>42574</v>
      </c>
    </row>
    <row r="1168" spans="1:16" x14ac:dyDescent="0.25">
      <c r="A1168" s="26">
        <v>42574.426550925928</v>
      </c>
      <c r="B1168" s="51" t="s">
        <v>134</v>
      </c>
      <c r="C1168" s="4" t="s">
        <v>352</v>
      </c>
      <c r="D1168" s="4" t="s">
        <v>116</v>
      </c>
      <c r="E1168" s="51" t="s">
        <v>115</v>
      </c>
      <c r="F1168" s="3">
        <v>350</v>
      </c>
      <c r="G1168" s="3">
        <v>406</v>
      </c>
      <c r="H1168" s="3">
        <v>224660</v>
      </c>
      <c r="I1168" s="51" t="s">
        <v>105</v>
      </c>
      <c r="J1168" s="3">
        <v>228668</v>
      </c>
      <c r="K1168" s="4" t="s">
        <v>106</v>
      </c>
      <c r="L1168" s="56" t="s">
        <v>396</v>
      </c>
      <c r="M1168" s="20" t="s">
        <v>112</v>
      </c>
      <c r="N1168" s="19"/>
      <c r="O1168" s="19" t="str">
        <f t="shared" si="36"/>
        <v>23</v>
      </c>
      <c r="P1168" s="64">
        <f t="shared" si="37"/>
        <v>42574</v>
      </c>
    </row>
    <row r="1169" spans="1:16" x14ac:dyDescent="0.25">
      <c r="A1169" s="26">
        <v>42574.446319444447</v>
      </c>
      <c r="B1169" s="51" t="s">
        <v>117</v>
      </c>
      <c r="C1169" s="4" t="s">
        <v>1408</v>
      </c>
      <c r="D1169" s="4" t="s">
        <v>103</v>
      </c>
      <c r="E1169" s="51" t="s">
        <v>115</v>
      </c>
      <c r="F1169" s="3">
        <v>150</v>
      </c>
      <c r="G1169" s="3">
        <v>193</v>
      </c>
      <c r="H1169" s="3">
        <v>229304</v>
      </c>
      <c r="I1169" s="51" t="s">
        <v>105</v>
      </c>
      <c r="J1169" s="3">
        <v>229055</v>
      </c>
      <c r="K1169" s="4" t="s">
        <v>106</v>
      </c>
      <c r="L1169" s="56" t="s">
        <v>468</v>
      </c>
      <c r="M1169" s="20" t="s">
        <v>112</v>
      </c>
      <c r="N1169" s="19"/>
      <c r="O1169" s="19" t="str">
        <f t="shared" si="36"/>
        <v>23</v>
      </c>
      <c r="P1169" s="64">
        <f t="shared" si="37"/>
        <v>42574</v>
      </c>
    </row>
    <row r="1170" spans="1:16" x14ac:dyDescent="0.25">
      <c r="A1170" s="26">
        <v>42574.711562500001</v>
      </c>
      <c r="B1170" s="51" t="s">
        <v>133</v>
      </c>
      <c r="C1170" s="4" t="s">
        <v>354</v>
      </c>
      <c r="D1170" s="4" t="s">
        <v>103</v>
      </c>
      <c r="E1170" s="51" t="s">
        <v>115</v>
      </c>
      <c r="F1170" s="3">
        <v>150</v>
      </c>
      <c r="G1170" s="3">
        <v>127</v>
      </c>
      <c r="H1170" s="3">
        <v>231529</v>
      </c>
      <c r="I1170" s="51" t="s">
        <v>105</v>
      </c>
      <c r="J1170" s="3">
        <v>232107</v>
      </c>
      <c r="K1170" s="4" t="s">
        <v>111</v>
      </c>
      <c r="L1170" s="56" t="s">
        <v>436</v>
      </c>
      <c r="M1170" s="20" t="s">
        <v>112</v>
      </c>
      <c r="N1170" s="19"/>
      <c r="O1170" s="19" t="str">
        <f t="shared" si="36"/>
        <v>23</v>
      </c>
      <c r="P1170" s="64">
        <f t="shared" si="37"/>
        <v>42574</v>
      </c>
    </row>
    <row r="1171" spans="1:16" x14ac:dyDescent="0.25">
      <c r="A1171" s="26">
        <v>42574.56113425926</v>
      </c>
      <c r="B1171" s="51" t="s">
        <v>102</v>
      </c>
      <c r="C1171" s="4" t="s">
        <v>203</v>
      </c>
      <c r="D1171" s="4" t="s">
        <v>116</v>
      </c>
      <c r="E1171" s="51" t="s">
        <v>115</v>
      </c>
      <c r="F1171" s="3">
        <v>350</v>
      </c>
      <c r="G1171" s="3">
        <v>402</v>
      </c>
      <c r="H1171" s="3">
        <v>228763</v>
      </c>
      <c r="I1171" s="51" t="s">
        <v>105</v>
      </c>
      <c r="J1171" s="3">
        <v>232107</v>
      </c>
      <c r="K1171" s="4" t="s">
        <v>106</v>
      </c>
      <c r="L1171" s="56" t="s">
        <v>480</v>
      </c>
      <c r="M1171" s="20" t="s">
        <v>112</v>
      </c>
      <c r="N1171" s="19"/>
      <c r="O1171" s="19" t="str">
        <f t="shared" si="36"/>
        <v>23</v>
      </c>
      <c r="P1171" s="64">
        <f t="shared" si="37"/>
        <v>42574</v>
      </c>
    </row>
    <row r="1172" spans="1:16" x14ac:dyDescent="0.25">
      <c r="A1172" s="26">
        <v>42574.496076388888</v>
      </c>
      <c r="B1172" s="51" t="s">
        <v>143</v>
      </c>
      <c r="C1172" s="4" t="s">
        <v>1422</v>
      </c>
      <c r="D1172" s="4" t="s">
        <v>103</v>
      </c>
      <c r="E1172" s="51" t="s">
        <v>122</v>
      </c>
      <c r="F1172" s="3">
        <v>0</v>
      </c>
      <c r="G1172" s="3">
        <v>376</v>
      </c>
      <c r="H1172" s="3">
        <v>8122</v>
      </c>
      <c r="I1172" s="51" t="s">
        <v>123</v>
      </c>
      <c r="J1172" s="3">
        <v>6799</v>
      </c>
      <c r="K1172" s="4" t="s">
        <v>106</v>
      </c>
      <c r="L1172" s="56" t="s">
        <v>398</v>
      </c>
      <c r="M1172" s="20" t="s">
        <v>112</v>
      </c>
      <c r="N1172" s="19"/>
      <c r="O1172" s="19" t="str">
        <f t="shared" si="36"/>
        <v>23</v>
      </c>
      <c r="P1172" s="64">
        <f t="shared" si="37"/>
        <v>42574</v>
      </c>
    </row>
    <row r="1173" spans="1:16" x14ac:dyDescent="0.25">
      <c r="A1173" s="26">
        <v>42574.57675925926</v>
      </c>
      <c r="B1173" s="51" t="s">
        <v>143</v>
      </c>
      <c r="C1173" s="4" t="s">
        <v>1431</v>
      </c>
      <c r="D1173" s="4" t="s">
        <v>103</v>
      </c>
      <c r="E1173" s="51" t="s">
        <v>122</v>
      </c>
      <c r="F1173" s="3">
        <v>0</v>
      </c>
      <c r="G1173" s="3">
        <v>366</v>
      </c>
      <c r="H1173" s="3">
        <v>8213</v>
      </c>
      <c r="I1173" s="51" t="s">
        <v>123</v>
      </c>
      <c r="J1173" s="3">
        <v>6799</v>
      </c>
      <c r="K1173" s="4" t="s">
        <v>106</v>
      </c>
      <c r="L1173" s="56" t="s">
        <v>398</v>
      </c>
      <c r="M1173" s="20" t="s">
        <v>112</v>
      </c>
      <c r="N1173" s="19"/>
      <c r="O1173" s="19" t="str">
        <f t="shared" si="36"/>
        <v>23</v>
      </c>
      <c r="P1173" s="64">
        <f t="shared" si="37"/>
        <v>42574</v>
      </c>
    </row>
    <row r="1174" spans="1:16" x14ac:dyDescent="0.25">
      <c r="A1174" s="26">
        <v>42574.660439814812</v>
      </c>
      <c r="B1174" s="51" t="s">
        <v>143</v>
      </c>
      <c r="C1174" s="4" t="s">
        <v>1432</v>
      </c>
      <c r="D1174" s="4" t="s">
        <v>103</v>
      </c>
      <c r="E1174" s="51" t="s">
        <v>122</v>
      </c>
      <c r="F1174" s="3">
        <v>0</v>
      </c>
      <c r="G1174" s="3">
        <v>339</v>
      </c>
      <c r="H1174" s="3">
        <v>8097</v>
      </c>
      <c r="I1174" s="51" t="s">
        <v>123</v>
      </c>
      <c r="J1174" s="3">
        <v>6799</v>
      </c>
      <c r="K1174" s="4" t="s">
        <v>106</v>
      </c>
      <c r="L1174" s="56" t="s">
        <v>413</v>
      </c>
      <c r="M1174" s="20" t="s">
        <v>112</v>
      </c>
      <c r="N1174" s="19"/>
      <c r="O1174" s="19" t="str">
        <f t="shared" si="36"/>
        <v>23</v>
      </c>
      <c r="P1174" s="64">
        <f t="shared" si="37"/>
        <v>42574</v>
      </c>
    </row>
    <row r="1175" spans="1:16" x14ac:dyDescent="0.25">
      <c r="A1175" s="26">
        <v>42574.702592592592</v>
      </c>
      <c r="B1175" s="51" t="s">
        <v>143</v>
      </c>
      <c r="C1175" s="4" t="s">
        <v>1423</v>
      </c>
      <c r="D1175" s="4" t="s">
        <v>103</v>
      </c>
      <c r="E1175" s="51" t="s">
        <v>122</v>
      </c>
      <c r="F1175" s="3">
        <v>0</v>
      </c>
      <c r="G1175" s="3">
        <v>319</v>
      </c>
      <c r="H1175" s="3">
        <v>8010</v>
      </c>
      <c r="I1175" s="51" t="s">
        <v>123</v>
      </c>
      <c r="J1175" s="3">
        <v>6799</v>
      </c>
      <c r="K1175" s="4" t="s">
        <v>106</v>
      </c>
      <c r="L1175" s="56" t="s">
        <v>413</v>
      </c>
      <c r="M1175" s="20" t="s">
        <v>112</v>
      </c>
      <c r="N1175" s="19"/>
      <c r="O1175" s="19" t="str">
        <f t="shared" si="36"/>
        <v>23</v>
      </c>
      <c r="P1175" s="64">
        <f t="shared" si="37"/>
        <v>42574</v>
      </c>
    </row>
    <row r="1176" spans="1:16" x14ac:dyDescent="0.25">
      <c r="A1176" s="26">
        <v>42574.603958333333</v>
      </c>
      <c r="B1176" s="51" t="s">
        <v>135</v>
      </c>
      <c r="C1176" s="4" t="s">
        <v>1427</v>
      </c>
      <c r="D1176" s="4" t="s">
        <v>103</v>
      </c>
      <c r="E1176" s="51" t="s">
        <v>122</v>
      </c>
      <c r="F1176" s="3">
        <v>0</v>
      </c>
      <c r="G1176" s="3">
        <v>291</v>
      </c>
      <c r="H1176" s="3">
        <v>39254</v>
      </c>
      <c r="I1176" s="51" t="s">
        <v>123</v>
      </c>
      <c r="J1176" s="3">
        <v>40370</v>
      </c>
      <c r="K1176" s="4" t="s">
        <v>111</v>
      </c>
      <c r="L1176" s="56" t="s">
        <v>413</v>
      </c>
      <c r="M1176" s="20" t="s">
        <v>112</v>
      </c>
      <c r="N1176" s="19"/>
      <c r="O1176" s="19" t="str">
        <f t="shared" si="36"/>
        <v>23</v>
      </c>
      <c r="P1176" s="64">
        <f t="shared" si="37"/>
        <v>42574</v>
      </c>
    </row>
    <row r="1177" spans="1:16" x14ac:dyDescent="0.25">
      <c r="A1177" s="26">
        <v>42574.781736111108</v>
      </c>
      <c r="B1177" s="4" t="s">
        <v>143</v>
      </c>
      <c r="C1177" s="4" t="s">
        <v>1433</v>
      </c>
      <c r="D1177" s="4" t="s">
        <v>116</v>
      </c>
      <c r="E1177" s="4" t="s">
        <v>122</v>
      </c>
      <c r="F1177" s="3">
        <v>200</v>
      </c>
      <c r="G1177" s="3">
        <v>261</v>
      </c>
      <c r="H1177" s="3">
        <v>55953</v>
      </c>
      <c r="I1177" s="4" t="s">
        <v>123</v>
      </c>
      <c r="J1177" s="3">
        <v>58472</v>
      </c>
      <c r="K1177" s="4" t="s">
        <v>106</v>
      </c>
      <c r="L1177" s="56" t="s">
        <v>413</v>
      </c>
      <c r="M1177" s="20" t="s">
        <v>112</v>
      </c>
      <c r="N1177" s="19"/>
      <c r="O1177" s="19" t="str">
        <f t="shared" si="36"/>
        <v>23</v>
      </c>
      <c r="P1177" s="64">
        <f t="shared" si="37"/>
        <v>42574</v>
      </c>
    </row>
    <row r="1178" spans="1:16" x14ac:dyDescent="0.25">
      <c r="A1178" s="26">
        <v>42574.323437500003</v>
      </c>
      <c r="B1178" s="51" t="s">
        <v>114</v>
      </c>
      <c r="C1178" s="4" t="s">
        <v>1415</v>
      </c>
      <c r="D1178" s="4" t="s">
        <v>103</v>
      </c>
      <c r="E1178" s="51" t="s">
        <v>122</v>
      </c>
      <c r="F1178" s="3">
        <v>0</v>
      </c>
      <c r="G1178" s="3">
        <v>699</v>
      </c>
      <c r="H1178" s="3">
        <v>196378</v>
      </c>
      <c r="I1178" s="51" t="s">
        <v>123</v>
      </c>
      <c r="J1178" s="3">
        <v>198242</v>
      </c>
      <c r="K1178" s="4" t="s">
        <v>111</v>
      </c>
      <c r="L1178" s="56" t="s">
        <v>584</v>
      </c>
      <c r="M1178" s="20" t="s">
        <v>107</v>
      </c>
      <c r="N1178" s="19" t="s">
        <v>199</v>
      </c>
      <c r="O1178" s="19" t="str">
        <f t="shared" si="36"/>
        <v>23</v>
      </c>
      <c r="P1178" s="64">
        <f t="shared" si="37"/>
        <v>42574</v>
      </c>
    </row>
    <row r="1179" spans="1:16" x14ac:dyDescent="0.25">
      <c r="A1179" s="26">
        <v>42574.701956018522</v>
      </c>
      <c r="B1179" s="51" t="s">
        <v>124</v>
      </c>
      <c r="C1179" s="4" t="s">
        <v>1416</v>
      </c>
      <c r="D1179" s="4" t="s">
        <v>103</v>
      </c>
      <c r="E1179" s="51" t="s">
        <v>127</v>
      </c>
      <c r="F1179" s="3">
        <v>0</v>
      </c>
      <c r="G1179" s="3">
        <v>586</v>
      </c>
      <c r="H1179" s="3">
        <v>159256</v>
      </c>
      <c r="I1179" s="51" t="s">
        <v>128</v>
      </c>
      <c r="J1179" s="3">
        <v>156300</v>
      </c>
      <c r="K1179" s="4" t="s">
        <v>106</v>
      </c>
      <c r="L1179" s="56" t="s">
        <v>405</v>
      </c>
      <c r="M1179" s="20" t="s">
        <v>107</v>
      </c>
      <c r="N1179" s="19" t="s">
        <v>52</v>
      </c>
      <c r="O1179" s="19" t="str">
        <f t="shared" si="36"/>
        <v>23</v>
      </c>
      <c r="P1179" s="64">
        <f t="shared" si="37"/>
        <v>42574</v>
      </c>
    </row>
    <row r="1180" spans="1:16" x14ac:dyDescent="0.25">
      <c r="A1180" s="26">
        <v>42574.677164351851</v>
      </c>
      <c r="B1180" s="51" t="s">
        <v>163</v>
      </c>
      <c r="C1180" s="4" t="s">
        <v>1407</v>
      </c>
      <c r="D1180" s="4" t="s">
        <v>103</v>
      </c>
      <c r="E1180" s="51" t="s">
        <v>127</v>
      </c>
      <c r="F1180" s="3">
        <v>0</v>
      </c>
      <c r="G1180" s="3">
        <v>572</v>
      </c>
      <c r="H1180" s="3">
        <v>186121</v>
      </c>
      <c r="I1180" s="51" t="s">
        <v>128</v>
      </c>
      <c r="J1180" s="3">
        <v>190834</v>
      </c>
      <c r="K1180" s="4" t="s">
        <v>111</v>
      </c>
      <c r="L1180" s="56" t="s">
        <v>405</v>
      </c>
      <c r="M1180" s="20" t="s">
        <v>107</v>
      </c>
      <c r="N1180" s="19" t="s">
        <v>52</v>
      </c>
      <c r="O1180" s="19" t="str">
        <f t="shared" si="36"/>
        <v>23</v>
      </c>
      <c r="P1180" s="64">
        <f t="shared" si="37"/>
        <v>42574</v>
      </c>
    </row>
    <row r="1181" spans="1:16" x14ac:dyDescent="0.25">
      <c r="A1181" s="26">
        <v>42574.687962962962</v>
      </c>
      <c r="B1181" s="51" t="s">
        <v>114</v>
      </c>
      <c r="C1181" s="4" t="s">
        <v>545</v>
      </c>
      <c r="D1181" s="4" t="s">
        <v>103</v>
      </c>
      <c r="E1181" s="51" t="s">
        <v>127</v>
      </c>
      <c r="F1181" s="3">
        <v>0</v>
      </c>
      <c r="G1181" s="3">
        <v>599</v>
      </c>
      <c r="H1181" s="3">
        <v>189277</v>
      </c>
      <c r="I1181" s="51" t="s">
        <v>128</v>
      </c>
      <c r="J1181" s="3">
        <v>190834</v>
      </c>
      <c r="K1181" s="4" t="s">
        <v>111</v>
      </c>
      <c r="L1181" s="56" t="s">
        <v>480</v>
      </c>
      <c r="M1181" s="20" t="s">
        <v>107</v>
      </c>
      <c r="N1181" s="19" t="s">
        <v>52</v>
      </c>
      <c r="O1181" s="19" t="str">
        <f t="shared" si="36"/>
        <v>23</v>
      </c>
      <c r="P1181" s="64">
        <f t="shared" si="37"/>
        <v>42574</v>
      </c>
    </row>
    <row r="1182" spans="1:16" x14ac:dyDescent="0.25">
      <c r="A1182" s="26">
        <v>42574.491261574076</v>
      </c>
      <c r="B1182" s="51" t="s">
        <v>164</v>
      </c>
      <c r="C1182" s="4" t="s">
        <v>1417</v>
      </c>
      <c r="D1182" s="4" t="s">
        <v>103</v>
      </c>
      <c r="E1182" s="51" t="s">
        <v>129</v>
      </c>
      <c r="F1182" s="3">
        <v>0</v>
      </c>
      <c r="G1182" s="3">
        <v>44</v>
      </c>
      <c r="H1182" s="3">
        <v>167</v>
      </c>
      <c r="I1182" s="51" t="s">
        <v>130</v>
      </c>
      <c r="J1182" s="3">
        <v>1</v>
      </c>
      <c r="K1182" s="4" t="s">
        <v>106</v>
      </c>
      <c r="L1182" s="56" t="s">
        <v>475</v>
      </c>
      <c r="M1182" s="20" t="s">
        <v>112</v>
      </c>
      <c r="N1182" s="19"/>
      <c r="O1182" s="19" t="str">
        <f t="shared" si="36"/>
        <v>23</v>
      </c>
      <c r="P1182" s="64">
        <f t="shared" si="37"/>
        <v>42574</v>
      </c>
    </row>
    <row r="1183" spans="1:16" x14ac:dyDescent="0.25">
      <c r="A1183" s="26">
        <v>42574.502604166664</v>
      </c>
      <c r="B1183" s="51" t="s">
        <v>124</v>
      </c>
      <c r="C1183" s="4" t="s">
        <v>353</v>
      </c>
      <c r="D1183" s="4" t="s">
        <v>103</v>
      </c>
      <c r="E1183" s="51" t="s">
        <v>129</v>
      </c>
      <c r="F1183" s="3">
        <v>0</v>
      </c>
      <c r="G1183" s="3">
        <v>49</v>
      </c>
      <c r="H1183" s="3">
        <v>156</v>
      </c>
      <c r="I1183" s="51" t="s">
        <v>130</v>
      </c>
      <c r="J1183" s="3">
        <v>1</v>
      </c>
      <c r="K1183" s="4" t="s">
        <v>106</v>
      </c>
      <c r="L1183" s="56" t="s">
        <v>405</v>
      </c>
      <c r="M1183" s="20" t="s">
        <v>112</v>
      </c>
      <c r="N1183" s="19"/>
      <c r="O1183" s="19" t="str">
        <f t="shared" si="36"/>
        <v>23</v>
      </c>
      <c r="P1183" s="64">
        <f t="shared" si="37"/>
        <v>42574</v>
      </c>
    </row>
    <row r="1184" spans="1:16" x14ac:dyDescent="0.25">
      <c r="A1184" s="26">
        <v>42574.669282407405</v>
      </c>
      <c r="B1184" s="51" t="s">
        <v>134</v>
      </c>
      <c r="C1184" s="4" t="s">
        <v>1418</v>
      </c>
      <c r="D1184" s="4" t="s">
        <v>103</v>
      </c>
      <c r="E1184" s="51" t="s">
        <v>129</v>
      </c>
      <c r="F1184" s="3">
        <v>0</v>
      </c>
      <c r="G1184" s="3">
        <v>77</v>
      </c>
      <c r="H1184" s="3">
        <v>262</v>
      </c>
      <c r="I1184" s="51" t="s">
        <v>130</v>
      </c>
      <c r="J1184" s="3">
        <v>1</v>
      </c>
      <c r="K1184" s="4" t="s">
        <v>106</v>
      </c>
      <c r="L1184" s="56" t="s">
        <v>409</v>
      </c>
      <c r="M1184" s="20" t="s">
        <v>112</v>
      </c>
      <c r="N1184" s="19"/>
      <c r="O1184" s="19" t="str">
        <f t="shared" si="36"/>
        <v>23</v>
      </c>
      <c r="P1184" s="64">
        <f t="shared" si="37"/>
        <v>42574</v>
      </c>
    </row>
    <row r="1185" spans="1:16" x14ac:dyDescent="0.25">
      <c r="A1185" s="26">
        <v>42574.683391203704</v>
      </c>
      <c r="B1185" s="51" t="s">
        <v>119</v>
      </c>
      <c r="C1185" s="4" t="s">
        <v>202</v>
      </c>
      <c r="D1185" s="4" t="s">
        <v>103</v>
      </c>
      <c r="E1185" s="51" t="s">
        <v>129</v>
      </c>
      <c r="F1185" s="3">
        <v>0</v>
      </c>
      <c r="G1185" s="3">
        <v>82</v>
      </c>
      <c r="H1185" s="3">
        <v>291</v>
      </c>
      <c r="I1185" s="51" t="s">
        <v>130</v>
      </c>
      <c r="J1185" s="3">
        <v>1</v>
      </c>
      <c r="K1185" s="4" t="s">
        <v>106</v>
      </c>
      <c r="L1185" s="56" t="s">
        <v>436</v>
      </c>
      <c r="M1185" s="20" t="s">
        <v>112</v>
      </c>
      <c r="N1185" s="19"/>
      <c r="O1185" s="19" t="str">
        <f t="shared" si="36"/>
        <v>23</v>
      </c>
      <c r="P1185" s="64">
        <f t="shared" si="37"/>
        <v>42574</v>
      </c>
    </row>
    <row r="1186" spans="1:16" x14ac:dyDescent="0.25">
      <c r="A1186" s="26">
        <v>42574.898217592592</v>
      </c>
      <c r="B1186" s="4" t="s">
        <v>102</v>
      </c>
      <c r="C1186" s="4" t="s">
        <v>1419</v>
      </c>
      <c r="D1186" s="4" t="s">
        <v>103</v>
      </c>
      <c r="E1186" s="4" t="s">
        <v>129</v>
      </c>
      <c r="F1186" s="3">
        <v>0</v>
      </c>
      <c r="G1186" s="3">
        <v>34</v>
      </c>
      <c r="H1186" s="3">
        <v>109</v>
      </c>
      <c r="I1186" s="4" t="s">
        <v>130</v>
      </c>
      <c r="J1186" s="3">
        <v>1</v>
      </c>
      <c r="K1186" s="4" t="s">
        <v>106</v>
      </c>
      <c r="L1186" s="56" t="s">
        <v>411</v>
      </c>
      <c r="M1186" s="20" t="s">
        <v>112</v>
      </c>
      <c r="N1186" s="19"/>
      <c r="O1186" s="19" t="str">
        <f t="shared" si="36"/>
        <v>23</v>
      </c>
      <c r="P1186" s="64">
        <f t="shared" si="37"/>
        <v>42574</v>
      </c>
    </row>
    <row r="1187" spans="1:16" x14ac:dyDescent="0.25">
      <c r="A1187" s="26">
        <v>42574.621099537035</v>
      </c>
      <c r="B1187" s="51" t="s">
        <v>143</v>
      </c>
      <c r="C1187" s="4" t="s">
        <v>1434</v>
      </c>
      <c r="D1187" s="4" t="s">
        <v>103</v>
      </c>
      <c r="E1187" s="51" t="s">
        <v>129</v>
      </c>
      <c r="F1187" s="3">
        <v>0</v>
      </c>
      <c r="G1187" s="3">
        <v>36</v>
      </c>
      <c r="H1187" s="3">
        <v>684</v>
      </c>
      <c r="I1187" s="51" t="s">
        <v>130</v>
      </c>
      <c r="J1187" s="3">
        <v>575</v>
      </c>
      <c r="K1187" s="4" t="s">
        <v>106</v>
      </c>
      <c r="L1187" s="56" t="s">
        <v>413</v>
      </c>
      <c r="M1187" s="20" t="s">
        <v>112</v>
      </c>
      <c r="N1187" s="19"/>
      <c r="O1187" s="19" t="str">
        <f t="shared" si="36"/>
        <v>23</v>
      </c>
      <c r="P1187" s="64">
        <f t="shared" si="37"/>
        <v>42574</v>
      </c>
    </row>
    <row r="1188" spans="1:16" x14ac:dyDescent="0.25">
      <c r="A1188" s="26">
        <v>42574.440625000003</v>
      </c>
      <c r="B1188" s="51" t="s">
        <v>135</v>
      </c>
      <c r="C1188" s="4" t="s">
        <v>1435</v>
      </c>
      <c r="D1188" s="4" t="s">
        <v>103</v>
      </c>
      <c r="E1188" s="51" t="s">
        <v>129</v>
      </c>
      <c r="F1188" s="3">
        <v>0</v>
      </c>
      <c r="G1188" s="3">
        <v>51</v>
      </c>
      <c r="H1188" s="3">
        <v>58935</v>
      </c>
      <c r="I1188" s="51" t="s">
        <v>130</v>
      </c>
      <c r="J1188" s="3">
        <v>59048</v>
      </c>
      <c r="K1188" s="4" t="s">
        <v>111</v>
      </c>
      <c r="L1188" s="56" t="s">
        <v>398</v>
      </c>
      <c r="M1188" s="20" t="s">
        <v>112</v>
      </c>
      <c r="N1188" s="19"/>
      <c r="O1188" s="19" t="str">
        <f t="shared" si="36"/>
        <v>23</v>
      </c>
      <c r="P1188" s="64">
        <f t="shared" si="37"/>
        <v>42574</v>
      </c>
    </row>
    <row r="1189" spans="1:16" x14ac:dyDescent="0.25">
      <c r="A1189" s="26">
        <v>42574.482361111113</v>
      </c>
      <c r="B1189" s="51" t="s">
        <v>135</v>
      </c>
      <c r="C1189" s="4" t="s">
        <v>1436</v>
      </c>
      <c r="D1189" s="4" t="s">
        <v>103</v>
      </c>
      <c r="E1189" s="51" t="s">
        <v>129</v>
      </c>
      <c r="F1189" s="3">
        <v>0</v>
      </c>
      <c r="G1189" s="3">
        <v>107</v>
      </c>
      <c r="H1189" s="3">
        <v>58683</v>
      </c>
      <c r="I1189" s="51" t="s">
        <v>130</v>
      </c>
      <c r="J1189" s="3">
        <v>59048</v>
      </c>
      <c r="K1189" s="4" t="s">
        <v>111</v>
      </c>
      <c r="L1189" s="56" t="s">
        <v>398</v>
      </c>
      <c r="M1189" s="20" t="s">
        <v>112</v>
      </c>
      <c r="N1189" s="19"/>
      <c r="O1189" s="19" t="str">
        <f t="shared" si="36"/>
        <v>23</v>
      </c>
      <c r="P1189" s="64">
        <f t="shared" si="37"/>
        <v>42574</v>
      </c>
    </row>
    <row r="1190" spans="1:16" x14ac:dyDescent="0.25">
      <c r="A1190" s="26">
        <v>42574.482708333337</v>
      </c>
      <c r="B1190" s="51" t="s">
        <v>135</v>
      </c>
      <c r="C1190" s="4" t="s">
        <v>1436</v>
      </c>
      <c r="D1190" s="4" t="s">
        <v>103</v>
      </c>
      <c r="E1190" s="51" t="s">
        <v>129</v>
      </c>
      <c r="F1190" s="3">
        <v>0</v>
      </c>
      <c r="G1190" s="3">
        <v>49</v>
      </c>
      <c r="H1190" s="3">
        <v>58867</v>
      </c>
      <c r="I1190" s="51" t="s">
        <v>130</v>
      </c>
      <c r="J1190" s="3">
        <v>59048</v>
      </c>
      <c r="K1190" s="4" t="s">
        <v>111</v>
      </c>
      <c r="L1190" s="56" t="s">
        <v>398</v>
      </c>
      <c r="M1190" s="20" t="s">
        <v>112</v>
      </c>
      <c r="N1190" s="19"/>
      <c r="O1190" s="19" t="str">
        <f t="shared" si="36"/>
        <v>23</v>
      </c>
      <c r="P1190" s="64">
        <f t="shared" si="37"/>
        <v>42574</v>
      </c>
    </row>
    <row r="1191" spans="1:16" x14ac:dyDescent="0.25">
      <c r="A1191" s="26">
        <v>42574.493703703702</v>
      </c>
      <c r="B1191" s="51" t="s">
        <v>133</v>
      </c>
      <c r="C1191" s="4" t="s">
        <v>1420</v>
      </c>
      <c r="D1191" s="4" t="s">
        <v>103</v>
      </c>
      <c r="E1191" s="51" t="s">
        <v>129</v>
      </c>
      <c r="F1191" s="3">
        <v>0</v>
      </c>
      <c r="G1191" s="3">
        <v>63</v>
      </c>
      <c r="H1191" s="3">
        <v>233226</v>
      </c>
      <c r="I1191" s="51" t="s">
        <v>130</v>
      </c>
      <c r="J1191" s="3">
        <v>233491</v>
      </c>
      <c r="K1191" s="4" t="s">
        <v>111</v>
      </c>
      <c r="L1191" s="56" t="s">
        <v>436</v>
      </c>
      <c r="M1191" s="20" t="s">
        <v>112</v>
      </c>
      <c r="N1191" s="19"/>
      <c r="O1191" s="19" t="str">
        <f t="shared" si="36"/>
        <v>23</v>
      </c>
      <c r="P1191" s="64">
        <f t="shared" si="37"/>
        <v>42574</v>
      </c>
    </row>
    <row r="1192" spans="1:16" x14ac:dyDescent="0.25">
      <c r="A1192" s="26">
        <v>42574.515416666669</v>
      </c>
      <c r="B1192" s="51" t="s">
        <v>137</v>
      </c>
      <c r="C1192" s="4" t="s">
        <v>1421</v>
      </c>
      <c r="D1192" s="4" t="s">
        <v>103</v>
      </c>
      <c r="E1192" s="51" t="s">
        <v>129</v>
      </c>
      <c r="F1192" s="3">
        <v>0</v>
      </c>
      <c r="G1192" s="3">
        <v>49</v>
      </c>
      <c r="H1192" s="3">
        <v>233303</v>
      </c>
      <c r="I1192" s="51" t="s">
        <v>130</v>
      </c>
      <c r="J1192" s="3">
        <v>233491</v>
      </c>
      <c r="K1192" s="4" t="s">
        <v>111</v>
      </c>
      <c r="L1192" s="56" t="s">
        <v>425</v>
      </c>
      <c r="M1192" s="20" t="s">
        <v>112</v>
      </c>
      <c r="N1192" s="19"/>
      <c r="O1192" s="19" t="str">
        <f t="shared" si="36"/>
        <v>23</v>
      </c>
      <c r="P1192" s="64">
        <f t="shared" si="37"/>
        <v>42574</v>
      </c>
    </row>
    <row r="1193" spans="1:16" x14ac:dyDescent="0.25">
      <c r="A1193" s="26">
        <v>42575.440671296295</v>
      </c>
      <c r="B1193" s="51" t="s">
        <v>108</v>
      </c>
      <c r="C1193" s="4" t="s">
        <v>355</v>
      </c>
      <c r="D1193" s="4" t="s">
        <v>116</v>
      </c>
      <c r="E1193" s="51" t="s">
        <v>104</v>
      </c>
      <c r="F1193" s="3">
        <v>790</v>
      </c>
      <c r="G1193" s="3">
        <v>841</v>
      </c>
      <c r="H1193" s="3">
        <v>215801</v>
      </c>
      <c r="I1193" s="51" t="s">
        <v>105</v>
      </c>
      <c r="J1193" s="3">
        <v>156300</v>
      </c>
      <c r="K1193" s="4" t="s">
        <v>111</v>
      </c>
      <c r="L1193" s="56" t="str">
        <f>VLOOKUP(C1193,'[9]Trips&amp;Operators'!$C$1:$E$9999,3,0)</f>
        <v>MALAVE</v>
      </c>
      <c r="M1193" s="20" t="s">
        <v>112</v>
      </c>
      <c r="N1193" s="19" t="s">
        <v>175</v>
      </c>
      <c r="O1193" s="19" t="str">
        <f t="shared" si="36"/>
        <v>24</v>
      </c>
      <c r="P1193" s="64">
        <f t="shared" si="37"/>
        <v>42575</v>
      </c>
    </row>
    <row r="1194" spans="1:16" x14ac:dyDescent="0.25">
      <c r="A1194" s="26">
        <v>42575.248483796298</v>
      </c>
      <c r="B1194" s="51" t="s">
        <v>147</v>
      </c>
      <c r="C1194" s="4" t="s">
        <v>1437</v>
      </c>
      <c r="D1194" s="4" t="s">
        <v>103</v>
      </c>
      <c r="E1194" s="51" t="s">
        <v>109</v>
      </c>
      <c r="F1194" s="3">
        <v>290</v>
      </c>
      <c r="G1194" s="3">
        <v>369</v>
      </c>
      <c r="H1194" s="3">
        <v>35299</v>
      </c>
      <c r="I1194" s="51" t="s">
        <v>110</v>
      </c>
      <c r="J1194" s="3">
        <v>33257</v>
      </c>
      <c r="K1194" s="4" t="s">
        <v>106</v>
      </c>
      <c r="L1194" s="56" t="str">
        <f>VLOOKUP(C1194,'[9]Trips&amp;Operators'!$C$1:$E$9999,3,0)</f>
        <v>GEBRETEKLE</v>
      </c>
      <c r="M1194" s="20" t="s">
        <v>112</v>
      </c>
      <c r="N1194" s="19" t="s">
        <v>543</v>
      </c>
      <c r="O1194" s="19" t="str">
        <f t="shared" si="36"/>
        <v>24</v>
      </c>
      <c r="P1194" s="64">
        <f t="shared" si="37"/>
        <v>42575</v>
      </c>
    </row>
    <row r="1195" spans="1:16" x14ac:dyDescent="0.25">
      <c r="A1195" s="26">
        <v>42575.953831018516</v>
      </c>
      <c r="B1195" s="51" t="s">
        <v>139</v>
      </c>
      <c r="C1195" s="4" t="s">
        <v>206</v>
      </c>
      <c r="D1195" s="4" t="s">
        <v>103</v>
      </c>
      <c r="E1195" s="51" t="s">
        <v>109</v>
      </c>
      <c r="F1195" s="3">
        <v>0</v>
      </c>
      <c r="G1195" s="3">
        <v>626</v>
      </c>
      <c r="H1195" s="3">
        <v>46482</v>
      </c>
      <c r="I1195" s="51" t="s">
        <v>110</v>
      </c>
      <c r="J1195" s="3">
        <v>42961</v>
      </c>
      <c r="K1195" s="4" t="s">
        <v>106</v>
      </c>
      <c r="L1195" s="56" t="str">
        <f>VLOOKUP(C1195,'[9]Trips&amp;Operators'!$C$1:$E$9999,3,0)</f>
        <v>COOLAHAN</v>
      </c>
      <c r="M1195" s="20" t="s">
        <v>107</v>
      </c>
      <c r="N1195" s="19" t="s">
        <v>52</v>
      </c>
      <c r="O1195" s="19" t="str">
        <f t="shared" si="36"/>
        <v>24</v>
      </c>
      <c r="P1195" s="64">
        <f t="shared" si="37"/>
        <v>42575</v>
      </c>
    </row>
    <row r="1196" spans="1:16" x14ac:dyDescent="0.25">
      <c r="A1196" s="26">
        <v>42575.516747685186</v>
      </c>
      <c r="B1196" s="51" t="s">
        <v>118</v>
      </c>
      <c r="C1196" s="4" t="s">
        <v>55</v>
      </c>
      <c r="D1196" s="4" t="s">
        <v>103</v>
      </c>
      <c r="E1196" s="51" t="s">
        <v>109</v>
      </c>
      <c r="F1196" s="3">
        <v>0</v>
      </c>
      <c r="G1196" s="3">
        <v>557</v>
      </c>
      <c r="H1196" s="3">
        <v>48270</v>
      </c>
      <c r="I1196" s="51" t="s">
        <v>110</v>
      </c>
      <c r="J1196" s="3">
        <v>48048</v>
      </c>
      <c r="K1196" s="4" t="s">
        <v>106</v>
      </c>
      <c r="L1196" s="56" t="str">
        <f>VLOOKUP(C1196,'[9]Trips&amp;Operators'!$C$1:$E$9999,3,0)</f>
        <v>STEWART</v>
      </c>
      <c r="M1196" s="20" t="s">
        <v>112</v>
      </c>
      <c r="N1196" s="19" t="s">
        <v>543</v>
      </c>
      <c r="O1196" s="19" t="str">
        <f t="shared" si="36"/>
        <v>24</v>
      </c>
      <c r="P1196" s="64">
        <f t="shared" si="37"/>
        <v>42575</v>
      </c>
    </row>
    <row r="1197" spans="1:16" x14ac:dyDescent="0.25">
      <c r="A1197" s="26">
        <v>42575.233622685184</v>
      </c>
      <c r="B1197" s="51" t="s">
        <v>141</v>
      </c>
      <c r="C1197" s="4" t="s">
        <v>1438</v>
      </c>
      <c r="D1197" s="4" t="s">
        <v>103</v>
      </c>
      <c r="E1197" s="51" t="s">
        <v>109</v>
      </c>
      <c r="F1197" s="3">
        <v>120</v>
      </c>
      <c r="G1197" s="3">
        <v>176</v>
      </c>
      <c r="H1197" s="3">
        <v>63685</v>
      </c>
      <c r="I1197" s="51" t="s">
        <v>110</v>
      </c>
      <c r="J1197" s="3">
        <v>63309</v>
      </c>
      <c r="K1197" s="4" t="s">
        <v>106</v>
      </c>
      <c r="L1197" s="56" t="str">
        <f>VLOOKUP(C1197,'[9]Trips&amp;Operators'!$C$1:$E$9999,3,0)</f>
        <v>MAELZER</v>
      </c>
      <c r="M1197" s="20" t="s">
        <v>112</v>
      </c>
      <c r="N1197" s="19" t="s">
        <v>543</v>
      </c>
      <c r="O1197" s="19" t="str">
        <f t="shared" si="36"/>
        <v>24</v>
      </c>
      <c r="P1197" s="64">
        <f t="shared" si="37"/>
        <v>42575</v>
      </c>
    </row>
    <row r="1198" spans="1:16" x14ac:dyDescent="0.25">
      <c r="A1198" s="26">
        <v>42575.40048611111</v>
      </c>
      <c r="B1198" s="51" t="s">
        <v>134</v>
      </c>
      <c r="C1198" s="4" t="s">
        <v>1439</v>
      </c>
      <c r="D1198" s="4" t="s">
        <v>103</v>
      </c>
      <c r="E1198" s="51" t="s">
        <v>109</v>
      </c>
      <c r="F1198" s="3">
        <v>150</v>
      </c>
      <c r="G1198" s="3">
        <v>208</v>
      </c>
      <c r="H1198" s="3">
        <v>63639</v>
      </c>
      <c r="I1198" s="51" t="s">
        <v>110</v>
      </c>
      <c r="J1198" s="3">
        <v>63309</v>
      </c>
      <c r="K1198" s="4" t="s">
        <v>106</v>
      </c>
      <c r="L1198" s="56" t="str">
        <f>VLOOKUP(C1198,'[9]Trips&amp;Operators'!$C$1:$E$9999,3,0)</f>
        <v>MALAVE</v>
      </c>
      <c r="M1198" s="20" t="s">
        <v>112</v>
      </c>
      <c r="N1198" s="19" t="s">
        <v>543</v>
      </c>
      <c r="O1198" s="19" t="str">
        <f t="shared" si="36"/>
        <v>24</v>
      </c>
      <c r="P1198" s="64">
        <f t="shared" si="37"/>
        <v>42575</v>
      </c>
    </row>
    <row r="1199" spans="1:16" x14ac:dyDescent="0.25">
      <c r="A1199" s="26">
        <v>42575.376886574071</v>
      </c>
      <c r="B1199" s="51" t="s">
        <v>124</v>
      </c>
      <c r="C1199" s="4" t="s">
        <v>1440</v>
      </c>
      <c r="D1199" s="4" t="s">
        <v>103</v>
      </c>
      <c r="E1199" s="51" t="s">
        <v>109</v>
      </c>
      <c r="F1199" s="3">
        <v>0</v>
      </c>
      <c r="G1199" s="3">
        <v>378</v>
      </c>
      <c r="H1199" s="3">
        <v>78471</v>
      </c>
      <c r="I1199" s="51" t="s">
        <v>110</v>
      </c>
      <c r="J1199" s="3">
        <v>78469</v>
      </c>
      <c r="K1199" s="4" t="s">
        <v>106</v>
      </c>
      <c r="L1199" s="56" t="str">
        <f>VLOOKUP(C1199,'[9]Trips&amp;Operators'!$C$1:$E$9999,3,0)</f>
        <v>MAELZER</v>
      </c>
      <c r="M1199" s="20" t="s">
        <v>112</v>
      </c>
      <c r="N1199" s="19" t="s">
        <v>543</v>
      </c>
      <c r="O1199" s="19" t="str">
        <f t="shared" si="36"/>
        <v>24</v>
      </c>
      <c r="P1199" s="64">
        <f t="shared" si="37"/>
        <v>42575</v>
      </c>
    </row>
    <row r="1200" spans="1:16" x14ac:dyDescent="0.25">
      <c r="A1200" s="26">
        <v>42575.731562499997</v>
      </c>
      <c r="B1200" s="51" t="s">
        <v>118</v>
      </c>
      <c r="C1200" s="4" t="s">
        <v>1441</v>
      </c>
      <c r="D1200" s="4" t="s">
        <v>116</v>
      </c>
      <c r="E1200" s="51" t="s">
        <v>109</v>
      </c>
      <c r="F1200" s="3">
        <v>0</v>
      </c>
      <c r="G1200" s="3">
        <v>315</v>
      </c>
      <c r="H1200" s="3">
        <v>78447</v>
      </c>
      <c r="I1200" s="51" t="s">
        <v>110</v>
      </c>
      <c r="J1200" s="3">
        <v>78469</v>
      </c>
      <c r="K1200" s="4" t="s">
        <v>106</v>
      </c>
      <c r="L1200" s="56" t="str">
        <f>VLOOKUP(C1200,'[9]Trips&amp;Operators'!$C$1:$E$9999,3,0)</f>
        <v>STEWART</v>
      </c>
      <c r="M1200" s="20" t="s">
        <v>112</v>
      </c>
      <c r="N1200" s="19" t="s">
        <v>543</v>
      </c>
      <c r="O1200" s="19" t="str">
        <f t="shared" si="36"/>
        <v>24</v>
      </c>
      <c r="P1200" s="64">
        <f t="shared" si="37"/>
        <v>42575</v>
      </c>
    </row>
    <row r="1201" spans="1:16" x14ac:dyDescent="0.25">
      <c r="A1201" s="26">
        <v>42575.679259259261</v>
      </c>
      <c r="B1201" s="51" t="s">
        <v>147</v>
      </c>
      <c r="C1201" s="4" t="s">
        <v>356</v>
      </c>
      <c r="D1201" s="4" t="s">
        <v>103</v>
      </c>
      <c r="E1201" s="51" t="s">
        <v>109</v>
      </c>
      <c r="F1201" s="3">
        <v>0</v>
      </c>
      <c r="G1201" s="3">
        <v>543</v>
      </c>
      <c r="H1201" s="3">
        <v>88748</v>
      </c>
      <c r="I1201" s="51" t="s">
        <v>110</v>
      </c>
      <c r="J1201" s="3">
        <v>86386</v>
      </c>
      <c r="K1201" s="4" t="s">
        <v>106</v>
      </c>
      <c r="L1201" s="56" t="str">
        <f>VLOOKUP(C1201,'[9]Trips&amp;Operators'!$C$1:$E$9999,3,0)</f>
        <v>BRUDER</v>
      </c>
      <c r="M1201" s="20" t="s">
        <v>112</v>
      </c>
      <c r="N1201" s="19" t="s">
        <v>543</v>
      </c>
      <c r="O1201" s="19" t="str">
        <f t="shared" si="36"/>
        <v>24</v>
      </c>
      <c r="P1201" s="64">
        <f t="shared" si="37"/>
        <v>42575</v>
      </c>
    </row>
    <row r="1202" spans="1:16" x14ac:dyDescent="0.25">
      <c r="A1202" s="26">
        <v>42575.891099537039</v>
      </c>
      <c r="B1202" s="51" t="s">
        <v>135</v>
      </c>
      <c r="C1202" s="4" t="s">
        <v>1458</v>
      </c>
      <c r="D1202" s="4" t="s">
        <v>116</v>
      </c>
      <c r="E1202" s="51" t="s">
        <v>115</v>
      </c>
      <c r="F1202" s="3">
        <v>200</v>
      </c>
      <c r="G1202" s="3">
        <v>253</v>
      </c>
      <c r="H1202" s="3">
        <v>5776</v>
      </c>
      <c r="I1202" s="51" t="s">
        <v>105</v>
      </c>
      <c r="J1202" s="3">
        <v>4790</v>
      </c>
      <c r="K1202" s="4" t="s">
        <v>111</v>
      </c>
      <c r="L1202" s="56" t="str">
        <f>VLOOKUP(C1202,'[9]Trips&amp;Operators'!$C$1:$E$9999,3,0)</f>
        <v>ADANE</v>
      </c>
      <c r="M1202" s="20" t="s">
        <v>112</v>
      </c>
      <c r="N1202" s="19"/>
      <c r="O1202" s="19" t="str">
        <f t="shared" si="36"/>
        <v>24</v>
      </c>
      <c r="P1202" s="64">
        <f t="shared" si="37"/>
        <v>42575</v>
      </c>
    </row>
    <row r="1203" spans="1:16" x14ac:dyDescent="0.25">
      <c r="A1203" s="26">
        <v>42575.840590277781</v>
      </c>
      <c r="B1203" s="51" t="s">
        <v>143</v>
      </c>
      <c r="C1203" s="4" t="s">
        <v>1459</v>
      </c>
      <c r="D1203" s="4" t="s">
        <v>103</v>
      </c>
      <c r="E1203" s="51" t="s">
        <v>115</v>
      </c>
      <c r="F1203" s="3">
        <v>150</v>
      </c>
      <c r="G1203" s="3">
        <v>186</v>
      </c>
      <c r="H1203" s="3">
        <v>6141</v>
      </c>
      <c r="I1203" s="51" t="s">
        <v>105</v>
      </c>
      <c r="J1203" s="3">
        <v>5315</v>
      </c>
      <c r="K1203" s="4" t="s">
        <v>106</v>
      </c>
      <c r="L1203" s="56" t="str">
        <f>VLOOKUP(C1203,'[9]Trips&amp;Operators'!$C$1:$E$9999,3,0)</f>
        <v>ADANE</v>
      </c>
      <c r="M1203" s="20" t="s">
        <v>112</v>
      </c>
      <c r="N1203" s="19"/>
      <c r="O1203" s="19" t="str">
        <f t="shared" si="36"/>
        <v>24</v>
      </c>
      <c r="P1203" s="64">
        <f t="shared" si="37"/>
        <v>42575</v>
      </c>
    </row>
    <row r="1204" spans="1:16" x14ac:dyDescent="0.25">
      <c r="A1204" s="26">
        <v>42575.852256944447</v>
      </c>
      <c r="B1204" s="51" t="s">
        <v>135</v>
      </c>
      <c r="C1204" s="4" t="s">
        <v>1460</v>
      </c>
      <c r="D1204" s="4" t="s">
        <v>116</v>
      </c>
      <c r="E1204" s="51" t="s">
        <v>115</v>
      </c>
      <c r="F1204" s="3">
        <v>450</v>
      </c>
      <c r="G1204" s="3">
        <v>501</v>
      </c>
      <c r="H1204" s="3">
        <v>14685</v>
      </c>
      <c r="I1204" s="51" t="s">
        <v>105</v>
      </c>
      <c r="J1204" s="3">
        <v>13572</v>
      </c>
      <c r="K1204" s="4" t="s">
        <v>111</v>
      </c>
      <c r="L1204" s="56" t="str">
        <f>VLOOKUP(C1204,'[9]Trips&amp;Operators'!$C$1:$E$9999,3,0)</f>
        <v>ADANE</v>
      </c>
      <c r="M1204" s="20" t="s">
        <v>112</v>
      </c>
      <c r="N1204" s="19"/>
      <c r="O1204" s="19" t="str">
        <f t="shared" si="36"/>
        <v>24</v>
      </c>
      <c r="P1204" s="64">
        <f t="shared" si="37"/>
        <v>42575</v>
      </c>
    </row>
    <row r="1205" spans="1:16" x14ac:dyDescent="0.25">
      <c r="A1205" s="26">
        <v>42575.686157407406</v>
      </c>
      <c r="B1205" s="51" t="s">
        <v>135</v>
      </c>
      <c r="C1205" s="4" t="s">
        <v>1461</v>
      </c>
      <c r="D1205" s="4" t="s">
        <v>103</v>
      </c>
      <c r="E1205" s="51" t="s">
        <v>115</v>
      </c>
      <c r="F1205" s="3">
        <v>300</v>
      </c>
      <c r="G1205" s="3">
        <v>293</v>
      </c>
      <c r="H1205" s="3">
        <v>20080</v>
      </c>
      <c r="I1205" s="51" t="s">
        <v>105</v>
      </c>
      <c r="J1205" s="3">
        <v>21314</v>
      </c>
      <c r="K1205" s="4" t="s">
        <v>111</v>
      </c>
      <c r="L1205" s="56" t="str">
        <f>VLOOKUP(C1205,'[9]Trips&amp;Operators'!$C$1:$E$9999,3,0)</f>
        <v>ADANE</v>
      </c>
      <c r="M1205" s="20" t="s">
        <v>112</v>
      </c>
      <c r="N1205" s="19"/>
      <c r="O1205" s="19" t="str">
        <f t="shared" si="36"/>
        <v>24</v>
      </c>
      <c r="P1205" s="64">
        <f t="shared" si="37"/>
        <v>42575</v>
      </c>
    </row>
    <row r="1206" spans="1:16" x14ac:dyDescent="0.25">
      <c r="A1206" s="26">
        <v>42575.499398148146</v>
      </c>
      <c r="B1206" s="51" t="s">
        <v>132</v>
      </c>
      <c r="C1206" s="4" t="s">
        <v>1442</v>
      </c>
      <c r="D1206" s="4" t="s">
        <v>103</v>
      </c>
      <c r="E1206" s="51" t="s">
        <v>115</v>
      </c>
      <c r="F1206" s="3">
        <v>300</v>
      </c>
      <c r="G1206" s="3">
        <v>464</v>
      </c>
      <c r="H1206" s="3">
        <v>23903</v>
      </c>
      <c r="I1206" s="51" t="s">
        <v>105</v>
      </c>
      <c r="J1206" s="3">
        <v>21848</v>
      </c>
      <c r="K1206" s="4" t="s">
        <v>106</v>
      </c>
      <c r="L1206" s="56" t="str">
        <f>VLOOKUP(C1206,'[9]Trips&amp;Operators'!$C$1:$E$9999,3,0)</f>
        <v>MAYBERRY</v>
      </c>
      <c r="M1206" s="20" t="s">
        <v>112</v>
      </c>
      <c r="N1206" s="19"/>
      <c r="O1206" s="19" t="str">
        <f t="shared" si="36"/>
        <v>24</v>
      </c>
      <c r="P1206" s="64">
        <f t="shared" si="37"/>
        <v>42575</v>
      </c>
    </row>
    <row r="1207" spans="1:16" x14ac:dyDescent="0.25">
      <c r="A1207" s="26">
        <v>42575.520810185182</v>
      </c>
      <c r="B1207" s="51" t="s">
        <v>118</v>
      </c>
      <c r="C1207" s="4" t="s">
        <v>55</v>
      </c>
      <c r="D1207" s="4" t="s">
        <v>103</v>
      </c>
      <c r="E1207" s="51" t="s">
        <v>115</v>
      </c>
      <c r="F1207" s="3">
        <v>200</v>
      </c>
      <c r="G1207" s="3">
        <v>255</v>
      </c>
      <c r="H1207" s="3">
        <v>32516</v>
      </c>
      <c r="I1207" s="51" t="s">
        <v>105</v>
      </c>
      <c r="J1207" s="3">
        <v>30562</v>
      </c>
      <c r="K1207" s="4" t="s">
        <v>106</v>
      </c>
      <c r="L1207" s="56" t="str">
        <f>VLOOKUP(C1207,'[9]Trips&amp;Operators'!$C$1:$E$9999,3,0)</f>
        <v>STEWART</v>
      </c>
      <c r="M1207" s="20" t="s">
        <v>112</v>
      </c>
      <c r="N1207" s="19"/>
      <c r="O1207" s="19" t="str">
        <f t="shared" si="36"/>
        <v>24</v>
      </c>
      <c r="P1207" s="64">
        <f t="shared" si="37"/>
        <v>42575</v>
      </c>
    </row>
    <row r="1208" spans="1:16" x14ac:dyDescent="0.25">
      <c r="A1208" s="26">
        <v>42575.827905092592</v>
      </c>
      <c r="B1208" s="51" t="s">
        <v>146</v>
      </c>
      <c r="C1208" s="4" t="s">
        <v>1462</v>
      </c>
      <c r="D1208" s="4" t="s">
        <v>103</v>
      </c>
      <c r="E1208" s="51" t="s">
        <v>115</v>
      </c>
      <c r="F1208" s="3">
        <v>300</v>
      </c>
      <c r="G1208" s="3">
        <v>321</v>
      </c>
      <c r="H1208" s="3">
        <v>40635</v>
      </c>
      <c r="I1208" s="51" t="s">
        <v>105</v>
      </c>
      <c r="J1208" s="3">
        <v>40977</v>
      </c>
      <c r="K1208" s="4" t="s">
        <v>111</v>
      </c>
      <c r="L1208" s="56" t="str">
        <f>VLOOKUP(C1208,'[9]Trips&amp;Operators'!$C$1:$E$9999,3,0)</f>
        <v>HELVIE</v>
      </c>
      <c r="M1208" s="20" t="s">
        <v>112</v>
      </c>
      <c r="N1208" s="19"/>
      <c r="O1208" s="19" t="str">
        <f t="shared" si="36"/>
        <v>24</v>
      </c>
      <c r="P1208" s="64">
        <f t="shared" si="37"/>
        <v>42575</v>
      </c>
    </row>
    <row r="1209" spans="1:16" x14ac:dyDescent="0.25">
      <c r="A1209" s="26">
        <v>42575.857592592591</v>
      </c>
      <c r="B1209" s="51" t="s">
        <v>135</v>
      </c>
      <c r="C1209" s="4" t="s">
        <v>1460</v>
      </c>
      <c r="D1209" s="4" t="s">
        <v>103</v>
      </c>
      <c r="E1209" s="51" t="s">
        <v>115</v>
      </c>
      <c r="F1209" s="3">
        <v>150</v>
      </c>
      <c r="G1209" s="3">
        <v>120</v>
      </c>
      <c r="H1209" s="3">
        <v>56564</v>
      </c>
      <c r="I1209" s="51" t="s">
        <v>105</v>
      </c>
      <c r="J1209" s="3">
        <v>57008</v>
      </c>
      <c r="K1209" s="4" t="s">
        <v>111</v>
      </c>
      <c r="L1209" s="56" t="str">
        <f>VLOOKUP(C1209,'[9]Trips&amp;Operators'!$C$1:$E$9999,3,0)</f>
        <v>ADANE</v>
      </c>
      <c r="M1209" s="20" t="s">
        <v>112</v>
      </c>
      <c r="N1209" s="19"/>
      <c r="O1209" s="19" t="str">
        <f t="shared" si="36"/>
        <v>24</v>
      </c>
      <c r="P1209" s="64">
        <f t="shared" si="37"/>
        <v>42575</v>
      </c>
    </row>
    <row r="1210" spans="1:16" x14ac:dyDescent="0.25">
      <c r="A1210" s="26">
        <v>42575.925486111111</v>
      </c>
      <c r="B1210" s="51" t="s">
        <v>133</v>
      </c>
      <c r="C1210" s="4" t="s">
        <v>1463</v>
      </c>
      <c r="D1210" s="4" t="s">
        <v>103</v>
      </c>
      <c r="E1210" s="51" t="s">
        <v>115</v>
      </c>
      <c r="F1210" s="3">
        <v>150</v>
      </c>
      <c r="G1210" s="3">
        <v>268</v>
      </c>
      <c r="H1210" s="3">
        <v>56471</v>
      </c>
      <c r="I1210" s="51" t="s">
        <v>105</v>
      </c>
      <c r="J1210" s="3">
        <v>57008</v>
      </c>
      <c r="K1210" s="4" t="s">
        <v>111</v>
      </c>
      <c r="L1210" s="56" t="str">
        <f>VLOOKUP(C1210,'[9]Trips&amp;Operators'!$C$1:$E$9999,3,0)</f>
        <v>STORY</v>
      </c>
      <c r="M1210" s="20" t="s">
        <v>112</v>
      </c>
      <c r="N1210" s="19"/>
      <c r="O1210" s="19" t="str">
        <f t="shared" si="36"/>
        <v>24</v>
      </c>
      <c r="P1210" s="64">
        <f t="shared" si="37"/>
        <v>42575</v>
      </c>
    </row>
    <row r="1211" spans="1:16" x14ac:dyDescent="0.25">
      <c r="A1211" s="26">
        <v>42575.52553240741</v>
      </c>
      <c r="B1211" s="51" t="s">
        <v>121</v>
      </c>
      <c r="C1211" s="4" t="s">
        <v>1443</v>
      </c>
      <c r="D1211" s="4" t="s">
        <v>103</v>
      </c>
      <c r="E1211" s="51" t="s">
        <v>115</v>
      </c>
      <c r="F1211" s="3">
        <v>400</v>
      </c>
      <c r="G1211" s="3">
        <v>625</v>
      </c>
      <c r="H1211" s="3">
        <v>114964</v>
      </c>
      <c r="I1211" s="51" t="s">
        <v>105</v>
      </c>
      <c r="J1211" s="3">
        <v>116838</v>
      </c>
      <c r="K1211" s="4" t="s">
        <v>111</v>
      </c>
      <c r="L1211" s="56" t="str">
        <f>VLOOKUP(C1211,'[9]Trips&amp;Operators'!$C$1:$E$9999,3,0)</f>
        <v>MAYBERRY</v>
      </c>
      <c r="M1211" s="20" t="s">
        <v>112</v>
      </c>
      <c r="N1211" s="19"/>
      <c r="O1211" s="19" t="str">
        <f t="shared" si="36"/>
        <v>24</v>
      </c>
      <c r="P1211" s="64">
        <f t="shared" si="37"/>
        <v>42575</v>
      </c>
    </row>
    <row r="1212" spans="1:16" x14ac:dyDescent="0.25">
      <c r="A1212" s="26">
        <v>42575.482708333337</v>
      </c>
      <c r="B1212" s="51" t="s">
        <v>132</v>
      </c>
      <c r="C1212" s="4" t="s">
        <v>1442</v>
      </c>
      <c r="D1212" s="4" t="s">
        <v>116</v>
      </c>
      <c r="E1212" s="51" t="s">
        <v>115</v>
      </c>
      <c r="F1212" s="3">
        <v>700</v>
      </c>
      <c r="G1212" s="3">
        <v>753</v>
      </c>
      <c r="H1212" s="3">
        <v>166510</v>
      </c>
      <c r="I1212" s="51" t="s">
        <v>105</v>
      </c>
      <c r="J1212" s="3">
        <v>183829</v>
      </c>
      <c r="K1212" s="4" t="s">
        <v>106</v>
      </c>
      <c r="L1212" s="56" t="str">
        <f>VLOOKUP(C1212,'[9]Trips&amp;Operators'!$C$1:$E$9999,3,0)</f>
        <v>MAYBERRY</v>
      </c>
      <c r="M1212" s="20" t="s">
        <v>112</v>
      </c>
      <c r="N1212" s="19"/>
      <c r="O1212" s="19" t="str">
        <f t="shared" si="36"/>
        <v>24</v>
      </c>
      <c r="P1212" s="64">
        <f t="shared" si="37"/>
        <v>42575</v>
      </c>
    </row>
    <row r="1213" spans="1:16" x14ac:dyDescent="0.25">
      <c r="A1213" s="26">
        <v>42575.291944444441</v>
      </c>
      <c r="B1213" s="51" t="s">
        <v>124</v>
      </c>
      <c r="C1213" s="4" t="s">
        <v>1444</v>
      </c>
      <c r="D1213" s="4" t="s">
        <v>116</v>
      </c>
      <c r="E1213" s="51" t="s">
        <v>115</v>
      </c>
      <c r="F1213" s="3">
        <v>350</v>
      </c>
      <c r="G1213" s="3">
        <v>402</v>
      </c>
      <c r="H1213" s="3">
        <v>225406</v>
      </c>
      <c r="I1213" s="51" t="s">
        <v>105</v>
      </c>
      <c r="J1213" s="3">
        <v>232107</v>
      </c>
      <c r="K1213" s="4" t="s">
        <v>106</v>
      </c>
      <c r="L1213" s="56" t="str">
        <f>VLOOKUP(C1213,'[9]Trips&amp;Operators'!$C$1:$E$9999,3,0)</f>
        <v>MAELZER</v>
      </c>
      <c r="M1213" s="20" t="s">
        <v>112</v>
      </c>
      <c r="N1213" s="19"/>
      <c r="O1213" s="19" t="str">
        <f t="shared" si="36"/>
        <v>24</v>
      </c>
      <c r="P1213" s="64">
        <f t="shared" si="37"/>
        <v>42575</v>
      </c>
    </row>
    <row r="1214" spans="1:16" x14ac:dyDescent="0.25">
      <c r="A1214" s="26">
        <v>42575.741307870368</v>
      </c>
      <c r="B1214" s="51" t="s">
        <v>146</v>
      </c>
      <c r="C1214" s="4" t="s">
        <v>1464</v>
      </c>
      <c r="D1214" s="4" t="s">
        <v>103</v>
      </c>
      <c r="E1214" s="51" t="s">
        <v>122</v>
      </c>
      <c r="F1214" s="3">
        <v>0</v>
      </c>
      <c r="G1214" s="3">
        <v>262</v>
      </c>
      <c r="H1214" s="3">
        <v>24440</v>
      </c>
      <c r="I1214" s="51" t="s">
        <v>123</v>
      </c>
      <c r="J1214" s="3">
        <v>25696</v>
      </c>
      <c r="K1214" s="4" t="s">
        <v>111</v>
      </c>
      <c r="L1214" s="56" t="e">
        <f>VLOOKUP(C1214,'[9]Trips&amp;Operators'!$C$1:$E$9999,3,0)</f>
        <v>#N/A</v>
      </c>
      <c r="M1214" s="20" t="s">
        <v>107</v>
      </c>
      <c r="N1214" s="19" t="s">
        <v>52</v>
      </c>
      <c r="O1214" s="19" t="str">
        <f t="shared" si="36"/>
        <v>24</v>
      </c>
      <c r="P1214" s="64">
        <f t="shared" si="37"/>
        <v>42575</v>
      </c>
    </row>
    <row r="1215" spans="1:16" x14ac:dyDescent="0.25">
      <c r="A1215" s="26">
        <v>42575.614027777781</v>
      </c>
      <c r="B1215" s="51" t="s">
        <v>147</v>
      </c>
      <c r="C1215" s="4" t="s">
        <v>205</v>
      </c>
      <c r="D1215" s="4" t="s">
        <v>103</v>
      </c>
      <c r="E1215" s="51" t="s">
        <v>122</v>
      </c>
      <c r="F1215" s="3">
        <v>0</v>
      </c>
      <c r="G1215" s="3">
        <v>27</v>
      </c>
      <c r="H1215" s="3">
        <v>36739</v>
      </c>
      <c r="I1215" s="51" t="s">
        <v>123</v>
      </c>
      <c r="J1215" s="3">
        <v>36657</v>
      </c>
      <c r="K1215" s="4" t="s">
        <v>106</v>
      </c>
      <c r="L1215" s="56" t="str">
        <f>VLOOKUP(C1215,'[9]Trips&amp;Operators'!$C$1:$E$9999,3,0)</f>
        <v>BRUDER</v>
      </c>
      <c r="M1215" s="20" t="s">
        <v>107</v>
      </c>
      <c r="N1215" s="19" t="s">
        <v>52</v>
      </c>
      <c r="O1215" s="19" t="str">
        <f t="shared" si="36"/>
        <v>24</v>
      </c>
      <c r="P1215" s="64">
        <f t="shared" si="37"/>
        <v>42575</v>
      </c>
    </row>
    <row r="1216" spans="1:16" x14ac:dyDescent="0.25">
      <c r="A1216" s="26">
        <v>42575.849594907406</v>
      </c>
      <c r="B1216" s="51" t="s">
        <v>131</v>
      </c>
      <c r="C1216" s="4" t="s">
        <v>1445</v>
      </c>
      <c r="D1216" s="4" t="s">
        <v>103</v>
      </c>
      <c r="E1216" s="51" t="s">
        <v>122</v>
      </c>
      <c r="F1216" s="3">
        <v>0</v>
      </c>
      <c r="G1216" s="3">
        <v>546</v>
      </c>
      <c r="H1216" s="3">
        <v>44186</v>
      </c>
      <c r="I1216" s="51" t="s">
        <v>123</v>
      </c>
      <c r="J1216" s="3">
        <v>43664</v>
      </c>
      <c r="K1216" s="4" t="s">
        <v>106</v>
      </c>
      <c r="L1216" s="56" t="str">
        <f>VLOOKUP(C1216,'[9]Trips&amp;Operators'!$C$1:$E$9999,3,0)</f>
        <v>KILLION</v>
      </c>
      <c r="M1216" s="20" t="s">
        <v>107</v>
      </c>
      <c r="N1216" s="19" t="s">
        <v>52</v>
      </c>
      <c r="O1216" s="19" t="str">
        <f t="shared" si="36"/>
        <v>24</v>
      </c>
      <c r="P1216" s="64">
        <f t="shared" si="37"/>
        <v>42575</v>
      </c>
    </row>
    <row r="1217" spans="1:16" x14ac:dyDescent="0.25">
      <c r="A1217" s="26">
        <v>42575.779976851853</v>
      </c>
      <c r="B1217" s="51" t="s">
        <v>119</v>
      </c>
      <c r="C1217" s="4" t="s">
        <v>1465</v>
      </c>
      <c r="D1217" s="4" t="s">
        <v>116</v>
      </c>
      <c r="E1217" s="51" t="s">
        <v>122</v>
      </c>
      <c r="F1217" s="3">
        <v>200</v>
      </c>
      <c r="G1217" s="3">
        <v>260</v>
      </c>
      <c r="H1217" s="3">
        <v>50432</v>
      </c>
      <c r="I1217" s="51" t="s">
        <v>123</v>
      </c>
      <c r="J1217" s="3">
        <v>58472</v>
      </c>
      <c r="K1217" s="4" t="s">
        <v>106</v>
      </c>
      <c r="L1217" s="56" t="e">
        <f>VLOOKUP(C1217,'[9]Trips&amp;Operators'!$C$1:$E$9999,3,0)</f>
        <v>#N/A</v>
      </c>
      <c r="M1217" s="20" t="s">
        <v>112</v>
      </c>
      <c r="N1217" s="19" t="s">
        <v>175</v>
      </c>
      <c r="O1217" s="19" t="str">
        <f t="shared" si="36"/>
        <v>24</v>
      </c>
      <c r="P1217" s="64">
        <f t="shared" si="37"/>
        <v>42575</v>
      </c>
    </row>
    <row r="1218" spans="1:16" x14ac:dyDescent="0.25">
      <c r="A1218" s="26">
        <v>42575.667997685188</v>
      </c>
      <c r="B1218" s="51" t="s">
        <v>124</v>
      </c>
      <c r="C1218" s="4" t="s">
        <v>1446</v>
      </c>
      <c r="D1218" s="4" t="s">
        <v>103</v>
      </c>
      <c r="E1218" s="51" t="s">
        <v>122</v>
      </c>
      <c r="F1218" s="3">
        <v>0</v>
      </c>
      <c r="G1218" s="3">
        <v>780</v>
      </c>
      <c r="H1218" s="3">
        <v>97220</v>
      </c>
      <c r="I1218" s="51" t="s">
        <v>123</v>
      </c>
      <c r="J1218" s="3">
        <v>95986</v>
      </c>
      <c r="K1218" s="4" t="s">
        <v>106</v>
      </c>
      <c r="L1218" s="56" t="str">
        <f>VLOOKUP(C1218,'[9]Trips&amp;Operators'!$C$1:$E$9999,3,0)</f>
        <v>BARTLETT</v>
      </c>
      <c r="M1218" s="20" t="s">
        <v>107</v>
      </c>
      <c r="N1218" s="19" t="s">
        <v>52</v>
      </c>
      <c r="O1218" s="19" t="str">
        <f t="shared" ref="O1218:O1281" si="38">RIGHT(C1218,2)</f>
        <v>24</v>
      </c>
      <c r="P1218" s="64">
        <f t="shared" si="37"/>
        <v>42575</v>
      </c>
    </row>
    <row r="1219" spans="1:16" x14ac:dyDescent="0.25">
      <c r="A1219" s="26">
        <v>42575.480925925927</v>
      </c>
      <c r="B1219" s="51" t="s">
        <v>132</v>
      </c>
      <c r="C1219" s="4" t="s">
        <v>1442</v>
      </c>
      <c r="D1219" s="4" t="s">
        <v>103</v>
      </c>
      <c r="E1219" s="51" t="s">
        <v>122</v>
      </c>
      <c r="F1219" s="3">
        <v>0</v>
      </c>
      <c r="G1219" s="3">
        <v>199</v>
      </c>
      <c r="H1219" s="3">
        <v>192741</v>
      </c>
      <c r="I1219" s="51" t="s">
        <v>123</v>
      </c>
      <c r="J1219" s="3">
        <v>191723</v>
      </c>
      <c r="K1219" s="4" t="s">
        <v>106</v>
      </c>
      <c r="L1219" s="56" t="str">
        <f>VLOOKUP(C1219,'[9]Trips&amp;Operators'!$C$1:$E$9999,3,0)</f>
        <v>MAYBERRY</v>
      </c>
      <c r="M1219" s="20" t="s">
        <v>112</v>
      </c>
      <c r="N1219" s="19" t="s">
        <v>1447</v>
      </c>
      <c r="O1219" s="19" t="str">
        <f t="shared" si="38"/>
        <v>24</v>
      </c>
      <c r="P1219" s="64">
        <f t="shared" ref="P1219:P1282" si="39">42522+O1219+29</f>
        <v>42575</v>
      </c>
    </row>
    <row r="1220" spans="1:16" x14ac:dyDescent="0.25">
      <c r="A1220" s="26">
        <v>42575.684583333335</v>
      </c>
      <c r="B1220" s="51" t="s">
        <v>135</v>
      </c>
      <c r="C1220" s="4" t="s">
        <v>1461</v>
      </c>
      <c r="D1220" s="4" t="s">
        <v>116</v>
      </c>
      <c r="E1220" s="51" t="s">
        <v>184</v>
      </c>
      <c r="F1220" s="3">
        <v>100</v>
      </c>
      <c r="G1220" s="3">
        <v>152</v>
      </c>
      <c r="H1220" s="3">
        <v>11388</v>
      </c>
      <c r="I1220" s="51" t="s">
        <v>110</v>
      </c>
      <c r="J1220" s="3">
        <v>10701</v>
      </c>
      <c r="K1220" s="4" t="s">
        <v>111</v>
      </c>
      <c r="L1220" s="56" t="str">
        <f>VLOOKUP(C1220,'[9]Trips&amp;Operators'!$C$1:$E$9999,3,0)</f>
        <v>ADANE</v>
      </c>
      <c r="M1220" s="20" t="s">
        <v>112</v>
      </c>
      <c r="N1220" s="19"/>
      <c r="O1220" s="19" t="str">
        <f t="shared" si="38"/>
        <v>24</v>
      </c>
      <c r="P1220" s="64">
        <f t="shared" si="39"/>
        <v>42575</v>
      </c>
    </row>
    <row r="1221" spans="1:16" x14ac:dyDescent="0.25">
      <c r="A1221" s="26">
        <v>42575.797094907408</v>
      </c>
      <c r="B1221" s="51" t="s">
        <v>143</v>
      </c>
      <c r="C1221" s="4" t="s">
        <v>1466</v>
      </c>
      <c r="D1221" s="4" t="s">
        <v>103</v>
      </c>
      <c r="E1221" s="51" t="s">
        <v>184</v>
      </c>
      <c r="F1221" s="3">
        <v>100</v>
      </c>
      <c r="G1221" s="3">
        <v>127</v>
      </c>
      <c r="H1221" s="3">
        <v>11384</v>
      </c>
      <c r="I1221" s="51" t="s">
        <v>110</v>
      </c>
      <c r="J1221" s="3">
        <v>11000</v>
      </c>
      <c r="K1221" s="4" t="s">
        <v>106</v>
      </c>
      <c r="L1221" s="56" t="str">
        <f>VLOOKUP(C1221,'[9]Trips&amp;Operators'!$C$1:$E$9999,3,0)</f>
        <v>ADANE</v>
      </c>
      <c r="M1221" s="20" t="s">
        <v>112</v>
      </c>
      <c r="N1221" s="19"/>
      <c r="O1221" s="19" t="str">
        <f t="shared" si="38"/>
        <v>24</v>
      </c>
      <c r="P1221" s="64">
        <f t="shared" si="39"/>
        <v>42575</v>
      </c>
    </row>
    <row r="1222" spans="1:16" x14ac:dyDescent="0.25">
      <c r="A1222" s="26">
        <v>42575.797511574077</v>
      </c>
      <c r="B1222" s="51" t="s">
        <v>143</v>
      </c>
      <c r="C1222" s="4" t="s">
        <v>1466</v>
      </c>
      <c r="D1222" s="4" t="s">
        <v>103</v>
      </c>
      <c r="E1222" s="51" t="s">
        <v>184</v>
      </c>
      <c r="F1222" s="3">
        <v>100</v>
      </c>
      <c r="G1222" s="3">
        <v>88</v>
      </c>
      <c r="H1222" s="3">
        <v>11117</v>
      </c>
      <c r="I1222" s="51" t="s">
        <v>110</v>
      </c>
      <c r="J1222" s="3">
        <v>11000</v>
      </c>
      <c r="K1222" s="4" t="s">
        <v>106</v>
      </c>
      <c r="L1222" s="56" t="str">
        <f>VLOOKUP(C1222,'[9]Trips&amp;Operators'!$C$1:$E$9999,3,0)</f>
        <v>ADANE</v>
      </c>
      <c r="M1222" s="20" t="s">
        <v>112</v>
      </c>
      <c r="N1222" s="19"/>
      <c r="O1222" s="19" t="str">
        <f t="shared" si="38"/>
        <v>24</v>
      </c>
      <c r="P1222" s="64">
        <f t="shared" si="39"/>
        <v>42575</v>
      </c>
    </row>
    <row r="1223" spans="1:16" x14ac:dyDescent="0.25">
      <c r="A1223" s="26">
        <v>42575.868101851855</v>
      </c>
      <c r="B1223" s="51" t="s">
        <v>119</v>
      </c>
      <c r="C1223" s="4" t="s">
        <v>1467</v>
      </c>
      <c r="D1223" s="4" t="s">
        <v>103</v>
      </c>
      <c r="E1223" s="51" t="s">
        <v>184</v>
      </c>
      <c r="F1223" s="3">
        <v>100</v>
      </c>
      <c r="G1223" s="3">
        <v>129</v>
      </c>
      <c r="H1223" s="3">
        <v>11357</v>
      </c>
      <c r="I1223" s="51" t="s">
        <v>110</v>
      </c>
      <c r="J1223" s="3">
        <v>11000</v>
      </c>
      <c r="K1223" s="4" t="s">
        <v>106</v>
      </c>
      <c r="L1223" s="56" t="str">
        <f>VLOOKUP(C1223,'[9]Trips&amp;Operators'!$C$1:$E$9999,3,0)</f>
        <v>STORY</v>
      </c>
      <c r="M1223" s="20" t="s">
        <v>112</v>
      </c>
      <c r="N1223" s="19"/>
      <c r="O1223" s="19" t="str">
        <f t="shared" si="38"/>
        <v>24</v>
      </c>
      <c r="P1223" s="64">
        <f t="shared" si="39"/>
        <v>42575</v>
      </c>
    </row>
    <row r="1224" spans="1:16" x14ac:dyDescent="0.25">
      <c r="A1224" s="26">
        <v>42575.868750000001</v>
      </c>
      <c r="B1224" s="51" t="s">
        <v>119</v>
      </c>
      <c r="C1224" s="4" t="s">
        <v>1467</v>
      </c>
      <c r="D1224" s="4" t="s">
        <v>116</v>
      </c>
      <c r="E1224" s="51" t="s">
        <v>184</v>
      </c>
      <c r="F1224" s="3">
        <v>100</v>
      </c>
      <c r="G1224" s="3">
        <v>153</v>
      </c>
      <c r="H1224" s="3">
        <v>10557</v>
      </c>
      <c r="I1224" s="51" t="s">
        <v>110</v>
      </c>
      <c r="J1224" s="3">
        <v>11000</v>
      </c>
      <c r="K1224" s="4" t="s">
        <v>106</v>
      </c>
      <c r="L1224" s="56" t="str">
        <f>VLOOKUP(C1224,'[9]Trips&amp;Operators'!$C$1:$E$9999,3,0)</f>
        <v>STORY</v>
      </c>
      <c r="M1224" s="20" t="s">
        <v>112</v>
      </c>
      <c r="N1224" s="19"/>
      <c r="O1224" s="19" t="str">
        <f t="shared" si="38"/>
        <v>24</v>
      </c>
      <c r="P1224" s="64">
        <f t="shared" si="39"/>
        <v>42575</v>
      </c>
    </row>
    <row r="1225" spans="1:16" x14ac:dyDescent="0.25">
      <c r="A1225" s="26">
        <v>42575.243668981479</v>
      </c>
      <c r="B1225" s="51" t="s">
        <v>141</v>
      </c>
      <c r="C1225" s="4" t="s">
        <v>1438</v>
      </c>
      <c r="D1225" s="4" t="s">
        <v>103</v>
      </c>
      <c r="E1225" s="51" t="s">
        <v>129</v>
      </c>
      <c r="F1225" s="3">
        <v>0</v>
      </c>
      <c r="G1225" s="3">
        <v>39</v>
      </c>
      <c r="H1225" s="3">
        <v>145</v>
      </c>
      <c r="I1225" s="51" t="s">
        <v>130</v>
      </c>
      <c r="J1225" s="3">
        <v>1</v>
      </c>
      <c r="K1225" s="4" t="s">
        <v>106</v>
      </c>
      <c r="L1225" s="56" t="str">
        <f>VLOOKUP(C1225,'[9]Trips&amp;Operators'!$C$1:$E$9999,3,0)</f>
        <v>MAELZER</v>
      </c>
      <c r="M1225" s="20" t="s">
        <v>112</v>
      </c>
      <c r="N1225" s="19"/>
      <c r="O1225" s="19" t="str">
        <f t="shared" si="38"/>
        <v>24</v>
      </c>
      <c r="P1225" s="64">
        <f t="shared" si="39"/>
        <v>42575</v>
      </c>
    </row>
    <row r="1226" spans="1:16" x14ac:dyDescent="0.25">
      <c r="A1226" s="26">
        <v>42575.450972222221</v>
      </c>
      <c r="B1226" s="51" t="s">
        <v>118</v>
      </c>
      <c r="C1226" s="4" t="s">
        <v>1448</v>
      </c>
      <c r="D1226" s="4" t="s">
        <v>103</v>
      </c>
      <c r="E1226" s="51" t="s">
        <v>129</v>
      </c>
      <c r="F1226" s="3">
        <v>0</v>
      </c>
      <c r="G1226" s="3">
        <v>53</v>
      </c>
      <c r="H1226" s="3">
        <v>169</v>
      </c>
      <c r="I1226" s="51" t="s">
        <v>130</v>
      </c>
      <c r="J1226" s="3">
        <v>1</v>
      </c>
      <c r="K1226" s="4" t="s">
        <v>106</v>
      </c>
      <c r="L1226" s="56" t="str">
        <f>VLOOKUP(C1226,'[9]Trips&amp;Operators'!$C$1:$E$9999,3,0)</f>
        <v>ACKERMAN</v>
      </c>
      <c r="M1226" s="20" t="s">
        <v>112</v>
      </c>
      <c r="N1226" s="19"/>
      <c r="O1226" s="19" t="str">
        <f t="shared" si="38"/>
        <v>24</v>
      </c>
      <c r="P1226" s="64">
        <f t="shared" si="39"/>
        <v>42575</v>
      </c>
    </row>
    <row r="1227" spans="1:16" x14ac:dyDescent="0.25">
      <c r="A1227" s="26">
        <v>42575.504525462966</v>
      </c>
      <c r="B1227" s="51" t="s">
        <v>132</v>
      </c>
      <c r="C1227" s="4" t="s">
        <v>1442</v>
      </c>
      <c r="D1227" s="4" t="s">
        <v>103</v>
      </c>
      <c r="E1227" s="51" t="s">
        <v>129</v>
      </c>
      <c r="F1227" s="3">
        <v>0</v>
      </c>
      <c r="G1227" s="3">
        <v>69</v>
      </c>
      <c r="H1227" s="3">
        <v>232</v>
      </c>
      <c r="I1227" s="51" t="s">
        <v>130</v>
      </c>
      <c r="J1227" s="3">
        <v>1</v>
      </c>
      <c r="K1227" s="4" t="s">
        <v>106</v>
      </c>
      <c r="L1227" s="56" t="str">
        <f>VLOOKUP(C1227,'[9]Trips&amp;Operators'!$C$1:$E$9999,3,0)</f>
        <v>MAYBERRY</v>
      </c>
      <c r="M1227" s="20" t="s">
        <v>112</v>
      </c>
      <c r="N1227" s="19"/>
      <c r="O1227" s="19" t="str">
        <f t="shared" si="38"/>
        <v>24</v>
      </c>
      <c r="P1227" s="64">
        <f t="shared" si="39"/>
        <v>42575</v>
      </c>
    </row>
    <row r="1228" spans="1:16" x14ac:dyDescent="0.25">
      <c r="A1228" s="26">
        <v>42575.514351851853</v>
      </c>
      <c r="B1228" s="51" t="s">
        <v>139</v>
      </c>
      <c r="C1228" s="4" t="s">
        <v>1449</v>
      </c>
      <c r="D1228" s="4" t="s">
        <v>103</v>
      </c>
      <c r="E1228" s="51" t="s">
        <v>129</v>
      </c>
      <c r="F1228" s="3">
        <v>0</v>
      </c>
      <c r="G1228" s="3">
        <v>39</v>
      </c>
      <c r="H1228" s="3">
        <v>154</v>
      </c>
      <c r="I1228" s="51" t="s">
        <v>130</v>
      </c>
      <c r="J1228" s="3">
        <v>1</v>
      </c>
      <c r="K1228" s="4" t="s">
        <v>106</v>
      </c>
      <c r="L1228" s="56" t="str">
        <f>VLOOKUP(C1228,'[9]Trips&amp;Operators'!$C$1:$E$9999,3,0)</f>
        <v>YORK</v>
      </c>
      <c r="M1228" s="20" t="s">
        <v>112</v>
      </c>
      <c r="N1228" s="19"/>
      <c r="O1228" s="19" t="str">
        <f t="shared" si="38"/>
        <v>24</v>
      </c>
      <c r="P1228" s="64">
        <f t="shared" si="39"/>
        <v>42575</v>
      </c>
    </row>
    <row r="1229" spans="1:16" x14ac:dyDescent="0.25">
      <c r="A1229" s="26">
        <v>42575.556261574071</v>
      </c>
      <c r="B1229" s="51" t="s">
        <v>134</v>
      </c>
      <c r="C1229" s="4" t="s">
        <v>1450</v>
      </c>
      <c r="D1229" s="4" t="s">
        <v>103</v>
      </c>
      <c r="E1229" s="51" t="s">
        <v>129</v>
      </c>
      <c r="F1229" s="3">
        <v>0</v>
      </c>
      <c r="G1229" s="3">
        <v>53</v>
      </c>
      <c r="H1229" s="3">
        <v>174</v>
      </c>
      <c r="I1229" s="51" t="s">
        <v>130</v>
      </c>
      <c r="J1229" s="3">
        <v>1</v>
      </c>
      <c r="K1229" s="4" t="s">
        <v>106</v>
      </c>
      <c r="L1229" s="56" t="str">
        <f>VLOOKUP(C1229,'[9]Trips&amp;Operators'!$C$1:$E$9999,3,0)</f>
        <v>MOSES</v>
      </c>
      <c r="M1229" s="20" t="s">
        <v>112</v>
      </c>
      <c r="N1229" s="19"/>
      <c r="O1229" s="19" t="str">
        <f t="shared" si="38"/>
        <v>24</v>
      </c>
      <c r="P1229" s="64">
        <f t="shared" si="39"/>
        <v>42575</v>
      </c>
    </row>
    <row r="1230" spans="1:16" x14ac:dyDescent="0.25">
      <c r="A1230" s="26">
        <v>42575.597129629627</v>
      </c>
      <c r="B1230" s="51" t="s">
        <v>118</v>
      </c>
      <c r="C1230" s="4" t="s">
        <v>1451</v>
      </c>
      <c r="D1230" s="4" t="s">
        <v>103</v>
      </c>
      <c r="E1230" s="51" t="s">
        <v>129</v>
      </c>
      <c r="F1230" s="3">
        <v>0</v>
      </c>
      <c r="G1230" s="3">
        <v>89</v>
      </c>
      <c r="H1230" s="3">
        <v>364</v>
      </c>
      <c r="I1230" s="51" t="s">
        <v>130</v>
      </c>
      <c r="J1230" s="3">
        <v>1</v>
      </c>
      <c r="K1230" s="4" t="s">
        <v>106</v>
      </c>
      <c r="L1230" s="56" t="str">
        <f>VLOOKUP(C1230,'[9]Trips&amp;Operators'!$C$1:$E$9999,3,0)</f>
        <v>STEWART</v>
      </c>
      <c r="M1230" s="20" t="s">
        <v>112</v>
      </c>
      <c r="N1230" s="19"/>
      <c r="O1230" s="19" t="str">
        <f t="shared" si="38"/>
        <v>24</v>
      </c>
      <c r="P1230" s="64">
        <f t="shared" si="39"/>
        <v>42575</v>
      </c>
    </row>
    <row r="1231" spans="1:16" x14ac:dyDescent="0.25">
      <c r="A1231" s="26">
        <v>42575.804409722223</v>
      </c>
      <c r="B1231" s="51" t="s">
        <v>139</v>
      </c>
      <c r="C1231" s="4" t="s">
        <v>1452</v>
      </c>
      <c r="D1231" s="4" t="s">
        <v>103</v>
      </c>
      <c r="E1231" s="51" t="s">
        <v>129</v>
      </c>
      <c r="F1231" s="3">
        <v>0</v>
      </c>
      <c r="G1231" s="3">
        <v>82</v>
      </c>
      <c r="H1231" s="3">
        <v>293</v>
      </c>
      <c r="I1231" s="51" t="s">
        <v>130</v>
      </c>
      <c r="J1231" s="3">
        <v>1</v>
      </c>
      <c r="K1231" s="4" t="s">
        <v>106</v>
      </c>
      <c r="L1231" s="56" t="str">
        <f>VLOOKUP(C1231,'[9]Trips&amp;Operators'!$C$1:$E$9999,3,0)</f>
        <v>COOLAHAN</v>
      </c>
      <c r="M1231" s="20" t="s">
        <v>112</v>
      </c>
      <c r="N1231" s="19"/>
      <c r="O1231" s="19" t="str">
        <f t="shared" si="38"/>
        <v>24</v>
      </c>
      <c r="P1231" s="64">
        <f t="shared" si="39"/>
        <v>42575</v>
      </c>
    </row>
    <row r="1232" spans="1:16" x14ac:dyDescent="0.25">
      <c r="A1232" s="26">
        <v>42576.044918981483</v>
      </c>
      <c r="B1232" s="51" t="s">
        <v>139</v>
      </c>
      <c r="C1232" s="4" t="s">
        <v>1453</v>
      </c>
      <c r="D1232" s="4" t="s">
        <v>103</v>
      </c>
      <c r="E1232" s="51" t="s">
        <v>129</v>
      </c>
      <c r="F1232" s="3">
        <v>0</v>
      </c>
      <c r="G1232" s="3">
        <v>57</v>
      </c>
      <c r="H1232" s="3">
        <v>196</v>
      </c>
      <c r="I1232" s="51" t="s">
        <v>130</v>
      </c>
      <c r="J1232" s="3">
        <v>1</v>
      </c>
      <c r="K1232" s="4" t="s">
        <v>106</v>
      </c>
      <c r="L1232" s="56" t="str">
        <f>VLOOKUP(C1232,'[9]Trips&amp;Operators'!$C$1:$E$9999,3,0)</f>
        <v>COOLAHAN</v>
      </c>
      <c r="M1232" s="20" t="s">
        <v>112</v>
      </c>
      <c r="N1232" s="19"/>
      <c r="O1232" s="19" t="str">
        <f t="shared" si="38"/>
        <v>24</v>
      </c>
      <c r="P1232" s="64">
        <f t="shared" si="39"/>
        <v>42575</v>
      </c>
    </row>
    <row r="1233" spans="1:16" x14ac:dyDescent="0.25">
      <c r="A1233" s="26">
        <v>42575.718043981484</v>
      </c>
      <c r="B1233" s="51" t="s">
        <v>143</v>
      </c>
      <c r="C1233" s="4" t="s">
        <v>1468</v>
      </c>
      <c r="D1233" s="4" t="s">
        <v>103</v>
      </c>
      <c r="E1233" s="51" t="s">
        <v>129</v>
      </c>
      <c r="F1233" s="3">
        <v>0</v>
      </c>
      <c r="G1233" s="3">
        <v>18</v>
      </c>
      <c r="H1233" s="3">
        <v>598</v>
      </c>
      <c r="I1233" s="51" t="s">
        <v>130</v>
      </c>
      <c r="J1233" s="3">
        <v>575</v>
      </c>
      <c r="K1233" s="4" t="s">
        <v>106</v>
      </c>
      <c r="L1233" s="56" t="str">
        <f>VLOOKUP(C1233,'[9]Trips&amp;Operators'!$C$1:$E$9999,3,0)</f>
        <v>ADANE</v>
      </c>
      <c r="M1233" s="20" t="s">
        <v>112</v>
      </c>
      <c r="N1233" s="19"/>
      <c r="O1233" s="19" t="str">
        <f t="shared" si="38"/>
        <v>24</v>
      </c>
      <c r="P1233" s="64">
        <f t="shared" si="39"/>
        <v>42575</v>
      </c>
    </row>
    <row r="1234" spans="1:16" x14ac:dyDescent="0.25">
      <c r="A1234" s="26">
        <v>42575.744953703703</v>
      </c>
      <c r="B1234" s="51" t="s">
        <v>119</v>
      </c>
      <c r="C1234" s="4" t="s">
        <v>1469</v>
      </c>
      <c r="D1234" s="4" t="s">
        <v>103</v>
      </c>
      <c r="E1234" s="51" t="s">
        <v>129</v>
      </c>
      <c r="F1234" s="3">
        <v>0</v>
      </c>
      <c r="G1234" s="3">
        <v>75</v>
      </c>
      <c r="H1234" s="3">
        <v>806</v>
      </c>
      <c r="I1234" s="51" t="s">
        <v>130</v>
      </c>
      <c r="J1234" s="3">
        <v>575</v>
      </c>
      <c r="K1234" s="4" t="s">
        <v>106</v>
      </c>
      <c r="L1234" s="56" t="str">
        <f>VLOOKUP(C1234,'[9]Trips&amp;Operators'!$C$1:$E$9999,3,0)</f>
        <v>STORY</v>
      </c>
      <c r="M1234" s="20" t="s">
        <v>112</v>
      </c>
      <c r="N1234" s="19"/>
      <c r="O1234" s="19" t="str">
        <f t="shared" si="38"/>
        <v>24</v>
      </c>
      <c r="P1234" s="64">
        <f t="shared" si="39"/>
        <v>42575</v>
      </c>
    </row>
    <row r="1235" spans="1:16" x14ac:dyDescent="0.25">
      <c r="A1235" s="26">
        <v>42575.745462962965</v>
      </c>
      <c r="B1235" s="51" t="s">
        <v>119</v>
      </c>
      <c r="C1235" s="4" t="s">
        <v>1469</v>
      </c>
      <c r="D1235" s="4" t="s">
        <v>103</v>
      </c>
      <c r="E1235" s="51" t="s">
        <v>129</v>
      </c>
      <c r="F1235" s="3">
        <v>0</v>
      </c>
      <c r="G1235" s="3">
        <v>28</v>
      </c>
      <c r="H1235" s="3">
        <v>631</v>
      </c>
      <c r="I1235" s="51" t="s">
        <v>130</v>
      </c>
      <c r="J1235" s="3">
        <v>575</v>
      </c>
      <c r="K1235" s="4" t="s">
        <v>106</v>
      </c>
      <c r="L1235" s="56" t="str">
        <f>VLOOKUP(C1235,'[9]Trips&amp;Operators'!$C$1:$E$9999,3,0)</f>
        <v>STORY</v>
      </c>
      <c r="M1235" s="20" t="s">
        <v>112</v>
      </c>
      <c r="N1235" s="19"/>
      <c r="O1235" s="19" t="str">
        <f t="shared" si="38"/>
        <v>24</v>
      </c>
      <c r="P1235" s="64">
        <f t="shared" si="39"/>
        <v>42575</v>
      </c>
    </row>
    <row r="1236" spans="1:16" x14ac:dyDescent="0.25">
      <c r="A1236" s="26">
        <v>42575.772650462961</v>
      </c>
      <c r="B1236" s="51" t="s">
        <v>145</v>
      </c>
      <c r="C1236" s="4" t="s">
        <v>1470</v>
      </c>
      <c r="D1236" s="4" t="s">
        <v>103</v>
      </c>
      <c r="E1236" s="51" t="s">
        <v>129</v>
      </c>
      <c r="F1236" s="3">
        <v>0</v>
      </c>
      <c r="G1236" s="3">
        <v>3</v>
      </c>
      <c r="H1236" s="3">
        <v>869</v>
      </c>
      <c r="I1236" s="51" t="s">
        <v>130</v>
      </c>
      <c r="J1236" s="3">
        <v>575</v>
      </c>
      <c r="K1236" s="4" t="s">
        <v>106</v>
      </c>
      <c r="L1236" s="56" t="str">
        <f>VLOOKUP(C1236,'[9]Trips&amp;Operators'!$C$1:$E$9999,3,0)</f>
        <v>REBOLETTI</v>
      </c>
      <c r="M1236" s="20" t="s">
        <v>112</v>
      </c>
      <c r="N1236" s="19"/>
      <c r="O1236" s="19" t="str">
        <f t="shared" si="38"/>
        <v>24</v>
      </c>
      <c r="P1236" s="64">
        <f t="shared" si="39"/>
        <v>42575</v>
      </c>
    </row>
    <row r="1237" spans="1:16" x14ac:dyDescent="0.25">
      <c r="A1237" s="26">
        <v>42575.788726851853</v>
      </c>
      <c r="B1237" s="51" t="s">
        <v>119</v>
      </c>
      <c r="C1237" s="4" t="s">
        <v>1471</v>
      </c>
      <c r="D1237" s="4" t="s">
        <v>103</v>
      </c>
      <c r="E1237" s="51" t="s">
        <v>129</v>
      </c>
      <c r="F1237" s="3">
        <v>0</v>
      </c>
      <c r="G1237" s="3">
        <v>9</v>
      </c>
      <c r="H1237" s="3">
        <v>589</v>
      </c>
      <c r="I1237" s="51" t="s">
        <v>130</v>
      </c>
      <c r="J1237" s="3">
        <v>575</v>
      </c>
      <c r="K1237" s="4" t="s">
        <v>106</v>
      </c>
      <c r="L1237" s="56" t="str">
        <f>VLOOKUP(C1237,'[9]Trips&amp;Operators'!$C$1:$E$9999,3,0)</f>
        <v>STORY</v>
      </c>
      <c r="M1237" s="20" t="s">
        <v>112</v>
      </c>
      <c r="N1237" s="19"/>
      <c r="O1237" s="19" t="str">
        <f t="shared" si="38"/>
        <v>24</v>
      </c>
      <c r="P1237" s="64">
        <f t="shared" si="39"/>
        <v>42575</v>
      </c>
    </row>
    <row r="1238" spans="1:16" x14ac:dyDescent="0.25">
      <c r="A1238" s="26">
        <v>42575.828622685185</v>
      </c>
      <c r="B1238" s="51" t="s">
        <v>119</v>
      </c>
      <c r="C1238" s="4" t="s">
        <v>1472</v>
      </c>
      <c r="D1238" s="4" t="s">
        <v>103</v>
      </c>
      <c r="E1238" s="51" t="s">
        <v>129</v>
      </c>
      <c r="F1238" s="3">
        <v>0</v>
      </c>
      <c r="G1238" s="3">
        <v>44</v>
      </c>
      <c r="H1238" s="3">
        <v>680</v>
      </c>
      <c r="I1238" s="51" t="s">
        <v>130</v>
      </c>
      <c r="J1238" s="3">
        <v>575</v>
      </c>
      <c r="K1238" s="4" t="s">
        <v>106</v>
      </c>
      <c r="L1238" s="56" t="str">
        <f>VLOOKUP(C1238,'[9]Trips&amp;Operators'!$C$1:$E$9999,3,0)</f>
        <v>STORY</v>
      </c>
      <c r="M1238" s="20" t="s">
        <v>112</v>
      </c>
      <c r="N1238" s="19"/>
      <c r="O1238" s="19" t="str">
        <f t="shared" si="38"/>
        <v>24</v>
      </c>
      <c r="P1238" s="64">
        <f t="shared" si="39"/>
        <v>42575</v>
      </c>
    </row>
    <row r="1239" spans="1:16" x14ac:dyDescent="0.25">
      <c r="A1239" s="26">
        <v>42575.871817129628</v>
      </c>
      <c r="B1239" s="51" t="s">
        <v>119</v>
      </c>
      <c r="C1239" s="4" t="s">
        <v>1467</v>
      </c>
      <c r="D1239" s="4" t="s">
        <v>103</v>
      </c>
      <c r="E1239" s="51" t="s">
        <v>129</v>
      </c>
      <c r="F1239" s="3">
        <v>0</v>
      </c>
      <c r="G1239" s="3">
        <v>57</v>
      </c>
      <c r="H1239" s="3">
        <v>743</v>
      </c>
      <c r="I1239" s="51" t="s">
        <v>130</v>
      </c>
      <c r="J1239" s="3">
        <v>575</v>
      </c>
      <c r="K1239" s="4" t="s">
        <v>106</v>
      </c>
      <c r="L1239" s="56" t="str">
        <f>VLOOKUP(C1239,'[9]Trips&amp;Operators'!$C$1:$E$9999,3,0)</f>
        <v>STORY</v>
      </c>
      <c r="M1239" s="20" t="s">
        <v>112</v>
      </c>
      <c r="N1239" s="19"/>
      <c r="O1239" s="19" t="str">
        <f t="shared" si="38"/>
        <v>24</v>
      </c>
      <c r="P1239" s="64">
        <f t="shared" si="39"/>
        <v>42575</v>
      </c>
    </row>
    <row r="1240" spans="1:16" x14ac:dyDescent="0.25">
      <c r="A1240" s="26">
        <v>42575.872442129628</v>
      </c>
      <c r="B1240" s="51" t="s">
        <v>119</v>
      </c>
      <c r="C1240" s="4" t="s">
        <v>1467</v>
      </c>
      <c r="D1240" s="4" t="s">
        <v>103</v>
      </c>
      <c r="E1240" s="51" t="s">
        <v>129</v>
      </c>
      <c r="F1240" s="3">
        <v>0</v>
      </c>
      <c r="G1240" s="3">
        <v>21</v>
      </c>
      <c r="H1240" s="3">
        <v>635</v>
      </c>
      <c r="I1240" s="51" t="s">
        <v>130</v>
      </c>
      <c r="J1240" s="3">
        <v>575</v>
      </c>
      <c r="K1240" s="4" t="s">
        <v>106</v>
      </c>
      <c r="L1240" s="56" t="str">
        <f>VLOOKUP(C1240,'[9]Trips&amp;Operators'!$C$1:$E$9999,3,0)</f>
        <v>STORY</v>
      </c>
      <c r="M1240" s="20" t="s">
        <v>112</v>
      </c>
      <c r="N1240" s="19"/>
      <c r="O1240" s="19" t="str">
        <f t="shared" si="38"/>
        <v>24</v>
      </c>
      <c r="P1240" s="64">
        <f t="shared" si="39"/>
        <v>42575</v>
      </c>
    </row>
    <row r="1241" spans="1:16" x14ac:dyDescent="0.25">
      <c r="A1241" s="26">
        <v>42575.912245370368</v>
      </c>
      <c r="B1241" s="51" t="s">
        <v>119</v>
      </c>
      <c r="C1241" s="4" t="s">
        <v>1473</v>
      </c>
      <c r="D1241" s="4" t="s">
        <v>116</v>
      </c>
      <c r="E1241" s="51" t="s">
        <v>129</v>
      </c>
      <c r="F1241" s="3">
        <v>0</v>
      </c>
      <c r="G1241" s="3">
        <v>3</v>
      </c>
      <c r="H1241" s="3">
        <v>574</v>
      </c>
      <c r="I1241" s="51" t="s">
        <v>130</v>
      </c>
      <c r="J1241" s="3">
        <v>575</v>
      </c>
      <c r="K1241" s="4" t="s">
        <v>106</v>
      </c>
      <c r="L1241" s="56" t="str">
        <f>VLOOKUP(C1241,'[9]Trips&amp;Operators'!$C$1:$E$9999,3,0)</f>
        <v>STORY</v>
      </c>
      <c r="M1241" s="20" t="s">
        <v>112</v>
      </c>
      <c r="N1241" s="19"/>
      <c r="O1241" s="19" t="str">
        <f t="shared" si="38"/>
        <v>24</v>
      </c>
      <c r="P1241" s="64">
        <f t="shared" si="39"/>
        <v>42575</v>
      </c>
    </row>
    <row r="1242" spans="1:16" x14ac:dyDescent="0.25">
      <c r="A1242" s="26">
        <v>42575.706388888888</v>
      </c>
      <c r="B1242" s="51" t="s">
        <v>146</v>
      </c>
      <c r="C1242" s="4" t="s">
        <v>1474</v>
      </c>
      <c r="D1242" s="4" t="s">
        <v>103</v>
      </c>
      <c r="E1242" s="51" t="s">
        <v>129</v>
      </c>
      <c r="F1242" s="3">
        <v>0</v>
      </c>
      <c r="G1242" s="3">
        <v>7</v>
      </c>
      <c r="H1242" s="3">
        <v>58990</v>
      </c>
      <c r="I1242" s="51" t="s">
        <v>130</v>
      </c>
      <c r="J1242" s="3">
        <v>59048</v>
      </c>
      <c r="K1242" s="4" t="s">
        <v>111</v>
      </c>
      <c r="L1242" s="56" t="str">
        <f>VLOOKUP(C1242,'[9]Trips&amp;Operators'!$C$1:$E$9999,3,0)</f>
        <v>REBOLETTI</v>
      </c>
      <c r="M1242" s="20" t="s">
        <v>112</v>
      </c>
      <c r="N1242" s="19"/>
      <c r="O1242" s="19" t="str">
        <f t="shared" si="38"/>
        <v>24</v>
      </c>
      <c r="P1242" s="64">
        <f t="shared" si="39"/>
        <v>42575</v>
      </c>
    </row>
    <row r="1243" spans="1:16" x14ac:dyDescent="0.25">
      <c r="A1243" s="26">
        <v>42575.760833333334</v>
      </c>
      <c r="B1243" s="51" t="s">
        <v>133</v>
      </c>
      <c r="C1243" s="4" t="s">
        <v>1475</v>
      </c>
      <c r="D1243" s="4" t="s">
        <v>103</v>
      </c>
      <c r="E1243" s="51" t="s">
        <v>129</v>
      </c>
      <c r="F1243" s="3">
        <v>0</v>
      </c>
      <c r="G1243" s="3">
        <v>4</v>
      </c>
      <c r="H1243" s="3">
        <v>57625</v>
      </c>
      <c r="I1243" s="51" t="s">
        <v>130</v>
      </c>
      <c r="J1243" s="3">
        <v>59048</v>
      </c>
      <c r="K1243" s="4" t="s">
        <v>111</v>
      </c>
      <c r="L1243" s="56" t="str">
        <f>VLOOKUP(C1243,'[9]Trips&amp;Operators'!$C$1:$E$9999,3,0)</f>
        <v>STORY</v>
      </c>
      <c r="M1243" s="20" t="s">
        <v>112</v>
      </c>
      <c r="N1243" s="19"/>
      <c r="O1243" s="19" t="str">
        <f t="shared" si="38"/>
        <v>24</v>
      </c>
      <c r="P1243" s="64">
        <f t="shared" si="39"/>
        <v>42575</v>
      </c>
    </row>
    <row r="1244" spans="1:16" x14ac:dyDescent="0.25">
      <c r="A1244" s="26">
        <v>42575.761817129627</v>
      </c>
      <c r="B1244" s="51" t="s">
        <v>133</v>
      </c>
      <c r="C1244" s="4" t="s">
        <v>1475</v>
      </c>
      <c r="D1244" s="4" t="s">
        <v>103</v>
      </c>
      <c r="E1244" s="51" t="s">
        <v>129</v>
      </c>
      <c r="F1244" s="3">
        <v>0</v>
      </c>
      <c r="G1244" s="3">
        <v>53</v>
      </c>
      <c r="H1244" s="3">
        <v>58888</v>
      </c>
      <c r="I1244" s="51" t="s">
        <v>130</v>
      </c>
      <c r="J1244" s="3">
        <v>59048</v>
      </c>
      <c r="K1244" s="4" t="s">
        <v>111</v>
      </c>
      <c r="L1244" s="56" t="str">
        <f>VLOOKUP(C1244,'[9]Trips&amp;Operators'!$C$1:$E$9999,3,0)</f>
        <v>STORY</v>
      </c>
      <c r="M1244" s="20" t="s">
        <v>112</v>
      </c>
      <c r="N1244" s="19"/>
      <c r="O1244" s="19" t="str">
        <f t="shared" si="38"/>
        <v>24</v>
      </c>
      <c r="P1244" s="64">
        <f t="shared" si="39"/>
        <v>42575</v>
      </c>
    </row>
    <row r="1245" spans="1:16" x14ac:dyDescent="0.25">
      <c r="A1245" s="26">
        <v>42575.842060185183</v>
      </c>
      <c r="B1245" s="51" t="s">
        <v>133</v>
      </c>
      <c r="C1245" s="4" t="s">
        <v>1476</v>
      </c>
      <c r="D1245" s="4" t="s">
        <v>103</v>
      </c>
      <c r="E1245" s="51" t="s">
        <v>129</v>
      </c>
      <c r="F1245" s="3">
        <v>0</v>
      </c>
      <c r="G1245" s="3">
        <v>8</v>
      </c>
      <c r="H1245" s="3">
        <v>57136</v>
      </c>
      <c r="I1245" s="51" t="s">
        <v>130</v>
      </c>
      <c r="J1245" s="3">
        <v>59048</v>
      </c>
      <c r="K1245" s="4" t="s">
        <v>111</v>
      </c>
      <c r="L1245" s="56" t="str">
        <f>VLOOKUP(C1245,'[9]Trips&amp;Operators'!$C$1:$E$9999,3,0)</f>
        <v>STORY</v>
      </c>
      <c r="M1245" s="20" t="s">
        <v>112</v>
      </c>
      <c r="N1245" s="19"/>
      <c r="O1245" s="19" t="str">
        <f t="shared" si="38"/>
        <v>24</v>
      </c>
      <c r="P1245" s="64">
        <f t="shared" si="39"/>
        <v>42575</v>
      </c>
    </row>
    <row r="1246" spans="1:16" x14ac:dyDescent="0.25">
      <c r="A1246" s="26">
        <v>42575.748136574075</v>
      </c>
      <c r="B1246" s="51" t="s">
        <v>146</v>
      </c>
      <c r="C1246" s="4" t="s">
        <v>1477</v>
      </c>
      <c r="D1246" s="4" t="s">
        <v>103</v>
      </c>
      <c r="E1246" s="51" t="s">
        <v>129</v>
      </c>
      <c r="F1246" s="3">
        <v>0</v>
      </c>
      <c r="G1246" s="3">
        <v>5</v>
      </c>
      <c r="H1246" s="3">
        <v>58982</v>
      </c>
      <c r="I1246" s="51" t="s">
        <v>130</v>
      </c>
      <c r="J1246" s="3">
        <v>59058</v>
      </c>
      <c r="K1246" s="4" t="s">
        <v>111</v>
      </c>
      <c r="L1246" s="56" t="str">
        <f>VLOOKUP(C1246,'[9]Trips&amp;Operators'!$C$1:$E$9999,3,0)</f>
        <v>REBOLETTI</v>
      </c>
      <c r="M1246" s="20" t="s">
        <v>112</v>
      </c>
      <c r="N1246" s="19"/>
      <c r="O1246" s="19" t="str">
        <f t="shared" si="38"/>
        <v>24</v>
      </c>
      <c r="P1246" s="64">
        <f t="shared" si="39"/>
        <v>42575</v>
      </c>
    </row>
    <row r="1247" spans="1:16" x14ac:dyDescent="0.25">
      <c r="A1247" s="26">
        <v>42575.803425925929</v>
      </c>
      <c r="B1247" s="51" t="s">
        <v>133</v>
      </c>
      <c r="C1247" s="4" t="s">
        <v>1478</v>
      </c>
      <c r="D1247" s="4" t="s">
        <v>103</v>
      </c>
      <c r="E1247" s="51" t="s">
        <v>129</v>
      </c>
      <c r="F1247" s="3">
        <v>0</v>
      </c>
      <c r="G1247" s="3">
        <v>8</v>
      </c>
      <c r="H1247" s="3">
        <v>59005</v>
      </c>
      <c r="I1247" s="51" t="s">
        <v>130</v>
      </c>
      <c r="J1247" s="3">
        <v>59058</v>
      </c>
      <c r="K1247" s="4" t="s">
        <v>111</v>
      </c>
      <c r="L1247" s="56" t="str">
        <f>VLOOKUP(C1247,'[9]Trips&amp;Operators'!$C$1:$E$9999,3,0)</f>
        <v>STORY</v>
      </c>
      <c r="M1247" s="20" t="s">
        <v>112</v>
      </c>
      <c r="N1247" s="19"/>
      <c r="O1247" s="19" t="str">
        <f t="shared" si="38"/>
        <v>24</v>
      </c>
      <c r="P1247" s="64">
        <f t="shared" si="39"/>
        <v>42575</v>
      </c>
    </row>
    <row r="1248" spans="1:16" x14ac:dyDescent="0.25">
      <c r="A1248" s="26">
        <v>42575.296087962961</v>
      </c>
      <c r="B1248" s="51" t="s">
        <v>108</v>
      </c>
      <c r="C1248" s="4" t="s">
        <v>1454</v>
      </c>
      <c r="D1248" s="4" t="s">
        <v>103</v>
      </c>
      <c r="E1248" s="51" t="s">
        <v>129</v>
      </c>
      <c r="F1248" s="3">
        <v>0</v>
      </c>
      <c r="G1248" s="3">
        <v>163</v>
      </c>
      <c r="H1248" s="3">
        <v>232807</v>
      </c>
      <c r="I1248" s="51" t="s">
        <v>130</v>
      </c>
      <c r="J1248" s="3">
        <v>233491</v>
      </c>
      <c r="K1248" s="4" t="s">
        <v>111</v>
      </c>
      <c r="L1248" s="56" t="str">
        <f>VLOOKUP(C1248,'[9]Trips&amp;Operators'!$C$1:$E$9999,3,0)</f>
        <v>MALAVE</v>
      </c>
      <c r="M1248" s="20" t="s">
        <v>112</v>
      </c>
      <c r="N1248" s="19"/>
      <c r="O1248" s="19" t="str">
        <f t="shared" si="38"/>
        <v>24</v>
      </c>
      <c r="P1248" s="64">
        <f t="shared" si="39"/>
        <v>42575</v>
      </c>
    </row>
    <row r="1249" spans="1:16" x14ac:dyDescent="0.25">
      <c r="A1249" s="26">
        <v>42575.296701388892</v>
      </c>
      <c r="B1249" s="51" t="s">
        <v>108</v>
      </c>
      <c r="C1249" s="4" t="s">
        <v>1454</v>
      </c>
      <c r="D1249" s="4" t="s">
        <v>103</v>
      </c>
      <c r="E1249" s="51" t="s">
        <v>129</v>
      </c>
      <c r="F1249" s="3">
        <v>0</v>
      </c>
      <c r="G1249" s="3">
        <v>45</v>
      </c>
      <c r="H1249" s="3">
        <v>233315</v>
      </c>
      <c r="I1249" s="51" t="s">
        <v>130</v>
      </c>
      <c r="J1249" s="3">
        <v>233491</v>
      </c>
      <c r="K1249" s="4" t="s">
        <v>111</v>
      </c>
      <c r="L1249" s="56" t="str">
        <f>VLOOKUP(C1249,'[9]Trips&amp;Operators'!$C$1:$E$9999,3,0)</f>
        <v>MALAVE</v>
      </c>
      <c r="M1249" s="20" t="s">
        <v>112</v>
      </c>
      <c r="N1249" s="19"/>
      <c r="O1249" s="19" t="str">
        <f t="shared" si="38"/>
        <v>24</v>
      </c>
      <c r="P1249" s="64">
        <f t="shared" si="39"/>
        <v>42575</v>
      </c>
    </row>
    <row r="1250" spans="1:16" x14ac:dyDescent="0.25">
      <c r="A1250" s="26">
        <v>42575.681296296294</v>
      </c>
      <c r="B1250" s="51" t="s">
        <v>121</v>
      </c>
      <c r="C1250" s="4" t="s">
        <v>1455</v>
      </c>
      <c r="D1250" s="4" t="s">
        <v>103</v>
      </c>
      <c r="E1250" s="51" t="s">
        <v>129</v>
      </c>
      <c r="F1250" s="3">
        <v>0</v>
      </c>
      <c r="G1250" s="3">
        <v>78</v>
      </c>
      <c r="H1250" s="3">
        <v>233182</v>
      </c>
      <c r="I1250" s="51" t="s">
        <v>130</v>
      </c>
      <c r="J1250" s="3">
        <v>233491</v>
      </c>
      <c r="K1250" s="4" t="s">
        <v>111</v>
      </c>
      <c r="L1250" s="56" t="str">
        <f>VLOOKUP(C1250,'[9]Trips&amp;Operators'!$C$1:$E$9999,3,0)</f>
        <v>MAYBERRY</v>
      </c>
      <c r="M1250" s="20" t="s">
        <v>112</v>
      </c>
      <c r="N1250" s="19"/>
      <c r="O1250" s="19" t="str">
        <f t="shared" si="38"/>
        <v>24</v>
      </c>
      <c r="P1250" s="64">
        <f t="shared" si="39"/>
        <v>42575</v>
      </c>
    </row>
    <row r="1251" spans="1:16" x14ac:dyDescent="0.25">
      <c r="A1251" s="26">
        <v>42575.796585648146</v>
      </c>
      <c r="B1251" s="51" t="s">
        <v>148</v>
      </c>
      <c r="C1251" s="4" t="s">
        <v>1456</v>
      </c>
      <c r="D1251" s="4" t="s">
        <v>103</v>
      </c>
      <c r="E1251" s="51" t="s">
        <v>129</v>
      </c>
      <c r="F1251" s="3">
        <v>0</v>
      </c>
      <c r="G1251" s="3">
        <v>53</v>
      </c>
      <c r="H1251" s="3">
        <v>233291</v>
      </c>
      <c r="I1251" s="51" t="s">
        <v>130</v>
      </c>
      <c r="J1251" s="3">
        <v>233491</v>
      </c>
      <c r="K1251" s="4" t="s">
        <v>111</v>
      </c>
      <c r="L1251" s="56" t="str">
        <f>VLOOKUP(C1251,'[9]Trips&amp;Operators'!$C$1:$E$9999,3,0)</f>
        <v>CHANDLER</v>
      </c>
      <c r="M1251" s="20" t="s">
        <v>112</v>
      </c>
      <c r="N1251" s="19"/>
      <c r="O1251" s="19" t="str">
        <f t="shared" si="38"/>
        <v>24</v>
      </c>
      <c r="P1251" s="64">
        <f t="shared" si="39"/>
        <v>42575</v>
      </c>
    </row>
    <row r="1252" spans="1:16" x14ac:dyDescent="0.25">
      <c r="A1252" s="26">
        <v>42576.046168981484</v>
      </c>
      <c r="B1252" s="51" t="s">
        <v>148</v>
      </c>
      <c r="C1252" s="4" t="s">
        <v>1457</v>
      </c>
      <c r="D1252" s="4" t="s">
        <v>103</v>
      </c>
      <c r="E1252" s="51" t="s">
        <v>129</v>
      </c>
      <c r="F1252" s="3">
        <v>0</v>
      </c>
      <c r="G1252" s="3">
        <v>79</v>
      </c>
      <c r="H1252" s="3">
        <v>233215</v>
      </c>
      <c r="I1252" s="51" t="s">
        <v>130</v>
      </c>
      <c r="J1252" s="3">
        <v>233491</v>
      </c>
      <c r="K1252" s="4" t="s">
        <v>111</v>
      </c>
      <c r="L1252" s="56" t="str">
        <f>VLOOKUP(C1252,'[9]Trips&amp;Operators'!$C$1:$E$9999,3,0)</f>
        <v>CHANDLER</v>
      </c>
      <c r="M1252" s="20" t="s">
        <v>112</v>
      </c>
      <c r="N1252" s="19"/>
      <c r="O1252" s="19" t="str">
        <f t="shared" si="38"/>
        <v>24</v>
      </c>
      <c r="P1252" s="64">
        <f t="shared" si="39"/>
        <v>42575</v>
      </c>
    </row>
    <row r="1253" spans="1:16" x14ac:dyDescent="0.25">
      <c r="A1253" s="26">
        <v>42576.503020833334</v>
      </c>
      <c r="B1253" s="51" t="s">
        <v>139</v>
      </c>
      <c r="C1253" s="4" t="s">
        <v>1479</v>
      </c>
      <c r="D1253" s="4" t="s">
        <v>103</v>
      </c>
      <c r="E1253" s="51" t="s">
        <v>109</v>
      </c>
      <c r="F1253" s="3">
        <v>0</v>
      </c>
      <c r="G1253" s="3">
        <v>80</v>
      </c>
      <c r="H1253" s="3">
        <v>27550</v>
      </c>
      <c r="I1253" s="51" t="s">
        <v>110</v>
      </c>
      <c r="J1253" s="3">
        <v>27350</v>
      </c>
      <c r="K1253" s="4" t="s">
        <v>106</v>
      </c>
      <c r="L1253" s="56" t="str">
        <f>VLOOKUP(C1253,'[10]Trips&amp;Operators'!$C$1:$E$9999,3,0)</f>
        <v>STARKS</v>
      </c>
      <c r="M1253" s="20" t="s">
        <v>112</v>
      </c>
      <c r="N1253" s="19" t="s">
        <v>186</v>
      </c>
      <c r="O1253" s="19" t="str">
        <f t="shared" si="38"/>
        <v>25</v>
      </c>
      <c r="P1253" s="64">
        <f t="shared" si="39"/>
        <v>42576</v>
      </c>
    </row>
    <row r="1254" spans="1:16" x14ac:dyDescent="0.25">
      <c r="A1254" s="26">
        <v>42576.602083333331</v>
      </c>
      <c r="B1254" s="51" t="s">
        <v>118</v>
      </c>
      <c r="C1254" s="4" t="s">
        <v>1480</v>
      </c>
      <c r="D1254" s="4" t="s">
        <v>103</v>
      </c>
      <c r="E1254" s="51" t="s">
        <v>109</v>
      </c>
      <c r="F1254" s="3">
        <v>0</v>
      </c>
      <c r="G1254" s="3">
        <v>174</v>
      </c>
      <c r="H1254" s="3">
        <v>33395</v>
      </c>
      <c r="I1254" s="51" t="s">
        <v>110</v>
      </c>
      <c r="J1254" s="3">
        <v>33257</v>
      </c>
      <c r="K1254" s="4" t="s">
        <v>106</v>
      </c>
      <c r="L1254" s="56" t="str">
        <f>VLOOKUP(C1254,'[10]Trips&amp;Operators'!$C$1:$E$9999,3,0)</f>
        <v>STEWART</v>
      </c>
      <c r="M1254" s="20" t="s">
        <v>112</v>
      </c>
      <c r="N1254" s="19" t="s">
        <v>543</v>
      </c>
      <c r="O1254" s="19" t="str">
        <f t="shared" si="38"/>
        <v>25</v>
      </c>
      <c r="P1254" s="64">
        <f t="shared" si="39"/>
        <v>42576</v>
      </c>
    </row>
    <row r="1255" spans="1:16" x14ac:dyDescent="0.25">
      <c r="A1255" s="26">
        <v>42576.235694444447</v>
      </c>
      <c r="B1255" s="51" t="s">
        <v>125</v>
      </c>
      <c r="C1255" s="4" t="s">
        <v>1481</v>
      </c>
      <c r="D1255" s="4" t="s">
        <v>103</v>
      </c>
      <c r="E1255" s="51" t="s">
        <v>109</v>
      </c>
      <c r="F1255" s="3">
        <v>330</v>
      </c>
      <c r="G1255" s="3">
        <v>525</v>
      </c>
      <c r="H1255" s="3">
        <v>34205</v>
      </c>
      <c r="I1255" s="51" t="s">
        <v>110</v>
      </c>
      <c r="J1255" s="3">
        <v>36642</v>
      </c>
      <c r="K1255" s="4" t="s">
        <v>111</v>
      </c>
      <c r="L1255" s="56" t="str">
        <f>VLOOKUP(C1255,'[10]Trips&amp;Operators'!$C$1:$E$9999,3,0)</f>
        <v>MALAVE</v>
      </c>
      <c r="M1255" s="20" t="s">
        <v>112</v>
      </c>
      <c r="N1255" s="19" t="s">
        <v>543</v>
      </c>
      <c r="O1255" s="19" t="str">
        <f t="shared" si="38"/>
        <v>25</v>
      </c>
      <c r="P1255" s="64">
        <f t="shared" si="39"/>
        <v>42576</v>
      </c>
    </row>
    <row r="1256" spans="1:16" x14ac:dyDescent="0.25">
      <c r="A1256" s="26">
        <v>42576.339826388888</v>
      </c>
      <c r="B1256" s="51" t="s">
        <v>136</v>
      </c>
      <c r="C1256" s="4" t="s">
        <v>1482</v>
      </c>
      <c r="D1256" s="4" t="s">
        <v>103</v>
      </c>
      <c r="E1256" s="51" t="s">
        <v>109</v>
      </c>
      <c r="F1256" s="3">
        <v>0</v>
      </c>
      <c r="G1256" s="3">
        <v>520</v>
      </c>
      <c r="H1256" s="3">
        <v>48294</v>
      </c>
      <c r="I1256" s="51" t="s">
        <v>110</v>
      </c>
      <c r="J1256" s="3">
        <v>48048</v>
      </c>
      <c r="K1256" s="4" t="s">
        <v>106</v>
      </c>
      <c r="L1256" s="56" t="str">
        <f>VLOOKUP(C1256,'[10]Trips&amp;Operators'!$C$1:$E$9999,3,0)</f>
        <v>STARKS</v>
      </c>
      <c r="M1256" s="20" t="s">
        <v>112</v>
      </c>
      <c r="N1256" s="19" t="s">
        <v>543</v>
      </c>
      <c r="O1256" s="19" t="str">
        <f t="shared" si="38"/>
        <v>25</v>
      </c>
      <c r="P1256" s="64">
        <f t="shared" si="39"/>
        <v>42576</v>
      </c>
    </row>
    <row r="1257" spans="1:16" x14ac:dyDescent="0.25">
      <c r="A1257" s="26">
        <v>42576.369421296295</v>
      </c>
      <c r="B1257" s="51" t="s">
        <v>118</v>
      </c>
      <c r="C1257" s="4" t="s">
        <v>1483</v>
      </c>
      <c r="D1257" s="4" t="s">
        <v>103</v>
      </c>
      <c r="E1257" s="51" t="s">
        <v>109</v>
      </c>
      <c r="F1257" s="3">
        <v>0</v>
      </c>
      <c r="G1257" s="3">
        <v>52</v>
      </c>
      <c r="H1257" s="3">
        <v>59027</v>
      </c>
      <c r="I1257" s="51" t="s">
        <v>110</v>
      </c>
      <c r="J1257" s="3">
        <v>58904</v>
      </c>
      <c r="K1257" s="4" t="s">
        <v>106</v>
      </c>
      <c r="L1257" s="56" t="str">
        <f>VLOOKUP(C1257,'[10]Trips&amp;Operators'!$C$1:$E$9999,3,0)</f>
        <v>MALAVE</v>
      </c>
      <c r="M1257" s="20" t="s">
        <v>112</v>
      </c>
      <c r="N1257" s="19" t="s">
        <v>186</v>
      </c>
      <c r="O1257" s="19" t="str">
        <f t="shared" si="38"/>
        <v>25</v>
      </c>
      <c r="P1257" s="64">
        <f t="shared" si="39"/>
        <v>42576</v>
      </c>
    </row>
    <row r="1258" spans="1:16" x14ac:dyDescent="0.25">
      <c r="A1258" s="26">
        <v>42576.933078703703</v>
      </c>
      <c r="B1258" s="4" t="s">
        <v>136</v>
      </c>
      <c r="C1258" s="4" t="s">
        <v>1484</v>
      </c>
      <c r="D1258" s="4" t="s">
        <v>103</v>
      </c>
      <c r="E1258" s="4" t="s">
        <v>109</v>
      </c>
      <c r="F1258" s="3">
        <v>150</v>
      </c>
      <c r="G1258" s="3">
        <v>211</v>
      </c>
      <c r="H1258" s="3">
        <v>63635</v>
      </c>
      <c r="I1258" s="4" t="s">
        <v>110</v>
      </c>
      <c r="J1258" s="3">
        <v>63309</v>
      </c>
      <c r="K1258" s="4" t="s">
        <v>106</v>
      </c>
      <c r="L1258" s="56" t="str">
        <f>VLOOKUP(C1258,'[10]Trips&amp;Operators'!$C$1:$E$9999,3,0)</f>
        <v>LEVERE</v>
      </c>
      <c r="M1258" s="20" t="s">
        <v>112</v>
      </c>
      <c r="N1258" s="19" t="s">
        <v>543</v>
      </c>
      <c r="O1258" s="19" t="str">
        <f t="shared" si="38"/>
        <v>25</v>
      </c>
      <c r="P1258" s="64">
        <f t="shared" si="39"/>
        <v>42576</v>
      </c>
    </row>
    <row r="1259" spans="1:16" x14ac:dyDescent="0.25">
      <c r="A1259" s="26">
        <v>42576.496481481481</v>
      </c>
      <c r="B1259" s="51" t="s">
        <v>139</v>
      </c>
      <c r="C1259" s="4" t="s">
        <v>1479</v>
      </c>
      <c r="D1259" s="4" t="s">
        <v>103</v>
      </c>
      <c r="E1259" s="51" t="s">
        <v>109</v>
      </c>
      <c r="F1259" s="3">
        <v>180</v>
      </c>
      <c r="G1259" s="3">
        <v>231</v>
      </c>
      <c r="H1259" s="3">
        <v>63400</v>
      </c>
      <c r="I1259" s="51" t="s">
        <v>110</v>
      </c>
      <c r="J1259" s="3">
        <v>63309</v>
      </c>
      <c r="K1259" s="4" t="s">
        <v>106</v>
      </c>
      <c r="L1259" s="56" t="str">
        <f>VLOOKUP(C1259,'[10]Trips&amp;Operators'!$C$1:$E$9999,3,0)</f>
        <v>STARKS</v>
      </c>
      <c r="M1259" s="20" t="s">
        <v>112</v>
      </c>
      <c r="N1259" s="19" t="s">
        <v>543</v>
      </c>
      <c r="O1259" s="19" t="str">
        <f t="shared" si="38"/>
        <v>25</v>
      </c>
      <c r="P1259" s="64">
        <f t="shared" si="39"/>
        <v>42576</v>
      </c>
    </row>
    <row r="1260" spans="1:16" x14ac:dyDescent="0.25">
      <c r="A1260" s="26">
        <v>42576.595949074072</v>
      </c>
      <c r="B1260" s="51" t="s">
        <v>118</v>
      </c>
      <c r="C1260" s="4" t="s">
        <v>1480</v>
      </c>
      <c r="D1260" s="4" t="s">
        <v>103</v>
      </c>
      <c r="E1260" s="51" t="s">
        <v>109</v>
      </c>
      <c r="F1260" s="3">
        <v>0</v>
      </c>
      <c r="G1260" s="3">
        <v>324</v>
      </c>
      <c r="H1260" s="3">
        <v>78498</v>
      </c>
      <c r="I1260" s="51" t="s">
        <v>110</v>
      </c>
      <c r="J1260" s="3">
        <v>78469</v>
      </c>
      <c r="K1260" s="4" t="s">
        <v>106</v>
      </c>
      <c r="L1260" s="56" t="str">
        <f>VLOOKUP(C1260,'[10]Trips&amp;Operators'!$C$1:$E$9999,3,0)</f>
        <v>STEWART</v>
      </c>
      <c r="M1260" s="20" t="s">
        <v>112</v>
      </c>
      <c r="N1260" s="19" t="s">
        <v>543</v>
      </c>
      <c r="O1260" s="19" t="str">
        <f t="shared" si="38"/>
        <v>25</v>
      </c>
      <c r="P1260" s="64">
        <f t="shared" si="39"/>
        <v>42576</v>
      </c>
    </row>
    <row r="1261" spans="1:16" x14ac:dyDescent="0.25">
      <c r="A1261" s="26">
        <v>42576.487303240741</v>
      </c>
      <c r="B1261" s="51" t="s">
        <v>142</v>
      </c>
      <c r="C1261" s="4" t="s">
        <v>1496</v>
      </c>
      <c r="D1261" s="4" t="s">
        <v>116</v>
      </c>
      <c r="E1261" s="51" t="s">
        <v>115</v>
      </c>
      <c r="F1261" s="3">
        <v>150</v>
      </c>
      <c r="G1261" s="3">
        <v>200</v>
      </c>
      <c r="H1261" s="3">
        <v>2889</v>
      </c>
      <c r="I1261" s="51" t="s">
        <v>105</v>
      </c>
      <c r="J1261" s="3">
        <v>574</v>
      </c>
      <c r="K1261" s="4" t="s">
        <v>111</v>
      </c>
      <c r="L1261" s="56" t="str">
        <f>VLOOKUP(C1261,'[10]Trips&amp;Operators'!$C$1:$E$9999,3,0)</f>
        <v>ADANE</v>
      </c>
      <c r="M1261" s="20" t="s">
        <v>112</v>
      </c>
      <c r="N1261" s="19"/>
      <c r="O1261" s="19" t="str">
        <f t="shared" si="38"/>
        <v>25</v>
      </c>
      <c r="P1261" s="64">
        <f t="shared" si="39"/>
        <v>42576</v>
      </c>
    </row>
    <row r="1262" spans="1:16" x14ac:dyDescent="0.25">
      <c r="A1262" s="26">
        <v>42576.960462962961</v>
      </c>
      <c r="B1262" s="4" t="s">
        <v>138</v>
      </c>
      <c r="C1262" s="4" t="s">
        <v>1485</v>
      </c>
      <c r="D1262" s="4" t="s">
        <v>116</v>
      </c>
      <c r="E1262" s="4" t="s">
        <v>115</v>
      </c>
      <c r="F1262" s="3">
        <v>200</v>
      </c>
      <c r="G1262" s="3">
        <v>256</v>
      </c>
      <c r="H1262" s="3">
        <v>5416</v>
      </c>
      <c r="I1262" s="4" t="s">
        <v>105</v>
      </c>
      <c r="J1262" s="3">
        <v>4677</v>
      </c>
      <c r="K1262" s="4" t="s">
        <v>111</v>
      </c>
      <c r="L1262" s="56" t="str">
        <f>VLOOKUP(C1262,'[10]Trips&amp;Operators'!$C$1:$E$9999,3,0)</f>
        <v>LEVERE</v>
      </c>
      <c r="M1262" s="20" t="s">
        <v>112</v>
      </c>
      <c r="N1262" s="19"/>
      <c r="O1262" s="19" t="str">
        <f t="shared" si="38"/>
        <v>25</v>
      </c>
      <c r="P1262" s="64">
        <f t="shared" si="39"/>
        <v>42576</v>
      </c>
    </row>
    <row r="1263" spans="1:16" x14ac:dyDescent="0.25">
      <c r="A1263" s="26">
        <v>42576.798483796294</v>
      </c>
      <c r="B1263" s="51" t="s">
        <v>143</v>
      </c>
      <c r="C1263" s="4" t="s">
        <v>1497</v>
      </c>
      <c r="D1263" s="4" t="s">
        <v>103</v>
      </c>
      <c r="E1263" s="51" t="s">
        <v>115</v>
      </c>
      <c r="F1263" s="3">
        <v>200</v>
      </c>
      <c r="G1263" s="3">
        <v>286</v>
      </c>
      <c r="H1263" s="3">
        <v>7148</v>
      </c>
      <c r="I1263" s="51" t="s">
        <v>105</v>
      </c>
      <c r="J1263" s="3">
        <v>5990</v>
      </c>
      <c r="K1263" s="4" t="s">
        <v>106</v>
      </c>
      <c r="L1263" s="56" t="str">
        <f>VLOOKUP(C1263,'[10]Trips&amp;Operators'!$C$1:$E$9999,3,0)</f>
        <v>STORY</v>
      </c>
      <c r="M1263" s="20" t="s">
        <v>112</v>
      </c>
      <c r="N1263" s="19"/>
      <c r="O1263" s="19" t="str">
        <f t="shared" si="38"/>
        <v>25</v>
      </c>
      <c r="P1263" s="64">
        <f t="shared" si="39"/>
        <v>42576</v>
      </c>
    </row>
    <row r="1264" spans="1:16" x14ac:dyDescent="0.25">
      <c r="A1264" s="26">
        <v>42576.698078703703</v>
      </c>
      <c r="B1264" s="51" t="s">
        <v>142</v>
      </c>
      <c r="C1264" s="4" t="s">
        <v>1498</v>
      </c>
      <c r="D1264" s="4" t="s">
        <v>116</v>
      </c>
      <c r="E1264" s="51" t="s">
        <v>115</v>
      </c>
      <c r="F1264" s="3">
        <v>450</v>
      </c>
      <c r="G1264" s="3">
        <v>501</v>
      </c>
      <c r="H1264" s="3">
        <v>14718</v>
      </c>
      <c r="I1264" s="51" t="s">
        <v>105</v>
      </c>
      <c r="J1264" s="3">
        <v>13572</v>
      </c>
      <c r="K1264" s="4" t="s">
        <v>111</v>
      </c>
      <c r="L1264" s="56" t="str">
        <f>VLOOKUP(C1264,'[10]Trips&amp;Operators'!$C$1:$E$9999,3,0)</f>
        <v>ADANE</v>
      </c>
      <c r="M1264" s="20" t="s">
        <v>112</v>
      </c>
      <c r="N1264" s="19"/>
      <c r="O1264" s="19" t="str">
        <f t="shared" si="38"/>
        <v>25</v>
      </c>
      <c r="P1264" s="64">
        <f t="shared" si="39"/>
        <v>42576</v>
      </c>
    </row>
    <row r="1265" spans="1:16" x14ac:dyDescent="0.25">
      <c r="A1265" s="26">
        <v>42576.713020833333</v>
      </c>
      <c r="B1265" s="51" t="s">
        <v>146</v>
      </c>
      <c r="C1265" s="4" t="s">
        <v>1499</v>
      </c>
      <c r="D1265" s="4" t="s">
        <v>103</v>
      </c>
      <c r="E1265" s="51" t="s">
        <v>115</v>
      </c>
      <c r="F1265" s="3">
        <v>300</v>
      </c>
      <c r="G1265" s="3">
        <v>361</v>
      </c>
      <c r="H1265" s="3">
        <v>19686</v>
      </c>
      <c r="I1265" s="51" t="s">
        <v>105</v>
      </c>
      <c r="J1265" s="3">
        <v>21314</v>
      </c>
      <c r="K1265" s="4" t="s">
        <v>111</v>
      </c>
      <c r="L1265" s="56" t="str">
        <f>VLOOKUP(C1265,'[10]Trips&amp;Operators'!$C$1:$E$9999,3,0)</f>
        <v>BRUDER</v>
      </c>
      <c r="M1265" s="20" t="s">
        <v>112</v>
      </c>
      <c r="N1265" s="19"/>
      <c r="O1265" s="19" t="str">
        <f t="shared" si="38"/>
        <v>25</v>
      </c>
      <c r="P1265" s="64">
        <f t="shared" si="39"/>
        <v>42576</v>
      </c>
    </row>
    <row r="1266" spans="1:16" x14ac:dyDescent="0.25">
      <c r="A1266" s="26">
        <v>42576.476030092592</v>
      </c>
      <c r="B1266" s="51" t="s">
        <v>141</v>
      </c>
      <c r="C1266" s="4" t="s">
        <v>1500</v>
      </c>
      <c r="D1266" s="4" t="s">
        <v>116</v>
      </c>
      <c r="E1266" s="51" t="s">
        <v>115</v>
      </c>
      <c r="F1266" s="3">
        <v>600</v>
      </c>
      <c r="G1266" s="3">
        <v>652</v>
      </c>
      <c r="H1266" s="3">
        <v>30793</v>
      </c>
      <c r="I1266" s="51" t="s">
        <v>105</v>
      </c>
      <c r="J1266" s="3">
        <v>37577</v>
      </c>
      <c r="K1266" s="4" t="s">
        <v>106</v>
      </c>
      <c r="L1266" s="56" t="str">
        <f>VLOOKUP(C1266,'[10]Trips&amp;Operators'!$C$1:$E$9999,3,0)</f>
        <v>ADANE</v>
      </c>
      <c r="M1266" s="20" t="s">
        <v>112</v>
      </c>
      <c r="N1266" s="19"/>
      <c r="O1266" s="19" t="str">
        <f t="shared" si="38"/>
        <v>25</v>
      </c>
      <c r="P1266" s="64">
        <f t="shared" si="39"/>
        <v>42576</v>
      </c>
    </row>
    <row r="1267" spans="1:16" x14ac:dyDescent="0.25">
      <c r="A1267" s="26">
        <v>42576.549641203703</v>
      </c>
      <c r="B1267" s="51" t="s">
        <v>146</v>
      </c>
      <c r="C1267" s="4" t="s">
        <v>1501</v>
      </c>
      <c r="D1267" s="4" t="s">
        <v>103</v>
      </c>
      <c r="E1267" s="51" t="s">
        <v>115</v>
      </c>
      <c r="F1267" s="3">
        <v>150</v>
      </c>
      <c r="G1267" s="3">
        <v>404</v>
      </c>
      <c r="H1267" s="3">
        <v>55623</v>
      </c>
      <c r="I1267" s="51" t="s">
        <v>105</v>
      </c>
      <c r="J1267" s="3">
        <v>57008</v>
      </c>
      <c r="K1267" s="4" t="s">
        <v>111</v>
      </c>
      <c r="L1267" s="56" t="str">
        <f>VLOOKUP(C1267,'[10]Trips&amp;Operators'!$C$1:$E$9999,3,0)</f>
        <v>ROCHA</v>
      </c>
      <c r="M1267" s="20" t="s">
        <v>112</v>
      </c>
      <c r="N1267" s="19"/>
      <c r="O1267" s="19" t="str">
        <f t="shared" si="38"/>
        <v>25</v>
      </c>
      <c r="P1267" s="64">
        <f t="shared" si="39"/>
        <v>42576</v>
      </c>
    </row>
    <row r="1268" spans="1:16" x14ac:dyDescent="0.25">
      <c r="A1268" s="26">
        <v>42576.606412037036</v>
      </c>
      <c r="B1268" s="51" t="s">
        <v>135</v>
      </c>
      <c r="C1268" s="4" t="s">
        <v>1502</v>
      </c>
      <c r="D1268" s="4" t="s">
        <v>103</v>
      </c>
      <c r="E1268" s="51" t="s">
        <v>115</v>
      </c>
      <c r="F1268" s="3">
        <v>150</v>
      </c>
      <c r="G1268" s="3">
        <v>134</v>
      </c>
      <c r="H1268" s="3">
        <v>56866</v>
      </c>
      <c r="I1268" s="51" t="s">
        <v>105</v>
      </c>
      <c r="J1268" s="3">
        <v>57008</v>
      </c>
      <c r="K1268" s="4" t="s">
        <v>111</v>
      </c>
      <c r="L1268" s="56" t="str">
        <f>VLOOKUP(C1268,'[10]Trips&amp;Operators'!$C$1:$E$9999,3,0)</f>
        <v>REBOLETTI</v>
      </c>
      <c r="M1268" s="20" t="s">
        <v>112</v>
      </c>
      <c r="N1268" s="19"/>
      <c r="O1268" s="19" t="str">
        <f t="shared" si="38"/>
        <v>25</v>
      </c>
      <c r="P1268" s="64">
        <f t="shared" si="39"/>
        <v>42576</v>
      </c>
    </row>
    <row r="1269" spans="1:16" x14ac:dyDescent="0.25">
      <c r="A1269" s="26">
        <v>42576.524247685185</v>
      </c>
      <c r="B1269" s="51" t="s">
        <v>120</v>
      </c>
      <c r="C1269" s="4" t="s">
        <v>1486</v>
      </c>
      <c r="D1269" s="4" t="s">
        <v>103</v>
      </c>
      <c r="E1269" s="51" t="s">
        <v>115</v>
      </c>
      <c r="F1269" s="3">
        <v>550</v>
      </c>
      <c r="G1269" s="3">
        <v>671</v>
      </c>
      <c r="H1269" s="3">
        <v>219516</v>
      </c>
      <c r="I1269" s="51" t="s">
        <v>105</v>
      </c>
      <c r="J1269" s="3">
        <v>222090</v>
      </c>
      <c r="K1269" s="4" t="s">
        <v>111</v>
      </c>
      <c r="L1269" s="56" t="str">
        <f>VLOOKUP(C1269,'[10]Trips&amp;Operators'!$C$1:$E$9999,3,0)</f>
        <v>MAYBERRY</v>
      </c>
      <c r="M1269" s="20" t="s">
        <v>112</v>
      </c>
      <c r="N1269" s="19"/>
      <c r="O1269" s="19" t="str">
        <f t="shared" si="38"/>
        <v>25</v>
      </c>
      <c r="P1269" s="64">
        <f t="shared" si="39"/>
        <v>42576</v>
      </c>
    </row>
    <row r="1270" spans="1:16" x14ac:dyDescent="0.25">
      <c r="A1270" s="26">
        <v>42576.304594907408</v>
      </c>
      <c r="B1270" s="51" t="s">
        <v>138</v>
      </c>
      <c r="C1270" s="4" t="s">
        <v>1487</v>
      </c>
      <c r="D1270" s="4" t="s">
        <v>103</v>
      </c>
      <c r="E1270" s="51" t="s">
        <v>115</v>
      </c>
      <c r="F1270" s="3">
        <v>350</v>
      </c>
      <c r="G1270" s="3">
        <v>534</v>
      </c>
      <c r="H1270" s="3">
        <v>222815</v>
      </c>
      <c r="I1270" s="51" t="s">
        <v>105</v>
      </c>
      <c r="J1270" s="3">
        <v>224578</v>
      </c>
      <c r="K1270" s="4" t="s">
        <v>111</v>
      </c>
      <c r="L1270" s="56" t="str">
        <f>VLOOKUP(C1270,'[10]Trips&amp;Operators'!$C$1:$E$9999,3,0)</f>
        <v>STARKS</v>
      </c>
      <c r="M1270" s="20" t="s">
        <v>112</v>
      </c>
      <c r="N1270" s="19"/>
      <c r="O1270" s="19" t="str">
        <f t="shared" si="38"/>
        <v>25</v>
      </c>
      <c r="P1270" s="64">
        <f t="shared" si="39"/>
        <v>42576</v>
      </c>
    </row>
    <row r="1271" spans="1:16" x14ac:dyDescent="0.25">
      <c r="A1271" s="26">
        <v>42576.916273148148</v>
      </c>
      <c r="B1271" s="4" t="s">
        <v>136</v>
      </c>
      <c r="C1271" s="4" t="s">
        <v>1484</v>
      </c>
      <c r="D1271" s="4" t="s">
        <v>116</v>
      </c>
      <c r="E1271" s="4" t="s">
        <v>115</v>
      </c>
      <c r="F1271" s="3">
        <v>350</v>
      </c>
      <c r="G1271" s="3">
        <v>402</v>
      </c>
      <c r="H1271" s="3">
        <v>225796</v>
      </c>
      <c r="I1271" s="4" t="s">
        <v>105</v>
      </c>
      <c r="J1271" s="3">
        <v>228668</v>
      </c>
      <c r="K1271" s="4" t="s">
        <v>106</v>
      </c>
      <c r="L1271" s="56" t="str">
        <f>VLOOKUP(C1271,'[10]Trips&amp;Operators'!$C$1:$E$9999,3,0)</f>
        <v>LEVERE</v>
      </c>
      <c r="M1271" s="20" t="s">
        <v>112</v>
      </c>
      <c r="N1271" s="19"/>
      <c r="O1271" s="19" t="str">
        <f t="shared" si="38"/>
        <v>25</v>
      </c>
      <c r="P1271" s="64">
        <f t="shared" si="39"/>
        <v>42576</v>
      </c>
    </row>
    <row r="1272" spans="1:16" x14ac:dyDescent="0.25">
      <c r="A1272" s="26">
        <v>42576.832129629627</v>
      </c>
      <c r="B1272" s="51" t="s">
        <v>136</v>
      </c>
      <c r="C1272" s="4" t="s">
        <v>1488</v>
      </c>
      <c r="D1272" s="4" t="s">
        <v>103</v>
      </c>
      <c r="E1272" s="51" t="s">
        <v>115</v>
      </c>
      <c r="F1272" s="3">
        <v>150</v>
      </c>
      <c r="G1272" s="3">
        <v>200</v>
      </c>
      <c r="H1272" s="3">
        <v>229343</v>
      </c>
      <c r="I1272" s="51" t="s">
        <v>105</v>
      </c>
      <c r="J1272" s="3">
        <v>229055</v>
      </c>
      <c r="K1272" s="4" t="s">
        <v>106</v>
      </c>
      <c r="L1272" s="56" t="str">
        <f>VLOOKUP(C1272,'[10]Trips&amp;Operators'!$C$1:$E$9999,3,0)</f>
        <v>LEVERE</v>
      </c>
      <c r="M1272" s="20" t="s">
        <v>112</v>
      </c>
      <c r="N1272" s="19"/>
      <c r="O1272" s="19" t="str">
        <f t="shared" si="38"/>
        <v>25</v>
      </c>
      <c r="P1272" s="64">
        <f t="shared" si="39"/>
        <v>42576</v>
      </c>
    </row>
    <row r="1273" spans="1:16" x14ac:dyDescent="0.25">
      <c r="A1273" s="26">
        <v>42576.771203703705</v>
      </c>
      <c r="B1273" s="51" t="s">
        <v>125</v>
      </c>
      <c r="C1273" s="4" t="s">
        <v>1489</v>
      </c>
      <c r="D1273" s="4" t="s">
        <v>103</v>
      </c>
      <c r="E1273" s="51" t="s">
        <v>122</v>
      </c>
      <c r="F1273" s="3">
        <v>0</v>
      </c>
      <c r="G1273" s="3">
        <v>136</v>
      </c>
      <c r="H1273" s="3">
        <v>912</v>
      </c>
      <c r="I1273" s="51" t="s">
        <v>123</v>
      </c>
      <c r="J1273" s="3">
        <v>1692</v>
      </c>
      <c r="K1273" s="4" t="s">
        <v>111</v>
      </c>
      <c r="L1273" s="56" t="str">
        <f>VLOOKUP(C1273,'[10]Trips&amp;Operators'!$C$1:$E$9999,3,0)</f>
        <v>YANAI</v>
      </c>
      <c r="M1273" s="20" t="s">
        <v>107</v>
      </c>
      <c r="N1273" s="19" t="s">
        <v>491</v>
      </c>
      <c r="O1273" s="19" t="str">
        <f t="shared" si="38"/>
        <v>25</v>
      </c>
      <c r="P1273" s="64">
        <f t="shared" si="39"/>
        <v>42576</v>
      </c>
    </row>
    <row r="1274" spans="1:16" x14ac:dyDescent="0.25">
      <c r="A1274" s="26">
        <v>42576.444965277777</v>
      </c>
      <c r="B1274" s="51" t="s">
        <v>142</v>
      </c>
      <c r="C1274" s="4" t="s">
        <v>1503</v>
      </c>
      <c r="D1274" s="4" t="s">
        <v>103</v>
      </c>
      <c r="E1274" s="51" t="s">
        <v>122</v>
      </c>
      <c r="F1274" s="3">
        <v>0</v>
      </c>
      <c r="G1274" s="3">
        <v>84</v>
      </c>
      <c r="H1274" s="3">
        <v>1300</v>
      </c>
      <c r="I1274" s="51" t="s">
        <v>123</v>
      </c>
      <c r="J1274" s="3">
        <v>1725</v>
      </c>
      <c r="K1274" s="4" t="s">
        <v>111</v>
      </c>
      <c r="L1274" s="56" t="str">
        <f>VLOOKUP(C1274,'[10]Trips&amp;Operators'!$C$1:$E$9999,3,0)</f>
        <v>ADANE</v>
      </c>
      <c r="M1274" s="20" t="s">
        <v>112</v>
      </c>
      <c r="N1274" s="19"/>
      <c r="O1274" s="19" t="str">
        <f t="shared" si="38"/>
        <v>25</v>
      </c>
      <c r="P1274" s="64">
        <f t="shared" si="39"/>
        <v>42576</v>
      </c>
    </row>
    <row r="1275" spans="1:16" x14ac:dyDescent="0.25">
      <c r="A1275" s="26">
        <v>42576.584548611114</v>
      </c>
      <c r="B1275" s="51" t="s">
        <v>146</v>
      </c>
      <c r="C1275" s="4" t="s">
        <v>1504</v>
      </c>
      <c r="D1275" s="4" t="s">
        <v>103</v>
      </c>
      <c r="E1275" s="51" t="s">
        <v>122</v>
      </c>
      <c r="F1275" s="3">
        <v>0</v>
      </c>
      <c r="G1275" s="3">
        <v>122</v>
      </c>
      <c r="H1275" s="3">
        <v>1217</v>
      </c>
      <c r="I1275" s="51" t="s">
        <v>123</v>
      </c>
      <c r="J1275" s="3">
        <v>1725</v>
      </c>
      <c r="K1275" s="4" t="s">
        <v>111</v>
      </c>
      <c r="L1275" s="56" t="str">
        <f>VLOOKUP(C1275,'[10]Trips&amp;Operators'!$C$1:$E$9999,3,0)</f>
        <v>ROCHA</v>
      </c>
      <c r="M1275" s="20" t="s">
        <v>112</v>
      </c>
      <c r="N1275" s="19"/>
      <c r="O1275" s="19" t="str">
        <f t="shared" si="38"/>
        <v>25</v>
      </c>
      <c r="P1275" s="64">
        <f t="shared" si="39"/>
        <v>42576</v>
      </c>
    </row>
    <row r="1276" spans="1:16" x14ac:dyDescent="0.25">
      <c r="A1276" s="26">
        <v>42576.876631944448</v>
      </c>
      <c r="B1276" s="51" t="s">
        <v>146</v>
      </c>
      <c r="C1276" s="4" t="s">
        <v>556</v>
      </c>
      <c r="D1276" s="4" t="s">
        <v>116</v>
      </c>
      <c r="E1276" s="51" t="s">
        <v>122</v>
      </c>
      <c r="F1276" s="3">
        <v>0</v>
      </c>
      <c r="G1276" s="3">
        <v>6</v>
      </c>
      <c r="H1276" s="3">
        <v>1813</v>
      </c>
      <c r="I1276" s="51" t="s">
        <v>123</v>
      </c>
      <c r="J1276" s="3">
        <v>1725</v>
      </c>
      <c r="K1276" s="4" t="s">
        <v>111</v>
      </c>
      <c r="L1276" s="56" t="str">
        <f>VLOOKUP(C1276,'[10]Trips&amp;Operators'!$C$1:$E$9999,3,0)</f>
        <v>BRUDER</v>
      </c>
      <c r="M1276" s="20" t="s">
        <v>112</v>
      </c>
      <c r="N1276" s="19"/>
      <c r="O1276" s="19" t="str">
        <f t="shared" si="38"/>
        <v>25</v>
      </c>
      <c r="P1276" s="64">
        <f t="shared" si="39"/>
        <v>42576</v>
      </c>
    </row>
    <row r="1277" spans="1:16" x14ac:dyDescent="0.25">
      <c r="A1277" s="26">
        <v>42576.639837962961</v>
      </c>
      <c r="B1277" s="51" t="s">
        <v>135</v>
      </c>
      <c r="C1277" s="4" t="s">
        <v>1505</v>
      </c>
      <c r="D1277" s="4" t="s">
        <v>103</v>
      </c>
      <c r="E1277" s="51" t="s">
        <v>122</v>
      </c>
      <c r="F1277" s="3">
        <v>0</v>
      </c>
      <c r="G1277" s="3">
        <v>140</v>
      </c>
      <c r="H1277" s="3">
        <v>2214</v>
      </c>
      <c r="I1277" s="51" t="s">
        <v>123</v>
      </c>
      <c r="J1277" s="3">
        <v>2808</v>
      </c>
      <c r="K1277" s="4" t="s">
        <v>111</v>
      </c>
      <c r="L1277" s="56" t="str">
        <f>VLOOKUP(C1277,'[10]Trips&amp;Operators'!$C$1:$E$9999,3,0)</f>
        <v>COOLAHAN</v>
      </c>
      <c r="M1277" s="20" t="s">
        <v>112</v>
      </c>
      <c r="N1277" s="19"/>
      <c r="O1277" s="19" t="str">
        <f t="shared" si="38"/>
        <v>25</v>
      </c>
      <c r="P1277" s="64">
        <f t="shared" si="39"/>
        <v>42576</v>
      </c>
    </row>
    <row r="1278" spans="1:16" x14ac:dyDescent="0.25">
      <c r="A1278" s="26">
        <v>42576.492303240739</v>
      </c>
      <c r="B1278" s="51" t="s">
        <v>145</v>
      </c>
      <c r="C1278" s="4" t="s">
        <v>1506</v>
      </c>
      <c r="D1278" s="4" t="s">
        <v>103</v>
      </c>
      <c r="E1278" s="51" t="s">
        <v>122</v>
      </c>
      <c r="F1278" s="3">
        <v>0</v>
      </c>
      <c r="G1278" s="3">
        <v>285</v>
      </c>
      <c r="H1278" s="3">
        <v>9517</v>
      </c>
      <c r="I1278" s="51" t="s">
        <v>123</v>
      </c>
      <c r="J1278" s="3">
        <v>9500</v>
      </c>
      <c r="K1278" s="4" t="s">
        <v>106</v>
      </c>
      <c r="L1278" s="56" t="str">
        <f>VLOOKUP(C1278,'[10]Trips&amp;Operators'!$C$1:$E$9999,3,0)</f>
        <v>ROCHA</v>
      </c>
      <c r="M1278" s="20" t="s">
        <v>112</v>
      </c>
      <c r="N1278" s="19"/>
      <c r="O1278" s="19" t="str">
        <f t="shared" si="38"/>
        <v>25</v>
      </c>
      <c r="P1278" s="64">
        <f t="shared" si="39"/>
        <v>42576</v>
      </c>
    </row>
    <row r="1279" spans="1:16" x14ac:dyDescent="0.25">
      <c r="A1279" s="26">
        <v>42576.518530092595</v>
      </c>
      <c r="B1279" s="51" t="s">
        <v>141</v>
      </c>
      <c r="C1279" s="4" t="s">
        <v>555</v>
      </c>
      <c r="D1279" s="4" t="s">
        <v>116</v>
      </c>
      <c r="E1279" s="51" t="s">
        <v>122</v>
      </c>
      <c r="F1279" s="3">
        <v>0</v>
      </c>
      <c r="G1279" s="3">
        <v>6</v>
      </c>
      <c r="H1279" s="3">
        <v>23671</v>
      </c>
      <c r="I1279" s="51" t="s">
        <v>123</v>
      </c>
      <c r="J1279" s="3">
        <v>24193</v>
      </c>
      <c r="K1279" s="4" t="s">
        <v>106</v>
      </c>
      <c r="L1279" s="56" t="str">
        <f>VLOOKUP(C1279,'[10]Trips&amp;Operators'!$C$1:$E$9999,3,0)</f>
        <v>ADANE</v>
      </c>
      <c r="M1279" s="20" t="s">
        <v>112</v>
      </c>
      <c r="N1279" s="19"/>
      <c r="O1279" s="19" t="str">
        <f t="shared" si="38"/>
        <v>25</v>
      </c>
      <c r="P1279" s="64">
        <f t="shared" si="39"/>
        <v>42576</v>
      </c>
    </row>
    <row r="1280" spans="1:16" x14ac:dyDescent="0.25">
      <c r="A1280" s="26">
        <v>42576.617349537039</v>
      </c>
      <c r="B1280" s="51" t="s">
        <v>142</v>
      </c>
      <c r="C1280" s="4" t="s">
        <v>1507</v>
      </c>
      <c r="D1280" s="4" t="s">
        <v>103</v>
      </c>
      <c r="E1280" s="51" t="s">
        <v>122</v>
      </c>
      <c r="F1280" s="3">
        <v>0</v>
      </c>
      <c r="G1280" s="3">
        <v>370</v>
      </c>
      <c r="H1280" s="3">
        <v>35838</v>
      </c>
      <c r="I1280" s="51" t="s">
        <v>123</v>
      </c>
      <c r="J1280" s="3">
        <v>37602</v>
      </c>
      <c r="K1280" s="4" t="s">
        <v>111</v>
      </c>
      <c r="L1280" s="56" t="str">
        <f>VLOOKUP(C1280,'[10]Trips&amp;Operators'!$C$1:$E$9999,3,0)</f>
        <v>ADANE</v>
      </c>
      <c r="M1280" s="20" t="s">
        <v>112</v>
      </c>
      <c r="N1280" s="19"/>
      <c r="O1280" s="19" t="str">
        <f t="shared" si="38"/>
        <v>25</v>
      </c>
      <c r="P1280" s="64">
        <f t="shared" si="39"/>
        <v>42576</v>
      </c>
    </row>
    <row r="1281" spans="1:16" x14ac:dyDescent="0.25">
      <c r="A1281" s="26">
        <v>42576.671307870369</v>
      </c>
      <c r="B1281" s="51" t="s">
        <v>120</v>
      </c>
      <c r="C1281" s="4" t="s">
        <v>1490</v>
      </c>
      <c r="D1281" s="4" t="s">
        <v>116</v>
      </c>
      <c r="E1281" s="51" t="s">
        <v>122</v>
      </c>
      <c r="F1281" s="3">
        <v>200</v>
      </c>
      <c r="G1281" s="3">
        <v>277</v>
      </c>
      <c r="H1281" s="3">
        <v>65425</v>
      </c>
      <c r="I1281" s="51" t="s">
        <v>123</v>
      </c>
      <c r="J1281" s="3">
        <v>63995</v>
      </c>
      <c r="K1281" s="4" t="s">
        <v>111</v>
      </c>
      <c r="L1281" s="56" t="str">
        <f>VLOOKUP(C1281,'[10]Trips&amp;Operators'!$C$1:$E$9999,3,0)</f>
        <v>MAYBERRY</v>
      </c>
      <c r="M1281" s="20" t="s">
        <v>112</v>
      </c>
      <c r="N1281" s="19" t="s">
        <v>175</v>
      </c>
      <c r="O1281" s="19" t="str">
        <f t="shared" si="38"/>
        <v>25</v>
      </c>
      <c r="P1281" s="64">
        <f t="shared" si="39"/>
        <v>42576</v>
      </c>
    </row>
    <row r="1282" spans="1:16" x14ac:dyDescent="0.25">
      <c r="A1282" s="26">
        <v>42576.350775462961</v>
      </c>
      <c r="B1282" s="51" t="s">
        <v>118</v>
      </c>
      <c r="C1282" s="4" t="s">
        <v>1483</v>
      </c>
      <c r="D1282" s="4" t="s">
        <v>103</v>
      </c>
      <c r="E1282" s="51" t="s">
        <v>122</v>
      </c>
      <c r="F1282" s="3">
        <v>0</v>
      </c>
      <c r="G1282" s="3">
        <v>373</v>
      </c>
      <c r="H1282" s="3">
        <v>129229</v>
      </c>
      <c r="I1282" s="51" t="s">
        <v>123</v>
      </c>
      <c r="J1282" s="3">
        <v>127587</v>
      </c>
      <c r="K1282" s="4" t="s">
        <v>106</v>
      </c>
      <c r="L1282" s="56" t="str">
        <f>VLOOKUP(C1282,'[10]Trips&amp;Operators'!$C$1:$E$9999,3,0)</f>
        <v>MALAVE</v>
      </c>
      <c r="M1282" s="20" t="s">
        <v>112</v>
      </c>
      <c r="N1282" s="19" t="s">
        <v>1491</v>
      </c>
      <c r="O1282" s="19" t="str">
        <f t="shared" ref="O1282:O1345" si="40">RIGHT(C1282,2)</f>
        <v>25</v>
      </c>
      <c r="P1282" s="64">
        <f t="shared" si="39"/>
        <v>42576</v>
      </c>
    </row>
    <row r="1283" spans="1:16" x14ac:dyDescent="0.25">
      <c r="A1283" s="26">
        <v>42576.549837962964</v>
      </c>
      <c r="B1283" s="51" t="s">
        <v>131</v>
      </c>
      <c r="C1283" s="4" t="s">
        <v>208</v>
      </c>
      <c r="D1283" s="4" t="s">
        <v>103</v>
      </c>
      <c r="E1283" s="51" t="s">
        <v>122</v>
      </c>
      <c r="F1283" s="3">
        <v>0</v>
      </c>
      <c r="G1283" s="3">
        <v>443</v>
      </c>
      <c r="H1283" s="3">
        <v>129733</v>
      </c>
      <c r="I1283" s="51" t="s">
        <v>123</v>
      </c>
      <c r="J1283" s="3">
        <v>127587</v>
      </c>
      <c r="K1283" s="4" t="s">
        <v>106</v>
      </c>
      <c r="L1283" s="56" t="str">
        <f>VLOOKUP(C1283,'[10]Trips&amp;Operators'!$C$1:$E$9999,3,0)</f>
        <v>MAYBERRY</v>
      </c>
      <c r="M1283" s="20" t="s">
        <v>112</v>
      </c>
      <c r="N1283" s="19" t="s">
        <v>1491</v>
      </c>
      <c r="O1283" s="19" t="str">
        <f t="shared" si="40"/>
        <v>25</v>
      </c>
      <c r="P1283" s="64">
        <f t="shared" ref="P1283:P1346" si="41">42522+O1283+29</f>
        <v>42576</v>
      </c>
    </row>
    <row r="1284" spans="1:16" x14ac:dyDescent="0.25">
      <c r="A1284" s="26">
        <v>42576.231273148151</v>
      </c>
      <c r="B1284" s="51" t="s">
        <v>102</v>
      </c>
      <c r="C1284" s="4" t="s">
        <v>207</v>
      </c>
      <c r="D1284" s="4" t="s">
        <v>116</v>
      </c>
      <c r="E1284" s="51" t="s">
        <v>122</v>
      </c>
      <c r="F1284" s="3">
        <v>200</v>
      </c>
      <c r="G1284" s="3">
        <v>267</v>
      </c>
      <c r="H1284" s="3">
        <v>153228</v>
      </c>
      <c r="I1284" s="51" t="s">
        <v>123</v>
      </c>
      <c r="J1284" s="3">
        <v>157300</v>
      </c>
      <c r="K1284" s="4" t="s">
        <v>106</v>
      </c>
      <c r="L1284" s="56" t="str">
        <f>VLOOKUP(C1284,'[10]Trips&amp;Operators'!$C$1:$E$9999,3,0)</f>
        <v>BRANNON</v>
      </c>
      <c r="M1284" s="20" t="s">
        <v>112</v>
      </c>
      <c r="N1284" s="19" t="s">
        <v>175</v>
      </c>
      <c r="O1284" s="19" t="str">
        <f t="shared" si="40"/>
        <v>25</v>
      </c>
      <c r="P1284" s="64">
        <f t="shared" si="41"/>
        <v>42576</v>
      </c>
    </row>
    <row r="1285" spans="1:16" x14ac:dyDescent="0.25">
      <c r="A1285" s="26">
        <v>42576.48296296296</v>
      </c>
      <c r="B1285" s="51" t="s">
        <v>139</v>
      </c>
      <c r="C1285" s="4" t="s">
        <v>1479</v>
      </c>
      <c r="D1285" s="4" t="s">
        <v>103</v>
      </c>
      <c r="E1285" s="51" t="s">
        <v>122</v>
      </c>
      <c r="F1285" s="3">
        <v>0</v>
      </c>
      <c r="G1285" s="3">
        <v>697</v>
      </c>
      <c r="H1285" s="3">
        <v>178385</v>
      </c>
      <c r="I1285" s="51" t="s">
        <v>123</v>
      </c>
      <c r="J1285" s="3">
        <v>175398</v>
      </c>
      <c r="K1285" s="4" t="s">
        <v>106</v>
      </c>
      <c r="L1285" s="56" t="str">
        <f>VLOOKUP(C1285,'[10]Trips&amp;Operators'!$C$1:$E$9999,3,0)</f>
        <v>STARKS</v>
      </c>
      <c r="M1285" s="20" t="s">
        <v>107</v>
      </c>
      <c r="N1285" s="19" t="s">
        <v>52</v>
      </c>
      <c r="O1285" s="19" t="str">
        <f t="shared" si="40"/>
        <v>25</v>
      </c>
      <c r="P1285" s="64">
        <f t="shared" si="41"/>
        <v>42576</v>
      </c>
    </row>
    <row r="1286" spans="1:16" x14ac:dyDescent="0.25">
      <c r="A1286" s="26">
        <v>42576.615497685183</v>
      </c>
      <c r="B1286" s="51" t="s">
        <v>136</v>
      </c>
      <c r="C1286" s="4" t="s">
        <v>1492</v>
      </c>
      <c r="D1286" s="4" t="s">
        <v>103</v>
      </c>
      <c r="E1286" s="51" t="s">
        <v>122</v>
      </c>
      <c r="F1286" s="3">
        <v>0</v>
      </c>
      <c r="G1286" s="3">
        <v>342</v>
      </c>
      <c r="H1286" s="3">
        <v>193509</v>
      </c>
      <c r="I1286" s="51" t="s">
        <v>123</v>
      </c>
      <c r="J1286" s="3">
        <v>191723</v>
      </c>
      <c r="K1286" s="4" t="s">
        <v>106</v>
      </c>
      <c r="L1286" s="56" t="str">
        <f>VLOOKUP(C1286,'[10]Trips&amp;Operators'!$C$1:$E$9999,3,0)</f>
        <v>BONDS</v>
      </c>
      <c r="M1286" s="20" t="s">
        <v>112</v>
      </c>
      <c r="N1286" s="19" t="s">
        <v>1277</v>
      </c>
      <c r="O1286" s="19" t="str">
        <f t="shared" si="40"/>
        <v>25</v>
      </c>
      <c r="P1286" s="64">
        <f t="shared" si="41"/>
        <v>42576</v>
      </c>
    </row>
    <row r="1287" spans="1:16" x14ac:dyDescent="0.25">
      <c r="A1287" s="26">
        <v>42576.875648148147</v>
      </c>
      <c r="B1287" s="51" t="s">
        <v>146</v>
      </c>
      <c r="C1287" s="4" t="s">
        <v>556</v>
      </c>
      <c r="D1287" s="4" t="s">
        <v>103</v>
      </c>
      <c r="E1287" s="51" t="s">
        <v>127</v>
      </c>
      <c r="F1287" s="3">
        <v>0</v>
      </c>
      <c r="G1287" s="3">
        <v>126</v>
      </c>
      <c r="H1287" s="3">
        <v>1609</v>
      </c>
      <c r="I1287" s="51" t="s">
        <v>128</v>
      </c>
      <c r="J1287" s="3">
        <v>1925</v>
      </c>
      <c r="K1287" s="4" t="s">
        <v>111</v>
      </c>
      <c r="L1287" s="56" t="str">
        <f>VLOOKUP(C1287,'[10]Trips&amp;Operators'!$C$1:$E$9999,3,0)</f>
        <v>BRUDER</v>
      </c>
      <c r="M1287" s="20" t="s">
        <v>112</v>
      </c>
      <c r="N1287" s="19"/>
      <c r="O1287" s="19" t="str">
        <f t="shared" si="40"/>
        <v>25</v>
      </c>
      <c r="P1287" s="64">
        <f t="shared" si="41"/>
        <v>42576</v>
      </c>
    </row>
    <row r="1288" spans="1:16" x14ac:dyDescent="0.25">
      <c r="A1288" s="26">
        <v>42576.503738425927</v>
      </c>
      <c r="B1288" s="51" t="s">
        <v>143</v>
      </c>
      <c r="C1288" s="4" t="s">
        <v>1508</v>
      </c>
      <c r="D1288" s="4" t="s">
        <v>103</v>
      </c>
      <c r="E1288" s="51" t="s">
        <v>127</v>
      </c>
      <c r="F1288" s="3">
        <v>0</v>
      </c>
      <c r="G1288" s="3">
        <v>608</v>
      </c>
      <c r="H1288" s="3">
        <v>28105</v>
      </c>
      <c r="I1288" s="51" t="s">
        <v>128</v>
      </c>
      <c r="J1288" s="3">
        <v>24193</v>
      </c>
      <c r="K1288" s="4" t="s">
        <v>106</v>
      </c>
      <c r="L1288" s="56" t="str">
        <f>VLOOKUP(C1288,'[10]Trips&amp;Operators'!$C$1:$E$9999,3,0)</f>
        <v>REBOLETTI</v>
      </c>
      <c r="M1288" s="20" t="s">
        <v>112</v>
      </c>
      <c r="N1288" s="19"/>
      <c r="O1288" s="19" t="str">
        <f t="shared" si="40"/>
        <v>25</v>
      </c>
      <c r="P1288" s="64">
        <f t="shared" si="41"/>
        <v>42576</v>
      </c>
    </row>
    <row r="1289" spans="1:16" x14ac:dyDescent="0.25">
      <c r="A1289" s="26">
        <v>42576.517974537041</v>
      </c>
      <c r="B1289" s="51" t="s">
        <v>141</v>
      </c>
      <c r="C1289" s="4" t="s">
        <v>555</v>
      </c>
      <c r="D1289" s="4" t="s">
        <v>103</v>
      </c>
      <c r="E1289" s="51" t="s">
        <v>127</v>
      </c>
      <c r="F1289" s="3">
        <v>0</v>
      </c>
      <c r="G1289" s="3">
        <v>299</v>
      </c>
      <c r="H1289" s="3">
        <v>24352</v>
      </c>
      <c r="I1289" s="51" t="s">
        <v>128</v>
      </c>
      <c r="J1289" s="3">
        <v>24193</v>
      </c>
      <c r="K1289" s="4" t="s">
        <v>106</v>
      </c>
      <c r="L1289" s="56" t="str">
        <f>VLOOKUP(C1289,'[10]Trips&amp;Operators'!$C$1:$E$9999,3,0)</f>
        <v>ADANE</v>
      </c>
      <c r="M1289" s="20" t="s">
        <v>112</v>
      </c>
      <c r="N1289" s="19"/>
      <c r="O1289" s="19" t="str">
        <f t="shared" si="40"/>
        <v>25</v>
      </c>
      <c r="P1289" s="64">
        <f t="shared" si="41"/>
        <v>42576</v>
      </c>
    </row>
    <row r="1290" spans="1:16" x14ac:dyDescent="0.25">
      <c r="A1290" s="26">
        <v>42576.648553240739</v>
      </c>
      <c r="B1290" s="51" t="s">
        <v>141</v>
      </c>
      <c r="C1290" s="4" t="s">
        <v>1509</v>
      </c>
      <c r="D1290" s="4" t="s">
        <v>103</v>
      </c>
      <c r="E1290" s="51" t="s">
        <v>184</v>
      </c>
      <c r="F1290" s="3">
        <v>100</v>
      </c>
      <c r="G1290" s="3">
        <v>299</v>
      </c>
      <c r="H1290" s="3">
        <v>12165</v>
      </c>
      <c r="I1290" s="51" t="s">
        <v>110</v>
      </c>
      <c r="J1290" s="3">
        <v>11000</v>
      </c>
      <c r="K1290" s="4" t="s">
        <v>106</v>
      </c>
      <c r="L1290" s="56" t="str">
        <f>VLOOKUP(C1290,'[10]Trips&amp;Operators'!$C$1:$E$9999,3,0)</f>
        <v>ADANE</v>
      </c>
      <c r="M1290" s="20" t="s">
        <v>112</v>
      </c>
      <c r="N1290" s="19"/>
      <c r="O1290" s="19" t="str">
        <f t="shared" si="40"/>
        <v>25</v>
      </c>
      <c r="P1290" s="64">
        <f t="shared" si="41"/>
        <v>42576</v>
      </c>
    </row>
    <row r="1291" spans="1:16" x14ac:dyDescent="0.25">
      <c r="A1291" s="26">
        <v>42576.714409722219</v>
      </c>
      <c r="B1291" s="51" t="s">
        <v>143</v>
      </c>
      <c r="C1291" s="4" t="s">
        <v>1510</v>
      </c>
      <c r="D1291" s="4" t="s">
        <v>103</v>
      </c>
      <c r="E1291" s="51" t="s">
        <v>184</v>
      </c>
      <c r="F1291" s="3">
        <v>100</v>
      </c>
      <c r="G1291" s="3">
        <v>129</v>
      </c>
      <c r="H1291" s="3">
        <v>11447</v>
      </c>
      <c r="I1291" s="51" t="s">
        <v>110</v>
      </c>
      <c r="J1291" s="3">
        <v>11000</v>
      </c>
      <c r="K1291" s="4" t="s">
        <v>106</v>
      </c>
      <c r="L1291" s="56" t="str">
        <f>VLOOKUP(C1291,'[10]Trips&amp;Operators'!$C$1:$E$9999,3,0)</f>
        <v>COOLAHAN</v>
      </c>
      <c r="M1291" s="20" t="s">
        <v>112</v>
      </c>
      <c r="N1291" s="19"/>
      <c r="O1291" s="19" t="str">
        <f t="shared" si="40"/>
        <v>25</v>
      </c>
      <c r="P1291" s="64">
        <f t="shared" si="41"/>
        <v>42576</v>
      </c>
    </row>
    <row r="1292" spans="1:16" x14ac:dyDescent="0.25">
      <c r="A1292" s="26">
        <v>42576.715069444443</v>
      </c>
      <c r="B1292" s="51" t="s">
        <v>143</v>
      </c>
      <c r="C1292" s="4" t="s">
        <v>1510</v>
      </c>
      <c r="D1292" s="4" t="s">
        <v>103</v>
      </c>
      <c r="E1292" s="51" t="s">
        <v>184</v>
      </c>
      <c r="F1292" s="3">
        <v>100</v>
      </c>
      <c r="G1292" s="3">
        <v>119</v>
      </c>
      <c r="H1292" s="3">
        <v>11004</v>
      </c>
      <c r="I1292" s="51" t="s">
        <v>110</v>
      </c>
      <c r="J1292" s="3">
        <v>11000</v>
      </c>
      <c r="K1292" s="4" t="s">
        <v>106</v>
      </c>
      <c r="L1292" s="56" t="str">
        <f>VLOOKUP(C1292,'[10]Trips&amp;Operators'!$C$1:$E$9999,3,0)</f>
        <v>COOLAHAN</v>
      </c>
      <c r="M1292" s="20" t="s">
        <v>112</v>
      </c>
      <c r="N1292" s="19"/>
      <c r="O1292" s="19" t="str">
        <f t="shared" si="40"/>
        <v>25</v>
      </c>
      <c r="P1292" s="64">
        <f t="shared" si="41"/>
        <v>42576</v>
      </c>
    </row>
    <row r="1293" spans="1:16" x14ac:dyDescent="0.25">
      <c r="A1293" s="26">
        <v>42576.943749999999</v>
      </c>
      <c r="B1293" s="4" t="s">
        <v>136</v>
      </c>
      <c r="C1293" s="4" t="s">
        <v>1484</v>
      </c>
      <c r="D1293" s="4" t="s">
        <v>103</v>
      </c>
      <c r="E1293" s="4" t="s">
        <v>129</v>
      </c>
      <c r="F1293" s="3">
        <v>0</v>
      </c>
      <c r="G1293" s="3">
        <v>33</v>
      </c>
      <c r="H1293" s="3">
        <v>141</v>
      </c>
      <c r="I1293" s="4" t="s">
        <v>130</v>
      </c>
      <c r="J1293" s="3">
        <v>1</v>
      </c>
      <c r="K1293" s="4" t="s">
        <v>106</v>
      </c>
      <c r="L1293" s="56" t="str">
        <f>VLOOKUP(C1293,'[10]Trips&amp;Operators'!$C$1:$E$9999,3,0)</f>
        <v>LEVERE</v>
      </c>
      <c r="M1293" s="20" t="s">
        <v>112</v>
      </c>
      <c r="N1293" s="19"/>
      <c r="O1293" s="19" t="str">
        <f t="shared" si="40"/>
        <v>25</v>
      </c>
      <c r="P1293" s="64">
        <f t="shared" si="41"/>
        <v>42576</v>
      </c>
    </row>
    <row r="1294" spans="1:16" x14ac:dyDescent="0.25">
      <c r="A1294" s="26">
        <v>42577.044548611113</v>
      </c>
      <c r="B1294" s="4" t="s">
        <v>139</v>
      </c>
      <c r="C1294" s="4" t="s">
        <v>1493</v>
      </c>
      <c r="D1294" s="4" t="s">
        <v>103</v>
      </c>
      <c r="E1294" s="4" t="s">
        <v>129</v>
      </c>
      <c r="F1294" s="3">
        <v>0</v>
      </c>
      <c r="G1294" s="3">
        <v>61</v>
      </c>
      <c r="H1294" s="3">
        <v>198</v>
      </c>
      <c r="I1294" s="4" t="s">
        <v>130</v>
      </c>
      <c r="J1294" s="3">
        <v>1</v>
      </c>
      <c r="K1294" s="4" t="s">
        <v>106</v>
      </c>
      <c r="L1294" s="56" t="str">
        <f>VLOOKUP(C1294,'[10]Trips&amp;Operators'!$C$1:$E$9999,3,0)</f>
        <v>NEWELL</v>
      </c>
      <c r="M1294" s="20" t="s">
        <v>112</v>
      </c>
      <c r="N1294" s="19"/>
      <c r="O1294" s="19" t="str">
        <f t="shared" si="40"/>
        <v>25</v>
      </c>
      <c r="P1294" s="64">
        <f t="shared" si="41"/>
        <v>42576</v>
      </c>
    </row>
    <row r="1295" spans="1:16" x14ac:dyDescent="0.25">
      <c r="A1295" s="26">
        <v>42576.481678240743</v>
      </c>
      <c r="B1295" s="51" t="s">
        <v>141</v>
      </c>
      <c r="C1295" s="4" t="s">
        <v>1500</v>
      </c>
      <c r="D1295" s="4" t="s">
        <v>116</v>
      </c>
      <c r="E1295" s="51" t="s">
        <v>129</v>
      </c>
      <c r="F1295" s="3">
        <v>0</v>
      </c>
      <c r="G1295" s="3">
        <v>12</v>
      </c>
      <c r="H1295" s="3">
        <v>574</v>
      </c>
      <c r="I1295" s="51" t="s">
        <v>130</v>
      </c>
      <c r="J1295" s="3">
        <v>575</v>
      </c>
      <c r="K1295" s="4" t="s">
        <v>106</v>
      </c>
      <c r="L1295" s="56" t="str">
        <f>VLOOKUP(C1295,'[10]Trips&amp;Operators'!$C$1:$E$9999,3,0)</f>
        <v>ADANE</v>
      </c>
      <c r="M1295" s="20" t="s">
        <v>112</v>
      </c>
      <c r="N1295" s="19"/>
      <c r="O1295" s="19" t="str">
        <f t="shared" si="40"/>
        <v>25</v>
      </c>
      <c r="P1295" s="64">
        <f t="shared" si="41"/>
        <v>42576</v>
      </c>
    </row>
    <row r="1296" spans="1:16" x14ac:dyDescent="0.25">
      <c r="A1296" s="26">
        <v>42576.623287037037</v>
      </c>
      <c r="B1296" s="51" t="s">
        <v>145</v>
      </c>
      <c r="C1296" s="4" t="s">
        <v>1511</v>
      </c>
      <c r="D1296" s="4" t="s">
        <v>103</v>
      </c>
      <c r="E1296" s="51" t="s">
        <v>129</v>
      </c>
      <c r="F1296" s="3">
        <v>0</v>
      </c>
      <c r="G1296" s="3">
        <v>26</v>
      </c>
      <c r="H1296" s="3">
        <v>628</v>
      </c>
      <c r="I1296" s="51" t="s">
        <v>130</v>
      </c>
      <c r="J1296" s="3">
        <v>575</v>
      </c>
      <c r="K1296" s="4" t="s">
        <v>106</v>
      </c>
      <c r="L1296" s="56" t="str">
        <f>VLOOKUP(C1296,'[10]Trips&amp;Operators'!$C$1:$E$9999,3,0)</f>
        <v>ROCHA</v>
      </c>
      <c r="M1296" s="20" t="s">
        <v>112</v>
      </c>
      <c r="N1296" s="19"/>
      <c r="O1296" s="19" t="str">
        <f t="shared" si="40"/>
        <v>25</v>
      </c>
      <c r="P1296" s="64">
        <f t="shared" si="41"/>
        <v>42576</v>
      </c>
    </row>
    <row r="1297" spans="1:16" x14ac:dyDescent="0.25">
      <c r="A1297" s="26">
        <v>42576.651990740742</v>
      </c>
      <c r="B1297" s="51" t="s">
        <v>141</v>
      </c>
      <c r="C1297" s="4" t="s">
        <v>1509</v>
      </c>
      <c r="D1297" s="4" t="s">
        <v>103</v>
      </c>
      <c r="E1297" s="51" t="s">
        <v>129</v>
      </c>
      <c r="F1297" s="3">
        <v>0</v>
      </c>
      <c r="G1297" s="3">
        <v>20</v>
      </c>
      <c r="H1297" s="3">
        <v>624</v>
      </c>
      <c r="I1297" s="51" t="s">
        <v>130</v>
      </c>
      <c r="J1297" s="3">
        <v>575</v>
      </c>
      <c r="K1297" s="4" t="s">
        <v>106</v>
      </c>
      <c r="L1297" s="56" t="str">
        <f>VLOOKUP(C1297,'[10]Trips&amp;Operators'!$C$1:$E$9999,3,0)</f>
        <v>ADANE</v>
      </c>
      <c r="M1297" s="20" t="s">
        <v>112</v>
      </c>
      <c r="N1297" s="19"/>
      <c r="O1297" s="19" t="str">
        <f t="shared" si="40"/>
        <v>25</v>
      </c>
      <c r="P1297" s="64">
        <f t="shared" si="41"/>
        <v>42576</v>
      </c>
    </row>
    <row r="1298" spans="1:16" x14ac:dyDescent="0.25">
      <c r="A1298" s="26">
        <v>42576.676342592589</v>
      </c>
      <c r="B1298" s="51" t="s">
        <v>143</v>
      </c>
      <c r="C1298" s="4" t="s">
        <v>1512</v>
      </c>
      <c r="D1298" s="4" t="s">
        <v>103</v>
      </c>
      <c r="E1298" s="51" t="s">
        <v>129</v>
      </c>
      <c r="F1298" s="3">
        <v>0</v>
      </c>
      <c r="G1298" s="3">
        <v>64</v>
      </c>
      <c r="H1298" s="3">
        <v>789</v>
      </c>
      <c r="I1298" s="51" t="s">
        <v>130</v>
      </c>
      <c r="J1298" s="3">
        <v>575</v>
      </c>
      <c r="K1298" s="4" t="s">
        <v>106</v>
      </c>
      <c r="L1298" s="56" t="str">
        <f>VLOOKUP(C1298,'[10]Trips&amp;Operators'!$C$1:$E$9999,3,0)</f>
        <v>COOLAHAN</v>
      </c>
      <c r="M1298" s="20" t="s">
        <v>112</v>
      </c>
      <c r="N1298" s="19"/>
      <c r="O1298" s="19" t="str">
        <f t="shared" si="40"/>
        <v>25</v>
      </c>
      <c r="P1298" s="64">
        <f t="shared" si="41"/>
        <v>42576</v>
      </c>
    </row>
    <row r="1299" spans="1:16" x14ac:dyDescent="0.25">
      <c r="A1299" s="26">
        <v>42576.718472222223</v>
      </c>
      <c r="B1299" s="51" t="s">
        <v>143</v>
      </c>
      <c r="C1299" s="4" t="s">
        <v>1510</v>
      </c>
      <c r="D1299" s="4" t="s">
        <v>103</v>
      </c>
      <c r="E1299" s="51" t="s">
        <v>129</v>
      </c>
      <c r="F1299" s="3">
        <v>0</v>
      </c>
      <c r="G1299" s="3">
        <v>27</v>
      </c>
      <c r="H1299" s="3">
        <v>626</v>
      </c>
      <c r="I1299" s="51" t="s">
        <v>130</v>
      </c>
      <c r="J1299" s="3">
        <v>575</v>
      </c>
      <c r="K1299" s="4" t="s">
        <v>106</v>
      </c>
      <c r="L1299" s="56" t="str">
        <f>VLOOKUP(C1299,'[10]Trips&amp;Operators'!$C$1:$E$9999,3,0)</f>
        <v>COOLAHAN</v>
      </c>
      <c r="M1299" s="20" t="s">
        <v>112</v>
      </c>
      <c r="N1299" s="19"/>
      <c r="O1299" s="19" t="str">
        <f t="shared" si="40"/>
        <v>25</v>
      </c>
      <c r="P1299" s="64">
        <f t="shared" si="41"/>
        <v>42576</v>
      </c>
    </row>
    <row r="1300" spans="1:16" x14ac:dyDescent="0.25">
      <c r="A1300" s="26">
        <v>42576.75886574074</v>
      </c>
      <c r="B1300" s="51" t="s">
        <v>143</v>
      </c>
      <c r="C1300" s="4" t="s">
        <v>1513</v>
      </c>
      <c r="D1300" s="4" t="s">
        <v>103</v>
      </c>
      <c r="E1300" s="51" t="s">
        <v>129</v>
      </c>
      <c r="F1300" s="3">
        <v>0</v>
      </c>
      <c r="G1300" s="3">
        <v>18</v>
      </c>
      <c r="H1300" s="3">
        <v>622</v>
      </c>
      <c r="I1300" s="51" t="s">
        <v>130</v>
      </c>
      <c r="J1300" s="3">
        <v>575</v>
      </c>
      <c r="K1300" s="4" t="s">
        <v>106</v>
      </c>
      <c r="L1300" s="56" t="str">
        <f>VLOOKUP(C1300,'[10]Trips&amp;Operators'!$C$1:$E$9999,3,0)</f>
        <v>STORY</v>
      </c>
      <c r="M1300" s="20" t="s">
        <v>112</v>
      </c>
      <c r="N1300" s="19"/>
      <c r="O1300" s="19" t="str">
        <f t="shared" si="40"/>
        <v>25</v>
      </c>
      <c r="P1300" s="64">
        <f t="shared" si="41"/>
        <v>42576</v>
      </c>
    </row>
    <row r="1301" spans="1:16" x14ac:dyDescent="0.25">
      <c r="A1301" s="26">
        <v>42576.77275462963</v>
      </c>
      <c r="B1301" s="51" t="s">
        <v>141</v>
      </c>
      <c r="C1301" s="4" t="s">
        <v>1514</v>
      </c>
      <c r="D1301" s="4" t="s">
        <v>103</v>
      </c>
      <c r="E1301" s="51" t="s">
        <v>129</v>
      </c>
      <c r="F1301" s="3">
        <v>0</v>
      </c>
      <c r="G1301" s="3">
        <v>54</v>
      </c>
      <c r="H1301" s="3">
        <v>762</v>
      </c>
      <c r="I1301" s="51" t="s">
        <v>130</v>
      </c>
      <c r="J1301" s="3">
        <v>575</v>
      </c>
      <c r="K1301" s="4" t="s">
        <v>106</v>
      </c>
      <c r="L1301" s="56" t="str">
        <f>VLOOKUP(C1301,'[10]Trips&amp;Operators'!$C$1:$E$9999,3,0)</f>
        <v>COOLAHAN</v>
      </c>
      <c r="M1301" s="20" t="s">
        <v>112</v>
      </c>
      <c r="N1301" s="19"/>
      <c r="O1301" s="19" t="str">
        <f t="shared" si="40"/>
        <v>25</v>
      </c>
      <c r="P1301" s="64">
        <f t="shared" si="41"/>
        <v>42576</v>
      </c>
    </row>
    <row r="1302" spans="1:16" x14ac:dyDescent="0.25">
      <c r="A1302" s="26">
        <v>42576.801006944443</v>
      </c>
      <c r="B1302" s="51" t="s">
        <v>143</v>
      </c>
      <c r="C1302" s="4" t="s">
        <v>1497</v>
      </c>
      <c r="D1302" s="4" t="s">
        <v>103</v>
      </c>
      <c r="E1302" s="51" t="s">
        <v>129</v>
      </c>
      <c r="F1302" s="3">
        <v>0</v>
      </c>
      <c r="G1302" s="3">
        <v>9</v>
      </c>
      <c r="H1302" s="3">
        <v>624</v>
      </c>
      <c r="I1302" s="51" t="s">
        <v>130</v>
      </c>
      <c r="J1302" s="3">
        <v>575</v>
      </c>
      <c r="K1302" s="4" t="s">
        <v>106</v>
      </c>
      <c r="L1302" s="56" t="str">
        <f>VLOOKUP(C1302,'[10]Trips&amp;Operators'!$C$1:$E$9999,3,0)</f>
        <v>STORY</v>
      </c>
      <c r="M1302" s="20" t="s">
        <v>112</v>
      </c>
      <c r="N1302" s="19"/>
      <c r="O1302" s="19" t="str">
        <f t="shared" si="40"/>
        <v>25</v>
      </c>
      <c r="P1302" s="64">
        <f t="shared" si="41"/>
        <v>42576</v>
      </c>
    </row>
    <row r="1303" spans="1:16" x14ac:dyDescent="0.25">
      <c r="A1303" s="26">
        <v>42576.84238425926</v>
      </c>
      <c r="B1303" s="51" t="s">
        <v>143</v>
      </c>
      <c r="C1303" s="4" t="s">
        <v>1515</v>
      </c>
      <c r="D1303" s="4" t="s">
        <v>103</v>
      </c>
      <c r="E1303" s="51" t="s">
        <v>129</v>
      </c>
      <c r="F1303" s="3">
        <v>0</v>
      </c>
      <c r="G1303" s="3">
        <v>9</v>
      </c>
      <c r="H1303" s="3">
        <v>593</v>
      </c>
      <c r="I1303" s="51" t="s">
        <v>130</v>
      </c>
      <c r="J1303" s="3">
        <v>575</v>
      </c>
      <c r="K1303" s="4" t="s">
        <v>106</v>
      </c>
      <c r="L1303" s="56" t="str">
        <f>VLOOKUP(C1303,'[10]Trips&amp;Operators'!$C$1:$E$9999,3,0)</f>
        <v>STORY</v>
      </c>
      <c r="M1303" s="20" t="s">
        <v>112</v>
      </c>
      <c r="N1303" s="19"/>
      <c r="O1303" s="19" t="str">
        <f t="shared" si="40"/>
        <v>25</v>
      </c>
      <c r="P1303" s="64">
        <f t="shared" si="41"/>
        <v>42576</v>
      </c>
    </row>
    <row r="1304" spans="1:16" x14ac:dyDescent="0.25">
      <c r="A1304" s="26">
        <v>42576.83011574074</v>
      </c>
      <c r="B1304" s="51" t="s">
        <v>142</v>
      </c>
      <c r="C1304" s="4" t="s">
        <v>1516</v>
      </c>
      <c r="D1304" s="4" t="s">
        <v>103</v>
      </c>
      <c r="E1304" s="51" t="s">
        <v>129</v>
      </c>
      <c r="F1304" s="3">
        <v>0</v>
      </c>
      <c r="G1304" s="3">
        <v>24</v>
      </c>
      <c r="H1304" s="3">
        <v>58992</v>
      </c>
      <c r="I1304" s="51" t="s">
        <v>130</v>
      </c>
      <c r="J1304" s="3">
        <v>59048</v>
      </c>
      <c r="K1304" s="4" t="s">
        <v>111</v>
      </c>
      <c r="L1304" s="56" t="str">
        <f>VLOOKUP(C1304,'[10]Trips&amp;Operators'!$C$1:$E$9999,3,0)</f>
        <v>COOLAHAN</v>
      </c>
      <c r="M1304" s="20" t="s">
        <v>112</v>
      </c>
      <c r="N1304" s="19"/>
      <c r="O1304" s="19" t="str">
        <f t="shared" si="40"/>
        <v>25</v>
      </c>
      <c r="P1304" s="64">
        <f t="shared" si="41"/>
        <v>42576</v>
      </c>
    </row>
    <row r="1305" spans="1:16" x14ac:dyDescent="0.25">
      <c r="A1305" s="26">
        <v>42576.858726851853</v>
      </c>
      <c r="B1305" s="51" t="s">
        <v>135</v>
      </c>
      <c r="C1305" s="4" t="s">
        <v>1517</v>
      </c>
      <c r="D1305" s="4" t="s">
        <v>103</v>
      </c>
      <c r="E1305" s="51" t="s">
        <v>129</v>
      </c>
      <c r="F1305" s="3">
        <v>0</v>
      </c>
      <c r="G1305" s="3">
        <v>30</v>
      </c>
      <c r="H1305" s="3">
        <v>58973</v>
      </c>
      <c r="I1305" s="51" t="s">
        <v>130</v>
      </c>
      <c r="J1305" s="3">
        <v>59048</v>
      </c>
      <c r="K1305" s="4" t="s">
        <v>111</v>
      </c>
      <c r="L1305" s="56" t="str">
        <f>VLOOKUP(C1305,'[10]Trips&amp;Operators'!$C$1:$E$9999,3,0)</f>
        <v>STORY</v>
      </c>
      <c r="M1305" s="20" t="s">
        <v>112</v>
      </c>
      <c r="N1305" s="19"/>
      <c r="O1305" s="19" t="str">
        <f t="shared" si="40"/>
        <v>25</v>
      </c>
      <c r="P1305" s="64">
        <f t="shared" si="41"/>
        <v>42576</v>
      </c>
    </row>
    <row r="1306" spans="1:16" x14ac:dyDescent="0.25">
      <c r="A1306" s="26">
        <v>42576.913032407407</v>
      </c>
      <c r="B1306" s="4" t="s">
        <v>142</v>
      </c>
      <c r="C1306" s="4" t="s">
        <v>1518</v>
      </c>
      <c r="D1306" s="4" t="s">
        <v>103</v>
      </c>
      <c r="E1306" s="4" t="s">
        <v>129</v>
      </c>
      <c r="F1306" s="3">
        <v>0</v>
      </c>
      <c r="G1306" s="3">
        <v>14</v>
      </c>
      <c r="H1306" s="3">
        <v>58999</v>
      </c>
      <c r="I1306" s="4" t="s">
        <v>130</v>
      </c>
      <c r="J1306" s="3">
        <v>59048</v>
      </c>
      <c r="K1306" s="4" t="s">
        <v>111</v>
      </c>
      <c r="L1306" s="56" t="str">
        <f>VLOOKUP(C1306,'[10]Trips&amp;Operators'!$C$1:$E$9999,3,0)</f>
        <v>COOLAHAN</v>
      </c>
      <c r="M1306" s="20" t="s">
        <v>112</v>
      </c>
      <c r="N1306" s="19"/>
      <c r="O1306" s="19" t="str">
        <f t="shared" si="40"/>
        <v>25</v>
      </c>
      <c r="P1306" s="64">
        <f t="shared" si="41"/>
        <v>42576</v>
      </c>
    </row>
    <row r="1307" spans="1:16" x14ac:dyDescent="0.25">
      <c r="A1307" s="26">
        <v>42576.941458333335</v>
      </c>
      <c r="B1307" s="4" t="s">
        <v>135</v>
      </c>
      <c r="C1307" s="4" t="s">
        <v>1519</v>
      </c>
      <c r="D1307" s="4" t="s">
        <v>103</v>
      </c>
      <c r="E1307" s="4" t="s">
        <v>129</v>
      </c>
      <c r="F1307" s="3">
        <v>0</v>
      </c>
      <c r="G1307" s="3">
        <v>100</v>
      </c>
      <c r="H1307" s="3">
        <v>58675</v>
      </c>
      <c r="I1307" s="4" t="s">
        <v>130</v>
      </c>
      <c r="J1307" s="3">
        <v>59048</v>
      </c>
      <c r="K1307" s="4" t="s">
        <v>111</v>
      </c>
      <c r="L1307" s="56" t="str">
        <f>VLOOKUP(C1307,'[10]Trips&amp;Operators'!$C$1:$E$9999,3,0)</f>
        <v>STORY</v>
      </c>
      <c r="M1307" s="20" t="s">
        <v>112</v>
      </c>
      <c r="N1307" s="19"/>
      <c r="O1307" s="19" t="str">
        <f t="shared" si="40"/>
        <v>25</v>
      </c>
      <c r="P1307" s="64">
        <f t="shared" si="41"/>
        <v>42576</v>
      </c>
    </row>
    <row r="1308" spans="1:16" x14ac:dyDescent="0.25">
      <c r="A1308" s="26">
        <v>42576.941921296297</v>
      </c>
      <c r="B1308" s="4" t="s">
        <v>135</v>
      </c>
      <c r="C1308" s="4" t="s">
        <v>1519</v>
      </c>
      <c r="D1308" s="4" t="s">
        <v>103</v>
      </c>
      <c r="E1308" s="4" t="s">
        <v>129</v>
      </c>
      <c r="F1308" s="3">
        <v>0</v>
      </c>
      <c r="G1308" s="3">
        <v>34</v>
      </c>
      <c r="H1308" s="3">
        <v>58875</v>
      </c>
      <c r="I1308" s="4" t="s">
        <v>130</v>
      </c>
      <c r="J1308" s="3">
        <v>59048</v>
      </c>
      <c r="K1308" s="4" t="s">
        <v>111</v>
      </c>
      <c r="L1308" s="56" t="str">
        <f>VLOOKUP(C1308,'[10]Trips&amp;Operators'!$C$1:$E$9999,3,0)</f>
        <v>STORY</v>
      </c>
      <c r="M1308" s="20" t="s">
        <v>112</v>
      </c>
      <c r="N1308" s="19"/>
      <c r="O1308" s="19" t="str">
        <f t="shared" si="40"/>
        <v>25</v>
      </c>
      <c r="P1308" s="64">
        <f t="shared" si="41"/>
        <v>42576</v>
      </c>
    </row>
    <row r="1309" spans="1:16" x14ac:dyDescent="0.25">
      <c r="A1309" s="26">
        <v>42576.483298611114</v>
      </c>
      <c r="B1309" s="51" t="s">
        <v>135</v>
      </c>
      <c r="C1309" s="4" t="s">
        <v>1520</v>
      </c>
      <c r="D1309" s="4" t="s">
        <v>103</v>
      </c>
      <c r="E1309" s="51" t="s">
        <v>129</v>
      </c>
      <c r="F1309" s="3">
        <v>0</v>
      </c>
      <c r="G1309" s="3">
        <v>8</v>
      </c>
      <c r="H1309" s="3">
        <v>58982</v>
      </c>
      <c r="I1309" s="51" t="s">
        <v>130</v>
      </c>
      <c r="J1309" s="3">
        <v>59058</v>
      </c>
      <c r="K1309" s="4" t="s">
        <v>111</v>
      </c>
      <c r="L1309" s="56" t="str">
        <f>VLOOKUP(C1309,'[10]Trips&amp;Operators'!$C$1:$E$9999,3,0)</f>
        <v>REBOLETTI</v>
      </c>
      <c r="M1309" s="20" t="s">
        <v>112</v>
      </c>
      <c r="N1309" s="19"/>
      <c r="O1309" s="19" t="str">
        <f t="shared" si="40"/>
        <v>25</v>
      </c>
      <c r="P1309" s="64">
        <f t="shared" si="41"/>
        <v>42576</v>
      </c>
    </row>
    <row r="1310" spans="1:16" x14ac:dyDescent="0.25">
      <c r="A1310" s="26">
        <v>42576.566527777781</v>
      </c>
      <c r="B1310" s="51" t="s">
        <v>135</v>
      </c>
      <c r="C1310" s="4" t="s">
        <v>1521</v>
      </c>
      <c r="D1310" s="4" t="s">
        <v>103</v>
      </c>
      <c r="E1310" s="51" t="s">
        <v>129</v>
      </c>
      <c r="F1310" s="3">
        <v>0</v>
      </c>
      <c r="G1310" s="3">
        <v>6</v>
      </c>
      <c r="H1310" s="3">
        <v>58988</v>
      </c>
      <c r="I1310" s="51" t="s">
        <v>130</v>
      </c>
      <c r="J1310" s="3">
        <v>59058</v>
      </c>
      <c r="K1310" s="4" t="s">
        <v>111</v>
      </c>
      <c r="L1310" s="56" t="str">
        <f>VLOOKUP(C1310,'[10]Trips&amp;Operators'!$C$1:$E$9999,3,0)</f>
        <v>REBOLETTI</v>
      </c>
      <c r="M1310" s="20" t="s">
        <v>112</v>
      </c>
      <c r="N1310" s="19"/>
      <c r="O1310" s="19" t="str">
        <f t="shared" si="40"/>
        <v>25</v>
      </c>
      <c r="P1310" s="64">
        <f t="shared" si="41"/>
        <v>42576</v>
      </c>
    </row>
    <row r="1311" spans="1:16" x14ac:dyDescent="0.25">
      <c r="A1311" s="26">
        <v>42576.594930555555</v>
      </c>
      <c r="B1311" s="51" t="s">
        <v>146</v>
      </c>
      <c r="C1311" s="4" t="s">
        <v>1504</v>
      </c>
      <c r="D1311" s="4" t="s">
        <v>103</v>
      </c>
      <c r="E1311" s="51" t="s">
        <v>129</v>
      </c>
      <c r="F1311" s="3">
        <v>0</v>
      </c>
      <c r="G1311" s="3">
        <v>108</v>
      </c>
      <c r="H1311" s="3">
        <v>58710</v>
      </c>
      <c r="I1311" s="51" t="s">
        <v>130</v>
      </c>
      <c r="J1311" s="3">
        <v>59058</v>
      </c>
      <c r="K1311" s="4" t="s">
        <v>111</v>
      </c>
      <c r="L1311" s="56" t="str">
        <f>VLOOKUP(C1311,'[10]Trips&amp;Operators'!$C$1:$E$9999,3,0)</f>
        <v>ROCHA</v>
      </c>
      <c r="M1311" s="20" t="s">
        <v>112</v>
      </c>
      <c r="N1311" s="19"/>
      <c r="O1311" s="19" t="str">
        <f t="shared" si="40"/>
        <v>25</v>
      </c>
      <c r="P1311" s="64">
        <f t="shared" si="41"/>
        <v>42576</v>
      </c>
    </row>
    <row r="1312" spans="1:16" x14ac:dyDescent="0.25">
      <c r="A1312" s="26">
        <v>42576.595381944448</v>
      </c>
      <c r="B1312" s="51" t="s">
        <v>146</v>
      </c>
      <c r="C1312" s="4" t="s">
        <v>1504</v>
      </c>
      <c r="D1312" s="4" t="s">
        <v>103</v>
      </c>
      <c r="E1312" s="51" t="s">
        <v>129</v>
      </c>
      <c r="F1312" s="3">
        <v>0</v>
      </c>
      <c r="G1312" s="3">
        <v>52</v>
      </c>
      <c r="H1312" s="3">
        <v>58905</v>
      </c>
      <c r="I1312" s="51" t="s">
        <v>130</v>
      </c>
      <c r="J1312" s="3">
        <v>59058</v>
      </c>
      <c r="K1312" s="4" t="s">
        <v>111</v>
      </c>
      <c r="L1312" s="56" t="str">
        <f>VLOOKUP(C1312,'[10]Trips&amp;Operators'!$C$1:$E$9999,3,0)</f>
        <v>ROCHA</v>
      </c>
      <c r="M1312" s="20" t="s">
        <v>112</v>
      </c>
      <c r="N1312" s="19"/>
      <c r="O1312" s="19" t="str">
        <f t="shared" si="40"/>
        <v>25</v>
      </c>
      <c r="P1312" s="64">
        <f t="shared" si="41"/>
        <v>42576</v>
      </c>
    </row>
    <row r="1313" spans="1:16" x14ac:dyDescent="0.25">
      <c r="A1313" s="26">
        <v>42576.595775462964</v>
      </c>
      <c r="B1313" s="51" t="s">
        <v>146</v>
      </c>
      <c r="C1313" s="4" t="s">
        <v>1504</v>
      </c>
      <c r="D1313" s="4" t="s">
        <v>103</v>
      </c>
      <c r="E1313" s="51" t="s">
        <v>129</v>
      </c>
      <c r="F1313" s="3">
        <v>0</v>
      </c>
      <c r="G1313" s="3">
        <v>16</v>
      </c>
      <c r="H1313" s="3">
        <v>58978</v>
      </c>
      <c r="I1313" s="51" t="s">
        <v>130</v>
      </c>
      <c r="J1313" s="3">
        <v>59058</v>
      </c>
      <c r="K1313" s="4" t="s">
        <v>111</v>
      </c>
      <c r="L1313" s="56" t="str">
        <f>VLOOKUP(C1313,'[10]Trips&amp;Operators'!$C$1:$E$9999,3,0)</f>
        <v>ROCHA</v>
      </c>
      <c r="M1313" s="20" t="s">
        <v>112</v>
      </c>
      <c r="N1313" s="19"/>
      <c r="O1313" s="19" t="str">
        <f t="shared" si="40"/>
        <v>25</v>
      </c>
      <c r="P1313" s="64">
        <f t="shared" si="41"/>
        <v>42576</v>
      </c>
    </row>
    <row r="1314" spans="1:16" x14ac:dyDescent="0.25">
      <c r="A1314" s="26">
        <v>42576.650613425925</v>
      </c>
      <c r="B1314" s="51" t="s">
        <v>135</v>
      </c>
      <c r="C1314" s="4" t="s">
        <v>1505</v>
      </c>
      <c r="D1314" s="4" t="s">
        <v>103</v>
      </c>
      <c r="E1314" s="51" t="s">
        <v>129</v>
      </c>
      <c r="F1314" s="3">
        <v>0</v>
      </c>
      <c r="G1314" s="3">
        <v>57</v>
      </c>
      <c r="H1314" s="3">
        <v>58867</v>
      </c>
      <c r="I1314" s="51" t="s">
        <v>130</v>
      </c>
      <c r="J1314" s="3">
        <v>59058</v>
      </c>
      <c r="K1314" s="4" t="s">
        <v>111</v>
      </c>
      <c r="L1314" s="56" t="str">
        <f>VLOOKUP(C1314,'[10]Trips&amp;Operators'!$C$1:$E$9999,3,0)</f>
        <v>COOLAHAN</v>
      </c>
      <c r="M1314" s="20" t="s">
        <v>112</v>
      </c>
      <c r="N1314" s="19"/>
      <c r="O1314" s="19" t="str">
        <f t="shared" si="40"/>
        <v>25</v>
      </c>
      <c r="P1314" s="64">
        <f t="shared" si="41"/>
        <v>42576</v>
      </c>
    </row>
    <row r="1315" spans="1:16" x14ac:dyDescent="0.25">
      <c r="A1315" s="26">
        <v>42576.73537037037</v>
      </c>
      <c r="B1315" s="51" t="s">
        <v>135</v>
      </c>
      <c r="C1315" s="4" t="s">
        <v>1522</v>
      </c>
      <c r="D1315" s="4" t="s">
        <v>103</v>
      </c>
      <c r="E1315" s="51" t="s">
        <v>129</v>
      </c>
      <c r="F1315" s="3">
        <v>0</v>
      </c>
      <c r="G1315" s="3">
        <v>7</v>
      </c>
      <c r="H1315" s="3">
        <v>58950</v>
      </c>
      <c r="I1315" s="51" t="s">
        <v>130</v>
      </c>
      <c r="J1315" s="3">
        <v>59058</v>
      </c>
      <c r="K1315" s="4" t="s">
        <v>111</v>
      </c>
      <c r="L1315" s="56" t="str">
        <f>VLOOKUP(C1315,'[10]Trips&amp;Operators'!$C$1:$E$9999,3,0)</f>
        <v>STORY</v>
      </c>
      <c r="M1315" s="20" t="s">
        <v>112</v>
      </c>
      <c r="N1315" s="19"/>
      <c r="O1315" s="19" t="str">
        <f t="shared" si="40"/>
        <v>25</v>
      </c>
      <c r="P1315" s="64">
        <f t="shared" si="41"/>
        <v>42576</v>
      </c>
    </row>
    <row r="1316" spans="1:16" x14ac:dyDescent="0.25">
      <c r="A1316" s="26">
        <v>42576.817002314812</v>
      </c>
      <c r="B1316" s="51" t="s">
        <v>135</v>
      </c>
      <c r="C1316" s="4" t="s">
        <v>1523</v>
      </c>
      <c r="D1316" s="4" t="s">
        <v>103</v>
      </c>
      <c r="E1316" s="51" t="s">
        <v>129</v>
      </c>
      <c r="F1316" s="3">
        <v>0</v>
      </c>
      <c r="G1316" s="3">
        <v>6</v>
      </c>
      <c r="H1316" s="3">
        <v>59035</v>
      </c>
      <c r="I1316" s="51" t="s">
        <v>130</v>
      </c>
      <c r="J1316" s="3">
        <v>59058</v>
      </c>
      <c r="K1316" s="4" t="s">
        <v>111</v>
      </c>
      <c r="L1316" s="56" t="str">
        <f>VLOOKUP(C1316,'[10]Trips&amp;Operators'!$C$1:$E$9999,3,0)</f>
        <v>STORY</v>
      </c>
      <c r="M1316" s="20" t="s">
        <v>112</v>
      </c>
      <c r="N1316" s="19"/>
      <c r="O1316" s="19" t="str">
        <f t="shared" si="40"/>
        <v>25</v>
      </c>
      <c r="P1316" s="64">
        <f t="shared" si="41"/>
        <v>42576</v>
      </c>
    </row>
    <row r="1317" spans="1:16" x14ac:dyDescent="0.25">
      <c r="A1317" s="26">
        <v>42576.871331018519</v>
      </c>
      <c r="B1317" s="51" t="s">
        <v>142</v>
      </c>
      <c r="C1317" s="4" t="s">
        <v>1524</v>
      </c>
      <c r="D1317" s="4" t="s">
        <v>103</v>
      </c>
      <c r="E1317" s="51" t="s">
        <v>129</v>
      </c>
      <c r="F1317" s="3">
        <v>0</v>
      </c>
      <c r="G1317" s="3">
        <v>71</v>
      </c>
      <c r="H1317" s="3">
        <v>58837</v>
      </c>
      <c r="I1317" s="51" t="s">
        <v>130</v>
      </c>
      <c r="J1317" s="3">
        <v>59058</v>
      </c>
      <c r="K1317" s="4" t="s">
        <v>111</v>
      </c>
      <c r="L1317" s="56" t="str">
        <f>VLOOKUP(C1317,'[10]Trips&amp;Operators'!$C$1:$E$9999,3,0)</f>
        <v>COOLAHAN</v>
      </c>
      <c r="M1317" s="20" t="s">
        <v>112</v>
      </c>
      <c r="N1317" s="19"/>
      <c r="O1317" s="19" t="str">
        <f t="shared" si="40"/>
        <v>25</v>
      </c>
      <c r="P1317" s="64">
        <f t="shared" si="41"/>
        <v>42576</v>
      </c>
    </row>
    <row r="1318" spans="1:16" x14ac:dyDescent="0.25">
      <c r="A1318" s="26">
        <v>42576.90121527778</v>
      </c>
      <c r="B1318" s="4" t="s">
        <v>135</v>
      </c>
      <c r="C1318" s="4" t="s">
        <v>1525</v>
      </c>
      <c r="D1318" s="4" t="s">
        <v>103</v>
      </c>
      <c r="E1318" s="4" t="s">
        <v>129</v>
      </c>
      <c r="F1318" s="3">
        <v>0</v>
      </c>
      <c r="G1318" s="3">
        <v>27</v>
      </c>
      <c r="H1318" s="3">
        <v>58958</v>
      </c>
      <c r="I1318" s="4" t="s">
        <v>130</v>
      </c>
      <c r="J1318" s="3">
        <v>59058</v>
      </c>
      <c r="K1318" s="4" t="s">
        <v>111</v>
      </c>
      <c r="L1318" s="56" t="str">
        <f>VLOOKUP(C1318,'[10]Trips&amp;Operators'!$C$1:$E$9999,3,0)</f>
        <v>STORY</v>
      </c>
      <c r="M1318" s="20" t="s">
        <v>112</v>
      </c>
      <c r="N1318" s="19"/>
      <c r="O1318" s="19" t="str">
        <f t="shared" si="40"/>
        <v>25</v>
      </c>
      <c r="P1318" s="64">
        <f t="shared" si="41"/>
        <v>42576</v>
      </c>
    </row>
    <row r="1319" spans="1:16" x14ac:dyDescent="0.25">
      <c r="A1319" s="26">
        <v>42576.494131944448</v>
      </c>
      <c r="B1319" s="51" t="s">
        <v>125</v>
      </c>
      <c r="C1319" s="4" t="s">
        <v>1494</v>
      </c>
      <c r="D1319" s="4" t="s">
        <v>103</v>
      </c>
      <c r="E1319" s="51" t="s">
        <v>129</v>
      </c>
      <c r="F1319" s="3">
        <v>0</v>
      </c>
      <c r="G1319" s="3">
        <v>92</v>
      </c>
      <c r="H1319" s="3">
        <v>233134</v>
      </c>
      <c r="I1319" s="51" t="s">
        <v>130</v>
      </c>
      <c r="J1319" s="3">
        <v>233491</v>
      </c>
      <c r="K1319" s="4" t="s">
        <v>111</v>
      </c>
      <c r="L1319" s="56" t="str">
        <f>VLOOKUP(C1319,'[10]Trips&amp;Operators'!$C$1:$E$9999,3,0)</f>
        <v>STEWART</v>
      </c>
      <c r="M1319" s="20" t="s">
        <v>112</v>
      </c>
      <c r="N1319" s="19"/>
      <c r="O1319" s="19" t="str">
        <f t="shared" si="40"/>
        <v>25</v>
      </c>
      <c r="P1319" s="64">
        <f t="shared" si="41"/>
        <v>42576</v>
      </c>
    </row>
    <row r="1320" spans="1:16" x14ac:dyDescent="0.25">
      <c r="A1320" s="26">
        <v>42576.605497685188</v>
      </c>
      <c r="B1320" s="51" t="s">
        <v>138</v>
      </c>
      <c r="C1320" s="4" t="s">
        <v>553</v>
      </c>
      <c r="D1320" s="4" t="s">
        <v>103</v>
      </c>
      <c r="E1320" s="51" t="s">
        <v>129</v>
      </c>
      <c r="F1320" s="3">
        <v>0</v>
      </c>
      <c r="G1320" s="3">
        <v>48</v>
      </c>
      <c r="H1320" s="3">
        <v>233332</v>
      </c>
      <c r="I1320" s="51" t="s">
        <v>130</v>
      </c>
      <c r="J1320" s="3">
        <v>233491</v>
      </c>
      <c r="K1320" s="4" t="s">
        <v>111</v>
      </c>
      <c r="L1320" s="56" t="str">
        <f>VLOOKUP(C1320,'[10]Trips&amp;Operators'!$C$1:$E$9999,3,0)</f>
        <v>BONDS</v>
      </c>
      <c r="M1320" s="20" t="s">
        <v>112</v>
      </c>
      <c r="N1320" s="19"/>
      <c r="O1320" s="19" t="str">
        <f t="shared" si="40"/>
        <v>25</v>
      </c>
      <c r="P1320" s="64">
        <f t="shared" si="41"/>
        <v>42576</v>
      </c>
    </row>
    <row r="1321" spans="1:16" x14ac:dyDescent="0.25">
      <c r="A1321" s="26">
        <v>42576.713356481479</v>
      </c>
      <c r="B1321" s="51" t="s">
        <v>121</v>
      </c>
      <c r="C1321" s="4" t="s">
        <v>1495</v>
      </c>
      <c r="D1321" s="4" t="s">
        <v>103</v>
      </c>
      <c r="E1321" s="51" t="s">
        <v>129</v>
      </c>
      <c r="F1321" s="3">
        <v>0</v>
      </c>
      <c r="G1321" s="3">
        <v>32</v>
      </c>
      <c r="H1321" s="3">
        <v>233382</v>
      </c>
      <c r="I1321" s="51" t="s">
        <v>130</v>
      </c>
      <c r="J1321" s="3">
        <v>233491</v>
      </c>
      <c r="K1321" s="4" t="s">
        <v>111</v>
      </c>
      <c r="L1321" s="56" t="str">
        <f>VLOOKUP(C1321,'[10]Trips&amp;Operators'!$C$1:$E$9999,3,0)</f>
        <v>SHOOK</v>
      </c>
      <c r="M1321" s="20" t="s">
        <v>112</v>
      </c>
      <c r="N1321" s="19"/>
      <c r="O1321" s="19" t="str">
        <f t="shared" si="40"/>
        <v>25</v>
      </c>
      <c r="P1321" s="64">
        <f t="shared" si="41"/>
        <v>42576</v>
      </c>
    </row>
    <row r="1322" spans="1:16" x14ac:dyDescent="0.25">
      <c r="A1322" s="26">
        <v>42577.248495370368</v>
      </c>
      <c r="B1322" s="51" t="s">
        <v>141</v>
      </c>
      <c r="C1322" s="4" t="s">
        <v>1526</v>
      </c>
      <c r="D1322" s="4" t="s">
        <v>116</v>
      </c>
      <c r="E1322" s="51" t="s">
        <v>109</v>
      </c>
      <c r="F1322" s="3">
        <v>0</v>
      </c>
      <c r="G1322" s="3">
        <v>237</v>
      </c>
      <c r="H1322" s="3">
        <v>33252</v>
      </c>
      <c r="I1322" s="51" t="s">
        <v>110</v>
      </c>
      <c r="J1322" s="3">
        <v>33257</v>
      </c>
      <c r="K1322" s="4" t="s">
        <v>106</v>
      </c>
      <c r="L1322" s="56" t="str">
        <f>VLOOKUP(C1322,'[1]Trips&amp;Operators'!$C$1:$E$9999,3,0)</f>
        <v>SPECTOR</v>
      </c>
      <c r="M1322" s="20" t="s">
        <v>112</v>
      </c>
      <c r="N1322" s="19" t="s">
        <v>543</v>
      </c>
      <c r="O1322" s="19" t="str">
        <f t="shared" si="40"/>
        <v>26</v>
      </c>
      <c r="P1322" s="64">
        <f t="shared" si="41"/>
        <v>42577</v>
      </c>
    </row>
    <row r="1323" spans="1:16" x14ac:dyDescent="0.25">
      <c r="A1323" s="26">
        <v>42577.688530092593</v>
      </c>
      <c r="B1323" s="51" t="s">
        <v>141</v>
      </c>
      <c r="C1323" s="4" t="s">
        <v>209</v>
      </c>
      <c r="D1323" s="4" t="s">
        <v>116</v>
      </c>
      <c r="E1323" s="51" t="s">
        <v>109</v>
      </c>
      <c r="F1323" s="3">
        <v>0</v>
      </c>
      <c r="G1323" s="3">
        <v>228</v>
      </c>
      <c r="H1323" s="3">
        <v>33239</v>
      </c>
      <c r="I1323" s="51" t="s">
        <v>110</v>
      </c>
      <c r="J1323" s="3">
        <v>33257</v>
      </c>
      <c r="K1323" s="4" t="s">
        <v>106</v>
      </c>
      <c r="L1323" s="56" t="str">
        <f>VLOOKUP(C1323,'[1]Trips&amp;Operators'!$C$1:$E$9999,3,0)</f>
        <v>LOCKLEAR</v>
      </c>
      <c r="M1323" s="20" t="s">
        <v>112</v>
      </c>
      <c r="N1323" s="19" t="s">
        <v>543</v>
      </c>
      <c r="O1323" s="19" t="str">
        <f t="shared" si="40"/>
        <v>26</v>
      </c>
      <c r="P1323" s="64">
        <f t="shared" si="41"/>
        <v>42577</v>
      </c>
    </row>
    <row r="1324" spans="1:16" x14ac:dyDescent="0.25">
      <c r="A1324" s="26">
        <v>42577.612060185187</v>
      </c>
      <c r="B1324" s="51" t="s">
        <v>141</v>
      </c>
      <c r="C1324" s="4" t="s">
        <v>1527</v>
      </c>
      <c r="D1324" s="4" t="s">
        <v>103</v>
      </c>
      <c r="E1324" s="51" t="s">
        <v>109</v>
      </c>
      <c r="F1324" s="3">
        <v>0</v>
      </c>
      <c r="G1324" s="3">
        <v>464</v>
      </c>
      <c r="H1324" s="3">
        <v>38856</v>
      </c>
      <c r="I1324" s="51" t="s">
        <v>110</v>
      </c>
      <c r="J1324" s="3">
        <v>37462</v>
      </c>
      <c r="K1324" s="4" t="s">
        <v>106</v>
      </c>
      <c r="L1324" s="56" t="str">
        <f>VLOOKUP(C1324,'[1]Trips&amp;Operators'!$C$1:$E$9999,3,0)</f>
        <v>LOCKLEAR</v>
      </c>
      <c r="M1324" s="20" t="s">
        <v>112</v>
      </c>
      <c r="N1324" s="19" t="s">
        <v>543</v>
      </c>
      <c r="O1324" s="19" t="str">
        <f t="shared" si="40"/>
        <v>26</v>
      </c>
      <c r="P1324" s="64">
        <f t="shared" si="41"/>
        <v>42577</v>
      </c>
    </row>
    <row r="1325" spans="1:16" x14ac:dyDescent="0.25">
      <c r="A1325" s="26">
        <v>42577.379780092589</v>
      </c>
      <c r="B1325" s="51" t="s">
        <v>143</v>
      </c>
      <c r="C1325" s="4" t="s">
        <v>1528</v>
      </c>
      <c r="D1325" s="4" t="s">
        <v>103</v>
      </c>
      <c r="E1325" s="51" t="s">
        <v>109</v>
      </c>
      <c r="F1325" s="3">
        <v>190</v>
      </c>
      <c r="G1325" s="3">
        <v>241</v>
      </c>
      <c r="H1325" s="3">
        <v>63468</v>
      </c>
      <c r="I1325" s="51" t="s">
        <v>110</v>
      </c>
      <c r="J1325" s="3">
        <v>63309</v>
      </c>
      <c r="K1325" s="4" t="s">
        <v>106</v>
      </c>
      <c r="L1325" s="56" t="str">
        <f>VLOOKUP(C1325,'[1]Trips&amp;Operators'!$C$1:$E$9999,3,0)</f>
        <v>DAVIS</v>
      </c>
      <c r="M1325" s="20" t="s">
        <v>112</v>
      </c>
      <c r="N1325" s="19" t="s">
        <v>543</v>
      </c>
      <c r="O1325" s="19" t="str">
        <f t="shared" si="40"/>
        <v>26</v>
      </c>
      <c r="P1325" s="64">
        <f t="shared" si="41"/>
        <v>42577</v>
      </c>
    </row>
    <row r="1326" spans="1:16" x14ac:dyDescent="0.25">
      <c r="A1326" s="26">
        <v>42577.577349537038</v>
      </c>
      <c r="B1326" s="51" t="s">
        <v>117</v>
      </c>
      <c r="C1326" s="4" t="s">
        <v>1529</v>
      </c>
      <c r="D1326" s="4" t="s">
        <v>103</v>
      </c>
      <c r="E1326" s="51" t="s">
        <v>109</v>
      </c>
      <c r="F1326" s="3">
        <v>190</v>
      </c>
      <c r="G1326" s="3">
        <v>259</v>
      </c>
      <c r="H1326" s="3">
        <v>63402</v>
      </c>
      <c r="I1326" s="51" t="s">
        <v>110</v>
      </c>
      <c r="J1326" s="3">
        <v>63309</v>
      </c>
      <c r="K1326" s="4" t="s">
        <v>106</v>
      </c>
      <c r="L1326" s="56" t="str">
        <f>VLOOKUP(C1326,'[1]Trips&amp;Operators'!$C$1:$E$9999,3,0)</f>
        <v>WEBSTER</v>
      </c>
      <c r="M1326" s="20" t="s">
        <v>112</v>
      </c>
      <c r="N1326" s="19" t="s">
        <v>543</v>
      </c>
      <c r="O1326" s="19" t="str">
        <f t="shared" si="40"/>
        <v>26</v>
      </c>
      <c r="P1326" s="64">
        <f t="shared" si="41"/>
        <v>42577</v>
      </c>
    </row>
    <row r="1327" spans="1:16" x14ac:dyDescent="0.25">
      <c r="A1327" s="26">
        <v>42577.525312500002</v>
      </c>
      <c r="B1327" s="51" t="s">
        <v>143</v>
      </c>
      <c r="C1327" s="4" t="s">
        <v>1530</v>
      </c>
      <c r="D1327" s="4" t="s">
        <v>103</v>
      </c>
      <c r="E1327" s="51" t="s">
        <v>109</v>
      </c>
      <c r="F1327" s="3">
        <v>0</v>
      </c>
      <c r="G1327" s="3">
        <v>302</v>
      </c>
      <c r="H1327" s="3">
        <v>78548</v>
      </c>
      <c r="I1327" s="51" t="s">
        <v>110</v>
      </c>
      <c r="J1327" s="3">
        <v>78469</v>
      </c>
      <c r="K1327" s="4" t="s">
        <v>106</v>
      </c>
      <c r="L1327" s="56" t="str">
        <f>VLOOKUP(C1327,'[1]Trips&amp;Operators'!$C$1:$E$9999,3,0)</f>
        <v>STEWART</v>
      </c>
      <c r="M1327" s="20" t="s">
        <v>112</v>
      </c>
      <c r="N1327" s="19" t="s">
        <v>543</v>
      </c>
      <c r="O1327" s="19" t="str">
        <f t="shared" si="40"/>
        <v>26</v>
      </c>
      <c r="P1327" s="64">
        <f t="shared" si="41"/>
        <v>42577</v>
      </c>
    </row>
    <row r="1328" spans="1:16" x14ac:dyDescent="0.25">
      <c r="A1328" s="26">
        <v>42577.648634259262</v>
      </c>
      <c r="B1328" s="51" t="s">
        <v>117</v>
      </c>
      <c r="C1328" s="4" t="s">
        <v>1531</v>
      </c>
      <c r="D1328" s="4" t="s">
        <v>103</v>
      </c>
      <c r="E1328" s="51" t="s">
        <v>109</v>
      </c>
      <c r="F1328" s="3">
        <v>0</v>
      </c>
      <c r="G1328" s="3">
        <v>196</v>
      </c>
      <c r="H1328" s="3">
        <v>78628</v>
      </c>
      <c r="I1328" s="51" t="s">
        <v>110</v>
      </c>
      <c r="J1328" s="3">
        <v>78469</v>
      </c>
      <c r="K1328" s="4" t="s">
        <v>106</v>
      </c>
      <c r="L1328" s="56" t="str">
        <f>VLOOKUP(C1328,'[1]Trips&amp;Operators'!$C$1:$E$9999,3,0)</f>
        <v>WEBSTER</v>
      </c>
      <c r="M1328" s="20" t="s">
        <v>112</v>
      </c>
      <c r="N1328" s="19" t="s">
        <v>543</v>
      </c>
      <c r="O1328" s="19" t="str">
        <f t="shared" si="40"/>
        <v>26</v>
      </c>
      <c r="P1328" s="64">
        <f t="shared" si="41"/>
        <v>42577</v>
      </c>
    </row>
    <row r="1329" spans="1:23" x14ac:dyDescent="0.25">
      <c r="A1329" s="26">
        <v>42577.435682870368</v>
      </c>
      <c r="B1329" s="51" t="s">
        <v>146</v>
      </c>
      <c r="C1329" s="4" t="s">
        <v>357</v>
      </c>
      <c r="D1329" s="4" t="s">
        <v>103</v>
      </c>
      <c r="E1329" s="51" t="s">
        <v>109</v>
      </c>
      <c r="F1329" s="3">
        <v>0</v>
      </c>
      <c r="G1329" s="3">
        <v>443</v>
      </c>
      <c r="H1329" s="3">
        <v>126868</v>
      </c>
      <c r="I1329" s="51" t="s">
        <v>110</v>
      </c>
      <c r="J1329" s="3">
        <v>127562</v>
      </c>
      <c r="K1329" s="4" t="s">
        <v>111</v>
      </c>
      <c r="L1329" s="56" t="str">
        <f>VLOOKUP(C1329,'[1]Trips&amp;Operators'!$C$1:$E$9999,3,0)</f>
        <v>REBOLETTI</v>
      </c>
      <c r="M1329" s="20" t="s">
        <v>112</v>
      </c>
      <c r="N1329" s="19" t="s">
        <v>543</v>
      </c>
      <c r="O1329" s="19" t="str">
        <f t="shared" si="40"/>
        <v>26</v>
      </c>
      <c r="P1329" s="64">
        <f t="shared" si="41"/>
        <v>42577</v>
      </c>
    </row>
    <row r="1330" spans="1:23" x14ac:dyDescent="0.25">
      <c r="A1330" s="26">
        <v>42577.281782407408</v>
      </c>
      <c r="B1330" s="51" t="s">
        <v>136</v>
      </c>
      <c r="C1330" s="4" t="s">
        <v>1558</v>
      </c>
      <c r="D1330" s="4" t="s">
        <v>103</v>
      </c>
      <c r="E1330" s="51" t="s">
        <v>115</v>
      </c>
      <c r="F1330" s="3">
        <v>300</v>
      </c>
      <c r="G1330" s="3">
        <v>425</v>
      </c>
      <c r="H1330" s="3">
        <v>43508</v>
      </c>
      <c r="I1330" s="51" t="s">
        <v>105</v>
      </c>
      <c r="J1330" s="3">
        <v>41797</v>
      </c>
      <c r="K1330" s="4" t="s">
        <v>106</v>
      </c>
      <c r="L1330" s="56" t="str">
        <f>VLOOKUP(C1330,'[1]Trips&amp;Operators'!$C$1:$E$9999,3,0)</f>
        <v>LEVIN</v>
      </c>
      <c r="M1330" s="20" t="s">
        <v>112</v>
      </c>
      <c r="N1330" s="19"/>
      <c r="O1330" s="19" t="str">
        <f t="shared" si="40"/>
        <v>26</v>
      </c>
      <c r="P1330" s="64">
        <f t="shared" si="41"/>
        <v>42577</v>
      </c>
    </row>
    <row r="1331" spans="1:23" x14ac:dyDescent="0.25">
      <c r="A1331" s="26">
        <v>42577.479143518518</v>
      </c>
      <c r="B1331" s="51" t="s">
        <v>138</v>
      </c>
      <c r="C1331" s="4" t="s">
        <v>1559</v>
      </c>
      <c r="D1331" s="4" t="s">
        <v>116</v>
      </c>
      <c r="E1331" s="51" t="s">
        <v>115</v>
      </c>
      <c r="F1331" s="3">
        <v>400</v>
      </c>
      <c r="G1331" s="3">
        <v>450</v>
      </c>
      <c r="H1331" s="3">
        <v>43731</v>
      </c>
      <c r="I1331" s="51" t="s">
        <v>105</v>
      </c>
      <c r="J1331" s="3">
        <v>41797</v>
      </c>
      <c r="K1331" s="4" t="s">
        <v>111</v>
      </c>
      <c r="L1331" s="56" t="str">
        <f>VLOOKUP(C1331,'[1]Trips&amp;Operators'!$C$1:$E$9999,3,0)</f>
        <v>LEVIN</v>
      </c>
      <c r="M1331" s="20" t="s">
        <v>112</v>
      </c>
      <c r="N1331" s="19"/>
      <c r="O1331" s="19" t="str">
        <f t="shared" si="40"/>
        <v>26</v>
      </c>
      <c r="P1331" s="64">
        <f t="shared" si="41"/>
        <v>42577</v>
      </c>
    </row>
    <row r="1332" spans="1:23" x14ac:dyDescent="0.25">
      <c r="A1332" s="26">
        <v>42577.272280092591</v>
      </c>
      <c r="B1332" s="51" t="s">
        <v>138</v>
      </c>
      <c r="C1332" s="4" t="s">
        <v>1560</v>
      </c>
      <c r="D1332" s="4" t="s">
        <v>103</v>
      </c>
      <c r="E1332" s="51" t="s">
        <v>115</v>
      </c>
      <c r="F1332" s="3">
        <v>150</v>
      </c>
      <c r="G1332" s="3">
        <v>243</v>
      </c>
      <c r="H1332" s="3">
        <v>56414</v>
      </c>
      <c r="I1332" s="51" t="s">
        <v>105</v>
      </c>
      <c r="J1332" s="3">
        <v>57008</v>
      </c>
      <c r="K1332" s="4" t="s">
        <v>111</v>
      </c>
      <c r="L1332" s="56" t="str">
        <f>VLOOKUP(C1332,'[1]Trips&amp;Operators'!$C$1:$E$9999,3,0)</f>
        <v>LEVIN</v>
      </c>
      <c r="M1332" s="20" t="s">
        <v>112</v>
      </c>
      <c r="N1332" s="19"/>
      <c r="O1332" s="19" t="str">
        <f t="shared" si="40"/>
        <v>26</v>
      </c>
      <c r="P1332" s="64">
        <f t="shared" si="41"/>
        <v>42577</v>
      </c>
    </row>
    <row r="1333" spans="1:23" x14ac:dyDescent="0.25">
      <c r="A1333" s="26">
        <v>42577.355486111112</v>
      </c>
      <c r="B1333" s="4" t="s">
        <v>138</v>
      </c>
      <c r="C1333" s="4" t="s">
        <v>1561</v>
      </c>
      <c r="D1333" s="4" t="s">
        <v>103</v>
      </c>
      <c r="E1333" s="4" t="s">
        <v>115</v>
      </c>
      <c r="F1333" s="3">
        <v>150</v>
      </c>
      <c r="G1333" s="3">
        <v>426</v>
      </c>
      <c r="H1333" s="3">
        <v>55137</v>
      </c>
      <c r="I1333" s="4" t="s">
        <v>105</v>
      </c>
      <c r="J1333" s="3">
        <v>57008</v>
      </c>
      <c r="K1333" s="4" t="s">
        <v>111</v>
      </c>
      <c r="L1333" s="56" t="str">
        <f>VLOOKUP(C1333,'[1]Trips&amp;Operators'!$C$1:$E$9999,3,0)</f>
        <v>LEVIN</v>
      </c>
      <c r="M1333" s="20" t="s">
        <v>112</v>
      </c>
      <c r="N1333" s="19"/>
      <c r="O1333" s="19" t="str">
        <f t="shared" si="40"/>
        <v>26</v>
      </c>
      <c r="P1333" s="64">
        <f t="shared" si="41"/>
        <v>42577</v>
      </c>
    </row>
    <row r="1334" spans="1:23" x14ac:dyDescent="0.25">
      <c r="A1334" s="26">
        <v>42577.647986111115</v>
      </c>
      <c r="B1334" s="51" t="s">
        <v>138</v>
      </c>
      <c r="C1334" s="4" t="s">
        <v>1562</v>
      </c>
      <c r="D1334" s="4" t="s">
        <v>103</v>
      </c>
      <c r="E1334" s="51" t="s">
        <v>115</v>
      </c>
      <c r="F1334" s="3">
        <v>150</v>
      </c>
      <c r="G1334" s="3">
        <v>338</v>
      </c>
      <c r="H1334" s="3">
        <v>56099</v>
      </c>
      <c r="I1334" s="51" t="s">
        <v>105</v>
      </c>
      <c r="J1334" s="3">
        <v>57008</v>
      </c>
      <c r="K1334" s="4" t="s">
        <v>111</v>
      </c>
      <c r="L1334" s="56" t="str">
        <f>VLOOKUP(C1334,'[1]Trips&amp;Operators'!$C$1:$E$9999,3,0)</f>
        <v>BRUDER</v>
      </c>
      <c r="M1334" s="20" t="s">
        <v>112</v>
      </c>
      <c r="N1334" s="19"/>
      <c r="O1334" s="19" t="str">
        <f t="shared" si="40"/>
        <v>26</v>
      </c>
      <c r="P1334" s="64">
        <f t="shared" si="41"/>
        <v>42577</v>
      </c>
    </row>
    <row r="1335" spans="1:23" x14ac:dyDescent="0.25">
      <c r="A1335" s="26">
        <v>42577.342731481483</v>
      </c>
      <c r="B1335" s="51" t="s">
        <v>139</v>
      </c>
      <c r="C1335" s="4" t="s">
        <v>1563</v>
      </c>
      <c r="D1335" s="4" t="s">
        <v>116</v>
      </c>
      <c r="E1335" s="51" t="s">
        <v>115</v>
      </c>
      <c r="F1335" s="3">
        <v>150</v>
      </c>
      <c r="G1335" s="3">
        <v>203</v>
      </c>
      <c r="H1335" s="3">
        <v>56889</v>
      </c>
      <c r="I1335" s="51" t="s">
        <v>105</v>
      </c>
      <c r="J1335" s="3">
        <v>59050</v>
      </c>
      <c r="K1335" s="4" t="s">
        <v>106</v>
      </c>
      <c r="L1335" s="56" t="str">
        <f>VLOOKUP(C1335,'[1]Trips&amp;Operators'!$C$1:$E$9999,3,0)</f>
        <v>STARKS</v>
      </c>
      <c r="M1335" s="20" t="s">
        <v>112</v>
      </c>
      <c r="N1335" s="19"/>
      <c r="O1335" s="19" t="str">
        <f t="shared" si="40"/>
        <v>26</v>
      </c>
      <c r="P1335" s="64">
        <f t="shared" si="41"/>
        <v>42577</v>
      </c>
    </row>
    <row r="1336" spans="1:23" x14ac:dyDescent="0.25">
      <c r="A1336" s="26">
        <v>42577.712777777779</v>
      </c>
      <c r="B1336" s="51" t="s">
        <v>142</v>
      </c>
      <c r="C1336" s="4" t="s">
        <v>1532</v>
      </c>
      <c r="D1336" s="4" t="s">
        <v>116</v>
      </c>
      <c r="E1336" s="51" t="s">
        <v>115</v>
      </c>
      <c r="F1336" s="3">
        <v>600</v>
      </c>
      <c r="G1336" s="3">
        <v>650</v>
      </c>
      <c r="H1336" s="3">
        <v>124009</v>
      </c>
      <c r="I1336" s="51" t="s">
        <v>105</v>
      </c>
      <c r="J1336" s="3">
        <v>119716</v>
      </c>
      <c r="K1336" s="4" t="s">
        <v>111</v>
      </c>
      <c r="L1336" s="56" t="str">
        <f>VLOOKUP(C1336,'[1]Trips&amp;Operators'!$C$1:$E$9999,3,0)</f>
        <v>LOCKLEAR</v>
      </c>
      <c r="M1336" s="20" t="s">
        <v>112</v>
      </c>
      <c r="N1336" s="19"/>
      <c r="O1336" s="19" t="str">
        <f t="shared" si="40"/>
        <v>26</v>
      </c>
      <c r="P1336" s="64">
        <f t="shared" si="41"/>
        <v>42577</v>
      </c>
    </row>
    <row r="1337" spans="1:23" x14ac:dyDescent="0.25">
      <c r="A1337" s="26">
        <v>42577.335833333331</v>
      </c>
      <c r="B1337" s="51" t="s">
        <v>164</v>
      </c>
      <c r="C1337" s="4" t="s">
        <v>1533</v>
      </c>
      <c r="D1337" s="4" t="s">
        <v>103</v>
      </c>
      <c r="E1337" s="51" t="s">
        <v>115</v>
      </c>
      <c r="F1337" s="3">
        <v>450</v>
      </c>
      <c r="G1337" s="3">
        <v>500</v>
      </c>
      <c r="H1337" s="3">
        <v>191140</v>
      </c>
      <c r="I1337" s="51" t="s">
        <v>105</v>
      </c>
      <c r="J1337" s="3">
        <v>191108</v>
      </c>
      <c r="K1337" s="4" t="s">
        <v>106</v>
      </c>
      <c r="L1337" s="56" t="str">
        <f>VLOOKUP(C1337,'[1]Trips&amp;Operators'!$C$1:$E$9999,3,0)</f>
        <v>HELVIE</v>
      </c>
      <c r="M1337" s="20" t="s">
        <v>112</v>
      </c>
      <c r="N1337" s="19"/>
      <c r="O1337" s="19" t="str">
        <f t="shared" si="40"/>
        <v>26</v>
      </c>
      <c r="P1337" s="64">
        <f t="shared" si="41"/>
        <v>42577</v>
      </c>
    </row>
    <row r="1338" spans="1:23" x14ac:dyDescent="0.25">
      <c r="A1338" s="26">
        <v>42577.706793981481</v>
      </c>
      <c r="B1338" s="51" t="s">
        <v>117</v>
      </c>
      <c r="C1338" s="4" t="s">
        <v>1534</v>
      </c>
      <c r="D1338" s="4" t="s">
        <v>103</v>
      </c>
      <c r="E1338" s="51" t="s">
        <v>115</v>
      </c>
      <c r="F1338" s="3">
        <v>150</v>
      </c>
      <c r="G1338" s="3">
        <v>209</v>
      </c>
      <c r="H1338" s="3">
        <v>229991</v>
      </c>
      <c r="I1338" s="51" t="s">
        <v>105</v>
      </c>
      <c r="J1338" s="3">
        <v>229055</v>
      </c>
      <c r="K1338" s="4" t="s">
        <v>106</v>
      </c>
      <c r="L1338" s="56" t="str">
        <f>VLOOKUP(C1338,'[1]Trips&amp;Operators'!$C$1:$E$9999,3,0)</f>
        <v>WEBSTER</v>
      </c>
      <c r="M1338" s="20" t="s">
        <v>112</v>
      </c>
      <c r="N1338" s="19"/>
      <c r="O1338" s="19" t="str">
        <f t="shared" si="40"/>
        <v>26</v>
      </c>
      <c r="P1338" s="64">
        <f t="shared" si="41"/>
        <v>42577</v>
      </c>
    </row>
    <row r="1339" spans="1:23" x14ac:dyDescent="0.25">
      <c r="A1339" s="26">
        <v>42577.567893518521</v>
      </c>
      <c r="B1339" s="51" t="s">
        <v>146</v>
      </c>
      <c r="C1339" s="4" t="s">
        <v>562</v>
      </c>
      <c r="D1339" s="4" t="s">
        <v>116</v>
      </c>
      <c r="E1339" s="51" t="s">
        <v>122</v>
      </c>
      <c r="F1339" s="3">
        <v>200</v>
      </c>
      <c r="G1339" s="3">
        <v>250</v>
      </c>
      <c r="H1339" s="3">
        <v>7037</v>
      </c>
      <c r="I1339" s="51" t="s">
        <v>123</v>
      </c>
      <c r="J1339" s="3">
        <v>2789</v>
      </c>
      <c r="K1339" s="4" t="s">
        <v>111</v>
      </c>
      <c r="L1339" s="56" t="str">
        <f>VLOOKUP(C1339,'[1]Trips&amp;Operators'!$C$1:$E$9999,3,0)</f>
        <v>BONDS</v>
      </c>
      <c r="M1339" s="20" t="s">
        <v>112</v>
      </c>
      <c r="N1339" s="19" t="s">
        <v>175</v>
      </c>
      <c r="O1339" s="19" t="str">
        <f t="shared" si="40"/>
        <v>26</v>
      </c>
      <c r="P1339" s="64">
        <f t="shared" si="41"/>
        <v>42577</v>
      </c>
      <c r="R1339" s="55"/>
      <c r="S1339" s="55"/>
      <c r="T1339" s="55"/>
      <c r="U1339" s="55"/>
      <c r="V1339" s="55"/>
      <c r="W1339" s="55"/>
    </row>
    <row r="1340" spans="1:23" x14ac:dyDescent="0.25">
      <c r="A1340" s="26">
        <v>42577.966793981483</v>
      </c>
      <c r="B1340" s="51" t="s">
        <v>108</v>
      </c>
      <c r="C1340" s="4" t="s">
        <v>1535</v>
      </c>
      <c r="D1340" s="4" t="s">
        <v>103</v>
      </c>
      <c r="E1340" s="51" t="s">
        <v>122</v>
      </c>
      <c r="F1340" s="3">
        <v>0</v>
      </c>
      <c r="G1340" s="3">
        <v>573</v>
      </c>
      <c r="H1340" s="3">
        <v>47409</v>
      </c>
      <c r="I1340" s="51" t="s">
        <v>123</v>
      </c>
      <c r="J1340" s="3">
        <v>50746</v>
      </c>
      <c r="K1340" s="4" t="s">
        <v>111</v>
      </c>
      <c r="L1340" s="56" t="str">
        <f>VLOOKUP(C1340,'[1]Trips&amp;Operators'!$C$1:$E$9999,3,0)</f>
        <v>LEVERE</v>
      </c>
      <c r="M1340" s="20" t="s">
        <v>107</v>
      </c>
      <c r="N1340" s="19" t="s">
        <v>52</v>
      </c>
      <c r="O1340" s="19" t="str">
        <f t="shared" si="40"/>
        <v>26</v>
      </c>
      <c r="P1340" s="64">
        <f t="shared" si="41"/>
        <v>42577</v>
      </c>
      <c r="R1340" s="55"/>
      <c r="S1340" s="55"/>
      <c r="T1340" s="55"/>
      <c r="U1340" s="55"/>
      <c r="V1340" s="55"/>
      <c r="W1340" s="55"/>
    </row>
    <row r="1341" spans="1:23" x14ac:dyDescent="0.25">
      <c r="A1341" s="26">
        <v>42577.495937500003</v>
      </c>
      <c r="B1341" s="51" t="s">
        <v>117</v>
      </c>
      <c r="C1341" s="4" t="s">
        <v>1536</v>
      </c>
      <c r="D1341" s="4" t="s">
        <v>103</v>
      </c>
      <c r="E1341" s="51" t="s">
        <v>122</v>
      </c>
      <c r="F1341" s="3">
        <v>0</v>
      </c>
      <c r="G1341" s="3">
        <v>367</v>
      </c>
      <c r="H1341" s="3">
        <v>128980</v>
      </c>
      <c r="I1341" s="51" t="s">
        <v>123</v>
      </c>
      <c r="J1341" s="3">
        <v>127587</v>
      </c>
      <c r="K1341" s="4" t="s">
        <v>106</v>
      </c>
      <c r="L1341" s="56" t="str">
        <f>VLOOKUP(C1341,'[1]Trips&amp;Operators'!$C$1:$E$9999,3,0)</f>
        <v>GRASTON</v>
      </c>
      <c r="M1341" s="20" t="s">
        <v>112</v>
      </c>
      <c r="N1341" s="19" t="s">
        <v>1491</v>
      </c>
      <c r="O1341" s="19" t="str">
        <f t="shared" si="40"/>
        <v>26</v>
      </c>
      <c r="P1341" s="64">
        <f t="shared" si="41"/>
        <v>42577</v>
      </c>
      <c r="R1341" s="55"/>
      <c r="S1341" s="55"/>
      <c r="T1341" s="55"/>
      <c r="U1341" s="55"/>
      <c r="V1341" s="55"/>
      <c r="W1341" s="55"/>
    </row>
    <row r="1342" spans="1:23" x14ac:dyDescent="0.25">
      <c r="A1342" s="26">
        <v>42577.735960648148</v>
      </c>
      <c r="B1342" s="51" t="s">
        <v>143</v>
      </c>
      <c r="C1342" s="4" t="s">
        <v>1537</v>
      </c>
      <c r="D1342" s="4" t="s">
        <v>103</v>
      </c>
      <c r="E1342" s="51" t="s">
        <v>122</v>
      </c>
      <c r="F1342" s="3">
        <v>0</v>
      </c>
      <c r="G1342" s="3">
        <v>378</v>
      </c>
      <c r="H1342" s="3">
        <v>130139</v>
      </c>
      <c r="I1342" s="51" t="s">
        <v>123</v>
      </c>
      <c r="J1342" s="3">
        <v>127587</v>
      </c>
      <c r="K1342" s="4" t="s">
        <v>106</v>
      </c>
      <c r="L1342" s="56" t="str">
        <f>VLOOKUP(C1342,'[1]Trips&amp;Operators'!$C$1:$E$9999,3,0)</f>
        <v>STEWART</v>
      </c>
      <c r="M1342" s="20" t="s">
        <v>112</v>
      </c>
      <c r="N1342" s="19" t="s">
        <v>1491</v>
      </c>
      <c r="O1342" s="19" t="str">
        <f t="shared" si="40"/>
        <v>26</v>
      </c>
      <c r="P1342" s="64">
        <f t="shared" si="41"/>
        <v>42577</v>
      </c>
      <c r="R1342" s="55"/>
      <c r="S1342" s="55"/>
      <c r="T1342" s="55"/>
      <c r="U1342" s="55"/>
      <c r="V1342" s="55"/>
      <c r="W1342" s="55"/>
    </row>
    <row r="1343" spans="1:23" x14ac:dyDescent="0.25">
      <c r="A1343" s="26">
        <v>42577.747384259259</v>
      </c>
      <c r="B1343" s="51" t="s">
        <v>141</v>
      </c>
      <c r="C1343" s="4" t="s">
        <v>1538</v>
      </c>
      <c r="D1343" s="4" t="s">
        <v>103</v>
      </c>
      <c r="E1343" s="51" t="s">
        <v>122</v>
      </c>
      <c r="F1343" s="3">
        <v>0</v>
      </c>
      <c r="G1343" s="3">
        <v>516</v>
      </c>
      <c r="H1343" s="3">
        <v>130324</v>
      </c>
      <c r="I1343" s="51" t="s">
        <v>123</v>
      </c>
      <c r="J1343" s="3">
        <v>127587</v>
      </c>
      <c r="K1343" s="4" t="s">
        <v>106</v>
      </c>
      <c r="L1343" s="56" t="str">
        <f>VLOOKUP(C1343,'[1]Trips&amp;Operators'!$C$1:$E$9999,3,0)</f>
        <v>LOCKLEAR</v>
      </c>
      <c r="M1343" s="20" t="s">
        <v>112</v>
      </c>
      <c r="N1343" s="19" t="s">
        <v>1491</v>
      </c>
      <c r="O1343" s="19" t="str">
        <f t="shared" si="40"/>
        <v>26</v>
      </c>
      <c r="P1343" s="64">
        <f t="shared" si="41"/>
        <v>42577</v>
      </c>
      <c r="R1343" s="55"/>
      <c r="S1343" s="55"/>
      <c r="T1343" s="55"/>
      <c r="U1343" s="55"/>
      <c r="V1343" s="55"/>
      <c r="W1343" s="55"/>
    </row>
    <row r="1344" spans="1:23" x14ac:dyDescent="0.25">
      <c r="A1344" s="26">
        <v>42577.361817129633</v>
      </c>
      <c r="B1344" s="4" t="s">
        <v>102</v>
      </c>
      <c r="C1344" s="4" t="s">
        <v>559</v>
      </c>
      <c r="D1344" s="4" t="s">
        <v>116</v>
      </c>
      <c r="E1344" s="4" t="s">
        <v>122</v>
      </c>
      <c r="F1344" s="3">
        <v>200</v>
      </c>
      <c r="G1344" s="3">
        <v>258</v>
      </c>
      <c r="H1344" s="3">
        <v>151290</v>
      </c>
      <c r="I1344" s="4" t="s">
        <v>123</v>
      </c>
      <c r="J1344" s="3">
        <v>157300</v>
      </c>
      <c r="K1344" s="4" t="s">
        <v>106</v>
      </c>
      <c r="L1344" s="56" t="str">
        <f>VLOOKUP(C1344,'[1]Trips&amp;Operators'!$C$1:$E$9999,3,0)</f>
        <v>ACKERMAN</v>
      </c>
      <c r="M1344" s="20" t="s">
        <v>112</v>
      </c>
      <c r="N1344" s="19" t="s">
        <v>175</v>
      </c>
      <c r="O1344" s="19" t="str">
        <f t="shared" si="40"/>
        <v>26</v>
      </c>
      <c r="P1344" s="64">
        <f t="shared" si="41"/>
        <v>42577</v>
      </c>
      <c r="R1344" s="55"/>
      <c r="S1344" s="55"/>
      <c r="T1344" s="55"/>
      <c r="U1344" s="55"/>
      <c r="V1344" s="55"/>
      <c r="W1344" s="55"/>
    </row>
    <row r="1345" spans="1:23" x14ac:dyDescent="0.25">
      <c r="A1345" s="26">
        <v>42577.261284722219</v>
      </c>
      <c r="B1345" s="4" t="s">
        <v>164</v>
      </c>
      <c r="C1345" s="4" t="s">
        <v>1539</v>
      </c>
      <c r="D1345" s="4" t="s">
        <v>103</v>
      </c>
      <c r="E1345" s="4" t="s">
        <v>122</v>
      </c>
      <c r="F1345" s="3">
        <v>0</v>
      </c>
      <c r="G1345" s="3">
        <v>385</v>
      </c>
      <c r="H1345" s="3">
        <v>194235</v>
      </c>
      <c r="I1345" s="4" t="s">
        <v>123</v>
      </c>
      <c r="J1345" s="3">
        <v>191723</v>
      </c>
      <c r="K1345" s="4" t="s">
        <v>106</v>
      </c>
      <c r="L1345" s="56" t="str">
        <f>VLOOKUP(C1345,'[1]Trips&amp;Operators'!$C$1:$E$9999,3,0)</f>
        <v>HELVIE</v>
      </c>
      <c r="M1345" s="20" t="s">
        <v>112</v>
      </c>
      <c r="N1345" s="19" t="s">
        <v>1277</v>
      </c>
      <c r="O1345" s="19" t="str">
        <f t="shared" si="40"/>
        <v>26</v>
      </c>
      <c r="P1345" s="64">
        <f t="shared" si="41"/>
        <v>42577</v>
      </c>
      <c r="R1345" s="55"/>
      <c r="S1345" s="55"/>
      <c r="T1345" s="55"/>
      <c r="U1345" s="55"/>
      <c r="V1345" s="55"/>
      <c r="W1345" s="55"/>
    </row>
    <row r="1346" spans="1:23" x14ac:dyDescent="0.25">
      <c r="A1346" s="26">
        <v>42577.553113425929</v>
      </c>
      <c r="B1346" s="51" t="s">
        <v>164</v>
      </c>
      <c r="C1346" s="4" t="s">
        <v>1540</v>
      </c>
      <c r="D1346" s="4" t="s">
        <v>103</v>
      </c>
      <c r="E1346" s="51" t="s">
        <v>122</v>
      </c>
      <c r="F1346" s="3">
        <v>0</v>
      </c>
      <c r="G1346" s="3">
        <v>519</v>
      </c>
      <c r="H1346" s="3">
        <v>194693</v>
      </c>
      <c r="I1346" s="51" t="s">
        <v>123</v>
      </c>
      <c r="J1346" s="3">
        <v>191723</v>
      </c>
      <c r="K1346" s="4" t="s">
        <v>106</v>
      </c>
      <c r="L1346" s="56" t="str">
        <f>VLOOKUP(C1346,'[1]Trips&amp;Operators'!$C$1:$E$9999,3,0)</f>
        <v>MAYBERRY</v>
      </c>
      <c r="M1346" s="20" t="s">
        <v>112</v>
      </c>
      <c r="N1346" s="19" t="s">
        <v>1277</v>
      </c>
      <c r="O1346" s="19" t="str">
        <f t="shared" ref="O1346:O1409" si="42">RIGHT(C1346,2)</f>
        <v>26</v>
      </c>
      <c r="P1346" s="64">
        <f t="shared" si="41"/>
        <v>42577</v>
      </c>
      <c r="R1346" s="55"/>
      <c r="S1346" s="55"/>
      <c r="T1346" s="55"/>
      <c r="U1346" s="55"/>
      <c r="V1346" s="55"/>
      <c r="W1346" s="55"/>
    </row>
    <row r="1347" spans="1:23" x14ac:dyDescent="0.25">
      <c r="A1347" s="26">
        <v>42577.751504629632</v>
      </c>
      <c r="B1347" s="51" t="s">
        <v>145</v>
      </c>
      <c r="C1347" s="4" t="s">
        <v>1541</v>
      </c>
      <c r="D1347" s="4" t="s">
        <v>103</v>
      </c>
      <c r="E1347" s="51" t="s">
        <v>122</v>
      </c>
      <c r="F1347" s="3">
        <v>0</v>
      </c>
      <c r="G1347" s="3">
        <v>354</v>
      </c>
      <c r="H1347" s="3">
        <v>193618</v>
      </c>
      <c r="I1347" s="51" t="s">
        <v>123</v>
      </c>
      <c r="J1347" s="3">
        <v>191723</v>
      </c>
      <c r="K1347" s="4" t="s">
        <v>106</v>
      </c>
      <c r="L1347" s="56" t="str">
        <f>VLOOKUP(C1347,'[1]Trips&amp;Operators'!$C$1:$E$9999,3,0)</f>
        <v>BONDS</v>
      </c>
      <c r="M1347" s="20" t="s">
        <v>112</v>
      </c>
      <c r="N1347" s="19" t="s">
        <v>1277</v>
      </c>
      <c r="O1347" s="19" t="str">
        <f t="shared" si="42"/>
        <v>26</v>
      </c>
      <c r="P1347" s="64">
        <f t="shared" ref="P1347:P1410" si="43">42522+O1347+29</f>
        <v>42577</v>
      </c>
      <c r="R1347" s="55"/>
      <c r="S1347" s="55"/>
      <c r="T1347" s="55"/>
      <c r="U1347" s="55"/>
      <c r="V1347" s="55"/>
      <c r="W1347" s="55"/>
    </row>
    <row r="1348" spans="1:23" x14ac:dyDescent="0.25">
      <c r="A1348" s="26">
        <v>42577.292986111112</v>
      </c>
      <c r="B1348" s="51" t="s">
        <v>117</v>
      </c>
      <c r="C1348" s="4" t="s">
        <v>358</v>
      </c>
      <c r="D1348" s="4" t="s">
        <v>103</v>
      </c>
      <c r="E1348" s="51" t="s">
        <v>127</v>
      </c>
      <c r="F1348" s="3">
        <v>0</v>
      </c>
      <c r="G1348" s="3">
        <v>424</v>
      </c>
      <c r="H1348" s="3">
        <v>17115</v>
      </c>
      <c r="I1348" s="51" t="s">
        <v>128</v>
      </c>
      <c r="J1348" s="3">
        <v>17100</v>
      </c>
      <c r="K1348" s="4" t="s">
        <v>106</v>
      </c>
      <c r="L1348" s="56" t="str">
        <f>VLOOKUP(C1348,'[1]Trips&amp;Operators'!$C$1:$E$9999,3,0)</f>
        <v>GRASTON</v>
      </c>
      <c r="M1348" s="20" t="s">
        <v>107</v>
      </c>
      <c r="N1348" s="19" t="s">
        <v>52</v>
      </c>
      <c r="O1348" s="19" t="str">
        <f t="shared" si="42"/>
        <v>26</v>
      </c>
      <c r="P1348" s="64">
        <f t="shared" si="43"/>
        <v>42577</v>
      </c>
      <c r="R1348" s="55"/>
      <c r="S1348" s="55"/>
      <c r="T1348" s="55"/>
      <c r="U1348" s="55"/>
      <c r="V1348" s="55"/>
      <c r="W1348" s="55"/>
    </row>
    <row r="1349" spans="1:23" x14ac:dyDescent="0.25">
      <c r="A1349" s="26">
        <v>42577.229375000003</v>
      </c>
      <c r="B1349" s="51" t="s">
        <v>139</v>
      </c>
      <c r="C1349" s="4" t="s">
        <v>1564</v>
      </c>
      <c r="D1349" s="4" t="s">
        <v>116</v>
      </c>
      <c r="E1349" s="51" t="s">
        <v>184</v>
      </c>
      <c r="F1349" s="3">
        <v>100</v>
      </c>
      <c r="G1349" s="3">
        <v>152</v>
      </c>
      <c r="H1349" s="3">
        <v>10319</v>
      </c>
      <c r="I1349" s="51" t="s">
        <v>110</v>
      </c>
      <c r="J1349" s="3">
        <v>11000</v>
      </c>
      <c r="K1349" s="4" t="s">
        <v>106</v>
      </c>
      <c r="L1349" s="56" t="str">
        <f>VLOOKUP(C1349,'[1]Trips&amp;Operators'!$C$1:$E$9999,3,0)</f>
        <v>STARKS</v>
      </c>
      <c r="M1349" s="20" t="s">
        <v>112</v>
      </c>
      <c r="N1349" s="19"/>
      <c r="O1349" s="19" t="str">
        <f t="shared" si="42"/>
        <v>26</v>
      </c>
      <c r="P1349" s="64">
        <f t="shared" si="43"/>
        <v>42577</v>
      </c>
      <c r="R1349" s="55"/>
      <c r="S1349" s="55"/>
      <c r="T1349" s="55"/>
      <c r="U1349" s="55"/>
      <c r="V1349" s="55"/>
      <c r="W1349" s="55"/>
    </row>
    <row r="1350" spans="1:23" x14ac:dyDescent="0.25">
      <c r="A1350" s="26">
        <v>42577.307928240742</v>
      </c>
      <c r="B1350" s="51" t="s">
        <v>139</v>
      </c>
      <c r="C1350" s="4" t="s">
        <v>1565</v>
      </c>
      <c r="D1350" s="4" t="s">
        <v>116</v>
      </c>
      <c r="E1350" s="51" t="s">
        <v>184</v>
      </c>
      <c r="F1350" s="3">
        <v>100</v>
      </c>
      <c r="G1350" s="3">
        <v>152</v>
      </c>
      <c r="H1350" s="3">
        <v>10417</v>
      </c>
      <c r="I1350" s="51" t="s">
        <v>110</v>
      </c>
      <c r="J1350" s="3">
        <v>11000</v>
      </c>
      <c r="K1350" s="4" t="s">
        <v>106</v>
      </c>
      <c r="L1350" s="56" t="str">
        <f>VLOOKUP(C1350,'[1]Trips&amp;Operators'!$C$1:$E$9999,3,0)</f>
        <v>STARKS</v>
      </c>
      <c r="M1350" s="20" t="s">
        <v>112</v>
      </c>
      <c r="N1350" s="19"/>
      <c r="O1350" s="19" t="str">
        <f t="shared" si="42"/>
        <v>26</v>
      </c>
      <c r="P1350" s="64">
        <f t="shared" si="43"/>
        <v>42577</v>
      </c>
      <c r="Q1350" s="59"/>
      <c r="R1350" s="60"/>
      <c r="S1350" s="61"/>
      <c r="T1350" s="62"/>
      <c r="U1350" s="54"/>
      <c r="V1350" s="50"/>
      <c r="W1350" s="50"/>
    </row>
    <row r="1351" spans="1:23" x14ac:dyDescent="0.25">
      <c r="A1351" s="26">
        <v>42577.368530092594</v>
      </c>
      <c r="B1351" s="51" t="s">
        <v>136</v>
      </c>
      <c r="C1351" s="4" t="s">
        <v>1566</v>
      </c>
      <c r="D1351" s="4" t="s">
        <v>103</v>
      </c>
      <c r="E1351" s="51" t="s">
        <v>184</v>
      </c>
      <c r="F1351" s="3">
        <v>100</v>
      </c>
      <c r="G1351" s="3">
        <v>207</v>
      </c>
      <c r="H1351" s="3">
        <v>11462</v>
      </c>
      <c r="I1351" s="51" t="s">
        <v>110</v>
      </c>
      <c r="J1351" s="3">
        <v>11000</v>
      </c>
      <c r="K1351" s="4" t="s">
        <v>106</v>
      </c>
      <c r="L1351" s="56" t="str">
        <f>VLOOKUP(C1351,'[1]Trips&amp;Operators'!$C$1:$E$9999,3,0)</f>
        <v>LEVIN</v>
      </c>
      <c r="M1351" s="20" t="s">
        <v>112</v>
      </c>
      <c r="N1351" s="19"/>
      <c r="O1351" s="19" t="str">
        <f t="shared" si="42"/>
        <v>26</v>
      </c>
      <c r="P1351" s="64">
        <f t="shared" si="43"/>
        <v>42577</v>
      </c>
      <c r="Q1351" s="59"/>
      <c r="R1351" s="60"/>
      <c r="S1351" s="61"/>
      <c r="T1351" s="62"/>
      <c r="U1351" s="54"/>
      <c r="V1351" s="50"/>
      <c r="W1351" s="50"/>
    </row>
    <row r="1352" spans="1:23" x14ac:dyDescent="0.25">
      <c r="A1352" s="26">
        <v>42577.451354166667</v>
      </c>
      <c r="B1352" s="51" t="s">
        <v>136</v>
      </c>
      <c r="C1352" s="4" t="s">
        <v>1567</v>
      </c>
      <c r="D1352" s="4" t="s">
        <v>103</v>
      </c>
      <c r="E1352" s="51" t="s">
        <v>184</v>
      </c>
      <c r="F1352" s="3">
        <v>100</v>
      </c>
      <c r="G1352" s="3">
        <v>491</v>
      </c>
      <c r="H1352" s="3">
        <v>14509</v>
      </c>
      <c r="I1352" s="51" t="s">
        <v>110</v>
      </c>
      <c r="J1352" s="3">
        <v>11000</v>
      </c>
      <c r="K1352" s="4" t="s">
        <v>106</v>
      </c>
      <c r="L1352" s="56" t="str">
        <f>VLOOKUP(C1352,'[1]Trips&amp;Operators'!$C$1:$E$9999,3,0)</f>
        <v>LEVIN</v>
      </c>
      <c r="M1352" s="20" t="s">
        <v>112</v>
      </c>
      <c r="N1352" s="19"/>
      <c r="O1352" s="19" t="str">
        <f t="shared" si="42"/>
        <v>26</v>
      </c>
      <c r="P1352" s="64">
        <f t="shared" si="43"/>
        <v>42577</v>
      </c>
      <c r="Q1352" s="59"/>
      <c r="R1352" s="60"/>
      <c r="S1352" s="61"/>
      <c r="T1352" s="62"/>
      <c r="U1352" s="54"/>
      <c r="V1352" s="50"/>
      <c r="W1352" s="50"/>
    </row>
    <row r="1353" spans="1:23" x14ac:dyDescent="0.25">
      <c r="A1353" s="26">
        <v>42577.201828703706</v>
      </c>
      <c r="B1353" s="51" t="s">
        <v>164</v>
      </c>
      <c r="C1353" s="4" t="s">
        <v>1542</v>
      </c>
      <c r="D1353" s="4" t="s">
        <v>103</v>
      </c>
      <c r="E1353" s="51" t="s">
        <v>129</v>
      </c>
      <c r="F1353" s="3">
        <v>0</v>
      </c>
      <c r="G1353" s="3">
        <v>45</v>
      </c>
      <c r="H1353" s="3">
        <v>130</v>
      </c>
      <c r="I1353" s="51" t="s">
        <v>130</v>
      </c>
      <c r="J1353" s="3">
        <v>1</v>
      </c>
      <c r="K1353" s="4" t="s">
        <v>106</v>
      </c>
      <c r="L1353" s="56" t="str">
        <f>VLOOKUP(C1353,'[1]Trips&amp;Operators'!$C$1:$E$9999,3,0)</f>
        <v>HELVIE</v>
      </c>
      <c r="M1353" s="20" t="s">
        <v>112</v>
      </c>
      <c r="N1353" s="19"/>
      <c r="O1353" s="19" t="str">
        <f t="shared" si="42"/>
        <v>26</v>
      </c>
      <c r="P1353" s="64">
        <f t="shared" si="43"/>
        <v>42577</v>
      </c>
      <c r="Q1353" s="59"/>
      <c r="R1353" s="60"/>
      <c r="S1353" s="61"/>
      <c r="T1353" s="62"/>
      <c r="U1353" s="54"/>
      <c r="V1353" s="50"/>
      <c r="W1353" s="50"/>
    </row>
    <row r="1354" spans="1:23" x14ac:dyDescent="0.25">
      <c r="A1354" s="26">
        <v>42577.22184027778</v>
      </c>
      <c r="B1354" s="51" t="s">
        <v>102</v>
      </c>
      <c r="C1354" s="4" t="s">
        <v>1543</v>
      </c>
      <c r="D1354" s="4" t="s">
        <v>103</v>
      </c>
      <c r="E1354" s="51" t="s">
        <v>129</v>
      </c>
      <c r="F1354" s="3">
        <v>0</v>
      </c>
      <c r="G1354" s="3">
        <v>51</v>
      </c>
      <c r="H1354" s="3">
        <v>172</v>
      </c>
      <c r="I1354" s="51" t="s">
        <v>130</v>
      </c>
      <c r="J1354" s="3">
        <v>1</v>
      </c>
      <c r="K1354" s="4" t="s">
        <v>106</v>
      </c>
      <c r="L1354" s="56" t="str">
        <f>VLOOKUP(C1354,'[1]Trips&amp;Operators'!$C$1:$E$9999,3,0)</f>
        <v>ACKERMAN</v>
      </c>
      <c r="M1354" s="20" t="s">
        <v>112</v>
      </c>
      <c r="N1354" s="19"/>
      <c r="O1354" s="19" t="str">
        <f t="shared" si="42"/>
        <v>26</v>
      </c>
      <c r="P1354" s="64">
        <f t="shared" si="43"/>
        <v>42577</v>
      </c>
      <c r="Q1354" s="59"/>
      <c r="R1354" s="60"/>
      <c r="S1354" s="61"/>
      <c r="T1354" s="62"/>
      <c r="U1354" s="54"/>
      <c r="V1354" s="50"/>
      <c r="W1354" s="50"/>
    </row>
    <row r="1355" spans="1:23" x14ac:dyDescent="0.25">
      <c r="A1355" s="26">
        <v>42577.256030092591</v>
      </c>
      <c r="B1355" s="51" t="s">
        <v>141</v>
      </c>
      <c r="C1355" s="4" t="s">
        <v>1526</v>
      </c>
      <c r="D1355" s="4" t="s">
        <v>103</v>
      </c>
      <c r="E1355" s="51" t="s">
        <v>129</v>
      </c>
      <c r="F1355" s="3">
        <v>0</v>
      </c>
      <c r="G1355" s="3">
        <v>104</v>
      </c>
      <c r="H1355" s="3">
        <v>362</v>
      </c>
      <c r="I1355" s="51" t="s">
        <v>130</v>
      </c>
      <c r="J1355" s="3">
        <v>1</v>
      </c>
      <c r="K1355" s="4" t="s">
        <v>106</v>
      </c>
      <c r="L1355" s="56" t="str">
        <f>VLOOKUP(C1355,'[1]Trips&amp;Operators'!$C$1:$E$9999,3,0)</f>
        <v>SPECTOR</v>
      </c>
      <c r="M1355" s="20" t="s">
        <v>112</v>
      </c>
      <c r="N1355" s="19"/>
      <c r="O1355" s="19" t="str">
        <f t="shared" si="42"/>
        <v>26</v>
      </c>
      <c r="P1355" s="64">
        <f t="shared" si="43"/>
        <v>42577</v>
      </c>
      <c r="Q1355" s="59"/>
      <c r="R1355" s="60"/>
      <c r="S1355" s="61"/>
      <c r="T1355" s="62"/>
      <c r="U1355" s="54"/>
      <c r="V1355" s="50"/>
      <c r="W1355" s="50"/>
    </row>
    <row r="1356" spans="1:23" x14ac:dyDescent="0.25">
      <c r="A1356" s="26">
        <v>42577.305752314816</v>
      </c>
      <c r="B1356" s="51" t="s">
        <v>102</v>
      </c>
      <c r="C1356" s="4" t="s">
        <v>1544</v>
      </c>
      <c r="D1356" s="4" t="s">
        <v>103</v>
      </c>
      <c r="E1356" s="51" t="s">
        <v>129</v>
      </c>
      <c r="F1356" s="3">
        <v>0</v>
      </c>
      <c r="G1356" s="3">
        <v>26</v>
      </c>
      <c r="H1356" s="3">
        <v>79</v>
      </c>
      <c r="I1356" s="51" t="s">
        <v>130</v>
      </c>
      <c r="J1356" s="3">
        <v>1</v>
      </c>
      <c r="K1356" s="4" t="s">
        <v>106</v>
      </c>
      <c r="L1356" s="56" t="str">
        <f>VLOOKUP(C1356,'[1]Trips&amp;Operators'!$C$1:$E$9999,3,0)</f>
        <v>ACKERMAN</v>
      </c>
      <c r="M1356" s="20" t="s">
        <v>112</v>
      </c>
      <c r="N1356" s="19"/>
      <c r="O1356" s="19" t="str">
        <f t="shared" si="42"/>
        <v>26</v>
      </c>
      <c r="P1356" s="64">
        <f t="shared" si="43"/>
        <v>42577</v>
      </c>
      <c r="Q1356" s="59"/>
      <c r="R1356" s="60"/>
      <c r="S1356" s="61"/>
      <c r="T1356" s="62"/>
      <c r="U1356" s="54"/>
      <c r="V1356" s="50"/>
      <c r="W1356" s="50"/>
    </row>
    <row r="1357" spans="1:23" x14ac:dyDescent="0.25">
      <c r="A1357" s="26">
        <v>42577.306111111109</v>
      </c>
      <c r="B1357" s="51" t="s">
        <v>102</v>
      </c>
      <c r="C1357" s="4" t="s">
        <v>1544</v>
      </c>
      <c r="D1357" s="4" t="s">
        <v>103</v>
      </c>
      <c r="E1357" s="51" t="s">
        <v>129</v>
      </c>
      <c r="F1357" s="3">
        <v>0</v>
      </c>
      <c r="G1357" s="3">
        <v>15</v>
      </c>
      <c r="H1357" s="3">
        <v>32</v>
      </c>
      <c r="I1357" s="51" t="s">
        <v>130</v>
      </c>
      <c r="J1357" s="3">
        <v>1</v>
      </c>
      <c r="K1357" s="4" t="s">
        <v>106</v>
      </c>
      <c r="L1357" s="56" t="str">
        <f>VLOOKUP(C1357,'[1]Trips&amp;Operators'!$C$1:$E$9999,3,0)</f>
        <v>ACKERMAN</v>
      </c>
      <c r="M1357" s="20" t="s">
        <v>112</v>
      </c>
      <c r="N1357" s="19"/>
      <c r="O1357" s="19" t="str">
        <f t="shared" si="42"/>
        <v>26</v>
      </c>
      <c r="P1357" s="64">
        <f t="shared" si="43"/>
        <v>42577</v>
      </c>
      <c r="Q1357" s="59"/>
      <c r="R1357" s="60"/>
      <c r="S1357" s="61"/>
      <c r="T1357" s="62"/>
      <c r="U1357" s="54"/>
      <c r="V1357" s="50"/>
      <c r="W1357" s="50"/>
    </row>
    <row r="1358" spans="1:23" x14ac:dyDescent="0.25">
      <c r="A1358" s="26">
        <v>42577.34716435185</v>
      </c>
      <c r="B1358" s="51" t="s">
        <v>131</v>
      </c>
      <c r="C1358" s="4" t="s">
        <v>1545</v>
      </c>
      <c r="D1358" s="4" t="s">
        <v>103</v>
      </c>
      <c r="E1358" s="51" t="s">
        <v>129</v>
      </c>
      <c r="F1358" s="3">
        <v>0</v>
      </c>
      <c r="G1358" s="3">
        <v>75</v>
      </c>
      <c r="H1358" s="3">
        <v>273</v>
      </c>
      <c r="I1358" s="51" t="s">
        <v>130</v>
      </c>
      <c r="J1358" s="3">
        <v>1</v>
      </c>
      <c r="K1358" s="4" t="s">
        <v>106</v>
      </c>
      <c r="L1358" s="56" t="str">
        <f>VLOOKUP(C1358,'[1]Trips&amp;Operators'!$C$1:$E$9999,3,0)</f>
        <v>GEBRETEKLE</v>
      </c>
      <c r="M1358" s="20" t="s">
        <v>112</v>
      </c>
      <c r="N1358" s="19"/>
      <c r="O1358" s="19" t="str">
        <f t="shared" si="42"/>
        <v>26</v>
      </c>
      <c r="P1358" s="64">
        <f t="shared" si="43"/>
        <v>42577</v>
      </c>
      <c r="Q1358" s="59"/>
      <c r="R1358" s="60"/>
      <c r="S1358" s="61"/>
      <c r="T1358" s="62"/>
      <c r="U1358" s="54"/>
      <c r="V1358" s="50"/>
      <c r="W1358" s="50"/>
    </row>
    <row r="1359" spans="1:23" x14ac:dyDescent="0.25">
      <c r="A1359" s="26">
        <v>42577.399351851855</v>
      </c>
      <c r="B1359" s="51" t="s">
        <v>141</v>
      </c>
      <c r="C1359" s="4" t="s">
        <v>1546</v>
      </c>
      <c r="D1359" s="4" t="s">
        <v>103</v>
      </c>
      <c r="E1359" s="51" t="s">
        <v>129</v>
      </c>
      <c r="F1359" s="3">
        <v>0</v>
      </c>
      <c r="G1359" s="3">
        <v>41</v>
      </c>
      <c r="H1359" s="3">
        <v>129</v>
      </c>
      <c r="I1359" s="51" t="s">
        <v>130</v>
      </c>
      <c r="J1359" s="3">
        <v>1</v>
      </c>
      <c r="K1359" s="4" t="s">
        <v>106</v>
      </c>
      <c r="L1359" s="56" t="str">
        <f>VLOOKUP(C1359,'[1]Trips&amp;Operators'!$C$1:$E$9999,3,0)</f>
        <v>SPECTOR</v>
      </c>
      <c r="M1359" s="20" t="s">
        <v>112</v>
      </c>
      <c r="N1359" s="19"/>
      <c r="O1359" s="19" t="str">
        <f t="shared" si="42"/>
        <v>26</v>
      </c>
      <c r="P1359" s="64">
        <f t="shared" si="43"/>
        <v>42577</v>
      </c>
      <c r="Q1359" s="59"/>
      <c r="R1359" s="60"/>
      <c r="S1359" s="61"/>
      <c r="T1359" s="62"/>
      <c r="U1359" s="54"/>
      <c r="V1359" s="50"/>
      <c r="W1359" s="50"/>
    </row>
    <row r="1360" spans="1:23" x14ac:dyDescent="0.25">
      <c r="A1360" s="26">
        <v>42577.456597222219</v>
      </c>
      <c r="B1360" s="51" t="s">
        <v>102</v>
      </c>
      <c r="C1360" s="4" t="s">
        <v>1547</v>
      </c>
      <c r="D1360" s="4" t="s">
        <v>103</v>
      </c>
      <c r="E1360" s="51" t="s">
        <v>129</v>
      </c>
      <c r="F1360" s="3">
        <v>0</v>
      </c>
      <c r="G1360" s="3">
        <v>59</v>
      </c>
      <c r="H1360" s="3">
        <v>187</v>
      </c>
      <c r="I1360" s="51" t="s">
        <v>130</v>
      </c>
      <c r="J1360" s="3">
        <v>1</v>
      </c>
      <c r="K1360" s="4" t="s">
        <v>106</v>
      </c>
      <c r="L1360" s="56" t="str">
        <f>VLOOKUP(C1360,'[1]Trips&amp;Operators'!$C$1:$E$9999,3,0)</f>
        <v>ACKERMAN</v>
      </c>
      <c r="M1360" s="20" t="s">
        <v>112</v>
      </c>
      <c r="N1360" s="19"/>
      <c r="O1360" s="19" t="str">
        <f t="shared" si="42"/>
        <v>26</v>
      </c>
      <c r="P1360" s="64">
        <f t="shared" si="43"/>
        <v>42577</v>
      </c>
      <c r="Q1360" s="59"/>
      <c r="R1360" s="60"/>
      <c r="S1360" s="61"/>
      <c r="T1360" s="62"/>
      <c r="U1360" s="54"/>
      <c r="V1360" s="50"/>
      <c r="W1360" s="50"/>
    </row>
    <row r="1361" spans="1:23" x14ac:dyDescent="0.25">
      <c r="A1361" s="26">
        <v>42577.493449074071</v>
      </c>
      <c r="B1361" s="51" t="s">
        <v>134</v>
      </c>
      <c r="C1361" s="4" t="s">
        <v>1548</v>
      </c>
      <c r="D1361" s="4" t="s">
        <v>103</v>
      </c>
      <c r="E1361" s="51" t="s">
        <v>129</v>
      </c>
      <c r="F1361" s="3">
        <v>0</v>
      </c>
      <c r="G1361" s="3">
        <v>58</v>
      </c>
      <c r="H1361" s="3">
        <v>136</v>
      </c>
      <c r="I1361" s="51" t="s">
        <v>130</v>
      </c>
      <c r="J1361" s="3">
        <v>1</v>
      </c>
      <c r="K1361" s="4" t="s">
        <v>106</v>
      </c>
      <c r="L1361" s="56" t="str">
        <f>VLOOKUP(C1361,'[1]Trips&amp;Operators'!$C$1:$E$9999,3,0)</f>
        <v>GEBRETEKLE</v>
      </c>
      <c r="M1361" s="20" t="s">
        <v>112</v>
      </c>
      <c r="N1361" s="19"/>
      <c r="O1361" s="19" t="str">
        <f t="shared" si="42"/>
        <v>26</v>
      </c>
      <c r="P1361" s="64">
        <f t="shared" si="43"/>
        <v>42577</v>
      </c>
      <c r="Q1361" s="59"/>
      <c r="R1361" s="60"/>
      <c r="S1361" s="61"/>
      <c r="T1361" s="62"/>
      <c r="U1361" s="54"/>
      <c r="V1361" s="50"/>
      <c r="W1361" s="50"/>
    </row>
    <row r="1362" spans="1:23" x14ac:dyDescent="0.25">
      <c r="A1362" s="26">
        <v>42577.524664351855</v>
      </c>
      <c r="B1362" s="51" t="s">
        <v>102</v>
      </c>
      <c r="C1362" s="4" t="s">
        <v>1549</v>
      </c>
      <c r="D1362" s="4" t="s">
        <v>103</v>
      </c>
      <c r="E1362" s="51" t="s">
        <v>129</v>
      </c>
      <c r="F1362" s="3">
        <v>0</v>
      </c>
      <c r="G1362" s="3">
        <v>29</v>
      </c>
      <c r="H1362" s="3">
        <v>78</v>
      </c>
      <c r="I1362" s="51" t="s">
        <v>130</v>
      </c>
      <c r="J1362" s="3">
        <v>1</v>
      </c>
      <c r="K1362" s="4" t="s">
        <v>106</v>
      </c>
      <c r="L1362" s="56" t="str">
        <f>VLOOKUP(C1362,'[1]Trips&amp;Operators'!$C$1:$E$9999,3,0)</f>
        <v>BARTLETT</v>
      </c>
      <c r="M1362" s="20" t="s">
        <v>112</v>
      </c>
      <c r="N1362" s="19"/>
      <c r="O1362" s="19" t="str">
        <f t="shared" si="42"/>
        <v>26</v>
      </c>
      <c r="P1362" s="64">
        <f t="shared" si="43"/>
        <v>42577</v>
      </c>
      <c r="Q1362" s="59"/>
      <c r="R1362" s="60"/>
      <c r="S1362" s="61"/>
      <c r="T1362" s="62"/>
      <c r="U1362" s="54"/>
      <c r="V1362" s="50"/>
      <c r="W1362" s="50"/>
    </row>
    <row r="1363" spans="1:23" x14ac:dyDescent="0.25">
      <c r="A1363" s="26">
        <v>42577.538217592592</v>
      </c>
      <c r="B1363" s="51" t="s">
        <v>143</v>
      </c>
      <c r="C1363" s="4" t="s">
        <v>1530</v>
      </c>
      <c r="D1363" s="4" t="s">
        <v>103</v>
      </c>
      <c r="E1363" s="51" t="s">
        <v>129</v>
      </c>
      <c r="F1363" s="3">
        <v>0</v>
      </c>
      <c r="G1363" s="3">
        <v>60</v>
      </c>
      <c r="H1363" s="3">
        <v>212</v>
      </c>
      <c r="I1363" s="51" t="s">
        <v>130</v>
      </c>
      <c r="J1363" s="3">
        <v>1</v>
      </c>
      <c r="K1363" s="4" t="s">
        <v>106</v>
      </c>
      <c r="L1363" s="56" t="str">
        <f>VLOOKUP(C1363,'[1]Trips&amp;Operators'!$C$1:$E$9999,3,0)</f>
        <v>STEWART</v>
      </c>
      <c r="M1363" s="20" t="s">
        <v>112</v>
      </c>
      <c r="N1363" s="19"/>
      <c r="O1363" s="19" t="str">
        <f t="shared" si="42"/>
        <v>26</v>
      </c>
      <c r="P1363" s="64">
        <f t="shared" si="43"/>
        <v>42577</v>
      </c>
      <c r="Q1363" s="59"/>
      <c r="R1363" s="60"/>
      <c r="S1363" s="61"/>
      <c r="T1363" s="62"/>
      <c r="U1363" s="54"/>
      <c r="V1363" s="50"/>
      <c r="W1363" s="50"/>
    </row>
    <row r="1364" spans="1:23" x14ac:dyDescent="0.25">
      <c r="A1364" s="26">
        <v>42577.620335648149</v>
      </c>
      <c r="B1364" s="51" t="s">
        <v>141</v>
      </c>
      <c r="C1364" s="4" t="s">
        <v>1527</v>
      </c>
      <c r="D1364" s="4" t="s">
        <v>103</v>
      </c>
      <c r="E1364" s="51" t="s">
        <v>129</v>
      </c>
      <c r="F1364" s="3">
        <v>0</v>
      </c>
      <c r="G1364" s="3">
        <v>44</v>
      </c>
      <c r="H1364" s="3">
        <v>161</v>
      </c>
      <c r="I1364" s="51" t="s">
        <v>130</v>
      </c>
      <c r="J1364" s="3">
        <v>1</v>
      </c>
      <c r="K1364" s="4" t="s">
        <v>106</v>
      </c>
      <c r="L1364" s="56" t="str">
        <f>VLOOKUP(C1364,'[1]Trips&amp;Operators'!$C$1:$E$9999,3,0)</f>
        <v>LOCKLEAR</v>
      </c>
      <c r="M1364" s="20" t="s">
        <v>112</v>
      </c>
      <c r="N1364" s="19"/>
      <c r="O1364" s="19" t="str">
        <f t="shared" si="42"/>
        <v>26</v>
      </c>
      <c r="P1364" s="64">
        <f t="shared" si="43"/>
        <v>42577</v>
      </c>
      <c r="Q1364" s="59"/>
      <c r="R1364" s="60"/>
      <c r="S1364" s="61"/>
      <c r="T1364" s="62"/>
      <c r="U1364" s="54"/>
      <c r="V1364" s="50"/>
      <c r="W1364" s="50"/>
    </row>
    <row r="1365" spans="1:23" x14ac:dyDescent="0.25">
      <c r="A1365" s="26">
        <v>42577.629976851851</v>
      </c>
      <c r="B1365" s="51" t="s">
        <v>145</v>
      </c>
      <c r="C1365" s="4" t="s">
        <v>1550</v>
      </c>
      <c r="D1365" s="4" t="s">
        <v>103</v>
      </c>
      <c r="E1365" s="51" t="s">
        <v>129</v>
      </c>
      <c r="F1365" s="3">
        <v>0</v>
      </c>
      <c r="G1365" s="3">
        <v>39</v>
      </c>
      <c r="H1365" s="3">
        <v>130</v>
      </c>
      <c r="I1365" s="51" t="s">
        <v>130</v>
      </c>
      <c r="J1365" s="3">
        <v>1</v>
      </c>
      <c r="K1365" s="4" t="s">
        <v>106</v>
      </c>
      <c r="L1365" s="56" t="str">
        <f>VLOOKUP(C1365,'[1]Trips&amp;Operators'!$C$1:$E$9999,3,0)</f>
        <v>BONDS</v>
      </c>
      <c r="M1365" s="20" t="s">
        <v>112</v>
      </c>
      <c r="N1365" s="19"/>
      <c r="O1365" s="19" t="str">
        <f t="shared" si="42"/>
        <v>26</v>
      </c>
      <c r="P1365" s="64">
        <f t="shared" si="43"/>
        <v>42577</v>
      </c>
      <c r="Q1365" s="59"/>
      <c r="R1365" s="60"/>
      <c r="S1365" s="61"/>
      <c r="T1365" s="62"/>
      <c r="U1365" s="54"/>
      <c r="V1365" s="50"/>
      <c r="W1365" s="50"/>
    </row>
    <row r="1366" spans="1:23" x14ac:dyDescent="0.25">
      <c r="A1366" s="26">
        <v>42577.817071759258</v>
      </c>
      <c r="B1366" s="51" t="s">
        <v>102</v>
      </c>
      <c r="C1366" s="4" t="s">
        <v>1551</v>
      </c>
      <c r="D1366" s="4" t="s">
        <v>103</v>
      </c>
      <c r="E1366" s="51" t="s">
        <v>129</v>
      </c>
      <c r="F1366" s="3">
        <v>0</v>
      </c>
      <c r="G1366" s="3">
        <v>39</v>
      </c>
      <c r="H1366" s="3">
        <v>118</v>
      </c>
      <c r="I1366" s="51" t="s">
        <v>130</v>
      </c>
      <c r="J1366" s="3">
        <v>1</v>
      </c>
      <c r="K1366" s="4" t="s">
        <v>106</v>
      </c>
      <c r="L1366" s="56" t="str">
        <f>VLOOKUP(C1366,'[1]Trips&amp;Operators'!$C$1:$E$9999,3,0)</f>
        <v>WEBSTER</v>
      </c>
      <c r="M1366" s="20" t="s">
        <v>112</v>
      </c>
      <c r="N1366" s="19"/>
      <c r="O1366" s="19" t="str">
        <f t="shared" si="42"/>
        <v>26</v>
      </c>
      <c r="P1366" s="64">
        <f t="shared" si="43"/>
        <v>42577</v>
      </c>
      <c r="Q1366" s="59"/>
      <c r="R1366" s="60"/>
      <c r="S1366" s="61"/>
      <c r="T1366" s="62"/>
      <c r="U1366" s="54"/>
      <c r="V1366" s="50"/>
      <c r="W1366" s="50"/>
    </row>
    <row r="1367" spans="1:23" x14ac:dyDescent="0.25">
      <c r="A1367" s="26">
        <v>42577.922465277778</v>
      </c>
      <c r="B1367" s="4" t="s">
        <v>141</v>
      </c>
      <c r="C1367" s="4" t="s">
        <v>1552</v>
      </c>
      <c r="D1367" s="4" t="s">
        <v>103</v>
      </c>
      <c r="E1367" s="4" t="s">
        <v>129</v>
      </c>
      <c r="F1367" s="3">
        <v>0</v>
      </c>
      <c r="G1367" s="3">
        <v>72</v>
      </c>
      <c r="H1367" s="3">
        <v>223</v>
      </c>
      <c r="I1367" s="4" t="s">
        <v>130</v>
      </c>
      <c r="J1367" s="3">
        <v>1</v>
      </c>
      <c r="K1367" s="4" t="s">
        <v>106</v>
      </c>
      <c r="L1367" s="56" t="str">
        <f>VLOOKUP(C1367,'[1]Trips&amp;Operators'!$C$1:$E$9999,3,0)</f>
        <v>CHANDLER</v>
      </c>
      <c r="M1367" s="20" t="s">
        <v>112</v>
      </c>
      <c r="N1367" s="19"/>
      <c r="O1367" s="19" t="str">
        <f t="shared" si="42"/>
        <v>26</v>
      </c>
      <c r="P1367" s="64">
        <f t="shared" si="43"/>
        <v>42577</v>
      </c>
      <c r="Q1367" s="59"/>
      <c r="R1367" s="60"/>
      <c r="S1367" s="61"/>
      <c r="T1367" s="62"/>
      <c r="U1367" s="54"/>
      <c r="V1367" s="50"/>
      <c r="W1367" s="50"/>
    </row>
    <row r="1368" spans="1:23" x14ac:dyDescent="0.25">
      <c r="A1368" s="26">
        <v>42577.233032407406</v>
      </c>
      <c r="B1368" s="51" t="s">
        <v>139</v>
      </c>
      <c r="C1368" s="4" t="s">
        <v>1564</v>
      </c>
      <c r="D1368" s="4" t="s">
        <v>103</v>
      </c>
      <c r="E1368" s="51" t="s">
        <v>129</v>
      </c>
      <c r="F1368" s="3">
        <v>0</v>
      </c>
      <c r="G1368" s="3">
        <v>61</v>
      </c>
      <c r="H1368" s="3">
        <v>773</v>
      </c>
      <c r="I1368" s="51" t="s">
        <v>130</v>
      </c>
      <c r="J1368" s="3">
        <v>575</v>
      </c>
      <c r="K1368" s="4" t="s">
        <v>106</v>
      </c>
      <c r="L1368" s="56" t="str">
        <f>VLOOKUP(C1368,'[1]Trips&amp;Operators'!$C$1:$E$9999,3,0)</f>
        <v>STARKS</v>
      </c>
      <c r="M1368" s="20" t="s">
        <v>112</v>
      </c>
      <c r="N1368" s="19"/>
      <c r="O1368" s="19" t="str">
        <f t="shared" si="42"/>
        <v>26</v>
      </c>
      <c r="P1368" s="64">
        <f t="shared" si="43"/>
        <v>42577</v>
      </c>
      <c r="Q1368" s="59"/>
      <c r="R1368" s="60"/>
      <c r="S1368" s="61"/>
      <c r="T1368" s="62"/>
      <c r="U1368" s="54"/>
      <c r="V1368" s="50"/>
      <c r="W1368" s="50"/>
    </row>
    <row r="1369" spans="1:23" x14ac:dyDescent="0.25">
      <c r="A1369" s="26">
        <v>42577.272361111114</v>
      </c>
      <c r="B1369" s="4" t="s">
        <v>139</v>
      </c>
      <c r="C1369" s="4" t="s">
        <v>1568</v>
      </c>
      <c r="D1369" s="4" t="s">
        <v>103</v>
      </c>
      <c r="E1369" s="4" t="s">
        <v>129</v>
      </c>
      <c r="F1369" s="3">
        <v>0</v>
      </c>
      <c r="G1369" s="3">
        <v>39</v>
      </c>
      <c r="H1369" s="3">
        <v>677</v>
      </c>
      <c r="I1369" s="4" t="s">
        <v>130</v>
      </c>
      <c r="J1369" s="3">
        <v>575</v>
      </c>
      <c r="K1369" s="4" t="s">
        <v>106</v>
      </c>
      <c r="L1369" s="56" t="str">
        <f>VLOOKUP(C1369,'[1]Trips&amp;Operators'!$C$1:$E$9999,3,0)</f>
        <v>STARKS</v>
      </c>
      <c r="M1369" s="20" t="s">
        <v>112</v>
      </c>
      <c r="N1369" s="19"/>
      <c r="O1369" s="19" t="str">
        <f t="shared" si="42"/>
        <v>26</v>
      </c>
      <c r="P1369" s="64">
        <f t="shared" si="43"/>
        <v>42577</v>
      </c>
      <c r="Q1369" s="59"/>
      <c r="R1369" s="60"/>
      <c r="S1369" s="61"/>
      <c r="T1369" s="62"/>
      <c r="U1369" s="54"/>
      <c r="V1369" s="50"/>
      <c r="W1369" s="50"/>
    </row>
    <row r="1370" spans="1:23" x14ac:dyDescent="0.25">
      <c r="A1370" s="26">
        <v>42577.353333333333</v>
      </c>
      <c r="B1370" s="51" t="s">
        <v>139</v>
      </c>
      <c r="C1370" s="4" t="s">
        <v>1563</v>
      </c>
      <c r="D1370" s="4" t="s">
        <v>103</v>
      </c>
      <c r="E1370" s="51" t="s">
        <v>129</v>
      </c>
      <c r="F1370" s="3">
        <v>0</v>
      </c>
      <c r="G1370" s="3">
        <v>71</v>
      </c>
      <c r="H1370" s="3">
        <v>796</v>
      </c>
      <c r="I1370" s="51" t="s">
        <v>130</v>
      </c>
      <c r="J1370" s="3">
        <v>575</v>
      </c>
      <c r="K1370" s="4" t="s">
        <v>106</v>
      </c>
      <c r="L1370" s="56" t="str">
        <f>VLOOKUP(C1370,'[1]Trips&amp;Operators'!$C$1:$E$9999,3,0)</f>
        <v>STARKS</v>
      </c>
      <c r="M1370" s="20" t="s">
        <v>112</v>
      </c>
      <c r="N1370" s="19"/>
      <c r="O1370" s="19" t="str">
        <f t="shared" si="42"/>
        <v>26</v>
      </c>
      <c r="P1370" s="64">
        <f t="shared" si="43"/>
        <v>42577</v>
      </c>
      <c r="Q1370" s="59"/>
      <c r="R1370" s="60"/>
      <c r="S1370" s="61"/>
      <c r="T1370" s="62"/>
      <c r="U1370" s="54"/>
      <c r="V1370" s="50"/>
      <c r="W1370" s="50"/>
    </row>
    <row r="1371" spans="1:23" x14ac:dyDescent="0.25">
      <c r="A1371" s="26">
        <v>42577.580034722225</v>
      </c>
      <c r="B1371" s="51" t="s">
        <v>136</v>
      </c>
      <c r="C1371" s="4" t="s">
        <v>1569</v>
      </c>
      <c r="D1371" s="4" t="s">
        <v>103</v>
      </c>
      <c r="E1371" s="51" t="s">
        <v>129</v>
      </c>
      <c r="F1371" s="3">
        <v>0</v>
      </c>
      <c r="G1371" s="3">
        <v>34</v>
      </c>
      <c r="H1371" s="3">
        <v>675</v>
      </c>
      <c r="I1371" s="51" t="s">
        <v>130</v>
      </c>
      <c r="J1371" s="3">
        <v>575</v>
      </c>
      <c r="K1371" s="4" t="s">
        <v>106</v>
      </c>
      <c r="L1371" s="56" t="str">
        <f>VLOOKUP(C1371,'[1]Trips&amp;Operators'!$C$1:$E$9999,3,0)</f>
        <v>BRUDER</v>
      </c>
      <c r="M1371" s="20" t="s">
        <v>112</v>
      </c>
      <c r="N1371" s="19"/>
      <c r="O1371" s="19" t="str">
        <f t="shared" si="42"/>
        <v>26</v>
      </c>
      <c r="P1371" s="64">
        <f t="shared" si="43"/>
        <v>42577</v>
      </c>
      <c r="Q1371" s="59"/>
      <c r="R1371" s="60"/>
      <c r="S1371" s="61"/>
      <c r="T1371" s="62"/>
      <c r="U1371" s="54"/>
      <c r="V1371" s="50"/>
      <c r="W1371" s="50"/>
    </row>
    <row r="1372" spans="1:23" x14ac:dyDescent="0.25">
      <c r="A1372" s="26">
        <v>42577.297511574077</v>
      </c>
      <c r="B1372" s="4" t="s">
        <v>137</v>
      </c>
      <c r="C1372" s="4" t="s">
        <v>1570</v>
      </c>
      <c r="D1372" s="4" t="s">
        <v>103</v>
      </c>
      <c r="E1372" s="4" t="s">
        <v>129</v>
      </c>
      <c r="F1372" s="3">
        <v>0</v>
      </c>
      <c r="G1372" s="3">
        <v>58</v>
      </c>
      <c r="H1372" s="3">
        <v>58845</v>
      </c>
      <c r="I1372" s="4" t="s">
        <v>130</v>
      </c>
      <c r="J1372" s="3">
        <v>59048</v>
      </c>
      <c r="K1372" s="4" t="s">
        <v>111</v>
      </c>
      <c r="L1372" s="56" t="str">
        <f>VLOOKUP(C1372,'[1]Trips&amp;Operators'!$C$1:$E$9999,3,0)</f>
        <v>STARKS</v>
      </c>
      <c r="M1372" s="20" t="s">
        <v>112</v>
      </c>
      <c r="N1372" s="19"/>
      <c r="O1372" s="19" t="str">
        <f t="shared" si="42"/>
        <v>26</v>
      </c>
      <c r="P1372" s="64">
        <f t="shared" si="43"/>
        <v>42577</v>
      </c>
      <c r="Q1372" s="59"/>
      <c r="R1372" s="60"/>
      <c r="S1372" s="61"/>
      <c r="T1372" s="62"/>
      <c r="U1372" s="54"/>
      <c r="V1372" s="50"/>
      <c r="W1372" s="50"/>
    </row>
    <row r="1373" spans="1:23" x14ac:dyDescent="0.25">
      <c r="A1373" s="26">
        <v>42577.566655092596</v>
      </c>
      <c r="B1373" s="51" t="s">
        <v>138</v>
      </c>
      <c r="C1373" s="4" t="s">
        <v>1571</v>
      </c>
      <c r="D1373" s="4" t="s">
        <v>103</v>
      </c>
      <c r="E1373" s="51" t="s">
        <v>129</v>
      </c>
      <c r="F1373" s="3">
        <v>0</v>
      </c>
      <c r="G1373" s="3">
        <v>95</v>
      </c>
      <c r="H1373" s="3">
        <v>58694</v>
      </c>
      <c r="I1373" s="51" t="s">
        <v>130</v>
      </c>
      <c r="J1373" s="3">
        <v>59048</v>
      </c>
      <c r="K1373" s="4" t="s">
        <v>111</v>
      </c>
      <c r="L1373" s="56" t="str">
        <f>VLOOKUP(C1373,'[1]Trips&amp;Operators'!$C$1:$E$9999,3,0)</f>
        <v>BRUDER</v>
      </c>
      <c r="M1373" s="20" t="s">
        <v>112</v>
      </c>
      <c r="N1373" s="19"/>
      <c r="O1373" s="19" t="str">
        <f t="shared" si="42"/>
        <v>26</v>
      </c>
      <c r="P1373" s="64">
        <f t="shared" si="43"/>
        <v>42577</v>
      </c>
      <c r="Q1373" s="59"/>
      <c r="R1373" s="60"/>
      <c r="S1373" s="61"/>
      <c r="T1373" s="62"/>
      <c r="U1373" s="54"/>
      <c r="V1373" s="50"/>
      <c r="W1373" s="50"/>
    </row>
    <row r="1374" spans="1:23" x14ac:dyDescent="0.25">
      <c r="A1374" s="26">
        <v>42577.608136574076</v>
      </c>
      <c r="B1374" s="51" t="s">
        <v>138</v>
      </c>
      <c r="C1374" s="4" t="s">
        <v>1572</v>
      </c>
      <c r="D1374" s="4" t="s">
        <v>103</v>
      </c>
      <c r="E1374" s="51" t="s">
        <v>129</v>
      </c>
      <c r="F1374" s="3">
        <v>0</v>
      </c>
      <c r="G1374" s="3">
        <v>51</v>
      </c>
      <c r="H1374" s="3">
        <v>58928</v>
      </c>
      <c r="I1374" s="51" t="s">
        <v>130</v>
      </c>
      <c r="J1374" s="3">
        <v>59048</v>
      </c>
      <c r="K1374" s="4" t="s">
        <v>111</v>
      </c>
      <c r="L1374" s="56" t="str">
        <f>VLOOKUP(C1374,'[1]Trips&amp;Operators'!$C$1:$E$9999,3,0)</f>
        <v>BRUDER</v>
      </c>
      <c r="M1374" s="20" t="s">
        <v>112</v>
      </c>
      <c r="N1374" s="19"/>
      <c r="O1374" s="19" t="str">
        <f t="shared" si="42"/>
        <v>26</v>
      </c>
      <c r="P1374" s="64">
        <f t="shared" si="43"/>
        <v>42577</v>
      </c>
      <c r="Q1374" s="59"/>
      <c r="R1374" s="60"/>
      <c r="S1374" s="61"/>
      <c r="T1374" s="62"/>
      <c r="U1374" s="54"/>
      <c r="V1374" s="50"/>
      <c r="W1374" s="50"/>
    </row>
    <row r="1375" spans="1:23" x14ac:dyDescent="0.25">
      <c r="A1375" s="26">
        <v>42577.795138888891</v>
      </c>
      <c r="B1375" s="51" t="s">
        <v>138</v>
      </c>
      <c r="C1375" s="4" t="s">
        <v>1573</v>
      </c>
      <c r="D1375" s="4" t="s">
        <v>103</v>
      </c>
      <c r="E1375" s="51" t="s">
        <v>129</v>
      </c>
      <c r="F1375" s="3">
        <v>0</v>
      </c>
      <c r="G1375" s="3">
        <v>48</v>
      </c>
      <c r="H1375" s="3">
        <v>58903</v>
      </c>
      <c r="I1375" s="51" t="s">
        <v>130</v>
      </c>
      <c r="J1375" s="3">
        <v>59048</v>
      </c>
      <c r="K1375" s="4" t="s">
        <v>111</v>
      </c>
      <c r="L1375" s="56" t="str">
        <f>VLOOKUP(C1375,'[1]Trips&amp;Operators'!$C$1:$E$9999,3,0)</f>
        <v>BRUDER</v>
      </c>
      <c r="M1375" s="20" t="s">
        <v>112</v>
      </c>
      <c r="N1375" s="19"/>
      <c r="O1375" s="19" t="str">
        <f t="shared" si="42"/>
        <v>26</v>
      </c>
      <c r="P1375" s="64">
        <f t="shared" si="43"/>
        <v>42577</v>
      </c>
      <c r="Q1375" s="59"/>
      <c r="R1375" s="60"/>
      <c r="S1375" s="61"/>
      <c r="T1375" s="62"/>
      <c r="U1375" s="54"/>
      <c r="V1375" s="50"/>
      <c r="W1375" s="50"/>
    </row>
    <row r="1376" spans="1:23" x14ac:dyDescent="0.25">
      <c r="A1376" s="26">
        <v>42577.338541666664</v>
      </c>
      <c r="B1376" s="51" t="s">
        <v>114</v>
      </c>
      <c r="C1376" s="4" t="s">
        <v>1553</v>
      </c>
      <c r="D1376" s="4" t="s">
        <v>103</v>
      </c>
      <c r="E1376" s="51" t="s">
        <v>129</v>
      </c>
      <c r="F1376" s="3">
        <v>0</v>
      </c>
      <c r="G1376" s="3">
        <v>66</v>
      </c>
      <c r="H1376" s="3">
        <v>233243</v>
      </c>
      <c r="I1376" s="51" t="s">
        <v>130</v>
      </c>
      <c r="J1376" s="3">
        <v>233491</v>
      </c>
      <c r="K1376" s="4" t="s">
        <v>111</v>
      </c>
      <c r="L1376" s="56" t="str">
        <f>VLOOKUP(C1376,'[1]Trips&amp;Operators'!$C$1:$E$9999,3,0)</f>
        <v>ACKERMAN</v>
      </c>
      <c r="M1376" s="20" t="s">
        <v>112</v>
      </c>
      <c r="N1376" s="19"/>
      <c r="O1376" s="19" t="str">
        <f t="shared" si="42"/>
        <v>26</v>
      </c>
      <c r="P1376" s="64">
        <f t="shared" si="43"/>
        <v>42577</v>
      </c>
      <c r="Q1376" s="59"/>
      <c r="R1376" s="60"/>
      <c r="S1376" s="61"/>
      <c r="T1376" s="62"/>
      <c r="U1376" s="54"/>
      <c r="V1376" s="50"/>
      <c r="W1376" s="50"/>
    </row>
    <row r="1377" spans="1:23" x14ac:dyDescent="0.25">
      <c r="A1377" s="26">
        <v>42577.431458333333</v>
      </c>
      <c r="B1377" s="51" t="s">
        <v>142</v>
      </c>
      <c r="C1377" s="4" t="s">
        <v>248</v>
      </c>
      <c r="D1377" s="4" t="s">
        <v>103</v>
      </c>
      <c r="E1377" s="51" t="s">
        <v>129</v>
      </c>
      <c r="F1377" s="3">
        <v>0</v>
      </c>
      <c r="G1377" s="3">
        <v>52</v>
      </c>
      <c r="H1377" s="3">
        <v>233276</v>
      </c>
      <c r="I1377" s="51" t="s">
        <v>130</v>
      </c>
      <c r="J1377" s="3">
        <v>233491</v>
      </c>
      <c r="K1377" s="4" t="s">
        <v>111</v>
      </c>
      <c r="L1377" s="56" t="str">
        <f>VLOOKUP(C1377,'[1]Trips&amp;Operators'!$C$1:$E$9999,3,0)</f>
        <v>SPECTOR</v>
      </c>
      <c r="M1377" s="20" t="s">
        <v>112</v>
      </c>
      <c r="N1377" s="19"/>
      <c r="O1377" s="19" t="str">
        <f t="shared" si="42"/>
        <v>26</v>
      </c>
      <c r="P1377" s="64">
        <f t="shared" si="43"/>
        <v>42577</v>
      </c>
      <c r="Q1377" s="59"/>
      <c r="R1377" s="60"/>
      <c r="S1377" s="61"/>
      <c r="T1377" s="62"/>
      <c r="U1377" s="54"/>
      <c r="V1377" s="50"/>
      <c r="W1377" s="50"/>
    </row>
    <row r="1378" spans="1:23" x14ac:dyDescent="0.25">
      <c r="A1378" s="26">
        <v>42577.639699074076</v>
      </c>
      <c r="B1378" s="51" t="s">
        <v>135</v>
      </c>
      <c r="C1378" s="4" t="s">
        <v>1554</v>
      </c>
      <c r="D1378" s="4" t="s">
        <v>103</v>
      </c>
      <c r="E1378" s="51" t="s">
        <v>129</v>
      </c>
      <c r="F1378" s="3">
        <v>0</v>
      </c>
      <c r="G1378" s="3">
        <v>78</v>
      </c>
      <c r="H1378" s="3">
        <v>233230</v>
      </c>
      <c r="I1378" s="51" t="s">
        <v>130</v>
      </c>
      <c r="J1378" s="3">
        <v>233491</v>
      </c>
      <c r="K1378" s="4" t="s">
        <v>111</v>
      </c>
      <c r="L1378" s="56" t="str">
        <f>VLOOKUP(C1378,'[1]Trips&amp;Operators'!$C$1:$E$9999,3,0)</f>
        <v>STEWART</v>
      </c>
      <c r="M1378" s="20" t="s">
        <v>112</v>
      </c>
      <c r="N1378" s="19"/>
      <c r="O1378" s="19" t="str">
        <f t="shared" si="42"/>
        <v>26</v>
      </c>
      <c r="P1378" s="64">
        <f t="shared" si="43"/>
        <v>42577</v>
      </c>
      <c r="Q1378" s="59"/>
      <c r="R1378" s="60"/>
      <c r="S1378" s="61"/>
      <c r="T1378" s="62"/>
      <c r="U1378" s="54"/>
      <c r="V1378" s="50"/>
      <c r="W1378" s="50"/>
    </row>
    <row r="1379" spans="1:23" x14ac:dyDescent="0.25">
      <c r="A1379" s="26">
        <v>42577.713252314818</v>
      </c>
      <c r="B1379" s="51" t="s">
        <v>135</v>
      </c>
      <c r="C1379" s="4" t="s">
        <v>1555</v>
      </c>
      <c r="D1379" s="4" t="s">
        <v>103</v>
      </c>
      <c r="E1379" s="51" t="s">
        <v>129</v>
      </c>
      <c r="F1379" s="3">
        <v>0</v>
      </c>
      <c r="G1379" s="3">
        <v>79</v>
      </c>
      <c r="H1379" s="3">
        <v>233174</v>
      </c>
      <c r="I1379" s="51" t="s">
        <v>130</v>
      </c>
      <c r="J1379" s="3">
        <v>233491</v>
      </c>
      <c r="K1379" s="4" t="s">
        <v>111</v>
      </c>
      <c r="L1379" s="56" t="str">
        <f>VLOOKUP(C1379,'[1]Trips&amp;Operators'!$C$1:$E$9999,3,0)</f>
        <v>STEWART</v>
      </c>
      <c r="M1379" s="20" t="s">
        <v>112</v>
      </c>
      <c r="N1379" s="19"/>
      <c r="O1379" s="19" t="str">
        <f t="shared" si="42"/>
        <v>26</v>
      </c>
      <c r="P1379" s="64">
        <f t="shared" si="43"/>
        <v>42577</v>
      </c>
      <c r="Q1379" s="59"/>
      <c r="R1379" s="60"/>
      <c r="S1379" s="61"/>
      <c r="T1379" s="62"/>
      <c r="U1379" s="54"/>
      <c r="V1379" s="50"/>
      <c r="W1379" s="50"/>
    </row>
    <row r="1380" spans="1:23" x14ac:dyDescent="0.25">
      <c r="A1380" s="26">
        <v>42577.899965277778</v>
      </c>
      <c r="B1380" s="4" t="s">
        <v>108</v>
      </c>
      <c r="C1380" s="4" t="s">
        <v>1556</v>
      </c>
      <c r="D1380" s="4" t="s">
        <v>103</v>
      </c>
      <c r="E1380" s="4" t="s">
        <v>129</v>
      </c>
      <c r="F1380" s="3">
        <v>0</v>
      </c>
      <c r="G1380" s="3">
        <v>53</v>
      </c>
      <c r="H1380" s="3">
        <v>233276</v>
      </c>
      <c r="I1380" s="4" t="s">
        <v>130</v>
      </c>
      <c r="J1380" s="3">
        <v>233491</v>
      </c>
      <c r="K1380" s="4" t="s">
        <v>111</v>
      </c>
      <c r="L1380" s="56" t="str">
        <f>VLOOKUP(C1380,'[1]Trips&amp;Operators'!$C$1:$E$9999,3,0)</f>
        <v>LEVERE</v>
      </c>
      <c r="M1380" s="20" t="s">
        <v>112</v>
      </c>
      <c r="N1380" s="19"/>
      <c r="O1380" s="19" t="str">
        <f t="shared" si="42"/>
        <v>26</v>
      </c>
      <c r="P1380" s="64">
        <f t="shared" si="43"/>
        <v>42577</v>
      </c>
      <c r="Q1380" s="59"/>
      <c r="R1380" s="60"/>
      <c r="S1380" s="61"/>
      <c r="T1380" s="62"/>
      <c r="U1380" s="54"/>
      <c r="V1380" s="50"/>
      <c r="W1380" s="50"/>
    </row>
    <row r="1381" spans="1:23" x14ac:dyDescent="0.25">
      <c r="A1381" s="26">
        <v>42577.941053240742</v>
      </c>
      <c r="B1381" s="4" t="s">
        <v>135</v>
      </c>
      <c r="C1381" s="4" t="s">
        <v>1557</v>
      </c>
      <c r="D1381" s="4" t="s">
        <v>103</v>
      </c>
      <c r="E1381" s="4" t="s">
        <v>129</v>
      </c>
      <c r="F1381" s="3">
        <v>0</v>
      </c>
      <c r="G1381" s="3">
        <v>98</v>
      </c>
      <c r="H1381" s="3">
        <v>233069</v>
      </c>
      <c r="I1381" s="4" t="s">
        <v>130</v>
      </c>
      <c r="J1381" s="3">
        <v>233491</v>
      </c>
      <c r="K1381" s="4" t="s">
        <v>111</v>
      </c>
      <c r="L1381" s="56" t="str">
        <f>VLOOKUP(C1381,'[1]Trips&amp;Operators'!$C$1:$E$9999,3,0)</f>
        <v>YANAI</v>
      </c>
      <c r="M1381" s="20" t="s">
        <v>112</v>
      </c>
      <c r="N1381" s="19"/>
      <c r="O1381" s="19" t="str">
        <f t="shared" si="42"/>
        <v>26</v>
      </c>
      <c r="P1381" s="64">
        <f t="shared" si="43"/>
        <v>42577</v>
      </c>
      <c r="Q1381" s="59"/>
      <c r="R1381" s="60"/>
      <c r="S1381" s="61"/>
      <c r="T1381" s="62"/>
      <c r="U1381" s="54"/>
      <c r="V1381" s="50"/>
      <c r="W1381" s="50"/>
    </row>
    <row r="1382" spans="1:23" x14ac:dyDescent="0.25">
      <c r="A1382" s="26">
        <v>42578.342152777775</v>
      </c>
      <c r="B1382" s="51" t="s">
        <v>118</v>
      </c>
      <c r="C1382" s="4" t="s">
        <v>1574</v>
      </c>
      <c r="D1382" s="4" t="s">
        <v>116</v>
      </c>
      <c r="E1382" s="51" t="s">
        <v>109</v>
      </c>
      <c r="F1382" s="3">
        <v>0</v>
      </c>
      <c r="G1382" s="3">
        <v>148</v>
      </c>
      <c r="H1382" s="3">
        <v>33250</v>
      </c>
      <c r="I1382" s="51" t="s">
        <v>110</v>
      </c>
      <c r="J1382" s="3">
        <v>33257</v>
      </c>
      <c r="K1382" s="4" t="s">
        <v>106</v>
      </c>
      <c r="L1382" s="56" t="str">
        <f>VLOOKUP(C1382,'[11]Trips&amp;Operators'!$C$1:$E$9999,3,0)</f>
        <v>ROCHA</v>
      </c>
      <c r="M1382" s="20" t="s">
        <v>112</v>
      </c>
      <c r="N1382" s="19" t="s">
        <v>543</v>
      </c>
      <c r="O1382" s="19" t="str">
        <f t="shared" si="42"/>
        <v>27</v>
      </c>
      <c r="P1382" s="64">
        <f t="shared" si="43"/>
        <v>42578</v>
      </c>
      <c r="Q1382" s="59"/>
      <c r="R1382" s="60"/>
      <c r="S1382" s="61"/>
      <c r="T1382" s="62"/>
      <c r="U1382" s="54"/>
      <c r="V1382" s="50"/>
      <c r="W1382" s="50"/>
    </row>
    <row r="1383" spans="1:23" x14ac:dyDescent="0.25">
      <c r="A1383" s="26">
        <v>42578.623067129629</v>
      </c>
      <c r="B1383" s="51" t="s">
        <v>136</v>
      </c>
      <c r="C1383" s="4" t="s">
        <v>1575</v>
      </c>
      <c r="D1383" s="4" t="s">
        <v>103</v>
      </c>
      <c r="E1383" s="51" t="s">
        <v>109</v>
      </c>
      <c r="F1383" s="3">
        <v>0</v>
      </c>
      <c r="G1383" s="3">
        <v>293</v>
      </c>
      <c r="H1383" s="3">
        <v>33429</v>
      </c>
      <c r="I1383" s="51" t="s">
        <v>110</v>
      </c>
      <c r="J1383" s="3">
        <v>33257</v>
      </c>
      <c r="K1383" s="4" t="s">
        <v>106</v>
      </c>
      <c r="L1383" s="56" t="str">
        <f>VLOOKUP(C1383,'[11]Trips&amp;Operators'!$C$1:$E$9999,3,0)</f>
        <v>ADANE</v>
      </c>
      <c r="M1383" s="20" t="s">
        <v>112</v>
      </c>
      <c r="N1383" s="19" t="s">
        <v>543</v>
      </c>
      <c r="O1383" s="19" t="str">
        <f t="shared" si="42"/>
        <v>27</v>
      </c>
      <c r="P1383" s="64">
        <f t="shared" si="43"/>
        <v>42578</v>
      </c>
      <c r="Q1383" s="59"/>
      <c r="R1383" s="60"/>
      <c r="S1383" s="61"/>
      <c r="T1383" s="62"/>
      <c r="U1383" s="54"/>
      <c r="V1383" s="50"/>
      <c r="W1383" s="50"/>
    </row>
    <row r="1384" spans="1:23" x14ac:dyDescent="0.25">
      <c r="A1384" s="26">
        <v>42578.69699074074</v>
      </c>
      <c r="B1384" s="51" t="s">
        <v>136</v>
      </c>
      <c r="C1384" s="4" t="s">
        <v>213</v>
      </c>
      <c r="D1384" s="4" t="s">
        <v>103</v>
      </c>
      <c r="E1384" s="51" t="s">
        <v>109</v>
      </c>
      <c r="F1384" s="3">
        <v>0</v>
      </c>
      <c r="G1384" s="3">
        <v>190</v>
      </c>
      <c r="H1384" s="3">
        <v>33333</v>
      </c>
      <c r="I1384" s="51" t="s">
        <v>110</v>
      </c>
      <c r="J1384" s="3">
        <v>33257</v>
      </c>
      <c r="K1384" s="4" t="s">
        <v>106</v>
      </c>
      <c r="L1384" s="56" t="str">
        <f>VLOOKUP(C1384,'[11]Trips&amp;Operators'!$C$1:$E$9999,3,0)</f>
        <v>ADANE</v>
      </c>
      <c r="M1384" s="20" t="s">
        <v>112</v>
      </c>
      <c r="N1384" s="19" t="s">
        <v>543</v>
      </c>
      <c r="O1384" s="19" t="str">
        <f t="shared" si="42"/>
        <v>27</v>
      </c>
      <c r="P1384" s="64">
        <f t="shared" si="43"/>
        <v>42578</v>
      </c>
      <c r="Q1384" s="59"/>
      <c r="R1384" s="60"/>
      <c r="S1384" s="61"/>
      <c r="T1384" s="62"/>
      <c r="U1384" s="54"/>
      <c r="V1384" s="50"/>
      <c r="W1384" s="50"/>
    </row>
    <row r="1385" spans="1:23" x14ac:dyDescent="0.25">
      <c r="A1385" s="26">
        <v>42578.892372685186</v>
      </c>
      <c r="B1385" s="4" t="s">
        <v>131</v>
      </c>
      <c r="C1385" s="4" t="s">
        <v>249</v>
      </c>
      <c r="D1385" s="4" t="s">
        <v>103</v>
      </c>
      <c r="E1385" s="4" t="s">
        <v>109</v>
      </c>
      <c r="F1385" s="3">
        <v>0</v>
      </c>
      <c r="G1385" s="3">
        <v>233</v>
      </c>
      <c r="H1385" s="3">
        <v>33319</v>
      </c>
      <c r="I1385" s="4" t="s">
        <v>110</v>
      </c>
      <c r="J1385" s="3">
        <v>33257</v>
      </c>
      <c r="K1385" s="4" t="s">
        <v>106</v>
      </c>
      <c r="L1385" s="56" t="str">
        <f>VLOOKUP(C1385,'[11]Trips&amp;Operators'!$C$1:$E$9999,3,0)</f>
        <v>LEVIN</v>
      </c>
      <c r="M1385" s="20" t="s">
        <v>112</v>
      </c>
      <c r="N1385" s="19" t="s">
        <v>543</v>
      </c>
      <c r="O1385" s="19" t="str">
        <f t="shared" si="42"/>
        <v>27</v>
      </c>
      <c r="P1385" s="64">
        <f t="shared" si="43"/>
        <v>42578</v>
      </c>
      <c r="Q1385" s="59"/>
      <c r="R1385" s="60"/>
      <c r="S1385" s="61"/>
      <c r="T1385" s="62"/>
      <c r="U1385" s="54"/>
      <c r="V1385" s="50"/>
      <c r="W1385" s="50"/>
    </row>
    <row r="1386" spans="1:23" x14ac:dyDescent="0.25">
      <c r="A1386" s="26">
        <v>42578.550636574073</v>
      </c>
      <c r="B1386" s="51" t="s">
        <v>136</v>
      </c>
      <c r="C1386" s="4" t="s">
        <v>361</v>
      </c>
      <c r="D1386" s="4" t="s">
        <v>103</v>
      </c>
      <c r="E1386" s="51" t="s">
        <v>109</v>
      </c>
      <c r="F1386" s="3">
        <v>280</v>
      </c>
      <c r="G1386" s="3">
        <v>358</v>
      </c>
      <c r="H1386" s="3">
        <v>35149</v>
      </c>
      <c r="I1386" s="51" t="s">
        <v>110</v>
      </c>
      <c r="J1386" s="3">
        <v>33257</v>
      </c>
      <c r="K1386" s="4" t="s">
        <v>106</v>
      </c>
      <c r="L1386" s="56" t="str">
        <f>VLOOKUP(C1386,'[11]Trips&amp;Operators'!$C$1:$E$9999,3,0)</f>
        <v>ADANE</v>
      </c>
      <c r="M1386" s="20" t="s">
        <v>112</v>
      </c>
      <c r="N1386" s="19" t="s">
        <v>543</v>
      </c>
      <c r="O1386" s="19" t="str">
        <f t="shared" si="42"/>
        <v>27</v>
      </c>
      <c r="P1386" s="64">
        <f t="shared" si="43"/>
        <v>42578</v>
      </c>
      <c r="Q1386" s="59"/>
      <c r="R1386" s="60"/>
      <c r="S1386" s="61"/>
      <c r="T1386" s="62"/>
      <c r="U1386" s="54"/>
      <c r="V1386" s="50"/>
      <c r="W1386" s="50"/>
    </row>
    <row r="1387" spans="1:23" x14ac:dyDescent="0.25">
      <c r="A1387" s="26">
        <v>42578.497777777775</v>
      </c>
      <c r="B1387" s="51" t="s">
        <v>164</v>
      </c>
      <c r="C1387" s="4" t="s">
        <v>362</v>
      </c>
      <c r="D1387" s="4" t="s">
        <v>103</v>
      </c>
      <c r="E1387" s="51" t="s">
        <v>109</v>
      </c>
      <c r="F1387" s="3">
        <v>300</v>
      </c>
      <c r="G1387" s="3">
        <v>393</v>
      </c>
      <c r="H1387" s="3">
        <v>35425</v>
      </c>
      <c r="I1387" s="51" t="s">
        <v>110</v>
      </c>
      <c r="J1387" s="3">
        <v>33257</v>
      </c>
      <c r="K1387" s="4" t="s">
        <v>106</v>
      </c>
      <c r="L1387" s="56" t="str">
        <f>VLOOKUP(C1387,'[11]Trips&amp;Operators'!$C$1:$E$9999,3,0)</f>
        <v>STARKS</v>
      </c>
      <c r="M1387" s="20" t="s">
        <v>112</v>
      </c>
      <c r="N1387" s="19" t="s">
        <v>543</v>
      </c>
      <c r="O1387" s="19" t="str">
        <f t="shared" si="42"/>
        <v>27</v>
      </c>
      <c r="P1387" s="64">
        <f t="shared" si="43"/>
        <v>42578</v>
      </c>
      <c r="Q1387" s="59"/>
      <c r="R1387" s="60"/>
      <c r="S1387" s="61"/>
      <c r="T1387" s="62"/>
      <c r="U1387" s="54"/>
      <c r="V1387" s="50"/>
      <c r="W1387" s="50"/>
    </row>
    <row r="1388" spans="1:23" x14ac:dyDescent="0.25">
      <c r="A1388" s="26">
        <v>42578.694236111114</v>
      </c>
      <c r="B1388" s="51" t="s">
        <v>136</v>
      </c>
      <c r="C1388" s="4" t="s">
        <v>213</v>
      </c>
      <c r="D1388" s="4" t="s">
        <v>103</v>
      </c>
      <c r="E1388" s="51" t="s">
        <v>109</v>
      </c>
      <c r="F1388" s="3">
        <v>0</v>
      </c>
      <c r="G1388" s="3">
        <v>273</v>
      </c>
      <c r="H1388" s="3">
        <v>49090</v>
      </c>
      <c r="I1388" s="51" t="s">
        <v>110</v>
      </c>
      <c r="J1388" s="3">
        <v>48048</v>
      </c>
      <c r="K1388" s="4" t="s">
        <v>106</v>
      </c>
      <c r="L1388" s="56" t="str">
        <f>VLOOKUP(C1388,'[11]Trips&amp;Operators'!$C$1:$E$9999,3,0)</f>
        <v>ADANE</v>
      </c>
      <c r="M1388" s="20" t="s">
        <v>112</v>
      </c>
      <c r="N1388" s="19" t="s">
        <v>186</v>
      </c>
      <c r="O1388" s="19" t="str">
        <f t="shared" si="42"/>
        <v>27</v>
      </c>
      <c r="P1388" s="64">
        <f t="shared" si="43"/>
        <v>42578</v>
      </c>
      <c r="Q1388" s="59"/>
      <c r="R1388" s="60"/>
      <c r="S1388" s="61"/>
      <c r="T1388" s="62"/>
      <c r="U1388" s="54"/>
      <c r="V1388" s="50"/>
      <c r="W1388" s="50"/>
    </row>
    <row r="1389" spans="1:23" x14ac:dyDescent="0.25">
      <c r="A1389" s="26">
        <v>42578.715428240743</v>
      </c>
      <c r="B1389" s="4" t="s">
        <v>164</v>
      </c>
      <c r="C1389" s="4" t="s">
        <v>1576</v>
      </c>
      <c r="D1389" s="4" t="s">
        <v>103</v>
      </c>
      <c r="E1389" s="4" t="s">
        <v>109</v>
      </c>
      <c r="F1389" s="3">
        <v>0</v>
      </c>
      <c r="G1389" s="3">
        <v>252</v>
      </c>
      <c r="H1389" s="3">
        <v>48997</v>
      </c>
      <c r="I1389" s="4" t="s">
        <v>110</v>
      </c>
      <c r="J1389" s="3">
        <v>48048</v>
      </c>
      <c r="K1389" s="4" t="s">
        <v>106</v>
      </c>
      <c r="L1389" s="56" t="str">
        <f>VLOOKUP(C1389,'[11]Trips&amp;Operators'!$C$1:$E$9999,3,0)</f>
        <v>BRUDER</v>
      </c>
      <c r="M1389" s="20" t="s">
        <v>112</v>
      </c>
      <c r="N1389" s="19" t="s">
        <v>186</v>
      </c>
      <c r="O1389" s="19" t="str">
        <f t="shared" si="42"/>
        <v>27</v>
      </c>
      <c r="P1389" s="64">
        <f t="shared" si="43"/>
        <v>42578</v>
      </c>
      <c r="Q1389" s="59"/>
      <c r="R1389" s="60"/>
      <c r="S1389" s="61"/>
      <c r="T1389" s="62"/>
      <c r="U1389" s="54"/>
      <c r="V1389" s="50"/>
      <c r="W1389" s="50"/>
    </row>
    <row r="1390" spans="1:23" x14ac:dyDescent="0.25">
      <c r="A1390" s="26">
        <v>42578.652962962966</v>
      </c>
      <c r="B1390" s="51" t="s">
        <v>102</v>
      </c>
      <c r="C1390" s="4" t="s">
        <v>212</v>
      </c>
      <c r="D1390" s="4" t="s">
        <v>116</v>
      </c>
      <c r="E1390" s="51" t="s">
        <v>109</v>
      </c>
      <c r="F1390" s="3">
        <v>0</v>
      </c>
      <c r="G1390" s="3">
        <v>346</v>
      </c>
      <c r="H1390" s="3">
        <v>58287</v>
      </c>
      <c r="I1390" s="51" t="s">
        <v>110</v>
      </c>
      <c r="J1390" s="3">
        <v>58301</v>
      </c>
      <c r="K1390" s="4" t="s">
        <v>106</v>
      </c>
      <c r="L1390" s="56" t="str">
        <f>VLOOKUP(C1390,'[11]Trips&amp;Operators'!$C$1:$E$9999,3,0)</f>
        <v>WEBSTER</v>
      </c>
      <c r="M1390" s="20" t="s">
        <v>112</v>
      </c>
      <c r="N1390" s="19" t="s">
        <v>186</v>
      </c>
      <c r="O1390" s="19" t="str">
        <f t="shared" si="42"/>
        <v>27</v>
      </c>
      <c r="P1390" s="64">
        <f t="shared" si="43"/>
        <v>42578</v>
      </c>
      <c r="Q1390" s="59"/>
      <c r="R1390" s="60"/>
      <c r="S1390" s="61"/>
      <c r="T1390" s="62"/>
      <c r="U1390" s="54"/>
      <c r="V1390" s="50"/>
      <c r="W1390" s="50"/>
    </row>
    <row r="1391" spans="1:23" x14ac:dyDescent="0.25">
      <c r="A1391" s="26">
        <v>42578.911597222221</v>
      </c>
      <c r="B1391" s="51" t="s">
        <v>132</v>
      </c>
      <c r="C1391" s="4" t="s">
        <v>1578</v>
      </c>
      <c r="D1391" s="4" t="s">
        <v>116</v>
      </c>
      <c r="E1391" s="51" t="s">
        <v>109</v>
      </c>
      <c r="F1391" s="3">
        <v>0</v>
      </c>
      <c r="G1391" s="3">
        <v>75</v>
      </c>
      <c r="H1391" s="3">
        <v>63299</v>
      </c>
      <c r="I1391" s="51" t="s">
        <v>110</v>
      </c>
      <c r="J1391" s="3">
        <v>63309</v>
      </c>
      <c r="K1391" s="4" t="s">
        <v>106</v>
      </c>
      <c r="L1391" s="56" t="str">
        <f>VLOOKUP(C1391,'[11]Trips&amp;Operators'!$C$1:$E$9999,3,0)</f>
        <v>COOLAHAN</v>
      </c>
      <c r="M1391" s="20" t="s">
        <v>112</v>
      </c>
      <c r="N1391" s="19" t="s">
        <v>543</v>
      </c>
      <c r="O1391" s="19" t="str">
        <f t="shared" si="42"/>
        <v>27</v>
      </c>
      <c r="P1391" s="64">
        <f t="shared" si="43"/>
        <v>42578</v>
      </c>
      <c r="Q1391" s="59"/>
      <c r="R1391" s="60"/>
      <c r="S1391" s="61"/>
      <c r="T1391" s="62"/>
      <c r="U1391" s="54"/>
      <c r="V1391" s="50"/>
      <c r="W1391" s="50"/>
    </row>
    <row r="1392" spans="1:23" x14ac:dyDescent="0.25">
      <c r="A1392" s="26">
        <v>42578.817777777775</v>
      </c>
      <c r="B1392" s="51" t="s">
        <v>131</v>
      </c>
      <c r="C1392" s="4" t="s">
        <v>1577</v>
      </c>
      <c r="D1392" s="4" t="s">
        <v>103</v>
      </c>
      <c r="E1392" s="51" t="s">
        <v>109</v>
      </c>
      <c r="F1392" s="3">
        <v>100</v>
      </c>
      <c r="G1392" s="3">
        <v>156</v>
      </c>
      <c r="H1392" s="3">
        <v>63832</v>
      </c>
      <c r="I1392" s="51" t="s">
        <v>110</v>
      </c>
      <c r="J1392" s="3">
        <v>63309</v>
      </c>
      <c r="K1392" s="4" t="s">
        <v>106</v>
      </c>
      <c r="L1392" s="56" t="str">
        <f>VLOOKUP(C1392,'[11]Trips&amp;Operators'!$C$1:$E$9999,3,0)</f>
        <v>LEVIN</v>
      </c>
      <c r="M1392" s="20" t="s">
        <v>112</v>
      </c>
      <c r="N1392" s="19" t="s">
        <v>543</v>
      </c>
      <c r="O1392" s="19" t="str">
        <f t="shared" si="42"/>
        <v>27</v>
      </c>
      <c r="P1392" s="64">
        <f t="shared" si="43"/>
        <v>42578</v>
      </c>
      <c r="Q1392" s="59"/>
      <c r="R1392" s="60"/>
      <c r="S1392" s="61"/>
      <c r="T1392" s="62"/>
      <c r="U1392" s="54"/>
      <c r="V1392" s="50"/>
      <c r="W1392" s="50"/>
    </row>
    <row r="1393" spans="1:23" x14ac:dyDescent="0.25">
      <c r="A1393" s="26">
        <v>42578.614606481482</v>
      </c>
      <c r="B1393" s="51" t="s">
        <v>136</v>
      </c>
      <c r="C1393" s="4" t="s">
        <v>1575</v>
      </c>
      <c r="D1393" s="4" t="s">
        <v>103</v>
      </c>
      <c r="E1393" s="51" t="s">
        <v>109</v>
      </c>
      <c r="F1393" s="3">
        <v>560</v>
      </c>
      <c r="G1393" s="3">
        <v>622</v>
      </c>
      <c r="H1393" s="3">
        <v>104305</v>
      </c>
      <c r="I1393" s="51" t="s">
        <v>110</v>
      </c>
      <c r="J1393" s="3">
        <v>103800</v>
      </c>
      <c r="K1393" s="4" t="s">
        <v>106</v>
      </c>
      <c r="L1393" s="56" t="str">
        <f>VLOOKUP(C1393,'[11]Trips&amp;Operators'!$C$1:$E$9999,3,0)</f>
        <v>ADANE</v>
      </c>
      <c r="M1393" s="20" t="s">
        <v>112</v>
      </c>
      <c r="N1393" s="19" t="s">
        <v>543</v>
      </c>
      <c r="O1393" s="19" t="str">
        <f t="shared" si="42"/>
        <v>27</v>
      </c>
      <c r="P1393" s="64">
        <f t="shared" si="43"/>
        <v>42578</v>
      </c>
      <c r="Q1393" s="59"/>
      <c r="R1393" s="60"/>
      <c r="S1393" s="61"/>
      <c r="T1393" s="62"/>
      <c r="U1393" s="54"/>
      <c r="V1393" s="50"/>
      <c r="W1393" s="50"/>
    </row>
    <row r="1394" spans="1:23" x14ac:dyDescent="0.25">
      <c r="A1394" s="26">
        <v>42578.595520833333</v>
      </c>
      <c r="B1394" s="51" t="s">
        <v>114</v>
      </c>
      <c r="C1394" s="4" t="s">
        <v>359</v>
      </c>
      <c r="D1394" s="4" t="s">
        <v>116</v>
      </c>
      <c r="E1394" s="51" t="s">
        <v>115</v>
      </c>
      <c r="F1394" s="3">
        <v>150</v>
      </c>
      <c r="G1394" s="3">
        <v>200</v>
      </c>
      <c r="H1394" s="3">
        <v>4729</v>
      </c>
      <c r="I1394" s="51" t="s">
        <v>105</v>
      </c>
      <c r="J1394" s="3">
        <v>0</v>
      </c>
      <c r="K1394" s="4" t="s">
        <v>111</v>
      </c>
      <c r="L1394" s="56" t="str">
        <f>VLOOKUP(C1394,'[11]Trips&amp;Operators'!$C$1:$E$9999,3,0)</f>
        <v>WEBSTER</v>
      </c>
      <c r="M1394" s="20" t="s">
        <v>112</v>
      </c>
      <c r="N1394" s="19"/>
      <c r="O1394" s="19" t="str">
        <f t="shared" si="42"/>
        <v>27</v>
      </c>
      <c r="P1394" s="64">
        <f t="shared" si="43"/>
        <v>42578</v>
      </c>
      <c r="Q1394" s="59"/>
      <c r="R1394" s="60"/>
      <c r="S1394" s="61"/>
      <c r="T1394" s="62"/>
      <c r="U1394" s="54"/>
      <c r="V1394" s="50"/>
      <c r="W1394" s="50"/>
    </row>
    <row r="1395" spans="1:23" x14ac:dyDescent="0.25">
      <c r="A1395" s="26">
        <v>42578.755671296298</v>
      </c>
      <c r="B1395" s="51" t="s">
        <v>163</v>
      </c>
      <c r="C1395" s="4" t="s">
        <v>1579</v>
      </c>
      <c r="D1395" s="4" t="s">
        <v>116</v>
      </c>
      <c r="E1395" s="51" t="s">
        <v>115</v>
      </c>
      <c r="F1395" s="3">
        <v>300</v>
      </c>
      <c r="G1395" s="3">
        <v>359</v>
      </c>
      <c r="H1395" s="3">
        <v>20375</v>
      </c>
      <c r="I1395" s="51" t="s">
        <v>105</v>
      </c>
      <c r="J1395" s="3">
        <v>20338</v>
      </c>
      <c r="K1395" s="4" t="s">
        <v>111</v>
      </c>
      <c r="L1395" s="56" t="str">
        <f>VLOOKUP(C1395,'[11]Trips&amp;Operators'!$C$1:$E$9999,3,0)</f>
        <v>WEBSTER</v>
      </c>
      <c r="M1395" s="20" t="s">
        <v>112</v>
      </c>
      <c r="N1395" s="19"/>
      <c r="O1395" s="19" t="str">
        <f t="shared" si="42"/>
        <v>27</v>
      </c>
      <c r="P1395" s="64">
        <f t="shared" si="43"/>
        <v>42578</v>
      </c>
      <c r="Q1395" s="59"/>
      <c r="R1395" s="60"/>
      <c r="S1395" s="61"/>
      <c r="T1395" s="62"/>
      <c r="U1395" s="54"/>
      <c r="V1395" s="50"/>
      <c r="W1395" s="50"/>
    </row>
    <row r="1396" spans="1:23" x14ac:dyDescent="0.25">
      <c r="A1396" s="26">
        <v>42578.602013888885</v>
      </c>
      <c r="B1396" s="51" t="s">
        <v>126</v>
      </c>
      <c r="C1396" s="4" t="s">
        <v>1597</v>
      </c>
      <c r="D1396" s="4" t="s">
        <v>103</v>
      </c>
      <c r="E1396" s="51" t="s">
        <v>115</v>
      </c>
      <c r="F1396" s="3">
        <v>300</v>
      </c>
      <c r="G1396" s="3">
        <v>408</v>
      </c>
      <c r="H1396" s="3">
        <v>19333</v>
      </c>
      <c r="I1396" s="51" t="s">
        <v>105</v>
      </c>
      <c r="J1396" s="3">
        <v>21314</v>
      </c>
      <c r="K1396" s="4" t="s">
        <v>111</v>
      </c>
      <c r="L1396" s="56" t="str">
        <f>VLOOKUP(C1396,'[11]Trips&amp;Operators'!$C$1:$E$9999,3,0)</f>
        <v>MOSES</v>
      </c>
      <c r="M1396" s="20" t="s">
        <v>112</v>
      </c>
      <c r="N1396" s="19"/>
      <c r="O1396" s="19" t="str">
        <f t="shared" si="42"/>
        <v>27</v>
      </c>
      <c r="P1396" s="64">
        <f t="shared" si="43"/>
        <v>42578</v>
      </c>
      <c r="Q1396" s="59"/>
      <c r="R1396" s="60"/>
      <c r="S1396" s="61"/>
      <c r="T1396" s="62"/>
      <c r="U1396" s="54"/>
      <c r="V1396" s="50"/>
      <c r="W1396" s="50"/>
    </row>
    <row r="1397" spans="1:23" x14ac:dyDescent="0.25">
      <c r="A1397" s="26">
        <v>42578.665011574078</v>
      </c>
      <c r="B1397" s="51" t="s">
        <v>108</v>
      </c>
      <c r="C1397" s="4" t="s">
        <v>1598</v>
      </c>
      <c r="D1397" s="4" t="s">
        <v>103</v>
      </c>
      <c r="E1397" s="51" t="s">
        <v>115</v>
      </c>
      <c r="F1397" s="3">
        <v>300</v>
      </c>
      <c r="G1397" s="3">
        <v>364</v>
      </c>
      <c r="H1397" s="3">
        <v>19803</v>
      </c>
      <c r="I1397" s="51" t="s">
        <v>105</v>
      </c>
      <c r="J1397" s="3">
        <v>21314</v>
      </c>
      <c r="K1397" s="4" t="s">
        <v>111</v>
      </c>
      <c r="L1397" s="56" t="str">
        <f>VLOOKUP(C1397,'[11]Trips&amp;Operators'!$C$1:$E$9999,3,0)</f>
        <v>HAITHCOX</v>
      </c>
      <c r="M1397" s="20" t="s">
        <v>112</v>
      </c>
      <c r="N1397" s="19"/>
      <c r="O1397" s="19" t="str">
        <f t="shared" si="42"/>
        <v>27</v>
      </c>
      <c r="P1397" s="64">
        <f t="shared" si="43"/>
        <v>42578</v>
      </c>
      <c r="Q1397" s="59"/>
      <c r="R1397" s="60"/>
      <c r="S1397" s="61"/>
      <c r="T1397" s="62"/>
      <c r="U1397" s="54"/>
      <c r="V1397" s="50"/>
      <c r="W1397" s="50"/>
    </row>
    <row r="1398" spans="1:23" x14ac:dyDescent="0.25">
      <c r="A1398" s="26">
        <v>42578.720868055556</v>
      </c>
      <c r="B1398" s="51" t="s">
        <v>134</v>
      </c>
      <c r="C1398" s="4" t="s">
        <v>1599</v>
      </c>
      <c r="D1398" s="4" t="s">
        <v>116</v>
      </c>
      <c r="E1398" s="51" t="s">
        <v>115</v>
      </c>
      <c r="F1398" s="3">
        <v>600</v>
      </c>
      <c r="G1398" s="3">
        <v>651</v>
      </c>
      <c r="H1398" s="3">
        <v>30648</v>
      </c>
      <c r="I1398" s="51" t="s">
        <v>105</v>
      </c>
      <c r="J1398" s="3">
        <v>37577</v>
      </c>
      <c r="K1398" s="4" t="s">
        <v>106</v>
      </c>
      <c r="L1398" s="56" t="str">
        <f>VLOOKUP(C1398,'[11]Trips&amp;Operators'!$C$1:$E$9999,3,0)</f>
        <v>HAITHCOX</v>
      </c>
      <c r="M1398" s="20" t="s">
        <v>112</v>
      </c>
      <c r="N1398" s="19"/>
      <c r="O1398" s="19" t="str">
        <f t="shared" si="42"/>
        <v>27</v>
      </c>
      <c r="P1398" s="64">
        <f t="shared" si="43"/>
        <v>42578</v>
      </c>
      <c r="Q1398" s="59"/>
      <c r="R1398" s="60"/>
      <c r="S1398" s="61"/>
      <c r="T1398" s="62"/>
      <c r="U1398" s="54"/>
      <c r="V1398" s="50"/>
      <c r="W1398" s="50"/>
    </row>
    <row r="1399" spans="1:23" x14ac:dyDescent="0.25">
      <c r="A1399" s="26">
        <v>42578.397256944445</v>
      </c>
      <c r="B1399" s="51" t="s">
        <v>126</v>
      </c>
      <c r="C1399" s="4" t="s">
        <v>1600</v>
      </c>
      <c r="D1399" s="4" t="s">
        <v>103</v>
      </c>
      <c r="E1399" s="51" t="s">
        <v>115</v>
      </c>
      <c r="F1399" s="3">
        <v>400</v>
      </c>
      <c r="G1399" s="3">
        <v>474</v>
      </c>
      <c r="H1399" s="3">
        <v>45621</v>
      </c>
      <c r="I1399" s="51" t="s">
        <v>105</v>
      </c>
      <c r="J1399" s="3">
        <v>47808</v>
      </c>
      <c r="K1399" s="4" t="s">
        <v>111</v>
      </c>
      <c r="L1399" s="56" t="str">
        <f>VLOOKUP(C1399,'[11]Trips&amp;Operators'!$C$1:$E$9999,3,0)</f>
        <v>GEBRETEKLE</v>
      </c>
      <c r="M1399" s="20" t="s">
        <v>112</v>
      </c>
      <c r="N1399" s="19"/>
      <c r="O1399" s="19" t="str">
        <f t="shared" si="42"/>
        <v>27</v>
      </c>
      <c r="P1399" s="64">
        <f t="shared" si="43"/>
        <v>42578</v>
      </c>
      <c r="Q1399" s="59"/>
      <c r="R1399" s="60"/>
      <c r="S1399" s="61"/>
      <c r="T1399" s="62"/>
      <c r="U1399" s="54"/>
      <c r="V1399" s="50"/>
      <c r="W1399" s="50"/>
    </row>
    <row r="1400" spans="1:23" x14ac:dyDescent="0.25">
      <c r="A1400" s="26">
        <v>42578.274328703701</v>
      </c>
      <c r="B1400" s="51" t="s">
        <v>126</v>
      </c>
      <c r="C1400" s="4" t="s">
        <v>1601</v>
      </c>
      <c r="D1400" s="4" t="s">
        <v>103</v>
      </c>
      <c r="E1400" s="51" t="s">
        <v>115</v>
      </c>
      <c r="F1400" s="3">
        <v>150</v>
      </c>
      <c r="G1400" s="3">
        <v>430</v>
      </c>
      <c r="H1400" s="3">
        <v>54588</v>
      </c>
      <c r="I1400" s="51" t="s">
        <v>105</v>
      </c>
      <c r="J1400" s="3">
        <v>57008</v>
      </c>
      <c r="K1400" s="4" t="s">
        <v>111</v>
      </c>
      <c r="L1400" s="56" t="str">
        <f>VLOOKUP(C1400,'[11]Trips&amp;Operators'!$C$1:$E$9999,3,0)</f>
        <v>GEBRETEKLE</v>
      </c>
      <c r="M1400" s="20" t="s">
        <v>112</v>
      </c>
      <c r="N1400" s="19"/>
      <c r="O1400" s="19" t="str">
        <f t="shared" si="42"/>
        <v>27</v>
      </c>
      <c r="P1400" s="64">
        <f t="shared" si="43"/>
        <v>42578</v>
      </c>
      <c r="Q1400" s="59"/>
      <c r="R1400" s="60"/>
      <c r="S1400" s="61"/>
      <c r="T1400" s="62"/>
      <c r="U1400" s="54"/>
      <c r="V1400" s="50"/>
      <c r="W1400" s="50"/>
    </row>
    <row r="1401" spans="1:23" x14ac:dyDescent="0.25">
      <c r="A1401" s="26">
        <v>42578.335613425923</v>
      </c>
      <c r="B1401" s="51" t="s">
        <v>108</v>
      </c>
      <c r="C1401" s="4" t="s">
        <v>1602</v>
      </c>
      <c r="D1401" s="4" t="s">
        <v>103</v>
      </c>
      <c r="E1401" s="51" t="s">
        <v>115</v>
      </c>
      <c r="F1401" s="3">
        <v>150</v>
      </c>
      <c r="G1401" s="3">
        <v>295</v>
      </c>
      <c r="H1401" s="3">
        <v>56331</v>
      </c>
      <c r="I1401" s="51" t="s">
        <v>105</v>
      </c>
      <c r="J1401" s="3">
        <v>57008</v>
      </c>
      <c r="K1401" s="4" t="s">
        <v>111</v>
      </c>
      <c r="L1401" s="56" t="str">
        <f>VLOOKUP(C1401,'[11]Trips&amp;Operators'!$C$1:$E$9999,3,0)</f>
        <v>STARKS</v>
      </c>
      <c r="M1401" s="20" t="s">
        <v>112</v>
      </c>
      <c r="N1401" s="19"/>
      <c r="O1401" s="19" t="str">
        <f t="shared" si="42"/>
        <v>27</v>
      </c>
      <c r="P1401" s="64">
        <f t="shared" si="43"/>
        <v>42578</v>
      </c>
      <c r="Q1401" s="59"/>
      <c r="R1401" s="60"/>
      <c r="S1401" s="61"/>
      <c r="T1401" s="62"/>
      <c r="U1401" s="54"/>
      <c r="V1401" s="50"/>
      <c r="W1401" s="50"/>
    </row>
    <row r="1402" spans="1:23" x14ac:dyDescent="0.25">
      <c r="A1402" s="26">
        <v>42578.939988425926</v>
      </c>
      <c r="B1402" s="51" t="s">
        <v>126</v>
      </c>
      <c r="C1402" s="4" t="s">
        <v>1603</v>
      </c>
      <c r="D1402" s="4" t="s">
        <v>103</v>
      </c>
      <c r="E1402" s="51" t="s">
        <v>115</v>
      </c>
      <c r="F1402" s="3">
        <v>150</v>
      </c>
      <c r="G1402" s="3">
        <v>311</v>
      </c>
      <c r="H1402" s="3">
        <v>56111</v>
      </c>
      <c r="I1402" s="51" t="s">
        <v>105</v>
      </c>
      <c r="J1402" s="3">
        <v>57008</v>
      </c>
      <c r="K1402" s="4" t="s">
        <v>111</v>
      </c>
      <c r="L1402" s="56" t="str">
        <f>VLOOKUP(C1402,'[11]Trips&amp;Operators'!$C$1:$E$9999,3,0)</f>
        <v>HAITHCOX</v>
      </c>
      <c r="M1402" s="20" t="s">
        <v>112</v>
      </c>
      <c r="N1402" s="19"/>
      <c r="O1402" s="19" t="str">
        <f t="shared" si="42"/>
        <v>27</v>
      </c>
      <c r="P1402" s="64">
        <f t="shared" si="43"/>
        <v>42578</v>
      </c>
      <c r="Q1402" s="59"/>
      <c r="R1402" s="60"/>
      <c r="S1402" s="61"/>
      <c r="T1402" s="62"/>
      <c r="U1402" s="54"/>
      <c r="V1402" s="50"/>
      <c r="W1402" s="50"/>
    </row>
    <row r="1403" spans="1:23" x14ac:dyDescent="0.25">
      <c r="A1403" s="26">
        <v>42578.220520833333</v>
      </c>
      <c r="B1403" s="51" t="s">
        <v>134</v>
      </c>
      <c r="C1403" s="4" t="s">
        <v>1604</v>
      </c>
      <c r="D1403" s="4" t="s">
        <v>116</v>
      </c>
      <c r="E1403" s="51" t="s">
        <v>115</v>
      </c>
      <c r="F1403" s="3">
        <v>150</v>
      </c>
      <c r="G1403" s="3">
        <v>209</v>
      </c>
      <c r="H1403" s="3">
        <v>56900</v>
      </c>
      <c r="I1403" s="51" t="s">
        <v>105</v>
      </c>
      <c r="J1403" s="3">
        <v>59050</v>
      </c>
      <c r="K1403" s="4" t="s">
        <v>106</v>
      </c>
      <c r="L1403" s="56" t="str">
        <f>VLOOKUP(C1403,'[11]Trips&amp;Operators'!$C$1:$E$9999,3,0)</f>
        <v>STARKS</v>
      </c>
      <c r="M1403" s="20" t="s">
        <v>112</v>
      </c>
      <c r="N1403" s="19"/>
      <c r="O1403" s="19" t="str">
        <f t="shared" si="42"/>
        <v>27</v>
      </c>
      <c r="P1403" s="64">
        <f t="shared" si="43"/>
        <v>42578</v>
      </c>
      <c r="Q1403" s="59"/>
      <c r="R1403" s="60"/>
      <c r="S1403" s="61"/>
      <c r="T1403" s="62"/>
      <c r="U1403" s="54"/>
      <c r="V1403" s="50"/>
      <c r="W1403" s="50"/>
    </row>
    <row r="1404" spans="1:23" x14ac:dyDescent="0.25">
      <c r="A1404" s="26">
        <v>42578.732905092591</v>
      </c>
      <c r="B1404" s="51" t="s">
        <v>131</v>
      </c>
      <c r="C1404" s="4" t="s">
        <v>1580</v>
      </c>
      <c r="D1404" s="4" t="s">
        <v>116</v>
      </c>
      <c r="E1404" s="51" t="s">
        <v>115</v>
      </c>
      <c r="F1404" s="3">
        <v>700</v>
      </c>
      <c r="G1404" s="3">
        <v>752</v>
      </c>
      <c r="H1404" s="3">
        <v>179756</v>
      </c>
      <c r="I1404" s="51" t="s">
        <v>105</v>
      </c>
      <c r="J1404" s="3">
        <v>183829</v>
      </c>
      <c r="K1404" s="4" t="s">
        <v>106</v>
      </c>
      <c r="L1404" s="56" t="str">
        <f>VLOOKUP(C1404,'[11]Trips&amp;Operators'!$C$1:$E$9999,3,0)</f>
        <v>BARTLETT</v>
      </c>
      <c r="M1404" s="20" t="s">
        <v>112</v>
      </c>
      <c r="N1404" s="19"/>
      <c r="O1404" s="19" t="str">
        <f t="shared" si="42"/>
        <v>27</v>
      </c>
      <c r="P1404" s="64">
        <f t="shared" si="43"/>
        <v>42578</v>
      </c>
      <c r="Q1404" s="59"/>
      <c r="R1404" s="60"/>
      <c r="S1404" s="61"/>
      <c r="T1404" s="62"/>
      <c r="U1404" s="54"/>
      <c r="V1404" s="50"/>
      <c r="W1404" s="50"/>
    </row>
    <row r="1405" spans="1:23" x14ac:dyDescent="0.25">
      <c r="A1405" s="26">
        <v>42578.752974537034</v>
      </c>
      <c r="B1405" s="4" t="s">
        <v>136</v>
      </c>
      <c r="C1405" s="4" t="s">
        <v>1581</v>
      </c>
      <c r="D1405" s="4" t="s">
        <v>116</v>
      </c>
      <c r="E1405" s="4" t="s">
        <v>115</v>
      </c>
      <c r="F1405" s="3">
        <v>600</v>
      </c>
      <c r="G1405" s="3">
        <v>651</v>
      </c>
      <c r="H1405" s="3">
        <v>184320</v>
      </c>
      <c r="I1405" s="4" t="s">
        <v>105</v>
      </c>
      <c r="J1405" s="3">
        <v>190834</v>
      </c>
      <c r="K1405" s="4" t="s">
        <v>106</v>
      </c>
      <c r="L1405" s="56" t="str">
        <f>VLOOKUP(C1405,'[11]Trips&amp;Operators'!$C$1:$E$9999,3,0)</f>
        <v>ADANE</v>
      </c>
      <c r="M1405" s="20" t="s">
        <v>112</v>
      </c>
      <c r="N1405" s="19"/>
      <c r="O1405" s="19" t="str">
        <f t="shared" si="42"/>
        <v>27</v>
      </c>
      <c r="P1405" s="64">
        <f t="shared" si="43"/>
        <v>42578</v>
      </c>
      <c r="Q1405" s="59"/>
      <c r="R1405" s="60"/>
      <c r="S1405" s="61"/>
      <c r="T1405" s="62"/>
      <c r="U1405" s="54"/>
      <c r="V1405" s="50"/>
      <c r="W1405" s="50"/>
    </row>
    <row r="1406" spans="1:23" x14ac:dyDescent="0.25">
      <c r="A1406" s="26">
        <v>42578.818194444444</v>
      </c>
      <c r="B1406" s="51" t="s">
        <v>132</v>
      </c>
      <c r="C1406" s="4" t="s">
        <v>360</v>
      </c>
      <c r="D1406" s="4" t="s">
        <v>116</v>
      </c>
      <c r="E1406" s="51" t="s">
        <v>115</v>
      </c>
      <c r="F1406" s="3">
        <v>600</v>
      </c>
      <c r="G1406" s="3">
        <v>651</v>
      </c>
      <c r="H1406" s="3">
        <v>184413</v>
      </c>
      <c r="I1406" s="51" t="s">
        <v>105</v>
      </c>
      <c r="J1406" s="3">
        <v>190834</v>
      </c>
      <c r="K1406" s="4" t="s">
        <v>106</v>
      </c>
      <c r="L1406" s="56" t="str">
        <f>VLOOKUP(C1406,'[11]Trips&amp;Operators'!$C$1:$E$9999,3,0)</f>
        <v>COOLAHAN</v>
      </c>
      <c r="M1406" s="20" t="s">
        <v>112</v>
      </c>
      <c r="N1406" s="19"/>
      <c r="O1406" s="19" t="str">
        <f t="shared" si="42"/>
        <v>27</v>
      </c>
      <c r="P1406" s="64">
        <f t="shared" si="43"/>
        <v>42578</v>
      </c>
      <c r="Q1406" s="59"/>
      <c r="R1406" s="60"/>
      <c r="S1406" s="61"/>
      <c r="T1406" s="62"/>
      <c r="U1406" s="54"/>
      <c r="V1406" s="50"/>
      <c r="W1406" s="50"/>
    </row>
    <row r="1407" spans="1:23" x14ac:dyDescent="0.25">
      <c r="A1407" s="26">
        <v>42578.547407407408</v>
      </c>
      <c r="B1407" s="51" t="s">
        <v>114</v>
      </c>
      <c r="C1407" s="4" t="s">
        <v>1582</v>
      </c>
      <c r="D1407" s="4" t="s">
        <v>103</v>
      </c>
      <c r="E1407" s="51" t="s">
        <v>115</v>
      </c>
      <c r="F1407" s="3">
        <v>350</v>
      </c>
      <c r="G1407" s="3">
        <v>486</v>
      </c>
      <c r="H1407" s="3">
        <v>223065</v>
      </c>
      <c r="I1407" s="51" t="s">
        <v>105</v>
      </c>
      <c r="J1407" s="3">
        <v>224578</v>
      </c>
      <c r="K1407" s="4" t="s">
        <v>111</v>
      </c>
      <c r="L1407" s="56" t="str">
        <f>VLOOKUP(C1407,'[11]Trips&amp;Operators'!$C$1:$E$9999,3,0)</f>
        <v>WEBSTER</v>
      </c>
      <c r="M1407" s="20" t="s">
        <v>112</v>
      </c>
      <c r="N1407" s="19"/>
      <c r="O1407" s="19" t="str">
        <f t="shared" si="42"/>
        <v>27</v>
      </c>
      <c r="P1407" s="64">
        <f t="shared" si="43"/>
        <v>42578</v>
      </c>
      <c r="Q1407" s="59"/>
      <c r="R1407" s="60"/>
      <c r="S1407" s="61"/>
      <c r="T1407" s="62"/>
      <c r="U1407" s="54"/>
      <c r="V1407" s="50"/>
      <c r="W1407" s="50"/>
    </row>
    <row r="1408" spans="1:23" x14ac:dyDescent="0.25">
      <c r="A1408" s="26">
        <v>42578.634351851855</v>
      </c>
      <c r="B1408" s="51" t="s">
        <v>102</v>
      </c>
      <c r="C1408" s="4" t="s">
        <v>212</v>
      </c>
      <c r="D1408" s="4" t="s">
        <v>103</v>
      </c>
      <c r="E1408" s="51" t="s">
        <v>115</v>
      </c>
      <c r="F1408" s="3">
        <v>150</v>
      </c>
      <c r="G1408" s="3">
        <v>204</v>
      </c>
      <c r="H1408" s="3">
        <v>229527</v>
      </c>
      <c r="I1408" s="51" t="s">
        <v>105</v>
      </c>
      <c r="J1408" s="3">
        <v>229055</v>
      </c>
      <c r="K1408" s="4" t="s">
        <v>106</v>
      </c>
      <c r="L1408" s="56" t="str">
        <f>VLOOKUP(C1408,'[11]Trips&amp;Operators'!$C$1:$E$9999,3,0)</f>
        <v>WEBSTER</v>
      </c>
      <c r="M1408" s="20" t="s">
        <v>112</v>
      </c>
      <c r="N1408" s="19"/>
      <c r="O1408" s="19" t="str">
        <f t="shared" si="42"/>
        <v>27</v>
      </c>
      <c r="P1408" s="64">
        <f t="shared" si="43"/>
        <v>42578</v>
      </c>
      <c r="Q1408" s="59"/>
      <c r="R1408" s="60"/>
      <c r="S1408" s="61"/>
      <c r="T1408" s="62"/>
      <c r="U1408" s="54"/>
      <c r="V1408" s="50"/>
      <c r="W1408" s="50"/>
    </row>
    <row r="1409" spans="1:23" x14ac:dyDescent="0.25">
      <c r="A1409" s="26">
        <v>42578.327488425923</v>
      </c>
      <c r="B1409" s="51" t="s">
        <v>114</v>
      </c>
      <c r="C1409" s="4" t="s">
        <v>567</v>
      </c>
      <c r="D1409" s="4" t="s">
        <v>103</v>
      </c>
      <c r="E1409" s="51" t="s">
        <v>115</v>
      </c>
      <c r="F1409" s="3">
        <v>150</v>
      </c>
      <c r="G1409" s="3">
        <v>314</v>
      </c>
      <c r="H1409" s="3">
        <v>228405</v>
      </c>
      <c r="I1409" s="51" t="s">
        <v>105</v>
      </c>
      <c r="J1409" s="3">
        <v>230436</v>
      </c>
      <c r="K1409" s="4" t="s">
        <v>111</v>
      </c>
      <c r="L1409" s="56" t="str">
        <f>VLOOKUP(C1409,'[11]Trips&amp;Operators'!$C$1:$E$9999,3,0)</f>
        <v>BRANNON</v>
      </c>
      <c r="M1409" s="20" t="s">
        <v>112</v>
      </c>
      <c r="N1409" s="19"/>
      <c r="O1409" s="19" t="str">
        <f t="shared" si="42"/>
        <v>27</v>
      </c>
      <c r="P1409" s="64">
        <f t="shared" si="43"/>
        <v>42578</v>
      </c>
      <c r="Q1409" s="59"/>
      <c r="R1409" s="60"/>
      <c r="S1409" s="61"/>
      <c r="T1409" s="62"/>
      <c r="U1409" s="54"/>
      <c r="V1409" s="50"/>
      <c r="W1409" s="50"/>
    </row>
    <row r="1410" spans="1:23" x14ac:dyDescent="0.25">
      <c r="A1410" s="26">
        <v>42578.918344907404</v>
      </c>
      <c r="B1410" s="4" t="s">
        <v>120</v>
      </c>
      <c r="C1410" s="4" t="s">
        <v>569</v>
      </c>
      <c r="D1410" s="4" t="s">
        <v>103</v>
      </c>
      <c r="E1410" s="4" t="s">
        <v>122</v>
      </c>
      <c r="F1410" s="3">
        <v>0</v>
      </c>
      <c r="G1410" s="3">
        <v>160</v>
      </c>
      <c r="H1410" s="3">
        <v>867</v>
      </c>
      <c r="I1410" s="4" t="s">
        <v>123</v>
      </c>
      <c r="J1410" s="3">
        <v>1692</v>
      </c>
      <c r="K1410" s="4" t="s">
        <v>111</v>
      </c>
      <c r="L1410" s="56" t="str">
        <f>VLOOKUP(C1410,'[11]Trips&amp;Operators'!$C$1:$E$9999,3,0)</f>
        <v>LEVIN</v>
      </c>
      <c r="M1410" s="20" t="s">
        <v>112</v>
      </c>
      <c r="N1410" s="19" t="s">
        <v>1583</v>
      </c>
      <c r="O1410" s="19" t="str">
        <f t="shared" ref="O1410:O1473" si="44">RIGHT(C1410,2)</f>
        <v>27</v>
      </c>
      <c r="P1410" s="64">
        <f t="shared" si="43"/>
        <v>42578</v>
      </c>
      <c r="Q1410" s="59"/>
      <c r="R1410" s="60"/>
      <c r="S1410" s="61"/>
      <c r="T1410" s="62"/>
      <c r="U1410" s="54"/>
      <c r="V1410" s="50"/>
      <c r="W1410" s="50"/>
    </row>
    <row r="1411" spans="1:23" x14ac:dyDescent="0.25">
      <c r="A1411" s="26">
        <v>42578.919525462959</v>
      </c>
      <c r="B1411" s="51" t="s">
        <v>120</v>
      </c>
      <c r="C1411" s="4" t="s">
        <v>569</v>
      </c>
      <c r="D1411" s="4" t="s">
        <v>103</v>
      </c>
      <c r="E1411" s="51" t="s">
        <v>122</v>
      </c>
      <c r="F1411" s="3">
        <v>0</v>
      </c>
      <c r="G1411" s="3">
        <v>33</v>
      </c>
      <c r="H1411" s="3">
        <v>1610</v>
      </c>
      <c r="I1411" s="51" t="s">
        <v>123</v>
      </c>
      <c r="J1411" s="3">
        <v>1692</v>
      </c>
      <c r="K1411" s="4" t="s">
        <v>111</v>
      </c>
      <c r="L1411" s="56" t="str">
        <f>VLOOKUP(C1411,'[11]Trips&amp;Operators'!$C$1:$E$9999,3,0)</f>
        <v>LEVIN</v>
      </c>
      <c r="M1411" s="20" t="s">
        <v>112</v>
      </c>
      <c r="N1411" s="19" t="s">
        <v>1583</v>
      </c>
      <c r="O1411" s="19" t="str">
        <f t="shared" si="44"/>
        <v>27</v>
      </c>
      <c r="P1411" s="64">
        <f t="shared" ref="P1411:P1474" si="45">42522+O1411+29</f>
        <v>42578</v>
      </c>
      <c r="Q1411" s="59"/>
      <c r="R1411" s="60"/>
      <c r="S1411" s="61"/>
      <c r="T1411" s="62"/>
      <c r="U1411" s="54"/>
      <c r="V1411" s="50"/>
      <c r="W1411" s="50"/>
    </row>
    <row r="1412" spans="1:23" x14ac:dyDescent="0.25">
      <c r="A1412" s="26">
        <v>42578.358773148146</v>
      </c>
      <c r="B1412" s="51" t="s">
        <v>108</v>
      </c>
      <c r="C1412" s="4" t="s">
        <v>1593</v>
      </c>
      <c r="D1412" s="4" t="s">
        <v>103</v>
      </c>
      <c r="E1412" s="51" t="s">
        <v>122</v>
      </c>
      <c r="F1412" s="3">
        <v>0</v>
      </c>
      <c r="G1412" s="3">
        <v>73</v>
      </c>
      <c r="H1412" s="3">
        <v>2435</v>
      </c>
      <c r="I1412" s="51" t="s">
        <v>123</v>
      </c>
      <c r="J1412" s="3">
        <v>2808</v>
      </c>
      <c r="K1412" s="4" t="s">
        <v>111</v>
      </c>
      <c r="L1412" s="56" t="str">
        <f>VLOOKUP(C1412,'[11]Trips&amp;Operators'!$C$1:$E$9999,3,0)</f>
        <v>STARKS</v>
      </c>
      <c r="M1412" s="20" t="s">
        <v>112</v>
      </c>
      <c r="N1412" s="19"/>
      <c r="O1412" s="19" t="str">
        <f t="shared" si="44"/>
        <v>27</v>
      </c>
      <c r="P1412" s="64">
        <f t="shared" si="45"/>
        <v>42578</v>
      </c>
      <c r="Q1412" s="59"/>
      <c r="R1412" s="60"/>
      <c r="S1412" s="61"/>
      <c r="T1412" s="62"/>
      <c r="U1412" s="54"/>
      <c r="V1412" s="50"/>
      <c r="W1412" s="50"/>
    </row>
    <row r="1413" spans="1:23" x14ac:dyDescent="0.25">
      <c r="A1413" s="26">
        <v>42578.227592592593</v>
      </c>
      <c r="B1413" s="51" t="s">
        <v>134</v>
      </c>
      <c r="C1413" s="4" t="s">
        <v>1604</v>
      </c>
      <c r="D1413" s="4" t="s">
        <v>103</v>
      </c>
      <c r="E1413" s="51" t="s">
        <v>122</v>
      </c>
      <c r="F1413" s="3">
        <v>0</v>
      </c>
      <c r="G1413" s="3">
        <v>66</v>
      </c>
      <c r="H1413" s="3">
        <v>11033</v>
      </c>
      <c r="I1413" s="51" t="s">
        <v>123</v>
      </c>
      <c r="J1413" s="3">
        <v>11018</v>
      </c>
      <c r="K1413" s="4" t="s">
        <v>106</v>
      </c>
      <c r="L1413" s="56" t="str">
        <f>VLOOKUP(C1413,'[11]Trips&amp;Operators'!$C$1:$E$9999,3,0)</f>
        <v>STARKS</v>
      </c>
      <c r="M1413" s="20" t="s">
        <v>107</v>
      </c>
      <c r="N1413" s="19" t="s">
        <v>1605</v>
      </c>
      <c r="O1413" s="19" t="str">
        <f t="shared" si="44"/>
        <v>27</v>
      </c>
      <c r="P1413" s="64">
        <f t="shared" si="45"/>
        <v>42578</v>
      </c>
      <c r="Q1413" s="59"/>
      <c r="R1413" s="60"/>
      <c r="S1413" s="61"/>
      <c r="T1413" s="62"/>
      <c r="U1413" s="54"/>
      <c r="V1413" s="50"/>
      <c r="W1413" s="50"/>
    </row>
    <row r="1414" spans="1:23" x14ac:dyDescent="0.25">
      <c r="A1414" s="26">
        <v>42579.050405092596</v>
      </c>
      <c r="B1414" s="4" t="s">
        <v>114</v>
      </c>
      <c r="C1414" s="4" t="s">
        <v>1594</v>
      </c>
      <c r="D1414" s="4" t="s">
        <v>103</v>
      </c>
      <c r="E1414" s="4" t="s">
        <v>122</v>
      </c>
      <c r="F1414" s="3">
        <v>0</v>
      </c>
      <c r="G1414" s="3">
        <v>305</v>
      </c>
      <c r="H1414" s="3">
        <v>12503</v>
      </c>
      <c r="I1414" s="4" t="s">
        <v>123</v>
      </c>
      <c r="J1414" s="3">
        <v>13677</v>
      </c>
      <c r="K1414" s="4" t="s">
        <v>111</v>
      </c>
      <c r="L1414" s="56" t="str">
        <f>VLOOKUP(C1414,'[11]Trips&amp;Operators'!$C$1:$E$9999,3,0)</f>
        <v>SWANSON</v>
      </c>
      <c r="M1414" s="20" t="s">
        <v>112</v>
      </c>
      <c r="N1414" s="19"/>
      <c r="O1414" s="19" t="str">
        <f t="shared" si="44"/>
        <v>27</v>
      </c>
      <c r="P1414" s="64">
        <f t="shared" si="45"/>
        <v>42578</v>
      </c>
      <c r="Q1414" s="59"/>
      <c r="R1414" s="60"/>
      <c r="S1414" s="61"/>
      <c r="T1414" s="62"/>
      <c r="U1414" s="54"/>
      <c r="V1414" s="50"/>
      <c r="W1414" s="50"/>
    </row>
    <row r="1415" spans="1:23" x14ac:dyDescent="0.25">
      <c r="A1415" s="26">
        <v>42578.129965277774</v>
      </c>
      <c r="B1415" s="51" t="s">
        <v>145</v>
      </c>
      <c r="C1415" s="4" t="s">
        <v>1595</v>
      </c>
      <c r="D1415" s="4" t="s">
        <v>103</v>
      </c>
      <c r="E1415" s="51" t="s">
        <v>122</v>
      </c>
      <c r="F1415" s="3">
        <v>0</v>
      </c>
      <c r="G1415" s="3">
        <v>18</v>
      </c>
      <c r="H1415" s="3">
        <v>24383</v>
      </c>
      <c r="I1415" s="51" t="s">
        <v>123</v>
      </c>
      <c r="J1415" s="3">
        <v>24235</v>
      </c>
      <c r="K1415" s="4" t="s">
        <v>106</v>
      </c>
      <c r="L1415" s="56" t="str">
        <f>VLOOKUP(C1415,'[11]Trips&amp;Operators'!$C$1:$E$9999,3,0)</f>
        <v>MAELZER</v>
      </c>
      <c r="M1415" s="20" t="s">
        <v>112</v>
      </c>
      <c r="N1415" s="19"/>
      <c r="O1415" s="19" t="str">
        <f t="shared" si="44"/>
        <v>27</v>
      </c>
      <c r="P1415" s="64">
        <f t="shared" si="45"/>
        <v>42578</v>
      </c>
      <c r="Q1415" s="59"/>
      <c r="R1415" s="60"/>
      <c r="S1415" s="61"/>
      <c r="T1415" s="62"/>
      <c r="U1415" s="54"/>
      <c r="V1415" s="50"/>
      <c r="W1415" s="50"/>
    </row>
    <row r="1416" spans="1:23" x14ac:dyDescent="0.25">
      <c r="A1416" s="26">
        <v>42578.466863425929</v>
      </c>
      <c r="B1416" s="51" t="s">
        <v>163</v>
      </c>
      <c r="C1416" s="4" t="s">
        <v>1584</v>
      </c>
      <c r="D1416" s="4" t="s">
        <v>103</v>
      </c>
      <c r="E1416" s="51" t="s">
        <v>122</v>
      </c>
      <c r="F1416" s="3">
        <v>0</v>
      </c>
      <c r="G1416" s="3">
        <v>574</v>
      </c>
      <c r="H1416" s="3">
        <v>48581</v>
      </c>
      <c r="I1416" s="51" t="s">
        <v>123</v>
      </c>
      <c r="J1416" s="3">
        <v>50746</v>
      </c>
      <c r="K1416" s="4" t="s">
        <v>111</v>
      </c>
      <c r="L1416" s="56" t="str">
        <f>VLOOKUP(C1416,'[11]Trips&amp;Operators'!$C$1:$E$9999,3,0)</f>
        <v>BONDS</v>
      </c>
      <c r="M1416" s="20" t="s">
        <v>107</v>
      </c>
      <c r="N1416" s="19" t="s">
        <v>52</v>
      </c>
      <c r="O1416" s="19" t="str">
        <f t="shared" si="44"/>
        <v>27</v>
      </c>
      <c r="P1416" s="64">
        <f t="shared" si="45"/>
        <v>42578</v>
      </c>
      <c r="Q1416" s="59"/>
      <c r="R1416" s="60"/>
      <c r="S1416" s="61"/>
      <c r="T1416" s="62"/>
      <c r="U1416" s="54"/>
      <c r="V1416" s="50"/>
      <c r="W1416" s="50"/>
    </row>
    <row r="1417" spans="1:23" x14ac:dyDescent="0.25">
      <c r="A1417" s="26">
        <v>42578.539247685185</v>
      </c>
      <c r="B1417" s="51" t="s">
        <v>136</v>
      </c>
      <c r="C1417" s="4" t="s">
        <v>361</v>
      </c>
      <c r="D1417" s="4" t="s">
        <v>103</v>
      </c>
      <c r="E1417" s="51" t="s">
        <v>122</v>
      </c>
      <c r="F1417" s="3">
        <v>0</v>
      </c>
      <c r="G1417" s="3">
        <v>485</v>
      </c>
      <c r="H1417" s="3">
        <v>130080</v>
      </c>
      <c r="I1417" s="51" t="s">
        <v>123</v>
      </c>
      <c r="J1417" s="3">
        <v>127587</v>
      </c>
      <c r="K1417" s="4" t="s">
        <v>106</v>
      </c>
      <c r="L1417" s="56" t="str">
        <f>VLOOKUP(C1417,'[11]Trips&amp;Operators'!$C$1:$E$9999,3,0)</f>
        <v>ADANE</v>
      </c>
      <c r="M1417" s="20" t="s">
        <v>112</v>
      </c>
      <c r="N1417" s="19" t="s">
        <v>1585</v>
      </c>
      <c r="O1417" s="19" t="str">
        <f t="shared" si="44"/>
        <v>27</v>
      </c>
      <c r="P1417" s="64">
        <f t="shared" si="45"/>
        <v>42578</v>
      </c>
      <c r="Q1417" s="59"/>
      <c r="R1417" s="60"/>
      <c r="S1417" s="61"/>
      <c r="T1417" s="62"/>
      <c r="U1417" s="54"/>
      <c r="V1417" s="50"/>
      <c r="W1417" s="50"/>
    </row>
    <row r="1418" spans="1:23" x14ac:dyDescent="0.25">
      <c r="A1418" s="26">
        <v>42578.305243055554</v>
      </c>
      <c r="B1418" s="51" t="s">
        <v>125</v>
      </c>
      <c r="C1418" s="4" t="s">
        <v>566</v>
      </c>
      <c r="D1418" s="4" t="s">
        <v>103</v>
      </c>
      <c r="E1418" s="51" t="s">
        <v>122</v>
      </c>
      <c r="F1418" s="3">
        <v>0</v>
      </c>
      <c r="G1418" s="3">
        <v>471</v>
      </c>
      <c r="H1418" s="3">
        <v>152872</v>
      </c>
      <c r="I1418" s="51" t="s">
        <v>123</v>
      </c>
      <c r="J1418" s="3">
        <v>155600</v>
      </c>
      <c r="K1418" s="4" t="s">
        <v>111</v>
      </c>
      <c r="L1418" s="56" t="str">
        <f>VLOOKUP(C1418,'[11]Trips&amp;Operators'!$C$1:$E$9999,3,0)</f>
        <v>ROCHA</v>
      </c>
      <c r="M1418" s="20" t="s">
        <v>112</v>
      </c>
      <c r="N1418" s="19" t="s">
        <v>1586</v>
      </c>
      <c r="O1418" s="19" t="str">
        <f t="shared" si="44"/>
        <v>27</v>
      </c>
      <c r="P1418" s="64">
        <f t="shared" si="45"/>
        <v>42578</v>
      </c>
      <c r="Q1418" s="59"/>
      <c r="R1418" s="60"/>
      <c r="S1418" s="61"/>
      <c r="T1418" s="62"/>
      <c r="U1418" s="54"/>
      <c r="V1418" s="50"/>
      <c r="W1418" s="50"/>
    </row>
    <row r="1419" spans="1:23" x14ac:dyDescent="0.25">
      <c r="A1419" s="26">
        <v>42578.305648148147</v>
      </c>
      <c r="B1419" s="51" t="s">
        <v>125</v>
      </c>
      <c r="C1419" s="4" t="s">
        <v>566</v>
      </c>
      <c r="D1419" s="4" t="s">
        <v>103</v>
      </c>
      <c r="E1419" s="51" t="s">
        <v>122</v>
      </c>
      <c r="F1419" s="3">
        <v>0</v>
      </c>
      <c r="G1419" s="3">
        <v>69</v>
      </c>
      <c r="H1419" s="3">
        <v>154233</v>
      </c>
      <c r="I1419" s="51" t="s">
        <v>123</v>
      </c>
      <c r="J1419" s="3">
        <v>155600</v>
      </c>
      <c r="K1419" s="4" t="s">
        <v>111</v>
      </c>
      <c r="L1419" s="56" t="str">
        <f>VLOOKUP(C1419,'[11]Trips&amp;Operators'!$C$1:$E$9999,3,0)</f>
        <v>ROCHA</v>
      </c>
      <c r="M1419" s="20" t="s">
        <v>112</v>
      </c>
      <c r="N1419" s="19" t="s">
        <v>1586</v>
      </c>
      <c r="O1419" s="19" t="str">
        <f t="shared" si="44"/>
        <v>27</v>
      </c>
      <c r="P1419" s="64">
        <f t="shared" si="45"/>
        <v>42578</v>
      </c>
      <c r="Q1419" s="59"/>
      <c r="R1419" s="60"/>
      <c r="S1419" s="61"/>
      <c r="T1419" s="62"/>
      <c r="U1419" s="54"/>
      <c r="V1419" s="50"/>
      <c r="W1419" s="50"/>
    </row>
    <row r="1420" spans="1:23" x14ac:dyDescent="0.25">
      <c r="A1420" s="26">
        <v>42578.533067129632</v>
      </c>
      <c r="B1420" s="51" t="s">
        <v>136</v>
      </c>
      <c r="C1420" s="4" t="s">
        <v>361</v>
      </c>
      <c r="D1420" s="4" t="s">
        <v>103</v>
      </c>
      <c r="E1420" s="51" t="s">
        <v>122</v>
      </c>
      <c r="F1420" s="3">
        <v>0</v>
      </c>
      <c r="G1420" s="3">
        <v>530</v>
      </c>
      <c r="H1420" s="3">
        <v>194716</v>
      </c>
      <c r="I1420" s="51" t="s">
        <v>123</v>
      </c>
      <c r="J1420" s="3">
        <v>191723</v>
      </c>
      <c r="K1420" s="4" t="s">
        <v>106</v>
      </c>
      <c r="L1420" s="56" t="str">
        <f>VLOOKUP(C1420,'[11]Trips&amp;Operators'!$C$1:$E$9999,3,0)</f>
        <v>ADANE</v>
      </c>
      <c r="M1420" s="20" t="s">
        <v>112</v>
      </c>
      <c r="N1420" s="19" t="s">
        <v>1587</v>
      </c>
      <c r="O1420" s="19" t="str">
        <f t="shared" si="44"/>
        <v>27</v>
      </c>
      <c r="P1420" s="64">
        <f t="shared" si="45"/>
        <v>42578</v>
      </c>
      <c r="Q1420" s="59"/>
      <c r="R1420" s="60"/>
      <c r="S1420" s="61"/>
      <c r="T1420" s="62"/>
      <c r="U1420" s="54"/>
      <c r="V1420" s="50"/>
      <c r="W1420" s="50"/>
    </row>
    <row r="1421" spans="1:23" x14ac:dyDescent="0.25">
      <c r="A1421" s="26">
        <v>42578.712175925924</v>
      </c>
      <c r="B1421" s="51" t="s">
        <v>120</v>
      </c>
      <c r="C1421" s="4" t="s">
        <v>1588</v>
      </c>
      <c r="D1421" s="4" t="s">
        <v>103</v>
      </c>
      <c r="E1421" s="51" t="s">
        <v>122</v>
      </c>
      <c r="F1421" s="3">
        <v>0</v>
      </c>
      <c r="G1421" s="3">
        <v>369</v>
      </c>
      <c r="H1421" s="3">
        <v>222870</v>
      </c>
      <c r="I1421" s="51" t="s">
        <v>123</v>
      </c>
      <c r="J1421" s="3">
        <v>224231</v>
      </c>
      <c r="K1421" s="4" t="s">
        <v>111</v>
      </c>
      <c r="L1421" s="56" t="str">
        <f>VLOOKUP(C1421,'[11]Trips&amp;Operators'!$C$1:$E$9999,3,0)</f>
        <v>BARTLETT</v>
      </c>
      <c r="M1421" s="20" t="s">
        <v>107</v>
      </c>
      <c r="N1421" s="19" t="s">
        <v>52</v>
      </c>
      <c r="O1421" s="19" t="str">
        <f t="shared" si="44"/>
        <v>27</v>
      </c>
      <c r="P1421" s="64">
        <f t="shared" si="45"/>
        <v>42578</v>
      </c>
      <c r="Q1421" s="59"/>
      <c r="R1421" s="60"/>
      <c r="S1421" s="61"/>
      <c r="T1421" s="62"/>
      <c r="U1421" s="54"/>
      <c r="V1421" s="50"/>
      <c r="W1421" s="50"/>
    </row>
    <row r="1422" spans="1:23" x14ac:dyDescent="0.25">
      <c r="A1422" s="26">
        <v>42578.357407407406</v>
      </c>
      <c r="B1422" s="51" t="s">
        <v>164</v>
      </c>
      <c r="C1422" s="4" t="s">
        <v>1589</v>
      </c>
      <c r="D1422" s="4" t="s">
        <v>103</v>
      </c>
      <c r="E1422" s="51" t="s">
        <v>129</v>
      </c>
      <c r="F1422" s="3">
        <v>0</v>
      </c>
      <c r="G1422" s="3">
        <v>81</v>
      </c>
      <c r="H1422" s="3">
        <v>283</v>
      </c>
      <c r="I1422" s="51" t="s">
        <v>130</v>
      </c>
      <c r="J1422" s="3">
        <v>1</v>
      </c>
      <c r="K1422" s="4" t="s">
        <v>106</v>
      </c>
      <c r="L1422" s="56" t="str">
        <f>VLOOKUP(C1422,'[11]Trips&amp;Operators'!$C$1:$E$9999,3,0)</f>
        <v>MAELZER</v>
      </c>
      <c r="M1422" s="20" t="s">
        <v>112</v>
      </c>
      <c r="N1422" s="19"/>
      <c r="O1422" s="19" t="str">
        <f t="shared" si="44"/>
        <v>27</v>
      </c>
      <c r="P1422" s="64">
        <f t="shared" si="45"/>
        <v>42578</v>
      </c>
      <c r="Q1422" s="59"/>
      <c r="R1422" s="60"/>
      <c r="S1422" s="61"/>
      <c r="T1422" s="62"/>
      <c r="U1422" s="54"/>
      <c r="V1422" s="50"/>
      <c r="W1422" s="50"/>
    </row>
    <row r="1423" spans="1:23" x14ac:dyDescent="0.25">
      <c r="A1423" s="26">
        <v>42578.498715277776</v>
      </c>
      <c r="B1423" s="51" t="s">
        <v>164</v>
      </c>
      <c r="C1423" s="4" t="s">
        <v>362</v>
      </c>
      <c r="D1423" s="4" t="s">
        <v>103</v>
      </c>
      <c r="E1423" s="51" t="s">
        <v>129</v>
      </c>
      <c r="F1423" s="3">
        <v>0</v>
      </c>
      <c r="G1423" s="3">
        <v>29</v>
      </c>
      <c r="H1423" s="3">
        <v>34384</v>
      </c>
      <c r="I1423" s="51" t="s">
        <v>130</v>
      </c>
      <c r="J1423" s="3">
        <v>1</v>
      </c>
      <c r="K1423" s="4" t="s">
        <v>106</v>
      </c>
      <c r="L1423" s="56" t="str">
        <f>VLOOKUP(C1423,'[11]Trips&amp;Operators'!$C$1:$E$9999,3,0)</f>
        <v>STARKS</v>
      </c>
      <c r="M1423" s="20" t="s">
        <v>112</v>
      </c>
      <c r="N1423" s="19"/>
      <c r="O1423" s="19" t="str">
        <f t="shared" si="44"/>
        <v>27</v>
      </c>
      <c r="P1423" s="64">
        <f t="shared" si="45"/>
        <v>42578</v>
      </c>
      <c r="Q1423" s="59"/>
      <c r="R1423" s="60"/>
      <c r="S1423" s="61"/>
      <c r="T1423" s="62"/>
      <c r="U1423" s="54"/>
      <c r="V1423" s="50"/>
      <c r="W1423" s="50"/>
    </row>
    <row r="1424" spans="1:23" x14ac:dyDescent="0.25">
      <c r="A1424" s="26">
        <v>42578.804328703707</v>
      </c>
      <c r="B1424" s="51" t="s">
        <v>102</v>
      </c>
      <c r="C1424" s="4" t="s">
        <v>1590</v>
      </c>
      <c r="D1424" s="4" t="s">
        <v>103</v>
      </c>
      <c r="E1424" s="51" t="s">
        <v>129</v>
      </c>
      <c r="F1424" s="3">
        <v>0</v>
      </c>
      <c r="G1424" s="3">
        <v>40</v>
      </c>
      <c r="H1424" s="3">
        <v>147</v>
      </c>
      <c r="I1424" s="51" t="s">
        <v>130</v>
      </c>
      <c r="J1424" s="3">
        <v>1</v>
      </c>
      <c r="K1424" s="4" t="s">
        <v>106</v>
      </c>
      <c r="L1424" s="56" t="str">
        <f>VLOOKUP(C1424,'[11]Trips&amp;Operators'!$C$1:$E$9999,3,0)</f>
        <v>SWANSON</v>
      </c>
      <c r="M1424" s="20" t="s">
        <v>112</v>
      </c>
      <c r="N1424" s="19"/>
      <c r="O1424" s="19" t="str">
        <f t="shared" si="44"/>
        <v>27</v>
      </c>
      <c r="P1424" s="64">
        <f t="shared" si="45"/>
        <v>42578</v>
      </c>
      <c r="Q1424" s="59"/>
      <c r="R1424" s="60"/>
      <c r="S1424" s="61"/>
      <c r="T1424" s="62"/>
      <c r="U1424" s="54"/>
      <c r="V1424" s="50"/>
      <c r="W1424" s="50"/>
    </row>
    <row r="1425" spans="1:23" x14ac:dyDescent="0.25">
      <c r="A1425" s="26">
        <v>42578.839479166665</v>
      </c>
      <c r="B1425" s="51" t="s">
        <v>132</v>
      </c>
      <c r="C1425" s="4" t="s">
        <v>360</v>
      </c>
      <c r="D1425" s="4" t="s">
        <v>103</v>
      </c>
      <c r="E1425" s="51" t="s">
        <v>129</v>
      </c>
      <c r="F1425" s="3">
        <v>0</v>
      </c>
      <c r="G1425" s="3">
        <v>65</v>
      </c>
      <c r="H1425" s="3">
        <v>207</v>
      </c>
      <c r="I1425" s="51" t="s">
        <v>130</v>
      </c>
      <c r="J1425" s="3">
        <v>1</v>
      </c>
      <c r="K1425" s="4" t="s">
        <v>106</v>
      </c>
      <c r="L1425" s="56" t="str">
        <f>VLOOKUP(C1425,'[11]Trips&amp;Operators'!$C$1:$E$9999,3,0)</f>
        <v>COOLAHAN</v>
      </c>
      <c r="M1425" s="20" t="s">
        <v>112</v>
      </c>
      <c r="N1425" s="19"/>
      <c r="O1425" s="19" t="str">
        <f t="shared" si="44"/>
        <v>27</v>
      </c>
      <c r="P1425" s="64">
        <f t="shared" si="45"/>
        <v>42578</v>
      </c>
      <c r="Q1425" s="59"/>
      <c r="R1425" s="60"/>
      <c r="S1425" s="61"/>
      <c r="T1425" s="62"/>
      <c r="U1425" s="54"/>
      <c r="V1425" s="50"/>
      <c r="W1425" s="50"/>
    </row>
    <row r="1426" spans="1:23" x14ac:dyDescent="0.25">
      <c r="A1426" s="26">
        <v>42578.981817129628</v>
      </c>
      <c r="B1426" s="51" t="s">
        <v>131</v>
      </c>
      <c r="C1426" s="4" t="s">
        <v>1591</v>
      </c>
      <c r="D1426" s="4" t="s">
        <v>103</v>
      </c>
      <c r="E1426" s="51" t="s">
        <v>129</v>
      </c>
      <c r="F1426" s="3">
        <v>0</v>
      </c>
      <c r="G1426" s="3">
        <v>40</v>
      </c>
      <c r="H1426" s="3">
        <v>149</v>
      </c>
      <c r="I1426" s="51" t="s">
        <v>130</v>
      </c>
      <c r="J1426" s="3">
        <v>1</v>
      </c>
      <c r="K1426" s="4" t="s">
        <v>106</v>
      </c>
      <c r="L1426" s="56" t="str">
        <f>VLOOKUP(C1426,'[11]Trips&amp;Operators'!$C$1:$E$9999,3,0)</f>
        <v>LEVIN</v>
      </c>
      <c r="M1426" s="20" t="s">
        <v>112</v>
      </c>
      <c r="N1426" s="19"/>
      <c r="O1426" s="19" t="str">
        <f t="shared" si="44"/>
        <v>27</v>
      </c>
      <c r="P1426" s="64">
        <f t="shared" si="45"/>
        <v>42578</v>
      </c>
      <c r="Q1426" s="59"/>
      <c r="R1426" s="60"/>
      <c r="S1426" s="61"/>
      <c r="T1426" s="62"/>
      <c r="U1426" s="54"/>
      <c r="V1426" s="50"/>
      <c r="W1426" s="50"/>
    </row>
    <row r="1427" spans="1:23" x14ac:dyDescent="0.25">
      <c r="A1427" s="26">
        <v>42578.271122685182</v>
      </c>
      <c r="B1427" s="51" t="s">
        <v>134</v>
      </c>
      <c r="C1427" s="4" t="s">
        <v>1604</v>
      </c>
      <c r="D1427" s="4" t="s">
        <v>103</v>
      </c>
      <c r="E1427" s="51" t="s">
        <v>129</v>
      </c>
      <c r="F1427" s="3">
        <v>0</v>
      </c>
      <c r="G1427" s="3">
        <v>52</v>
      </c>
      <c r="H1427" s="3">
        <v>741</v>
      </c>
      <c r="I1427" s="51" t="s">
        <v>130</v>
      </c>
      <c r="J1427" s="3">
        <v>575</v>
      </c>
      <c r="K1427" s="4" t="s">
        <v>106</v>
      </c>
      <c r="L1427" s="56" t="str">
        <f>VLOOKUP(C1427,'[11]Trips&amp;Operators'!$C$1:$E$9999,3,0)</f>
        <v>STARKS</v>
      </c>
      <c r="M1427" s="20" t="s">
        <v>112</v>
      </c>
      <c r="N1427" s="19"/>
      <c r="O1427" s="19" t="str">
        <f t="shared" si="44"/>
        <v>27</v>
      </c>
      <c r="P1427" s="64">
        <f t="shared" si="45"/>
        <v>42578</v>
      </c>
      <c r="Q1427" s="59"/>
      <c r="R1427" s="60"/>
      <c r="S1427" s="61"/>
      <c r="T1427" s="62"/>
      <c r="U1427" s="54"/>
      <c r="V1427" s="50"/>
      <c r="W1427" s="50"/>
    </row>
    <row r="1428" spans="1:23" x14ac:dyDescent="0.25">
      <c r="A1428" s="26">
        <v>42578.622627314813</v>
      </c>
      <c r="B1428" s="51" t="s">
        <v>117</v>
      </c>
      <c r="C1428" s="4" t="s">
        <v>1606</v>
      </c>
      <c r="D1428" s="4" t="s">
        <v>103</v>
      </c>
      <c r="E1428" s="51" t="s">
        <v>129</v>
      </c>
      <c r="F1428" s="3">
        <v>0</v>
      </c>
      <c r="G1428" s="3">
        <v>37</v>
      </c>
      <c r="H1428" s="3">
        <v>668</v>
      </c>
      <c r="I1428" s="51" t="s">
        <v>130</v>
      </c>
      <c r="J1428" s="3">
        <v>575</v>
      </c>
      <c r="K1428" s="4" t="s">
        <v>106</v>
      </c>
      <c r="L1428" s="56" t="str">
        <f>VLOOKUP(C1428,'[11]Trips&amp;Operators'!$C$1:$E$9999,3,0)</f>
        <v>MOSES</v>
      </c>
      <c r="M1428" s="20" t="s">
        <v>112</v>
      </c>
      <c r="N1428" s="19"/>
      <c r="O1428" s="19" t="str">
        <f t="shared" si="44"/>
        <v>27</v>
      </c>
      <c r="P1428" s="64">
        <f t="shared" si="45"/>
        <v>42578</v>
      </c>
      <c r="Q1428" s="59"/>
      <c r="R1428" s="60"/>
      <c r="S1428" s="61"/>
      <c r="T1428" s="62"/>
      <c r="U1428" s="54"/>
      <c r="V1428" s="50"/>
      <c r="W1428" s="50"/>
    </row>
    <row r="1429" spans="1:23" x14ac:dyDescent="0.25">
      <c r="A1429" s="26">
        <v>42578.654988425929</v>
      </c>
      <c r="B1429" s="51" t="s">
        <v>134</v>
      </c>
      <c r="C1429" s="4" t="s">
        <v>1596</v>
      </c>
      <c r="D1429" s="4" t="s">
        <v>103</v>
      </c>
      <c r="E1429" s="51" t="s">
        <v>129</v>
      </c>
      <c r="F1429" s="3">
        <v>0</v>
      </c>
      <c r="G1429" s="3">
        <v>36</v>
      </c>
      <c r="H1429" s="3">
        <v>689</v>
      </c>
      <c r="I1429" s="51" t="s">
        <v>130</v>
      </c>
      <c r="J1429" s="3">
        <v>575</v>
      </c>
      <c r="K1429" s="4" t="s">
        <v>106</v>
      </c>
      <c r="L1429" s="56" t="str">
        <f>VLOOKUP(C1429,'[11]Trips&amp;Operators'!$C$1:$E$9999,3,0)</f>
        <v>HAITHCOX</v>
      </c>
      <c r="M1429" s="20" t="s">
        <v>112</v>
      </c>
      <c r="N1429" s="19"/>
      <c r="O1429" s="19" t="str">
        <f t="shared" si="44"/>
        <v>27</v>
      </c>
      <c r="P1429" s="64">
        <f t="shared" si="45"/>
        <v>42578</v>
      </c>
      <c r="Q1429" s="59"/>
      <c r="R1429" s="60"/>
      <c r="S1429" s="61"/>
      <c r="T1429" s="62"/>
      <c r="U1429" s="54"/>
      <c r="V1429" s="50"/>
      <c r="W1429" s="50"/>
    </row>
    <row r="1430" spans="1:23" x14ac:dyDescent="0.25">
      <c r="A1430" s="26">
        <v>42578.705196759256</v>
      </c>
      <c r="B1430" s="51" t="s">
        <v>117</v>
      </c>
      <c r="C1430" s="4" t="s">
        <v>1607</v>
      </c>
      <c r="D1430" s="4" t="s">
        <v>103</v>
      </c>
      <c r="E1430" s="51" t="s">
        <v>129</v>
      </c>
      <c r="F1430" s="3">
        <v>0</v>
      </c>
      <c r="G1430" s="3">
        <v>75</v>
      </c>
      <c r="H1430" s="3">
        <v>815</v>
      </c>
      <c r="I1430" s="51" t="s">
        <v>130</v>
      </c>
      <c r="J1430" s="3">
        <v>575</v>
      </c>
      <c r="K1430" s="4" t="s">
        <v>106</v>
      </c>
      <c r="L1430" s="56" t="str">
        <f>VLOOKUP(C1430,'[11]Trips&amp;Operators'!$C$1:$E$9999,3,0)</f>
        <v>MOSES</v>
      </c>
      <c r="M1430" s="20" t="s">
        <v>112</v>
      </c>
      <c r="N1430" s="19"/>
      <c r="O1430" s="19" t="str">
        <f t="shared" si="44"/>
        <v>27</v>
      </c>
      <c r="P1430" s="64">
        <f t="shared" si="45"/>
        <v>42578</v>
      </c>
      <c r="Q1430" s="59"/>
      <c r="R1430" s="60"/>
      <c r="S1430" s="61"/>
      <c r="T1430" s="62"/>
      <c r="U1430" s="54"/>
      <c r="V1430" s="50"/>
      <c r="W1430" s="50"/>
    </row>
    <row r="1431" spans="1:23" x14ac:dyDescent="0.25">
      <c r="A1431" s="26">
        <v>42578.727060185185</v>
      </c>
      <c r="B1431" s="51" t="s">
        <v>134</v>
      </c>
      <c r="C1431" s="4" t="s">
        <v>1599</v>
      </c>
      <c r="D1431" s="4" t="s">
        <v>103</v>
      </c>
      <c r="E1431" s="51" t="s">
        <v>129</v>
      </c>
      <c r="F1431" s="3">
        <v>0</v>
      </c>
      <c r="G1431" s="3">
        <v>72</v>
      </c>
      <c r="H1431" s="3">
        <v>817</v>
      </c>
      <c r="I1431" s="51" t="s">
        <v>130</v>
      </c>
      <c r="J1431" s="3">
        <v>575</v>
      </c>
      <c r="K1431" s="4" t="s">
        <v>106</v>
      </c>
      <c r="L1431" s="56" t="str">
        <f>VLOOKUP(C1431,'[11]Trips&amp;Operators'!$C$1:$E$9999,3,0)</f>
        <v>HAITHCOX</v>
      </c>
      <c r="M1431" s="20" t="s">
        <v>112</v>
      </c>
      <c r="N1431" s="19"/>
      <c r="O1431" s="19" t="str">
        <f t="shared" si="44"/>
        <v>27</v>
      </c>
      <c r="P1431" s="64">
        <f t="shared" si="45"/>
        <v>42578</v>
      </c>
      <c r="Q1431" s="59"/>
      <c r="R1431" s="60"/>
      <c r="S1431" s="61"/>
      <c r="T1431" s="62"/>
      <c r="U1431" s="54"/>
      <c r="V1431" s="50"/>
      <c r="W1431" s="50"/>
    </row>
    <row r="1432" spans="1:23" x14ac:dyDescent="0.25">
      <c r="A1432" s="26">
        <v>42578.830787037034</v>
      </c>
      <c r="B1432" s="51" t="s">
        <v>117</v>
      </c>
      <c r="C1432" s="4" t="s">
        <v>1608</v>
      </c>
      <c r="D1432" s="4" t="s">
        <v>103</v>
      </c>
      <c r="E1432" s="51" t="s">
        <v>129</v>
      </c>
      <c r="F1432" s="3">
        <v>0</v>
      </c>
      <c r="G1432" s="3">
        <v>35</v>
      </c>
      <c r="H1432" s="3">
        <v>673</v>
      </c>
      <c r="I1432" s="51" t="s">
        <v>130</v>
      </c>
      <c r="J1432" s="3">
        <v>575</v>
      </c>
      <c r="K1432" s="4" t="s">
        <v>106</v>
      </c>
      <c r="L1432" s="56" t="str">
        <f>VLOOKUP(C1432,'[11]Trips&amp;Operators'!$C$1:$E$9999,3,0)</f>
        <v>MOSES</v>
      </c>
      <c r="M1432" s="20" t="s">
        <v>112</v>
      </c>
      <c r="N1432" s="19"/>
      <c r="O1432" s="19" t="str">
        <f t="shared" si="44"/>
        <v>27</v>
      </c>
      <c r="P1432" s="64">
        <f t="shared" si="45"/>
        <v>42578</v>
      </c>
      <c r="Q1432" s="59"/>
      <c r="R1432" s="60"/>
      <c r="S1432" s="61"/>
      <c r="T1432" s="62"/>
      <c r="U1432" s="54"/>
      <c r="V1432" s="50"/>
      <c r="W1432" s="50"/>
    </row>
    <row r="1433" spans="1:23" x14ac:dyDescent="0.25">
      <c r="A1433" s="26">
        <v>42578.915972222225</v>
      </c>
      <c r="B1433" s="51" t="s">
        <v>117</v>
      </c>
      <c r="C1433" s="4" t="s">
        <v>1609</v>
      </c>
      <c r="D1433" s="4" t="s">
        <v>103</v>
      </c>
      <c r="E1433" s="51" t="s">
        <v>129</v>
      </c>
      <c r="F1433" s="3">
        <v>0</v>
      </c>
      <c r="G1433" s="3">
        <v>32</v>
      </c>
      <c r="H1433" s="3">
        <v>719</v>
      </c>
      <c r="I1433" s="51" t="s">
        <v>130</v>
      </c>
      <c r="J1433" s="3">
        <v>575</v>
      </c>
      <c r="K1433" s="4" t="s">
        <v>106</v>
      </c>
      <c r="L1433" s="56" t="str">
        <f>VLOOKUP(C1433,'[11]Trips&amp;Operators'!$C$1:$E$9999,3,0)</f>
        <v>HAITHCOX</v>
      </c>
      <c r="M1433" s="20" t="s">
        <v>112</v>
      </c>
      <c r="N1433" s="19"/>
      <c r="O1433" s="19" t="str">
        <f t="shared" si="44"/>
        <v>27</v>
      </c>
      <c r="P1433" s="64">
        <f t="shared" si="45"/>
        <v>42578</v>
      </c>
      <c r="Q1433" s="59"/>
      <c r="R1433" s="60"/>
      <c r="S1433" s="61"/>
      <c r="T1433" s="62"/>
      <c r="U1433" s="54"/>
      <c r="V1433" s="50"/>
      <c r="W1433" s="50"/>
    </row>
    <row r="1434" spans="1:23" x14ac:dyDescent="0.25">
      <c r="A1434" s="26">
        <v>42578.276678240742</v>
      </c>
      <c r="B1434" s="51" t="s">
        <v>126</v>
      </c>
      <c r="C1434" s="4" t="s">
        <v>1601</v>
      </c>
      <c r="D1434" s="4" t="s">
        <v>103</v>
      </c>
      <c r="E1434" s="51" t="s">
        <v>129</v>
      </c>
      <c r="F1434" s="3">
        <v>0</v>
      </c>
      <c r="G1434" s="3">
        <v>35</v>
      </c>
      <c r="H1434" s="3">
        <v>58939</v>
      </c>
      <c r="I1434" s="51" t="s">
        <v>130</v>
      </c>
      <c r="J1434" s="3">
        <v>59048</v>
      </c>
      <c r="K1434" s="4" t="s">
        <v>111</v>
      </c>
      <c r="L1434" s="56" t="str">
        <f>VLOOKUP(C1434,'[11]Trips&amp;Operators'!$C$1:$E$9999,3,0)</f>
        <v>GEBRETEKLE</v>
      </c>
      <c r="M1434" s="20" t="s">
        <v>112</v>
      </c>
      <c r="N1434" s="19"/>
      <c r="O1434" s="19" t="str">
        <f t="shared" si="44"/>
        <v>27</v>
      </c>
      <c r="P1434" s="64">
        <f t="shared" si="45"/>
        <v>42578</v>
      </c>
      <c r="Q1434" s="59"/>
      <c r="R1434" s="60"/>
      <c r="S1434" s="61"/>
      <c r="T1434" s="62"/>
      <c r="U1434" s="54"/>
      <c r="V1434" s="50"/>
      <c r="W1434" s="50"/>
    </row>
    <row r="1435" spans="1:23" x14ac:dyDescent="0.25">
      <c r="A1435" s="26">
        <v>42578.357881944445</v>
      </c>
      <c r="B1435" s="51" t="s">
        <v>126</v>
      </c>
      <c r="C1435" s="4" t="s">
        <v>1610</v>
      </c>
      <c r="D1435" s="4" t="s">
        <v>103</v>
      </c>
      <c r="E1435" s="51" t="s">
        <v>129</v>
      </c>
      <c r="F1435" s="3">
        <v>0</v>
      </c>
      <c r="G1435" s="3">
        <v>45</v>
      </c>
      <c r="H1435" s="3">
        <v>58892</v>
      </c>
      <c r="I1435" s="51" t="s">
        <v>130</v>
      </c>
      <c r="J1435" s="3">
        <v>59048</v>
      </c>
      <c r="K1435" s="4" t="s">
        <v>111</v>
      </c>
      <c r="L1435" s="56" t="str">
        <f>VLOOKUP(C1435,'[11]Trips&amp;Operators'!$C$1:$E$9999,3,0)</f>
        <v>GEBRETEKLE</v>
      </c>
      <c r="M1435" s="20" t="s">
        <v>112</v>
      </c>
      <c r="N1435" s="19"/>
      <c r="O1435" s="19" t="str">
        <f t="shared" si="44"/>
        <v>27</v>
      </c>
      <c r="P1435" s="64">
        <f t="shared" si="45"/>
        <v>42578</v>
      </c>
      <c r="Q1435" s="59"/>
      <c r="R1435" s="60"/>
      <c r="S1435" s="61"/>
      <c r="T1435" s="62"/>
      <c r="U1435" s="54"/>
      <c r="V1435" s="50"/>
      <c r="W1435" s="50"/>
    </row>
    <row r="1436" spans="1:23" x14ac:dyDescent="0.25">
      <c r="A1436" s="26">
        <v>42578.401076388887</v>
      </c>
      <c r="B1436" s="4" t="s">
        <v>126</v>
      </c>
      <c r="C1436" s="4" t="s">
        <v>1600</v>
      </c>
      <c r="D1436" s="4" t="s">
        <v>103</v>
      </c>
      <c r="E1436" s="4" t="s">
        <v>129</v>
      </c>
      <c r="F1436" s="3">
        <v>0</v>
      </c>
      <c r="G1436" s="3">
        <v>76</v>
      </c>
      <c r="H1436" s="3">
        <v>58717</v>
      </c>
      <c r="I1436" s="4" t="s">
        <v>130</v>
      </c>
      <c r="J1436" s="3">
        <v>59048</v>
      </c>
      <c r="K1436" s="4" t="s">
        <v>111</v>
      </c>
      <c r="L1436" s="56" t="str">
        <f>VLOOKUP(C1436,'[11]Trips&amp;Operators'!$C$1:$E$9999,3,0)</f>
        <v>GEBRETEKLE</v>
      </c>
      <c r="M1436" s="20" t="s">
        <v>112</v>
      </c>
      <c r="N1436" s="19"/>
      <c r="O1436" s="19" t="str">
        <f t="shared" si="44"/>
        <v>27</v>
      </c>
      <c r="P1436" s="64">
        <f t="shared" si="45"/>
        <v>42578</v>
      </c>
      <c r="Q1436" s="59"/>
      <c r="R1436" s="60"/>
      <c r="S1436" s="61"/>
      <c r="T1436" s="62"/>
      <c r="U1436" s="54"/>
      <c r="V1436" s="50"/>
      <c r="W1436" s="50"/>
    </row>
    <row r="1437" spans="1:23" x14ac:dyDescent="0.25">
      <c r="A1437" s="26">
        <v>42578.401770833334</v>
      </c>
      <c r="B1437" s="4" t="s">
        <v>126</v>
      </c>
      <c r="C1437" s="4" t="s">
        <v>1600</v>
      </c>
      <c r="D1437" s="4" t="s">
        <v>103</v>
      </c>
      <c r="E1437" s="4" t="s">
        <v>129</v>
      </c>
      <c r="F1437" s="3">
        <v>0</v>
      </c>
      <c r="G1437" s="3">
        <v>24</v>
      </c>
      <c r="H1437" s="3">
        <v>58943</v>
      </c>
      <c r="I1437" s="4" t="s">
        <v>130</v>
      </c>
      <c r="J1437" s="3">
        <v>59048</v>
      </c>
      <c r="K1437" s="4" t="s">
        <v>111</v>
      </c>
      <c r="L1437" s="56" t="str">
        <f>VLOOKUP(C1437,'[11]Trips&amp;Operators'!$C$1:$E$9999,3,0)</f>
        <v>GEBRETEKLE</v>
      </c>
      <c r="M1437" s="20" t="s">
        <v>112</v>
      </c>
      <c r="N1437" s="19"/>
      <c r="O1437" s="19" t="str">
        <f t="shared" si="44"/>
        <v>27</v>
      </c>
      <c r="P1437" s="64">
        <f t="shared" si="45"/>
        <v>42578</v>
      </c>
      <c r="Q1437" s="59"/>
      <c r="R1437" s="60"/>
      <c r="S1437" s="61"/>
      <c r="T1437" s="62"/>
      <c r="U1437" s="54"/>
      <c r="V1437" s="50"/>
      <c r="W1437" s="50"/>
    </row>
    <row r="1438" spans="1:23" x14ac:dyDescent="0.25">
      <c r="A1438" s="26">
        <v>42578.651006944441</v>
      </c>
      <c r="B1438" s="51" t="s">
        <v>126</v>
      </c>
      <c r="C1438" s="4" t="s">
        <v>1611</v>
      </c>
      <c r="D1438" s="4" t="s">
        <v>103</v>
      </c>
      <c r="E1438" s="51" t="s">
        <v>129</v>
      </c>
      <c r="F1438" s="3">
        <v>0</v>
      </c>
      <c r="G1438" s="3">
        <v>52</v>
      </c>
      <c r="H1438" s="3">
        <v>58860</v>
      </c>
      <c r="I1438" s="51" t="s">
        <v>130</v>
      </c>
      <c r="J1438" s="3">
        <v>59048</v>
      </c>
      <c r="K1438" s="4" t="s">
        <v>111</v>
      </c>
      <c r="L1438" s="56" t="str">
        <f>VLOOKUP(C1438,'[11]Trips&amp;Operators'!$C$1:$E$9999,3,0)</f>
        <v>MOSES</v>
      </c>
      <c r="M1438" s="20" t="s">
        <v>112</v>
      </c>
      <c r="N1438" s="19"/>
      <c r="O1438" s="19" t="str">
        <f t="shared" si="44"/>
        <v>27</v>
      </c>
      <c r="P1438" s="64">
        <f t="shared" si="45"/>
        <v>42578</v>
      </c>
      <c r="Q1438" s="59"/>
      <c r="R1438" s="60"/>
      <c r="S1438" s="61"/>
      <c r="T1438" s="62"/>
      <c r="U1438" s="54"/>
      <c r="V1438" s="50"/>
      <c r="W1438" s="50"/>
    </row>
    <row r="1439" spans="1:23" x14ac:dyDescent="0.25">
      <c r="A1439" s="26">
        <v>42578.672071759262</v>
      </c>
      <c r="B1439" s="4" t="s">
        <v>108</v>
      </c>
      <c r="C1439" s="4" t="s">
        <v>1598</v>
      </c>
      <c r="D1439" s="4" t="s">
        <v>103</v>
      </c>
      <c r="E1439" s="4" t="s">
        <v>129</v>
      </c>
      <c r="F1439" s="3">
        <v>0</v>
      </c>
      <c r="G1439" s="3">
        <v>48</v>
      </c>
      <c r="H1439" s="3">
        <v>58892</v>
      </c>
      <c r="I1439" s="4" t="s">
        <v>130</v>
      </c>
      <c r="J1439" s="3">
        <v>59048</v>
      </c>
      <c r="K1439" s="4" t="s">
        <v>111</v>
      </c>
      <c r="L1439" s="56" t="str">
        <f>VLOOKUP(C1439,'[11]Trips&amp;Operators'!$C$1:$E$9999,3,0)</f>
        <v>HAITHCOX</v>
      </c>
      <c r="M1439" s="20" t="s">
        <v>112</v>
      </c>
      <c r="N1439" s="19"/>
      <c r="O1439" s="19" t="str">
        <f t="shared" si="44"/>
        <v>27</v>
      </c>
      <c r="P1439" s="64">
        <f t="shared" si="45"/>
        <v>42578</v>
      </c>
      <c r="Q1439" s="59"/>
      <c r="R1439" s="60"/>
      <c r="S1439" s="61"/>
      <c r="T1439" s="62"/>
      <c r="U1439" s="54"/>
      <c r="V1439" s="50"/>
      <c r="W1439" s="50"/>
    </row>
    <row r="1440" spans="1:23" x14ac:dyDescent="0.25">
      <c r="A1440" s="26">
        <v>42578.712407407409</v>
      </c>
      <c r="B1440" s="4" t="s">
        <v>108</v>
      </c>
      <c r="C1440" s="4" t="s">
        <v>1612</v>
      </c>
      <c r="D1440" s="4" t="s">
        <v>103</v>
      </c>
      <c r="E1440" s="4" t="s">
        <v>129</v>
      </c>
      <c r="F1440" s="3">
        <v>0</v>
      </c>
      <c r="G1440" s="3">
        <v>41</v>
      </c>
      <c r="H1440" s="3">
        <v>58926</v>
      </c>
      <c r="I1440" s="4" t="s">
        <v>130</v>
      </c>
      <c r="J1440" s="3">
        <v>59048</v>
      </c>
      <c r="K1440" s="4" t="s">
        <v>111</v>
      </c>
      <c r="L1440" s="56" t="str">
        <f>VLOOKUP(C1440,'[11]Trips&amp;Operators'!$C$1:$E$9999,3,0)</f>
        <v>HAITHCOX</v>
      </c>
      <c r="M1440" s="20" t="s">
        <v>112</v>
      </c>
      <c r="N1440" s="19"/>
      <c r="O1440" s="19" t="str">
        <f t="shared" si="44"/>
        <v>27</v>
      </c>
      <c r="P1440" s="64">
        <f t="shared" si="45"/>
        <v>42578</v>
      </c>
      <c r="Q1440" s="59"/>
      <c r="R1440" s="60"/>
      <c r="S1440" s="61"/>
      <c r="T1440" s="62"/>
      <c r="U1440" s="54"/>
      <c r="V1440" s="50"/>
      <c r="W1440" s="50"/>
    </row>
    <row r="1441" spans="1:23" x14ac:dyDescent="0.25">
      <c r="A1441" s="26">
        <v>42578.359525462962</v>
      </c>
      <c r="B1441" s="51" t="s">
        <v>121</v>
      </c>
      <c r="C1441" s="4" t="s">
        <v>1592</v>
      </c>
      <c r="D1441" s="4" t="s">
        <v>103</v>
      </c>
      <c r="E1441" s="51" t="s">
        <v>129</v>
      </c>
      <c r="F1441" s="3">
        <v>0</v>
      </c>
      <c r="G1441" s="3">
        <v>64</v>
      </c>
      <c r="H1441" s="3">
        <v>233238</v>
      </c>
      <c r="I1441" s="51" t="s">
        <v>130</v>
      </c>
      <c r="J1441" s="3">
        <v>233491</v>
      </c>
      <c r="K1441" s="4" t="s">
        <v>111</v>
      </c>
      <c r="L1441" s="56" t="str">
        <f>VLOOKUP(C1441,'[11]Trips&amp;Operators'!$C$1:$E$9999,3,0)</f>
        <v>SPECTOR</v>
      </c>
      <c r="M1441" s="20" t="s">
        <v>112</v>
      </c>
      <c r="N1441" s="19"/>
      <c r="O1441" s="19" t="str">
        <f t="shared" si="44"/>
        <v>27</v>
      </c>
      <c r="P1441" s="64">
        <f t="shared" si="45"/>
        <v>42578</v>
      </c>
      <c r="Q1441" s="59"/>
      <c r="R1441" s="60"/>
      <c r="S1441" s="61"/>
      <c r="T1441" s="62"/>
      <c r="U1441" s="54"/>
      <c r="V1441" s="50"/>
      <c r="W1441" s="50"/>
    </row>
    <row r="1442" spans="1:23" x14ac:dyDescent="0.25">
      <c r="A1442" s="26">
        <v>42579.745555555557</v>
      </c>
      <c r="B1442" s="51" t="s">
        <v>139</v>
      </c>
      <c r="C1442" s="4" t="s">
        <v>1613</v>
      </c>
      <c r="D1442" s="4" t="s">
        <v>103</v>
      </c>
      <c r="E1442" s="51" t="s">
        <v>109</v>
      </c>
      <c r="F1442" s="3">
        <v>0</v>
      </c>
      <c r="G1442" s="3">
        <v>482</v>
      </c>
      <c r="H1442" s="3">
        <v>48287</v>
      </c>
      <c r="I1442" s="51" t="s">
        <v>110</v>
      </c>
      <c r="J1442" s="3">
        <v>48048</v>
      </c>
      <c r="K1442" s="4" t="s">
        <v>106</v>
      </c>
      <c r="L1442" s="56" t="str">
        <f>VLOOKUP(C1442,'[12]Trips&amp;Operators'!$C$1:$E$9999,3,0)</f>
        <v>SHOOK</v>
      </c>
      <c r="M1442" s="20" t="s">
        <v>112</v>
      </c>
      <c r="N1442" s="19" t="s">
        <v>543</v>
      </c>
      <c r="O1442" s="19" t="str">
        <f t="shared" si="44"/>
        <v>28</v>
      </c>
      <c r="P1442" s="64">
        <f t="shared" si="45"/>
        <v>42579</v>
      </c>
      <c r="Q1442" s="59"/>
      <c r="R1442" s="60"/>
      <c r="S1442" s="61"/>
      <c r="T1442" s="62"/>
      <c r="U1442" s="54"/>
      <c r="V1442" s="50"/>
      <c r="W1442" s="50"/>
    </row>
    <row r="1443" spans="1:23" x14ac:dyDescent="0.25">
      <c r="A1443" s="26">
        <v>42579.711030092592</v>
      </c>
      <c r="B1443" s="51" t="s">
        <v>119</v>
      </c>
      <c r="C1443" s="4" t="s">
        <v>58</v>
      </c>
      <c r="D1443" s="4" t="s">
        <v>103</v>
      </c>
      <c r="E1443" s="51" t="s">
        <v>109</v>
      </c>
      <c r="F1443" s="3">
        <v>0</v>
      </c>
      <c r="G1443" s="3">
        <v>607</v>
      </c>
      <c r="H1443" s="3">
        <v>78842</v>
      </c>
      <c r="I1443" s="51" t="s">
        <v>110</v>
      </c>
      <c r="J1443" s="3">
        <v>78469</v>
      </c>
      <c r="K1443" s="4" t="s">
        <v>106</v>
      </c>
      <c r="L1443" s="56" t="str">
        <f>VLOOKUP(C1443,'[12]Trips&amp;Operators'!$C$1:$E$9999,3,0)</f>
        <v>ADANE</v>
      </c>
      <c r="M1443" s="20" t="s">
        <v>112</v>
      </c>
      <c r="N1443" s="19" t="s">
        <v>543</v>
      </c>
      <c r="O1443" s="19" t="str">
        <f t="shared" si="44"/>
        <v>28</v>
      </c>
      <c r="P1443" s="64">
        <f t="shared" si="45"/>
        <v>42579</v>
      </c>
      <c r="Q1443" s="59"/>
      <c r="R1443" s="60"/>
      <c r="S1443" s="61"/>
      <c r="T1443" s="62"/>
      <c r="U1443" s="54"/>
      <c r="V1443" s="50"/>
      <c r="W1443" s="50"/>
    </row>
    <row r="1444" spans="1:23" x14ac:dyDescent="0.25">
      <c r="A1444" s="26">
        <v>42579.49590277778</v>
      </c>
      <c r="B1444" s="51" t="s">
        <v>145</v>
      </c>
      <c r="C1444" s="4" t="s">
        <v>214</v>
      </c>
      <c r="D1444" s="4" t="s">
        <v>103</v>
      </c>
      <c r="E1444" s="51" t="s">
        <v>109</v>
      </c>
      <c r="F1444" s="3">
        <v>0</v>
      </c>
      <c r="G1444" s="3">
        <v>434</v>
      </c>
      <c r="H1444" s="3">
        <v>130177</v>
      </c>
      <c r="I1444" s="51" t="s">
        <v>110</v>
      </c>
      <c r="J1444" s="3">
        <v>128462</v>
      </c>
      <c r="K1444" s="4" t="s">
        <v>106</v>
      </c>
      <c r="L1444" s="56" t="str">
        <f>VLOOKUP(C1444,'[12]Trips&amp;Operators'!$C$1:$E$9999,3,0)</f>
        <v>BRANNON</v>
      </c>
      <c r="M1444" s="20" t="s">
        <v>112</v>
      </c>
      <c r="N1444" s="19" t="s">
        <v>543</v>
      </c>
      <c r="O1444" s="19" t="str">
        <f t="shared" si="44"/>
        <v>28</v>
      </c>
      <c r="P1444" s="64">
        <f t="shared" si="45"/>
        <v>42579</v>
      </c>
      <c r="Q1444" s="59"/>
      <c r="R1444" s="60"/>
      <c r="S1444" s="61"/>
      <c r="T1444" s="62"/>
      <c r="U1444" s="54"/>
      <c r="V1444" s="50"/>
      <c r="W1444" s="50"/>
    </row>
    <row r="1445" spans="1:23" x14ac:dyDescent="0.25">
      <c r="A1445" s="26">
        <v>42579.763055555559</v>
      </c>
      <c r="B1445" s="51" t="s">
        <v>124</v>
      </c>
      <c r="C1445" s="4" t="s">
        <v>1614</v>
      </c>
      <c r="D1445" s="4" t="s">
        <v>103</v>
      </c>
      <c r="E1445" s="51" t="s">
        <v>115</v>
      </c>
      <c r="F1445" s="3">
        <v>150</v>
      </c>
      <c r="G1445" s="3">
        <v>225</v>
      </c>
      <c r="H1445" s="3">
        <v>5273</v>
      </c>
      <c r="I1445" s="51" t="s">
        <v>105</v>
      </c>
      <c r="J1445" s="3">
        <v>4677</v>
      </c>
      <c r="K1445" s="4" t="s">
        <v>106</v>
      </c>
      <c r="L1445" s="56" t="str">
        <f>VLOOKUP(C1445,'[12]Trips&amp;Operators'!$C$1:$E$9999,3,0)</f>
        <v>MOSES</v>
      </c>
      <c r="M1445" s="20" t="s">
        <v>112</v>
      </c>
      <c r="N1445" s="19"/>
      <c r="O1445" s="19" t="str">
        <f t="shared" si="44"/>
        <v>28</v>
      </c>
      <c r="P1445" s="64">
        <f t="shared" si="45"/>
        <v>42579</v>
      </c>
      <c r="Q1445" s="59"/>
      <c r="R1445" s="60"/>
      <c r="S1445" s="61"/>
      <c r="T1445" s="62"/>
      <c r="U1445" s="54"/>
      <c r="V1445" s="50"/>
      <c r="W1445" s="50"/>
    </row>
    <row r="1446" spans="1:23" x14ac:dyDescent="0.25">
      <c r="A1446" s="26">
        <v>42579.754212962966</v>
      </c>
      <c r="B1446" s="51" t="s">
        <v>165</v>
      </c>
      <c r="C1446" s="4" t="s">
        <v>1615</v>
      </c>
      <c r="D1446" s="4" t="s">
        <v>116</v>
      </c>
      <c r="E1446" s="51" t="s">
        <v>115</v>
      </c>
      <c r="F1446" s="3">
        <v>300</v>
      </c>
      <c r="G1446" s="3">
        <v>361</v>
      </c>
      <c r="H1446" s="3">
        <v>20417</v>
      </c>
      <c r="I1446" s="51" t="s">
        <v>105</v>
      </c>
      <c r="J1446" s="3">
        <v>20338</v>
      </c>
      <c r="K1446" s="4" t="s">
        <v>111</v>
      </c>
      <c r="L1446" s="56" t="str">
        <f>VLOOKUP(C1446,'[12]Trips&amp;Operators'!$C$1:$E$9999,3,0)</f>
        <v>WEBSTER</v>
      </c>
      <c r="M1446" s="20" t="s">
        <v>112</v>
      </c>
      <c r="N1446" s="19"/>
      <c r="O1446" s="19" t="str">
        <f t="shared" si="44"/>
        <v>28</v>
      </c>
      <c r="P1446" s="64">
        <f t="shared" si="45"/>
        <v>42579</v>
      </c>
      <c r="Q1446" s="59"/>
      <c r="R1446" s="60"/>
      <c r="S1446" s="61"/>
      <c r="T1446" s="62"/>
      <c r="U1446" s="54"/>
      <c r="V1446" s="50"/>
      <c r="W1446" s="50"/>
    </row>
    <row r="1447" spans="1:23" x14ac:dyDescent="0.25">
      <c r="A1447" s="26">
        <v>42579.619791666664</v>
      </c>
      <c r="B1447" s="51" t="s">
        <v>124</v>
      </c>
      <c r="C1447" s="4" t="s">
        <v>1616</v>
      </c>
      <c r="D1447" s="4" t="s">
        <v>103</v>
      </c>
      <c r="E1447" s="51" t="s">
        <v>115</v>
      </c>
      <c r="F1447" s="3">
        <v>300</v>
      </c>
      <c r="G1447" s="3">
        <v>455</v>
      </c>
      <c r="H1447" s="3">
        <v>23780</v>
      </c>
      <c r="I1447" s="51" t="s">
        <v>105</v>
      </c>
      <c r="J1447" s="3">
        <v>21848</v>
      </c>
      <c r="K1447" s="4" t="s">
        <v>106</v>
      </c>
      <c r="L1447" s="56" t="str">
        <f>VLOOKUP(C1447,'[12]Trips&amp;Operators'!$C$1:$E$9999,3,0)</f>
        <v>MOSES</v>
      </c>
      <c r="M1447" s="20" t="s">
        <v>112</v>
      </c>
      <c r="N1447" s="19"/>
      <c r="O1447" s="19" t="str">
        <f t="shared" si="44"/>
        <v>28</v>
      </c>
      <c r="P1447" s="64">
        <f t="shared" si="45"/>
        <v>42579</v>
      </c>
      <c r="Q1447" s="59"/>
      <c r="R1447" s="60"/>
      <c r="S1447" s="61"/>
      <c r="T1447" s="62"/>
      <c r="U1447" s="54"/>
      <c r="V1447" s="50"/>
      <c r="W1447" s="50"/>
    </row>
    <row r="1448" spans="1:23" x14ac:dyDescent="0.25">
      <c r="A1448" s="26">
        <v>42579.689259259256</v>
      </c>
      <c r="B1448" s="51" t="s">
        <v>138</v>
      </c>
      <c r="C1448" s="4" t="s">
        <v>368</v>
      </c>
      <c r="D1448" s="4" t="s">
        <v>103</v>
      </c>
      <c r="E1448" s="51" t="s">
        <v>115</v>
      </c>
      <c r="F1448" s="3">
        <v>150</v>
      </c>
      <c r="G1448" s="3">
        <v>258</v>
      </c>
      <c r="H1448" s="3">
        <v>56545</v>
      </c>
      <c r="I1448" s="51" t="s">
        <v>105</v>
      </c>
      <c r="J1448" s="3">
        <v>57008</v>
      </c>
      <c r="K1448" s="4" t="s">
        <v>111</v>
      </c>
      <c r="L1448" s="56" t="str">
        <f>VLOOKUP(C1448,'[12]Trips&amp;Operators'!$C$1:$E$9999,3,0)</f>
        <v>HELVIE</v>
      </c>
      <c r="M1448" s="20" t="s">
        <v>112</v>
      </c>
      <c r="N1448" s="19"/>
      <c r="O1448" s="19" t="str">
        <f t="shared" si="44"/>
        <v>28</v>
      </c>
      <c r="P1448" s="64">
        <f t="shared" si="45"/>
        <v>42579</v>
      </c>
      <c r="Q1448" s="59"/>
      <c r="R1448" s="60"/>
      <c r="S1448" s="61"/>
      <c r="T1448" s="62"/>
      <c r="U1448" s="54"/>
      <c r="V1448" s="50"/>
      <c r="W1448" s="50"/>
    </row>
    <row r="1449" spans="1:23" x14ac:dyDescent="0.25">
      <c r="A1449" s="26">
        <v>42579.806550925925</v>
      </c>
      <c r="B1449" s="51" t="s">
        <v>108</v>
      </c>
      <c r="C1449" s="4" t="s">
        <v>1617</v>
      </c>
      <c r="D1449" s="4" t="s">
        <v>103</v>
      </c>
      <c r="E1449" s="51" t="s">
        <v>115</v>
      </c>
      <c r="F1449" s="3">
        <v>400</v>
      </c>
      <c r="G1449" s="3">
        <v>585</v>
      </c>
      <c r="H1449" s="3">
        <v>114898</v>
      </c>
      <c r="I1449" s="51" t="s">
        <v>105</v>
      </c>
      <c r="J1449" s="3">
        <v>116838</v>
      </c>
      <c r="K1449" s="4" t="s">
        <v>111</v>
      </c>
      <c r="L1449" s="56" t="str">
        <f>VLOOKUP(C1449,'[12]Trips&amp;Operators'!$C$1:$E$9999,3,0)</f>
        <v>HAITHCOX</v>
      </c>
      <c r="M1449" s="20" t="s">
        <v>112</v>
      </c>
      <c r="N1449" s="19"/>
      <c r="O1449" s="19" t="str">
        <f t="shared" si="44"/>
        <v>28</v>
      </c>
      <c r="P1449" s="64">
        <f t="shared" si="45"/>
        <v>42579</v>
      </c>
      <c r="Q1449" s="59"/>
      <c r="R1449" s="60"/>
      <c r="S1449" s="61"/>
      <c r="T1449" s="62"/>
      <c r="U1449" s="54"/>
      <c r="V1449" s="50"/>
      <c r="W1449" s="50"/>
    </row>
    <row r="1450" spans="1:23" x14ac:dyDescent="0.25">
      <c r="A1450" s="26">
        <v>42579.420081018521</v>
      </c>
      <c r="B1450" s="4" t="s">
        <v>145</v>
      </c>
      <c r="C1450" s="4" t="s">
        <v>1618</v>
      </c>
      <c r="D1450" s="4" t="s">
        <v>116</v>
      </c>
      <c r="E1450" s="4" t="s">
        <v>115</v>
      </c>
      <c r="F1450" s="3">
        <v>700</v>
      </c>
      <c r="G1450" s="3">
        <v>750</v>
      </c>
      <c r="H1450" s="3">
        <v>163432</v>
      </c>
      <c r="I1450" s="4" t="s">
        <v>105</v>
      </c>
      <c r="J1450" s="3">
        <v>183829</v>
      </c>
      <c r="K1450" s="4" t="s">
        <v>106</v>
      </c>
      <c r="L1450" s="56" t="str">
        <f>VLOOKUP(C1450,'[12]Trips&amp;Operators'!$C$1:$E$9999,3,0)</f>
        <v>BRANNON</v>
      </c>
      <c r="M1450" s="20" t="s">
        <v>112</v>
      </c>
      <c r="N1450" s="19"/>
      <c r="O1450" s="19" t="str">
        <f t="shared" si="44"/>
        <v>28</v>
      </c>
      <c r="P1450" s="64">
        <f t="shared" si="45"/>
        <v>42579</v>
      </c>
      <c r="Q1450" s="59"/>
      <c r="R1450" s="60"/>
      <c r="S1450" s="61"/>
      <c r="T1450" s="62"/>
      <c r="U1450" s="54"/>
      <c r="V1450" s="50"/>
      <c r="W1450" s="50"/>
    </row>
    <row r="1451" spans="1:23" x14ac:dyDescent="0.25">
      <c r="A1451" s="26">
        <v>42579.450590277775</v>
      </c>
      <c r="B1451" s="51" t="s">
        <v>108</v>
      </c>
      <c r="C1451" s="4" t="s">
        <v>1619</v>
      </c>
      <c r="D1451" s="4" t="s">
        <v>103</v>
      </c>
      <c r="E1451" s="51" t="s">
        <v>115</v>
      </c>
      <c r="F1451" s="3">
        <v>550</v>
      </c>
      <c r="G1451" s="3">
        <v>610</v>
      </c>
      <c r="H1451" s="3">
        <v>220618</v>
      </c>
      <c r="I1451" s="51" t="s">
        <v>105</v>
      </c>
      <c r="J1451" s="3">
        <v>222090</v>
      </c>
      <c r="K1451" s="4" t="s">
        <v>111</v>
      </c>
      <c r="L1451" s="56" t="str">
        <f>VLOOKUP(C1451,'[12]Trips&amp;Operators'!$C$1:$E$9999,3,0)</f>
        <v>STARKS</v>
      </c>
      <c r="M1451" s="20" t="s">
        <v>112</v>
      </c>
      <c r="N1451" s="19"/>
      <c r="O1451" s="19" t="str">
        <f t="shared" si="44"/>
        <v>28</v>
      </c>
      <c r="P1451" s="64">
        <f t="shared" si="45"/>
        <v>42579</v>
      </c>
      <c r="Q1451" s="59"/>
      <c r="R1451" s="60"/>
      <c r="S1451" s="61"/>
      <c r="T1451" s="62"/>
      <c r="U1451" s="54"/>
      <c r="V1451" s="50"/>
      <c r="W1451" s="50"/>
    </row>
    <row r="1452" spans="1:23" x14ac:dyDescent="0.25">
      <c r="A1452" s="26">
        <v>42579.619189814817</v>
      </c>
      <c r="B1452" s="51" t="s">
        <v>146</v>
      </c>
      <c r="C1452" s="4" t="s">
        <v>57</v>
      </c>
      <c r="D1452" s="4" t="s">
        <v>116</v>
      </c>
      <c r="E1452" s="51" t="s">
        <v>115</v>
      </c>
      <c r="F1452" s="3">
        <v>350</v>
      </c>
      <c r="G1452" s="3">
        <v>401</v>
      </c>
      <c r="H1452" s="3">
        <v>227295</v>
      </c>
      <c r="I1452" s="51" t="s">
        <v>105</v>
      </c>
      <c r="J1452" s="3">
        <v>224578</v>
      </c>
      <c r="K1452" s="4" t="s">
        <v>111</v>
      </c>
      <c r="L1452" s="56" t="str">
        <f>VLOOKUP(C1452,'[12]Trips&amp;Operators'!$C$1:$E$9999,3,0)</f>
        <v>WEBSTER</v>
      </c>
      <c r="M1452" s="20" t="s">
        <v>112</v>
      </c>
      <c r="N1452" s="19"/>
      <c r="O1452" s="19" t="str">
        <f t="shared" si="44"/>
        <v>28</v>
      </c>
      <c r="P1452" s="64">
        <f t="shared" si="45"/>
        <v>42579</v>
      </c>
      <c r="Q1452" s="59"/>
      <c r="R1452" s="60"/>
      <c r="S1452" s="61"/>
      <c r="T1452" s="62"/>
      <c r="U1452" s="54"/>
      <c r="V1452" s="50"/>
      <c r="W1452" s="50"/>
    </row>
    <row r="1453" spans="1:23" x14ac:dyDescent="0.25">
      <c r="A1453" s="26">
        <v>42579.63453703704</v>
      </c>
      <c r="B1453" s="51" t="s">
        <v>145</v>
      </c>
      <c r="C1453" s="4" t="s">
        <v>1620</v>
      </c>
      <c r="D1453" s="4" t="s">
        <v>103</v>
      </c>
      <c r="E1453" s="51" t="s">
        <v>115</v>
      </c>
      <c r="F1453" s="3">
        <v>150</v>
      </c>
      <c r="G1453" s="3">
        <v>202</v>
      </c>
      <c r="H1453" s="3">
        <v>229159</v>
      </c>
      <c r="I1453" s="51" t="s">
        <v>105</v>
      </c>
      <c r="J1453" s="3">
        <v>229055</v>
      </c>
      <c r="K1453" s="4" t="s">
        <v>106</v>
      </c>
      <c r="L1453" s="56" t="str">
        <f>VLOOKUP(C1453,'[12]Trips&amp;Operators'!$C$1:$E$9999,3,0)</f>
        <v>WEBSTER</v>
      </c>
      <c r="M1453" s="20" t="s">
        <v>112</v>
      </c>
      <c r="N1453" s="19"/>
      <c r="O1453" s="19" t="str">
        <f t="shared" si="44"/>
        <v>28</v>
      </c>
      <c r="P1453" s="64">
        <f t="shared" si="45"/>
        <v>42579</v>
      </c>
      <c r="Q1453" s="59"/>
      <c r="R1453" s="60"/>
      <c r="S1453" s="61"/>
      <c r="T1453" s="62"/>
      <c r="U1453" s="54"/>
      <c r="V1453" s="50"/>
      <c r="W1453" s="50"/>
    </row>
    <row r="1454" spans="1:23" x14ac:dyDescent="0.25">
      <c r="A1454" s="26">
        <v>42579.837037037039</v>
      </c>
      <c r="B1454" s="51" t="s">
        <v>146</v>
      </c>
      <c r="C1454" s="4" t="s">
        <v>1621</v>
      </c>
      <c r="D1454" s="4" t="s">
        <v>103</v>
      </c>
      <c r="E1454" s="51" t="s">
        <v>115</v>
      </c>
      <c r="F1454" s="3">
        <v>150</v>
      </c>
      <c r="G1454" s="3">
        <v>313</v>
      </c>
      <c r="H1454" s="3">
        <v>228861</v>
      </c>
      <c r="I1454" s="51" t="s">
        <v>105</v>
      </c>
      <c r="J1454" s="3">
        <v>230436</v>
      </c>
      <c r="K1454" s="4" t="s">
        <v>111</v>
      </c>
      <c r="L1454" s="56" t="str">
        <f>VLOOKUP(C1454,'[12]Trips&amp;Operators'!$C$1:$E$9999,3,0)</f>
        <v>COOLAHAN</v>
      </c>
      <c r="M1454" s="20" t="s">
        <v>112</v>
      </c>
      <c r="N1454" s="19"/>
      <c r="O1454" s="19" t="str">
        <f t="shared" si="44"/>
        <v>28</v>
      </c>
      <c r="P1454" s="64">
        <f t="shared" si="45"/>
        <v>42579</v>
      </c>
      <c r="Q1454" s="59"/>
      <c r="R1454" s="60"/>
      <c r="S1454" s="61"/>
      <c r="T1454" s="62"/>
      <c r="U1454" s="54"/>
      <c r="V1454" s="50"/>
      <c r="W1454" s="50"/>
    </row>
    <row r="1455" spans="1:23" x14ac:dyDescent="0.25">
      <c r="A1455" s="26">
        <v>42579.52034722222</v>
      </c>
      <c r="B1455" s="51" t="s">
        <v>138</v>
      </c>
      <c r="C1455" s="4" t="s">
        <v>1637</v>
      </c>
      <c r="D1455" s="4" t="s">
        <v>103</v>
      </c>
      <c r="E1455" s="51" t="s">
        <v>122</v>
      </c>
      <c r="F1455" s="3">
        <v>0</v>
      </c>
      <c r="G1455" s="3">
        <v>352</v>
      </c>
      <c r="H1455" s="3">
        <v>32793</v>
      </c>
      <c r="I1455" s="51" t="s">
        <v>123</v>
      </c>
      <c r="J1455" s="3">
        <v>34583</v>
      </c>
      <c r="K1455" s="4" t="s">
        <v>111</v>
      </c>
      <c r="L1455" s="56" t="str">
        <f>VLOOKUP(C1455,'[12]Trips&amp;Operators'!$C$1:$E$9999,3,0)</f>
        <v>ROBINSON</v>
      </c>
      <c r="M1455" s="20" t="s">
        <v>112</v>
      </c>
      <c r="N1455" s="19" t="s">
        <v>175</v>
      </c>
      <c r="O1455" s="19" t="str">
        <f t="shared" si="44"/>
        <v>28</v>
      </c>
      <c r="P1455" s="64">
        <f t="shared" si="45"/>
        <v>42579</v>
      </c>
      <c r="Q1455" s="59"/>
      <c r="R1455" s="60"/>
      <c r="S1455" s="61"/>
      <c r="T1455" s="62"/>
      <c r="U1455" s="54"/>
      <c r="V1455" s="50"/>
      <c r="W1455" s="50"/>
    </row>
    <row r="1456" spans="1:23" x14ac:dyDescent="0.25">
      <c r="A1456" s="26">
        <v>42579.601863425924</v>
      </c>
      <c r="B1456" s="4" t="s">
        <v>124</v>
      </c>
      <c r="C1456" s="4" t="s">
        <v>1616</v>
      </c>
      <c r="D1456" s="4" t="s">
        <v>103</v>
      </c>
      <c r="E1456" s="4" t="s">
        <v>122</v>
      </c>
      <c r="F1456" s="3">
        <v>0</v>
      </c>
      <c r="G1456" s="3">
        <v>730</v>
      </c>
      <c r="H1456" s="3">
        <v>137636</v>
      </c>
      <c r="I1456" s="4" t="s">
        <v>123</v>
      </c>
      <c r="J1456" s="3">
        <v>133166</v>
      </c>
      <c r="K1456" s="4" t="s">
        <v>106</v>
      </c>
      <c r="L1456" s="56" t="str">
        <f>VLOOKUP(C1456,'[12]Trips&amp;Operators'!$C$1:$E$9999,3,0)</f>
        <v>MOSES</v>
      </c>
      <c r="M1456" s="20" t="s">
        <v>107</v>
      </c>
      <c r="N1456" s="19" t="s">
        <v>52</v>
      </c>
      <c r="O1456" s="19" t="str">
        <f t="shared" si="44"/>
        <v>28</v>
      </c>
      <c r="P1456" s="64">
        <f t="shared" si="45"/>
        <v>42579</v>
      </c>
      <c r="Q1456" s="59"/>
      <c r="R1456" s="60"/>
      <c r="S1456" s="61"/>
      <c r="T1456" s="62"/>
      <c r="U1456" s="54"/>
      <c r="V1456" s="50"/>
      <c r="W1456" s="50"/>
    </row>
    <row r="1457" spans="1:23" x14ac:dyDescent="0.25">
      <c r="A1457" s="26">
        <v>42579.528009259258</v>
      </c>
      <c r="B1457" s="51" t="s">
        <v>133</v>
      </c>
      <c r="C1457" s="4" t="s">
        <v>1622</v>
      </c>
      <c r="D1457" s="4" t="s">
        <v>103</v>
      </c>
      <c r="E1457" s="51" t="s">
        <v>122</v>
      </c>
      <c r="F1457" s="3">
        <v>0</v>
      </c>
      <c r="G1457" s="3">
        <v>792</v>
      </c>
      <c r="H1457" s="3">
        <v>141360</v>
      </c>
      <c r="I1457" s="51" t="s">
        <v>123</v>
      </c>
      <c r="J1457" s="3">
        <v>144300</v>
      </c>
      <c r="K1457" s="4" t="s">
        <v>111</v>
      </c>
      <c r="L1457" s="56" t="str">
        <f>VLOOKUP(C1457,'[12]Trips&amp;Operators'!$C$1:$E$9999,3,0)</f>
        <v>ADANE</v>
      </c>
      <c r="M1457" s="20" t="s">
        <v>107</v>
      </c>
      <c r="N1457" s="19" t="s">
        <v>52</v>
      </c>
      <c r="O1457" s="19" t="str">
        <f t="shared" si="44"/>
        <v>28</v>
      </c>
      <c r="P1457" s="64">
        <f t="shared" si="45"/>
        <v>42579</v>
      </c>
      <c r="Q1457" s="59"/>
      <c r="R1457" s="60"/>
      <c r="S1457" s="61"/>
      <c r="T1457" s="62"/>
      <c r="U1457" s="54"/>
      <c r="V1457" s="50"/>
      <c r="W1457" s="50"/>
    </row>
    <row r="1458" spans="1:23" x14ac:dyDescent="0.25">
      <c r="A1458" s="26">
        <v>42579.956319444442</v>
      </c>
      <c r="B1458" s="51" t="s">
        <v>163</v>
      </c>
      <c r="C1458" s="4" t="s">
        <v>364</v>
      </c>
      <c r="D1458" s="4" t="s">
        <v>103</v>
      </c>
      <c r="E1458" s="51" t="s">
        <v>122</v>
      </c>
      <c r="F1458" s="3">
        <v>0</v>
      </c>
      <c r="G1458" s="3">
        <v>681</v>
      </c>
      <c r="H1458" s="3">
        <v>149582</v>
      </c>
      <c r="I1458" s="51" t="s">
        <v>123</v>
      </c>
      <c r="J1458" s="3">
        <v>149694</v>
      </c>
      <c r="K1458" s="4" t="s">
        <v>111</v>
      </c>
      <c r="L1458" s="56" t="str">
        <f>VLOOKUP(C1458,'[12]Trips&amp;Operators'!$C$1:$E$9999,3,0)</f>
        <v>STURGEON</v>
      </c>
      <c r="M1458" s="20" t="s">
        <v>107</v>
      </c>
      <c r="N1458" s="19" t="s">
        <v>52</v>
      </c>
      <c r="O1458" s="19" t="str">
        <f t="shared" si="44"/>
        <v>28</v>
      </c>
      <c r="P1458" s="64">
        <f t="shared" si="45"/>
        <v>42579</v>
      </c>
      <c r="Q1458" s="59"/>
      <c r="R1458" s="60"/>
      <c r="S1458" s="61"/>
      <c r="T1458" s="62"/>
      <c r="U1458" s="54"/>
      <c r="V1458" s="50"/>
      <c r="W1458" s="50"/>
    </row>
    <row r="1459" spans="1:23" x14ac:dyDescent="0.25">
      <c r="A1459" s="26">
        <v>42579.397789351853</v>
      </c>
      <c r="B1459" s="51" t="s">
        <v>134</v>
      </c>
      <c r="C1459" s="4" t="s">
        <v>1623</v>
      </c>
      <c r="D1459" s="4" t="s">
        <v>103</v>
      </c>
      <c r="E1459" s="51" t="s">
        <v>122</v>
      </c>
      <c r="F1459" s="3">
        <v>0</v>
      </c>
      <c r="G1459" s="3">
        <v>600</v>
      </c>
      <c r="H1459" s="3">
        <v>186513</v>
      </c>
      <c r="I1459" s="51" t="s">
        <v>123</v>
      </c>
      <c r="J1459" s="3">
        <v>182920</v>
      </c>
      <c r="K1459" s="4" t="s">
        <v>106</v>
      </c>
      <c r="L1459" s="56" t="str">
        <f>VLOOKUP(C1459,'[12]Trips&amp;Operators'!$C$1:$E$9999,3,0)</f>
        <v>STARKS</v>
      </c>
      <c r="M1459" s="20" t="s">
        <v>107</v>
      </c>
      <c r="N1459" s="19" t="s">
        <v>52</v>
      </c>
      <c r="O1459" s="19" t="str">
        <f t="shared" si="44"/>
        <v>28</v>
      </c>
      <c r="P1459" s="64">
        <f t="shared" si="45"/>
        <v>42579</v>
      </c>
      <c r="Q1459" s="59"/>
      <c r="R1459" s="60"/>
      <c r="S1459" s="61"/>
      <c r="T1459" s="62"/>
      <c r="U1459" s="54"/>
      <c r="V1459" s="50"/>
      <c r="W1459" s="50"/>
    </row>
    <row r="1460" spans="1:23" x14ac:dyDescent="0.25">
      <c r="A1460" s="26">
        <v>42579.500844907408</v>
      </c>
      <c r="B1460" s="51" t="s">
        <v>164</v>
      </c>
      <c r="C1460" s="4" t="s">
        <v>1624</v>
      </c>
      <c r="D1460" s="4" t="s">
        <v>103</v>
      </c>
      <c r="E1460" s="51" t="s">
        <v>122</v>
      </c>
      <c r="F1460" s="3">
        <v>0</v>
      </c>
      <c r="G1460" s="3">
        <v>343</v>
      </c>
      <c r="H1460" s="3">
        <v>193480</v>
      </c>
      <c r="I1460" s="51" t="s">
        <v>123</v>
      </c>
      <c r="J1460" s="3">
        <v>191723</v>
      </c>
      <c r="K1460" s="4" t="s">
        <v>106</v>
      </c>
      <c r="L1460" s="56" t="str">
        <f>VLOOKUP(C1460,'[12]Trips&amp;Operators'!$C$1:$E$9999,3,0)</f>
        <v>BONDS</v>
      </c>
      <c r="M1460" s="20" t="s">
        <v>112</v>
      </c>
      <c r="N1460" s="19" t="s">
        <v>1625</v>
      </c>
      <c r="O1460" s="19" t="str">
        <f t="shared" si="44"/>
        <v>28</v>
      </c>
      <c r="P1460" s="64">
        <f t="shared" si="45"/>
        <v>42579</v>
      </c>
      <c r="Q1460" s="59"/>
      <c r="R1460" s="60"/>
      <c r="S1460" s="61"/>
      <c r="T1460" s="62"/>
      <c r="U1460" s="54"/>
      <c r="V1460" s="50"/>
      <c r="W1460" s="50"/>
    </row>
    <row r="1461" spans="1:23" x14ac:dyDescent="0.25">
      <c r="A1461" s="26">
        <v>42579.646643518521</v>
      </c>
      <c r="B1461" s="51" t="s">
        <v>164</v>
      </c>
      <c r="C1461" s="4" t="s">
        <v>1626</v>
      </c>
      <c r="D1461" s="4" t="s">
        <v>103</v>
      </c>
      <c r="E1461" s="51" t="s">
        <v>122</v>
      </c>
      <c r="F1461" s="3">
        <v>0</v>
      </c>
      <c r="G1461" s="3">
        <v>355</v>
      </c>
      <c r="H1461" s="3">
        <v>193576</v>
      </c>
      <c r="I1461" s="51" t="s">
        <v>123</v>
      </c>
      <c r="J1461" s="3">
        <v>191723</v>
      </c>
      <c r="K1461" s="4" t="s">
        <v>106</v>
      </c>
      <c r="L1461" s="56" t="str">
        <f>VLOOKUP(C1461,'[12]Trips&amp;Operators'!$C$1:$E$9999,3,0)</f>
        <v>BONDS</v>
      </c>
      <c r="M1461" s="20" t="s">
        <v>112</v>
      </c>
      <c r="N1461" s="19" t="s">
        <v>1625</v>
      </c>
      <c r="O1461" s="19" t="str">
        <f t="shared" si="44"/>
        <v>28</v>
      </c>
      <c r="P1461" s="64">
        <f t="shared" si="45"/>
        <v>42579</v>
      </c>
      <c r="Q1461" s="59"/>
      <c r="R1461" s="60"/>
      <c r="S1461" s="61"/>
      <c r="T1461" s="62"/>
      <c r="U1461" s="54"/>
      <c r="V1461" s="50"/>
      <c r="W1461" s="50"/>
    </row>
    <row r="1462" spans="1:23" x14ac:dyDescent="0.25">
      <c r="A1462" s="26">
        <v>42579.750763888886</v>
      </c>
      <c r="B1462" s="51" t="s">
        <v>118</v>
      </c>
      <c r="C1462" s="4" t="s">
        <v>1627</v>
      </c>
      <c r="D1462" s="4" t="s">
        <v>103</v>
      </c>
      <c r="E1462" s="51" t="s">
        <v>122</v>
      </c>
      <c r="F1462" s="3">
        <v>0</v>
      </c>
      <c r="G1462" s="3">
        <v>342</v>
      </c>
      <c r="H1462" s="3">
        <v>193385</v>
      </c>
      <c r="I1462" s="51" t="s">
        <v>123</v>
      </c>
      <c r="J1462" s="3">
        <v>191723</v>
      </c>
      <c r="K1462" s="4" t="s">
        <v>106</v>
      </c>
      <c r="L1462" s="56" t="str">
        <f>VLOOKUP(C1462,'[12]Trips&amp;Operators'!$C$1:$E$9999,3,0)</f>
        <v>ISHMAEL</v>
      </c>
      <c r="M1462" s="20" t="s">
        <v>112</v>
      </c>
      <c r="N1462" s="19" t="s">
        <v>1625</v>
      </c>
      <c r="O1462" s="19" t="str">
        <f t="shared" si="44"/>
        <v>28</v>
      </c>
      <c r="P1462" s="64">
        <f t="shared" si="45"/>
        <v>42579</v>
      </c>
      <c r="Q1462" s="59"/>
      <c r="R1462" s="60"/>
      <c r="S1462" s="61"/>
      <c r="T1462" s="62"/>
      <c r="U1462" s="54"/>
      <c r="V1462" s="50"/>
      <c r="W1462" s="50"/>
    </row>
    <row r="1463" spans="1:23" x14ac:dyDescent="0.25">
      <c r="A1463" s="26">
        <v>42579.261284722219</v>
      </c>
      <c r="B1463" s="51" t="s">
        <v>165</v>
      </c>
      <c r="C1463" s="4" t="s">
        <v>1628</v>
      </c>
      <c r="D1463" s="4" t="s">
        <v>103</v>
      </c>
      <c r="E1463" s="51" t="s">
        <v>122</v>
      </c>
      <c r="F1463" s="3">
        <v>0</v>
      </c>
      <c r="G1463" s="3">
        <v>704</v>
      </c>
      <c r="H1463" s="3">
        <v>194485</v>
      </c>
      <c r="I1463" s="51" t="s">
        <v>123</v>
      </c>
      <c r="J1463" s="3">
        <v>198242</v>
      </c>
      <c r="K1463" s="4" t="s">
        <v>111</v>
      </c>
      <c r="L1463" s="56" t="str">
        <f>VLOOKUP(C1463,'[12]Trips&amp;Operators'!$C$1:$E$9999,3,0)</f>
        <v>SPECTOR</v>
      </c>
      <c r="M1463" s="20" t="s">
        <v>107</v>
      </c>
      <c r="N1463" s="19" t="s">
        <v>1629</v>
      </c>
      <c r="O1463" s="19" t="str">
        <f t="shared" si="44"/>
        <v>28</v>
      </c>
      <c r="P1463" s="64">
        <f t="shared" si="45"/>
        <v>42579</v>
      </c>
      <c r="Q1463" s="59"/>
      <c r="R1463" s="60"/>
      <c r="S1463" s="61"/>
      <c r="T1463" s="62"/>
      <c r="U1463" s="54"/>
      <c r="V1463" s="50"/>
      <c r="W1463" s="50"/>
    </row>
    <row r="1464" spans="1:23" x14ac:dyDescent="0.25">
      <c r="A1464" s="26">
        <v>42579.47079861111</v>
      </c>
      <c r="B1464" s="51" t="s">
        <v>146</v>
      </c>
      <c r="C1464" s="4" t="s">
        <v>1630</v>
      </c>
      <c r="D1464" s="4" t="s">
        <v>103</v>
      </c>
      <c r="E1464" s="51" t="s">
        <v>122</v>
      </c>
      <c r="F1464" s="3">
        <v>0</v>
      </c>
      <c r="G1464" s="3">
        <v>384</v>
      </c>
      <c r="H1464" s="3">
        <v>223991</v>
      </c>
      <c r="I1464" s="51" t="s">
        <v>123</v>
      </c>
      <c r="J1464" s="3">
        <v>224231</v>
      </c>
      <c r="K1464" s="4" t="s">
        <v>111</v>
      </c>
      <c r="L1464" s="56" t="str">
        <f>VLOOKUP(C1464,'[12]Trips&amp;Operators'!$C$1:$E$9999,3,0)</f>
        <v>BRANNON</v>
      </c>
      <c r="M1464" s="20" t="s">
        <v>107</v>
      </c>
      <c r="N1464" s="19" t="s">
        <v>52</v>
      </c>
      <c r="O1464" s="19" t="str">
        <f t="shared" si="44"/>
        <v>28</v>
      </c>
      <c r="P1464" s="64">
        <f t="shared" si="45"/>
        <v>42579</v>
      </c>
      <c r="Q1464" s="59"/>
      <c r="R1464" s="60"/>
      <c r="S1464" s="61"/>
      <c r="T1464" s="62"/>
      <c r="U1464" s="54"/>
      <c r="V1464" s="50"/>
      <c r="W1464" s="50"/>
    </row>
    <row r="1465" spans="1:23" x14ac:dyDescent="0.25">
      <c r="A1465" s="26">
        <v>42579.828055555554</v>
      </c>
      <c r="B1465" s="51" t="s">
        <v>146</v>
      </c>
      <c r="C1465" s="4" t="s">
        <v>1621</v>
      </c>
      <c r="D1465" s="4" t="s">
        <v>103</v>
      </c>
      <c r="E1465" s="51" t="s">
        <v>127</v>
      </c>
      <c r="F1465" s="3">
        <v>0</v>
      </c>
      <c r="G1465" s="3">
        <v>578</v>
      </c>
      <c r="H1465" s="3">
        <v>122835</v>
      </c>
      <c r="I1465" s="51" t="s">
        <v>128</v>
      </c>
      <c r="J1465" s="3">
        <v>126678</v>
      </c>
      <c r="K1465" s="4" t="s">
        <v>111</v>
      </c>
      <c r="L1465" s="56" t="str">
        <f>VLOOKUP(C1465,'[12]Trips&amp;Operators'!$C$1:$E$9999,3,0)</f>
        <v>COOLAHAN</v>
      </c>
      <c r="M1465" s="20" t="s">
        <v>107</v>
      </c>
      <c r="N1465" s="19" t="s">
        <v>52</v>
      </c>
      <c r="O1465" s="19" t="str">
        <f t="shared" si="44"/>
        <v>28</v>
      </c>
      <c r="P1465" s="64">
        <f t="shared" si="45"/>
        <v>42579</v>
      </c>
      <c r="Q1465" s="59"/>
      <c r="R1465" s="60"/>
      <c r="S1465" s="61"/>
      <c r="T1465" s="62"/>
      <c r="U1465" s="54"/>
      <c r="V1465" s="50"/>
      <c r="W1465" s="50"/>
    </row>
    <row r="1466" spans="1:23" x14ac:dyDescent="0.25">
      <c r="A1466" s="26">
        <v>42579.391805555555</v>
      </c>
      <c r="B1466" s="51" t="s">
        <v>138</v>
      </c>
      <c r="C1466" s="4" t="s">
        <v>1638</v>
      </c>
      <c r="D1466" s="4" t="s">
        <v>103</v>
      </c>
      <c r="E1466" s="51" t="s">
        <v>184</v>
      </c>
      <c r="F1466" s="3">
        <v>100</v>
      </c>
      <c r="G1466" s="3">
        <v>354</v>
      </c>
      <c r="H1466" s="3">
        <v>8113</v>
      </c>
      <c r="I1466" s="51" t="s">
        <v>110</v>
      </c>
      <c r="J1466" s="3">
        <v>10701</v>
      </c>
      <c r="K1466" s="4" t="s">
        <v>111</v>
      </c>
      <c r="L1466" s="56" t="str">
        <f>VLOOKUP(C1466,'[12]Trips&amp;Operators'!$C$1:$E$9999,3,0)</f>
        <v>ROBINSON</v>
      </c>
      <c r="M1466" s="20" t="s">
        <v>112</v>
      </c>
      <c r="N1466" s="19"/>
      <c r="O1466" s="19" t="str">
        <f t="shared" si="44"/>
        <v>28</v>
      </c>
      <c r="P1466" s="64">
        <f t="shared" si="45"/>
        <v>42579</v>
      </c>
      <c r="Q1466" s="59"/>
      <c r="R1466" s="60"/>
      <c r="S1466" s="61"/>
      <c r="T1466" s="62"/>
      <c r="U1466" s="54"/>
      <c r="V1466" s="50"/>
      <c r="W1466" s="50"/>
    </row>
    <row r="1467" spans="1:23" x14ac:dyDescent="0.25">
      <c r="A1467" s="26">
        <v>42579.378518518519</v>
      </c>
      <c r="B1467" s="51" t="s">
        <v>164</v>
      </c>
      <c r="C1467" s="4" t="s">
        <v>1631</v>
      </c>
      <c r="D1467" s="4" t="s">
        <v>103</v>
      </c>
      <c r="E1467" s="51" t="s">
        <v>129</v>
      </c>
      <c r="F1467" s="3">
        <v>0</v>
      </c>
      <c r="G1467" s="3">
        <v>51</v>
      </c>
      <c r="H1467" s="3">
        <v>183</v>
      </c>
      <c r="I1467" s="51" t="s">
        <v>130</v>
      </c>
      <c r="J1467" s="3">
        <v>1</v>
      </c>
      <c r="K1467" s="4" t="s">
        <v>106</v>
      </c>
      <c r="L1467" s="56" t="str">
        <f>VLOOKUP(C1467,'[12]Trips&amp;Operators'!$C$1:$E$9999,3,0)</f>
        <v>SPECTOR</v>
      </c>
      <c r="M1467" s="20" t="s">
        <v>112</v>
      </c>
      <c r="N1467" s="19"/>
      <c r="O1467" s="19" t="str">
        <f t="shared" si="44"/>
        <v>28</v>
      </c>
      <c r="P1467" s="64">
        <f t="shared" si="45"/>
        <v>42579</v>
      </c>
      <c r="Q1467" s="59"/>
      <c r="R1467" s="60"/>
      <c r="S1467" s="61"/>
      <c r="T1467" s="62"/>
      <c r="U1467" s="54"/>
      <c r="V1467" s="50"/>
      <c r="W1467" s="50"/>
    </row>
    <row r="1468" spans="1:23" x14ac:dyDescent="0.25">
      <c r="A1468" s="26">
        <v>42579.430069444446</v>
      </c>
      <c r="B1468" s="51" t="s">
        <v>119</v>
      </c>
      <c r="C1468" s="4" t="s">
        <v>1632</v>
      </c>
      <c r="D1468" s="4" t="s">
        <v>103</v>
      </c>
      <c r="E1468" s="51" t="s">
        <v>129</v>
      </c>
      <c r="F1468" s="3">
        <v>0</v>
      </c>
      <c r="G1468" s="3">
        <v>82</v>
      </c>
      <c r="H1468" s="3">
        <v>302</v>
      </c>
      <c r="I1468" s="51" t="s">
        <v>130</v>
      </c>
      <c r="J1468" s="3">
        <v>1</v>
      </c>
      <c r="K1468" s="4" t="s">
        <v>106</v>
      </c>
      <c r="L1468" s="56" t="str">
        <f>VLOOKUP(C1468,'[12]Trips&amp;Operators'!$C$1:$E$9999,3,0)</f>
        <v>MAELZER</v>
      </c>
      <c r="M1468" s="20" t="s">
        <v>112</v>
      </c>
      <c r="N1468" s="19"/>
      <c r="O1468" s="19" t="str">
        <f t="shared" si="44"/>
        <v>28</v>
      </c>
      <c r="P1468" s="64">
        <f t="shared" si="45"/>
        <v>42579</v>
      </c>
      <c r="Q1468" s="59"/>
      <c r="R1468" s="60"/>
      <c r="S1468" s="61"/>
      <c r="T1468" s="62"/>
      <c r="U1468" s="54"/>
      <c r="V1468" s="50"/>
      <c r="W1468" s="50"/>
    </row>
    <row r="1469" spans="1:23" x14ac:dyDescent="0.25">
      <c r="A1469" s="26">
        <v>42579.441469907404</v>
      </c>
      <c r="B1469" s="4" t="s">
        <v>145</v>
      </c>
      <c r="C1469" s="4" t="s">
        <v>1618</v>
      </c>
      <c r="D1469" s="4" t="s">
        <v>103</v>
      </c>
      <c r="E1469" s="4" t="s">
        <v>129</v>
      </c>
      <c r="F1469" s="3">
        <v>0</v>
      </c>
      <c r="G1469" s="3">
        <v>73</v>
      </c>
      <c r="H1469" s="3">
        <v>265</v>
      </c>
      <c r="I1469" s="4" t="s">
        <v>130</v>
      </c>
      <c r="J1469" s="3">
        <v>1</v>
      </c>
      <c r="K1469" s="4" t="s">
        <v>106</v>
      </c>
      <c r="L1469" s="56" t="str">
        <f>VLOOKUP(C1469,'[12]Trips&amp;Operators'!$C$1:$E$9999,3,0)</f>
        <v>BRANNON</v>
      </c>
      <c r="M1469" s="20" t="s">
        <v>112</v>
      </c>
      <c r="N1469" s="19"/>
      <c r="O1469" s="19" t="str">
        <f t="shared" si="44"/>
        <v>28</v>
      </c>
      <c r="P1469" s="64">
        <f t="shared" si="45"/>
        <v>42579</v>
      </c>
      <c r="Q1469" s="59"/>
      <c r="R1469" s="60"/>
      <c r="S1469" s="61"/>
      <c r="T1469" s="62"/>
      <c r="U1469" s="54"/>
      <c r="V1469" s="50"/>
      <c r="W1469" s="50"/>
    </row>
    <row r="1470" spans="1:23" x14ac:dyDescent="0.25">
      <c r="A1470" s="26">
        <v>42579.554525462961</v>
      </c>
      <c r="B1470" s="51" t="s">
        <v>118</v>
      </c>
      <c r="C1470" s="4" t="s">
        <v>1633</v>
      </c>
      <c r="D1470" s="4" t="s">
        <v>103</v>
      </c>
      <c r="E1470" s="51" t="s">
        <v>129</v>
      </c>
      <c r="F1470" s="3">
        <v>0</v>
      </c>
      <c r="G1470" s="3">
        <v>76</v>
      </c>
      <c r="H1470" s="3">
        <v>274</v>
      </c>
      <c r="I1470" s="51" t="s">
        <v>130</v>
      </c>
      <c r="J1470" s="3">
        <v>1</v>
      </c>
      <c r="K1470" s="4" t="s">
        <v>106</v>
      </c>
      <c r="L1470" s="56" t="str">
        <f>VLOOKUP(C1470,'[12]Trips&amp;Operators'!$C$1:$E$9999,3,0)</f>
        <v>ISHMAEL</v>
      </c>
      <c r="M1470" s="20" t="s">
        <v>112</v>
      </c>
      <c r="N1470" s="19"/>
      <c r="O1470" s="19" t="str">
        <f t="shared" si="44"/>
        <v>28</v>
      </c>
      <c r="P1470" s="64">
        <f t="shared" si="45"/>
        <v>42579</v>
      </c>
      <c r="Q1470" s="59"/>
      <c r="R1470" s="60"/>
      <c r="S1470" s="61"/>
      <c r="T1470" s="62"/>
      <c r="U1470" s="54"/>
      <c r="V1470" s="50"/>
      <c r="W1470" s="50"/>
    </row>
    <row r="1471" spans="1:23" x14ac:dyDescent="0.25">
      <c r="A1471" s="26">
        <v>42579.69222222222</v>
      </c>
      <c r="B1471" s="51" t="s">
        <v>124</v>
      </c>
      <c r="C1471" s="4" t="s">
        <v>1634</v>
      </c>
      <c r="D1471" s="4" t="s">
        <v>103</v>
      </c>
      <c r="E1471" s="51" t="s">
        <v>129</v>
      </c>
      <c r="F1471" s="3">
        <v>0</v>
      </c>
      <c r="G1471" s="3">
        <v>96</v>
      </c>
      <c r="H1471" s="3">
        <v>391</v>
      </c>
      <c r="I1471" s="51" t="s">
        <v>130</v>
      </c>
      <c r="J1471" s="3">
        <v>1</v>
      </c>
      <c r="K1471" s="4" t="s">
        <v>106</v>
      </c>
      <c r="L1471" s="56" t="str">
        <f>VLOOKUP(C1471,'[12]Trips&amp;Operators'!$C$1:$E$9999,3,0)</f>
        <v>MOSES</v>
      </c>
      <c r="M1471" s="20" t="s">
        <v>112</v>
      </c>
      <c r="N1471" s="19"/>
      <c r="O1471" s="19" t="str">
        <f t="shared" si="44"/>
        <v>28</v>
      </c>
      <c r="P1471" s="64">
        <f t="shared" si="45"/>
        <v>42579</v>
      </c>
      <c r="Q1471" s="59"/>
      <c r="R1471" s="60"/>
      <c r="S1471" s="61"/>
      <c r="T1471" s="62"/>
      <c r="U1471" s="54"/>
      <c r="V1471" s="50"/>
      <c r="W1471" s="50"/>
    </row>
    <row r="1472" spans="1:23" x14ac:dyDescent="0.25">
      <c r="A1472" s="26">
        <v>42580.045057870368</v>
      </c>
      <c r="B1472" s="51" t="s">
        <v>145</v>
      </c>
      <c r="C1472" s="4" t="s">
        <v>1635</v>
      </c>
      <c r="D1472" s="4" t="s">
        <v>103</v>
      </c>
      <c r="E1472" s="51" t="s">
        <v>129</v>
      </c>
      <c r="F1472" s="3">
        <v>0</v>
      </c>
      <c r="G1472" s="3">
        <v>49</v>
      </c>
      <c r="H1472" s="3">
        <v>149</v>
      </c>
      <c r="I1472" s="51" t="s">
        <v>130</v>
      </c>
      <c r="J1472" s="3">
        <v>1</v>
      </c>
      <c r="K1472" s="4" t="s">
        <v>106</v>
      </c>
      <c r="L1472" s="56" t="str">
        <f>VLOOKUP(C1472,'[12]Trips&amp;Operators'!$C$1:$E$9999,3,0)</f>
        <v>COOLAHAN</v>
      </c>
      <c r="M1472" s="20" t="s">
        <v>112</v>
      </c>
      <c r="N1472" s="19"/>
      <c r="O1472" s="19" t="str">
        <f t="shared" si="44"/>
        <v>28</v>
      </c>
      <c r="P1472" s="64">
        <f t="shared" si="45"/>
        <v>42579</v>
      </c>
      <c r="Q1472" s="59"/>
      <c r="R1472" s="60"/>
      <c r="S1472" s="61"/>
      <c r="T1472" s="62"/>
      <c r="U1472" s="54"/>
      <c r="V1472" s="50"/>
      <c r="W1472" s="50"/>
    </row>
    <row r="1473" spans="1:23" x14ac:dyDescent="0.25">
      <c r="A1473" s="26">
        <v>42579.41547453704</v>
      </c>
      <c r="B1473" s="51" t="s">
        <v>136</v>
      </c>
      <c r="C1473" s="4" t="s">
        <v>1639</v>
      </c>
      <c r="D1473" s="4" t="s">
        <v>103</v>
      </c>
      <c r="E1473" s="51" t="s">
        <v>129</v>
      </c>
      <c r="F1473" s="3">
        <v>0</v>
      </c>
      <c r="G1473" s="3">
        <v>18</v>
      </c>
      <c r="H1473" s="3">
        <v>663</v>
      </c>
      <c r="I1473" s="51" t="s">
        <v>130</v>
      </c>
      <c r="J1473" s="3">
        <v>575</v>
      </c>
      <c r="K1473" s="4" t="s">
        <v>106</v>
      </c>
      <c r="L1473" s="56" t="str">
        <f>VLOOKUP(C1473,'[12]Trips&amp;Operators'!$C$1:$E$9999,3,0)</f>
        <v>ROBINSON</v>
      </c>
      <c r="M1473" s="20" t="s">
        <v>112</v>
      </c>
      <c r="N1473" s="19"/>
      <c r="O1473" s="19" t="str">
        <f t="shared" si="44"/>
        <v>28</v>
      </c>
      <c r="P1473" s="64">
        <f t="shared" si="45"/>
        <v>42579</v>
      </c>
      <c r="Q1473" s="59"/>
      <c r="R1473" s="60"/>
      <c r="S1473" s="61"/>
      <c r="T1473" s="62"/>
      <c r="U1473" s="54"/>
      <c r="V1473" s="50"/>
      <c r="W1473" s="50"/>
    </row>
    <row r="1474" spans="1:23" x14ac:dyDescent="0.25">
      <c r="A1474" s="26">
        <v>42579.539120370369</v>
      </c>
      <c r="B1474" s="4" t="s">
        <v>136</v>
      </c>
      <c r="C1474" s="4" t="s">
        <v>1640</v>
      </c>
      <c r="D1474" s="4" t="s">
        <v>103</v>
      </c>
      <c r="E1474" s="4" t="s">
        <v>129</v>
      </c>
      <c r="F1474" s="3">
        <v>0</v>
      </c>
      <c r="G1474" s="3">
        <v>63</v>
      </c>
      <c r="H1474" s="3">
        <v>810</v>
      </c>
      <c r="I1474" s="4" t="s">
        <v>130</v>
      </c>
      <c r="J1474" s="3">
        <v>575</v>
      </c>
      <c r="K1474" s="4" t="s">
        <v>106</v>
      </c>
      <c r="L1474" s="56" t="str">
        <f>VLOOKUP(C1474,'[12]Trips&amp;Operators'!$C$1:$E$9999,3,0)</f>
        <v>ROBINSON</v>
      </c>
      <c r="M1474" s="20" t="s">
        <v>112</v>
      </c>
      <c r="N1474" s="19"/>
      <c r="O1474" s="19" t="str">
        <f t="shared" ref="O1474:O1537" si="46">RIGHT(C1474,2)</f>
        <v>28</v>
      </c>
      <c r="P1474" s="64">
        <f t="shared" si="45"/>
        <v>42579</v>
      </c>
      <c r="Q1474" s="59"/>
      <c r="R1474" s="60"/>
      <c r="S1474" s="61"/>
      <c r="T1474" s="62"/>
      <c r="U1474" s="54"/>
      <c r="V1474" s="50"/>
      <c r="W1474" s="50"/>
    </row>
    <row r="1475" spans="1:23" x14ac:dyDescent="0.25">
      <c r="A1475" s="26">
        <v>42579.539502314816</v>
      </c>
      <c r="B1475" s="51" t="s">
        <v>136</v>
      </c>
      <c r="C1475" s="4" t="s">
        <v>1640</v>
      </c>
      <c r="D1475" s="4" t="s">
        <v>103</v>
      </c>
      <c r="E1475" s="51" t="s">
        <v>129</v>
      </c>
      <c r="F1475" s="3">
        <v>0</v>
      </c>
      <c r="G1475" s="3">
        <v>37</v>
      </c>
      <c r="H1475" s="3">
        <v>691</v>
      </c>
      <c r="I1475" s="51" t="s">
        <v>130</v>
      </c>
      <c r="J1475" s="3">
        <v>575</v>
      </c>
      <c r="K1475" s="4" t="s">
        <v>106</v>
      </c>
      <c r="L1475" s="56" t="str">
        <f>VLOOKUP(C1475,'[12]Trips&amp;Operators'!$C$1:$E$9999,3,0)</f>
        <v>ROBINSON</v>
      </c>
      <c r="M1475" s="20" t="s">
        <v>112</v>
      </c>
      <c r="N1475" s="19"/>
      <c r="O1475" s="19" t="str">
        <f t="shared" si="46"/>
        <v>28</v>
      </c>
      <c r="P1475" s="64">
        <f t="shared" ref="P1475:P1538" si="47">42522+O1475+29</f>
        <v>42579</v>
      </c>
      <c r="Q1475" s="59"/>
      <c r="R1475" s="60"/>
      <c r="S1475" s="61"/>
      <c r="T1475" s="62"/>
      <c r="U1475" s="54"/>
      <c r="V1475" s="50"/>
      <c r="W1475" s="50"/>
    </row>
    <row r="1476" spans="1:23" x14ac:dyDescent="0.25">
      <c r="A1476" s="26">
        <v>42579.600694444445</v>
      </c>
      <c r="B1476" s="51" t="s">
        <v>136</v>
      </c>
      <c r="C1476" s="4" t="s">
        <v>1641</v>
      </c>
      <c r="D1476" s="4" t="s">
        <v>103</v>
      </c>
      <c r="E1476" s="51" t="s">
        <v>129</v>
      </c>
      <c r="F1476" s="3">
        <v>0</v>
      </c>
      <c r="G1476" s="3">
        <v>64</v>
      </c>
      <c r="H1476" s="3">
        <v>769</v>
      </c>
      <c r="I1476" s="51" t="s">
        <v>130</v>
      </c>
      <c r="J1476" s="3">
        <v>575</v>
      </c>
      <c r="K1476" s="4" t="s">
        <v>106</v>
      </c>
      <c r="L1476" s="56" t="str">
        <f>VLOOKUP(C1476,'[12]Trips&amp;Operators'!$C$1:$E$9999,3,0)</f>
        <v>POLLOCK</v>
      </c>
      <c r="M1476" s="20" t="s">
        <v>112</v>
      </c>
      <c r="N1476" s="19"/>
      <c r="O1476" s="19" t="str">
        <f t="shared" si="46"/>
        <v>28</v>
      </c>
      <c r="P1476" s="64">
        <f t="shared" si="47"/>
        <v>42579</v>
      </c>
      <c r="Q1476" s="59"/>
      <c r="R1476" s="60"/>
      <c r="S1476" s="61"/>
      <c r="T1476" s="62"/>
      <c r="U1476" s="54"/>
      <c r="V1476" s="50"/>
      <c r="W1476" s="50"/>
    </row>
    <row r="1477" spans="1:23" x14ac:dyDescent="0.25">
      <c r="A1477" s="26">
        <v>42579.685752314814</v>
      </c>
      <c r="B1477" s="51" t="s">
        <v>117</v>
      </c>
      <c r="C1477" s="4" t="s">
        <v>366</v>
      </c>
      <c r="D1477" s="4" t="s">
        <v>103</v>
      </c>
      <c r="E1477" s="51" t="s">
        <v>129</v>
      </c>
      <c r="F1477" s="3">
        <v>0</v>
      </c>
      <c r="G1477" s="3">
        <v>37</v>
      </c>
      <c r="H1477" s="3">
        <v>682</v>
      </c>
      <c r="I1477" s="51" t="s">
        <v>130</v>
      </c>
      <c r="J1477" s="3">
        <v>575</v>
      </c>
      <c r="K1477" s="4" t="s">
        <v>106</v>
      </c>
      <c r="L1477" s="56" t="str">
        <f>VLOOKUP(C1477,'[12]Trips&amp;Operators'!$C$1:$E$9999,3,0)</f>
        <v>SWANSON</v>
      </c>
      <c r="M1477" s="20" t="s">
        <v>112</v>
      </c>
      <c r="N1477" s="19"/>
      <c r="O1477" s="19" t="str">
        <f t="shared" si="46"/>
        <v>28</v>
      </c>
      <c r="P1477" s="64">
        <f t="shared" si="47"/>
        <v>42579</v>
      </c>
      <c r="Q1477" s="59"/>
      <c r="R1477" s="60"/>
      <c r="S1477" s="61"/>
      <c r="T1477" s="62"/>
      <c r="U1477" s="54"/>
      <c r="V1477" s="50"/>
      <c r="W1477" s="50"/>
    </row>
    <row r="1478" spans="1:23" x14ac:dyDescent="0.25">
      <c r="A1478" s="26">
        <v>42579.727523148147</v>
      </c>
      <c r="B1478" s="51" t="s">
        <v>117</v>
      </c>
      <c r="C1478" s="4" t="s">
        <v>367</v>
      </c>
      <c r="D1478" s="4" t="s">
        <v>103</v>
      </c>
      <c r="E1478" s="51" t="s">
        <v>129</v>
      </c>
      <c r="F1478" s="3">
        <v>0</v>
      </c>
      <c r="G1478" s="3">
        <v>39</v>
      </c>
      <c r="H1478" s="3">
        <v>701</v>
      </c>
      <c r="I1478" s="51" t="s">
        <v>130</v>
      </c>
      <c r="J1478" s="3">
        <v>575</v>
      </c>
      <c r="K1478" s="4" t="s">
        <v>106</v>
      </c>
      <c r="L1478" s="56" t="str">
        <f>VLOOKUP(C1478,'[12]Trips&amp;Operators'!$C$1:$E$9999,3,0)</f>
        <v>SWANSON</v>
      </c>
      <c r="M1478" s="20" t="s">
        <v>112</v>
      </c>
      <c r="N1478" s="19"/>
      <c r="O1478" s="19" t="str">
        <f t="shared" si="46"/>
        <v>28</v>
      </c>
      <c r="P1478" s="64">
        <f t="shared" si="47"/>
        <v>42579</v>
      </c>
      <c r="Q1478" s="59"/>
      <c r="R1478" s="60"/>
      <c r="S1478" s="61"/>
      <c r="T1478" s="62"/>
      <c r="U1478" s="54"/>
      <c r="V1478" s="50"/>
      <c r="W1478" s="50"/>
    </row>
    <row r="1479" spans="1:23" x14ac:dyDescent="0.25">
      <c r="A1479" s="26">
        <v>42579.442453703705</v>
      </c>
      <c r="B1479" s="51" t="s">
        <v>138</v>
      </c>
      <c r="C1479" s="4" t="s">
        <v>1642</v>
      </c>
      <c r="D1479" s="4" t="s">
        <v>103</v>
      </c>
      <c r="E1479" s="51" t="s">
        <v>129</v>
      </c>
      <c r="F1479" s="3">
        <v>0</v>
      </c>
      <c r="G1479" s="3">
        <v>46</v>
      </c>
      <c r="H1479" s="3">
        <v>58877</v>
      </c>
      <c r="I1479" s="51" t="s">
        <v>130</v>
      </c>
      <c r="J1479" s="3">
        <v>59048</v>
      </c>
      <c r="K1479" s="4" t="s">
        <v>111</v>
      </c>
      <c r="L1479" s="56" t="str">
        <f>VLOOKUP(C1479,'[12]Trips&amp;Operators'!$C$1:$E$9999,3,0)</f>
        <v>ROBINSON</v>
      </c>
      <c r="M1479" s="20" t="s">
        <v>112</v>
      </c>
      <c r="N1479" s="19"/>
      <c r="O1479" s="19" t="str">
        <f t="shared" si="46"/>
        <v>28</v>
      </c>
      <c r="P1479" s="64">
        <f t="shared" si="47"/>
        <v>42579</v>
      </c>
      <c r="Q1479" s="59"/>
      <c r="R1479" s="60"/>
      <c r="S1479" s="61"/>
      <c r="T1479" s="62"/>
      <c r="U1479" s="54"/>
      <c r="V1479" s="50"/>
      <c r="W1479" s="50"/>
    </row>
    <row r="1480" spans="1:23" x14ac:dyDescent="0.25">
      <c r="A1480" s="26">
        <v>42579.557013888887</v>
      </c>
      <c r="B1480" s="51" t="s">
        <v>165</v>
      </c>
      <c r="C1480" s="4" t="s">
        <v>1636</v>
      </c>
      <c r="D1480" s="4" t="s">
        <v>103</v>
      </c>
      <c r="E1480" s="51" t="s">
        <v>129</v>
      </c>
      <c r="F1480" s="3">
        <v>0</v>
      </c>
      <c r="G1480" s="3">
        <v>59</v>
      </c>
      <c r="H1480" s="3">
        <v>233289</v>
      </c>
      <c r="I1480" s="51" t="s">
        <v>130</v>
      </c>
      <c r="J1480" s="3">
        <v>233491</v>
      </c>
      <c r="K1480" s="4" t="s">
        <v>111</v>
      </c>
      <c r="L1480" s="56" t="str">
        <f>VLOOKUP(C1480,'[12]Trips&amp;Operators'!$C$1:$E$9999,3,0)</f>
        <v>BONDS</v>
      </c>
      <c r="M1480" s="20" t="s">
        <v>112</v>
      </c>
      <c r="N1480" s="19"/>
      <c r="O1480" s="19" t="str">
        <f t="shared" si="46"/>
        <v>28</v>
      </c>
      <c r="P1480" s="64">
        <f t="shared" si="47"/>
        <v>42579</v>
      </c>
      <c r="Q1480" s="59"/>
      <c r="R1480" s="60"/>
      <c r="S1480" s="61"/>
      <c r="T1480" s="62"/>
      <c r="U1480" s="54"/>
      <c r="V1480" s="50"/>
      <c r="W1480" s="50"/>
    </row>
    <row r="1481" spans="1:23" x14ac:dyDescent="0.25">
      <c r="A1481" s="26">
        <v>42579.817488425928</v>
      </c>
      <c r="B1481" s="4" t="s">
        <v>108</v>
      </c>
      <c r="C1481" s="4" t="s">
        <v>1617</v>
      </c>
      <c r="D1481" s="4" t="s">
        <v>103</v>
      </c>
      <c r="E1481" s="4" t="s">
        <v>129</v>
      </c>
      <c r="F1481" s="3">
        <v>0</v>
      </c>
      <c r="G1481" s="3">
        <v>47</v>
      </c>
      <c r="H1481" s="3">
        <v>233287</v>
      </c>
      <c r="I1481" s="4" t="s">
        <v>130</v>
      </c>
      <c r="J1481" s="3">
        <v>233491</v>
      </c>
      <c r="K1481" s="4" t="s">
        <v>111</v>
      </c>
      <c r="L1481" s="56" t="str">
        <f>VLOOKUP(C1481,'[12]Trips&amp;Operators'!$C$1:$E$9999,3,0)</f>
        <v>HAITHCOX</v>
      </c>
      <c r="M1481" s="20" t="s">
        <v>112</v>
      </c>
      <c r="N1481" s="19"/>
      <c r="O1481" s="19" t="str">
        <f t="shared" si="46"/>
        <v>28</v>
      </c>
      <c r="P1481" s="64">
        <f t="shared" si="47"/>
        <v>42579</v>
      </c>
      <c r="Q1481" s="59"/>
      <c r="R1481" s="60"/>
      <c r="S1481" s="61"/>
      <c r="T1481" s="62"/>
      <c r="U1481" s="54"/>
      <c r="V1481" s="50"/>
      <c r="W1481" s="50"/>
    </row>
    <row r="1482" spans="1:23" x14ac:dyDescent="0.25">
      <c r="A1482" s="26">
        <v>42580.327037037037</v>
      </c>
      <c r="B1482" s="51" t="s">
        <v>164</v>
      </c>
      <c r="C1482" s="4" t="s">
        <v>1643</v>
      </c>
      <c r="D1482" s="4" t="s">
        <v>103</v>
      </c>
      <c r="E1482" s="51" t="s">
        <v>109</v>
      </c>
      <c r="F1482" s="3">
        <v>200</v>
      </c>
      <c r="G1482" s="3">
        <v>268</v>
      </c>
      <c r="H1482" s="3">
        <v>63323</v>
      </c>
      <c r="I1482" s="51" t="s">
        <v>110</v>
      </c>
      <c r="J1482" s="3">
        <v>63309</v>
      </c>
      <c r="K1482" s="4" t="s">
        <v>106</v>
      </c>
      <c r="L1482" s="56" t="str">
        <f>VLOOKUP(C1482,'[13]Trips&amp;Operators'!$C$1:$E$9999,3,0)</f>
        <v>ROBINSON</v>
      </c>
      <c r="M1482" s="20" t="s">
        <v>112</v>
      </c>
      <c r="N1482" s="19" t="s">
        <v>543</v>
      </c>
      <c r="O1482" s="19" t="str">
        <f t="shared" si="46"/>
        <v>29</v>
      </c>
      <c r="P1482" s="64">
        <f t="shared" si="47"/>
        <v>42580</v>
      </c>
      <c r="Q1482" s="59"/>
      <c r="R1482" s="60"/>
      <c r="S1482" s="61"/>
      <c r="T1482" s="62"/>
      <c r="U1482" s="54"/>
      <c r="V1482" s="50"/>
      <c r="W1482" s="50"/>
    </row>
    <row r="1483" spans="1:23" x14ac:dyDescent="0.25">
      <c r="A1483" s="26">
        <v>42580.584305555552</v>
      </c>
      <c r="B1483" s="4" t="s">
        <v>135</v>
      </c>
      <c r="C1483" s="4" t="s">
        <v>1644</v>
      </c>
      <c r="D1483" s="4" t="s">
        <v>103</v>
      </c>
      <c r="E1483" s="4" t="s">
        <v>109</v>
      </c>
      <c r="F1483" s="3">
        <v>0</v>
      </c>
      <c r="G1483" s="3">
        <v>536</v>
      </c>
      <c r="H1483" s="3">
        <v>84593</v>
      </c>
      <c r="I1483" s="4" t="s">
        <v>110</v>
      </c>
      <c r="J1483" s="3">
        <v>86214</v>
      </c>
      <c r="K1483" s="4" t="s">
        <v>111</v>
      </c>
      <c r="L1483" s="56" t="str">
        <f>VLOOKUP(C1483,'[13]Trips&amp;Operators'!$C$1:$E$9999,3,0)</f>
        <v>ADANE</v>
      </c>
      <c r="M1483" s="20" t="s">
        <v>112</v>
      </c>
      <c r="N1483" s="19" t="s">
        <v>543</v>
      </c>
      <c r="O1483" s="19" t="str">
        <f t="shared" si="46"/>
        <v>29</v>
      </c>
      <c r="P1483" s="64">
        <f t="shared" si="47"/>
        <v>42580</v>
      </c>
      <c r="Q1483" s="59"/>
      <c r="R1483" s="60"/>
      <c r="S1483" s="61"/>
      <c r="T1483" s="62"/>
      <c r="U1483" s="54"/>
      <c r="V1483" s="50"/>
      <c r="W1483" s="50"/>
    </row>
    <row r="1484" spans="1:23" x14ac:dyDescent="0.25">
      <c r="A1484" s="26">
        <v>42580.507025462961</v>
      </c>
      <c r="B1484" s="51" t="s">
        <v>118</v>
      </c>
      <c r="C1484" s="4" t="s">
        <v>1645</v>
      </c>
      <c r="D1484" s="4" t="s">
        <v>103</v>
      </c>
      <c r="E1484" s="51" t="s">
        <v>109</v>
      </c>
      <c r="F1484" s="3">
        <v>0</v>
      </c>
      <c r="G1484" s="3">
        <v>750</v>
      </c>
      <c r="H1484" s="3">
        <v>132560</v>
      </c>
      <c r="I1484" s="51" t="s">
        <v>110</v>
      </c>
      <c r="J1484" s="3">
        <v>128462</v>
      </c>
      <c r="K1484" s="4" t="s">
        <v>106</v>
      </c>
      <c r="L1484" s="56" t="str">
        <f>VLOOKUP(C1484,'[13]Trips&amp;Operators'!$C$1:$E$9999,3,0)</f>
        <v>STEWART</v>
      </c>
      <c r="M1484" s="20" t="s">
        <v>112</v>
      </c>
      <c r="N1484" s="19" t="s">
        <v>543</v>
      </c>
      <c r="O1484" s="19" t="str">
        <f t="shared" si="46"/>
        <v>29</v>
      </c>
      <c r="P1484" s="64">
        <f t="shared" si="47"/>
        <v>42580</v>
      </c>
      <c r="Q1484" s="59"/>
      <c r="R1484" s="60"/>
      <c r="S1484" s="61"/>
      <c r="T1484" s="62"/>
      <c r="U1484" s="54"/>
      <c r="V1484" s="50"/>
      <c r="W1484" s="50"/>
    </row>
    <row r="1485" spans="1:23" x14ac:dyDescent="0.25">
      <c r="A1485" s="26">
        <v>42580.329085648147</v>
      </c>
      <c r="B1485" s="4" t="s">
        <v>146</v>
      </c>
      <c r="C1485" s="4" t="s">
        <v>1664</v>
      </c>
      <c r="D1485" s="4" t="s">
        <v>116</v>
      </c>
      <c r="E1485" s="4" t="s">
        <v>115</v>
      </c>
      <c r="F1485" s="3">
        <v>200</v>
      </c>
      <c r="G1485" s="3">
        <v>259</v>
      </c>
      <c r="H1485" s="3">
        <v>6092</v>
      </c>
      <c r="I1485" s="4" t="s">
        <v>105</v>
      </c>
      <c r="J1485" s="3">
        <v>4790</v>
      </c>
      <c r="K1485" s="4" t="s">
        <v>111</v>
      </c>
      <c r="L1485" s="56" t="str">
        <f>VLOOKUP(C1485,'[13]Trips&amp;Operators'!$C$1:$E$9999,3,0)</f>
        <v>STRICKLAND</v>
      </c>
      <c r="M1485" s="20" t="s">
        <v>112</v>
      </c>
      <c r="N1485" s="19"/>
      <c r="O1485" s="19" t="str">
        <f t="shared" si="46"/>
        <v>29</v>
      </c>
      <c r="P1485" s="64">
        <f t="shared" si="47"/>
        <v>42580</v>
      </c>
      <c r="Q1485" s="59"/>
      <c r="R1485" s="60"/>
      <c r="S1485" s="61"/>
      <c r="T1485" s="62"/>
      <c r="U1485" s="54"/>
      <c r="V1485" s="50"/>
      <c r="W1485" s="50"/>
    </row>
    <row r="1486" spans="1:23" x14ac:dyDescent="0.25">
      <c r="A1486" s="26">
        <v>42580.558182870373</v>
      </c>
      <c r="B1486" s="51" t="s">
        <v>108</v>
      </c>
      <c r="C1486" s="4" t="s">
        <v>372</v>
      </c>
      <c r="D1486" s="4" t="s">
        <v>116</v>
      </c>
      <c r="E1486" s="51" t="s">
        <v>115</v>
      </c>
      <c r="F1486" s="3">
        <v>200</v>
      </c>
      <c r="G1486" s="3">
        <v>252</v>
      </c>
      <c r="H1486" s="3">
        <v>6033</v>
      </c>
      <c r="I1486" s="51" t="s">
        <v>105</v>
      </c>
      <c r="J1486" s="3">
        <v>4790</v>
      </c>
      <c r="K1486" s="4" t="s">
        <v>111</v>
      </c>
      <c r="L1486" s="56" t="str">
        <f>VLOOKUP(C1486,'[13]Trips&amp;Operators'!$C$1:$E$9999,3,0)</f>
        <v>KILLION</v>
      </c>
      <c r="M1486" s="20" t="s">
        <v>112</v>
      </c>
      <c r="N1486" s="19"/>
      <c r="O1486" s="19" t="str">
        <f t="shared" si="46"/>
        <v>29</v>
      </c>
      <c r="P1486" s="64">
        <f t="shared" si="47"/>
        <v>42580</v>
      </c>
      <c r="Q1486" s="59"/>
      <c r="R1486" s="60"/>
      <c r="S1486" s="61"/>
      <c r="T1486" s="62"/>
      <c r="U1486" s="54"/>
      <c r="V1486" s="50"/>
      <c r="W1486" s="50"/>
    </row>
    <row r="1487" spans="1:23" x14ac:dyDescent="0.25">
      <c r="A1487" s="26">
        <v>42580.690636574072</v>
      </c>
      <c r="B1487" s="51" t="s">
        <v>142</v>
      </c>
      <c r="C1487" s="4" t="s">
        <v>1646</v>
      </c>
      <c r="D1487" s="4" t="s">
        <v>103</v>
      </c>
      <c r="E1487" s="51" t="s">
        <v>115</v>
      </c>
      <c r="F1487" s="3">
        <v>400</v>
      </c>
      <c r="G1487" s="3">
        <v>599</v>
      </c>
      <c r="H1487" s="3">
        <v>14228</v>
      </c>
      <c r="I1487" s="51" t="s">
        <v>105</v>
      </c>
      <c r="J1487" s="3">
        <v>17867</v>
      </c>
      <c r="K1487" s="4" t="s">
        <v>111</v>
      </c>
      <c r="L1487" s="56" t="str">
        <f>VLOOKUP(C1487,'[13]Trips&amp;Operators'!$C$1:$E$9999,3,0)</f>
        <v>MAYBERRY</v>
      </c>
      <c r="M1487" s="20" t="s">
        <v>112</v>
      </c>
      <c r="N1487" s="19"/>
      <c r="O1487" s="19" t="str">
        <f t="shared" si="46"/>
        <v>29</v>
      </c>
      <c r="P1487" s="64">
        <f t="shared" si="47"/>
        <v>42580</v>
      </c>
      <c r="Q1487" s="59"/>
      <c r="R1487" s="60"/>
      <c r="S1487" s="61"/>
      <c r="T1487" s="62"/>
      <c r="U1487" s="54"/>
      <c r="V1487" s="50"/>
      <c r="W1487" s="50"/>
    </row>
    <row r="1488" spans="1:23" x14ac:dyDescent="0.25">
      <c r="A1488" s="26">
        <v>42580.779537037037</v>
      </c>
      <c r="B1488" s="4" t="s">
        <v>143</v>
      </c>
      <c r="C1488" s="4" t="s">
        <v>216</v>
      </c>
      <c r="D1488" s="4" t="s">
        <v>103</v>
      </c>
      <c r="E1488" s="4" t="s">
        <v>115</v>
      </c>
      <c r="F1488" s="3">
        <v>300</v>
      </c>
      <c r="G1488" s="3">
        <v>500</v>
      </c>
      <c r="H1488" s="3">
        <v>24541</v>
      </c>
      <c r="I1488" s="4" t="s">
        <v>105</v>
      </c>
      <c r="J1488" s="3">
        <v>21848</v>
      </c>
      <c r="K1488" s="4" t="s">
        <v>106</v>
      </c>
      <c r="L1488" s="56" t="str">
        <f>VLOOKUP(C1488,'[13]Trips&amp;Operators'!$C$1:$E$9999,3,0)</f>
        <v>ADANE</v>
      </c>
      <c r="M1488" s="20" t="s">
        <v>112</v>
      </c>
      <c r="N1488" s="19"/>
      <c r="O1488" s="19" t="str">
        <f t="shared" si="46"/>
        <v>29</v>
      </c>
      <c r="P1488" s="64">
        <f t="shared" si="47"/>
        <v>42580</v>
      </c>
      <c r="Q1488" s="59"/>
      <c r="R1488" s="60"/>
      <c r="S1488" s="61"/>
      <c r="T1488" s="62"/>
      <c r="U1488" s="54"/>
      <c r="V1488" s="50"/>
      <c r="W1488" s="50"/>
    </row>
    <row r="1489" spans="1:23" x14ac:dyDescent="0.25">
      <c r="A1489" s="26">
        <v>42580.417222222219</v>
      </c>
      <c r="B1489" s="51" t="s">
        <v>143</v>
      </c>
      <c r="C1489" s="4" t="s">
        <v>370</v>
      </c>
      <c r="D1489" s="4" t="s">
        <v>103</v>
      </c>
      <c r="E1489" s="51" t="s">
        <v>115</v>
      </c>
      <c r="F1489" s="3">
        <v>200</v>
      </c>
      <c r="G1489" s="3">
        <v>256</v>
      </c>
      <c r="H1489" s="3">
        <v>32663</v>
      </c>
      <c r="I1489" s="51" t="s">
        <v>105</v>
      </c>
      <c r="J1489" s="3">
        <v>30562</v>
      </c>
      <c r="K1489" s="4" t="s">
        <v>106</v>
      </c>
      <c r="L1489" s="56" t="str">
        <f>VLOOKUP(C1489,'[13]Trips&amp;Operators'!$C$1:$E$9999,3,0)</f>
        <v>SPECTOR</v>
      </c>
      <c r="M1489" s="20" t="s">
        <v>112</v>
      </c>
      <c r="N1489" s="19"/>
      <c r="O1489" s="19" t="str">
        <f t="shared" si="46"/>
        <v>29</v>
      </c>
      <c r="P1489" s="64">
        <f t="shared" si="47"/>
        <v>42580</v>
      </c>
      <c r="Q1489" s="59"/>
      <c r="R1489" s="60"/>
      <c r="S1489" s="61"/>
      <c r="T1489" s="62"/>
      <c r="U1489" s="54"/>
      <c r="V1489" s="50"/>
      <c r="W1489" s="50"/>
    </row>
    <row r="1490" spans="1:23" x14ac:dyDescent="0.25">
      <c r="A1490" s="26">
        <v>42580.751701388886</v>
      </c>
      <c r="B1490" s="4" t="s">
        <v>146</v>
      </c>
      <c r="C1490" s="4" t="s">
        <v>1665</v>
      </c>
      <c r="D1490" s="4" t="s">
        <v>103</v>
      </c>
      <c r="E1490" s="4" t="s">
        <v>115</v>
      </c>
      <c r="F1490" s="3">
        <v>150</v>
      </c>
      <c r="G1490" s="3">
        <v>284</v>
      </c>
      <c r="H1490" s="3">
        <v>56371</v>
      </c>
      <c r="I1490" s="4" t="s">
        <v>105</v>
      </c>
      <c r="J1490" s="3">
        <v>57008</v>
      </c>
      <c r="K1490" s="4" t="s">
        <v>111</v>
      </c>
      <c r="L1490" s="56" t="str">
        <f>VLOOKUP(C1490,'[13]Trips&amp;Operators'!$C$1:$E$9999,3,0)</f>
        <v>POLLOCK</v>
      </c>
      <c r="M1490" s="20" t="s">
        <v>112</v>
      </c>
      <c r="N1490" s="19"/>
      <c r="O1490" s="19" t="str">
        <f t="shared" si="46"/>
        <v>29</v>
      </c>
      <c r="P1490" s="64">
        <f t="shared" si="47"/>
        <v>42580</v>
      </c>
      <c r="Q1490" s="59"/>
      <c r="R1490" s="60"/>
      <c r="S1490" s="61"/>
      <c r="T1490" s="62"/>
      <c r="U1490" s="54"/>
      <c r="V1490" s="50"/>
      <c r="W1490" s="50"/>
    </row>
    <row r="1491" spans="1:23" x14ac:dyDescent="0.25">
      <c r="A1491" s="26">
        <v>42580.260555555556</v>
      </c>
      <c r="B1491" s="51" t="s">
        <v>145</v>
      </c>
      <c r="C1491" s="4" t="s">
        <v>377</v>
      </c>
      <c r="D1491" s="4" t="s">
        <v>116</v>
      </c>
      <c r="E1491" s="51" t="s">
        <v>115</v>
      </c>
      <c r="F1491" s="3">
        <v>150</v>
      </c>
      <c r="G1491" s="3">
        <v>205</v>
      </c>
      <c r="H1491" s="3">
        <v>56709</v>
      </c>
      <c r="I1491" s="51" t="s">
        <v>105</v>
      </c>
      <c r="J1491" s="3">
        <v>59050</v>
      </c>
      <c r="K1491" s="4" t="s">
        <v>106</v>
      </c>
      <c r="L1491" s="56" t="str">
        <f>VLOOKUP(C1491,'[13]Trips&amp;Operators'!$C$1:$E$9999,3,0)</f>
        <v>STRICKLAND</v>
      </c>
      <c r="M1491" s="20" t="s">
        <v>112</v>
      </c>
      <c r="N1491" s="19"/>
      <c r="O1491" s="19" t="str">
        <f t="shared" si="46"/>
        <v>29</v>
      </c>
      <c r="P1491" s="64">
        <f t="shared" si="47"/>
        <v>42580</v>
      </c>
      <c r="Q1491" s="59"/>
      <c r="R1491" s="60"/>
      <c r="S1491" s="61"/>
      <c r="T1491" s="62"/>
      <c r="U1491" s="54"/>
      <c r="V1491" s="50"/>
      <c r="W1491" s="50"/>
    </row>
    <row r="1492" spans="1:23" x14ac:dyDescent="0.25">
      <c r="A1492" s="26">
        <v>42580.316620370373</v>
      </c>
      <c r="B1492" s="51" t="s">
        <v>121</v>
      </c>
      <c r="C1492" s="4" t="s">
        <v>1647</v>
      </c>
      <c r="D1492" s="4" t="s">
        <v>103</v>
      </c>
      <c r="E1492" s="51" t="s">
        <v>115</v>
      </c>
      <c r="F1492" s="3">
        <v>400</v>
      </c>
      <c r="G1492" s="3">
        <v>486</v>
      </c>
      <c r="H1492" s="3">
        <v>116110</v>
      </c>
      <c r="I1492" s="51" t="s">
        <v>105</v>
      </c>
      <c r="J1492" s="3">
        <v>116838</v>
      </c>
      <c r="K1492" s="4" t="s">
        <v>111</v>
      </c>
      <c r="L1492" s="56" t="str">
        <f>VLOOKUP(C1492,'[13]Trips&amp;Operators'!$C$1:$E$9999,3,0)</f>
        <v>ROCHA</v>
      </c>
      <c r="M1492" s="20" t="s">
        <v>112</v>
      </c>
      <c r="N1492" s="19"/>
      <c r="O1492" s="19" t="str">
        <f t="shared" si="46"/>
        <v>29</v>
      </c>
      <c r="P1492" s="64">
        <f t="shared" si="47"/>
        <v>42580</v>
      </c>
      <c r="Q1492" s="59"/>
      <c r="R1492" s="60"/>
      <c r="S1492" s="61"/>
      <c r="T1492" s="62"/>
      <c r="U1492" s="54"/>
      <c r="V1492" s="50"/>
      <c r="W1492" s="50"/>
    </row>
    <row r="1493" spans="1:23" x14ac:dyDescent="0.25">
      <c r="A1493" s="26">
        <v>42580.94054398148</v>
      </c>
      <c r="B1493" s="4" t="s">
        <v>142</v>
      </c>
      <c r="C1493" s="4" t="s">
        <v>1648</v>
      </c>
      <c r="D1493" s="4" t="s">
        <v>103</v>
      </c>
      <c r="E1493" s="4" t="s">
        <v>115</v>
      </c>
      <c r="F1493" s="3">
        <v>150</v>
      </c>
      <c r="G1493" s="3">
        <v>213</v>
      </c>
      <c r="H1493" s="3">
        <v>228130</v>
      </c>
      <c r="I1493" s="4" t="s">
        <v>105</v>
      </c>
      <c r="J1493" s="3">
        <v>228668</v>
      </c>
      <c r="K1493" s="4" t="s">
        <v>111</v>
      </c>
      <c r="L1493" s="56" t="str">
        <f>VLOOKUP(C1493,'[13]Trips&amp;Operators'!$C$1:$E$9999,3,0)</f>
        <v>CHANDLER</v>
      </c>
      <c r="M1493" s="20" t="s">
        <v>112</v>
      </c>
      <c r="N1493" s="19"/>
      <c r="O1493" s="19" t="str">
        <f t="shared" si="46"/>
        <v>29</v>
      </c>
      <c r="P1493" s="64">
        <f t="shared" si="47"/>
        <v>42580</v>
      </c>
      <c r="Q1493" s="59"/>
      <c r="R1493" s="60"/>
      <c r="S1493" s="61"/>
      <c r="T1493" s="62"/>
      <c r="U1493" s="54"/>
      <c r="V1493" s="50"/>
      <c r="W1493" s="50"/>
    </row>
    <row r="1494" spans="1:23" x14ac:dyDescent="0.25">
      <c r="A1494" s="26">
        <v>42580.540937500002</v>
      </c>
      <c r="B1494" s="51" t="s">
        <v>143</v>
      </c>
      <c r="C1494" s="4" t="s">
        <v>379</v>
      </c>
      <c r="D1494" s="4" t="s">
        <v>116</v>
      </c>
      <c r="E1494" s="51" t="s">
        <v>115</v>
      </c>
      <c r="F1494" s="3">
        <v>350</v>
      </c>
      <c r="G1494" s="3">
        <v>400</v>
      </c>
      <c r="H1494" s="3">
        <v>225937</v>
      </c>
      <c r="I1494" s="51" t="s">
        <v>105</v>
      </c>
      <c r="J1494" s="3">
        <v>228668</v>
      </c>
      <c r="K1494" s="4" t="s">
        <v>106</v>
      </c>
      <c r="L1494" s="56" t="str">
        <f>VLOOKUP(C1494,'[13]Trips&amp;Operators'!$C$1:$E$9999,3,0)</f>
        <v>ADANE</v>
      </c>
      <c r="M1494" s="20" t="s">
        <v>112</v>
      </c>
      <c r="N1494" s="19"/>
      <c r="O1494" s="19" t="str">
        <f t="shared" si="46"/>
        <v>29</v>
      </c>
      <c r="P1494" s="64">
        <f t="shared" si="47"/>
        <v>42580</v>
      </c>
      <c r="Q1494" s="59"/>
      <c r="R1494" s="60"/>
      <c r="S1494" s="61"/>
      <c r="T1494" s="62"/>
      <c r="U1494" s="54"/>
      <c r="V1494" s="50"/>
      <c r="W1494" s="50"/>
    </row>
    <row r="1495" spans="1:23" x14ac:dyDescent="0.25">
      <c r="A1495" s="26">
        <v>42580.686064814814</v>
      </c>
      <c r="B1495" s="51" t="s">
        <v>143</v>
      </c>
      <c r="C1495" s="4" t="s">
        <v>375</v>
      </c>
      <c r="D1495" s="4" t="s">
        <v>116</v>
      </c>
      <c r="E1495" s="51" t="s">
        <v>115</v>
      </c>
      <c r="F1495" s="3">
        <v>150</v>
      </c>
      <c r="G1495" s="3">
        <v>200</v>
      </c>
      <c r="H1495" s="3">
        <v>228943</v>
      </c>
      <c r="I1495" s="51" t="s">
        <v>105</v>
      </c>
      <c r="J1495" s="3">
        <v>229055</v>
      </c>
      <c r="K1495" s="4" t="s">
        <v>106</v>
      </c>
      <c r="L1495" s="56" t="str">
        <f>VLOOKUP(C1495,'[13]Trips&amp;Operators'!$C$1:$E$9999,3,0)</f>
        <v>ADANE</v>
      </c>
      <c r="M1495" s="20" t="s">
        <v>112</v>
      </c>
      <c r="N1495" s="19"/>
      <c r="O1495" s="19" t="str">
        <f t="shared" si="46"/>
        <v>29</v>
      </c>
      <c r="P1495" s="64">
        <f t="shared" si="47"/>
        <v>42580</v>
      </c>
      <c r="Q1495" s="59"/>
      <c r="R1495" s="60"/>
      <c r="S1495" s="61"/>
      <c r="T1495" s="62"/>
      <c r="U1495" s="54"/>
      <c r="V1495" s="50"/>
      <c r="W1495" s="50"/>
    </row>
    <row r="1496" spans="1:23" x14ac:dyDescent="0.25">
      <c r="A1496" s="26">
        <v>42580.252592592595</v>
      </c>
      <c r="B1496" s="51" t="s">
        <v>126</v>
      </c>
      <c r="C1496" s="4" t="s">
        <v>1649</v>
      </c>
      <c r="D1496" s="4" t="s">
        <v>103</v>
      </c>
      <c r="E1496" s="51" t="s">
        <v>115</v>
      </c>
      <c r="F1496" s="3">
        <v>150</v>
      </c>
      <c r="G1496" s="3">
        <v>325</v>
      </c>
      <c r="H1496" s="3">
        <v>229233</v>
      </c>
      <c r="I1496" s="51" t="s">
        <v>105</v>
      </c>
      <c r="J1496" s="3">
        <v>230436</v>
      </c>
      <c r="K1496" s="4" t="s">
        <v>111</v>
      </c>
      <c r="L1496" s="56" t="str">
        <f>VLOOKUP(C1496,'[13]Trips&amp;Operators'!$C$1:$E$9999,3,0)</f>
        <v>ROCHA</v>
      </c>
      <c r="M1496" s="20" t="s">
        <v>112</v>
      </c>
      <c r="N1496" s="19"/>
      <c r="O1496" s="19" t="str">
        <f t="shared" si="46"/>
        <v>29</v>
      </c>
      <c r="P1496" s="64">
        <f t="shared" si="47"/>
        <v>42580</v>
      </c>
      <c r="Q1496" s="59"/>
      <c r="R1496" s="60"/>
      <c r="S1496" s="61"/>
      <c r="T1496" s="62"/>
      <c r="U1496" s="54"/>
      <c r="V1496" s="50"/>
      <c r="W1496" s="50"/>
    </row>
    <row r="1497" spans="1:23" x14ac:dyDescent="0.25">
      <c r="A1497" s="26">
        <v>42580.412361111114</v>
      </c>
      <c r="B1497" s="51" t="s">
        <v>125</v>
      </c>
      <c r="C1497" s="4" t="s">
        <v>1650</v>
      </c>
      <c r="D1497" s="4" t="s">
        <v>103</v>
      </c>
      <c r="E1497" s="51" t="s">
        <v>115</v>
      </c>
      <c r="F1497" s="3">
        <v>150</v>
      </c>
      <c r="G1497" s="3">
        <v>313</v>
      </c>
      <c r="H1497" s="3">
        <v>228301</v>
      </c>
      <c r="I1497" s="51" t="s">
        <v>105</v>
      </c>
      <c r="J1497" s="3">
        <v>230436</v>
      </c>
      <c r="K1497" s="4" t="s">
        <v>111</v>
      </c>
      <c r="L1497" s="56" t="str">
        <f>VLOOKUP(C1497,'[13]Trips&amp;Operators'!$C$1:$E$9999,3,0)</f>
        <v>SANTIZO</v>
      </c>
      <c r="M1497" s="20" t="s">
        <v>112</v>
      </c>
      <c r="N1497" s="19"/>
      <c r="O1497" s="19" t="str">
        <f t="shared" si="46"/>
        <v>29</v>
      </c>
      <c r="P1497" s="64">
        <f t="shared" si="47"/>
        <v>42580</v>
      </c>
      <c r="Q1497" s="59"/>
      <c r="R1497" s="60"/>
      <c r="S1497" s="61"/>
      <c r="T1497" s="62"/>
      <c r="U1497" s="54"/>
      <c r="V1497" s="50"/>
      <c r="W1497" s="50"/>
    </row>
    <row r="1498" spans="1:23" x14ac:dyDescent="0.25">
      <c r="A1498" s="26">
        <v>42580.189363425925</v>
      </c>
      <c r="B1498" s="51" t="s">
        <v>138</v>
      </c>
      <c r="C1498" s="4" t="s">
        <v>369</v>
      </c>
      <c r="D1498" s="4" t="s">
        <v>103</v>
      </c>
      <c r="E1498" s="51" t="s">
        <v>122</v>
      </c>
      <c r="F1498" s="3">
        <v>0</v>
      </c>
      <c r="G1498" s="3">
        <v>21</v>
      </c>
      <c r="H1498" s="3">
        <v>1599</v>
      </c>
      <c r="I1498" s="51" t="s">
        <v>123</v>
      </c>
      <c r="J1498" s="3">
        <v>1692</v>
      </c>
      <c r="K1498" s="4" t="s">
        <v>111</v>
      </c>
      <c r="L1498" s="56" t="str">
        <f>VLOOKUP(C1498,'[13]Trips&amp;Operators'!$C$1:$E$9999,3,0)</f>
        <v>BRANNON</v>
      </c>
      <c r="M1498" s="20" t="s">
        <v>112</v>
      </c>
      <c r="N1498" s="19" t="s">
        <v>576</v>
      </c>
      <c r="O1498" s="19" t="str">
        <f t="shared" si="46"/>
        <v>29</v>
      </c>
      <c r="P1498" s="64">
        <f t="shared" si="47"/>
        <v>42580</v>
      </c>
      <c r="Q1498" s="59"/>
      <c r="R1498" s="60"/>
      <c r="S1498" s="61"/>
      <c r="T1498" s="62"/>
      <c r="U1498" s="54"/>
      <c r="V1498" s="50"/>
      <c r="W1498" s="50"/>
    </row>
    <row r="1499" spans="1:23" x14ac:dyDescent="0.25">
      <c r="A1499" s="26">
        <v>42580.807708333334</v>
      </c>
      <c r="B1499" s="4" t="s">
        <v>121</v>
      </c>
      <c r="C1499" s="4" t="s">
        <v>1660</v>
      </c>
      <c r="D1499" s="4" t="s">
        <v>116</v>
      </c>
      <c r="E1499" s="4" t="s">
        <v>122</v>
      </c>
      <c r="F1499" s="3">
        <v>0</v>
      </c>
      <c r="G1499" s="3">
        <v>54</v>
      </c>
      <c r="H1499" s="3">
        <v>1764</v>
      </c>
      <c r="I1499" s="4" t="s">
        <v>123</v>
      </c>
      <c r="J1499" s="3">
        <v>1692</v>
      </c>
      <c r="K1499" s="4" t="s">
        <v>111</v>
      </c>
      <c r="L1499" s="56" t="str">
        <f>VLOOKUP(C1499,'[13]Trips&amp;Operators'!$C$1:$E$9999,3,0)</f>
        <v>STAMBAUGH</v>
      </c>
      <c r="M1499" s="20" t="s">
        <v>112</v>
      </c>
      <c r="N1499" s="19"/>
      <c r="O1499" s="19" t="str">
        <f t="shared" si="46"/>
        <v>29</v>
      </c>
      <c r="P1499" s="64">
        <f t="shared" si="47"/>
        <v>42580</v>
      </c>
      <c r="Q1499" s="59"/>
      <c r="R1499" s="60"/>
      <c r="S1499" s="61"/>
      <c r="T1499" s="62"/>
      <c r="U1499" s="54"/>
      <c r="V1499" s="50"/>
      <c r="W1499" s="50"/>
    </row>
    <row r="1500" spans="1:23" x14ac:dyDescent="0.25">
      <c r="A1500" s="26">
        <v>42580.16846064815</v>
      </c>
      <c r="B1500" s="51" t="s">
        <v>132</v>
      </c>
      <c r="C1500" s="4" t="s">
        <v>1661</v>
      </c>
      <c r="D1500" s="4" t="s">
        <v>103</v>
      </c>
      <c r="E1500" s="51" t="s">
        <v>122</v>
      </c>
      <c r="F1500" s="3">
        <v>0</v>
      </c>
      <c r="G1500" s="3">
        <v>149</v>
      </c>
      <c r="H1500" s="3">
        <v>6876</v>
      </c>
      <c r="I1500" s="51" t="s">
        <v>123</v>
      </c>
      <c r="J1500" s="3">
        <v>6799</v>
      </c>
      <c r="K1500" s="4" t="s">
        <v>106</v>
      </c>
      <c r="L1500" s="56" t="str">
        <f>VLOOKUP(C1500,'[13]Trips&amp;Operators'!$C$1:$E$9999,3,0)</f>
        <v>MALAVE</v>
      </c>
      <c r="M1500" s="20" t="s">
        <v>112</v>
      </c>
      <c r="N1500" s="19"/>
      <c r="O1500" s="19" t="str">
        <f t="shared" si="46"/>
        <v>29</v>
      </c>
      <c r="P1500" s="64">
        <f t="shared" si="47"/>
        <v>42580</v>
      </c>
      <c r="Q1500" s="59"/>
      <c r="R1500" s="60"/>
      <c r="S1500" s="61"/>
      <c r="T1500" s="62"/>
      <c r="U1500" s="54"/>
      <c r="V1500" s="50"/>
      <c r="W1500" s="50"/>
    </row>
    <row r="1501" spans="1:23" x14ac:dyDescent="0.25">
      <c r="A1501" s="26">
        <v>42580.650995370372</v>
      </c>
      <c r="B1501" s="51" t="s">
        <v>145</v>
      </c>
      <c r="C1501" s="4" t="s">
        <v>1662</v>
      </c>
      <c r="D1501" s="4" t="s">
        <v>116</v>
      </c>
      <c r="E1501" s="51" t="s">
        <v>122</v>
      </c>
      <c r="F1501" s="3">
        <v>0</v>
      </c>
      <c r="G1501" s="3">
        <v>73</v>
      </c>
      <c r="H1501" s="3">
        <v>24101</v>
      </c>
      <c r="I1501" s="51" t="s">
        <v>123</v>
      </c>
      <c r="J1501" s="3">
        <v>24235</v>
      </c>
      <c r="K1501" s="4" t="s">
        <v>106</v>
      </c>
      <c r="L1501" s="56" t="str">
        <f>VLOOKUP(C1501,'[13]Trips&amp;Operators'!$C$1:$E$9999,3,0)</f>
        <v>POLLOCK</v>
      </c>
      <c r="M1501" s="20" t="s">
        <v>112</v>
      </c>
      <c r="N1501" s="19"/>
      <c r="O1501" s="19" t="str">
        <f t="shared" si="46"/>
        <v>29</v>
      </c>
      <c r="P1501" s="64">
        <f t="shared" si="47"/>
        <v>42580</v>
      </c>
      <c r="Q1501" s="59"/>
      <c r="R1501" s="60"/>
      <c r="S1501" s="61"/>
      <c r="T1501" s="62"/>
      <c r="U1501" s="54"/>
      <c r="V1501" s="50"/>
      <c r="W1501" s="50"/>
    </row>
    <row r="1502" spans="1:23" x14ac:dyDescent="0.25">
      <c r="A1502" s="26">
        <v>42580.654444444444</v>
      </c>
      <c r="B1502" s="51" t="s">
        <v>135</v>
      </c>
      <c r="C1502" s="4" t="s">
        <v>1651</v>
      </c>
      <c r="D1502" s="4" t="s">
        <v>103</v>
      </c>
      <c r="E1502" s="51" t="s">
        <v>122</v>
      </c>
      <c r="F1502" s="3">
        <v>0</v>
      </c>
      <c r="G1502" s="3">
        <v>552</v>
      </c>
      <c r="H1502" s="3">
        <v>41979</v>
      </c>
      <c r="I1502" s="51" t="s">
        <v>123</v>
      </c>
      <c r="J1502" s="3">
        <v>43651</v>
      </c>
      <c r="K1502" s="4" t="s">
        <v>111</v>
      </c>
      <c r="L1502" s="56" t="str">
        <f>VLOOKUP(C1502,'[13]Trips&amp;Operators'!$C$1:$E$9999,3,0)</f>
        <v>ADANE</v>
      </c>
      <c r="M1502" s="20" t="s">
        <v>107</v>
      </c>
      <c r="N1502" s="19" t="s">
        <v>52</v>
      </c>
      <c r="O1502" s="19" t="str">
        <f t="shared" si="46"/>
        <v>29</v>
      </c>
      <c r="P1502" s="64">
        <f t="shared" si="47"/>
        <v>42580</v>
      </c>
      <c r="Q1502" s="59"/>
      <c r="R1502" s="60"/>
      <c r="S1502" s="61"/>
      <c r="T1502" s="62"/>
      <c r="U1502" s="54"/>
      <c r="V1502" s="50"/>
      <c r="W1502" s="50"/>
    </row>
    <row r="1503" spans="1:23" x14ac:dyDescent="0.25">
      <c r="A1503" s="26">
        <v>42580.656215277777</v>
      </c>
      <c r="B1503" s="4" t="s">
        <v>135</v>
      </c>
      <c r="C1503" s="4" t="s">
        <v>1651</v>
      </c>
      <c r="D1503" s="4" t="s">
        <v>116</v>
      </c>
      <c r="E1503" s="4" t="s">
        <v>122</v>
      </c>
      <c r="F1503" s="3">
        <v>200</v>
      </c>
      <c r="G1503" s="3">
        <v>257</v>
      </c>
      <c r="H1503" s="3">
        <v>48634</v>
      </c>
      <c r="I1503" s="4" t="s">
        <v>123</v>
      </c>
      <c r="J1503" s="3">
        <v>43651</v>
      </c>
      <c r="K1503" s="4" t="s">
        <v>111</v>
      </c>
      <c r="L1503" s="56" t="str">
        <f>VLOOKUP(C1503,'[13]Trips&amp;Operators'!$C$1:$E$9999,3,0)</f>
        <v>ADANE</v>
      </c>
      <c r="M1503" s="20" t="s">
        <v>112</v>
      </c>
      <c r="N1503" s="19" t="s">
        <v>175</v>
      </c>
      <c r="O1503" s="19" t="str">
        <f t="shared" si="46"/>
        <v>29</v>
      </c>
      <c r="P1503" s="64">
        <f t="shared" si="47"/>
        <v>42580</v>
      </c>
      <c r="Q1503" s="59"/>
      <c r="R1503" s="60"/>
      <c r="S1503" s="61"/>
      <c r="T1503" s="62"/>
      <c r="U1503" s="54"/>
      <c r="V1503" s="50"/>
      <c r="W1503" s="50"/>
    </row>
    <row r="1504" spans="1:23" x14ac:dyDescent="0.25">
      <c r="A1504" s="26">
        <v>42580.227870370371</v>
      </c>
      <c r="B1504" s="51" t="s">
        <v>132</v>
      </c>
      <c r="C1504" s="4" t="s">
        <v>374</v>
      </c>
      <c r="D1504" s="4" t="s">
        <v>116</v>
      </c>
      <c r="E1504" s="51" t="s">
        <v>122</v>
      </c>
      <c r="F1504" s="3">
        <v>0</v>
      </c>
      <c r="G1504" s="3">
        <v>81</v>
      </c>
      <c r="H1504" s="3">
        <v>127503</v>
      </c>
      <c r="I1504" s="51" t="s">
        <v>123</v>
      </c>
      <c r="J1504" s="3">
        <v>127587</v>
      </c>
      <c r="K1504" s="4" t="s">
        <v>106</v>
      </c>
      <c r="L1504" s="56" t="str">
        <f>VLOOKUP(C1504,'[13]Trips&amp;Operators'!$C$1:$E$9999,3,0)</f>
        <v>MALAVE</v>
      </c>
      <c r="M1504" s="20" t="s">
        <v>112</v>
      </c>
      <c r="N1504" s="19" t="s">
        <v>1652</v>
      </c>
      <c r="O1504" s="19" t="str">
        <f t="shared" si="46"/>
        <v>29</v>
      </c>
      <c r="P1504" s="64">
        <f t="shared" si="47"/>
        <v>42580</v>
      </c>
      <c r="Q1504" s="59"/>
      <c r="R1504" s="60"/>
      <c r="S1504" s="61"/>
      <c r="T1504" s="62"/>
      <c r="U1504" s="54"/>
      <c r="V1504" s="50"/>
      <c r="W1504" s="50"/>
    </row>
    <row r="1505" spans="1:23" x14ac:dyDescent="0.25">
      <c r="A1505" s="26">
        <v>42580.228576388887</v>
      </c>
      <c r="B1505" s="51" t="s">
        <v>132</v>
      </c>
      <c r="C1505" s="4" t="s">
        <v>374</v>
      </c>
      <c r="D1505" s="4" t="s">
        <v>116</v>
      </c>
      <c r="E1505" s="51" t="s">
        <v>122</v>
      </c>
      <c r="F1505" s="3">
        <v>0</v>
      </c>
      <c r="G1505" s="3">
        <v>4</v>
      </c>
      <c r="H1505" s="3">
        <v>127405</v>
      </c>
      <c r="I1505" s="51" t="s">
        <v>123</v>
      </c>
      <c r="J1505" s="3">
        <v>127587</v>
      </c>
      <c r="K1505" s="4" t="s">
        <v>106</v>
      </c>
      <c r="L1505" s="56" t="str">
        <f>VLOOKUP(C1505,'[13]Trips&amp;Operators'!$C$1:$E$9999,3,0)</f>
        <v>MALAVE</v>
      </c>
      <c r="M1505" s="20" t="s">
        <v>112</v>
      </c>
      <c r="N1505" s="19" t="s">
        <v>1652</v>
      </c>
      <c r="O1505" s="19" t="str">
        <f t="shared" si="46"/>
        <v>29</v>
      </c>
      <c r="P1505" s="64">
        <f t="shared" si="47"/>
        <v>42580</v>
      </c>
      <c r="Q1505" s="59"/>
      <c r="R1505" s="60"/>
      <c r="S1505" s="61"/>
      <c r="T1505" s="62"/>
      <c r="U1505" s="54"/>
      <c r="V1505" s="50"/>
      <c r="W1505" s="50"/>
    </row>
    <row r="1506" spans="1:23" x14ac:dyDescent="0.25">
      <c r="A1506" s="26">
        <v>42580.728402777779</v>
      </c>
      <c r="B1506" s="4" t="s">
        <v>141</v>
      </c>
      <c r="C1506" s="4" t="s">
        <v>1653</v>
      </c>
      <c r="D1506" s="4" t="s">
        <v>103</v>
      </c>
      <c r="E1506" s="4" t="s">
        <v>122</v>
      </c>
      <c r="F1506" s="3">
        <v>0</v>
      </c>
      <c r="G1506" s="3">
        <v>347</v>
      </c>
      <c r="H1506" s="3">
        <v>225886</v>
      </c>
      <c r="I1506" s="4" t="s">
        <v>123</v>
      </c>
      <c r="J1506" s="3">
        <v>224244</v>
      </c>
      <c r="K1506" s="4" t="s">
        <v>106</v>
      </c>
      <c r="L1506" s="56" t="str">
        <f>VLOOKUP(C1506,'[13]Trips&amp;Operators'!$C$1:$E$9999,3,0)</f>
        <v>MAYBERRY</v>
      </c>
      <c r="M1506" s="20" t="s">
        <v>107</v>
      </c>
      <c r="N1506" s="19" t="s">
        <v>52</v>
      </c>
      <c r="O1506" s="19" t="str">
        <f t="shared" si="46"/>
        <v>29</v>
      </c>
      <c r="P1506" s="64">
        <f t="shared" si="47"/>
        <v>42580</v>
      </c>
      <c r="Q1506" s="59"/>
      <c r="R1506" s="60"/>
      <c r="S1506" s="61"/>
      <c r="T1506" s="62"/>
      <c r="U1506" s="54"/>
      <c r="V1506" s="50"/>
      <c r="W1506" s="50"/>
    </row>
    <row r="1507" spans="1:23" x14ac:dyDescent="0.25">
      <c r="A1507" s="26">
        <v>42580.560532407406</v>
      </c>
      <c r="B1507" s="4" t="s">
        <v>108</v>
      </c>
      <c r="C1507" s="4" t="s">
        <v>372</v>
      </c>
      <c r="D1507" s="4" t="s">
        <v>116</v>
      </c>
      <c r="E1507" s="4" t="s">
        <v>184</v>
      </c>
      <c r="F1507" s="3">
        <v>100</v>
      </c>
      <c r="G1507" s="3">
        <v>159</v>
      </c>
      <c r="H1507" s="3">
        <v>11403</v>
      </c>
      <c r="I1507" s="4" t="s">
        <v>110</v>
      </c>
      <c r="J1507" s="3">
        <v>10701</v>
      </c>
      <c r="K1507" s="4" t="s">
        <v>111</v>
      </c>
      <c r="L1507" s="56" t="str">
        <f>VLOOKUP(C1507,'[13]Trips&amp;Operators'!$C$1:$E$9999,3,0)</f>
        <v>KILLION</v>
      </c>
      <c r="M1507" s="20" t="s">
        <v>112</v>
      </c>
      <c r="N1507" s="19"/>
      <c r="O1507" s="19" t="str">
        <f t="shared" si="46"/>
        <v>29</v>
      </c>
      <c r="P1507" s="64">
        <f t="shared" si="47"/>
        <v>42580</v>
      </c>
      <c r="Q1507" s="59"/>
      <c r="R1507" s="60"/>
      <c r="S1507" s="61"/>
      <c r="T1507" s="62"/>
      <c r="U1507" s="54"/>
      <c r="V1507" s="50"/>
      <c r="W1507" s="50"/>
    </row>
    <row r="1508" spans="1:23" x14ac:dyDescent="0.25">
      <c r="A1508" s="26">
        <v>42580.179537037038</v>
      </c>
      <c r="B1508" s="51" t="s">
        <v>136</v>
      </c>
      <c r="C1508" s="4" t="s">
        <v>1663</v>
      </c>
      <c r="D1508" s="4" t="s">
        <v>103</v>
      </c>
      <c r="E1508" s="51" t="s">
        <v>129</v>
      </c>
      <c r="F1508" s="3">
        <v>0</v>
      </c>
      <c r="G1508" s="3">
        <v>71</v>
      </c>
      <c r="H1508" s="3">
        <v>227</v>
      </c>
      <c r="I1508" s="51" t="s">
        <v>130</v>
      </c>
      <c r="J1508" s="3">
        <v>1</v>
      </c>
      <c r="K1508" s="4" t="s">
        <v>106</v>
      </c>
      <c r="L1508" s="56" t="str">
        <f>VLOOKUP(C1508,'[13]Trips&amp;Operators'!$C$1:$E$9999,3,0)</f>
        <v>BRANNON</v>
      </c>
      <c r="M1508" s="20" t="s">
        <v>112</v>
      </c>
      <c r="N1508" s="19"/>
      <c r="O1508" s="19" t="str">
        <f t="shared" si="46"/>
        <v>29</v>
      </c>
      <c r="P1508" s="64">
        <f t="shared" si="47"/>
        <v>42580</v>
      </c>
      <c r="Q1508" s="59"/>
      <c r="R1508" s="60"/>
      <c r="S1508" s="61"/>
      <c r="T1508" s="62"/>
      <c r="U1508" s="54"/>
      <c r="V1508" s="50"/>
      <c r="W1508" s="50"/>
    </row>
    <row r="1509" spans="1:23" x14ac:dyDescent="0.25">
      <c r="A1509" s="26">
        <v>42580.392592592594</v>
      </c>
      <c r="B1509" s="51" t="s">
        <v>141</v>
      </c>
      <c r="C1509" s="4" t="s">
        <v>1654</v>
      </c>
      <c r="D1509" s="4" t="s">
        <v>103</v>
      </c>
      <c r="E1509" s="51" t="s">
        <v>129</v>
      </c>
      <c r="F1509" s="3">
        <v>0</v>
      </c>
      <c r="G1509" s="3">
        <v>73</v>
      </c>
      <c r="H1509" s="3">
        <v>258</v>
      </c>
      <c r="I1509" s="51" t="s">
        <v>130</v>
      </c>
      <c r="J1509" s="3">
        <v>1</v>
      </c>
      <c r="K1509" s="4" t="s">
        <v>106</v>
      </c>
      <c r="L1509" s="56" t="str">
        <f>VLOOKUP(C1509,'[13]Trips&amp;Operators'!$C$1:$E$9999,3,0)</f>
        <v>MALAVE</v>
      </c>
      <c r="M1509" s="20" t="s">
        <v>112</v>
      </c>
      <c r="N1509" s="19"/>
      <c r="O1509" s="19" t="str">
        <f t="shared" si="46"/>
        <v>29</v>
      </c>
      <c r="P1509" s="64">
        <f t="shared" si="47"/>
        <v>42580</v>
      </c>
      <c r="Q1509" s="59"/>
      <c r="R1509" s="60"/>
      <c r="S1509" s="61"/>
      <c r="T1509" s="62"/>
      <c r="U1509" s="54"/>
      <c r="V1509" s="50"/>
      <c r="W1509" s="50"/>
    </row>
    <row r="1510" spans="1:23" x14ac:dyDescent="0.25">
      <c r="A1510" s="26">
        <v>42580.512499999997</v>
      </c>
      <c r="B1510" s="51" t="s">
        <v>132</v>
      </c>
      <c r="C1510" s="4" t="s">
        <v>1655</v>
      </c>
      <c r="D1510" s="4" t="s">
        <v>103</v>
      </c>
      <c r="E1510" s="51" t="s">
        <v>129</v>
      </c>
      <c r="F1510" s="3">
        <v>0</v>
      </c>
      <c r="G1510" s="3">
        <v>51</v>
      </c>
      <c r="H1510" s="3">
        <v>167</v>
      </c>
      <c r="I1510" s="51" t="s">
        <v>130</v>
      </c>
      <c r="J1510" s="3">
        <v>1</v>
      </c>
      <c r="K1510" s="4" t="s">
        <v>106</v>
      </c>
      <c r="L1510" s="56" t="str">
        <f>VLOOKUP(C1510,'[13]Trips&amp;Operators'!$C$1:$E$9999,3,0)</f>
        <v>ROCHA</v>
      </c>
      <c r="M1510" s="20" t="s">
        <v>112</v>
      </c>
      <c r="N1510" s="19"/>
      <c r="O1510" s="19" t="str">
        <f t="shared" si="46"/>
        <v>29</v>
      </c>
      <c r="P1510" s="64">
        <f t="shared" si="47"/>
        <v>42580</v>
      </c>
      <c r="Q1510" s="59"/>
      <c r="R1510" s="60"/>
      <c r="S1510" s="61"/>
      <c r="T1510" s="62"/>
      <c r="U1510" s="54"/>
      <c r="V1510" s="50"/>
      <c r="W1510" s="50"/>
    </row>
    <row r="1511" spans="1:23" x14ac:dyDescent="0.25">
      <c r="A1511" s="26">
        <v>42580.607800925929</v>
      </c>
      <c r="B1511" s="51" t="s">
        <v>141</v>
      </c>
      <c r="C1511" s="4" t="s">
        <v>1656</v>
      </c>
      <c r="D1511" s="4" t="s">
        <v>103</v>
      </c>
      <c r="E1511" s="51" t="s">
        <v>129</v>
      </c>
      <c r="F1511" s="3">
        <v>0</v>
      </c>
      <c r="G1511" s="3">
        <v>73</v>
      </c>
      <c r="H1511" s="3">
        <v>223</v>
      </c>
      <c r="I1511" s="51" t="s">
        <v>130</v>
      </c>
      <c r="J1511" s="3">
        <v>1</v>
      </c>
      <c r="K1511" s="4" t="s">
        <v>106</v>
      </c>
      <c r="L1511" s="56" t="str">
        <f>VLOOKUP(C1511,'[13]Trips&amp;Operators'!$C$1:$E$9999,3,0)</f>
        <v>ISHMAEL</v>
      </c>
      <c r="M1511" s="20" t="s">
        <v>112</v>
      </c>
      <c r="N1511" s="19"/>
      <c r="O1511" s="19" t="str">
        <f t="shared" si="46"/>
        <v>29</v>
      </c>
      <c r="P1511" s="64">
        <f t="shared" si="47"/>
        <v>42580</v>
      </c>
      <c r="Q1511" s="59"/>
      <c r="R1511" s="60"/>
      <c r="S1511" s="61"/>
      <c r="T1511" s="62"/>
      <c r="U1511" s="54"/>
      <c r="V1511" s="50"/>
      <c r="W1511" s="50"/>
    </row>
    <row r="1512" spans="1:23" x14ac:dyDescent="0.25">
      <c r="A1512" s="26">
        <v>42580.765208333331</v>
      </c>
      <c r="B1512" s="4" t="s">
        <v>136</v>
      </c>
      <c r="C1512" s="4" t="s">
        <v>215</v>
      </c>
      <c r="D1512" s="4" t="s">
        <v>103</v>
      </c>
      <c r="E1512" s="4" t="s">
        <v>129</v>
      </c>
      <c r="F1512" s="3">
        <v>0</v>
      </c>
      <c r="G1512" s="3">
        <v>83</v>
      </c>
      <c r="H1512" s="3">
        <v>282</v>
      </c>
      <c r="I1512" s="4" t="s">
        <v>130</v>
      </c>
      <c r="J1512" s="3">
        <v>1</v>
      </c>
      <c r="K1512" s="4" t="s">
        <v>106</v>
      </c>
      <c r="L1512" s="56" t="str">
        <f>VLOOKUP(C1512,'[13]Trips&amp;Operators'!$C$1:$E$9999,3,0)</f>
        <v>HAITHCOX</v>
      </c>
      <c r="M1512" s="20" t="s">
        <v>112</v>
      </c>
      <c r="N1512" s="19"/>
      <c r="O1512" s="19" t="str">
        <f t="shared" si="46"/>
        <v>29</v>
      </c>
      <c r="P1512" s="64">
        <f t="shared" si="47"/>
        <v>42580</v>
      </c>
      <c r="Q1512" s="59"/>
      <c r="R1512" s="60"/>
      <c r="S1512" s="61"/>
      <c r="T1512" s="62"/>
      <c r="U1512" s="54"/>
      <c r="V1512" s="50"/>
      <c r="W1512" s="50"/>
    </row>
    <row r="1513" spans="1:23" x14ac:dyDescent="0.25">
      <c r="A1513" s="26">
        <v>42580.795648148145</v>
      </c>
      <c r="B1513" s="4" t="s">
        <v>131</v>
      </c>
      <c r="C1513" s="4" t="s">
        <v>1657</v>
      </c>
      <c r="D1513" s="4" t="s">
        <v>103</v>
      </c>
      <c r="E1513" s="4" t="s">
        <v>129</v>
      </c>
      <c r="F1513" s="3">
        <v>0</v>
      </c>
      <c r="G1513" s="3">
        <v>45</v>
      </c>
      <c r="H1513" s="3">
        <v>156</v>
      </c>
      <c r="I1513" s="4" t="s">
        <v>130</v>
      </c>
      <c r="J1513" s="3">
        <v>1</v>
      </c>
      <c r="K1513" s="4" t="s">
        <v>106</v>
      </c>
      <c r="L1513" s="56" t="str">
        <f>VLOOKUP(C1513,'[13]Trips&amp;Operators'!$C$1:$E$9999,3,0)</f>
        <v>STAMBAUGH</v>
      </c>
      <c r="M1513" s="20" t="s">
        <v>112</v>
      </c>
      <c r="N1513" s="19"/>
      <c r="O1513" s="19" t="str">
        <f t="shared" si="46"/>
        <v>29</v>
      </c>
      <c r="P1513" s="64">
        <f t="shared" si="47"/>
        <v>42580</v>
      </c>
      <c r="Q1513" s="59"/>
      <c r="R1513" s="60"/>
      <c r="S1513" s="61"/>
      <c r="T1513" s="62"/>
      <c r="U1513" s="54"/>
      <c r="V1513" s="50"/>
      <c r="W1513" s="50"/>
    </row>
    <row r="1514" spans="1:23" x14ac:dyDescent="0.25">
      <c r="A1514" s="26">
        <v>42580.270277777781</v>
      </c>
      <c r="B1514" s="4" t="s">
        <v>145</v>
      </c>
      <c r="C1514" s="4" t="s">
        <v>377</v>
      </c>
      <c r="D1514" s="4" t="s">
        <v>103</v>
      </c>
      <c r="E1514" s="4" t="s">
        <v>129</v>
      </c>
      <c r="F1514" s="3">
        <v>0</v>
      </c>
      <c r="G1514" s="3">
        <v>56</v>
      </c>
      <c r="H1514" s="3">
        <v>755</v>
      </c>
      <c r="I1514" s="4" t="s">
        <v>130</v>
      </c>
      <c r="J1514" s="3">
        <v>575</v>
      </c>
      <c r="K1514" s="4" t="s">
        <v>106</v>
      </c>
      <c r="L1514" s="56" t="str">
        <f>VLOOKUP(C1514,'[13]Trips&amp;Operators'!$C$1:$E$9999,3,0)</f>
        <v>STRICKLAND</v>
      </c>
      <c r="M1514" s="20" t="s">
        <v>112</v>
      </c>
      <c r="N1514" s="19"/>
      <c r="O1514" s="19" t="str">
        <f t="shared" si="46"/>
        <v>29</v>
      </c>
      <c r="P1514" s="64">
        <f t="shared" si="47"/>
        <v>42580</v>
      </c>
      <c r="Q1514" s="59"/>
      <c r="R1514" s="60"/>
      <c r="S1514" s="61"/>
      <c r="T1514" s="62"/>
      <c r="U1514" s="54"/>
      <c r="V1514" s="50"/>
      <c r="W1514" s="50"/>
    </row>
    <row r="1515" spans="1:23" x14ac:dyDescent="0.25">
      <c r="A1515" s="26">
        <v>42580.356030092589</v>
      </c>
      <c r="B1515" s="51" t="s">
        <v>145</v>
      </c>
      <c r="C1515" s="4" t="s">
        <v>1666</v>
      </c>
      <c r="D1515" s="4" t="s">
        <v>103</v>
      </c>
      <c r="E1515" s="51" t="s">
        <v>129</v>
      </c>
      <c r="F1515" s="3">
        <v>0</v>
      </c>
      <c r="G1515" s="3">
        <v>36</v>
      </c>
      <c r="H1515" s="3">
        <v>754</v>
      </c>
      <c r="I1515" s="51" t="s">
        <v>130</v>
      </c>
      <c r="J1515" s="3">
        <v>575</v>
      </c>
      <c r="K1515" s="4" t="s">
        <v>106</v>
      </c>
      <c r="L1515" s="56" t="str">
        <f>VLOOKUP(C1515,'[13]Trips&amp;Operators'!$C$1:$E$9999,3,0)</f>
        <v>STRICKLAND</v>
      </c>
      <c r="M1515" s="20" t="s">
        <v>112</v>
      </c>
      <c r="N1515" s="19"/>
      <c r="O1515" s="19" t="str">
        <f t="shared" si="46"/>
        <v>29</v>
      </c>
      <c r="P1515" s="64">
        <f t="shared" si="47"/>
        <v>42580</v>
      </c>
      <c r="Q1515" s="59"/>
      <c r="R1515" s="60"/>
      <c r="S1515" s="61"/>
      <c r="T1515" s="62"/>
      <c r="U1515" s="54"/>
      <c r="V1515" s="50"/>
      <c r="W1515" s="50"/>
    </row>
    <row r="1516" spans="1:23" x14ac:dyDescent="0.25">
      <c r="A1516" s="26">
        <v>42580.582268518519</v>
      </c>
      <c r="B1516" s="51" t="s">
        <v>134</v>
      </c>
      <c r="C1516" s="4" t="s">
        <v>373</v>
      </c>
      <c r="D1516" s="4" t="s">
        <v>103</v>
      </c>
      <c r="E1516" s="51" t="s">
        <v>129</v>
      </c>
      <c r="F1516" s="3">
        <v>0</v>
      </c>
      <c r="G1516" s="3">
        <v>33</v>
      </c>
      <c r="H1516" s="3">
        <v>675</v>
      </c>
      <c r="I1516" s="51" t="s">
        <v>130</v>
      </c>
      <c r="J1516" s="3">
        <v>575</v>
      </c>
      <c r="K1516" s="4" t="s">
        <v>106</v>
      </c>
      <c r="L1516" s="56" t="str">
        <f>VLOOKUP(C1516,'[13]Trips&amp;Operators'!$C$1:$E$9999,3,0)</f>
        <v>KILLION</v>
      </c>
      <c r="M1516" s="20" t="s">
        <v>112</v>
      </c>
      <c r="N1516" s="19"/>
      <c r="O1516" s="19" t="str">
        <f t="shared" si="46"/>
        <v>29</v>
      </c>
      <c r="P1516" s="64">
        <f t="shared" si="47"/>
        <v>42580</v>
      </c>
      <c r="Q1516" s="59"/>
      <c r="R1516" s="60"/>
      <c r="S1516" s="61"/>
      <c r="T1516" s="62"/>
      <c r="U1516" s="54"/>
      <c r="V1516" s="50"/>
      <c r="W1516" s="50"/>
    </row>
    <row r="1517" spans="1:23" x14ac:dyDescent="0.25">
      <c r="A1517" s="26">
        <v>42580.66375</v>
      </c>
      <c r="B1517" s="51" t="s">
        <v>134</v>
      </c>
      <c r="C1517" s="4" t="s">
        <v>1667</v>
      </c>
      <c r="D1517" s="4" t="s">
        <v>103</v>
      </c>
      <c r="E1517" s="51" t="s">
        <v>129</v>
      </c>
      <c r="F1517" s="3">
        <v>0</v>
      </c>
      <c r="G1517" s="3">
        <v>83</v>
      </c>
      <c r="H1517" s="3">
        <v>862</v>
      </c>
      <c r="I1517" s="51" t="s">
        <v>130</v>
      </c>
      <c r="J1517" s="3">
        <v>575</v>
      </c>
      <c r="K1517" s="4" t="s">
        <v>106</v>
      </c>
      <c r="L1517" s="56" t="str">
        <f>VLOOKUP(C1517,'[13]Trips&amp;Operators'!$C$1:$E$9999,3,0)</f>
        <v>KILLION</v>
      </c>
      <c r="M1517" s="20" t="s">
        <v>112</v>
      </c>
      <c r="N1517" s="19"/>
      <c r="O1517" s="19" t="str">
        <f t="shared" si="46"/>
        <v>29</v>
      </c>
      <c r="P1517" s="64">
        <f t="shared" si="47"/>
        <v>42580</v>
      </c>
      <c r="Q1517" s="59"/>
      <c r="R1517" s="60"/>
      <c r="S1517" s="61"/>
      <c r="T1517" s="62"/>
      <c r="U1517" s="54"/>
      <c r="V1517" s="50"/>
      <c r="W1517" s="50"/>
    </row>
    <row r="1518" spans="1:23" x14ac:dyDescent="0.25">
      <c r="A1518" s="26">
        <v>42580.664212962962</v>
      </c>
      <c r="B1518" s="51" t="s">
        <v>134</v>
      </c>
      <c r="C1518" s="4" t="s">
        <v>1667</v>
      </c>
      <c r="D1518" s="4" t="s">
        <v>103</v>
      </c>
      <c r="E1518" s="51" t="s">
        <v>129</v>
      </c>
      <c r="F1518" s="3">
        <v>0</v>
      </c>
      <c r="G1518" s="3">
        <v>47</v>
      </c>
      <c r="H1518" s="3">
        <v>696</v>
      </c>
      <c r="I1518" s="51" t="s">
        <v>130</v>
      </c>
      <c r="J1518" s="3">
        <v>575</v>
      </c>
      <c r="K1518" s="4" t="s">
        <v>106</v>
      </c>
      <c r="L1518" s="56" t="str">
        <f>VLOOKUP(C1518,'[13]Trips&amp;Operators'!$C$1:$E$9999,3,0)</f>
        <v>KILLION</v>
      </c>
      <c r="M1518" s="20" t="s">
        <v>112</v>
      </c>
      <c r="N1518" s="19"/>
      <c r="O1518" s="19" t="str">
        <f t="shared" si="46"/>
        <v>29</v>
      </c>
      <c r="P1518" s="64">
        <f t="shared" si="47"/>
        <v>42580</v>
      </c>
      <c r="Q1518" s="59"/>
      <c r="R1518" s="60"/>
      <c r="S1518" s="61"/>
      <c r="T1518" s="62"/>
      <c r="U1518" s="54"/>
      <c r="V1518" s="50"/>
      <c r="W1518" s="50"/>
    </row>
    <row r="1519" spans="1:23" x14ac:dyDescent="0.25">
      <c r="A1519" s="26">
        <v>42580.68472222222</v>
      </c>
      <c r="B1519" s="51" t="s">
        <v>145</v>
      </c>
      <c r="C1519" s="4" t="s">
        <v>1668</v>
      </c>
      <c r="D1519" s="4" t="s">
        <v>103</v>
      </c>
      <c r="E1519" s="51" t="s">
        <v>129</v>
      </c>
      <c r="F1519" s="3">
        <v>0</v>
      </c>
      <c r="G1519" s="3">
        <v>52</v>
      </c>
      <c r="H1519" s="3">
        <v>832</v>
      </c>
      <c r="I1519" s="51" t="s">
        <v>130</v>
      </c>
      <c r="J1519" s="3">
        <v>575</v>
      </c>
      <c r="K1519" s="4" t="s">
        <v>106</v>
      </c>
      <c r="L1519" s="56" t="str">
        <f>VLOOKUP(C1519,'[13]Trips&amp;Operators'!$C$1:$E$9999,3,0)</f>
        <v>POLLOCK</v>
      </c>
      <c r="M1519" s="20" t="s">
        <v>112</v>
      </c>
      <c r="N1519" s="19"/>
      <c r="O1519" s="19" t="str">
        <f t="shared" si="46"/>
        <v>29</v>
      </c>
      <c r="P1519" s="64">
        <f t="shared" si="47"/>
        <v>42580</v>
      </c>
      <c r="Q1519" s="59"/>
      <c r="R1519" s="60"/>
      <c r="S1519" s="61"/>
      <c r="T1519" s="62"/>
      <c r="U1519" s="54"/>
      <c r="V1519" s="50"/>
      <c r="W1519" s="50"/>
    </row>
    <row r="1520" spans="1:23" x14ac:dyDescent="0.25">
      <c r="A1520" s="26">
        <v>42580.829768518517</v>
      </c>
      <c r="B1520" s="4" t="s">
        <v>134</v>
      </c>
      <c r="C1520" s="4" t="s">
        <v>1669</v>
      </c>
      <c r="D1520" s="4" t="s">
        <v>103</v>
      </c>
      <c r="E1520" s="4" t="s">
        <v>129</v>
      </c>
      <c r="F1520" s="3">
        <v>0</v>
      </c>
      <c r="G1520" s="3">
        <v>87</v>
      </c>
      <c r="H1520" s="3">
        <v>866</v>
      </c>
      <c r="I1520" s="4" t="s">
        <v>130</v>
      </c>
      <c r="J1520" s="3">
        <v>575</v>
      </c>
      <c r="K1520" s="4" t="s">
        <v>106</v>
      </c>
      <c r="L1520" s="56" t="str">
        <f>VLOOKUP(C1520,'[13]Trips&amp;Operators'!$C$1:$E$9999,3,0)</f>
        <v>KILLION</v>
      </c>
      <c r="M1520" s="20" t="s">
        <v>112</v>
      </c>
      <c r="N1520" s="19"/>
      <c r="O1520" s="19" t="str">
        <f t="shared" si="46"/>
        <v>29</v>
      </c>
      <c r="P1520" s="64">
        <f t="shared" si="47"/>
        <v>42580</v>
      </c>
      <c r="Q1520" s="59"/>
      <c r="R1520" s="60"/>
      <c r="S1520" s="61"/>
      <c r="T1520" s="62"/>
      <c r="U1520" s="54"/>
      <c r="V1520" s="50"/>
      <c r="W1520" s="50"/>
    </row>
    <row r="1521" spans="1:23" x14ac:dyDescent="0.25">
      <c r="A1521" s="26">
        <v>42580.830196759256</v>
      </c>
      <c r="B1521" s="4" t="s">
        <v>134</v>
      </c>
      <c r="C1521" s="4" t="s">
        <v>1669</v>
      </c>
      <c r="D1521" s="4" t="s">
        <v>103</v>
      </c>
      <c r="E1521" s="4" t="s">
        <v>129</v>
      </c>
      <c r="F1521" s="3">
        <v>0</v>
      </c>
      <c r="G1521" s="3">
        <v>46</v>
      </c>
      <c r="H1521" s="3">
        <v>726</v>
      </c>
      <c r="I1521" s="4" t="s">
        <v>130</v>
      </c>
      <c r="J1521" s="3">
        <v>575</v>
      </c>
      <c r="K1521" s="4" t="s">
        <v>106</v>
      </c>
      <c r="L1521" s="56" t="str">
        <f>VLOOKUP(C1521,'[13]Trips&amp;Operators'!$C$1:$E$9999,3,0)</f>
        <v>KILLION</v>
      </c>
      <c r="M1521" s="20" t="s">
        <v>112</v>
      </c>
      <c r="N1521" s="19"/>
      <c r="O1521" s="19" t="str">
        <f t="shared" si="46"/>
        <v>29</v>
      </c>
      <c r="P1521" s="64">
        <f t="shared" si="47"/>
        <v>42580</v>
      </c>
      <c r="Q1521" s="59"/>
      <c r="R1521" s="60"/>
      <c r="S1521" s="61"/>
      <c r="T1521" s="62"/>
      <c r="U1521" s="54"/>
      <c r="V1521" s="50"/>
      <c r="W1521" s="50"/>
    </row>
    <row r="1522" spans="1:23" x14ac:dyDescent="0.25">
      <c r="A1522" s="26">
        <v>42580.87127314815</v>
      </c>
      <c r="B1522" s="4" t="s">
        <v>134</v>
      </c>
      <c r="C1522" s="4" t="s">
        <v>1670</v>
      </c>
      <c r="D1522" s="4" t="s">
        <v>103</v>
      </c>
      <c r="E1522" s="4" t="s">
        <v>129</v>
      </c>
      <c r="F1522" s="3">
        <v>0</v>
      </c>
      <c r="G1522" s="3">
        <v>143</v>
      </c>
      <c r="H1522" s="3">
        <v>1153</v>
      </c>
      <c r="I1522" s="4" t="s">
        <v>130</v>
      </c>
      <c r="J1522" s="3">
        <v>575</v>
      </c>
      <c r="K1522" s="4" t="s">
        <v>106</v>
      </c>
      <c r="L1522" s="56" t="str">
        <f>VLOOKUP(C1522,'[13]Trips&amp;Operators'!$C$1:$E$9999,3,0)</f>
        <v>KILLION</v>
      </c>
      <c r="M1522" s="20" t="s">
        <v>112</v>
      </c>
      <c r="N1522" s="19"/>
      <c r="O1522" s="19" t="str">
        <f t="shared" si="46"/>
        <v>29</v>
      </c>
      <c r="P1522" s="64">
        <f t="shared" si="47"/>
        <v>42580</v>
      </c>
      <c r="Q1522" s="59"/>
      <c r="R1522" s="60"/>
      <c r="S1522" s="61"/>
      <c r="T1522" s="62"/>
      <c r="U1522" s="54"/>
      <c r="V1522" s="50"/>
      <c r="W1522" s="50"/>
    </row>
    <row r="1523" spans="1:23" x14ac:dyDescent="0.25">
      <c r="A1523" s="26">
        <v>42580.871770833335</v>
      </c>
      <c r="B1523" s="4" t="s">
        <v>134</v>
      </c>
      <c r="C1523" s="4" t="s">
        <v>1670</v>
      </c>
      <c r="D1523" s="4" t="s">
        <v>103</v>
      </c>
      <c r="E1523" s="4" t="s">
        <v>129</v>
      </c>
      <c r="F1523" s="3">
        <v>0</v>
      </c>
      <c r="G1523" s="3">
        <v>69</v>
      </c>
      <c r="H1523" s="3">
        <v>820</v>
      </c>
      <c r="I1523" s="4" t="s">
        <v>130</v>
      </c>
      <c r="J1523" s="3">
        <v>575</v>
      </c>
      <c r="K1523" s="4" t="s">
        <v>106</v>
      </c>
      <c r="L1523" s="56" t="str">
        <f>VLOOKUP(C1523,'[13]Trips&amp;Operators'!$C$1:$E$9999,3,0)</f>
        <v>KILLION</v>
      </c>
      <c r="M1523" s="20" t="s">
        <v>112</v>
      </c>
      <c r="N1523" s="19"/>
      <c r="O1523" s="19" t="str">
        <f t="shared" si="46"/>
        <v>29</v>
      </c>
      <c r="P1523" s="64">
        <f t="shared" si="47"/>
        <v>42580</v>
      </c>
      <c r="Q1523" s="59"/>
      <c r="R1523" s="60"/>
      <c r="S1523" s="61"/>
      <c r="T1523" s="62"/>
      <c r="U1523" s="54"/>
      <c r="V1523" s="50"/>
      <c r="W1523" s="50"/>
    </row>
    <row r="1524" spans="1:23" x14ac:dyDescent="0.25">
      <c r="A1524" s="26">
        <v>42580.872175925928</v>
      </c>
      <c r="B1524" s="4" t="s">
        <v>134</v>
      </c>
      <c r="C1524" s="4" t="s">
        <v>1670</v>
      </c>
      <c r="D1524" s="4" t="s">
        <v>103</v>
      </c>
      <c r="E1524" s="4" t="s">
        <v>129</v>
      </c>
      <c r="F1524" s="3">
        <v>0</v>
      </c>
      <c r="G1524" s="3">
        <v>37</v>
      </c>
      <c r="H1524" s="3">
        <v>733</v>
      </c>
      <c r="I1524" s="4" t="s">
        <v>130</v>
      </c>
      <c r="J1524" s="3">
        <v>575</v>
      </c>
      <c r="K1524" s="4" t="s">
        <v>106</v>
      </c>
      <c r="L1524" s="56" t="str">
        <f>VLOOKUP(C1524,'[13]Trips&amp;Operators'!$C$1:$E$9999,3,0)</f>
        <v>KILLION</v>
      </c>
      <c r="M1524" s="20" t="s">
        <v>112</v>
      </c>
      <c r="N1524" s="19"/>
      <c r="O1524" s="19" t="str">
        <f t="shared" si="46"/>
        <v>29</v>
      </c>
      <c r="P1524" s="64">
        <f t="shared" si="47"/>
        <v>42580</v>
      </c>
      <c r="Q1524" s="59"/>
      <c r="R1524" s="60"/>
      <c r="S1524" s="61"/>
      <c r="T1524" s="62"/>
      <c r="U1524" s="54"/>
      <c r="V1524" s="50"/>
      <c r="W1524" s="50"/>
    </row>
    <row r="1525" spans="1:23" x14ac:dyDescent="0.25">
      <c r="A1525" s="26">
        <v>42580.914004629631</v>
      </c>
      <c r="B1525" s="4" t="s">
        <v>134</v>
      </c>
      <c r="C1525" s="4" t="s">
        <v>1671</v>
      </c>
      <c r="D1525" s="4" t="s">
        <v>103</v>
      </c>
      <c r="E1525" s="4" t="s">
        <v>129</v>
      </c>
      <c r="F1525" s="3">
        <v>0</v>
      </c>
      <c r="G1525" s="3">
        <v>22</v>
      </c>
      <c r="H1525" s="3">
        <v>650</v>
      </c>
      <c r="I1525" s="4" t="s">
        <v>130</v>
      </c>
      <c r="J1525" s="3">
        <v>575</v>
      </c>
      <c r="K1525" s="4" t="s">
        <v>106</v>
      </c>
      <c r="L1525" s="56" t="str">
        <f>VLOOKUP(C1525,'[13]Trips&amp;Operators'!$C$1:$E$9999,3,0)</f>
        <v>CHIONE</v>
      </c>
      <c r="M1525" s="20" t="s">
        <v>112</v>
      </c>
      <c r="N1525" s="19"/>
      <c r="O1525" s="19" t="str">
        <f t="shared" si="46"/>
        <v>29</v>
      </c>
      <c r="P1525" s="64">
        <f t="shared" si="47"/>
        <v>42580</v>
      </c>
      <c r="Q1525" s="59"/>
      <c r="R1525" s="60"/>
      <c r="S1525" s="61"/>
      <c r="T1525" s="62"/>
      <c r="U1525" s="54"/>
      <c r="V1525" s="50"/>
      <c r="W1525" s="50"/>
    </row>
    <row r="1526" spans="1:23" x14ac:dyDescent="0.25">
      <c r="A1526" s="26">
        <v>42580.274641203701</v>
      </c>
      <c r="B1526" s="51" t="s">
        <v>108</v>
      </c>
      <c r="C1526" s="4" t="s">
        <v>371</v>
      </c>
      <c r="D1526" s="4" t="s">
        <v>103</v>
      </c>
      <c r="E1526" s="51" t="s">
        <v>129</v>
      </c>
      <c r="F1526" s="3">
        <v>0</v>
      </c>
      <c r="G1526" s="3">
        <v>48</v>
      </c>
      <c r="H1526" s="3">
        <v>58929</v>
      </c>
      <c r="I1526" s="51" t="s">
        <v>130</v>
      </c>
      <c r="J1526" s="3">
        <v>59048</v>
      </c>
      <c r="K1526" s="4" t="s">
        <v>111</v>
      </c>
      <c r="L1526" s="56" t="str">
        <f>VLOOKUP(C1526,'[13]Trips&amp;Operators'!$C$1:$E$9999,3,0)</f>
        <v>YORK</v>
      </c>
      <c r="M1526" s="20" t="s">
        <v>112</v>
      </c>
      <c r="N1526" s="19"/>
      <c r="O1526" s="19" t="str">
        <f t="shared" si="46"/>
        <v>29</v>
      </c>
      <c r="P1526" s="64">
        <f t="shared" si="47"/>
        <v>42580</v>
      </c>
      <c r="Q1526" s="59"/>
      <c r="R1526" s="60"/>
      <c r="S1526" s="61"/>
      <c r="T1526" s="62"/>
      <c r="U1526" s="54"/>
      <c r="V1526" s="50"/>
      <c r="W1526" s="50"/>
    </row>
    <row r="1527" spans="1:23" x14ac:dyDescent="0.25">
      <c r="A1527" s="26">
        <v>42580.2965625</v>
      </c>
      <c r="B1527" s="51" t="s">
        <v>146</v>
      </c>
      <c r="C1527" s="4" t="s">
        <v>1672</v>
      </c>
      <c r="D1527" s="4" t="s">
        <v>103</v>
      </c>
      <c r="E1527" s="51" t="s">
        <v>129</v>
      </c>
      <c r="F1527" s="3">
        <v>0</v>
      </c>
      <c r="G1527" s="3">
        <v>53</v>
      </c>
      <c r="H1527" s="3">
        <v>58886</v>
      </c>
      <c r="I1527" s="51" t="s">
        <v>130</v>
      </c>
      <c r="J1527" s="3">
        <v>59048</v>
      </c>
      <c r="K1527" s="4" t="s">
        <v>111</v>
      </c>
      <c r="L1527" s="56" t="str">
        <f>VLOOKUP(C1527,'[13]Trips&amp;Operators'!$C$1:$E$9999,3,0)</f>
        <v>STRICKLAND</v>
      </c>
      <c r="M1527" s="20" t="s">
        <v>112</v>
      </c>
      <c r="N1527" s="19"/>
      <c r="O1527" s="19" t="str">
        <f t="shared" si="46"/>
        <v>29</v>
      </c>
      <c r="P1527" s="64">
        <f t="shared" si="47"/>
        <v>42580</v>
      </c>
      <c r="Q1527" s="59"/>
      <c r="R1527" s="60"/>
      <c r="S1527" s="61"/>
      <c r="T1527" s="62"/>
      <c r="U1527" s="54"/>
      <c r="V1527" s="50"/>
      <c r="W1527" s="50"/>
    </row>
    <row r="1528" spans="1:23" x14ac:dyDescent="0.25">
      <c r="A1528" s="26">
        <v>42580.568368055552</v>
      </c>
      <c r="B1528" s="51" t="s">
        <v>108</v>
      </c>
      <c r="C1528" s="4" t="s">
        <v>372</v>
      </c>
      <c r="D1528" s="4" t="s">
        <v>103</v>
      </c>
      <c r="E1528" s="51" t="s">
        <v>129</v>
      </c>
      <c r="F1528" s="3">
        <v>0</v>
      </c>
      <c r="G1528" s="3">
        <v>108</v>
      </c>
      <c r="H1528" s="3">
        <v>58587</v>
      </c>
      <c r="I1528" s="51" t="s">
        <v>130</v>
      </c>
      <c r="J1528" s="3">
        <v>59048</v>
      </c>
      <c r="K1528" s="4" t="s">
        <v>111</v>
      </c>
      <c r="L1528" s="56" t="str">
        <f>VLOOKUP(C1528,'[13]Trips&amp;Operators'!$C$1:$E$9999,3,0)</f>
        <v>KILLION</v>
      </c>
      <c r="M1528" s="20" t="s">
        <v>112</v>
      </c>
      <c r="N1528" s="19"/>
      <c r="O1528" s="19" t="str">
        <f t="shared" si="46"/>
        <v>29</v>
      </c>
      <c r="P1528" s="64">
        <f t="shared" si="47"/>
        <v>42580</v>
      </c>
      <c r="Q1528" s="59"/>
      <c r="R1528" s="60"/>
      <c r="S1528" s="61"/>
      <c r="T1528" s="62"/>
      <c r="U1528" s="54"/>
      <c r="V1528" s="50"/>
      <c r="W1528" s="50"/>
    </row>
    <row r="1529" spans="1:23" x14ac:dyDescent="0.25">
      <c r="A1529" s="26">
        <v>42580.568935185183</v>
      </c>
      <c r="B1529" s="51" t="s">
        <v>108</v>
      </c>
      <c r="C1529" s="4" t="s">
        <v>372</v>
      </c>
      <c r="D1529" s="4" t="s">
        <v>103</v>
      </c>
      <c r="E1529" s="51" t="s">
        <v>129</v>
      </c>
      <c r="F1529" s="3">
        <v>0</v>
      </c>
      <c r="G1529" s="3">
        <v>53</v>
      </c>
      <c r="H1529" s="3">
        <v>58824</v>
      </c>
      <c r="I1529" s="51" t="s">
        <v>130</v>
      </c>
      <c r="J1529" s="3">
        <v>59048</v>
      </c>
      <c r="K1529" s="4" t="s">
        <v>111</v>
      </c>
      <c r="L1529" s="56" t="str">
        <f>VLOOKUP(C1529,'[13]Trips&amp;Operators'!$C$1:$E$9999,3,0)</f>
        <v>KILLION</v>
      </c>
      <c r="M1529" s="20" t="s">
        <v>112</v>
      </c>
      <c r="N1529" s="19"/>
      <c r="O1529" s="19" t="str">
        <f t="shared" si="46"/>
        <v>29</v>
      </c>
      <c r="P1529" s="64">
        <f t="shared" si="47"/>
        <v>42580</v>
      </c>
      <c r="Q1529" s="59"/>
      <c r="R1529" s="60"/>
      <c r="S1529" s="61"/>
      <c r="T1529" s="62"/>
      <c r="U1529" s="54"/>
      <c r="V1529" s="50"/>
      <c r="W1529" s="50"/>
    </row>
    <row r="1530" spans="1:23" x14ac:dyDescent="0.25">
      <c r="A1530" s="26">
        <v>42580.569351851853</v>
      </c>
      <c r="B1530" s="51" t="s">
        <v>108</v>
      </c>
      <c r="C1530" s="4" t="s">
        <v>372</v>
      </c>
      <c r="D1530" s="4" t="s">
        <v>103</v>
      </c>
      <c r="E1530" s="51" t="s">
        <v>129</v>
      </c>
      <c r="F1530" s="3">
        <v>0</v>
      </c>
      <c r="G1530" s="3">
        <v>20</v>
      </c>
      <c r="H1530" s="3">
        <v>58950</v>
      </c>
      <c r="I1530" s="51" t="s">
        <v>130</v>
      </c>
      <c r="J1530" s="3">
        <v>59048</v>
      </c>
      <c r="K1530" s="4" t="s">
        <v>111</v>
      </c>
      <c r="L1530" s="56" t="str">
        <f>VLOOKUP(C1530,'[13]Trips&amp;Operators'!$C$1:$E$9999,3,0)</f>
        <v>KILLION</v>
      </c>
      <c r="M1530" s="20" t="s">
        <v>112</v>
      </c>
      <c r="N1530" s="19"/>
      <c r="O1530" s="19" t="str">
        <f t="shared" si="46"/>
        <v>29</v>
      </c>
      <c r="P1530" s="64">
        <f t="shared" si="47"/>
        <v>42580</v>
      </c>
      <c r="Q1530" s="59"/>
      <c r="R1530" s="60"/>
      <c r="S1530" s="61"/>
      <c r="T1530" s="62"/>
      <c r="U1530" s="54"/>
      <c r="V1530" s="50"/>
      <c r="W1530" s="50"/>
    </row>
    <row r="1531" spans="1:23" x14ac:dyDescent="0.25">
      <c r="A1531" s="26">
        <v>42580.608194444445</v>
      </c>
      <c r="B1531" s="51" t="s">
        <v>108</v>
      </c>
      <c r="C1531" s="4" t="s">
        <v>1673</v>
      </c>
      <c r="D1531" s="4" t="s">
        <v>103</v>
      </c>
      <c r="E1531" s="51" t="s">
        <v>129</v>
      </c>
      <c r="F1531" s="3">
        <v>0</v>
      </c>
      <c r="G1531" s="3">
        <v>84</v>
      </c>
      <c r="H1531" s="3">
        <v>58769</v>
      </c>
      <c r="I1531" s="51" t="s">
        <v>130</v>
      </c>
      <c r="J1531" s="3">
        <v>59048</v>
      </c>
      <c r="K1531" s="4" t="s">
        <v>111</v>
      </c>
      <c r="L1531" s="56" t="str">
        <f>VLOOKUP(C1531,'[13]Trips&amp;Operators'!$C$1:$E$9999,3,0)</f>
        <v>KILLION</v>
      </c>
      <c r="M1531" s="20" t="s">
        <v>112</v>
      </c>
      <c r="N1531" s="19"/>
      <c r="O1531" s="19" t="str">
        <f t="shared" si="46"/>
        <v>29</v>
      </c>
      <c r="P1531" s="64">
        <f t="shared" si="47"/>
        <v>42580</v>
      </c>
      <c r="Q1531" s="59"/>
      <c r="R1531" s="60"/>
      <c r="S1531" s="61"/>
      <c r="T1531" s="62"/>
      <c r="U1531" s="54"/>
      <c r="V1531" s="50"/>
      <c r="W1531" s="50"/>
    </row>
    <row r="1532" spans="1:23" x14ac:dyDescent="0.25">
      <c r="A1532" s="26">
        <v>42580.857685185183</v>
      </c>
      <c r="B1532" s="4" t="s">
        <v>108</v>
      </c>
      <c r="C1532" s="4" t="s">
        <v>380</v>
      </c>
      <c r="D1532" s="4" t="s">
        <v>103</v>
      </c>
      <c r="E1532" s="4" t="s">
        <v>129</v>
      </c>
      <c r="F1532" s="3">
        <v>0</v>
      </c>
      <c r="G1532" s="3">
        <v>83</v>
      </c>
      <c r="H1532" s="3">
        <v>58756</v>
      </c>
      <c r="I1532" s="4" t="s">
        <v>130</v>
      </c>
      <c r="J1532" s="3">
        <v>59048</v>
      </c>
      <c r="K1532" s="4" t="s">
        <v>111</v>
      </c>
      <c r="L1532" s="56" t="str">
        <f>VLOOKUP(C1532,'[13]Trips&amp;Operators'!$C$1:$E$9999,3,0)</f>
        <v>KILLION</v>
      </c>
      <c r="M1532" s="20" t="s">
        <v>112</v>
      </c>
      <c r="N1532" s="19"/>
      <c r="O1532" s="19" t="str">
        <f t="shared" si="46"/>
        <v>29</v>
      </c>
      <c r="P1532" s="64">
        <f t="shared" si="47"/>
        <v>42580</v>
      </c>
      <c r="Q1532" s="59"/>
      <c r="R1532" s="60"/>
      <c r="S1532" s="61"/>
      <c r="T1532" s="62"/>
      <c r="U1532" s="54"/>
      <c r="V1532" s="50"/>
      <c r="W1532" s="50"/>
    </row>
    <row r="1533" spans="1:23" x14ac:dyDescent="0.25">
      <c r="A1533" s="26">
        <v>42580.858159722222</v>
      </c>
      <c r="B1533" s="4" t="s">
        <v>108</v>
      </c>
      <c r="C1533" s="4" t="s">
        <v>380</v>
      </c>
      <c r="D1533" s="4" t="s">
        <v>103</v>
      </c>
      <c r="E1533" s="4" t="s">
        <v>129</v>
      </c>
      <c r="F1533" s="3">
        <v>0</v>
      </c>
      <c r="G1533" s="3">
        <v>40</v>
      </c>
      <c r="H1533" s="3">
        <v>58928</v>
      </c>
      <c r="I1533" s="4" t="s">
        <v>130</v>
      </c>
      <c r="J1533" s="3">
        <v>59048</v>
      </c>
      <c r="K1533" s="4" t="s">
        <v>111</v>
      </c>
      <c r="L1533" s="56" t="str">
        <f>VLOOKUP(C1533,'[13]Trips&amp;Operators'!$C$1:$E$9999,3,0)</f>
        <v>KILLION</v>
      </c>
      <c r="M1533" s="20" t="s">
        <v>112</v>
      </c>
      <c r="N1533" s="19"/>
      <c r="O1533" s="19" t="str">
        <f t="shared" si="46"/>
        <v>29</v>
      </c>
      <c r="P1533" s="64">
        <f t="shared" si="47"/>
        <v>42580</v>
      </c>
      <c r="Q1533" s="59"/>
      <c r="R1533" s="60"/>
      <c r="S1533" s="61"/>
      <c r="T1533" s="62"/>
      <c r="U1533" s="54"/>
      <c r="V1533" s="50"/>
      <c r="W1533" s="50"/>
    </row>
    <row r="1534" spans="1:23" x14ac:dyDescent="0.25">
      <c r="A1534" s="26">
        <v>42580.337893518517</v>
      </c>
      <c r="B1534" s="51" t="s">
        <v>125</v>
      </c>
      <c r="C1534" s="4" t="s">
        <v>250</v>
      </c>
      <c r="D1534" s="4" t="s">
        <v>103</v>
      </c>
      <c r="E1534" s="51" t="s">
        <v>129</v>
      </c>
      <c r="F1534" s="3">
        <v>0</v>
      </c>
      <c r="G1534" s="3">
        <v>52</v>
      </c>
      <c r="H1534" s="3">
        <v>233308</v>
      </c>
      <c r="I1534" s="51" t="s">
        <v>130</v>
      </c>
      <c r="J1534" s="3">
        <v>233491</v>
      </c>
      <c r="K1534" s="4" t="s">
        <v>111</v>
      </c>
      <c r="L1534" s="56" t="str">
        <f>VLOOKUP(C1534,'[13]Trips&amp;Operators'!$C$1:$E$9999,3,0)</f>
        <v>SANTIZO</v>
      </c>
      <c r="M1534" s="20" t="s">
        <v>112</v>
      </c>
      <c r="N1534" s="19"/>
      <c r="O1534" s="19" t="str">
        <f t="shared" si="46"/>
        <v>29</v>
      </c>
      <c r="P1534" s="64">
        <f t="shared" si="47"/>
        <v>42580</v>
      </c>
      <c r="Q1534" s="59"/>
      <c r="R1534" s="60"/>
      <c r="S1534" s="61"/>
      <c r="T1534" s="62"/>
      <c r="U1534" s="54"/>
      <c r="V1534" s="50"/>
      <c r="W1534" s="50"/>
    </row>
    <row r="1535" spans="1:23" x14ac:dyDescent="0.25">
      <c r="A1535" s="26">
        <v>42580.483703703707</v>
      </c>
      <c r="B1535" s="51" t="s">
        <v>125</v>
      </c>
      <c r="C1535" s="4" t="s">
        <v>1658</v>
      </c>
      <c r="D1535" s="4" t="s">
        <v>103</v>
      </c>
      <c r="E1535" s="51" t="s">
        <v>129</v>
      </c>
      <c r="F1535" s="3">
        <v>0</v>
      </c>
      <c r="G1535" s="3">
        <v>94</v>
      </c>
      <c r="H1535" s="3">
        <v>233122</v>
      </c>
      <c r="I1535" s="51" t="s">
        <v>130</v>
      </c>
      <c r="J1535" s="3">
        <v>233491</v>
      </c>
      <c r="K1535" s="4" t="s">
        <v>111</v>
      </c>
      <c r="L1535" s="56" t="str">
        <f>VLOOKUP(C1535,'[13]Trips&amp;Operators'!$C$1:$E$9999,3,0)</f>
        <v>STEWART</v>
      </c>
      <c r="M1535" s="20" t="s">
        <v>112</v>
      </c>
      <c r="N1535" s="19"/>
      <c r="O1535" s="19" t="str">
        <f t="shared" si="46"/>
        <v>29</v>
      </c>
      <c r="P1535" s="64">
        <f t="shared" si="47"/>
        <v>42580</v>
      </c>
      <c r="Q1535" s="59"/>
      <c r="R1535" s="60"/>
      <c r="S1535" s="61"/>
      <c r="T1535" s="62"/>
      <c r="U1535" s="54"/>
      <c r="V1535" s="50"/>
      <c r="W1535" s="50"/>
    </row>
    <row r="1536" spans="1:23" x14ac:dyDescent="0.25">
      <c r="A1536" s="26">
        <v>42580.556354166663</v>
      </c>
      <c r="B1536" s="51" t="s">
        <v>125</v>
      </c>
      <c r="C1536" s="4" t="s">
        <v>1659</v>
      </c>
      <c r="D1536" s="4" t="s">
        <v>103</v>
      </c>
      <c r="E1536" s="51" t="s">
        <v>129</v>
      </c>
      <c r="F1536" s="3">
        <v>0</v>
      </c>
      <c r="G1536" s="3">
        <v>82</v>
      </c>
      <c r="H1536" s="3">
        <v>233170</v>
      </c>
      <c r="I1536" s="51" t="s">
        <v>130</v>
      </c>
      <c r="J1536" s="3">
        <v>233491</v>
      </c>
      <c r="K1536" s="4" t="s">
        <v>111</v>
      </c>
      <c r="L1536" s="56" t="str">
        <f>VLOOKUP(C1536,'[13]Trips&amp;Operators'!$C$1:$E$9999,3,0)</f>
        <v>STEWART</v>
      </c>
      <c r="M1536" s="20" t="s">
        <v>112</v>
      </c>
      <c r="N1536" s="19"/>
      <c r="O1536" s="19" t="str">
        <f t="shared" si="46"/>
        <v>29</v>
      </c>
      <c r="P1536" s="64">
        <f t="shared" si="47"/>
        <v>42580</v>
      </c>
      <c r="Q1536" s="59"/>
      <c r="R1536" s="60"/>
      <c r="S1536" s="61"/>
      <c r="T1536" s="62"/>
      <c r="U1536" s="54"/>
      <c r="V1536" s="50"/>
      <c r="W1536" s="50"/>
    </row>
    <row r="1537" spans="1:23" x14ac:dyDescent="0.25">
      <c r="A1537" s="26">
        <v>42580.944155092591</v>
      </c>
      <c r="B1537" s="4" t="s">
        <v>142</v>
      </c>
      <c r="C1537" s="4" t="s">
        <v>1648</v>
      </c>
      <c r="D1537" s="4" t="s">
        <v>103</v>
      </c>
      <c r="E1537" s="4" t="s">
        <v>129</v>
      </c>
      <c r="F1537" s="3">
        <v>0</v>
      </c>
      <c r="G1537" s="3">
        <v>40</v>
      </c>
      <c r="H1537" s="3">
        <v>233205</v>
      </c>
      <c r="I1537" s="4" t="s">
        <v>130</v>
      </c>
      <c r="J1537" s="3">
        <v>233491</v>
      </c>
      <c r="K1537" s="4" t="s">
        <v>111</v>
      </c>
      <c r="L1537" s="56" t="str">
        <f>VLOOKUP(C1537,'[13]Trips&amp;Operators'!$C$1:$E$9999,3,0)</f>
        <v>CHANDLER</v>
      </c>
      <c r="M1537" s="20" t="s">
        <v>112</v>
      </c>
      <c r="N1537" s="19"/>
      <c r="O1537" s="19" t="str">
        <f t="shared" si="46"/>
        <v>29</v>
      </c>
      <c r="P1537" s="64">
        <f t="shared" si="47"/>
        <v>42580</v>
      </c>
      <c r="Q1537" s="59"/>
      <c r="R1537" s="60"/>
      <c r="S1537" s="61"/>
      <c r="T1537" s="62"/>
      <c r="U1537" s="54"/>
      <c r="V1537" s="50"/>
      <c r="W1537" s="50"/>
    </row>
    <row r="1538" spans="1:23" x14ac:dyDescent="0.25">
      <c r="A1538" s="26">
        <v>42581.715162037035</v>
      </c>
      <c r="B1538" s="51" t="s">
        <v>147</v>
      </c>
      <c r="C1538" s="4" t="s">
        <v>1674</v>
      </c>
      <c r="D1538" s="4" t="s">
        <v>103</v>
      </c>
      <c r="E1538" s="51" t="s">
        <v>109</v>
      </c>
      <c r="F1538" s="3">
        <v>0</v>
      </c>
      <c r="G1538" s="3">
        <v>489</v>
      </c>
      <c r="H1538" s="3">
        <v>38639</v>
      </c>
      <c r="I1538" s="51" t="s">
        <v>110</v>
      </c>
      <c r="J1538" s="3">
        <v>37462</v>
      </c>
      <c r="K1538" s="4" t="s">
        <v>106</v>
      </c>
      <c r="L1538" s="56" t="str">
        <f>VLOOKUP(C1538,'[14]Trips&amp;Operators'!$C$1:$E$9999,3,0)</f>
        <v>MAYBERRY</v>
      </c>
      <c r="M1538" s="20" t="s">
        <v>112</v>
      </c>
      <c r="N1538" s="19" t="s">
        <v>543</v>
      </c>
      <c r="O1538" s="19" t="str">
        <f t="shared" ref="O1538:O1601" si="48">RIGHT(C1538,2)</f>
        <v>30</v>
      </c>
      <c r="P1538" s="64">
        <f t="shared" si="47"/>
        <v>42581</v>
      </c>
      <c r="Q1538" s="59"/>
      <c r="R1538" s="60"/>
      <c r="S1538" s="61"/>
      <c r="T1538" s="62"/>
      <c r="U1538" s="54"/>
      <c r="V1538" s="50"/>
      <c r="W1538" s="50"/>
    </row>
    <row r="1539" spans="1:23" x14ac:dyDescent="0.25">
      <c r="A1539" s="26">
        <v>42581.370358796295</v>
      </c>
      <c r="B1539" s="51" t="s">
        <v>131</v>
      </c>
      <c r="C1539" s="4" t="s">
        <v>1675</v>
      </c>
      <c r="D1539" s="4" t="s">
        <v>103</v>
      </c>
      <c r="E1539" s="51" t="s">
        <v>109</v>
      </c>
      <c r="F1539" s="3">
        <v>0</v>
      </c>
      <c r="G1539" s="3">
        <v>531</v>
      </c>
      <c r="H1539" s="3">
        <v>43267</v>
      </c>
      <c r="I1539" s="51" t="s">
        <v>110</v>
      </c>
      <c r="J1539" s="3">
        <v>42961</v>
      </c>
      <c r="K1539" s="4" t="s">
        <v>106</v>
      </c>
      <c r="L1539" s="56" t="str">
        <f>VLOOKUP(C1539,'[14]Trips&amp;Operators'!$C$1:$E$9999,3,0)</f>
        <v>MALAVE</v>
      </c>
      <c r="M1539" s="20" t="s">
        <v>112</v>
      </c>
      <c r="N1539" s="19" t="s">
        <v>543</v>
      </c>
      <c r="O1539" s="19" t="str">
        <f t="shared" si="48"/>
        <v>30</v>
      </c>
      <c r="P1539" s="64">
        <f t="shared" ref="P1539:P1602" si="49">42522+O1539+29</f>
        <v>42581</v>
      </c>
      <c r="Q1539" s="59"/>
      <c r="R1539" s="60"/>
      <c r="S1539" s="61"/>
      <c r="T1539" s="62"/>
      <c r="U1539" s="54"/>
      <c r="V1539" s="50"/>
      <c r="W1539" s="50"/>
    </row>
    <row r="1540" spans="1:23" x14ac:dyDescent="0.25">
      <c r="A1540" s="26">
        <v>42581.571608796294</v>
      </c>
      <c r="B1540" s="4" t="s">
        <v>121</v>
      </c>
      <c r="C1540" s="4" t="s">
        <v>217</v>
      </c>
      <c r="D1540" s="4" t="s">
        <v>103</v>
      </c>
      <c r="E1540" s="4" t="s">
        <v>109</v>
      </c>
      <c r="F1540" s="3">
        <v>110</v>
      </c>
      <c r="G1540" s="3">
        <v>436</v>
      </c>
      <c r="H1540" s="3">
        <v>60766</v>
      </c>
      <c r="I1540" s="4" t="s">
        <v>110</v>
      </c>
      <c r="J1540" s="3">
        <v>63069</v>
      </c>
      <c r="K1540" s="4" t="s">
        <v>111</v>
      </c>
      <c r="L1540" s="56" t="str">
        <f>VLOOKUP(C1540,'[14]Trips&amp;Operators'!$C$1:$E$9999,3,0)</f>
        <v>REBOLETTI</v>
      </c>
      <c r="M1540" s="20" t="s">
        <v>112</v>
      </c>
      <c r="N1540" s="19" t="s">
        <v>543</v>
      </c>
      <c r="O1540" s="19" t="str">
        <f t="shared" si="48"/>
        <v>30</v>
      </c>
      <c r="P1540" s="64">
        <f t="shared" si="49"/>
        <v>42581</v>
      </c>
      <c r="Q1540" s="59"/>
      <c r="R1540" s="60"/>
      <c r="S1540" s="61"/>
      <c r="T1540" s="62"/>
      <c r="U1540" s="54"/>
      <c r="V1540" s="50"/>
      <c r="W1540" s="50"/>
    </row>
    <row r="1541" spans="1:23" x14ac:dyDescent="0.25">
      <c r="A1541" s="26">
        <v>42581.619791666664</v>
      </c>
      <c r="B1541" s="4" t="s">
        <v>120</v>
      </c>
      <c r="C1541" s="4" t="s">
        <v>59</v>
      </c>
      <c r="D1541" s="4" t="s">
        <v>103</v>
      </c>
      <c r="E1541" s="4" t="s">
        <v>109</v>
      </c>
      <c r="F1541" s="3">
        <v>0</v>
      </c>
      <c r="G1541" s="3">
        <v>379</v>
      </c>
      <c r="H1541" s="3">
        <v>127063</v>
      </c>
      <c r="I1541" s="4" t="s">
        <v>110</v>
      </c>
      <c r="J1541" s="3">
        <v>127562</v>
      </c>
      <c r="K1541" s="4" t="s">
        <v>111</v>
      </c>
      <c r="L1541" s="56" t="str">
        <f>VLOOKUP(C1541,'[14]Trips&amp;Operators'!$C$1:$E$9999,3,0)</f>
        <v>STEWART</v>
      </c>
      <c r="M1541" s="20" t="s">
        <v>112</v>
      </c>
      <c r="N1541" s="19" t="s">
        <v>543</v>
      </c>
      <c r="O1541" s="19" t="str">
        <f t="shared" si="48"/>
        <v>30</v>
      </c>
      <c r="P1541" s="64">
        <f t="shared" si="49"/>
        <v>42581</v>
      </c>
      <c r="Q1541" s="59"/>
      <c r="R1541" s="60"/>
      <c r="S1541" s="61"/>
      <c r="T1541" s="62"/>
      <c r="U1541" s="54"/>
      <c r="V1541" s="50"/>
      <c r="W1541" s="50"/>
    </row>
    <row r="1542" spans="1:23" x14ac:dyDescent="0.25">
      <c r="A1542" s="26">
        <v>42581.257488425923</v>
      </c>
      <c r="B1542" s="4" t="s">
        <v>135</v>
      </c>
      <c r="C1542" s="4" t="s">
        <v>1704</v>
      </c>
      <c r="D1542" s="4" t="s">
        <v>116</v>
      </c>
      <c r="E1542" s="4" t="s">
        <v>115</v>
      </c>
      <c r="F1542" s="3">
        <v>450</v>
      </c>
      <c r="G1542" s="3">
        <v>500</v>
      </c>
      <c r="H1542" s="3">
        <v>14640</v>
      </c>
      <c r="I1542" s="4" t="s">
        <v>105</v>
      </c>
      <c r="J1542" s="3">
        <v>13572</v>
      </c>
      <c r="K1542" s="4" t="s">
        <v>111</v>
      </c>
      <c r="L1542" s="56" t="str">
        <f>VLOOKUP(C1542,'[14]Trips&amp;Operators'!$C$1:$E$9999,3,0)</f>
        <v>MADLOM</v>
      </c>
      <c r="M1542" s="20" t="s">
        <v>112</v>
      </c>
      <c r="N1542" s="19"/>
      <c r="O1542" s="19" t="str">
        <f t="shared" si="48"/>
        <v>30</v>
      </c>
      <c r="P1542" s="64">
        <f t="shared" si="49"/>
        <v>42581</v>
      </c>
      <c r="Q1542" s="59"/>
      <c r="R1542" s="60"/>
      <c r="S1542" s="61"/>
      <c r="T1542" s="62"/>
      <c r="U1542" s="54"/>
      <c r="V1542" s="50"/>
      <c r="W1542" s="50"/>
    </row>
    <row r="1543" spans="1:23" x14ac:dyDescent="0.25">
      <c r="A1543" s="26">
        <v>42581.767650462964</v>
      </c>
      <c r="B1543" s="4" t="s">
        <v>126</v>
      </c>
      <c r="C1543" s="4" t="s">
        <v>1705</v>
      </c>
      <c r="D1543" s="4" t="s">
        <v>116</v>
      </c>
      <c r="E1543" s="4" t="s">
        <v>115</v>
      </c>
      <c r="F1543" s="3">
        <v>500</v>
      </c>
      <c r="G1543" s="3">
        <v>557</v>
      </c>
      <c r="H1543" s="3">
        <v>16148</v>
      </c>
      <c r="I1543" s="4" t="s">
        <v>105</v>
      </c>
      <c r="J1543" s="3">
        <v>14402</v>
      </c>
      <c r="K1543" s="4" t="s">
        <v>111</v>
      </c>
      <c r="L1543" s="56" t="str">
        <f>VLOOKUP(C1543,'[14]Trips&amp;Operators'!$C$1:$E$9999,3,0)</f>
        <v>ADANE</v>
      </c>
      <c r="M1543" s="20" t="s">
        <v>112</v>
      </c>
      <c r="N1543" s="19"/>
      <c r="O1543" s="19" t="str">
        <f t="shared" si="48"/>
        <v>30</v>
      </c>
      <c r="P1543" s="64">
        <f t="shared" si="49"/>
        <v>42581</v>
      </c>
      <c r="Q1543" s="59"/>
      <c r="R1543" s="60"/>
      <c r="S1543" s="61"/>
      <c r="T1543" s="62"/>
      <c r="U1543" s="54"/>
      <c r="V1543" s="50"/>
      <c r="W1543" s="50"/>
    </row>
    <row r="1544" spans="1:23" x14ac:dyDescent="0.25">
      <c r="A1544" s="26">
        <v>42581.296759259261</v>
      </c>
      <c r="B1544" s="4" t="s">
        <v>135</v>
      </c>
      <c r="C1544" s="4" t="s">
        <v>1706</v>
      </c>
      <c r="D1544" s="4" t="s">
        <v>103</v>
      </c>
      <c r="E1544" s="4" t="s">
        <v>115</v>
      </c>
      <c r="F1544" s="3">
        <v>300</v>
      </c>
      <c r="G1544" s="3">
        <v>418</v>
      </c>
      <c r="H1544" s="3">
        <v>19297</v>
      </c>
      <c r="I1544" s="4" t="s">
        <v>105</v>
      </c>
      <c r="J1544" s="3">
        <v>21314</v>
      </c>
      <c r="K1544" s="4" t="s">
        <v>111</v>
      </c>
      <c r="L1544" s="56" t="str">
        <f>VLOOKUP(C1544,'[14]Trips&amp;Operators'!$C$1:$E$9999,3,0)</f>
        <v>MADLOM</v>
      </c>
      <c r="M1544" s="20" t="s">
        <v>112</v>
      </c>
      <c r="N1544" s="19"/>
      <c r="O1544" s="19" t="str">
        <f t="shared" si="48"/>
        <v>30</v>
      </c>
      <c r="P1544" s="64">
        <f t="shared" si="49"/>
        <v>42581</v>
      </c>
      <c r="Q1544" s="59"/>
      <c r="R1544" s="60"/>
      <c r="S1544" s="61"/>
      <c r="T1544" s="62"/>
      <c r="U1544" s="54"/>
      <c r="V1544" s="50"/>
      <c r="W1544" s="50"/>
    </row>
    <row r="1545" spans="1:23" x14ac:dyDescent="0.25">
      <c r="A1545" s="26">
        <v>42581.340266203704</v>
      </c>
      <c r="B1545" s="4" t="s">
        <v>135</v>
      </c>
      <c r="C1545" s="4" t="s">
        <v>1707</v>
      </c>
      <c r="D1545" s="4" t="s">
        <v>116</v>
      </c>
      <c r="E1545" s="4" t="s">
        <v>115</v>
      </c>
      <c r="F1545" s="3">
        <v>300</v>
      </c>
      <c r="G1545" s="3">
        <v>360</v>
      </c>
      <c r="H1545" s="3">
        <v>23042</v>
      </c>
      <c r="I1545" s="4" t="s">
        <v>105</v>
      </c>
      <c r="J1545" s="3">
        <v>21314</v>
      </c>
      <c r="K1545" s="4" t="s">
        <v>111</v>
      </c>
      <c r="L1545" s="56" t="str">
        <f>VLOOKUP(C1545,'[14]Trips&amp;Operators'!$C$1:$E$9999,3,0)</f>
        <v>MADLOM</v>
      </c>
      <c r="M1545" s="20" t="s">
        <v>112</v>
      </c>
      <c r="N1545" s="19"/>
      <c r="O1545" s="19" t="str">
        <f t="shared" si="48"/>
        <v>30</v>
      </c>
      <c r="P1545" s="64">
        <f t="shared" si="49"/>
        <v>42581</v>
      </c>
      <c r="Q1545" s="59"/>
      <c r="R1545" s="60"/>
      <c r="S1545" s="61"/>
      <c r="T1545" s="62"/>
      <c r="U1545" s="54"/>
      <c r="V1545" s="50"/>
      <c r="W1545" s="50"/>
    </row>
    <row r="1546" spans="1:23" x14ac:dyDescent="0.25">
      <c r="A1546" s="26">
        <v>42581.671493055554</v>
      </c>
      <c r="B1546" s="4" t="s">
        <v>135</v>
      </c>
      <c r="C1546" s="4" t="s">
        <v>1708</v>
      </c>
      <c r="D1546" s="4" t="s">
        <v>103</v>
      </c>
      <c r="E1546" s="4" t="s">
        <v>115</v>
      </c>
      <c r="F1546" s="3">
        <v>300</v>
      </c>
      <c r="G1546" s="3">
        <v>382</v>
      </c>
      <c r="H1546" s="3">
        <v>19445</v>
      </c>
      <c r="I1546" s="4" t="s">
        <v>105</v>
      </c>
      <c r="J1546" s="3">
        <v>21314</v>
      </c>
      <c r="K1546" s="4" t="s">
        <v>111</v>
      </c>
      <c r="L1546" s="56" t="str">
        <f>VLOOKUP(C1546,'[14]Trips&amp;Operators'!$C$1:$E$9999,3,0)</f>
        <v>STORY</v>
      </c>
      <c r="M1546" s="20" t="s">
        <v>112</v>
      </c>
      <c r="N1546" s="19"/>
      <c r="O1546" s="19" t="str">
        <f t="shared" si="48"/>
        <v>30</v>
      </c>
      <c r="P1546" s="64">
        <f t="shared" si="49"/>
        <v>42581</v>
      </c>
      <c r="Q1546" s="59"/>
      <c r="R1546" s="60"/>
      <c r="S1546" s="61"/>
      <c r="T1546" s="62"/>
      <c r="U1546" s="54"/>
      <c r="V1546" s="50"/>
      <c r="W1546" s="50"/>
    </row>
    <row r="1547" spans="1:23" x14ac:dyDescent="0.25">
      <c r="A1547" s="26">
        <v>42581.687916666669</v>
      </c>
      <c r="B1547" s="4" t="s">
        <v>119</v>
      </c>
      <c r="C1547" s="4" t="s">
        <v>1676</v>
      </c>
      <c r="D1547" s="4" t="s">
        <v>103</v>
      </c>
      <c r="E1547" s="4" t="s">
        <v>115</v>
      </c>
      <c r="F1547" s="3">
        <v>300</v>
      </c>
      <c r="G1547" s="3">
        <v>479</v>
      </c>
      <c r="H1547" s="3">
        <v>24658</v>
      </c>
      <c r="I1547" s="4" t="s">
        <v>105</v>
      </c>
      <c r="J1547" s="3">
        <v>21848</v>
      </c>
      <c r="K1547" s="4" t="s">
        <v>106</v>
      </c>
      <c r="L1547" s="56" t="str">
        <f>VLOOKUP(C1547,'[14]Trips&amp;Operators'!$C$1:$E$9999,3,0)</f>
        <v>MOSES</v>
      </c>
      <c r="M1547" s="20" t="s">
        <v>112</v>
      </c>
      <c r="N1547" s="19"/>
      <c r="O1547" s="19" t="str">
        <f t="shared" si="48"/>
        <v>30</v>
      </c>
      <c r="P1547" s="64">
        <f t="shared" si="49"/>
        <v>42581</v>
      </c>
      <c r="Q1547" s="59"/>
      <c r="R1547" s="60"/>
      <c r="S1547" s="61"/>
      <c r="T1547" s="62"/>
      <c r="U1547" s="54"/>
      <c r="V1547" s="50"/>
      <c r="W1547" s="50"/>
    </row>
    <row r="1548" spans="1:23" x14ac:dyDescent="0.25">
      <c r="A1548" s="26">
        <v>42581.791238425925</v>
      </c>
      <c r="B1548" s="4" t="s">
        <v>147</v>
      </c>
      <c r="C1548" s="4" t="s">
        <v>1677</v>
      </c>
      <c r="D1548" s="4" t="s">
        <v>103</v>
      </c>
      <c r="E1548" s="4" t="s">
        <v>115</v>
      </c>
      <c r="F1548" s="3">
        <v>300</v>
      </c>
      <c r="G1548" s="3">
        <v>464</v>
      </c>
      <c r="H1548" s="3">
        <v>23974</v>
      </c>
      <c r="I1548" s="4" t="s">
        <v>105</v>
      </c>
      <c r="J1548" s="3">
        <v>21848</v>
      </c>
      <c r="K1548" s="4" t="s">
        <v>106</v>
      </c>
      <c r="L1548" s="56" t="str">
        <f>VLOOKUP(C1548,'[14]Trips&amp;Operators'!$C$1:$E$9999,3,0)</f>
        <v>MAYBERRY</v>
      </c>
      <c r="M1548" s="20" t="s">
        <v>112</v>
      </c>
      <c r="N1548" s="19"/>
      <c r="O1548" s="19" t="str">
        <f t="shared" si="48"/>
        <v>30</v>
      </c>
      <c r="P1548" s="64">
        <f t="shared" si="49"/>
        <v>42581</v>
      </c>
      <c r="Q1548" s="59"/>
      <c r="R1548" s="60"/>
      <c r="S1548" s="61"/>
      <c r="T1548" s="62"/>
      <c r="U1548" s="54"/>
      <c r="V1548" s="50"/>
      <c r="W1548" s="50"/>
    </row>
    <row r="1549" spans="1:23" x14ac:dyDescent="0.25">
      <c r="A1549" s="26">
        <v>42581.644953703704</v>
      </c>
      <c r="B1549" s="4" t="s">
        <v>147</v>
      </c>
      <c r="C1549" s="4" t="s">
        <v>1678</v>
      </c>
      <c r="D1549" s="4" t="s">
        <v>103</v>
      </c>
      <c r="E1549" s="4" t="s">
        <v>115</v>
      </c>
      <c r="F1549" s="3">
        <v>200</v>
      </c>
      <c r="G1549" s="3">
        <v>254</v>
      </c>
      <c r="H1549" s="3">
        <v>30580</v>
      </c>
      <c r="I1549" s="4" t="s">
        <v>105</v>
      </c>
      <c r="J1549" s="3">
        <v>30562</v>
      </c>
      <c r="K1549" s="4" t="s">
        <v>106</v>
      </c>
      <c r="L1549" s="56" t="str">
        <f>VLOOKUP(C1549,'[14]Trips&amp;Operators'!$C$1:$E$9999,3,0)</f>
        <v>MAYBERRY</v>
      </c>
      <c r="M1549" s="20" t="s">
        <v>112</v>
      </c>
      <c r="N1549" s="19"/>
      <c r="O1549" s="19" t="str">
        <f t="shared" si="48"/>
        <v>30</v>
      </c>
      <c r="P1549" s="64">
        <f t="shared" si="49"/>
        <v>42581</v>
      </c>
      <c r="Q1549" s="59"/>
      <c r="R1549" s="60"/>
      <c r="S1549" s="61"/>
      <c r="T1549" s="62"/>
      <c r="U1549" s="54"/>
      <c r="V1549" s="50"/>
      <c r="W1549" s="50"/>
    </row>
    <row r="1550" spans="1:23" x14ac:dyDescent="0.25">
      <c r="A1550" s="26">
        <v>42581.368692129632</v>
      </c>
      <c r="B1550" s="4" t="s">
        <v>138</v>
      </c>
      <c r="C1550" s="4" t="s">
        <v>1709</v>
      </c>
      <c r="D1550" s="4" t="s">
        <v>103</v>
      </c>
      <c r="E1550" s="4" t="s">
        <v>115</v>
      </c>
      <c r="F1550" s="3">
        <v>150</v>
      </c>
      <c r="G1550" s="3">
        <v>286</v>
      </c>
      <c r="H1550" s="3">
        <v>56393</v>
      </c>
      <c r="I1550" s="4" t="s">
        <v>105</v>
      </c>
      <c r="J1550" s="3">
        <v>57008</v>
      </c>
      <c r="K1550" s="4" t="s">
        <v>111</v>
      </c>
      <c r="L1550" s="56" t="str">
        <f>VLOOKUP(C1550,'[14]Trips&amp;Operators'!$C$1:$E$9999,3,0)</f>
        <v>HELVIE</v>
      </c>
      <c r="M1550" s="20" t="s">
        <v>112</v>
      </c>
      <c r="N1550" s="19"/>
      <c r="O1550" s="19" t="str">
        <f t="shared" si="48"/>
        <v>30</v>
      </c>
      <c r="P1550" s="64">
        <f t="shared" si="49"/>
        <v>42581</v>
      </c>
      <c r="Q1550" s="59"/>
      <c r="R1550" s="60"/>
      <c r="S1550" s="61"/>
      <c r="T1550" s="62"/>
      <c r="U1550" s="54"/>
      <c r="V1550" s="50"/>
      <c r="W1550" s="50"/>
    </row>
    <row r="1551" spans="1:23" x14ac:dyDescent="0.25">
      <c r="A1551" s="26">
        <v>42581.650335648148</v>
      </c>
      <c r="B1551" s="4" t="s">
        <v>125</v>
      </c>
      <c r="C1551" s="4" t="s">
        <v>1679</v>
      </c>
      <c r="D1551" s="4" t="s">
        <v>103</v>
      </c>
      <c r="E1551" s="4" t="s">
        <v>115</v>
      </c>
      <c r="F1551" s="3">
        <v>150</v>
      </c>
      <c r="G1551" s="3">
        <v>298</v>
      </c>
      <c r="H1551" s="3">
        <v>229321</v>
      </c>
      <c r="I1551" s="4" t="s">
        <v>105</v>
      </c>
      <c r="J1551" s="3">
        <v>230436</v>
      </c>
      <c r="K1551" s="4" t="s">
        <v>111</v>
      </c>
      <c r="L1551" s="56" t="str">
        <f>VLOOKUP(C1551,'[14]Trips&amp;Operators'!$C$1:$E$9999,3,0)</f>
        <v>MOSES</v>
      </c>
      <c r="M1551" s="20" t="s">
        <v>112</v>
      </c>
      <c r="N1551" s="19"/>
      <c r="O1551" s="19" t="str">
        <f t="shared" si="48"/>
        <v>30</v>
      </c>
      <c r="P1551" s="64">
        <f t="shared" si="49"/>
        <v>42581</v>
      </c>
      <c r="Q1551" s="59"/>
      <c r="R1551" s="60"/>
      <c r="S1551" s="61"/>
      <c r="T1551" s="62"/>
      <c r="U1551" s="54"/>
      <c r="V1551" s="50"/>
      <c r="W1551" s="50"/>
    </row>
    <row r="1552" spans="1:23" x14ac:dyDescent="0.25">
      <c r="A1552" s="26">
        <v>42581.328414351854</v>
      </c>
      <c r="B1552" s="4" t="s">
        <v>108</v>
      </c>
      <c r="C1552" s="4" t="s">
        <v>1680</v>
      </c>
      <c r="D1552" s="4" t="s">
        <v>103</v>
      </c>
      <c r="E1552" s="4" t="s">
        <v>115</v>
      </c>
      <c r="F1552" s="3">
        <v>150</v>
      </c>
      <c r="G1552" s="3">
        <v>201</v>
      </c>
      <c r="H1552" s="3">
        <v>231518</v>
      </c>
      <c r="I1552" s="4" t="s">
        <v>105</v>
      </c>
      <c r="J1552" s="3">
        <v>232080</v>
      </c>
      <c r="K1552" s="4" t="s">
        <v>111</v>
      </c>
      <c r="L1552" s="56" t="str">
        <f>VLOOKUP(C1552,'[14]Trips&amp;Operators'!$C$1:$E$9999,3,0)</f>
        <v>STRICKLAND</v>
      </c>
      <c r="M1552" s="20" t="s">
        <v>112</v>
      </c>
      <c r="N1552" s="19"/>
      <c r="O1552" s="19" t="str">
        <f t="shared" si="48"/>
        <v>30</v>
      </c>
      <c r="P1552" s="64">
        <f t="shared" si="49"/>
        <v>42581</v>
      </c>
      <c r="Q1552" s="59"/>
      <c r="R1552" s="60"/>
      <c r="S1552" s="61"/>
      <c r="T1552" s="62"/>
      <c r="U1552" s="54"/>
      <c r="V1552" s="50"/>
      <c r="W1552" s="50"/>
    </row>
    <row r="1553" spans="1:23" x14ac:dyDescent="0.25">
      <c r="A1553" s="26">
        <v>42581.825844907406</v>
      </c>
      <c r="B1553" s="4" t="s">
        <v>120</v>
      </c>
      <c r="C1553" s="4" t="s">
        <v>1695</v>
      </c>
      <c r="D1553" s="4" t="s">
        <v>103</v>
      </c>
      <c r="E1553" s="4" t="s">
        <v>122</v>
      </c>
      <c r="F1553" s="3">
        <v>0</v>
      </c>
      <c r="G1553" s="3">
        <v>282</v>
      </c>
      <c r="H1553" s="3">
        <v>15233</v>
      </c>
      <c r="I1553" s="4" t="s">
        <v>123</v>
      </c>
      <c r="J1553" s="3">
        <v>16577</v>
      </c>
      <c r="K1553" s="4" t="s">
        <v>111</v>
      </c>
      <c r="L1553" s="56" t="str">
        <f>VLOOKUP(C1553,'[14]Trips&amp;Operators'!$C$1:$E$9999,3,0)</f>
        <v>WEBSTER</v>
      </c>
      <c r="M1553" s="20" t="s">
        <v>112</v>
      </c>
      <c r="N1553" s="19"/>
      <c r="O1553" s="19" t="str">
        <f t="shared" si="48"/>
        <v>30</v>
      </c>
      <c r="P1553" s="64">
        <f t="shared" si="49"/>
        <v>42581</v>
      </c>
      <c r="Q1553" s="59"/>
      <c r="R1553" s="60"/>
      <c r="S1553" s="61"/>
      <c r="T1553" s="62"/>
      <c r="U1553" s="54"/>
      <c r="V1553" s="50"/>
      <c r="W1553" s="50"/>
    </row>
    <row r="1554" spans="1:23" x14ac:dyDescent="0.25">
      <c r="A1554" s="26">
        <v>42581.207280092596</v>
      </c>
      <c r="B1554" s="4" t="s">
        <v>138</v>
      </c>
      <c r="C1554" s="4" t="s">
        <v>1696</v>
      </c>
      <c r="D1554" s="4" t="s">
        <v>103</v>
      </c>
      <c r="E1554" s="4" t="s">
        <v>122</v>
      </c>
      <c r="F1554" s="3">
        <v>0</v>
      </c>
      <c r="G1554" s="3">
        <v>71</v>
      </c>
      <c r="H1554" s="3">
        <v>28847</v>
      </c>
      <c r="I1554" s="4" t="s">
        <v>123</v>
      </c>
      <c r="J1554" s="3">
        <v>28990</v>
      </c>
      <c r="K1554" s="4" t="s">
        <v>111</v>
      </c>
      <c r="L1554" s="56" t="str">
        <f>VLOOKUP(C1554,'[14]Trips&amp;Operators'!$C$1:$E$9999,3,0)</f>
        <v>HELVIE</v>
      </c>
      <c r="M1554" s="20" t="s">
        <v>112</v>
      </c>
      <c r="N1554" s="19"/>
      <c r="O1554" s="19" t="str">
        <f t="shared" si="48"/>
        <v>30</v>
      </c>
      <c r="P1554" s="64">
        <f t="shared" si="49"/>
        <v>42581</v>
      </c>
      <c r="Q1554" s="59"/>
      <c r="R1554" s="60"/>
      <c r="S1554" s="61"/>
      <c r="T1554" s="62"/>
      <c r="U1554" s="54"/>
      <c r="V1554" s="50"/>
      <c r="W1554" s="50"/>
    </row>
    <row r="1555" spans="1:23" x14ac:dyDescent="0.25">
      <c r="A1555" s="26">
        <v>42581.229525462964</v>
      </c>
      <c r="B1555" s="4" t="s">
        <v>126</v>
      </c>
      <c r="C1555" s="4" t="s">
        <v>1697</v>
      </c>
      <c r="D1555" s="4" t="s">
        <v>103</v>
      </c>
      <c r="E1555" s="4" t="s">
        <v>122</v>
      </c>
      <c r="F1555" s="3">
        <v>0</v>
      </c>
      <c r="G1555" s="3">
        <v>108</v>
      </c>
      <c r="H1555" s="3">
        <v>28986</v>
      </c>
      <c r="I1555" s="4" t="s">
        <v>123</v>
      </c>
      <c r="J1555" s="3">
        <v>28990</v>
      </c>
      <c r="K1555" s="4" t="s">
        <v>111</v>
      </c>
      <c r="L1555" s="56" t="str">
        <f>VLOOKUP(C1555,'[14]Trips&amp;Operators'!$C$1:$E$9999,3,0)</f>
        <v>YORK</v>
      </c>
      <c r="M1555" s="20" t="s">
        <v>112</v>
      </c>
      <c r="N1555" s="19"/>
      <c r="O1555" s="19" t="str">
        <f t="shared" si="48"/>
        <v>30</v>
      </c>
      <c r="P1555" s="64">
        <f t="shared" si="49"/>
        <v>42581</v>
      </c>
      <c r="Q1555" s="59"/>
      <c r="R1555" s="60"/>
      <c r="S1555" s="61"/>
      <c r="T1555" s="62"/>
      <c r="U1555" s="54"/>
      <c r="V1555" s="50"/>
      <c r="W1555" s="50"/>
    </row>
    <row r="1556" spans="1:23" x14ac:dyDescent="0.25">
      <c r="A1556" s="26">
        <v>42581.393773148149</v>
      </c>
      <c r="B1556" s="4" t="s">
        <v>126</v>
      </c>
      <c r="C1556" s="4" t="s">
        <v>581</v>
      </c>
      <c r="D1556" s="4" t="s">
        <v>103</v>
      </c>
      <c r="E1556" s="4" t="s">
        <v>122</v>
      </c>
      <c r="F1556" s="3">
        <v>0</v>
      </c>
      <c r="G1556" s="3">
        <v>609</v>
      </c>
      <c r="H1556" s="3">
        <v>27976</v>
      </c>
      <c r="I1556" s="4" t="s">
        <v>123</v>
      </c>
      <c r="J1556" s="3">
        <v>28990</v>
      </c>
      <c r="K1556" s="4" t="s">
        <v>111</v>
      </c>
      <c r="L1556" s="56" t="str">
        <f>VLOOKUP(C1556,'[14]Trips&amp;Operators'!$C$1:$E$9999,3,0)</f>
        <v>YORK</v>
      </c>
      <c r="M1556" s="20" t="s">
        <v>112</v>
      </c>
      <c r="N1556" s="19" t="s">
        <v>582</v>
      </c>
      <c r="O1556" s="19" t="str">
        <f t="shared" si="48"/>
        <v>30</v>
      </c>
      <c r="P1556" s="64">
        <f t="shared" si="49"/>
        <v>42581</v>
      </c>
      <c r="Q1556" s="59"/>
      <c r="R1556" s="60"/>
      <c r="S1556" s="61"/>
      <c r="T1556" s="62"/>
      <c r="U1556" s="54"/>
      <c r="V1556" s="50"/>
      <c r="W1556" s="50"/>
    </row>
    <row r="1557" spans="1:23" x14ac:dyDescent="0.25">
      <c r="A1557" s="26">
        <v>42581.906666666669</v>
      </c>
      <c r="B1557" s="4" t="s">
        <v>126</v>
      </c>
      <c r="C1557" s="4" t="s">
        <v>1710</v>
      </c>
      <c r="D1557" s="4" t="s">
        <v>103</v>
      </c>
      <c r="E1557" s="4" t="s">
        <v>122</v>
      </c>
      <c r="F1557" s="3">
        <v>0</v>
      </c>
      <c r="G1557" s="3">
        <v>588</v>
      </c>
      <c r="H1557" s="3">
        <v>28249</v>
      </c>
      <c r="I1557" s="4" t="s">
        <v>123</v>
      </c>
      <c r="J1557" s="3">
        <v>28990</v>
      </c>
      <c r="K1557" s="4" t="s">
        <v>111</v>
      </c>
      <c r="L1557" s="56" t="str">
        <f>VLOOKUP(C1557,'[14]Trips&amp;Operators'!$C$1:$E$9999,3,0)</f>
        <v>ADANE</v>
      </c>
      <c r="M1557" s="20" t="s">
        <v>112</v>
      </c>
      <c r="N1557" s="19" t="s">
        <v>582</v>
      </c>
      <c r="O1557" s="19" t="str">
        <f t="shared" si="48"/>
        <v>30</v>
      </c>
      <c r="P1557" s="64">
        <f t="shared" si="49"/>
        <v>42581</v>
      </c>
      <c r="Q1557" s="59"/>
      <c r="R1557" s="60"/>
      <c r="S1557" s="61"/>
      <c r="T1557" s="62"/>
      <c r="U1557" s="54"/>
      <c r="V1557" s="50"/>
      <c r="W1557" s="50"/>
    </row>
    <row r="1558" spans="1:23" x14ac:dyDescent="0.25">
      <c r="A1558" s="26">
        <v>42581.450104166666</v>
      </c>
      <c r="B1558" s="4" t="s">
        <v>138</v>
      </c>
      <c r="C1558" s="4" t="s">
        <v>1711</v>
      </c>
      <c r="D1558" s="4" t="s">
        <v>103</v>
      </c>
      <c r="E1558" s="4" t="s">
        <v>122</v>
      </c>
      <c r="F1558" s="3">
        <v>0</v>
      </c>
      <c r="G1558" s="3">
        <v>526</v>
      </c>
      <c r="H1558" s="3">
        <v>34307</v>
      </c>
      <c r="I1558" s="4" t="s">
        <v>123</v>
      </c>
      <c r="J1558" s="3">
        <v>34671</v>
      </c>
      <c r="K1558" s="4" t="s">
        <v>111</v>
      </c>
      <c r="L1558" s="56" t="str">
        <f>VLOOKUP(C1558,'[14]Trips&amp;Operators'!$C$1:$E$9999,3,0)</f>
        <v>HELVIE</v>
      </c>
      <c r="M1558" s="20" t="s">
        <v>107</v>
      </c>
      <c r="N1558" s="19" t="s">
        <v>52</v>
      </c>
      <c r="O1558" s="19" t="str">
        <f t="shared" si="48"/>
        <v>30</v>
      </c>
      <c r="P1558" s="64">
        <f t="shared" si="49"/>
        <v>42581</v>
      </c>
      <c r="Q1558" s="59"/>
      <c r="R1558" s="60"/>
      <c r="S1558" s="61"/>
      <c r="T1558" s="62"/>
      <c r="U1558" s="54"/>
      <c r="V1558" s="50"/>
      <c r="W1558" s="50"/>
    </row>
    <row r="1559" spans="1:23" x14ac:dyDescent="0.25">
      <c r="A1559" s="26">
        <v>42581.742048611108</v>
      </c>
      <c r="B1559" s="4" t="s">
        <v>138</v>
      </c>
      <c r="C1559" s="4" t="s">
        <v>1712</v>
      </c>
      <c r="D1559" s="4" t="s">
        <v>103</v>
      </c>
      <c r="E1559" s="4" t="s">
        <v>122</v>
      </c>
      <c r="F1559" s="3">
        <v>0</v>
      </c>
      <c r="G1559" s="3">
        <v>417</v>
      </c>
      <c r="H1559" s="3">
        <v>36959</v>
      </c>
      <c r="I1559" s="4" t="s">
        <v>123</v>
      </c>
      <c r="J1559" s="3">
        <v>37602</v>
      </c>
      <c r="K1559" s="4" t="s">
        <v>111</v>
      </c>
      <c r="L1559" s="56" t="str">
        <f>VLOOKUP(C1559,'[14]Trips&amp;Operators'!$C$1:$E$9999,3,0)</f>
        <v>DE LA ROSA</v>
      </c>
      <c r="M1559" s="20" t="s">
        <v>107</v>
      </c>
      <c r="N1559" s="19" t="s">
        <v>52</v>
      </c>
      <c r="O1559" s="19" t="str">
        <f t="shared" si="48"/>
        <v>30</v>
      </c>
      <c r="P1559" s="64">
        <f t="shared" si="49"/>
        <v>42581</v>
      </c>
      <c r="Q1559" s="59"/>
      <c r="R1559" s="60"/>
      <c r="S1559" s="61"/>
      <c r="T1559" s="62"/>
      <c r="U1559" s="54"/>
      <c r="V1559" s="50"/>
      <c r="W1559" s="50"/>
    </row>
    <row r="1560" spans="1:23" x14ac:dyDescent="0.25">
      <c r="A1560" s="26">
        <v>42581.590011574073</v>
      </c>
      <c r="B1560" s="4" t="s">
        <v>145</v>
      </c>
      <c r="C1560" s="4" t="s">
        <v>1681</v>
      </c>
      <c r="D1560" s="4" t="s">
        <v>103</v>
      </c>
      <c r="E1560" s="4" t="s">
        <v>122</v>
      </c>
      <c r="F1560" s="3">
        <v>0</v>
      </c>
      <c r="G1560" s="3">
        <v>502</v>
      </c>
      <c r="H1560" s="3">
        <v>135412</v>
      </c>
      <c r="I1560" s="4" t="s">
        <v>123</v>
      </c>
      <c r="J1560" s="3">
        <v>133166</v>
      </c>
      <c r="K1560" s="4" t="s">
        <v>106</v>
      </c>
      <c r="L1560" s="56" t="str">
        <f>VLOOKUP(C1560,'[14]Trips&amp;Operators'!$C$1:$E$9999,3,0)</f>
        <v>BARTLETT</v>
      </c>
      <c r="M1560" s="20" t="s">
        <v>107</v>
      </c>
      <c r="N1560" s="19" t="s">
        <v>1682</v>
      </c>
      <c r="O1560" s="19" t="str">
        <f t="shared" si="48"/>
        <v>30</v>
      </c>
      <c r="P1560" s="64">
        <f t="shared" si="49"/>
        <v>42581</v>
      </c>
      <c r="Q1560" s="59"/>
      <c r="R1560" s="60"/>
      <c r="S1560" s="61"/>
      <c r="T1560" s="62"/>
      <c r="U1560" s="54"/>
      <c r="V1560" s="50"/>
      <c r="W1560" s="50"/>
    </row>
    <row r="1561" spans="1:23" x14ac:dyDescent="0.25">
      <c r="A1561" s="26">
        <v>42581.480196759258</v>
      </c>
      <c r="B1561" s="4" t="s">
        <v>147</v>
      </c>
      <c r="C1561" s="4" t="s">
        <v>381</v>
      </c>
      <c r="D1561" s="4" t="s">
        <v>103</v>
      </c>
      <c r="E1561" s="4" t="s">
        <v>122</v>
      </c>
      <c r="F1561" s="3">
        <v>0</v>
      </c>
      <c r="G1561" s="3">
        <v>543</v>
      </c>
      <c r="H1561" s="3">
        <v>194704</v>
      </c>
      <c r="I1561" s="4" t="s">
        <v>123</v>
      </c>
      <c r="J1561" s="3">
        <v>191723</v>
      </c>
      <c r="K1561" s="4" t="s">
        <v>106</v>
      </c>
      <c r="L1561" s="56" t="str">
        <f>VLOOKUP(C1561,'[14]Trips&amp;Operators'!$C$1:$E$9999,3,0)</f>
        <v>MAYBERRY</v>
      </c>
      <c r="M1561" s="20" t="s">
        <v>112</v>
      </c>
      <c r="N1561" s="19" t="s">
        <v>1683</v>
      </c>
      <c r="O1561" s="19" t="str">
        <f t="shared" si="48"/>
        <v>30</v>
      </c>
      <c r="P1561" s="64">
        <f t="shared" si="49"/>
        <v>42581</v>
      </c>
      <c r="Q1561" s="59"/>
      <c r="R1561" s="60"/>
      <c r="S1561" s="61"/>
      <c r="T1561" s="62"/>
      <c r="U1561" s="54"/>
      <c r="V1561" s="50"/>
      <c r="W1561" s="50"/>
    </row>
    <row r="1562" spans="1:23" x14ac:dyDescent="0.25">
      <c r="A1562" s="26">
        <v>42581.636828703704</v>
      </c>
      <c r="B1562" s="4" t="s">
        <v>134</v>
      </c>
      <c r="C1562" s="4" t="s">
        <v>1684</v>
      </c>
      <c r="D1562" s="4" t="s">
        <v>103</v>
      </c>
      <c r="E1562" s="4" t="s">
        <v>122</v>
      </c>
      <c r="F1562" s="3">
        <v>0</v>
      </c>
      <c r="G1562" s="3">
        <v>465</v>
      </c>
      <c r="H1562" s="3">
        <v>194185</v>
      </c>
      <c r="I1562" s="4" t="s">
        <v>123</v>
      </c>
      <c r="J1562" s="3">
        <v>191723</v>
      </c>
      <c r="K1562" s="4" t="s">
        <v>106</v>
      </c>
      <c r="L1562" s="56" t="str">
        <f>VLOOKUP(C1562,'[14]Trips&amp;Operators'!$C$1:$E$9999,3,0)</f>
        <v>WEBSTER</v>
      </c>
      <c r="M1562" s="20" t="s">
        <v>112</v>
      </c>
      <c r="N1562" s="19" t="s">
        <v>1685</v>
      </c>
      <c r="O1562" s="19" t="str">
        <f t="shared" si="48"/>
        <v>30</v>
      </c>
      <c r="P1562" s="64">
        <f t="shared" si="49"/>
        <v>42581</v>
      </c>
      <c r="Q1562" s="59"/>
      <c r="R1562" s="60"/>
      <c r="S1562" s="61"/>
      <c r="T1562" s="62"/>
      <c r="U1562" s="54"/>
      <c r="V1562" s="50"/>
      <c r="W1562" s="50"/>
    </row>
    <row r="1563" spans="1:23" x14ac:dyDescent="0.25">
      <c r="A1563" s="26">
        <v>42581.574791666666</v>
      </c>
      <c r="B1563" s="4" t="s">
        <v>138</v>
      </c>
      <c r="C1563" s="4" t="s">
        <v>583</v>
      </c>
      <c r="D1563" s="4" t="s">
        <v>103</v>
      </c>
      <c r="E1563" s="4" t="s">
        <v>127</v>
      </c>
      <c r="F1563" s="3">
        <v>0</v>
      </c>
      <c r="G1563" s="3">
        <v>586</v>
      </c>
      <c r="H1563" s="3">
        <v>27844</v>
      </c>
      <c r="I1563" s="4" t="s">
        <v>128</v>
      </c>
      <c r="J1563" s="3">
        <v>28990</v>
      </c>
      <c r="K1563" s="4" t="s">
        <v>111</v>
      </c>
      <c r="L1563" s="56" t="str">
        <f>VLOOKUP(C1563,'[14]Trips&amp;Operators'!$C$1:$E$9999,3,0)</f>
        <v>DE LA ROSA</v>
      </c>
      <c r="M1563" s="20" t="s">
        <v>107</v>
      </c>
      <c r="N1563" s="19" t="s">
        <v>52</v>
      </c>
      <c r="O1563" s="19" t="str">
        <f t="shared" si="48"/>
        <v>30</v>
      </c>
      <c r="P1563" s="64">
        <f t="shared" si="49"/>
        <v>42581</v>
      </c>
      <c r="Q1563" s="59"/>
      <c r="R1563" s="60"/>
      <c r="S1563" s="61"/>
      <c r="T1563" s="62"/>
      <c r="U1563" s="54"/>
      <c r="V1563" s="50"/>
      <c r="W1563" s="50"/>
    </row>
    <row r="1564" spans="1:23" x14ac:dyDescent="0.25">
      <c r="A1564" s="26">
        <v>42581.804444444446</v>
      </c>
      <c r="B1564" s="4" t="s">
        <v>137</v>
      </c>
      <c r="C1564" s="4" t="s">
        <v>1698</v>
      </c>
      <c r="D1564" s="4" t="s">
        <v>116</v>
      </c>
      <c r="E1564" s="4" t="s">
        <v>184</v>
      </c>
      <c r="F1564" s="3">
        <v>100</v>
      </c>
      <c r="G1564" s="3">
        <v>162</v>
      </c>
      <c r="H1564" s="3">
        <v>11283</v>
      </c>
      <c r="I1564" s="4" t="s">
        <v>110</v>
      </c>
      <c r="J1564" s="3">
        <v>10701</v>
      </c>
      <c r="K1564" s="4" t="s">
        <v>111</v>
      </c>
      <c r="L1564" s="56" t="str">
        <f>VLOOKUP(C1564,'[14]Trips&amp;Operators'!$C$1:$E$9999,3,0)</f>
        <v>MAYBERRY</v>
      </c>
      <c r="M1564" s="20" t="s">
        <v>112</v>
      </c>
      <c r="N1564" s="19"/>
      <c r="O1564" s="19" t="str">
        <f t="shared" si="48"/>
        <v>30</v>
      </c>
      <c r="P1564" s="64">
        <f t="shared" si="49"/>
        <v>42581</v>
      </c>
      <c r="Q1564" s="59"/>
      <c r="R1564" s="60"/>
      <c r="S1564" s="61"/>
      <c r="T1564" s="62"/>
      <c r="U1564" s="54"/>
      <c r="V1564" s="50"/>
      <c r="W1564" s="50"/>
    </row>
    <row r="1565" spans="1:23" x14ac:dyDescent="0.25">
      <c r="A1565" s="26">
        <v>42581.477465277778</v>
      </c>
      <c r="B1565" s="4" t="s">
        <v>136</v>
      </c>
      <c r="C1565" s="4" t="s">
        <v>1713</v>
      </c>
      <c r="D1565" s="4" t="s">
        <v>103</v>
      </c>
      <c r="E1565" s="4" t="s">
        <v>184</v>
      </c>
      <c r="F1565" s="3">
        <v>100</v>
      </c>
      <c r="G1565" s="3">
        <v>210</v>
      </c>
      <c r="H1565" s="3">
        <v>11466</v>
      </c>
      <c r="I1565" s="4" t="s">
        <v>110</v>
      </c>
      <c r="J1565" s="3">
        <v>11000</v>
      </c>
      <c r="K1565" s="4" t="s">
        <v>106</v>
      </c>
      <c r="L1565" s="56" t="str">
        <f>VLOOKUP(C1565,'[14]Trips&amp;Operators'!$C$1:$E$9999,3,0)</f>
        <v>HELVIE</v>
      </c>
      <c r="M1565" s="20" t="s">
        <v>112</v>
      </c>
      <c r="N1565" s="19"/>
      <c r="O1565" s="19" t="str">
        <f t="shared" si="48"/>
        <v>30</v>
      </c>
      <c r="P1565" s="64">
        <f t="shared" si="49"/>
        <v>42581</v>
      </c>
      <c r="Q1565" s="59"/>
      <c r="R1565" s="60"/>
      <c r="S1565" s="61"/>
      <c r="T1565" s="62"/>
      <c r="U1565" s="54"/>
      <c r="V1565" s="50"/>
      <c r="W1565" s="50"/>
    </row>
    <row r="1566" spans="1:23" x14ac:dyDescent="0.25">
      <c r="A1566" s="26">
        <v>42581.671967592592</v>
      </c>
      <c r="B1566" s="4" t="s">
        <v>117</v>
      </c>
      <c r="C1566" s="4" t="s">
        <v>1714</v>
      </c>
      <c r="D1566" s="4" t="s">
        <v>103</v>
      </c>
      <c r="E1566" s="4" t="s">
        <v>184</v>
      </c>
      <c r="F1566" s="3">
        <v>100</v>
      </c>
      <c r="G1566" s="3">
        <v>265</v>
      </c>
      <c r="H1566" s="3">
        <v>11899</v>
      </c>
      <c r="I1566" s="4" t="s">
        <v>110</v>
      </c>
      <c r="J1566" s="3">
        <v>11000</v>
      </c>
      <c r="K1566" s="4" t="s">
        <v>106</v>
      </c>
      <c r="L1566" s="56" t="str">
        <f>VLOOKUP(C1566,'[14]Trips&amp;Operators'!$C$1:$E$9999,3,0)</f>
        <v>ADANE</v>
      </c>
      <c r="M1566" s="20" t="s">
        <v>112</v>
      </c>
      <c r="N1566" s="19"/>
      <c r="O1566" s="19" t="str">
        <f t="shared" si="48"/>
        <v>30</v>
      </c>
      <c r="P1566" s="64">
        <f t="shared" si="49"/>
        <v>42581</v>
      </c>
      <c r="Q1566" s="59"/>
      <c r="R1566" s="60"/>
      <c r="S1566" s="61"/>
      <c r="T1566" s="62"/>
      <c r="U1566" s="54"/>
      <c r="V1566" s="50"/>
      <c r="W1566" s="50"/>
    </row>
    <row r="1567" spans="1:23" x14ac:dyDescent="0.25">
      <c r="A1567" s="26">
        <v>42581.923541666663</v>
      </c>
      <c r="B1567" s="4" t="s">
        <v>117</v>
      </c>
      <c r="C1567" s="4" t="s">
        <v>1699</v>
      </c>
      <c r="D1567" s="4" t="s">
        <v>103</v>
      </c>
      <c r="E1567" s="4" t="s">
        <v>184</v>
      </c>
      <c r="F1567" s="3">
        <v>100</v>
      </c>
      <c r="G1567" s="3">
        <v>221</v>
      </c>
      <c r="H1567" s="3">
        <v>11595</v>
      </c>
      <c r="I1567" s="4" t="s">
        <v>110</v>
      </c>
      <c r="J1567" s="3">
        <v>11000</v>
      </c>
      <c r="K1567" s="4" t="s">
        <v>106</v>
      </c>
      <c r="L1567" s="56" t="str">
        <f>VLOOKUP(C1567,'[14]Trips&amp;Operators'!$C$1:$E$9999,3,0)</f>
        <v>ADANE</v>
      </c>
      <c r="M1567" s="20" t="s">
        <v>112</v>
      </c>
      <c r="N1567" s="19"/>
      <c r="O1567" s="19" t="str">
        <f t="shared" si="48"/>
        <v>30</v>
      </c>
      <c r="P1567" s="64">
        <f t="shared" si="49"/>
        <v>42581</v>
      </c>
      <c r="Q1567" s="59"/>
      <c r="R1567" s="60"/>
      <c r="S1567" s="61"/>
      <c r="T1567" s="62"/>
      <c r="U1567" s="54"/>
      <c r="V1567" s="50"/>
      <c r="W1567" s="50"/>
    </row>
    <row r="1568" spans="1:23" x14ac:dyDescent="0.25">
      <c r="A1568" s="26">
        <v>42581.296273148146</v>
      </c>
      <c r="B1568" s="4" t="s">
        <v>134</v>
      </c>
      <c r="C1568" s="4" t="s">
        <v>1686</v>
      </c>
      <c r="D1568" s="4" t="s">
        <v>103</v>
      </c>
      <c r="E1568" s="4" t="s">
        <v>129</v>
      </c>
      <c r="F1568" s="3">
        <v>0</v>
      </c>
      <c r="G1568" s="3">
        <v>59</v>
      </c>
      <c r="H1568" s="3">
        <v>200</v>
      </c>
      <c r="I1568" s="4" t="s">
        <v>130</v>
      </c>
      <c r="J1568" s="3">
        <v>1</v>
      </c>
      <c r="K1568" s="4" t="s">
        <v>106</v>
      </c>
      <c r="L1568" s="56" t="str">
        <f>VLOOKUP(C1568,'[14]Trips&amp;Operators'!$C$1:$E$9999,3,0)</f>
        <v>STRICKLAND</v>
      </c>
      <c r="M1568" s="20" t="s">
        <v>112</v>
      </c>
      <c r="N1568" s="19"/>
      <c r="O1568" s="19" t="str">
        <f t="shared" si="48"/>
        <v>30</v>
      </c>
      <c r="P1568" s="64">
        <f t="shared" si="49"/>
        <v>42581</v>
      </c>
      <c r="Q1568" s="59"/>
      <c r="R1568" s="60"/>
      <c r="S1568" s="61"/>
      <c r="T1568" s="62"/>
      <c r="U1568" s="54"/>
      <c r="V1568" s="50"/>
      <c r="W1568" s="50"/>
    </row>
    <row r="1569" spans="1:23" x14ac:dyDescent="0.25">
      <c r="A1569" s="26">
        <v>42581.38857638889</v>
      </c>
      <c r="B1569" s="4" t="s">
        <v>145</v>
      </c>
      <c r="C1569" s="4" t="s">
        <v>1687</v>
      </c>
      <c r="D1569" s="4" t="s">
        <v>103</v>
      </c>
      <c r="E1569" s="4" t="s">
        <v>129</v>
      </c>
      <c r="F1569" s="3">
        <v>0</v>
      </c>
      <c r="G1569" s="3">
        <v>68</v>
      </c>
      <c r="H1569" s="3">
        <v>216</v>
      </c>
      <c r="I1569" s="4" t="s">
        <v>130</v>
      </c>
      <c r="J1569" s="3">
        <v>1</v>
      </c>
      <c r="K1569" s="4" t="s">
        <v>106</v>
      </c>
      <c r="L1569" s="56" t="str">
        <f>VLOOKUP(C1569,'[14]Trips&amp;Operators'!$C$1:$E$9999,3,0)</f>
        <v>ACKERMAN</v>
      </c>
      <c r="M1569" s="20" t="s">
        <v>112</v>
      </c>
      <c r="N1569" s="19"/>
      <c r="O1569" s="19" t="str">
        <f t="shared" si="48"/>
        <v>30</v>
      </c>
      <c r="P1569" s="64">
        <f t="shared" si="49"/>
        <v>42581</v>
      </c>
      <c r="Q1569" s="59"/>
      <c r="R1569" s="60"/>
      <c r="S1569" s="61"/>
      <c r="T1569" s="62"/>
      <c r="U1569" s="54"/>
      <c r="V1569" s="50"/>
      <c r="W1569" s="50"/>
    </row>
    <row r="1570" spans="1:23" x14ac:dyDescent="0.25">
      <c r="A1570" s="26">
        <v>42581.461631944447</v>
      </c>
      <c r="B1570" s="4" t="s">
        <v>145</v>
      </c>
      <c r="C1570" s="4" t="s">
        <v>218</v>
      </c>
      <c r="D1570" s="4" t="s">
        <v>103</v>
      </c>
      <c r="E1570" s="4" t="s">
        <v>129</v>
      </c>
      <c r="F1570" s="3">
        <v>0</v>
      </c>
      <c r="G1570" s="3">
        <v>56</v>
      </c>
      <c r="H1570" s="3">
        <v>165</v>
      </c>
      <c r="I1570" s="4" t="s">
        <v>130</v>
      </c>
      <c r="J1570" s="3">
        <v>1</v>
      </c>
      <c r="K1570" s="4" t="s">
        <v>106</v>
      </c>
      <c r="L1570" s="56" t="str">
        <f>VLOOKUP(C1570,'[14]Trips&amp;Operators'!$C$1:$E$9999,3,0)</f>
        <v>ACKERMAN</v>
      </c>
      <c r="M1570" s="20" t="s">
        <v>112</v>
      </c>
      <c r="N1570" s="19"/>
      <c r="O1570" s="19" t="str">
        <f t="shared" si="48"/>
        <v>30</v>
      </c>
      <c r="P1570" s="64">
        <f t="shared" si="49"/>
        <v>42581</v>
      </c>
      <c r="Q1570" s="59"/>
      <c r="R1570" s="60"/>
      <c r="S1570" s="61"/>
      <c r="T1570" s="62"/>
      <c r="U1570" s="54"/>
      <c r="V1570" s="50"/>
      <c r="W1570" s="50"/>
    </row>
    <row r="1571" spans="1:23" x14ac:dyDescent="0.25">
      <c r="A1571" s="26">
        <v>42581.504004629627</v>
      </c>
      <c r="B1571" s="4" t="s">
        <v>147</v>
      </c>
      <c r="C1571" s="4" t="s">
        <v>381</v>
      </c>
      <c r="D1571" s="4" t="s">
        <v>103</v>
      </c>
      <c r="E1571" s="4" t="s">
        <v>129</v>
      </c>
      <c r="F1571" s="3">
        <v>0</v>
      </c>
      <c r="G1571" s="3">
        <v>64</v>
      </c>
      <c r="H1571" s="3">
        <v>271</v>
      </c>
      <c r="I1571" s="4" t="s">
        <v>130</v>
      </c>
      <c r="J1571" s="3">
        <v>1</v>
      </c>
      <c r="K1571" s="4" t="s">
        <v>106</v>
      </c>
      <c r="L1571" s="56" t="str">
        <f>VLOOKUP(C1571,'[14]Trips&amp;Operators'!$C$1:$E$9999,3,0)</f>
        <v>MAYBERRY</v>
      </c>
      <c r="M1571" s="20" t="s">
        <v>112</v>
      </c>
      <c r="N1571" s="19"/>
      <c r="O1571" s="19" t="str">
        <f t="shared" si="48"/>
        <v>30</v>
      </c>
      <c r="P1571" s="64">
        <f t="shared" si="49"/>
        <v>42581</v>
      </c>
      <c r="Q1571" s="59"/>
      <c r="R1571" s="60"/>
      <c r="S1571" s="61"/>
      <c r="T1571" s="62"/>
      <c r="U1571" s="54"/>
      <c r="V1571" s="50"/>
      <c r="W1571" s="50"/>
    </row>
    <row r="1572" spans="1:23" x14ac:dyDescent="0.25">
      <c r="A1572" s="26">
        <v>42581.578368055554</v>
      </c>
      <c r="B1572" s="4" t="s">
        <v>147</v>
      </c>
      <c r="C1572" s="4" t="s">
        <v>1688</v>
      </c>
      <c r="D1572" s="4" t="s">
        <v>103</v>
      </c>
      <c r="E1572" s="4" t="s">
        <v>129</v>
      </c>
      <c r="F1572" s="3">
        <v>0</v>
      </c>
      <c r="G1572" s="3">
        <v>60</v>
      </c>
      <c r="H1572" s="3">
        <v>216</v>
      </c>
      <c r="I1572" s="4" t="s">
        <v>130</v>
      </c>
      <c r="J1572" s="3">
        <v>1</v>
      </c>
      <c r="K1572" s="4" t="s">
        <v>106</v>
      </c>
      <c r="L1572" s="56" t="str">
        <f>VLOOKUP(C1572,'[14]Trips&amp;Operators'!$C$1:$E$9999,3,0)</f>
        <v>MAYBERRY</v>
      </c>
      <c r="M1572" s="20" t="s">
        <v>112</v>
      </c>
      <c r="N1572" s="19"/>
      <c r="O1572" s="19" t="str">
        <f t="shared" si="48"/>
        <v>30</v>
      </c>
      <c r="P1572" s="64">
        <f t="shared" si="49"/>
        <v>42581</v>
      </c>
      <c r="Q1572" s="59"/>
      <c r="R1572" s="60"/>
      <c r="S1572" s="61"/>
      <c r="T1572" s="62"/>
      <c r="U1572" s="54"/>
      <c r="V1572" s="50"/>
      <c r="W1572" s="50"/>
    </row>
    <row r="1573" spans="1:23" x14ac:dyDescent="0.25">
      <c r="A1573" s="26">
        <v>42581.651319444441</v>
      </c>
      <c r="B1573" s="4" t="s">
        <v>147</v>
      </c>
      <c r="C1573" s="4" t="s">
        <v>1678</v>
      </c>
      <c r="D1573" s="4" t="s">
        <v>103</v>
      </c>
      <c r="E1573" s="4" t="s">
        <v>129</v>
      </c>
      <c r="F1573" s="3">
        <v>0</v>
      </c>
      <c r="G1573" s="3">
        <v>56</v>
      </c>
      <c r="H1573" s="3">
        <v>201</v>
      </c>
      <c r="I1573" s="4" t="s">
        <v>130</v>
      </c>
      <c r="J1573" s="3">
        <v>1</v>
      </c>
      <c r="K1573" s="4" t="s">
        <v>106</v>
      </c>
      <c r="L1573" s="56" t="str">
        <f>VLOOKUP(C1573,'[14]Trips&amp;Operators'!$C$1:$E$9999,3,0)</f>
        <v>MAYBERRY</v>
      </c>
      <c r="M1573" s="20" t="s">
        <v>112</v>
      </c>
      <c r="N1573" s="19"/>
      <c r="O1573" s="19" t="str">
        <f t="shared" si="48"/>
        <v>30</v>
      </c>
      <c r="P1573" s="64">
        <f t="shared" si="49"/>
        <v>42581</v>
      </c>
      <c r="Q1573" s="59"/>
      <c r="R1573" s="60"/>
      <c r="S1573" s="61"/>
      <c r="T1573" s="62"/>
      <c r="U1573" s="54"/>
      <c r="V1573" s="50"/>
      <c r="W1573" s="50"/>
    </row>
    <row r="1574" spans="1:23" x14ac:dyDescent="0.25">
      <c r="A1574" s="26">
        <v>42581.670428240737</v>
      </c>
      <c r="B1574" s="4" t="s">
        <v>131</v>
      </c>
      <c r="C1574" s="4" t="s">
        <v>1689</v>
      </c>
      <c r="D1574" s="4" t="s">
        <v>103</v>
      </c>
      <c r="E1574" s="4" t="s">
        <v>129</v>
      </c>
      <c r="F1574" s="3">
        <v>0</v>
      </c>
      <c r="G1574" s="3">
        <v>66</v>
      </c>
      <c r="H1574" s="3">
        <v>218</v>
      </c>
      <c r="I1574" s="4" t="s">
        <v>130</v>
      </c>
      <c r="J1574" s="3">
        <v>1</v>
      </c>
      <c r="K1574" s="4" t="s">
        <v>106</v>
      </c>
      <c r="L1574" s="56" t="str">
        <f>VLOOKUP(C1574,'[14]Trips&amp;Operators'!$C$1:$E$9999,3,0)</f>
        <v>STEWART</v>
      </c>
      <c r="M1574" s="20" t="s">
        <v>112</v>
      </c>
      <c r="N1574" s="19"/>
      <c r="O1574" s="19" t="str">
        <f t="shared" si="48"/>
        <v>30</v>
      </c>
      <c r="P1574" s="64">
        <f t="shared" si="49"/>
        <v>42581</v>
      </c>
      <c r="Q1574" s="59"/>
      <c r="R1574" s="60"/>
      <c r="S1574" s="61"/>
      <c r="T1574" s="62"/>
      <c r="U1574" s="54"/>
      <c r="V1574" s="50"/>
      <c r="W1574" s="50"/>
    </row>
    <row r="1575" spans="1:23" x14ac:dyDescent="0.25">
      <c r="A1575" s="26">
        <v>42581.723495370374</v>
      </c>
      <c r="B1575" s="4" t="s">
        <v>147</v>
      </c>
      <c r="C1575" s="4" t="s">
        <v>1674</v>
      </c>
      <c r="D1575" s="4" t="s">
        <v>103</v>
      </c>
      <c r="E1575" s="4" t="s">
        <v>129</v>
      </c>
      <c r="F1575" s="3">
        <v>0</v>
      </c>
      <c r="G1575" s="3">
        <v>49</v>
      </c>
      <c r="H1575" s="3">
        <v>150</v>
      </c>
      <c r="I1575" s="4" t="s">
        <v>130</v>
      </c>
      <c r="J1575" s="3">
        <v>1</v>
      </c>
      <c r="K1575" s="4" t="s">
        <v>106</v>
      </c>
      <c r="L1575" s="56" t="str">
        <f>VLOOKUP(C1575,'[14]Trips&amp;Operators'!$C$1:$E$9999,3,0)</f>
        <v>MAYBERRY</v>
      </c>
      <c r="M1575" s="20" t="s">
        <v>112</v>
      </c>
      <c r="N1575" s="19"/>
      <c r="O1575" s="19" t="str">
        <f t="shared" si="48"/>
        <v>30</v>
      </c>
      <c r="P1575" s="64">
        <f t="shared" si="49"/>
        <v>42581</v>
      </c>
      <c r="Q1575" s="59"/>
      <c r="R1575" s="60"/>
      <c r="S1575" s="61"/>
      <c r="T1575" s="62"/>
      <c r="U1575" s="54"/>
      <c r="V1575" s="50"/>
      <c r="W1575" s="50"/>
    </row>
    <row r="1576" spans="1:23" x14ac:dyDescent="0.25">
      <c r="A1576" s="26">
        <v>42581.765150462961</v>
      </c>
      <c r="B1576" s="4" t="s">
        <v>119</v>
      </c>
      <c r="C1576" s="4" t="s">
        <v>1690</v>
      </c>
      <c r="D1576" s="4" t="s">
        <v>103</v>
      </c>
      <c r="E1576" s="4" t="s">
        <v>129</v>
      </c>
      <c r="F1576" s="3">
        <v>0</v>
      </c>
      <c r="G1576" s="3">
        <v>82</v>
      </c>
      <c r="H1576" s="3">
        <v>314</v>
      </c>
      <c r="I1576" s="4" t="s">
        <v>130</v>
      </c>
      <c r="J1576" s="3">
        <v>1</v>
      </c>
      <c r="K1576" s="4" t="s">
        <v>106</v>
      </c>
      <c r="L1576" s="56" t="str">
        <f>VLOOKUP(C1576,'[14]Trips&amp;Operators'!$C$1:$E$9999,3,0)</f>
        <v>MOSES</v>
      </c>
      <c r="M1576" s="20" t="s">
        <v>112</v>
      </c>
      <c r="N1576" s="19"/>
      <c r="O1576" s="19" t="str">
        <f t="shared" si="48"/>
        <v>30</v>
      </c>
      <c r="P1576" s="64">
        <f t="shared" si="49"/>
        <v>42581</v>
      </c>
      <c r="Q1576" s="59"/>
      <c r="R1576" s="60"/>
      <c r="S1576" s="61"/>
      <c r="T1576" s="62"/>
      <c r="U1576" s="54"/>
      <c r="V1576" s="50"/>
      <c r="W1576" s="50"/>
    </row>
    <row r="1577" spans="1:23" x14ac:dyDescent="0.25">
      <c r="A1577" s="26">
        <v>42581.765532407408</v>
      </c>
      <c r="B1577" s="4" t="s">
        <v>119</v>
      </c>
      <c r="C1577" s="4" t="s">
        <v>1690</v>
      </c>
      <c r="D1577" s="4" t="s">
        <v>103</v>
      </c>
      <c r="E1577" s="4" t="s">
        <v>129</v>
      </c>
      <c r="F1577" s="3">
        <v>0</v>
      </c>
      <c r="G1577" s="3">
        <v>41</v>
      </c>
      <c r="H1577" s="3">
        <v>201</v>
      </c>
      <c r="I1577" s="4" t="s">
        <v>130</v>
      </c>
      <c r="J1577" s="3">
        <v>1</v>
      </c>
      <c r="K1577" s="4" t="s">
        <v>106</v>
      </c>
      <c r="L1577" s="56" t="str">
        <f>VLOOKUP(C1577,'[14]Trips&amp;Operators'!$C$1:$E$9999,3,0)</f>
        <v>MOSES</v>
      </c>
      <c r="M1577" s="20" t="s">
        <v>112</v>
      </c>
      <c r="N1577" s="19"/>
      <c r="O1577" s="19" t="str">
        <f t="shared" si="48"/>
        <v>30</v>
      </c>
      <c r="P1577" s="64">
        <f t="shared" si="49"/>
        <v>42581</v>
      </c>
      <c r="Q1577" s="59"/>
      <c r="R1577" s="60"/>
      <c r="S1577" s="61"/>
      <c r="T1577" s="62"/>
      <c r="U1577" s="54"/>
      <c r="V1577" s="50"/>
      <c r="W1577" s="50"/>
    </row>
    <row r="1578" spans="1:23" x14ac:dyDescent="0.25">
      <c r="A1578" s="26">
        <v>42581.765925925924</v>
      </c>
      <c r="B1578" s="4" t="s">
        <v>119</v>
      </c>
      <c r="C1578" s="4" t="s">
        <v>1690</v>
      </c>
      <c r="D1578" s="4" t="s">
        <v>103</v>
      </c>
      <c r="E1578" s="4" t="s">
        <v>129</v>
      </c>
      <c r="F1578" s="3">
        <v>0</v>
      </c>
      <c r="G1578" s="3">
        <v>14</v>
      </c>
      <c r="H1578" s="3">
        <v>123</v>
      </c>
      <c r="I1578" s="4" t="s">
        <v>130</v>
      </c>
      <c r="J1578" s="3">
        <v>1</v>
      </c>
      <c r="K1578" s="4" t="s">
        <v>106</v>
      </c>
      <c r="L1578" s="56" t="str">
        <f>VLOOKUP(C1578,'[14]Trips&amp;Operators'!$C$1:$E$9999,3,0)</f>
        <v>MOSES</v>
      </c>
      <c r="M1578" s="20" t="s">
        <v>112</v>
      </c>
      <c r="N1578" s="19"/>
      <c r="O1578" s="19" t="str">
        <f t="shared" si="48"/>
        <v>30</v>
      </c>
      <c r="P1578" s="64">
        <f t="shared" si="49"/>
        <v>42581</v>
      </c>
      <c r="Q1578" s="59"/>
      <c r="R1578" s="60"/>
      <c r="S1578" s="61"/>
      <c r="T1578" s="62"/>
      <c r="U1578" s="54"/>
      <c r="V1578" s="50"/>
      <c r="W1578" s="50"/>
    </row>
    <row r="1579" spans="1:23" x14ac:dyDescent="0.25">
      <c r="A1579" s="26">
        <v>42581.776377314818</v>
      </c>
      <c r="B1579" s="4" t="s">
        <v>132</v>
      </c>
      <c r="C1579" s="4" t="s">
        <v>383</v>
      </c>
      <c r="D1579" s="4" t="s">
        <v>103</v>
      </c>
      <c r="E1579" s="4" t="s">
        <v>129</v>
      </c>
      <c r="F1579" s="3">
        <v>0</v>
      </c>
      <c r="G1579" s="3">
        <v>50</v>
      </c>
      <c r="H1579" s="3">
        <v>163</v>
      </c>
      <c r="I1579" s="4" t="s">
        <v>130</v>
      </c>
      <c r="J1579" s="3">
        <v>1</v>
      </c>
      <c r="K1579" s="4" t="s">
        <v>106</v>
      </c>
      <c r="L1579" s="56" t="str">
        <f>VLOOKUP(C1579,'[14]Trips&amp;Operators'!$C$1:$E$9999,3,0)</f>
        <v>REBOLETTI</v>
      </c>
      <c r="M1579" s="20" t="s">
        <v>112</v>
      </c>
      <c r="N1579" s="19"/>
      <c r="O1579" s="19" t="str">
        <f t="shared" si="48"/>
        <v>30</v>
      </c>
      <c r="P1579" s="64">
        <f t="shared" si="49"/>
        <v>42581</v>
      </c>
      <c r="Q1579" s="59"/>
      <c r="R1579" s="60"/>
      <c r="S1579" s="61"/>
      <c r="T1579" s="62"/>
      <c r="U1579" s="54"/>
      <c r="V1579" s="50"/>
      <c r="W1579" s="50"/>
    </row>
    <row r="1580" spans="1:23" x14ac:dyDescent="0.25">
      <c r="A1580" s="26">
        <v>42581.827372685184</v>
      </c>
      <c r="B1580" s="4" t="s">
        <v>145</v>
      </c>
      <c r="C1580" s="4" t="s">
        <v>1691</v>
      </c>
      <c r="D1580" s="4" t="s">
        <v>103</v>
      </c>
      <c r="E1580" s="4" t="s">
        <v>129</v>
      </c>
      <c r="F1580" s="3">
        <v>0</v>
      </c>
      <c r="G1580" s="3">
        <v>31</v>
      </c>
      <c r="H1580" s="3">
        <v>147</v>
      </c>
      <c r="I1580" s="4" t="s">
        <v>130</v>
      </c>
      <c r="J1580" s="3">
        <v>1</v>
      </c>
      <c r="K1580" s="4" t="s">
        <v>106</v>
      </c>
      <c r="L1580" s="56" t="str">
        <f>VLOOKUP(C1580,'[14]Trips&amp;Operators'!$C$1:$E$9999,3,0)</f>
        <v>CHANDLER</v>
      </c>
      <c r="M1580" s="20" t="s">
        <v>112</v>
      </c>
      <c r="N1580" s="19"/>
      <c r="O1580" s="19" t="str">
        <f t="shared" si="48"/>
        <v>30</v>
      </c>
      <c r="P1580" s="64">
        <f t="shared" si="49"/>
        <v>42581</v>
      </c>
      <c r="Q1580" s="59"/>
      <c r="R1580" s="60"/>
      <c r="S1580" s="61"/>
      <c r="T1580" s="62"/>
      <c r="U1580" s="54"/>
      <c r="V1580" s="50"/>
      <c r="W1580" s="50"/>
    </row>
    <row r="1581" spans="1:23" x14ac:dyDescent="0.25">
      <c r="A1581" s="26">
        <v>42581.662118055552</v>
      </c>
      <c r="B1581" s="4" t="s">
        <v>143</v>
      </c>
      <c r="C1581" s="4" t="s">
        <v>1715</v>
      </c>
      <c r="D1581" s="4" t="s">
        <v>103</v>
      </c>
      <c r="E1581" s="4" t="s">
        <v>129</v>
      </c>
      <c r="F1581" s="3">
        <v>0</v>
      </c>
      <c r="G1581" s="3">
        <v>26</v>
      </c>
      <c r="H1581" s="3">
        <v>628</v>
      </c>
      <c r="I1581" s="4" t="s">
        <v>130</v>
      </c>
      <c r="J1581" s="3">
        <v>575</v>
      </c>
      <c r="K1581" s="4" t="s">
        <v>106</v>
      </c>
      <c r="L1581" s="56" t="str">
        <f>VLOOKUP(C1581,'[14]Trips&amp;Operators'!$C$1:$E$9999,3,0)</f>
        <v>STORY</v>
      </c>
      <c r="M1581" s="20" t="s">
        <v>112</v>
      </c>
      <c r="N1581" s="19"/>
      <c r="O1581" s="19" t="str">
        <f t="shared" si="48"/>
        <v>30</v>
      </c>
      <c r="P1581" s="64">
        <f t="shared" si="49"/>
        <v>42581</v>
      </c>
      <c r="Q1581" s="59"/>
      <c r="R1581" s="60"/>
      <c r="S1581" s="61"/>
      <c r="T1581" s="62"/>
      <c r="U1581" s="54"/>
      <c r="V1581" s="50"/>
      <c r="W1581" s="50"/>
    </row>
    <row r="1582" spans="1:23" x14ac:dyDescent="0.25">
      <c r="A1582" s="26">
        <v>42581.716724537036</v>
      </c>
      <c r="B1582" s="4" t="s">
        <v>117</v>
      </c>
      <c r="C1582" s="4" t="s">
        <v>1716</v>
      </c>
      <c r="D1582" s="4" t="s">
        <v>103</v>
      </c>
      <c r="E1582" s="4" t="s">
        <v>129</v>
      </c>
      <c r="F1582" s="3">
        <v>0</v>
      </c>
      <c r="G1582" s="3">
        <v>37</v>
      </c>
      <c r="H1582" s="3">
        <v>668</v>
      </c>
      <c r="I1582" s="4" t="s">
        <v>130</v>
      </c>
      <c r="J1582" s="3">
        <v>575</v>
      </c>
      <c r="K1582" s="4" t="s">
        <v>106</v>
      </c>
      <c r="L1582" s="56" t="str">
        <f>VLOOKUP(C1582,'[14]Trips&amp;Operators'!$C$1:$E$9999,3,0)</f>
        <v>ADANE</v>
      </c>
      <c r="M1582" s="20" t="s">
        <v>112</v>
      </c>
      <c r="N1582" s="19"/>
      <c r="O1582" s="19" t="str">
        <f t="shared" si="48"/>
        <v>30</v>
      </c>
      <c r="P1582" s="64">
        <f t="shared" si="49"/>
        <v>42581</v>
      </c>
      <c r="Q1582" s="59"/>
      <c r="R1582" s="60"/>
      <c r="S1582" s="61"/>
      <c r="T1582" s="62"/>
      <c r="U1582" s="54"/>
      <c r="V1582" s="50"/>
      <c r="W1582" s="50"/>
    </row>
    <row r="1583" spans="1:23" x14ac:dyDescent="0.25">
      <c r="A1583" s="26">
        <v>42581.841863425929</v>
      </c>
      <c r="B1583" s="4" t="s">
        <v>117</v>
      </c>
      <c r="C1583" s="4" t="s">
        <v>1717</v>
      </c>
      <c r="D1583" s="4" t="s">
        <v>103</v>
      </c>
      <c r="E1583" s="4" t="s">
        <v>129</v>
      </c>
      <c r="F1583" s="3">
        <v>0</v>
      </c>
      <c r="G1583" s="3">
        <v>34</v>
      </c>
      <c r="H1583" s="3">
        <v>673</v>
      </c>
      <c r="I1583" s="4" t="s">
        <v>130</v>
      </c>
      <c r="J1583" s="3">
        <v>575</v>
      </c>
      <c r="K1583" s="4" t="s">
        <v>106</v>
      </c>
      <c r="L1583" s="56" t="str">
        <f>VLOOKUP(C1583,'[14]Trips&amp;Operators'!$C$1:$E$9999,3,0)</f>
        <v>ADANE</v>
      </c>
      <c r="M1583" s="20" t="s">
        <v>112</v>
      </c>
      <c r="N1583" s="19"/>
      <c r="O1583" s="19" t="str">
        <f t="shared" si="48"/>
        <v>30</v>
      </c>
      <c r="P1583" s="64">
        <f t="shared" si="49"/>
        <v>42581</v>
      </c>
      <c r="Q1583" s="59"/>
      <c r="R1583" s="60"/>
      <c r="S1583" s="61"/>
      <c r="T1583" s="62"/>
      <c r="U1583" s="54"/>
      <c r="V1583" s="50"/>
      <c r="W1583" s="50"/>
    </row>
    <row r="1584" spans="1:23" x14ac:dyDescent="0.25">
      <c r="A1584" s="26">
        <v>42581.967893518522</v>
      </c>
      <c r="B1584" s="4" t="s">
        <v>117</v>
      </c>
      <c r="C1584" s="4" t="s">
        <v>1700</v>
      </c>
      <c r="D1584" s="4" t="s">
        <v>103</v>
      </c>
      <c r="E1584" s="4" t="s">
        <v>129</v>
      </c>
      <c r="F1584" s="3">
        <v>0</v>
      </c>
      <c r="G1584" s="3">
        <v>61</v>
      </c>
      <c r="H1584" s="3">
        <v>790</v>
      </c>
      <c r="I1584" s="4" t="s">
        <v>130</v>
      </c>
      <c r="J1584" s="3">
        <v>575</v>
      </c>
      <c r="K1584" s="4" t="s">
        <v>106</v>
      </c>
      <c r="L1584" s="56" t="str">
        <f>VLOOKUP(C1584,'[14]Trips&amp;Operators'!$C$1:$E$9999,3,0)</f>
        <v>STORY</v>
      </c>
      <c r="M1584" s="20" t="s">
        <v>112</v>
      </c>
      <c r="N1584" s="19"/>
      <c r="O1584" s="19" t="str">
        <f t="shared" si="48"/>
        <v>30</v>
      </c>
      <c r="P1584" s="64">
        <f t="shared" si="49"/>
        <v>42581</v>
      </c>
      <c r="Q1584" s="59"/>
      <c r="R1584" s="60"/>
      <c r="S1584" s="61"/>
      <c r="T1584" s="62"/>
      <c r="U1584" s="54"/>
      <c r="V1584" s="50"/>
      <c r="W1584" s="50"/>
    </row>
    <row r="1585" spans="1:23" x14ac:dyDescent="0.25">
      <c r="A1585" s="26">
        <v>42581.721990740742</v>
      </c>
      <c r="B1585" s="4" t="s">
        <v>135</v>
      </c>
      <c r="C1585" s="4" t="s">
        <v>1718</v>
      </c>
      <c r="D1585" s="4" t="s">
        <v>103</v>
      </c>
      <c r="E1585" s="4" t="s">
        <v>129</v>
      </c>
      <c r="F1585" s="3">
        <v>0</v>
      </c>
      <c r="G1585" s="3">
        <v>25</v>
      </c>
      <c r="H1585" s="3">
        <v>58969</v>
      </c>
      <c r="I1585" s="4" t="s">
        <v>130</v>
      </c>
      <c r="J1585" s="3">
        <v>59048</v>
      </c>
      <c r="K1585" s="4" t="s">
        <v>111</v>
      </c>
      <c r="L1585" s="56" t="str">
        <f>VLOOKUP(C1585,'[14]Trips&amp;Operators'!$C$1:$E$9999,3,0)</f>
        <v>STAMBAUGH</v>
      </c>
      <c r="M1585" s="20" t="s">
        <v>112</v>
      </c>
      <c r="N1585" s="19"/>
      <c r="O1585" s="19" t="str">
        <f t="shared" si="48"/>
        <v>30</v>
      </c>
      <c r="P1585" s="64">
        <f t="shared" si="49"/>
        <v>42581</v>
      </c>
      <c r="Q1585" s="59"/>
      <c r="R1585" s="60"/>
      <c r="S1585" s="61"/>
      <c r="T1585" s="62"/>
      <c r="U1585" s="54"/>
      <c r="V1585" s="50"/>
      <c r="W1585" s="50"/>
    </row>
    <row r="1586" spans="1:23" x14ac:dyDescent="0.25">
      <c r="A1586" s="26">
        <v>42581.747534722221</v>
      </c>
      <c r="B1586" s="4" t="s">
        <v>138</v>
      </c>
      <c r="C1586" s="4" t="s">
        <v>1712</v>
      </c>
      <c r="D1586" s="4" t="s">
        <v>103</v>
      </c>
      <c r="E1586" s="4" t="s">
        <v>129</v>
      </c>
      <c r="F1586" s="3">
        <v>0</v>
      </c>
      <c r="G1586" s="3">
        <v>32</v>
      </c>
      <c r="H1586" s="3">
        <v>59005</v>
      </c>
      <c r="I1586" s="4" t="s">
        <v>130</v>
      </c>
      <c r="J1586" s="3">
        <v>59048</v>
      </c>
      <c r="K1586" s="4" t="s">
        <v>111</v>
      </c>
      <c r="L1586" s="56" t="str">
        <f>VLOOKUP(C1586,'[14]Trips&amp;Operators'!$C$1:$E$9999,3,0)</f>
        <v>DE LA ROSA</v>
      </c>
      <c r="M1586" s="20" t="s">
        <v>112</v>
      </c>
      <c r="N1586" s="19"/>
      <c r="O1586" s="19" t="str">
        <f t="shared" si="48"/>
        <v>30</v>
      </c>
      <c r="P1586" s="64">
        <f t="shared" si="49"/>
        <v>42581</v>
      </c>
      <c r="Q1586" s="59"/>
      <c r="R1586" s="60"/>
      <c r="S1586" s="61"/>
      <c r="T1586" s="62"/>
      <c r="U1586" s="54"/>
      <c r="V1586" s="50"/>
      <c r="W1586" s="50"/>
    </row>
    <row r="1587" spans="1:23" x14ac:dyDescent="0.25">
      <c r="A1587" s="26">
        <v>42581.886736111112</v>
      </c>
      <c r="B1587" s="4" t="s">
        <v>135</v>
      </c>
      <c r="C1587" s="4" t="s">
        <v>1719</v>
      </c>
      <c r="D1587" s="4" t="s">
        <v>103</v>
      </c>
      <c r="E1587" s="4" t="s">
        <v>129</v>
      </c>
      <c r="F1587" s="3">
        <v>0</v>
      </c>
      <c r="G1587" s="3">
        <v>17</v>
      </c>
      <c r="H1587" s="3">
        <v>59016</v>
      </c>
      <c r="I1587" s="4" t="s">
        <v>130</v>
      </c>
      <c r="J1587" s="3">
        <v>59048</v>
      </c>
      <c r="K1587" s="4" t="s">
        <v>111</v>
      </c>
      <c r="L1587" s="56" t="str">
        <f>VLOOKUP(C1587,'[14]Trips&amp;Operators'!$C$1:$E$9999,3,0)</f>
        <v>STAMBAUGH</v>
      </c>
      <c r="M1587" s="20" t="s">
        <v>112</v>
      </c>
      <c r="N1587" s="19"/>
      <c r="O1587" s="19" t="str">
        <f t="shared" si="48"/>
        <v>30</v>
      </c>
      <c r="P1587" s="64">
        <f t="shared" si="49"/>
        <v>42581</v>
      </c>
      <c r="Q1587" s="59"/>
      <c r="R1587" s="60"/>
      <c r="S1587" s="61"/>
      <c r="T1587" s="62"/>
      <c r="U1587" s="54"/>
      <c r="V1587" s="50"/>
      <c r="W1587" s="50"/>
    </row>
    <row r="1588" spans="1:23" x14ac:dyDescent="0.25">
      <c r="A1588" s="26">
        <v>42581.954745370371</v>
      </c>
      <c r="B1588" s="4" t="s">
        <v>138</v>
      </c>
      <c r="C1588" s="4" t="s">
        <v>1701</v>
      </c>
      <c r="D1588" s="4" t="s">
        <v>103</v>
      </c>
      <c r="E1588" s="4" t="s">
        <v>129</v>
      </c>
      <c r="F1588" s="3">
        <v>0</v>
      </c>
      <c r="G1588" s="3">
        <v>41</v>
      </c>
      <c r="H1588" s="3">
        <v>58960</v>
      </c>
      <c r="I1588" s="4" t="s">
        <v>130</v>
      </c>
      <c r="J1588" s="3">
        <v>59048</v>
      </c>
      <c r="K1588" s="4" t="s">
        <v>111</v>
      </c>
      <c r="L1588" s="56" t="str">
        <f>VLOOKUP(C1588,'[14]Trips&amp;Operators'!$C$1:$E$9999,3,0)</f>
        <v>DE LA ROSA</v>
      </c>
      <c r="M1588" s="20" t="s">
        <v>112</v>
      </c>
      <c r="N1588" s="19"/>
      <c r="O1588" s="19" t="str">
        <f t="shared" si="48"/>
        <v>30</v>
      </c>
      <c r="P1588" s="64">
        <f t="shared" si="49"/>
        <v>42581</v>
      </c>
      <c r="Q1588" s="59"/>
      <c r="R1588" s="60"/>
      <c r="S1588" s="61"/>
      <c r="T1588" s="62"/>
      <c r="U1588" s="54"/>
      <c r="V1588" s="50"/>
      <c r="W1588" s="50"/>
    </row>
    <row r="1589" spans="1:23" x14ac:dyDescent="0.25">
      <c r="A1589" s="26">
        <v>42582.010752314818</v>
      </c>
      <c r="B1589" s="4" t="s">
        <v>135</v>
      </c>
      <c r="C1589" s="4" t="s">
        <v>1702</v>
      </c>
      <c r="D1589" s="4" t="s">
        <v>103</v>
      </c>
      <c r="E1589" s="4" t="s">
        <v>129</v>
      </c>
      <c r="F1589" s="3">
        <v>0</v>
      </c>
      <c r="G1589" s="3">
        <v>161</v>
      </c>
      <c r="H1589" s="3">
        <v>58125</v>
      </c>
      <c r="I1589" s="4" t="s">
        <v>130</v>
      </c>
      <c r="J1589" s="3">
        <v>59048</v>
      </c>
      <c r="K1589" s="4" t="s">
        <v>111</v>
      </c>
      <c r="L1589" s="56" t="str">
        <f>VLOOKUP(C1589,'[14]Trips&amp;Operators'!$C$1:$E$9999,3,0)</f>
        <v>STAMBAUGH</v>
      </c>
      <c r="M1589" s="20" t="s">
        <v>112</v>
      </c>
      <c r="N1589" s="19"/>
      <c r="O1589" s="19" t="str">
        <f t="shared" si="48"/>
        <v>30</v>
      </c>
      <c r="P1589" s="64">
        <f t="shared" si="49"/>
        <v>42581</v>
      </c>
      <c r="Q1589" s="59"/>
      <c r="R1589" s="60"/>
      <c r="S1589" s="61"/>
      <c r="T1589" s="62"/>
      <c r="U1589" s="54"/>
      <c r="V1589" s="50"/>
      <c r="W1589" s="50"/>
    </row>
    <row r="1590" spans="1:23" x14ac:dyDescent="0.25">
      <c r="A1590" s="26">
        <v>42581.263784722221</v>
      </c>
      <c r="B1590" s="4" t="s">
        <v>135</v>
      </c>
      <c r="C1590" s="4" t="s">
        <v>1704</v>
      </c>
      <c r="D1590" s="4" t="s">
        <v>103</v>
      </c>
      <c r="E1590" s="4" t="s">
        <v>129</v>
      </c>
      <c r="F1590" s="3">
        <v>0</v>
      </c>
      <c r="G1590" s="3">
        <v>111</v>
      </c>
      <c r="H1590" s="3">
        <v>58664</v>
      </c>
      <c r="I1590" s="4" t="s">
        <v>130</v>
      </c>
      <c r="J1590" s="3">
        <v>59058</v>
      </c>
      <c r="K1590" s="4" t="s">
        <v>111</v>
      </c>
      <c r="L1590" s="56" t="str">
        <f>VLOOKUP(C1590,'[14]Trips&amp;Operators'!$C$1:$E$9999,3,0)</f>
        <v>MADLOM</v>
      </c>
      <c r="M1590" s="20" t="s">
        <v>112</v>
      </c>
      <c r="N1590" s="19"/>
      <c r="O1590" s="19" t="str">
        <f t="shared" si="48"/>
        <v>30</v>
      </c>
      <c r="P1590" s="64">
        <f t="shared" si="49"/>
        <v>42581</v>
      </c>
      <c r="Q1590" s="59"/>
      <c r="R1590" s="60"/>
      <c r="S1590" s="61"/>
      <c r="T1590" s="62"/>
      <c r="U1590" s="54"/>
      <c r="V1590" s="50"/>
      <c r="W1590" s="50"/>
    </row>
    <row r="1591" spans="1:23" x14ac:dyDescent="0.25">
      <c r="A1591" s="26">
        <v>42581.264236111114</v>
      </c>
      <c r="B1591" s="4" t="s">
        <v>135</v>
      </c>
      <c r="C1591" s="4" t="s">
        <v>1704</v>
      </c>
      <c r="D1591" s="4" t="s">
        <v>103</v>
      </c>
      <c r="E1591" s="4" t="s">
        <v>129</v>
      </c>
      <c r="F1591" s="3">
        <v>0</v>
      </c>
      <c r="G1591" s="3">
        <v>49</v>
      </c>
      <c r="H1591" s="3">
        <v>58852</v>
      </c>
      <c r="I1591" s="4" t="s">
        <v>130</v>
      </c>
      <c r="J1591" s="3">
        <v>59058</v>
      </c>
      <c r="K1591" s="4" t="s">
        <v>111</v>
      </c>
      <c r="L1591" s="56" t="str">
        <f>VLOOKUP(C1591,'[14]Trips&amp;Operators'!$C$1:$E$9999,3,0)</f>
        <v>MADLOM</v>
      </c>
      <c r="M1591" s="20" t="s">
        <v>112</v>
      </c>
      <c r="N1591" s="19"/>
      <c r="O1591" s="19" t="str">
        <f t="shared" si="48"/>
        <v>30</v>
      </c>
      <c r="P1591" s="64">
        <f t="shared" si="49"/>
        <v>42581</v>
      </c>
      <c r="Q1591" s="59"/>
      <c r="R1591" s="60"/>
      <c r="S1591" s="61"/>
      <c r="T1591" s="62"/>
      <c r="U1591" s="54"/>
      <c r="V1591" s="50"/>
      <c r="W1591" s="50"/>
    </row>
    <row r="1592" spans="1:23" x14ac:dyDescent="0.25">
      <c r="A1592" s="26">
        <v>42581.482037037036</v>
      </c>
      <c r="B1592" s="4" t="s">
        <v>126</v>
      </c>
      <c r="C1592" s="4" t="s">
        <v>1720</v>
      </c>
      <c r="D1592" s="4" t="s">
        <v>103</v>
      </c>
      <c r="E1592" s="4" t="s">
        <v>129</v>
      </c>
      <c r="F1592" s="3">
        <v>0</v>
      </c>
      <c r="G1592" s="3">
        <v>99</v>
      </c>
      <c r="H1592" s="3">
        <v>58666</v>
      </c>
      <c r="I1592" s="4" t="s">
        <v>130</v>
      </c>
      <c r="J1592" s="3">
        <v>59058</v>
      </c>
      <c r="K1592" s="4" t="s">
        <v>111</v>
      </c>
      <c r="L1592" s="56" t="str">
        <f>VLOOKUP(C1592,'[14]Trips&amp;Operators'!$C$1:$E$9999,3,0)</f>
        <v>YORK</v>
      </c>
      <c r="M1592" s="20" t="s">
        <v>112</v>
      </c>
      <c r="N1592" s="19"/>
      <c r="O1592" s="19" t="str">
        <f t="shared" si="48"/>
        <v>30</v>
      </c>
      <c r="P1592" s="64">
        <f t="shared" si="49"/>
        <v>42581</v>
      </c>
      <c r="Q1592" s="59"/>
      <c r="R1592" s="60"/>
      <c r="S1592" s="61"/>
      <c r="T1592" s="62"/>
      <c r="U1592" s="54"/>
      <c r="V1592" s="50"/>
      <c r="W1592" s="50"/>
    </row>
    <row r="1593" spans="1:23" x14ac:dyDescent="0.25">
      <c r="A1593" s="26">
        <v>42581.969409722224</v>
      </c>
      <c r="B1593" s="4" t="s">
        <v>135</v>
      </c>
      <c r="C1593" s="4" t="s">
        <v>1703</v>
      </c>
      <c r="D1593" s="4" t="s">
        <v>103</v>
      </c>
      <c r="E1593" s="4" t="s">
        <v>129</v>
      </c>
      <c r="F1593" s="3">
        <v>0</v>
      </c>
      <c r="G1593" s="3">
        <v>118</v>
      </c>
      <c r="H1593" s="3">
        <v>58539</v>
      </c>
      <c r="I1593" s="4" t="s">
        <v>130</v>
      </c>
      <c r="J1593" s="3">
        <v>59058</v>
      </c>
      <c r="K1593" s="4" t="s">
        <v>111</v>
      </c>
      <c r="L1593" s="56" t="str">
        <f>VLOOKUP(C1593,'[14]Trips&amp;Operators'!$C$1:$E$9999,3,0)</f>
        <v>STAMBAUGH</v>
      </c>
      <c r="M1593" s="20" t="s">
        <v>112</v>
      </c>
      <c r="N1593" s="19"/>
      <c r="O1593" s="19" t="str">
        <f t="shared" si="48"/>
        <v>30</v>
      </c>
      <c r="P1593" s="64">
        <f t="shared" si="49"/>
        <v>42581</v>
      </c>
      <c r="Q1593" s="59"/>
      <c r="R1593" s="60"/>
      <c r="S1593" s="61"/>
      <c r="T1593" s="62"/>
      <c r="U1593" s="54"/>
      <c r="V1593" s="50"/>
      <c r="W1593" s="50"/>
    </row>
    <row r="1594" spans="1:23" x14ac:dyDescent="0.25">
      <c r="A1594" s="26">
        <v>42581.337430555555</v>
      </c>
      <c r="B1594" s="4" t="s">
        <v>120</v>
      </c>
      <c r="C1594" s="4" t="s">
        <v>382</v>
      </c>
      <c r="D1594" s="4" t="s">
        <v>103</v>
      </c>
      <c r="E1594" s="4" t="s">
        <v>129</v>
      </c>
      <c r="F1594" s="3">
        <v>0</v>
      </c>
      <c r="G1594" s="3">
        <v>151</v>
      </c>
      <c r="H1594" s="3">
        <v>232843</v>
      </c>
      <c r="I1594" s="4" t="s">
        <v>130</v>
      </c>
      <c r="J1594" s="3">
        <v>233491</v>
      </c>
      <c r="K1594" s="4" t="s">
        <v>111</v>
      </c>
      <c r="L1594" s="56" t="str">
        <f>VLOOKUP(C1594,'[14]Trips&amp;Operators'!$C$1:$E$9999,3,0)</f>
        <v>MALAVE</v>
      </c>
      <c r="M1594" s="20" t="s">
        <v>112</v>
      </c>
      <c r="N1594" s="19"/>
      <c r="O1594" s="19" t="str">
        <f t="shared" si="48"/>
        <v>30</v>
      </c>
      <c r="P1594" s="64">
        <f t="shared" si="49"/>
        <v>42581</v>
      </c>
      <c r="Q1594" s="59"/>
      <c r="R1594" s="60"/>
      <c r="S1594" s="61"/>
      <c r="T1594" s="62"/>
      <c r="U1594" s="54"/>
      <c r="V1594" s="50"/>
      <c r="W1594" s="50"/>
    </row>
    <row r="1595" spans="1:23" x14ac:dyDescent="0.25">
      <c r="A1595" s="26">
        <v>42581.358402777776</v>
      </c>
      <c r="B1595" s="4" t="s">
        <v>125</v>
      </c>
      <c r="C1595" s="4" t="s">
        <v>1692</v>
      </c>
      <c r="D1595" s="4" t="s">
        <v>103</v>
      </c>
      <c r="E1595" s="4" t="s">
        <v>129</v>
      </c>
      <c r="F1595" s="3">
        <v>0</v>
      </c>
      <c r="G1595" s="3">
        <v>39</v>
      </c>
      <c r="H1595" s="3">
        <v>233347</v>
      </c>
      <c r="I1595" s="4" t="s">
        <v>130</v>
      </c>
      <c r="J1595" s="3">
        <v>233491</v>
      </c>
      <c r="K1595" s="4" t="s">
        <v>111</v>
      </c>
      <c r="L1595" s="56" t="str">
        <f>VLOOKUP(C1595,'[14]Trips&amp;Operators'!$C$1:$E$9999,3,0)</f>
        <v>SANTIZO</v>
      </c>
      <c r="M1595" s="20" t="s">
        <v>112</v>
      </c>
      <c r="N1595" s="19"/>
      <c r="O1595" s="19" t="str">
        <f t="shared" si="48"/>
        <v>30</v>
      </c>
      <c r="P1595" s="64">
        <f t="shared" si="49"/>
        <v>42581</v>
      </c>
      <c r="Q1595" s="59"/>
      <c r="R1595" s="60"/>
      <c r="S1595" s="61"/>
      <c r="T1595" s="62"/>
      <c r="U1595" s="54"/>
      <c r="V1595" s="50"/>
      <c r="W1595" s="50"/>
    </row>
    <row r="1596" spans="1:23" x14ac:dyDescent="0.25">
      <c r="A1596" s="26">
        <v>42581.558668981481</v>
      </c>
      <c r="B1596" s="4" t="s">
        <v>120</v>
      </c>
      <c r="C1596" s="4" t="s">
        <v>1693</v>
      </c>
      <c r="D1596" s="4" t="s">
        <v>103</v>
      </c>
      <c r="E1596" s="4" t="s">
        <v>129</v>
      </c>
      <c r="F1596" s="3">
        <v>0</v>
      </c>
      <c r="G1596" s="3">
        <v>72</v>
      </c>
      <c r="H1596" s="3">
        <v>233232</v>
      </c>
      <c r="I1596" s="4" t="s">
        <v>130</v>
      </c>
      <c r="J1596" s="3">
        <v>233491</v>
      </c>
      <c r="K1596" s="4" t="s">
        <v>111</v>
      </c>
      <c r="L1596" s="56" t="str">
        <f>VLOOKUP(C1596,'[14]Trips&amp;Operators'!$C$1:$E$9999,3,0)</f>
        <v>STEWART</v>
      </c>
      <c r="M1596" s="20" t="s">
        <v>112</v>
      </c>
      <c r="N1596" s="19"/>
      <c r="O1596" s="19" t="str">
        <f t="shared" si="48"/>
        <v>30</v>
      </c>
      <c r="P1596" s="64">
        <f t="shared" si="49"/>
        <v>42581</v>
      </c>
      <c r="Q1596" s="59"/>
      <c r="R1596" s="60"/>
      <c r="S1596" s="61"/>
      <c r="T1596" s="62"/>
      <c r="U1596" s="54"/>
      <c r="V1596" s="50"/>
      <c r="W1596" s="50"/>
    </row>
    <row r="1597" spans="1:23" x14ac:dyDescent="0.25">
      <c r="A1597" s="26">
        <v>42581.702141203707</v>
      </c>
      <c r="B1597" s="4" t="s">
        <v>120</v>
      </c>
      <c r="C1597" s="4" t="s">
        <v>1694</v>
      </c>
      <c r="D1597" s="4" t="s">
        <v>103</v>
      </c>
      <c r="E1597" s="4" t="s">
        <v>129</v>
      </c>
      <c r="F1597" s="3">
        <v>0</v>
      </c>
      <c r="G1597" s="3">
        <v>77</v>
      </c>
      <c r="H1597" s="3">
        <v>233195</v>
      </c>
      <c r="I1597" s="4" t="s">
        <v>130</v>
      </c>
      <c r="J1597" s="3">
        <v>233491</v>
      </c>
      <c r="K1597" s="4" t="s">
        <v>111</v>
      </c>
      <c r="L1597" s="56" t="str">
        <f>VLOOKUP(C1597,'[14]Trips&amp;Operators'!$C$1:$E$9999,3,0)</f>
        <v>STEWART</v>
      </c>
      <c r="M1597" s="20" t="s">
        <v>112</v>
      </c>
      <c r="N1597" s="19"/>
      <c r="O1597" s="19" t="str">
        <f t="shared" si="48"/>
        <v>30</v>
      </c>
      <c r="P1597" s="64">
        <f t="shared" si="49"/>
        <v>42581</v>
      </c>
      <c r="Q1597" s="59"/>
      <c r="R1597" s="60"/>
      <c r="S1597" s="61"/>
      <c r="T1597" s="62"/>
      <c r="U1597" s="54"/>
      <c r="V1597" s="50"/>
      <c r="W1597" s="50"/>
    </row>
    <row r="1598" spans="1:23" x14ac:dyDescent="0.25">
      <c r="A1598" s="26">
        <v>42581.921388888892</v>
      </c>
      <c r="B1598" s="4" t="s">
        <v>108</v>
      </c>
      <c r="C1598" s="4" t="s">
        <v>219</v>
      </c>
      <c r="D1598" s="4" t="s">
        <v>103</v>
      </c>
      <c r="E1598" s="4" t="s">
        <v>129</v>
      </c>
      <c r="F1598" s="3">
        <v>0</v>
      </c>
      <c r="G1598" s="3">
        <v>75</v>
      </c>
      <c r="H1598" s="3">
        <v>233221</v>
      </c>
      <c r="I1598" s="4" t="s">
        <v>130</v>
      </c>
      <c r="J1598" s="3">
        <v>233491</v>
      </c>
      <c r="K1598" s="4" t="s">
        <v>111</v>
      </c>
      <c r="L1598" s="56" t="str">
        <f>VLOOKUP(C1598,'[14]Trips&amp;Operators'!$C$1:$E$9999,3,0)</f>
        <v>KILLION</v>
      </c>
      <c r="M1598" s="20" t="s">
        <v>112</v>
      </c>
      <c r="N1598" s="19"/>
      <c r="O1598" s="19" t="str">
        <f t="shared" si="48"/>
        <v>30</v>
      </c>
      <c r="P1598" s="64">
        <f t="shared" si="49"/>
        <v>42581</v>
      </c>
      <c r="Q1598" s="59"/>
      <c r="R1598" s="60"/>
      <c r="S1598" s="61"/>
      <c r="T1598" s="62"/>
      <c r="U1598" s="54"/>
      <c r="V1598" s="50"/>
      <c r="W1598" s="50"/>
    </row>
    <row r="1599" spans="1:23" x14ac:dyDescent="0.25">
      <c r="A1599" s="26">
        <v>42582.423171296294</v>
      </c>
      <c r="B1599" s="51" t="s">
        <v>126</v>
      </c>
      <c r="C1599" s="4" t="s">
        <v>1721</v>
      </c>
      <c r="D1599" s="4" t="s">
        <v>103</v>
      </c>
      <c r="E1599" s="51" t="s">
        <v>109</v>
      </c>
      <c r="F1599" s="3">
        <v>0</v>
      </c>
      <c r="G1599" s="3">
        <v>299</v>
      </c>
      <c r="H1599" s="3">
        <v>36484</v>
      </c>
      <c r="I1599" s="51" t="s">
        <v>110</v>
      </c>
      <c r="J1599" s="3">
        <v>36642</v>
      </c>
      <c r="K1599" s="4" t="s">
        <v>111</v>
      </c>
      <c r="L1599" s="56" t="str">
        <f>VLOOKUP(C1599,'[15]Trips&amp;Operators'!$C$1:$E$9999,3,0)</f>
        <v>MALAVE</v>
      </c>
      <c r="M1599" s="20" t="s">
        <v>112</v>
      </c>
      <c r="N1599" s="19" t="s">
        <v>543</v>
      </c>
      <c r="O1599" s="19" t="str">
        <f t="shared" si="48"/>
        <v>31</v>
      </c>
      <c r="P1599" s="64">
        <f t="shared" si="49"/>
        <v>42582</v>
      </c>
      <c r="Q1599" s="59"/>
      <c r="R1599" s="60"/>
      <c r="S1599" s="61"/>
      <c r="T1599" s="62"/>
      <c r="U1599" s="54"/>
      <c r="V1599" s="50"/>
      <c r="W1599" s="50"/>
    </row>
    <row r="1600" spans="1:23" x14ac:dyDescent="0.25">
      <c r="A1600" s="26">
        <v>42582.45480324074</v>
      </c>
      <c r="B1600" s="4" t="s">
        <v>124</v>
      </c>
      <c r="C1600" s="4" t="s">
        <v>1722</v>
      </c>
      <c r="D1600" s="4" t="s">
        <v>103</v>
      </c>
      <c r="E1600" s="4" t="s">
        <v>109</v>
      </c>
      <c r="F1600" s="3">
        <v>0</v>
      </c>
      <c r="G1600" s="3">
        <v>447</v>
      </c>
      <c r="H1600" s="3">
        <v>38707</v>
      </c>
      <c r="I1600" s="4" t="s">
        <v>110</v>
      </c>
      <c r="J1600" s="3">
        <v>37462</v>
      </c>
      <c r="K1600" s="4" t="s">
        <v>106</v>
      </c>
      <c r="L1600" s="56" t="str">
        <f>VLOOKUP(C1600,'[15]Trips&amp;Operators'!$C$1:$E$9999,3,0)</f>
        <v>REBOLETTI</v>
      </c>
      <c r="M1600" s="20" t="s">
        <v>112</v>
      </c>
      <c r="N1600" s="19" t="s">
        <v>543</v>
      </c>
      <c r="O1600" s="19" t="str">
        <f t="shared" si="48"/>
        <v>31</v>
      </c>
      <c r="P1600" s="64">
        <f t="shared" si="49"/>
        <v>42582</v>
      </c>
      <c r="Q1600" s="59"/>
      <c r="R1600" s="60"/>
      <c r="S1600" s="61"/>
      <c r="T1600" s="62"/>
      <c r="U1600" s="54"/>
      <c r="V1600" s="50"/>
      <c r="W1600" s="50"/>
    </row>
    <row r="1601" spans="1:23" x14ac:dyDescent="0.25">
      <c r="A1601" s="26">
        <v>42582.660324074073</v>
      </c>
      <c r="B1601" s="4" t="s">
        <v>136</v>
      </c>
      <c r="C1601" s="4" t="s">
        <v>1723</v>
      </c>
      <c r="D1601" s="4" t="s">
        <v>103</v>
      </c>
      <c r="E1601" s="4" t="s">
        <v>109</v>
      </c>
      <c r="F1601" s="3">
        <v>180</v>
      </c>
      <c r="G1601" s="3">
        <v>256</v>
      </c>
      <c r="H1601" s="3">
        <v>63456</v>
      </c>
      <c r="I1601" s="4" t="s">
        <v>110</v>
      </c>
      <c r="J1601" s="3">
        <v>63309</v>
      </c>
      <c r="K1601" s="4" t="s">
        <v>106</v>
      </c>
      <c r="L1601" s="56" t="str">
        <f>VLOOKUP(C1601,'[15]Trips&amp;Operators'!$C$1:$E$9999,3,0)</f>
        <v>STORY</v>
      </c>
      <c r="M1601" s="20" t="s">
        <v>112</v>
      </c>
      <c r="N1601" s="19" t="s">
        <v>543</v>
      </c>
      <c r="O1601" s="19" t="str">
        <f t="shared" si="48"/>
        <v>31</v>
      </c>
      <c r="P1601" s="64">
        <f t="shared" si="49"/>
        <v>42582</v>
      </c>
      <c r="Q1601" s="59"/>
      <c r="R1601" s="60"/>
      <c r="S1601" s="61"/>
      <c r="T1601" s="62"/>
      <c r="U1601" s="54"/>
      <c r="V1601" s="50"/>
      <c r="W1601" s="50"/>
    </row>
    <row r="1602" spans="1:23" x14ac:dyDescent="0.25">
      <c r="A1602" s="26">
        <v>42582.56695601852</v>
      </c>
      <c r="B1602" s="51" t="s">
        <v>163</v>
      </c>
      <c r="C1602" s="4" t="s">
        <v>1724</v>
      </c>
      <c r="D1602" s="4" t="s">
        <v>103</v>
      </c>
      <c r="E1602" s="51" t="s">
        <v>109</v>
      </c>
      <c r="F1602" s="3">
        <v>0</v>
      </c>
      <c r="G1602" s="3">
        <v>229</v>
      </c>
      <c r="H1602" s="3">
        <v>102435</v>
      </c>
      <c r="I1602" s="51" t="s">
        <v>110</v>
      </c>
      <c r="J1602" s="3">
        <v>103738</v>
      </c>
      <c r="K1602" s="4" t="s">
        <v>111</v>
      </c>
      <c r="L1602" s="56" t="str">
        <f>VLOOKUP(C1602,'[15]Trips&amp;Operators'!$C$1:$E$9999,3,0)</f>
        <v>BARTLETT</v>
      </c>
      <c r="M1602" s="20" t="s">
        <v>112</v>
      </c>
      <c r="N1602" s="19" t="s">
        <v>186</v>
      </c>
      <c r="O1602" s="19" t="str">
        <f t="shared" ref="O1602:O1655" si="50">RIGHT(C1602,2)</f>
        <v>31</v>
      </c>
      <c r="P1602" s="64">
        <f t="shared" si="49"/>
        <v>42582</v>
      </c>
      <c r="Q1602" s="59"/>
      <c r="R1602" s="60"/>
      <c r="S1602" s="61"/>
      <c r="T1602" s="62"/>
      <c r="U1602" s="54"/>
      <c r="V1602" s="50"/>
      <c r="W1602" s="50"/>
    </row>
    <row r="1603" spans="1:23" x14ac:dyDescent="0.25">
      <c r="A1603" s="26">
        <v>42582.484861111108</v>
      </c>
      <c r="B1603" s="51" t="s">
        <v>141</v>
      </c>
      <c r="C1603" s="4" t="s">
        <v>1725</v>
      </c>
      <c r="D1603" s="4" t="s">
        <v>103</v>
      </c>
      <c r="E1603" s="51" t="s">
        <v>109</v>
      </c>
      <c r="F1603" s="3">
        <v>0</v>
      </c>
      <c r="G1603" s="3">
        <v>323</v>
      </c>
      <c r="H1603" s="3">
        <v>105785</v>
      </c>
      <c r="I1603" s="51" t="s">
        <v>110</v>
      </c>
      <c r="J1603" s="3">
        <v>103800</v>
      </c>
      <c r="K1603" s="4" t="s">
        <v>106</v>
      </c>
      <c r="L1603" s="56" t="str">
        <f>VLOOKUP(C1603,'[15]Trips&amp;Operators'!$C$1:$E$9999,3,0)</f>
        <v>STRICKLAND</v>
      </c>
      <c r="M1603" s="20" t="s">
        <v>112</v>
      </c>
      <c r="N1603" s="19" t="s">
        <v>186</v>
      </c>
      <c r="O1603" s="19" t="str">
        <f t="shared" si="50"/>
        <v>31</v>
      </c>
      <c r="P1603" s="64">
        <f t="shared" ref="P1603:P1655" si="51">42522+O1603+29</f>
        <v>42582</v>
      </c>
      <c r="Q1603" s="59"/>
      <c r="R1603" s="60"/>
      <c r="S1603" s="61"/>
      <c r="T1603" s="62"/>
      <c r="U1603" s="54"/>
      <c r="V1603" s="50"/>
      <c r="W1603" s="50"/>
    </row>
    <row r="1604" spans="1:23" x14ac:dyDescent="0.25">
      <c r="A1604" s="26">
        <v>42582.492754629631</v>
      </c>
      <c r="B1604" s="4" t="s">
        <v>147</v>
      </c>
      <c r="C1604" s="4" t="s">
        <v>589</v>
      </c>
      <c r="D1604" s="4" t="s">
        <v>103</v>
      </c>
      <c r="E1604" s="4" t="s">
        <v>109</v>
      </c>
      <c r="F1604" s="3">
        <v>0</v>
      </c>
      <c r="G1604" s="3">
        <v>242</v>
      </c>
      <c r="H1604" s="3">
        <v>110233</v>
      </c>
      <c r="I1604" s="4" t="s">
        <v>110</v>
      </c>
      <c r="J1604" s="3">
        <v>109135</v>
      </c>
      <c r="K1604" s="4" t="s">
        <v>106</v>
      </c>
      <c r="L1604" s="56" t="str">
        <f>VLOOKUP(C1604,'[15]Trips&amp;Operators'!$C$1:$E$9999,3,0)</f>
        <v>MAYBERRY</v>
      </c>
      <c r="M1604" s="20" t="s">
        <v>112</v>
      </c>
      <c r="N1604" s="19" t="s">
        <v>543</v>
      </c>
      <c r="O1604" s="19" t="str">
        <f t="shared" si="50"/>
        <v>31</v>
      </c>
      <c r="P1604" s="64">
        <f t="shared" si="51"/>
        <v>42582</v>
      </c>
      <c r="Q1604" s="59"/>
      <c r="R1604" s="60"/>
      <c r="S1604" s="61"/>
      <c r="T1604" s="62"/>
      <c r="U1604" s="54"/>
      <c r="V1604" s="50"/>
      <c r="W1604" s="50"/>
    </row>
    <row r="1605" spans="1:23" x14ac:dyDescent="0.25">
      <c r="A1605" s="26">
        <v>42582.530381944445</v>
      </c>
      <c r="B1605" s="51" t="s">
        <v>143</v>
      </c>
      <c r="C1605" s="4" t="s">
        <v>1726</v>
      </c>
      <c r="D1605" s="4" t="s">
        <v>103</v>
      </c>
      <c r="E1605" s="51" t="s">
        <v>109</v>
      </c>
      <c r="F1605" s="3">
        <v>0</v>
      </c>
      <c r="G1605" s="3">
        <v>375</v>
      </c>
      <c r="H1605" s="3">
        <v>111044</v>
      </c>
      <c r="I1605" s="51" t="s">
        <v>110</v>
      </c>
      <c r="J1605" s="3">
        <v>109135</v>
      </c>
      <c r="K1605" s="4" t="s">
        <v>106</v>
      </c>
      <c r="L1605" s="56" t="str">
        <f>VLOOKUP(C1605,'[15]Trips&amp;Operators'!$C$1:$E$9999,3,0)</f>
        <v>BRUDER</v>
      </c>
      <c r="M1605" s="20" t="s">
        <v>112</v>
      </c>
      <c r="N1605" s="19" t="s">
        <v>543</v>
      </c>
      <c r="O1605" s="19" t="str">
        <f t="shared" si="50"/>
        <v>31</v>
      </c>
      <c r="P1605" s="64">
        <f t="shared" si="51"/>
        <v>42582</v>
      </c>
      <c r="Q1605" s="59"/>
      <c r="R1605" s="60"/>
      <c r="S1605" s="61"/>
      <c r="T1605" s="62"/>
      <c r="U1605" s="54"/>
      <c r="V1605" s="50"/>
      <c r="W1605" s="50"/>
    </row>
    <row r="1606" spans="1:23" x14ac:dyDescent="0.25">
      <c r="A1606" s="26">
        <v>42582.542280092595</v>
      </c>
      <c r="B1606" s="51" t="s">
        <v>117</v>
      </c>
      <c r="C1606" s="4" t="s">
        <v>1727</v>
      </c>
      <c r="D1606" s="4" t="s">
        <v>103</v>
      </c>
      <c r="E1606" s="51" t="s">
        <v>109</v>
      </c>
      <c r="F1606" s="3">
        <v>0</v>
      </c>
      <c r="G1606" s="3">
        <v>186</v>
      </c>
      <c r="H1606" s="3">
        <v>110275</v>
      </c>
      <c r="I1606" s="51" t="s">
        <v>110</v>
      </c>
      <c r="J1606" s="3">
        <v>109135</v>
      </c>
      <c r="K1606" s="4" t="s">
        <v>106</v>
      </c>
      <c r="L1606" s="56" t="str">
        <f>VLOOKUP(C1606,'[15]Trips&amp;Operators'!$C$1:$E$9999,3,0)</f>
        <v>MOSES</v>
      </c>
      <c r="M1606" s="20" t="s">
        <v>112</v>
      </c>
      <c r="N1606" s="19" t="s">
        <v>543</v>
      </c>
      <c r="O1606" s="19" t="str">
        <f t="shared" si="50"/>
        <v>31</v>
      </c>
      <c r="P1606" s="64">
        <f t="shared" si="51"/>
        <v>42582</v>
      </c>
      <c r="Q1606" s="59"/>
      <c r="R1606" s="60"/>
      <c r="S1606" s="61"/>
      <c r="T1606" s="62"/>
      <c r="U1606" s="54"/>
      <c r="V1606" s="50"/>
      <c r="W1606" s="50"/>
    </row>
    <row r="1607" spans="1:23" x14ac:dyDescent="0.25">
      <c r="A1607" s="26">
        <v>42582.49324074074</v>
      </c>
      <c r="B1607" s="51" t="s">
        <v>147</v>
      </c>
      <c r="C1607" s="4" t="s">
        <v>589</v>
      </c>
      <c r="D1607" s="4" t="s">
        <v>103</v>
      </c>
      <c r="E1607" s="51" t="s">
        <v>109</v>
      </c>
      <c r="F1607" s="3">
        <v>40</v>
      </c>
      <c r="G1607" s="3">
        <v>112</v>
      </c>
      <c r="H1607" s="3">
        <v>109336</v>
      </c>
      <c r="I1607" s="51" t="s">
        <v>110</v>
      </c>
      <c r="J1607" s="3">
        <v>109135</v>
      </c>
      <c r="K1607" s="4" t="s">
        <v>106</v>
      </c>
      <c r="L1607" s="56" t="str">
        <f>VLOOKUP(C1607,'[15]Trips&amp;Operators'!$C$1:$E$9999,3,0)</f>
        <v>MAYBERRY</v>
      </c>
      <c r="M1607" s="20" t="s">
        <v>112</v>
      </c>
      <c r="N1607" s="19" t="s">
        <v>543</v>
      </c>
      <c r="O1607" s="19" t="str">
        <f t="shared" si="50"/>
        <v>31</v>
      </c>
      <c r="P1607" s="64">
        <f t="shared" si="51"/>
        <v>42582</v>
      </c>
      <c r="Q1607" s="59"/>
      <c r="R1607" s="60"/>
      <c r="S1607" s="61"/>
      <c r="T1607" s="62"/>
      <c r="U1607" s="54"/>
      <c r="V1607" s="50"/>
      <c r="W1607" s="50"/>
    </row>
    <row r="1608" spans="1:23" x14ac:dyDescent="0.25">
      <c r="A1608" s="26">
        <v>42583.050659722219</v>
      </c>
      <c r="B1608" s="4" t="s">
        <v>146</v>
      </c>
      <c r="C1608" s="4" t="s">
        <v>1751</v>
      </c>
      <c r="D1608" s="4" t="s">
        <v>116</v>
      </c>
      <c r="E1608" s="4" t="s">
        <v>115</v>
      </c>
      <c r="F1608" s="3">
        <v>150</v>
      </c>
      <c r="G1608" s="3">
        <v>200</v>
      </c>
      <c r="H1608" s="3">
        <v>5171</v>
      </c>
      <c r="I1608" s="4" t="s">
        <v>105</v>
      </c>
      <c r="J1608" s="3">
        <v>3478</v>
      </c>
      <c r="K1608" s="4" t="s">
        <v>111</v>
      </c>
      <c r="L1608" s="56" t="str">
        <f>VLOOKUP(C1608,'[15]Trips&amp;Operators'!$C$1:$E$9999,3,0)</f>
        <v>STAMBAUGH</v>
      </c>
      <c r="M1608" s="20" t="s">
        <v>112</v>
      </c>
      <c r="N1608" s="19"/>
      <c r="O1608" s="19" t="str">
        <f t="shared" si="50"/>
        <v>31</v>
      </c>
      <c r="P1608" s="64">
        <f t="shared" si="51"/>
        <v>42582</v>
      </c>
      <c r="Q1608" s="59"/>
      <c r="R1608" s="60"/>
      <c r="S1608" s="61"/>
      <c r="T1608" s="62"/>
      <c r="U1608" s="54"/>
      <c r="V1608" s="50"/>
      <c r="W1608" s="50"/>
    </row>
    <row r="1609" spans="1:23" x14ac:dyDescent="0.25">
      <c r="A1609" s="26">
        <v>42582.370798611111</v>
      </c>
      <c r="B1609" s="4" t="s">
        <v>139</v>
      </c>
      <c r="C1609" s="4" t="s">
        <v>1753</v>
      </c>
      <c r="D1609" s="4" t="s">
        <v>103</v>
      </c>
      <c r="E1609" s="4" t="s">
        <v>115</v>
      </c>
      <c r="F1609" s="3">
        <v>150</v>
      </c>
      <c r="G1609" s="3">
        <v>201</v>
      </c>
      <c r="H1609" s="3">
        <v>5891</v>
      </c>
      <c r="I1609" s="4" t="s">
        <v>105</v>
      </c>
      <c r="J1609" s="3">
        <v>5315</v>
      </c>
      <c r="K1609" s="4" t="s">
        <v>106</v>
      </c>
      <c r="L1609" s="56" t="str">
        <f>VLOOKUP(C1609,'[15]Trips&amp;Operators'!$C$1:$E$9999,3,0)</f>
        <v>STARKS</v>
      </c>
      <c r="M1609" s="20" t="s">
        <v>112</v>
      </c>
      <c r="N1609" s="19" t="s">
        <v>175</v>
      </c>
      <c r="O1609" s="19" t="str">
        <f t="shared" si="50"/>
        <v>31</v>
      </c>
      <c r="P1609" s="64">
        <f t="shared" si="51"/>
        <v>42582</v>
      </c>
      <c r="Q1609" s="59"/>
      <c r="R1609" s="60"/>
      <c r="S1609" s="61"/>
      <c r="T1609" s="62"/>
      <c r="U1609" s="54"/>
      <c r="V1609" s="50"/>
      <c r="W1609" s="50"/>
    </row>
    <row r="1610" spans="1:23" x14ac:dyDescent="0.25">
      <c r="A1610" s="26">
        <v>42582.65896990741</v>
      </c>
      <c r="B1610" s="4" t="s">
        <v>145</v>
      </c>
      <c r="C1610" s="4" t="s">
        <v>1728</v>
      </c>
      <c r="D1610" s="4" t="s">
        <v>103</v>
      </c>
      <c r="E1610" s="4" t="s">
        <v>115</v>
      </c>
      <c r="F1610" s="3">
        <v>200</v>
      </c>
      <c r="G1610" s="3">
        <v>277</v>
      </c>
      <c r="H1610" s="3">
        <v>6212</v>
      </c>
      <c r="I1610" s="4" t="s">
        <v>105</v>
      </c>
      <c r="J1610" s="3">
        <v>5457</v>
      </c>
      <c r="K1610" s="4" t="s">
        <v>106</v>
      </c>
      <c r="L1610" s="56" t="str">
        <f>VLOOKUP(C1610,'[15]Trips&amp;Operators'!$C$1:$E$9999,3,0)</f>
        <v>MAYBERRY</v>
      </c>
      <c r="M1610" s="20" t="s">
        <v>112</v>
      </c>
      <c r="N1610" s="19" t="s">
        <v>175</v>
      </c>
      <c r="O1610" s="19" t="str">
        <f t="shared" si="50"/>
        <v>31</v>
      </c>
      <c r="P1610" s="64">
        <f t="shared" si="51"/>
        <v>42582</v>
      </c>
      <c r="Q1610" s="59"/>
      <c r="R1610" s="60"/>
      <c r="S1610" s="61"/>
      <c r="T1610" s="62"/>
      <c r="U1610" s="54"/>
      <c r="V1610" s="50"/>
      <c r="W1610" s="50"/>
    </row>
    <row r="1611" spans="1:23" x14ac:dyDescent="0.25">
      <c r="A1611" s="26">
        <v>42582.268888888888</v>
      </c>
      <c r="B1611" s="51" t="s">
        <v>137</v>
      </c>
      <c r="C1611" s="4" t="s">
        <v>1754</v>
      </c>
      <c r="D1611" s="4" t="s">
        <v>116</v>
      </c>
      <c r="E1611" s="51" t="s">
        <v>115</v>
      </c>
      <c r="F1611" s="3">
        <v>500</v>
      </c>
      <c r="G1611" s="3">
        <v>554</v>
      </c>
      <c r="H1611" s="3">
        <v>16668</v>
      </c>
      <c r="I1611" s="51" t="s">
        <v>105</v>
      </c>
      <c r="J1611" s="3">
        <v>14402</v>
      </c>
      <c r="K1611" s="4" t="s">
        <v>111</v>
      </c>
      <c r="L1611" s="56" t="str">
        <f>VLOOKUP(C1611,'[15]Trips&amp;Operators'!$C$1:$E$9999,3,0)</f>
        <v>STARKS</v>
      </c>
      <c r="M1611" s="20" t="s">
        <v>112</v>
      </c>
      <c r="N1611" s="19" t="s">
        <v>175</v>
      </c>
      <c r="O1611" s="19" t="str">
        <f t="shared" si="50"/>
        <v>31</v>
      </c>
      <c r="P1611" s="64">
        <f t="shared" si="51"/>
        <v>42582</v>
      </c>
      <c r="Q1611" s="59"/>
      <c r="R1611" s="60"/>
      <c r="S1611" s="61"/>
      <c r="T1611" s="62"/>
      <c r="U1611" s="54"/>
      <c r="V1611" s="50"/>
      <c r="W1611" s="50"/>
    </row>
    <row r="1612" spans="1:23" x14ac:dyDescent="0.25">
      <c r="A1612" s="26">
        <v>42582.395798611113</v>
      </c>
      <c r="B1612" s="4" t="s">
        <v>137</v>
      </c>
      <c r="C1612" s="4" t="s">
        <v>1755</v>
      </c>
      <c r="D1612" s="4" t="s">
        <v>103</v>
      </c>
      <c r="E1612" s="4" t="s">
        <v>115</v>
      </c>
      <c r="F1612" s="3">
        <v>400</v>
      </c>
      <c r="G1612" s="3">
        <v>459</v>
      </c>
      <c r="H1612" s="3">
        <v>37203</v>
      </c>
      <c r="I1612" s="4" t="s">
        <v>105</v>
      </c>
      <c r="J1612" s="3">
        <v>38171</v>
      </c>
      <c r="K1612" s="4" t="s">
        <v>111</v>
      </c>
      <c r="L1612" s="56" t="str">
        <f>VLOOKUP(C1612,'[15]Trips&amp;Operators'!$C$1:$E$9999,3,0)</f>
        <v>STARKS</v>
      </c>
      <c r="M1612" s="20" t="s">
        <v>112</v>
      </c>
      <c r="N1612" s="19" t="s">
        <v>175</v>
      </c>
      <c r="O1612" s="19" t="str">
        <f t="shared" si="50"/>
        <v>31</v>
      </c>
      <c r="P1612" s="64">
        <f t="shared" si="51"/>
        <v>42582</v>
      </c>
      <c r="Q1612" s="59"/>
      <c r="R1612" s="60"/>
      <c r="S1612" s="61"/>
      <c r="T1612" s="62"/>
      <c r="U1612" s="54"/>
      <c r="V1612" s="50"/>
      <c r="W1612" s="50"/>
    </row>
    <row r="1613" spans="1:23" x14ac:dyDescent="0.25">
      <c r="A1613" s="26">
        <v>42582.530868055554</v>
      </c>
      <c r="B1613" s="4" t="s">
        <v>139</v>
      </c>
      <c r="C1613" s="4" t="s">
        <v>1756</v>
      </c>
      <c r="D1613" s="4" t="s">
        <v>103</v>
      </c>
      <c r="E1613" s="4" t="s">
        <v>115</v>
      </c>
      <c r="F1613" s="3">
        <v>400</v>
      </c>
      <c r="G1613" s="3">
        <v>583</v>
      </c>
      <c r="H1613" s="3">
        <v>53174</v>
      </c>
      <c r="I1613" s="4" t="s">
        <v>105</v>
      </c>
      <c r="J1613" s="3">
        <v>49775</v>
      </c>
      <c r="K1613" s="4" t="s">
        <v>106</v>
      </c>
      <c r="L1613" s="56" t="str">
        <f>VLOOKUP(C1613,'[15]Trips&amp;Operators'!$C$1:$E$9999,3,0)</f>
        <v>STARKS</v>
      </c>
      <c r="M1613" s="20" t="s">
        <v>112</v>
      </c>
      <c r="N1613" s="19" t="s">
        <v>175</v>
      </c>
      <c r="O1613" s="19" t="str">
        <f t="shared" si="50"/>
        <v>31</v>
      </c>
      <c r="P1613" s="64">
        <f t="shared" si="51"/>
        <v>42582</v>
      </c>
      <c r="Q1613" s="59"/>
      <c r="R1613" s="60"/>
      <c r="S1613" s="61"/>
      <c r="T1613" s="62"/>
      <c r="U1613" s="54"/>
      <c r="V1613" s="50"/>
      <c r="W1613" s="50"/>
    </row>
    <row r="1614" spans="1:23" x14ac:dyDescent="0.25">
      <c r="A1614" s="26">
        <v>42582.357997685183</v>
      </c>
      <c r="B1614" s="51" t="s">
        <v>137</v>
      </c>
      <c r="C1614" s="4" t="s">
        <v>1757</v>
      </c>
      <c r="D1614" s="4" t="s">
        <v>103</v>
      </c>
      <c r="E1614" s="51" t="s">
        <v>115</v>
      </c>
      <c r="F1614" s="3">
        <v>150</v>
      </c>
      <c r="G1614" s="3">
        <v>330</v>
      </c>
      <c r="H1614" s="3">
        <v>55723</v>
      </c>
      <c r="I1614" s="51" t="s">
        <v>105</v>
      </c>
      <c r="J1614" s="3">
        <v>57008</v>
      </c>
      <c r="K1614" s="4" t="s">
        <v>111</v>
      </c>
      <c r="L1614" s="56" t="str">
        <f>VLOOKUP(C1614,'[15]Trips&amp;Operators'!$C$1:$E$9999,3,0)</f>
        <v>STARKS</v>
      </c>
      <c r="M1614" s="20" t="s">
        <v>112</v>
      </c>
      <c r="N1614" s="19" t="s">
        <v>175</v>
      </c>
      <c r="O1614" s="19" t="str">
        <f t="shared" si="50"/>
        <v>31</v>
      </c>
      <c r="P1614" s="64">
        <f t="shared" si="51"/>
        <v>42582</v>
      </c>
      <c r="Q1614" s="59"/>
      <c r="R1614" s="60"/>
      <c r="S1614" s="61"/>
      <c r="T1614" s="62"/>
      <c r="U1614" s="54"/>
      <c r="V1614" s="50"/>
      <c r="W1614" s="50"/>
    </row>
    <row r="1615" spans="1:23" x14ac:dyDescent="0.25">
      <c r="A1615" s="26">
        <v>42582.369791666664</v>
      </c>
      <c r="B1615" s="51" t="s">
        <v>142</v>
      </c>
      <c r="C1615" s="4" t="s">
        <v>1729</v>
      </c>
      <c r="D1615" s="4" t="s">
        <v>103</v>
      </c>
      <c r="E1615" s="51" t="s">
        <v>115</v>
      </c>
      <c r="F1615" s="3">
        <v>400</v>
      </c>
      <c r="G1615" s="3">
        <v>688</v>
      </c>
      <c r="H1615" s="3">
        <v>113428</v>
      </c>
      <c r="I1615" s="51" t="s">
        <v>105</v>
      </c>
      <c r="J1615" s="3">
        <v>116838</v>
      </c>
      <c r="K1615" s="4" t="s">
        <v>111</v>
      </c>
      <c r="L1615" s="56" t="str">
        <f>VLOOKUP(C1615,'[15]Trips&amp;Operators'!$C$1:$E$9999,3,0)</f>
        <v>STRICKLAND</v>
      </c>
      <c r="M1615" s="20" t="s">
        <v>112</v>
      </c>
      <c r="N1615" s="19" t="s">
        <v>175</v>
      </c>
      <c r="O1615" s="19" t="str">
        <f t="shared" si="50"/>
        <v>31</v>
      </c>
      <c r="P1615" s="64">
        <f t="shared" si="51"/>
        <v>42582</v>
      </c>
      <c r="Q1615" s="59"/>
      <c r="R1615" s="60"/>
      <c r="S1615" s="61"/>
      <c r="T1615" s="62"/>
      <c r="U1615" s="54"/>
      <c r="V1615" s="50"/>
      <c r="W1615" s="50"/>
    </row>
    <row r="1616" spans="1:23" x14ac:dyDescent="0.25">
      <c r="A1616" s="26">
        <v>42582.692384259259</v>
      </c>
      <c r="B1616" s="51" t="s">
        <v>138</v>
      </c>
      <c r="C1616" s="4" t="s">
        <v>1730</v>
      </c>
      <c r="D1616" s="4" t="s">
        <v>116</v>
      </c>
      <c r="E1616" s="51" t="s">
        <v>115</v>
      </c>
      <c r="F1616" s="3">
        <v>400</v>
      </c>
      <c r="G1616" s="3">
        <v>450</v>
      </c>
      <c r="H1616" s="3">
        <v>119767</v>
      </c>
      <c r="I1616" s="51" t="s">
        <v>105</v>
      </c>
      <c r="J1616" s="3">
        <v>116838</v>
      </c>
      <c r="K1616" s="4" t="s">
        <v>111</v>
      </c>
      <c r="L1616" s="56" t="str">
        <f>VLOOKUP(C1616,'[15]Trips&amp;Operators'!$C$1:$E$9999,3,0)</f>
        <v>STORY</v>
      </c>
      <c r="M1616" s="20" t="s">
        <v>112</v>
      </c>
      <c r="N1616" s="19" t="s">
        <v>175</v>
      </c>
      <c r="O1616" s="19" t="str">
        <f t="shared" si="50"/>
        <v>31</v>
      </c>
      <c r="P1616" s="64">
        <f t="shared" si="51"/>
        <v>42582</v>
      </c>
      <c r="Q1616" s="59"/>
      <c r="R1616" s="60"/>
      <c r="S1616" s="61"/>
      <c r="T1616" s="62"/>
      <c r="U1616" s="54"/>
      <c r="V1616" s="50"/>
      <c r="W1616" s="50"/>
    </row>
    <row r="1617" spans="1:23" x14ac:dyDescent="0.25">
      <c r="A1617" s="26">
        <v>42582.638425925928</v>
      </c>
      <c r="B1617" s="4" t="s">
        <v>145</v>
      </c>
      <c r="C1617" s="4" t="s">
        <v>1728</v>
      </c>
      <c r="D1617" s="4" t="s">
        <v>116</v>
      </c>
      <c r="E1617" s="4" t="s">
        <v>115</v>
      </c>
      <c r="F1617" s="3">
        <v>600</v>
      </c>
      <c r="G1617" s="3">
        <v>652</v>
      </c>
      <c r="H1617" s="3">
        <v>184426</v>
      </c>
      <c r="I1617" s="4" t="s">
        <v>105</v>
      </c>
      <c r="J1617" s="3">
        <v>190834</v>
      </c>
      <c r="K1617" s="4" t="s">
        <v>106</v>
      </c>
      <c r="L1617" s="56" t="str">
        <f>VLOOKUP(C1617,'[15]Trips&amp;Operators'!$C$1:$E$9999,3,0)</f>
        <v>MAYBERRY</v>
      </c>
      <c r="M1617" s="20" t="s">
        <v>112</v>
      </c>
      <c r="N1617" s="19" t="s">
        <v>175</v>
      </c>
      <c r="O1617" s="19" t="str">
        <f t="shared" si="50"/>
        <v>31</v>
      </c>
      <c r="P1617" s="64">
        <f t="shared" si="51"/>
        <v>42582</v>
      </c>
      <c r="Q1617" s="59"/>
      <c r="R1617" s="60"/>
      <c r="S1617" s="61"/>
      <c r="T1617" s="62"/>
      <c r="U1617" s="54"/>
      <c r="V1617" s="50"/>
      <c r="W1617" s="50"/>
    </row>
    <row r="1618" spans="1:23" x14ac:dyDescent="0.25">
      <c r="A1618" s="26">
        <v>42582.636076388888</v>
      </c>
      <c r="B1618" s="4" t="s">
        <v>138</v>
      </c>
      <c r="C1618" s="4" t="s">
        <v>1731</v>
      </c>
      <c r="D1618" s="4" t="s">
        <v>103</v>
      </c>
      <c r="E1618" s="4" t="s">
        <v>115</v>
      </c>
      <c r="F1618" s="3">
        <v>550</v>
      </c>
      <c r="G1618" s="3">
        <v>723</v>
      </c>
      <c r="H1618" s="3">
        <v>219869</v>
      </c>
      <c r="I1618" s="4" t="s">
        <v>105</v>
      </c>
      <c r="J1618" s="3">
        <v>222090</v>
      </c>
      <c r="K1618" s="4" t="s">
        <v>111</v>
      </c>
      <c r="L1618" s="56" t="str">
        <f>VLOOKUP(C1618,'[15]Trips&amp;Operators'!$C$1:$E$9999,3,0)</f>
        <v>STORY</v>
      </c>
      <c r="M1618" s="20" t="s">
        <v>112</v>
      </c>
      <c r="N1618" s="19" t="s">
        <v>175</v>
      </c>
      <c r="O1618" s="19" t="str">
        <f t="shared" si="50"/>
        <v>31</v>
      </c>
      <c r="P1618" s="64">
        <f t="shared" si="51"/>
        <v>42582</v>
      </c>
      <c r="Q1618" s="59"/>
      <c r="R1618" s="60"/>
      <c r="S1618" s="61"/>
      <c r="T1618" s="62"/>
      <c r="U1618" s="54"/>
      <c r="V1618" s="50"/>
      <c r="W1618" s="50"/>
    </row>
    <row r="1619" spans="1:23" x14ac:dyDescent="0.25">
      <c r="A1619" s="26">
        <v>42582.316053240742</v>
      </c>
      <c r="B1619" s="51" t="s">
        <v>148</v>
      </c>
      <c r="C1619" s="4" t="s">
        <v>1732</v>
      </c>
      <c r="D1619" s="4" t="s">
        <v>116</v>
      </c>
      <c r="E1619" s="51" t="s">
        <v>115</v>
      </c>
      <c r="F1619" s="3">
        <v>350</v>
      </c>
      <c r="G1619" s="3">
        <v>400</v>
      </c>
      <c r="H1619" s="3">
        <v>227835</v>
      </c>
      <c r="I1619" s="51" t="s">
        <v>105</v>
      </c>
      <c r="J1619" s="3">
        <v>224578</v>
      </c>
      <c r="K1619" s="4" t="s">
        <v>111</v>
      </c>
      <c r="L1619" s="56" t="str">
        <f>VLOOKUP(C1619,'[15]Trips&amp;Operators'!$C$1:$E$9999,3,0)</f>
        <v>STRICKLAND</v>
      </c>
      <c r="M1619" s="20" t="s">
        <v>112</v>
      </c>
      <c r="N1619" s="19" t="s">
        <v>175</v>
      </c>
      <c r="O1619" s="19" t="str">
        <f t="shared" si="50"/>
        <v>31</v>
      </c>
      <c r="P1619" s="64">
        <f t="shared" si="51"/>
        <v>42582</v>
      </c>
      <c r="Q1619" s="59"/>
      <c r="R1619" s="60"/>
      <c r="S1619" s="61"/>
      <c r="T1619" s="62"/>
      <c r="U1619" s="54"/>
      <c r="V1619" s="50"/>
      <c r="W1619" s="50"/>
    </row>
    <row r="1620" spans="1:23" x14ac:dyDescent="0.25">
      <c r="A1620" s="26">
        <v>42582.635011574072</v>
      </c>
      <c r="B1620" s="4" t="s">
        <v>145</v>
      </c>
      <c r="C1620" s="4" t="s">
        <v>1728</v>
      </c>
      <c r="D1620" s="4" t="s">
        <v>116</v>
      </c>
      <c r="E1620" s="4" t="s">
        <v>115</v>
      </c>
      <c r="F1620" s="3">
        <v>350</v>
      </c>
      <c r="G1620" s="3">
        <v>403</v>
      </c>
      <c r="H1620" s="3">
        <v>225446</v>
      </c>
      <c r="I1620" s="4" t="s">
        <v>105</v>
      </c>
      <c r="J1620" s="3">
        <v>228668</v>
      </c>
      <c r="K1620" s="4" t="s">
        <v>106</v>
      </c>
      <c r="L1620" s="56" t="str">
        <f>VLOOKUP(C1620,'[15]Trips&amp;Operators'!$C$1:$E$9999,3,0)</f>
        <v>MAYBERRY</v>
      </c>
      <c r="M1620" s="20" t="s">
        <v>112</v>
      </c>
      <c r="N1620" s="19" t="s">
        <v>175</v>
      </c>
      <c r="O1620" s="19" t="str">
        <f t="shared" si="50"/>
        <v>31</v>
      </c>
      <c r="P1620" s="64">
        <f t="shared" si="51"/>
        <v>42582</v>
      </c>
      <c r="Q1620" s="59"/>
      <c r="R1620" s="60"/>
      <c r="S1620" s="61"/>
      <c r="T1620" s="62"/>
      <c r="U1620" s="54"/>
      <c r="V1620" s="50"/>
      <c r="W1620" s="50"/>
    </row>
    <row r="1621" spans="1:23" x14ac:dyDescent="0.25">
      <c r="A1621" s="26">
        <v>42582.234618055554</v>
      </c>
      <c r="B1621" s="51" t="s">
        <v>148</v>
      </c>
      <c r="C1621" s="4" t="s">
        <v>1733</v>
      </c>
      <c r="D1621" s="4" t="s">
        <v>103</v>
      </c>
      <c r="E1621" s="51" t="s">
        <v>115</v>
      </c>
      <c r="F1621" s="3">
        <v>150</v>
      </c>
      <c r="G1621" s="3">
        <v>300</v>
      </c>
      <c r="H1621" s="3">
        <v>228716</v>
      </c>
      <c r="I1621" s="51" t="s">
        <v>105</v>
      </c>
      <c r="J1621" s="3">
        <v>230436</v>
      </c>
      <c r="K1621" s="4" t="s">
        <v>111</v>
      </c>
      <c r="L1621" s="56" t="str">
        <f>VLOOKUP(C1621,'[15]Trips&amp;Operators'!$C$1:$E$9999,3,0)</f>
        <v>STRICKLAND</v>
      </c>
      <c r="M1621" s="20" t="s">
        <v>112</v>
      </c>
      <c r="N1621" s="19" t="s">
        <v>175</v>
      </c>
      <c r="O1621" s="19" t="str">
        <f t="shared" si="50"/>
        <v>31</v>
      </c>
      <c r="P1621" s="64">
        <f t="shared" si="51"/>
        <v>42582</v>
      </c>
      <c r="Q1621" s="59"/>
      <c r="R1621" s="60"/>
      <c r="S1621" s="61"/>
      <c r="T1621" s="62"/>
      <c r="U1621" s="54"/>
      <c r="V1621" s="50"/>
      <c r="W1621" s="50"/>
    </row>
    <row r="1622" spans="1:23" x14ac:dyDescent="0.25">
      <c r="A1622" s="26">
        <v>42582.47148148148</v>
      </c>
      <c r="B1622" s="51" t="s">
        <v>138</v>
      </c>
      <c r="C1622" s="4" t="s">
        <v>1734</v>
      </c>
      <c r="D1622" s="4" t="s">
        <v>103</v>
      </c>
      <c r="E1622" s="51" t="s">
        <v>115</v>
      </c>
      <c r="F1622" s="3">
        <v>150</v>
      </c>
      <c r="G1622" s="3">
        <v>208</v>
      </c>
      <c r="H1622" s="3">
        <v>229823</v>
      </c>
      <c r="I1622" s="51" t="s">
        <v>105</v>
      </c>
      <c r="J1622" s="3">
        <v>230436</v>
      </c>
      <c r="K1622" s="4" t="s">
        <v>111</v>
      </c>
      <c r="L1622" s="56" t="str">
        <f>VLOOKUP(C1622,'[15]Trips&amp;Operators'!$C$1:$E$9999,3,0)</f>
        <v>YORK</v>
      </c>
      <c r="M1622" s="20" t="s">
        <v>112</v>
      </c>
      <c r="N1622" s="19" t="s">
        <v>175</v>
      </c>
      <c r="O1622" s="19" t="str">
        <f t="shared" si="50"/>
        <v>31</v>
      </c>
      <c r="P1622" s="64">
        <f t="shared" si="51"/>
        <v>42582</v>
      </c>
      <c r="Q1622" s="59"/>
      <c r="R1622" s="60"/>
      <c r="S1622" s="61"/>
      <c r="T1622" s="62"/>
      <c r="U1622" s="54"/>
      <c r="V1622" s="50"/>
      <c r="W1622" s="50"/>
    </row>
    <row r="1623" spans="1:23" x14ac:dyDescent="0.25">
      <c r="A1623" s="26">
        <v>42582.690983796296</v>
      </c>
      <c r="B1623" s="51" t="s">
        <v>146</v>
      </c>
      <c r="C1623" s="4" t="s">
        <v>1735</v>
      </c>
      <c r="D1623" s="4" t="s">
        <v>103</v>
      </c>
      <c r="E1623" s="51" t="s">
        <v>115</v>
      </c>
      <c r="F1623" s="3">
        <v>150</v>
      </c>
      <c r="G1623" s="3">
        <v>303</v>
      </c>
      <c r="H1623" s="3">
        <v>229348</v>
      </c>
      <c r="I1623" s="51" t="s">
        <v>105</v>
      </c>
      <c r="J1623" s="3">
        <v>230436</v>
      </c>
      <c r="K1623" s="4" t="s">
        <v>111</v>
      </c>
      <c r="L1623" s="56" t="str">
        <f>VLOOKUP(C1623,'[15]Trips&amp;Operators'!$C$1:$E$9999,3,0)</f>
        <v>MAYBERRY</v>
      </c>
      <c r="M1623" s="20" t="s">
        <v>112</v>
      </c>
      <c r="N1623" s="19" t="s">
        <v>175</v>
      </c>
      <c r="O1623" s="19" t="str">
        <f t="shared" si="50"/>
        <v>31</v>
      </c>
      <c r="P1623" s="64">
        <f t="shared" si="51"/>
        <v>42582</v>
      </c>
      <c r="Q1623" s="59"/>
      <c r="R1623" s="60"/>
      <c r="S1623" s="61"/>
      <c r="T1623" s="62"/>
      <c r="U1623" s="54"/>
      <c r="V1623" s="50"/>
      <c r="W1623" s="50"/>
    </row>
    <row r="1624" spans="1:23" x14ac:dyDescent="0.25">
      <c r="A1624" s="26">
        <v>42582.488564814812</v>
      </c>
      <c r="B1624" s="4" t="s">
        <v>136</v>
      </c>
      <c r="C1624" s="4" t="s">
        <v>1736</v>
      </c>
      <c r="D1624" s="4" t="s">
        <v>116</v>
      </c>
      <c r="E1624" s="4" t="s">
        <v>115</v>
      </c>
      <c r="F1624" s="3">
        <v>350</v>
      </c>
      <c r="G1624" s="3">
        <v>401</v>
      </c>
      <c r="H1624" s="3">
        <v>225129</v>
      </c>
      <c r="I1624" s="4" t="s">
        <v>105</v>
      </c>
      <c r="J1624" s="3">
        <v>232107</v>
      </c>
      <c r="K1624" s="4" t="s">
        <v>106</v>
      </c>
      <c r="L1624" s="56" t="str">
        <f>VLOOKUP(C1624,'[15]Trips&amp;Operators'!$C$1:$E$9999,3,0)</f>
        <v>YORK</v>
      </c>
      <c r="M1624" s="20" t="s">
        <v>112</v>
      </c>
      <c r="N1624" s="19" t="s">
        <v>175</v>
      </c>
      <c r="O1624" s="19" t="str">
        <f t="shared" si="50"/>
        <v>31</v>
      </c>
      <c r="P1624" s="64">
        <f t="shared" si="51"/>
        <v>42582</v>
      </c>
      <c r="Q1624" s="59"/>
      <c r="R1624" s="60"/>
      <c r="S1624" s="61"/>
      <c r="T1624" s="62"/>
      <c r="U1624" s="54"/>
      <c r="V1624" s="50"/>
      <c r="W1624" s="50"/>
    </row>
    <row r="1625" spans="1:23" x14ac:dyDescent="0.25">
      <c r="A1625" s="26">
        <v>42582.852187500001</v>
      </c>
      <c r="B1625" s="4" t="s">
        <v>145</v>
      </c>
      <c r="C1625" s="4" t="s">
        <v>1737</v>
      </c>
      <c r="D1625" s="4" t="s">
        <v>116</v>
      </c>
      <c r="E1625" s="4" t="s">
        <v>115</v>
      </c>
      <c r="F1625" s="3">
        <v>150</v>
      </c>
      <c r="G1625" s="3">
        <v>201</v>
      </c>
      <c r="H1625" s="3">
        <v>232096</v>
      </c>
      <c r="I1625" s="4" t="s">
        <v>105</v>
      </c>
      <c r="J1625" s="3">
        <v>233492</v>
      </c>
      <c r="K1625" s="4" t="s">
        <v>106</v>
      </c>
      <c r="L1625" s="56" t="str">
        <f>VLOOKUP(C1625,'[15]Trips&amp;Operators'!$C$1:$E$9999,3,0)</f>
        <v>STAMBAUGH</v>
      </c>
      <c r="M1625" s="20" t="s">
        <v>112</v>
      </c>
      <c r="N1625" s="19" t="s">
        <v>175</v>
      </c>
      <c r="O1625" s="19" t="str">
        <f t="shared" si="50"/>
        <v>31</v>
      </c>
      <c r="P1625" s="64">
        <f t="shared" si="51"/>
        <v>42582</v>
      </c>
      <c r="Q1625" s="59"/>
      <c r="R1625" s="60"/>
      <c r="S1625" s="61"/>
      <c r="T1625" s="62"/>
      <c r="U1625" s="54"/>
      <c r="V1625" s="50"/>
      <c r="W1625" s="50"/>
    </row>
    <row r="1626" spans="1:23" x14ac:dyDescent="0.25">
      <c r="A1626" s="26">
        <v>42582.253842592596</v>
      </c>
      <c r="B1626" s="51" t="s">
        <v>163</v>
      </c>
      <c r="C1626" s="4" t="s">
        <v>588</v>
      </c>
      <c r="D1626" s="4" t="s">
        <v>116</v>
      </c>
      <c r="E1626" s="51" t="s">
        <v>122</v>
      </c>
      <c r="F1626" s="3">
        <v>0</v>
      </c>
      <c r="G1626" s="3">
        <v>69</v>
      </c>
      <c r="H1626" s="3">
        <v>1775</v>
      </c>
      <c r="I1626" s="51" t="s">
        <v>123</v>
      </c>
      <c r="J1626" s="3">
        <v>1692</v>
      </c>
      <c r="K1626" s="4" t="s">
        <v>111</v>
      </c>
      <c r="L1626" s="56" t="str">
        <f>VLOOKUP(C1626,'[15]Trips&amp;Operators'!$C$1:$E$9999,3,0)</f>
        <v>REBOLETTI</v>
      </c>
      <c r="M1626" s="20" t="s">
        <v>112</v>
      </c>
      <c r="N1626" s="19" t="s">
        <v>1738</v>
      </c>
      <c r="O1626" s="19" t="str">
        <f t="shared" si="50"/>
        <v>31</v>
      </c>
      <c r="P1626" s="64">
        <f t="shared" si="51"/>
        <v>42582</v>
      </c>
      <c r="Q1626" s="59"/>
      <c r="R1626" s="60"/>
      <c r="S1626" s="61"/>
      <c r="T1626" s="62"/>
      <c r="U1626" s="54"/>
      <c r="V1626" s="50"/>
      <c r="W1626" s="50"/>
    </row>
    <row r="1627" spans="1:23" x14ac:dyDescent="0.25">
      <c r="A1627" s="26">
        <v>42582.226956018516</v>
      </c>
      <c r="B1627" s="51" t="s">
        <v>137</v>
      </c>
      <c r="C1627" s="4" t="s">
        <v>1752</v>
      </c>
      <c r="D1627" s="4" t="s">
        <v>116</v>
      </c>
      <c r="E1627" s="51" t="s">
        <v>122</v>
      </c>
      <c r="F1627" s="3">
        <v>0</v>
      </c>
      <c r="G1627" s="3">
        <v>66</v>
      </c>
      <c r="H1627" s="3">
        <v>25719</v>
      </c>
      <c r="I1627" s="51" t="s">
        <v>123</v>
      </c>
      <c r="J1627" s="3">
        <v>25696</v>
      </c>
      <c r="K1627" s="4" t="s">
        <v>111</v>
      </c>
      <c r="L1627" s="56" t="str">
        <f>VLOOKUP(C1627,'[15]Trips&amp;Operators'!$C$1:$E$9999,3,0)</f>
        <v>STARKS</v>
      </c>
      <c r="M1627" s="20" t="s">
        <v>112</v>
      </c>
      <c r="N1627" s="19"/>
      <c r="O1627" s="19" t="str">
        <f t="shared" si="50"/>
        <v>31</v>
      </c>
      <c r="P1627" s="64">
        <f t="shared" si="51"/>
        <v>42582</v>
      </c>
      <c r="Q1627" s="59"/>
      <c r="R1627" s="60"/>
      <c r="S1627" s="61"/>
      <c r="T1627" s="62"/>
      <c r="U1627" s="54"/>
      <c r="V1627" s="50"/>
      <c r="W1627" s="50"/>
    </row>
    <row r="1628" spans="1:23" x14ac:dyDescent="0.25">
      <c r="A1628" s="26">
        <v>42582.227673611109</v>
      </c>
      <c r="B1628" s="4" t="s">
        <v>137</v>
      </c>
      <c r="C1628" s="4" t="s">
        <v>1752</v>
      </c>
      <c r="D1628" s="4" t="s">
        <v>116</v>
      </c>
      <c r="E1628" s="4" t="s">
        <v>122</v>
      </c>
      <c r="F1628" s="3">
        <v>0</v>
      </c>
      <c r="G1628" s="3">
        <v>6</v>
      </c>
      <c r="H1628" s="3">
        <v>25823</v>
      </c>
      <c r="I1628" s="4" t="s">
        <v>123</v>
      </c>
      <c r="J1628" s="3">
        <v>25696</v>
      </c>
      <c r="K1628" s="4" t="s">
        <v>111</v>
      </c>
      <c r="L1628" s="56" t="str">
        <f>VLOOKUP(C1628,'[15]Trips&amp;Operators'!$C$1:$E$9999,3,0)</f>
        <v>STARKS</v>
      </c>
      <c r="M1628" s="20" t="s">
        <v>112</v>
      </c>
      <c r="N1628" s="19"/>
      <c r="O1628" s="19" t="str">
        <f t="shared" si="50"/>
        <v>31</v>
      </c>
      <c r="P1628" s="64">
        <f t="shared" si="51"/>
        <v>42582</v>
      </c>
      <c r="Q1628" s="59"/>
      <c r="R1628" s="60"/>
      <c r="S1628" s="61"/>
      <c r="T1628" s="62"/>
      <c r="U1628" s="54"/>
      <c r="V1628" s="50"/>
      <c r="W1628" s="50"/>
    </row>
    <row r="1629" spans="1:23" x14ac:dyDescent="0.25">
      <c r="A1629" s="26">
        <v>42582.564444444448</v>
      </c>
      <c r="B1629" s="51" t="s">
        <v>141</v>
      </c>
      <c r="C1629" s="4" t="s">
        <v>1739</v>
      </c>
      <c r="D1629" s="4" t="s">
        <v>103</v>
      </c>
      <c r="E1629" s="51" t="s">
        <v>122</v>
      </c>
      <c r="F1629" s="3">
        <v>0</v>
      </c>
      <c r="G1629" s="3">
        <v>562</v>
      </c>
      <c r="H1629" s="3">
        <v>45217</v>
      </c>
      <c r="I1629" s="51" t="s">
        <v>123</v>
      </c>
      <c r="J1629" s="3">
        <v>43664</v>
      </c>
      <c r="K1629" s="4" t="s">
        <v>106</v>
      </c>
      <c r="L1629" s="56" t="str">
        <f>VLOOKUP(C1629,'[15]Trips&amp;Operators'!$C$1:$E$9999,3,0)</f>
        <v>YOUNG</v>
      </c>
      <c r="M1629" s="20" t="s">
        <v>107</v>
      </c>
      <c r="N1629" s="19" t="s">
        <v>52</v>
      </c>
      <c r="O1629" s="19" t="str">
        <f t="shared" si="50"/>
        <v>31</v>
      </c>
      <c r="P1629" s="64">
        <f t="shared" si="51"/>
        <v>42582</v>
      </c>
      <c r="Q1629" s="59"/>
      <c r="R1629" s="60"/>
      <c r="S1629" s="61"/>
      <c r="T1629" s="62"/>
      <c r="U1629" s="54"/>
      <c r="V1629" s="50"/>
      <c r="W1629" s="50"/>
    </row>
    <row r="1630" spans="1:23" x14ac:dyDescent="0.25">
      <c r="A1630" s="26">
        <v>42582.974363425928</v>
      </c>
      <c r="B1630" s="4" t="s">
        <v>126</v>
      </c>
      <c r="C1630" s="4" t="s">
        <v>600</v>
      </c>
      <c r="D1630" s="4" t="s">
        <v>103</v>
      </c>
      <c r="E1630" s="4" t="s">
        <v>122</v>
      </c>
      <c r="F1630" s="3">
        <v>0</v>
      </c>
      <c r="G1630" s="3">
        <v>416</v>
      </c>
      <c r="H1630" s="3">
        <v>126352</v>
      </c>
      <c r="I1630" s="4" t="s">
        <v>123</v>
      </c>
      <c r="J1630" s="3">
        <v>126585</v>
      </c>
      <c r="K1630" s="4" t="s">
        <v>111</v>
      </c>
      <c r="L1630" s="56" t="str">
        <f>VLOOKUP(C1630,'[15]Trips&amp;Operators'!$C$1:$E$9999,3,0)</f>
        <v>LEVERE</v>
      </c>
      <c r="M1630" s="20" t="s">
        <v>107</v>
      </c>
      <c r="N1630" s="19" t="s">
        <v>601</v>
      </c>
      <c r="O1630" s="19" t="str">
        <f t="shared" si="50"/>
        <v>31</v>
      </c>
      <c r="P1630" s="64">
        <f t="shared" si="51"/>
        <v>42582</v>
      </c>
      <c r="Q1630" s="59"/>
      <c r="R1630" s="60"/>
      <c r="S1630" s="61"/>
      <c r="T1630" s="62"/>
      <c r="U1630" s="54"/>
      <c r="V1630" s="50"/>
      <c r="W1630" s="50"/>
    </row>
    <row r="1631" spans="1:23" x14ac:dyDescent="0.25">
      <c r="A1631" s="26">
        <v>42582.485555555555</v>
      </c>
      <c r="B1631" s="51" t="s">
        <v>147</v>
      </c>
      <c r="C1631" s="4" t="s">
        <v>589</v>
      </c>
      <c r="D1631" s="4" t="s">
        <v>103</v>
      </c>
      <c r="E1631" s="51" t="s">
        <v>122</v>
      </c>
      <c r="F1631" s="3">
        <v>0</v>
      </c>
      <c r="G1631" s="3">
        <v>347</v>
      </c>
      <c r="H1631" s="3">
        <v>128828</v>
      </c>
      <c r="I1631" s="51" t="s">
        <v>123</v>
      </c>
      <c r="J1631" s="3">
        <v>127587</v>
      </c>
      <c r="K1631" s="4" t="s">
        <v>106</v>
      </c>
      <c r="L1631" s="56" t="str">
        <f>VLOOKUP(C1631,'[15]Trips&amp;Operators'!$C$1:$E$9999,3,0)</f>
        <v>MAYBERRY</v>
      </c>
      <c r="M1631" s="20" t="s">
        <v>112</v>
      </c>
      <c r="N1631" s="19" t="s">
        <v>1740</v>
      </c>
      <c r="O1631" s="19" t="str">
        <f t="shared" si="50"/>
        <v>31</v>
      </c>
      <c r="P1631" s="64">
        <f t="shared" si="51"/>
        <v>42582</v>
      </c>
      <c r="Q1631" s="59"/>
      <c r="R1631" s="60"/>
      <c r="S1631" s="61"/>
      <c r="T1631" s="62"/>
      <c r="U1631" s="54"/>
      <c r="V1631" s="50"/>
      <c r="W1631" s="50"/>
    </row>
    <row r="1632" spans="1:23" x14ac:dyDescent="0.25">
      <c r="A1632" s="26">
        <v>42582.379201388889</v>
      </c>
      <c r="B1632" s="51" t="s">
        <v>142</v>
      </c>
      <c r="C1632" s="4" t="s">
        <v>1729</v>
      </c>
      <c r="D1632" s="4" t="s">
        <v>103</v>
      </c>
      <c r="E1632" s="51" t="s">
        <v>122</v>
      </c>
      <c r="F1632" s="3">
        <v>0</v>
      </c>
      <c r="G1632" s="3">
        <v>264</v>
      </c>
      <c r="H1632" s="3">
        <v>223325</v>
      </c>
      <c r="I1632" s="51" t="s">
        <v>123</v>
      </c>
      <c r="J1632" s="3">
        <v>224231</v>
      </c>
      <c r="K1632" s="4" t="s">
        <v>111</v>
      </c>
      <c r="L1632" s="56" t="str">
        <f>VLOOKUP(C1632,'[15]Trips&amp;Operators'!$C$1:$E$9999,3,0)</f>
        <v>STRICKLAND</v>
      </c>
      <c r="M1632" s="20" t="s">
        <v>107</v>
      </c>
      <c r="N1632" s="19" t="s">
        <v>52</v>
      </c>
      <c r="O1632" s="19" t="str">
        <f t="shared" si="50"/>
        <v>31</v>
      </c>
      <c r="P1632" s="64">
        <f t="shared" si="51"/>
        <v>42582</v>
      </c>
      <c r="Q1632" s="59"/>
      <c r="R1632" s="60"/>
      <c r="S1632" s="61"/>
      <c r="T1632" s="62"/>
      <c r="U1632" s="54"/>
      <c r="V1632" s="50"/>
      <c r="W1632" s="50"/>
    </row>
    <row r="1633" spans="1:23" x14ac:dyDescent="0.25">
      <c r="A1633" s="26">
        <v>42582.385150462964</v>
      </c>
      <c r="B1633" s="51" t="s">
        <v>124</v>
      </c>
      <c r="C1633" s="4" t="s">
        <v>1722</v>
      </c>
      <c r="D1633" s="4" t="s">
        <v>103</v>
      </c>
      <c r="E1633" s="51" t="s">
        <v>127</v>
      </c>
      <c r="F1633" s="3">
        <v>0</v>
      </c>
      <c r="G1633" s="3">
        <v>275</v>
      </c>
      <c r="H1633" s="3">
        <v>18374</v>
      </c>
      <c r="I1633" s="51" t="s">
        <v>128</v>
      </c>
      <c r="J1633" s="3">
        <v>17100</v>
      </c>
      <c r="K1633" s="4" t="s">
        <v>106</v>
      </c>
      <c r="L1633" s="56" t="str">
        <f>VLOOKUP(C1633,'[15]Trips&amp;Operators'!$C$1:$E$9999,3,0)</f>
        <v>REBOLETTI</v>
      </c>
      <c r="M1633" s="20" t="s">
        <v>107</v>
      </c>
      <c r="N1633" s="19" t="s">
        <v>52</v>
      </c>
      <c r="O1633" s="19" t="str">
        <f t="shared" si="50"/>
        <v>31</v>
      </c>
      <c r="P1633" s="64">
        <f t="shared" si="51"/>
        <v>42582</v>
      </c>
      <c r="Q1633" s="59"/>
      <c r="R1633" s="60"/>
      <c r="S1633" s="61"/>
      <c r="T1633" s="62"/>
      <c r="U1633" s="54"/>
      <c r="V1633" s="50"/>
      <c r="W1633" s="50"/>
    </row>
    <row r="1634" spans="1:23" x14ac:dyDescent="0.25">
      <c r="A1634" s="26">
        <v>42582.560856481483</v>
      </c>
      <c r="B1634" s="4" t="s">
        <v>137</v>
      </c>
      <c r="C1634" s="4" t="s">
        <v>1758</v>
      </c>
      <c r="D1634" s="4" t="s">
        <v>103</v>
      </c>
      <c r="E1634" s="4" t="s">
        <v>184</v>
      </c>
      <c r="F1634" s="3">
        <v>100</v>
      </c>
      <c r="G1634" s="3">
        <v>212</v>
      </c>
      <c r="H1634" s="3">
        <v>9602</v>
      </c>
      <c r="I1634" s="4" t="s">
        <v>110</v>
      </c>
      <c r="J1634" s="3">
        <v>10701</v>
      </c>
      <c r="K1634" s="4" t="s">
        <v>111</v>
      </c>
      <c r="L1634" s="56" t="str">
        <f>VLOOKUP(C1634,'[15]Trips&amp;Operators'!$C$1:$E$9999,3,0)</f>
        <v>STARKS</v>
      </c>
      <c r="M1634" s="20" t="s">
        <v>112</v>
      </c>
      <c r="N1634" s="19" t="s">
        <v>175</v>
      </c>
      <c r="O1634" s="19" t="str">
        <f t="shared" si="50"/>
        <v>31</v>
      </c>
      <c r="P1634" s="64">
        <f t="shared" si="51"/>
        <v>42582</v>
      </c>
      <c r="Q1634" s="59"/>
      <c r="R1634" s="60"/>
      <c r="S1634" s="61"/>
      <c r="T1634" s="62"/>
      <c r="U1634" s="54"/>
      <c r="V1634" s="50"/>
      <c r="W1634" s="50"/>
    </row>
    <row r="1635" spans="1:23" x14ac:dyDescent="0.25">
      <c r="A1635" s="26">
        <v>42582.244490740741</v>
      </c>
      <c r="B1635" s="4" t="s">
        <v>139</v>
      </c>
      <c r="C1635" s="4" t="s">
        <v>1759</v>
      </c>
      <c r="D1635" s="4" t="s">
        <v>103</v>
      </c>
      <c r="E1635" s="4" t="s">
        <v>184</v>
      </c>
      <c r="F1635" s="3">
        <v>100</v>
      </c>
      <c r="G1635" s="3">
        <v>445</v>
      </c>
      <c r="H1635" s="3">
        <v>14785</v>
      </c>
      <c r="I1635" s="4" t="s">
        <v>110</v>
      </c>
      <c r="J1635" s="3">
        <v>11000</v>
      </c>
      <c r="K1635" s="4" t="s">
        <v>106</v>
      </c>
      <c r="L1635" s="56" t="str">
        <f>VLOOKUP(C1635,'[15]Trips&amp;Operators'!$C$1:$E$9999,3,0)</f>
        <v>STARKS</v>
      </c>
      <c r="M1635" s="20" t="s">
        <v>112</v>
      </c>
      <c r="N1635" s="19" t="s">
        <v>175</v>
      </c>
      <c r="O1635" s="19" t="str">
        <f t="shared" si="50"/>
        <v>31</v>
      </c>
      <c r="P1635" s="64">
        <f t="shared" si="51"/>
        <v>42582</v>
      </c>
      <c r="Q1635" s="59"/>
      <c r="R1635" s="60"/>
      <c r="S1635" s="61"/>
      <c r="T1635" s="62"/>
      <c r="U1635" s="54"/>
      <c r="V1635" s="50"/>
      <c r="W1635" s="50"/>
    </row>
    <row r="1636" spans="1:23" x14ac:dyDescent="0.25">
      <c r="A1636" s="26">
        <v>42582.535636574074</v>
      </c>
      <c r="B1636" s="51" t="s">
        <v>139</v>
      </c>
      <c r="C1636" s="4" t="s">
        <v>1756</v>
      </c>
      <c r="D1636" s="4" t="s">
        <v>103</v>
      </c>
      <c r="E1636" s="51" t="s">
        <v>184</v>
      </c>
      <c r="F1636" s="3">
        <v>100</v>
      </c>
      <c r="G1636" s="3">
        <v>205</v>
      </c>
      <c r="H1636" s="3">
        <v>11541</v>
      </c>
      <c r="I1636" s="51" t="s">
        <v>110</v>
      </c>
      <c r="J1636" s="3">
        <v>11000</v>
      </c>
      <c r="K1636" s="4" t="s">
        <v>106</v>
      </c>
      <c r="L1636" s="56" t="str">
        <f>VLOOKUP(C1636,'[15]Trips&amp;Operators'!$C$1:$E$9999,3,0)</f>
        <v>STARKS</v>
      </c>
      <c r="M1636" s="20" t="s">
        <v>112</v>
      </c>
      <c r="N1636" s="19" t="s">
        <v>175</v>
      </c>
      <c r="O1636" s="19" t="str">
        <f t="shared" si="50"/>
        <v>31</v>
      </c>
      <c r="P1636" s="64">
        <f t="shared" si="51"/>
        <v>42582</v>
      </c>
      <c r="Q1636" s="59"/>
      <c r="R1636" s="60"/>
      <c r="S1636" s="61"/>
      <c r="T1636" s="62"/>
      <c r="U1636" s="54"/>
      <c r="V1636" s="50"/>
      <c r="W1636" s="50"/>
    </row>
    <row r="1637" spans="1:23" x14ac:dyDescent="0.25">
      <c r="A1637" s="26">
        <v>42582.284687500003</v>
      </c>
      <c r="B1637" s="51" t="s">
        <v>147</v>
      </c>
      <c r="C1637" s="4" t="s">
        <v>1741</v>
      </c>
      <c r="D1637" s="4" t="s">
        <v>103</v>
      </c>
      <c r="E1637" s="51" t="s">
        <v>129</v>
      </c>
      <c r="F1637" s="3">
        <v>0</v>
      </c>
      <c r="G1637" s="3">
        <v>50</v>
      </c>
      <c r="H1637" s="3">
        <v>170</v>
      </c>
      <c r="I1637" s="51" t="s">
        <v>130</v>
      </c>
      <c r="J1637" s="3">
        <v>1</v>
      </c>
      <c r="K1637" s="4" t="s">
        <v>106</v>
      </c>
      <c r="L1637" s="56" t="str">
        <f>VLOOKUP(C1637,'[15]Trips&amp;Operators'!$C$1:$E$9999,3,0)</f>
        <v>STRICKLAND</v>
      </c>
      <c r="M1637" s="20" t="s">
        <v>112</v>
      </c>
      <c r="N1637" s="19" t="s">
        <v>1766</v>
      </c>
      <c r="O1637" s="19" t="str">
        <f t="shared" si="50"/>
        <v>31</v>
      </c>
      <c r="P1637" s="64">
        <f t="shared" si="51"/>
        <v>42582</v>
      </c>
      <c r="Q1637" s="59"/>
      <c r="R1637" s="60"/>
      <c r="S1637" s="61"/>
      <c r="T1637" s="62"/>
      <c r="U1637" s="54"/>
      <c r="V1637" s="50"/>
      <c r="W1637" s="50"/>
    </row>
    <row r="1638" spans="1:23" x14ac:dyDescent="0.25">
      <c r="A1638" s="26">
        <v>42582.304884259262</v>
      </c>
      <c r="B1638" s="51" t="s">
        <v>131</v>
      </c>
      <c r="C1638" s="4" t="s">
        <v>1742</v>
      </c>
      <c r="D1638" s="4" t="s">
        <v>103</v>
      </c>
      <c r="E1638" s="51" t="s">
        <v>129</v>
      </c>
      <c r="F1638" s="3">
        <v>0</v>
      </c>
      <c r="G1638" s="3">
        <v>69</v>
      </c>
      <c r="H1638" s="3">
        <v>231</v>
      </c>
      <c r="I1638" s="51" t="s">
        <v>130</v>
      </c>
      <c r="J1638" s="3">
        <v>1</v>
      </c>
      <c r="K1638" s="4" t="s">
        <v>106</v>
      </c>
      <c r="L1638" s="56" t="str">
        <f>VLOOKUP(C1638,'[15]Trips&amp;Operators'!$C$1:$E$9999,3,0)</f>
        <v>ACKERMAN</v>
      </c>
      <c r="M1638" s="20" t="s">
        <v>112</v>
      </c>
      <c r="N1638" s="19" t="s">
        <v>1766</v>
      </c>
      <c r="O1638" s="19" t="str">
        <f t="shared" si="50"/>
        <v>31</v>
      </c>
      <c r="P1638" s="64">
        <f t="shared" si="51"/>
        <v>42582</v>
      </c>
      <c r="Q1638" s="59"/>
      <c r="R1638" s="60"/>
      <c r="S1638" s="61"/>
      <c r="T1638" s="62"/>
      <c r="U1638" s="54"/>
      <c r="V1638" s="50"/>
      <c r="W1638" s="50"/>
    </row>
    <row r="1639" spans="1:23" x14ac:dyDescent="0.25">
      <c r="A1639" s="26">
        <v>42582.451122685183</v>
      </c>
      <c r="B1639" s="51" t="s">
        <v>131</v>
      </c>
      <c r="C1639" s="4" t="s">
        <v>1743</v>
      </c>
      <c r="D1639" s="4" t="s">
        <v>103</v>
      </c>
      <c r="E1639" s="51" t="s">
        <v>129</v>
      </c>
      <c r="F1639" s="3">
        <v>0</v>
      </c>
      <c r="G1639" s="3">
        <v>58</v>
      </c>
      <c r="H1639" s="3">
        <v>192</v>
      </c>
      <c r="I1639" s="51" t="s">
        <v>130</v>
      </c>
      <c r="J1639" s="3">
        <v>1</v>
      </c>
      <c r="K1639" s="4" t="s">
        <v>106</v>
      </c>
      <c r="L1639" s="56" t="str">
        <f>VLOOKUP(C1639,'[15]Trips&amp;Operators'!$C$1:$E$9999,3,0)</f>
        <v>ACKERMAN</v>
      </c>
      <c r="M1639" s="20" t="s">
        <v>112</v>
      </c>
      <c r="N1639" s="19" t="s">
        <v>1766</v>
      </c>
      <c r="O1639" s="19" t="str">
        <f t="shared" si="50"/>
        <v>31</v>
      </c>
      <c r="P1639" s="64">
        <f t="shared" si="51"/>
        <v>42582</v>
      </c>
      <c r="Q1639" s="59"/>
      <c r="R1639" s="60"/>
      <c r="S1639" s="61"/>
      <c r="T1639" s="62"/>
      <c r="U1639" s="54"/>
      <c r="V1639" s="50"/>
      <c r="W1639" s="50"/>
    </row>
    <row r="1640" spans="1:23" x14ac:dyDescent="0.25">
      <c r="A1640" s="26">
        <v>42582.559155092589</v>
      </c>
      <c r="B1640" s="4" t="s">
        <v>117</v>
      </c>
      <c r="C1640" s="4" t="s">
        <v>1727</v>
      </c>
      <c r="D1640" s="4" t="s">
        <v>103</v>
      </c>
      <c r="E1640" s="4" t="s">
        <v>129</v>
      </c>
      <c r="F1640" s="3">
        <v>0</v>
      </c>
      <c r="G1640" s="3">
        <v>47</v>
      </c>
      <c r="H1640" s="3">
        <v>138</v>
      </c>
      <c r="I1640" s="4" t="s">
        <v>130</v>
      </c>
      <c r="J1640" s="3">
        <v>1</v>
      </c>
      <c r="K1640" s="4" t="s">
        <v>106</v>
      </c>
      <c r="L1640" s="56" t="str">
        <f>VLOOKUP(C1640,'[15]Trips&amp;Operators'!$C$1:$E$9999,3,0)</f>
        <v>MOSES</v>
      </c>
      <c r="M1640" s="20" t="s">
        <v>112</v>
      </c>
      <c r="N1640" s="19" t="s">
        <v>1766</v>
      </c>
      <c r="O1640" s="19" t="str">
        <f t="shared" si="50"/>
        <v>31</v>
      </c>
      <c r="P1640" s="64">
        <f t="shared" si="51"/>
        <v>42582</v>
      </c>
      <c r="Q1640" s="59"/>
      <c r="R1640" s="60"/>
      <c r="S1640" s="61"/>
      <c r="T1640" s="62"/>
      <c r="U1640" s="54"/>
      <c r="V1640" s="50"/>
      <c r="W1640" s="50"/>
    </row>
    <row r="1641" spans="1:23" x14ac:dyDescent="0.25">
      <c r="A1641" s="26">
        <v>42582.605543981481</v>
      </c>
      <c r="B1641" s="51" t="s">
        <v>136</v>
      </c>
      <c r="C1641" s="4" t="s">
        <v>1744</v>
      </c>
      <c r="D1641" s="4" t="s">
        <v>103</v>
      </c>
      <c r="E1641" s="51" t="s">
        <v>129</v>
      </c>
      <c r="F1641" s="3">
        <v>0</v>
      </c>
      <c r="G1641" s="3">
        <v>50</v>
      </c>
      <c r="H1641" s="3">
        <v>211</v>
      </c>
      <c r="I1641" s="51" t="s">
        <v>130</v>
      </c>
      <c r="J1641" s="3">
        <v>1</v>
      </c>
      <c r="K1641" s="4" t="s">
        <v>106</v>
      </c>
      <c r="L1641" s="56" t="str">
        <f>VLOOKUP(C1641,'[15]Trips&amp;Operators'!$C$1:$E$9999,3,0)</f>
        <v>STORY</v>
      </c>
      <c r="M1641" s="20" t="s">
        <v>112</v>
      </c>
      <c r="N1641" s="19" t="s">
        <v>1766</v>
      </c>
      <c r="O1641" s="19" t="str">
        <f t="shared" si="50"/>
        <v>31</v>
      </c>
      <c r="P1641" s="64">
        <f t="shared" si="51"/>
        <v>42582</v>
      </c>
      <c r="Q1641" s="59"/>
      <c r="R1641" s="60"/>
      <c r="S1641" s="61"/>
      <c r="T1641" s="62"/>
      <c r="U1641" s="54"/>
      <c r="V1641" s="50"/>
      <c r="W1641" s="50"/>
    </row>
    <row r="1642" spans="1:23" x14ac:dyDescent="0.25">
      <c r="A1642" s="26">
        <v>42582.651608796295</v>
      </c>
      <c r="B1642" s="4" t="s">
        <v>141</v>
      </c>
      <c r="C1642" s="4" t="s">
        <v>1745</v>
      </c>
      <c r="D1642" s="4" t="s">
        <v>103</v>
      </c>
      <c r="E1642" s="4" t="s">
        <v>129</v>
      </c>
      <c r="F1642" s="3">
        <v>0</v>
      </c>
      <c r="G1642" s="3">
        <v>53</v>
      </c>
      <c r="H1642" s="3">
        <v>181</v>
      </c>
      <c r="I1642" s="4" t="s">
        <v>130</v>
      </c>
      <c r="J1642" s="3">
        <v>1</v>
      </c>
      <c r="K1642" s="4" t="s">
        <v>106</v>
      </c>
      <c r="L1642" s="56" t="str">
        <f>VLOOKUP(C1642,'[15]Trips&amp;Operators'!$C$1:$E$9999,3,0)</f>
        <v>YOUNG</v>
      </c>
      <c r="M1642" s="20" t="s">
        <v>112</v>
      </c>
      <c r="N1642" s="19" t="s">
        <v>1766</v>
      </c>
      <c r="O1642" s="19" t="str">
        <f t="shared" si="50"/>
        <v>31</v>
      </c>
      <c r="P1642" s="64">
        <f t="shared" si="51"/>
        <v>42582</v>
      </c>
      <c r="Q1642" s="59"/>
      <c r="R1642" s="60"/>
      <c r="S1642" s="61"/>
      <c r="T1642" s="62"/>
      <c r="U1642" s="54"/>
      <c r="V1642" s="50"/>
      <c r="W1642" s="50"/>
    </row>
    <row r="1643" spans="1:23" x14ac:dyDescent="0.25">
      <c r="A1643" s="26">
        <v>42582.670335648145</v>
      </c>
      <c r="B1643" s="51" t="s">
        <v>136</v>
      </c>
      <c r="C1643" s="4" t="s">
        <v>1723</v>
      </c>
      <c r="D1643" s="4" t="s">
        <v>103</v>
      </c>
      <c r="E1643" s="51" t="s">
        <v>129</v>
      </c>
      <c r="F1643" s="3">
        <v>0</v>
      </c>
      <c r="G1643" s="3">
        <v>85</v>
      </c>
      <c r="H1643" s="3">
        <v>314</v>
      </c>
      <c r="I1643" s="51" t="s">
        <v>130</v>
      </c>
      <c r="J1643" s="3">
        <v>1</v>
      </c>
      <c r="K1643" s="4" t="s">
        <v>106</v>
      </c>
      <c r="L1643" s="56" t="str">
        <f>VLOOKUP(C1643,'[15]Trips&amp;Operators'!$C$1:$E$9999,3,0)</f>
        <v>STORY</v>
      </c>
      <c r="M1643" s="20" t="s">
        <v>112</v>
      </c>
      <c r="N1643" s="19" t="s">
        <v>1766</v>
      </c>
      <c r="O1643" s="19" t="str">
        <f t="shared" si="50"/>
        <v>31</v>
      </c>
      <c r="P1643" s="64">
        <f t="shared" si="51"/>
        <v>42582</v>
      </c>
      <c r="Q1643" s="59"/>
      <c r="R1643" s="60"/>
      <c r="S1643" s="61"/>
      <c r="T1643" s="62"/>
      <c r="U1643" s="54"/>
      <c r="V1643" s="50"/>
      <c r="W1643" s="50"/>
    </row>
    <row r="1644" spans="1:23" x14ac:dyDescent="0.25">
      <c r="A1644" s="26">
        <v>42582.694062499999</v>
      </c>
      <c r="B1644" s="51" t="s">
        <v>124</v>
      </c>
      <c r="C1644" s="4" t="s">
        <v>1746</v>
      </c>
      <c r="D1644" s="4" t="s">
        <v>103</v>
      </c>
      <c r="E1644" s="51" t="s">
        <v>129</v>
      </c>
      <c r="F1644" s="3">
        <v>0</v>
      </c>
      <c r="G1644" s="3">
        <v>44</v>
      </c>
      <c r="H1644" s="3">
        <v>154</v>
      </c>
      <c r="I1644" s="51" t="s">
        <v>130</v>
      </c>
      <c r="J1644" s="3">
        <v>1</v>
      </c>
      <c r="K1644" s="4" t="s">
        <v>106</v>
      </c>
      <c r="L1644" s="56" t="str">
        <f>VLOOKUP(C1644,'[15]Trips&amp;Operators'!$C$1:$E$9999,3,0)</f>
        <v>BARTLETT</v>
      </c>
      <c r="M1644" s="20" t="s">
        <v>112</v>
      </c>
      <c r="N1644" s="19" t="s">
        <v>1766</v>
      </c>
      <c r="O1644" s="19" t="str">
        <f t="shared" si="50"/>
        <v>31</v>
      </c>
      <c r="P1644" s="64">
        <f t="shared" si="51"/>
        <v>42582</v>
      </c>
      <c r="Q1644" s="59"/>
      <c r="R1644" s="60"/>
      <c r="S1644" s="61"/>
      <c r="T1644" s="62"/>
      <c r="U1644" s="54"/>
      <c r="V1644" s="50"/>
      <c r="W1644" s="50"/>
    </row>
    <row r="1645" spans="1:23" x14ac:dyDescent="0.25">
      <c r="A1645" s="26">
        <v>42582.743171296293</v>
      </c>
      <c r="B1645" s="51" t="s">
        <v>136</v>
      </c>
      <c r="C1645" s="4" t="s">
        <v>1747</v>
      </c>
      <c r="D1645" s="4" t="s">
        <v>103</v>
      </c>
      <c r="E1645" s="51" t="s">
        <v>129</v>
      </c>
      <c r="F1645" s="3">
        <v>0</v>
      </c>
      <c r="G1645" s="3">
        <v>84</v>
      </c>
      <c r="H1645" s="3">
        <v>325</v>
      </c>
      <c r="I1645" s="51" t="s">
        <v>130</v>
      </c>
      <c r="J1645" s="3">
        <v>1</v>
      </c>
      <c r="K1645" s="4" t="s">
        <v>106</v>
      </c>
      <c r="L1645" s="56" t="str">
        <f>VLOOKUP(C1645,'[15]Trips&amp;Operators'!$C$1:$E$9999,3,0)</f>
        <v>STORY</v>
      </c>
      <c r="M1645" s="20" t="s">
        <v>112</v>
      </c>
      <c r="N1645" s="19" t="s">
        <v>1766</v>
      </c>
      <c r="O1645" s="19" t="str">
        <f t="shared" si="50"/>
        <v>31</v>
      </c>
      <c r="P1645" s="64">
        <f t="shared" si="51"/>
        <v>42582</v>
      </c>
      <c r="Q1645" s="59"/>
      <c r="R1645" s="60"/>
      <c r="S1645" s="61"/>
      <c r="T1645" s="62"/>
      <c r="U1645" s="54"/>
      <c r="V1645" s="50"/>
      <c r="W1645" s="50"/>
    </row>
    <row r="1646" spans="1:23" x14ac:dyDescent="0.25">
      <c r="A1646" s="26">
        <v>42582.815821759257</v>
      </c>
      <c r="B1646" s="51" t="s">
        <v>136</v>
      </c>
      <c r="C1646" s="4" t="s">
        <v>1748</v>
      </c>
      <c r="D1646" s="4" t="s">
        <v>103</v>
      </c>
      <c r="E1646" s="51" t="s">
        <v>129</v>
      </c>
      <c r="F1646" s="3">
        <v>0</v>
      </c>
      <c r="G1646" s="3">
        <v>65</v>
      </c>
      <c r="H1646" s="3">
        <v>254</v>
      </c>
      <c r="I1646" s="51" t="s">
        <v>130</v>
      </c>
      <c r="J1646" s="3">
        <v>1</v>
      </c>
      <c r="K1646" s="4" t="s">
        <v>106</v>
      </c>
      <c r="L1646" s="56" t="str">
        <f>VLOOKUP(C1646,'[15]Trips&amp;Operators'!$C$1:$E$9999,3,0)</f>
        <v>STORY</v>
      </c>
      <c r="M1646" s="20" t="s">
        <v>112</v>
      </c>
      <c r="N1646" s="19" t="s">
        <v>1766</v>
      </c>
      <c r="O1646" s="19" t="str">
        <f t="shared" si="50"/>
        <v>31</v>
      </c>
      <c r="P1646" s="64">
        <f t="shared" si="51"/>
        <v>42582</v>
      </c>
      <c r="Q1646" s="59"/>
      <c r="R1646" s="60"/>
      <c r="S1646" s="61"/>
      <c r="T1646" s="62"/>
      <c r="U1646" s="54"/>
      <c r="V1646" s="50"/>
      <c r="W1646" s="50"/>
    </row>
    <row r="1647" spans="1:23" x14ac:dyDescent="0.25">
      <c r="A1647" s="26">
        <v>42582.289467592593</v>
      </c>
      <c r="B1647" s="4" t="s">
        <v>139</v>
      </c>
      <c r="C1647" s="4" t="s">
        <v>1760</v>
      </c>
      <c r="D1647" s="4" t="s">
        <v>103</v>
      </c>
      <c r="E1647" s="4" t="s">
        <v>129</v>
      </c>
      <c r="F1647" s="3">
        <v>0</v>
      </c>
      <c r="G1647" s="3">
        <v>36</v>
      </c>
      <c r="H1647" s="3">
        <v>663</v>
      </c>
      <c r="I1647" s="4" t="s">
        <v>130</v>
      </c>
      <c r="J1647" s="3">
        <v>575</v>
      </c>
      <c r="K1647" s="4" t="s">
        <v>106</v>
      </c>
      <c r="L1647" s="56" t="str">
        <f>VLOOKUP(C1647,'[15]Trips&amp;Operators'!$C$1:$E$9999,3,0)</f>
        <v>STARKS</v>
      </c>
      <c r="M1647" s="20" t="s">
        <v>112</v>
      </c>
      <c r="N1647" s="19" t="s">
        <v>1766</v>
      </c>
      <c r="O1647" s="19" t="str">
        <f t="shared" si="50"/>
        <v>31</v>
      </c>
      <c r="P1647" s="64">
        <f t="shared" si="51"/>
        <v>42582</v>
      </c>
      <c r="Q1647" s="59"/>
      <c r="R1647" s="60"/>
      <c r="S1647" s="61"/>
      <c r="T1647" s="62"/>
      <c r="U1647" s="54"/>
      <c r="V1647" s="50"/>
      <c r="W1647" s="50"/>
    </row>
    <row r="1648" spans="1:23" x14ac:dyDescent="0.25">
      <c r="A1648" s="26">
        <v>42582.331064814818</v>
      </c>
      <c r="B1648" s="51" t="s">
        <v>139</v>
      </c>
      <c r="C1648" s="4" t="s">
        <v>1761</v>
      </c>
      <c r="D1648" s="4" t="s">
        <v>103</v>
      </c>
      <c r="E1648" s="51" t="s">
        <v>129</v>
      </c>
      <c r="F1648" s="3">
        <v>0</v>
      </c>
      <c r="G1648" s="3">
        <v>43</v>
      </c>
      <c r="H1648" s="3">
        <v>722</v>
      </c>
      <c r="I1648" s="51" t="s">
        <v>130</v>
      </c>
      <c r="J1648" s="3">
        <v>575</v>
      </c>
      <c r="K1648" s="4" t="s">
        <v>106</v>
      </c>
      <c r="L1648" s="56" t="str">
        <f>VLOOKUP(C1648,'[15]Trips&amp;Operators'!$C$1:$E$9999,3,0)</f>
        <v>STARKS</v>
      </c>
      <c r="M1648" s="20" t="s">
        <v>112</v>
      </c>
      <c r="N1648" s="19" t="s">
        <v>1766</v>
      </c>
      <c r="O1648" s="19" t="str">
        <f t="shared" si="50"/>
        <v>31</v>
      </c>
      <c r="P1648" s="64">
        <f t="shared" si="51"/>
        <v>42582</v>
      </c>
      <c r="Q1648" s="59"/>
      <c r="R1648" s="60"/>
      <c r="S1648" s="61"/>
      <c r="T1648" s="62"/>
      <c r="U1648" s="54"/>
      <c r="V1648" s="50"/>
      <c r="W1648" s="50"/>
    </row>
    <row r="1649" spans="1:23" x14ac:dyDescent="0.25">
      <c r="A1649" s="26">
        <v>42582.457384259258</v>
      </c>
      <c r="B1649" s="4" t="s">
        <v>139</v>
      </c>
      <c r="C1649" s="4" t="s">
        <v>1762</v>
      </c>
      <c r="D1649" s="4" t="s">
        <v>103</v>
      </c>
      <c r="E1649" s="4" t="s">
        <v>129</v>
      </c>
      <c r="F1649" s="3">
        <v>0</v>
      </c>
      <c r="G1649" s="3">
        <v>19</v>
      </c>
      <c r="H1649" s="3">
        <v>628</v>
      </c>
      <c r="I1649" s="4" t="s">
        <v>130</v>
      </c>
      <c r="J1649" s="3">
        <v>575</v>
      </c>
      <c r="K1649" s="4" t="s">
        <v>106</v>
      </c>
      <c r="L1649" s="56" t="str">
        <f>VLOOKUP(C1649,'[15]Trips&amp;Operators'!$C$1:$E$9999,3,0)</f>
        <v>STARKS</v>
      </c>
      <c r="M1649" s="20" t="s">
        <v>112</v>
      </c>
      <c r="N1649" s="19" t="s">
        <v>1766</v>
      </c>
      <c r="O1649" s="19" t="str">
        <f t="shared" si="50"/>
        <v>31</v>
      </c>
      <c r="P1649" s="64">
        <f t="shared" si="51"/>
        <v>42582</v>
      </c>
      <c r="Q1649" s="59"/>
      <c r="R1649" s="60"/>
      <c r="S1649" s="61"/>
      <c r="T1649" s="62"/>
      <c r="U1649" s="54"/>
      <c r="V1649" s="50"/>
      <c r="W1649" s="50"/>
    </row>
    <row r="1650" spans="1:23" x14ac:dyDescent="0.25">
      <c r="A1650" s="26">
        <v>42582.49728009259</v>
      </c>
      <c r="B1650" s="51" t="s">
        <v>139</v>
      </c>
      <c r="C1650" s="4" t="s">
        <v>1763</v>
      </c>
      <c r="D1650" s="4" t="s">
        <v>103</v>
      </c>
      <c r="E1650" s="51" t="s">
        <v>129</v>
      </c>
      <c r="F1650" s="3">
        <v>0</v>
      </c>
      <c r="G1650" s="3">
        <v>54</v>
      </c>
      <c r="H1650" s="3">
        <v>778</v>
      </c>
      <c r="I1650" s="51" t="s">
        <v>130</v>
      </c>
      <c r="J1650" s="3">
        <v>575</v>
      </c>
      <c r="K1650" s="4" t="s">
        <v>106</v>
      </c>
      <c r="L1650" s="56" t="str">
        <f>VLOOKUP(C1650,'[15]Trips&amp;Operators'!$C$1:$E$9999,3,0)</f>
        <v>STARKS</v>
      </c>
      <c r="M1650" s="20" t="s">
        <v>112</v>
      </c>
      <c r="N1650" s="19" t="s">
        <v>1766</v>
      </c>
      <c r="O1650" s="19" t="str">
        <f t="shared" si="50"/>
        <v>31</v>
      </c>
      <c r="P1650" s="64">
        <f t="shared" si="51"/>
        <v>42582</v>
      </c>
      <c r="Q1650" s="59"/>
      <c r="R1650" s="60"/>
      <c r="S1650" s="61"/>
      <c r="T1650" s="62"/>
      <c r="U1650" s="54"/>
      <c r="V1650" s="50"/>
      <c r="W1650" s="50"/>
    </row>
    <row r="1651" spans="1:23" x14ac:dyDescent="0.25">
      <c r="A1651" s="26">
        <v>42582.539571759262</v>
      </c>
      <c r="B1651" s="4" t="s">
        <v>139</v>
      </c>
      <c r="C1651" s="4" t="s">
        <v>1756</v>
      </c>
      <c r="D1651" s="4" t="s">
        <v>103</v>
      </c>
      <c r="E1651" s="4" t="s">
        <v>129</v>
      </c>
      <c r="F1651" s="3">
        <v>0</v>
      </c>
      <c r="G1651" s="3">
        <v>32</v>
      </c>
      <c r="H1651" s="3">
        <v>682</v>
      </c>
      <c r="I1651" s="4" t="s">
        <v>130</v>
      </c>
      <c r="J1651" s="3">
        <v>575</v>
      </c>
      <c r="K1651" s="4" t="s">
        <v>106</v>
      </c>
      <c r="L1651" s="56" t="str">
        <f>VLOOKUP(C1651,'[15]Trips&amp;Operators'!$C$1:$E$9999,3,0)</f>
        <v>STARKS</v>
      </c>
      <c r="M1651" s="20" t="s">
        <v>112</v>
      </c>
      <c r="N1651" s="19" t="s">
        <v>1766</v>
      </c>
      <c r="O1651" s="19" t="str">
        <f t="shared" si="50"/>
        <v>31</v>
      </c>
      <c r="P1651" s="64">
        <f t="shared" si="51"/>
        <v>42582</v>
      </c>
      <c r="Q1651" s="59"/>
      <c r="R1651" s="60"/>
      <c r="S1651" s="61"/>
      <c r="T1651" s="62"/>
      <c r="U1651" s="54"/>
      <c r="V1651" s="50"/>
      <c r="W1651" s="50"/>
    </row>
    <row r="1652" spans="1:23" x14ac:dyDescent="0.25">
      <c r="A1652" s="26">
        <v>42582.243460648147</v>
      </c>
      <c r="B1652" s="51" t="s">
        <v>132</v>
      </c>
      <c r="C1652" s="4" t="s">
        <v>1749</v>
      </c>
      <c r="D1652" s="4" t="s">
        <v>103</v>
      </c>
      <c r="E1652" s="51" t="s">
        <v>129</v>
      </c>
      <c r="F1652" s="3">
        <v>0</v>
      </c>
      <c r="G1652" s="3">
        <v>38</v>
      </c>
      <c r="H1652" s="3">
        <v>956</v>
      </c>
      <c r="I1652" s="51" t="s">
        <v>130</v>
      </c>
      <c r="J1652" s="3">
        <v>839</v>
      </c>
      <c r="K1652" s="4" t="s">
        <v>106</v>
      </c>
      <c r="L1652" s="56" t="str">
        <f>VLOOKUP(C1652,'[15]Trips&amp;Operators'!$C$1:$E$9999,3,0)</f>
        <v>REBOLETTI</v>
      </c>
      <c r="M1652" s="20" t="s">
        <v>112</v>
      </c>
      <c r="N1652" s="19" t="s">
        <v>1766</v>
      </c>
      <c r="O1652" s="19" t="str">
        <f t="shared" si="50"/>
        <v>31</v>
      </c>
      <c r="P1652" s="64">
        <f t="shared" si="51"/>
        <v>42582</v>
      </c>
      <c r="Q1652" s="59"/>
      <c r="R1652" s="60"/>
      <c r="S1652" s="61"/>
      <c r="T1652" s="62"/>
      <c r="U1652" s="54"/>
      <c r="V1652" s="50"/>
      <c r="W1652" s="50"/>
    </row>
    <row r="1653" spans="1:23" x14ac:dyDescent="0.25">
      <c r="A1653" s="26">
        <v>42582.441944444443</v>
      </c>
      <c r="B1653" s="51" t="s">
        <v>137</v>
      </c>
      <c r="C1653" s="4" t="s">
        <v>1764</v>
      </c>
      <c r="D1653" s="4" t="s">
        <v>103</v>
      </c>
      <c r="E1653" s="51" t="s">
        <v>129</v>
      </c>
      <c r="F1653" s="3">
        <v>0</v>
      </c>
      <c r="G1653" s="3">
        <v>52</v>
      </c>
      <c r="H1653" s="3">
        <v>58894</v>
      </c>
      <c r="I1653" s="51" t="s">
        <v>130</v>
      </c>
      <c r="J1653" s="3">
        <v>59048</v>
      </c>
      <c r="K1653" s="4" t="s">
        <v>111</v>
      </c>
      <c r="L1653" s="56" t="str">
        <f>VLOOKUP(C1653,'[15]Trips&amp;Operators'!$C$1:$E$9999,3,0)</f>
        <v>STARKS</v>
      </c>
      <c r="M1653" s="20" t="s">
        <v>112</v>
      </c>
      <c r="N1653" s="19" t="s">
        <v>1766</v>
      </c>
      <c r="O1653" s="19" t="str">
        <f t="shared" si="50"/>
        <v>31</v>
      </c>
      <c r="P1653" s="64">
        <f t="shared" si="51"/>
        <v>42582</v>
      </c>
      <c r="Q1653" s="59"/>
      <c r="R1653" s="60"/>
      <c r="S1653" s="61"/>
      <c r="T1653" s="62"/>
      <c r="U1653" s="54"/>
      <c r="V1653" s="50"/>
      <c r="W1653" s="50"/>
    </row>
    <row r="1654" spans="1:23" x14ac:dyDescent="0.25">
      <c r="A1654" s="26">
        <v>42582.609189814815</v>
      </c>
      <c r="B1654" s="51" t="s">
        <v>137</v>
      </c>
      <c r="C1654" s="4" t="s">
        <v>1765</v>
      </c>
      <c r="D1654" s="4" t="s">
        <v>103</v>
      </c>
      <c r="E1654" s="51" t="s">
        <v>129</v>
      </c>
      <c r="F1654" s="3">
        <v>0</v>
      </c>
      <c r="G1654" s="3">
        <v>62</v>
      </c>
      <c r="H1654" s="3">
        <v>58848</v>
      </c>
      <c r="I1654" s="51" t="s">
        <v>130</v>
      </c>
      <c r="J1654" s="3">
        <v>59058</v>
      </c>
      <c r="K1654" s="4" t="s">
        <v>111</v>
      </c>
      <c r="L1654" s="56" t="str">
        <f>VLOOKUP(C1654,'[15]Trips&amp;Operators'!$C$1:$E$9999,3,0)</f>
        <v>DE LA ROSA</v>
      </c>
      <c r="M1654" s="20" t="s">
        <v>112</v>
      </c>
      <c r="N1654" s="19" t="s">
        <v>1766</v>
      </c>
      <c r="O1654" s="19" t="str">
        <f t="shared" si="50"/>
        <v>31</v>
      </c>
      <c r="P1654" s="64">
        <f t="shared" si="51"/>
        <v>42582</v>
      </c>
      <c r="Q1654" s="59"/>
      <c r="R1654" s="60"/>
      <c r="S1654" s="61"/>
      <c r="T1654" s="62"/>
      <c r="U1654" s="54"/>
      <c r="V1654" s="50"/>
      <c r="W1654" s="50"/>
    </row>
    <row r="1655" spans="1:23" x14ac:dyDescent="0.25">
      <c r="A1655" s="26">
        <v>42582.615497685183</v>
      </c>
      <c r="B1655" s="51" t="s">
        <v>142</v>
      </c>
      <c r="C1655" s="4" t="s">
        <v>1750</v>
      </c>
      <c r="D1655" s="4" t="s">
        <v>103</v>
      </c>
      <c r="E1655" s="51" t="s">
        <v>129</v>
      </c>
      <c r="F1655" s="3">
        <v>0</v>
      </c>
      <c r="G1655" s="3">
        <v>49</v>
      </c>
      <c r="H1655" s="3">
        <v>233230</v>
      </c>
      <c r="I1655" s="51" t="s">
        <v>130</v>
      </c>
      <c r="J1655" s="3">
        <v>233491</v>
      </c>
      <c r="K1655" s="4" t="s">
        <v>111</v>
      </c>
      <c r="L1655" s="56" t="str">
        <f>VLOOKUP(C1655,'[15]Trips&amp;Operators'!$C$1:$E$9999,3,0)</f>
        <v>YOUNG</v>
      </c>
      <c r="M1655" s="20" t="s">
        <v>112</v>
      </c>
      <c r="N1655" s="19" t="s">
        <v>1766</v>
      </c>
      <c r="O1655" s="19" t="str">
        <f t="shared" si="50"/>
        <v>31</v>
      </c>
      <c r="P1655" s="64">
        <f t="shared" si="51"/>
        <v>42582</v>
      </c>
      <c r="Q1655" s="59"/>
      <c r="R1655" s="60"/>
      <c r="S1655" s="61"/>
      <c r="T1655" s="62"/>
      <c r="U1655" s="54"/>
      <c r="V1655" s="50"/>
      <c r="W1655" s="50"/>
    </row>
  </sheetData>
  <autoFilter ref="A1:P1">
    <sortState ref="A2:P1655">
      <sortCondition ref="A1"/>
    </sortState>
  </autoFilter>
  <sortState ref="A2:P1655">
    <sortCondition ref="P2:P1655"/>
    <sortCondition ref="E2:E1655"/>
    <sortCondition ref="J2:J1655"/>
    <sortCondition ref="F2:F1655"/>
  </sortState>
  <conditionalFormatting sqref="M1:Q1 M1410:M1441">
    <cfRule type="cellIs" dxfId="68" priority="138" operator="equal">
      <formula>"Y"</formula>
    </cfRule>
  </conditionalFormatting>
  <conditionalFormatting sqref="R2 A1410:N1441 O2:O1655">
    <cfRule type="expression" dxfId="67" priority="209">
      <formula>$M2="Y"</formula>
    </cfRule>
  </conditionalFormatting>
  <conditionalFormatting sqref="N436:N474">
    <cfRule type="expression" dxfId="66" priority="121">
      <formula>$M436="Y"</formula>
    </cfRule>
  </conditionalFormatting>
  <conditionalFormatting sqref="N475:N538">
    <cfRule type="expression" dxfId="65" priority="119">
      <formula>$M475="Y"</formula>
    </cfRule>
  </conditionalFormatting>
  <conditionalFormatting sqref="N887:N909">
    <cfRule type="expression" dxfId="64" priority="105">
      <formula>$M887="Y"</formula>
    </cfRule>
  </conditionalFormatting>
  <conditionalFormatting sqref="M2:M84">
    <cfRule type="cellIs" dxfId="63" priority="66" operator="equal">
      <formula>"Y"</formula>
    </cfRule>
  </conditionalFormatting>
  <conditionalFormatting sqref="M48:N65 A48:K65 L48:L84 A2:N47">
    <cfRule type="expression" dxfId="62" priority="65">
      <formula>$M2="Y"</formula>
    </cfRule>
  </conditionalFormatting>
  <conditionalFormatting sqref="M47">
    <cfRule type="cellIs" dxfId="61" priority="64" operator="equal">
      <formula>"Y"</formula>
    </cfRule>
  </conditionalFormatting>
  <conditionalFormatting sqref="M85:M149">
    <cfRule type="cellIs" dxfId="60" priority="63" operator="equal">
      <formula>"Y"</formula>
    </cfRule>
  </conditionalFormatting>
  <conditionalFormatting sqref="M131:N148 A131:K148 L131:L149 A85:N130">
    <cfRule type="expression" dxfId="59" priority="62">
      <formula>$M85="Y"</formula>
    </cfRule>
  </conditionalFormatting>
  <conditionalFormatting sqref="M130">
    <cfRule type="cellIs" dxfId="58" priority="61" operator="equal">
      <formula>"Y"</formula>
    </cfRule>
  </conditionalFormatting>
  <conditionalFormatting sqref="M150:M228">
    <cfRule type="cellIs" dxfId="57" priority="60" operator="equal">
      <formula>"Y"</formula>
    </cfRule>
  </conditionalFormatting>
  <conditionalFormatting sqref="M196:N213 A196:K213 L196:L228 A150:N195">
    <cfRule type="expression" dxfId="56" priority="59">
      <formula>$M150="Y"</formula>
    </cfRule>
  </conditionalFormatting>
  <conditionalFormatting sqref="M195">
    <cfRule type="cellIs" dxfId="55" priority="58" operator="equal">
      <formula>"Y"</formula>
    </cfRule>
  </conditionalFormatting>
  <conditionalFormatting sqref="N160">
    <cfRule type="cellIs" dxfId="54" priority="57" operator="equal">
      <formula>"Y"</formula>
    </cfRule>
  </conditionalFormatting>
  <conditionalFormatting sqref="M229:M350">
    <cfRule type="cellIs" dxfId="53" priority="56" operator="equal">
      <formula>"Y"</formula>
    </cfRule>
  </conditionalFormatting>
  <conditionalFormatting sqref="A229:N229 A230:K297 L230:N350">
    <cfRule type="expression" dxfId="52" priority="55">
      <formula>$M229="Y"</formula>
    </cfRule>
  </conditionalFormatting>
  <conditionalFormatting sqref="M351:M435">
    <cfRule type="cellIs" dxfId="51" priority="54" operator="equal">
      <formula>"Y"</formula>
    </cfRule>
  </conditionalFormatting>
  <conditionalFormatting sqref="A352:K418 A351:N351 L352:N435">
    <cfRule type="expression" dxfId="50" priority="53">
      <formula>$M351="Y"</formula>
    </cfRule>
  </conditionalFormatting>
  <conditionalFormatting sqref="M436:M538">
    <cfRule type="cellIs" dxfId="49" priority="52" operator="equal">
      <formula>"Y"</formula>
    </cfRule>
  </conditionalFormatting>
  <conditionalFormatting sqref="A436:M538">
    <cfRule type="expression" dxfId="48" priority="51">
      <formula>$M436="Y"</formula>
    </cfRule>
  </conditionalFormatting>
  <conditionalFormatting sqref="M539:M634">
    <cfRule type="cellIs" dxfId="47" priority="50" operator="equal">
      <formula>"Y"</formula>
    </cfRule>
  </conditionalFormatting>
  <conditionalFormatting sqref="A539:N634">
    <cfRule type="expression" dxfId="46" priority="49">
      <formula>$M539="Y"</formula>
    </cfRule>
  </conditionalFormatting>
  <conditionalFormatting sqref="M635:M675">
    <cfRule type="cellIs" dxfId="45" priority="48" operator="equal">
      <formula>"Y"</formula>
    </cfRule>
  </conditionalFormatting>
  <conditionalFormatting sqref="L662:N675 A635:N661">
    <cfRule type="expression" dxfId="44" priority="47">
      <formula>$M635="Y"</formula>
    </cfRule>
  </conditionalFormatting>
  <conditionalFormatting sqref="M676:M699">
    <cfRule type="cellIs" dxfId="43" priority="46" operator="equal">
      <formula>"Y"</formula>
    </cfRule>
  </conditionalFormatting>
  <conditionalFormatting sqref="A676:N699">
    <cfRule type="expression" dxfId="42" priority="45">
      <formula>$M676="Y"</formula>
    </cfRule>
  </conditionalFormatting>
  <conditionalFormatting sqref="M700:M729">
    <cfRule type="cellIs" dxfId="41" priority="44" operator="equal">
      <formula>"Y"</formula>
    </cfRule>
  </conditionalFormatting>
  <conditionalFormatting sqref="A700:N729">
    <cfRule type="expression" dxfId="40" priority="43">
      <formula>$M700="Y"</formula>
    </cfRule>
  </conditionalFormatting>
  <conditionalFormatting sqref="M730:M771">
    <cfRule type="cellIs" dxfId="39" priority="42" operator="equal">
      <formula>"Y"</formula>
    </cfRule>
  </conditionalFormatting>
  <conditionalFormatting sqref="L770:N771 A730:N769">
    <cfRule type="expression" dxfId="38" priority="41">
      <formula>$M730="Y"</formula>
    </cfRule>
  </conditionalFormatting>
  <conditionalFormatting sqref="M772:M801">
    <cfRule type="cellIs" dxfId="37" priority="40" operator="equal">
      <formula>"Y"</formula>
    </cfRule>
  </conditionalFormatting>
  <conditionalFormatting sqref="A772:N801">
    <cfRule type="expression" dxfId="36" priority="39">
      <formula>$M772="Y"</formula>
    </cfRule>
  </conditionalFormatting>
  <conditionalFormatting sqref="M802:M855">
    <cfRule type="cellIs" dxfId="35" priority="38" operator="equal">
      <formula>"Y"</formula>
    </cfRule>
  </conditionalFormatting>
  <conditionalFormatting sqref="A802:N855">
    <cfRule type="expression" dxfId="34" priority="37">
      <formula>$M802="Y"</formula>
    </cfRule>
  </conditionalFormatting>
  <conditionalFormatting sqref="M856:M886">
    <cfRule type="cellIs" dxfId="33" priority="36" operator="equal">
      <formula>"Y"</formula>
    </cfRule>
  </conditionalFormatting>
  <conditionalFormatting sqref="A856:N886">
    <cfRule type="expression" dxfId="32" priority="35">
      <formula>$M856="Y"</formula>
    </cfRule>
  </conditionalFormatting>
  <conditionalFormatting sqref="M887:M909">
    <cfRule type="cellIs" dxfId="31" priority="34" operator="equal">
      <formula>"Y"</formula>
    </cfRule>
  </conditionalFormatting>
  <conditionalFormatting sqref="A887:M909">
    <cfRule type="expression" dxfId="30" priority="33">
      <formula>$M887="Y"</formula>
    </cfRule>
  </conditionalFormatting>
  <conditionalFormatting sqref="M910:M953">
    <cfRule type="cellIs" dxfId="29" priority="32" operator="equal">
      <formula>"Y"</formula>
    </cfRule>
  </conditionalFormatting>
  <conditionalFormatting sqref="A952:L953 A950:L950 L951 M950:N953 L949:N949 A910:N948">
    <cfRule type="expression" dxfId="28" priority="31">
      <formula>$M910="Y"</formula>
    </cfRule>
  </conditionalFormatting>
  <conditionalFormatting sqref="M954:M997">
    <cfRule type="cellIs" dxfId="27" priority="30" operator="equal">
      <formula>"Y"</formula>
    </cfRule>
  </conditionalFormatting>
  <conditionalFormatting sqref="A987:N997 L986:N986 A954:N985">
    <cfRule type="expression" dxfId="26" priority="29">
      <formula>$M954="Y"</formula>
    </cfRule>
  </conditionalFormatting>
  <conditionalFormatting sqref="M998:M1038">
    <cfRule type="cellIs" dxfId="25" priority="28" operator="equal">
      <formula>"Y"</formula>
    </cfRule>
  </conditionalFormatting>
  <conditionalFormatting sqref="A998:N1038">
    <cfRule type="expression" dxfId="24" priority="27">
      <formula>$M998="Y"</formula>
    </cfRule>
  </conditionalFormatting>
  <conditionalFormatting sqref="M1039:M1065">
    <cfRule type="cellIs" dxfId="23" priority="26" operator="equal">
      <formula>"Y"</formula>
    </cfRule>
  </conditionalFormatting>
  <conditionalFormatting sqref="A1039:N1065">
    <cfRule type="expression" dxfId="22" priority="25">
      <formula>$M1039="Y"</formula>
    </cfRule>
  </conditionalFormatting>
  <conditionalFormatting sqref="M1066:M1089">
    <cfRule type="cellIs" dxfId="21" priority="24" operator="equal">
      <formula>"Y"</formula>
    </cfRule>
  </conditionalFormatting>
  <conditionalFormatting sqref="A1066:N1089">
    <cfRule type="expression" dxfId="20" priority="23">
      <formula>$M1066="Y"</formula>
    </cfRule>
  </conditionalFormatting>
  <conditionalFormatting sqref="M1090:M1141">
    <cfRule type="cellIs" dxfId="19" priority="22" operator="equal">
      <formula>"Y"</formula>
    </cfRule>
  </conditionalFormatting>
  <conditionalFormatting sqref="A1090:N1141">
    <cfRule type="expression" dxfId="18" priority="21">
      <formula>$M1090="Y"</formula>
    </cfRule>
  </conditionalFormatting>
  <conditionalFormatting sqref="M1142:M1169">
    <cfRule type="cellIs" dxfId="17" priority="20" operator="equal">
      <formula>"Y"</formula>
    </cfRule>
  </conditionalFormatting>
  <conditionalFormatting sqref="A1142:N1169">
    <cfRule type="expression" dxfId="16" priority="19">
      <formula>$M1142="Y"</formula>
    </cfRule>
  </conditionalFormatting>
  <conditionalFormatting sqref="M1170:M1220">
    <cfRule type="cellIs" dxfId="15" priority="18" operator="equal">
      <formula>"Y"</formula>
    </cfRule>
  </conditionalFormatting>
  <conditionalFormatting sqref="L1212:L1220 A1199:L1211 M1199:N1220 A1170:N1198">
    <cfRule type="expression" dxfId="14" priority="17">
      <formula>$M1170="Y"</formula>
    </cfRule>
  </conditionalFormatting>
  <conditionalFormatting sqref="M1221:M1280">
    <cfRule type="cellIs" dxfId="13" priority="16" operator="equal">
      <formula>"Y"</formula>
    </cfRule>
  </conditionalFormatting>
  <conditionalFormatting sqref="A1221:N1280">
    <cfRule type="expression" dxfId="12" priority="15">
      <formula>$M1221="Y"</formula>
    </cfRule>
  </conditionalFormatting>
  <conditionalFormatting sqref="M1281:M1349">
    <cfRule type="cellIs" dxfId="11" priority="14" operator="equal">
      <formula>"Y"</formula>
    </cfRule>
  </conditionalFormatting>
  <conditionalFormatting sqref="L1341:N1349 A1281:N1340">
    <cfRule type="expression" dxfId="10" priority="13">
      <formula>$M1281="Y"</formula>
    </cfRule>
  </conditionalFormatting>
  <conditionalFormatting sqref="M1350:M1409">
    <cfRule type="cellIs" dxfId="9" priority="12" operator="equal">
      <formula>"Y"</formula>
    </cfRule>
  </conditionalFormatting>
  <conditionalFormatting sqref="A1350:N1409">
    <cfRule type="expression" dxfId="8" priority="11">
      <formula>$M1350="Y"</formula>
    </cfRule>
  </conditionalFormatting>
  <conditionalFormatting sqref="M1442:M1481">
    <cfRule type="cellIs" dxfId="7" priority="8" operator="equal">
      <formula>"Y"</formula>
    </cfRule>
  </conditionalFormatting>
  <conditionalFormatting sqref="A1442:N1481">
    <cfRule type="expression" dxfId="6" priority="7">
      <formula>$M1442="Y"</formula>
    </cfRule>
  </conditionalFormatting>
  <conditionalFormatting sqref="M1482:M1537">
    <cfRule type="cellIs" dxfId="5" priority="6" operator="equal">
      <formula>"Y"</formula>
    </cfRule>
  </conditionalFormatting>
  <conditionalFormatting sqref="L1522:N1537 A1482:N1521">
    <cfRule type="expression" dxfId="4" priority="5">
      <formula>$M1482="Y"</formula>
    </cfRule>
  </conditionalFormatting>
  <conditionalFormatting sqref="M1538:M1598">
    <cfRule type="cellIs" dxfId="3" priority="4" operator="equal">
      <formula>"Y"</formula>
    </cfRule>
  </conditionalFormatting>
  <conditionalFormatting sqref="A1538:N1598">
    <cfRule type="expression" dxfId="2" priority="3">
      <formula>$M1538="Y"</formula>
    </cfRule>
  </conditionalFormatting>
  <conditionalFormatting sqref="M1599:M1655">
    <cfRule type="cellIs" dxfId="1" priority="2" operator="equal">
      <formula>"Y"</formula>
    </cfRule>
  </conditionalFormatting>
  <conditionalFormatting sqref="A1599:N1599 L1639:L1648 A1600:L1638 L1649:N1655 M1600:N1648">
    <cfRule type="expression" dxfId="0" priority="1">
      <formula>$M1599="Y"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1"/>
  <sheetViews>
    <sheetView workbookViewId="0"/>
    <sheetView workbookViewId="1"/>
  </sheetViews>
  <sheetFormatPr defaultRowHeight="15" x14ac:dyDescent="0.25"/>
  <sheetData>
    <row r="1" spans="1:1" x14ac:dyDescent="0.25">
      <c r="A1" t="s">
        <v>688</v>
      </c>
    </row>
    <row r="2" spans="1:1" x14ac:dyDescent="0.25">
      <c r="A2" t="s">
        <v>689</v>
      </c>
    </row>
    <row r="3" spans="1:1" x14ac:dyDescent="0.25">
      <c r="A3" t="s">
        <v>690</v>
      </c>
    </row>
    <row r="4" spans="1:1" x14ac:dyDescent="0.25">
      <c r="A4" t="s">
        <v>691</v>
      </c>
    </row>
    <row r="5" spans="1:1" x14ac:dyDescent="0.25">
      <c r="A5" t="s">
        <v>692</v>
      </c>
    </row>
    <row r="6" spans="1:1" x14ac:dyDescent="0.25">
      <c r="A6" t="s">
        <v>693</v>
      </c>
    </row>
    <row r="7" spans="1:1" x14ac:dyDescent="0.25">
      <c r="A7" t="s">
        <v>694</v>
      </c>
    </row>
    <row r="8" spans="1:1" x14ac:dyDescent="0.25">
      <c r="A8" t="s">
        <v>695</v>
      </c>
    </row>
    <row r="9" spans="1:1" x14ac:dyDescent="0.25">
      <c r="A9" t="s">
        <v>696</v>
      </c>
    </row>
    <row r="10" spans="1:1" x14ac:dyDescent="0.25">
      <c r="A10" t="s">
        <v>697</v>
      </c>
    </row>
    <row r="11" spans="1:1" x14ac:dyDescent="0.25">
      <c r="A11" t="s">
        <v>698</v>
      </c>
    </row>
    <row r="12" spans="1:1" x14ac:dyDescent="0.25">
      <c r="A12" t="s">
        <v>699</v>
      </c>
    </row>
    <row r="13" spans="1:1" x14ac:dyDescent="0.25">
      <c r="A13" t="s">
        <v>700</v>
      </c>
    </row>
    <row r="14" spans="1:1" x14ac:dyDescent="0.25">
      <c r="A14" t="s">
        <v>701</v>
      </c>
    </row>
    <row r="15" spans="1:1" x14ac:dyDescent="0.25">
      <c r="A15" t="s">
        <v>702</v>
      </c>
    </row>
    <row r="16" spans="1:1" x14ac:dyDescent="0.25">
      <c r="A16" t="s">
        <v>703</v>
      </c>
    </row>
    <row r="17" spans="1:1" x14ac:dyDescent="0.25">
      <c r="A17" t="s">
        <v>704</v>
      </c>
    </row>
    <row r="18" spans="1:1" x14ac:dyDescent="0.25">
      <c r="A18" t="s">
        <v>705</v>
      </c>
    </row>
    <row r="19" spans="1:1" x14ac:dyDescent="0.25">
      <c r="A19" t="s">
        <v>706</v>
      </c>
    </row>
    <row r="20" spans="1:1" x14ac:dyDescent="0.25">
      <c r="A20" t="s">
        <v>707</v>
      </c>
    </row>
    <row r="21" spans="1:1" x14ac:dyDescent="0.25">
      <c r="A21" t="s">
        <v>708</v>
      </c>
    </row>
    <row r="22" spans="1:1" x14ac:dyDescent="0.25">
      <c r="A22" t="s">
        <v>709</v>
      </c>
    </row>
    <row r="23" spans="1:1" x14ac:dyDescent="0.25">
      <c r="A23" t="s">
        <v>710</v>
      </c>
    </row>
    <row r="24" spans="1:1" x14ac:dyDescent="0.25">
      <c r="A24" t="s">
        <v>711</v>
      </c>
    </row>
    <row r="25" spans="1:1" x14ac:dyDescent="0.25">
      <c r="A25" t="s">
        <v>712</v>
      </c>
    </row>
    <row r="26" spans="1:1" x14ac:dyDescent="0.25">
      <c r="A26" t="s">
        <v>713</v>
      </c>
    </row>
    <row r="27" spans="1:1" x14ac:dyDescent="0.25">
      <c r="A27" t="s">
        <v>714</v>
      </c>
    </row>
    <row r="28" spans="1:1" x14ac:dyDescent="0.25">
      <c r="A28" t="s">
        <v>715</v>
      </c>
    </row>
    <row r="29" spans="1:1" x14ac:dyDescent="0.25">
      <c r="A29" t="s">
        <v>716</v>
      </c>
    </row>
    <row r="30" spans="1:1" x14ac:dyDescent="0.25">
      <c r="A30" t="s">
        <v>717</v>
      </c>
    </row>
    <row r="31" spans="1:1" x14ac:dyDescent="0.25">
      <c r="A31" t="s">
        <v>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Issue Resolution</vt:lpstr>
      <vt:lpstr>Cutout Runs</vt:lpstr>
      <vt:lpstr>Runs without Initialization</vt:lpstr>
      <vt:lpstr>Enforcements</vt:lpstr>
      <vt:lpstr>MacroDriver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2016-08-08T20:21:15Z</dcterms:modified>
</cp:coreProperties>
</file>