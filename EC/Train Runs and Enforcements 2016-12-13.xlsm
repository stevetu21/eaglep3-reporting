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2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3" i="1" l="1"/>
  <c r="L203" i="1"/>
  <c r="M203" i="1"/>
  <c r="N203" i="1" s="1"/>
  <c r="V203" i="1"/>
  <c r="Y203" i="1"/>
  <c r="Z203" i="1"/>
  <c r="AA203" i="1"/>
  <c r="AB203" i="1"/>
  <c r="AC203" i="1"/>
  <c r="AD203" i="1"/>
  <c r="T203" i="1" s="1"/>
  <c r="AE203" i="1"/>
  <c r="AF203" i="1"/>
  <c r="AH203" i="1"/>
  <c r="X71" i="1"/>
  <c r="B116" i="9"/>
  <c r="C116" i="9" s="1"/>
  <c r="B117" i="9"/>
  <c r="C117" i="9" s="1"/>
  <c r="B118" i="9"/>
  <c r="C118" i="9" s="1"/>
  <c r="B119" i="9"/>
  <c r="C119" i="9" s="1"/>
  <c r="B120" i="9"/>
  <c r="C120" i="9" s="1"/>
  <c r="B121" i="9"/>
  <c r="C121" i="9" s="1"/>
  <c r="B122" i="9"/>
  <c r="C122" i="9" s="1"/>
  <c r="X65" i="1"/>
  <c r="X69" i="1"/>
  <c r="K63" i="1"/>
  <c r="L63" i="1"/>
  <c r="M63" i="1"/>
  <c r="N63" i="1" s="1"/>
  <c r="V63" i="1"/>
  <c r="AA63" i="1"/>
  <c r="AB63" i="1"/>
  <c r="AC63" i="1"/>
  <c r="AD63" i="1"/>
  <c r="T63" i="1" s="1"/>
  <c r="AE63" i="1"/>
  <c r="AF63" i="1"/>
  <c r="AH63" i="1"/>
  <c r="X75" i="1"/>
  <c r="K74" i="1"/>
  <c r="L74" i="1"/>
  <c r="M74" i="1"/>
  <c r="P74" i="1" s="1"/>
  <c r="V74" i="1"/>
  <c r="AA74" i="1"/>
  <c r="AB74" i="1"/>
  <c r="AC74" i="1"/>
  <c r="AD74" i="1"/>
  <c r="AG74" i="1" s="1"/>
  <c r="AE74" i="1"/>
  <c r="AF74" i="1"/>
  <c r="AH74" i="1"/>
  <c r="K85" i="1"/>
  <c r="L85" i="1"/>
  <c r="M85" i="1"/>
  <c r="N85" i="1" s="1"/>
  <c r="V85" i="1"/>
  <c r="S8" i="3" s="1"/>
  <c r="AA85" i="1"/>
  <c r="AB85" i="1"/>
  <c r="AC85" i="1"/>
  <c r="AD85" i="1"/>
  <c r="AE85" i="1"/>
  <c r="R8" i="3" s="1"/>
  <c r="AF85" i="1"/>
  <c r="AH85" i="1"/>
  <c r="B8" i="6"/>
  <c r="F8" i="6" s="1"/>
  <c r="G8" i="6"/>
  <c r="K8" i="6"/>
  <c r="B9" i="6"/>
  <c r="F9" i="6" s="1"/>
  <c r="K9" i="6"/>
  <c r="B10" i="6"/>
  <c r="G10" i="6" s="1"/>
  <c r="K10" i="6"/>
  <c r="B11" i="6"/>
  <c r="F11" i="6" s="1"/>
  <c r="I11" i="6"/>
  <c r="K11" i="6"/>
  <c r="B12" i="6"/>
  <c r="F12" i="6" s="1"/>
  <c r="G12" i="6"/>
  <c r="K12" i="6"/>
  <c r="B13" i="6"/>
  <c r="F13" i="6" s="1"/>
  <c r="K13" i="6"/>
  <c r="B14" i="6"/>
  <c r="G14" i="6" s="1"/>
  <c r="F14" i="6"/>
  <c r="K14" i="6"/>
  <c r="B15" i="6"/>
  <c r="F15" i="6" s="1"/>
  <c r="I15" i="6"/>
  <c r="K15" i="6"/>
  <c r="B16" i="6"/>
  <c r="F16" i="6" s="1"/>
  <c r="K16" i="6"/>
  <c r="B17" i="6"/>
  <c r="F17" i="6" s="1"/>
  <c r="K17" i="6"/>
  <c r="B18" i="6"/>
  <c r="G18" i="6" s="1"/>
  <c r="K18" i="6"/>
  <c r="B19" i="6"/>
  <c r="F19" i="6" s="1"/>
  <c r="K19" i="6"/>
  <c r="B20" i="6"/>
  <c r="F20" i="6" s="1"/>
  <c r="K20" i="6"/>
  <c r="X20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S32" i="3" s="1"/>
  <c r="Y18" i="1"/>
  <c r="Z18" i="1"/>
  <c r="AB18" i="1"/>
  <c r="AC18" i="1"/>
  <c r="AD18" i="1"/>
  <c r="AE18" i="1"/>
  <c r="R32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R14" i="3" s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34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P23" i="1" s="1"/>
  <c r="V23" i="1"/>
  <c r="S12" i="3" s="1"/>
  <c r="Y23" i="1"/>
  <c r="Z23" i="1"/>
  <c r="AB23" i="1"/>
  <c r="AC23" i="1"/>
  <c r="AD23" i="1"/>
  <c r="T23" i="1" s="1"/>
  <c r="AE23" i="1"/>
  <c r="R12" i="3" s="1"/>
  <c r="AF23" i="1"/>
  <c r="AH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S22" i="3" s="1"/>
  <c r="Y37" i="1"/>
  <c r="Z37" i="1"/>
  <c r="AB37" i="1"/>
  <c r="AC37" i="1"/>
  <c r="AD37" i="1"/>
  <c r="AE37" i="1"/>
  <c r="R22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S27" i="3" s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S25" i="3" s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R16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S9" i="3" s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S28" i="3" s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I60" i="1" s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S20" i="3" s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4" i="1"/>
  <c r="L64" i="1"/>
  <c r="M64" i="1"/>
  <c r="V64" i="1"/>
  <c r="S15" i="3" s="1"/>
  <c r="Y64" i="1"/>
  <c r="Z64" i="1"/>
  <c r="AB64" i="1"/>
  <c r="AC64" i="1"/>
  <c r="AD64" i="1"/>
  <c r="AG64" i="1" s="1"/>
  <c r="AE64" i="1"/>
  <c r="R15" i="3" s="1"/>
  <c r="AF64" i="1"/>
  <c r="AH64" i="1"/>
  <c r="K65" i="1"/>
  <c r="L65" i="1"/>
  <c r="M65" i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V72" i="1"/>
  <c r="S13" i="3" s="1"/>
  <c r="Y72" i="1"/>
  <c r="Z72" i="1"/>
  <c r="AB72" i="1"/>
  <c r="AC72" i="1"/>
  <c r="AD72" i="1"/>
  <c r="X72" i="1" s="1"/>
  <c r="AE72" i="1"/>
  <c r="AF72" i="1"/>
  <c r="AH72" i="1"/>
  <c r="K73" i="1"/>
  <c r="L73" i="1"/>
  <c r="M73" i="1"/>
  <c r="V73" i="1"/>
  <c r="Y73" i="1"/>
  <c r="Z73" i="1"/>
  <c r="AB73" i="1"/>
  <c r="AC73" i="1"/>
  <c r="AD73" i="1"/>
  <c r="AE73" i="1"/>
  <c r="AF73" i="1"/>
  <c r="AH73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S36" i="3" s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S29" i="3" s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37" i="3" s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S30" i="3" s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K99" i="1"/>
  <c r="L99" i="1"/>
  <c r="M99" i="1"/>
  <c r="P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S18" i="3" s="1"/>
  <c r="Y101" i="1"/>
  <c r="Z101" i="1"/>
  <c r="AB101" i="1"/>
  <c r="AC101" i="1"/>
  <c r="AD101" i="1"/>
  <c r="X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K103" i="1"/>
  <c r="L103" i="1"/>
  <c r="M103" i="1"/>
  <c r="N103" i="1" s="1"/>
  <c r="V103" i="1"/>
  <c r="S31" i="3" s="1"/>
  <c r="Y103" i="1"/>
  <c r="Z103" i="1"/>
  <c r="AB103" i="1"/>
  <c r="AC103" i="1"/>
  <c r="AD103" i="1"/>
  <c r="T103" i="1" s="1"/>
  <c r="AE103" i="1"/>
  <c r="R31" i="3" s="1"/>
  <c r="AF103" i="1"/>
  <c r="AH103" i="1"/>
  <c r="K104" i="1"/>
  <c r="L104" i="1"/>
  <c r="M104" i="1"/>
  <c r="N104" i="1" s="1"/>
  <c r="V104" i="1"/>
  <c r="S21" i="3" s="1"/>
  <c r="Y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AA106" i="1" s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S39" i="3" s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T113" i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P116" i="1" s="1"/>
  <c r="V116" i="1"/>
  <c r="S7" i="3" s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G134" i="1"/>
  <c r="AH134" i="1"/>
  <c r="K135" i="1"/>
  <c r="L135" i="1"/>
  <c r="M135" i="1"/>
  <c r="N135" i="1" s="1"/>
  <c r="V135" i="1"/>
  <c r="S33" i="3" s="1"/>
  <c r="Y135" i="1"/>
  <c r="Z135" i="1"/>
  <c r="AB135" i="1"/>
  <c r="AC135" i="1"/>
  <c r="AD135" i="1"/>
  <c r="AE135" i="1"/>
  <c r="R33" i="3" s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P138" i="1" s="1"/>
  <c r="V138" i="1"/>
  <c r="S40" i="3" s="1"/>
  <c r="Y138" i="1"/>
  <c r="Z138" i="1"/>
  <c r="AB138" i="1"/>
  <c r="AC138" i="1"/>
  <c r="AD138" i="1"/>
  <c r="T138" i="1" s="1"/>
  <c r="AE138" i="1"/>
  <c r="R40" i="3" s="1"/>
  <c r="AF138" i="1"/>
  <c r="AH138" i="1"/>
  <c r="K139" i="1"/>
  <c r="L139" i="1"/>
  <c r="M139" i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S41" i="3" s="1"/>
  <c r="Y155" i="1"/>
  <c r="Z155" i="1"/>
  <c r="AB155" i="1"/>
  <c r="AC155" i="1"/>
  <c r="AD155" i="1"/>
  <c r="AE155" i="1"/>
  <c r="R41" i="3" s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S10" i="3" s="1"/>
  <c r="Y157" i="1"/>
  <c r="Z157" i="1"/>
  <c r="AB157" i="1"/>
  <c r="AC157" i="1"/>
  <c r="AD157" i="1"/>
  <c r="AG157" i="1" s="1"/>
  <c r="AE157" i="1"/>
  <c r="R10" i="3" s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9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60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61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2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4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5" i="1"/>
  <c r="K211" i="1"/>
  <c r="L211" i="1"/>
  <c r="M211" i="1"/>
  <c r="N211" i="1" s="1"/>
  <c r="V211" i="1"/>
  <c r="S55" i="3" s="1"/>
  <c r="Y211" i="1"/>
  <c r="Z211" i="1"/>
  <c r="AB211" i="1"/>
  <c r="AC211" i="1"/>
  <c r="AD211" i="1"/>
  <c r="AE211" i="1"/>
  <c r="R55" i="3" s="1"/>
  <c r="AF211" i="1"/>
  <c r="AH166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8" i="1"/>
  <c r="K214" i="1"/>
  <c r="L214" i="1"/>
  <c r="M214" i="1"/>
  <c r="N214" i="1" s="1"/>
  <c r="V214" i="1"/>
  <c r="Y214" i="1"/>
  <c r="Z214" i="1"/>
  <c r="AA214" i="1" s="1"/>
  <c r="W214" i="1" s="1"/>
  <c r="AB214" i="1"/>
  <c r="AC214" i="1"/>
  <c r="AD214" i="1"/>
  <c r="AG214" i="1" s="1"/>
  <c r="AE214" i="1"/>
  <c r="AF214" i="1"/>
  <c r="AH169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70" i="1"/>
  <c r="K219" i="1"/>
  <c r="L219" i="1"/>
  <c r="M219" i="1"/>
  <c r="N219" i="1" s="1"/>
  <c r="V219" i="1"/>
  <c r="S51" i="3" s="1"/>
  <c r="Y219" i="1"/>
  <c r="Z219" i="1"/>
  <c r="AB219" i="1"/>
  <c r="AC219" i="1"/>
  <c r="AD219" i="1"/>
  <c r="AG219" i="1" s="1"/>
  <c r="AE219" i="1"/>
  <c r="R47" i="3" s="1"/>
  <c r="AF219" i="1"/>
  <c r="AH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K221" i="1"/>
  <c r="L221" i="1"/>
  <c r="M221" i="1"/>
  <c r="N221" i="1" s="1"/>
  <c r="V221" i="1"/>
  <c r="Y221" i="1"/>
  <c r="Z221" i="1"/>
  <c r="AA221" i="1" s="1"/>
  <c r="W221" i="1" s="1"/>
  <c r="AB221" i="1"/>
  <c r="AC221" i="1"/>
  <c r="AD221" i="1"/>
  <c r="AG221" i="1" s="1"/>
  <c r="AE221" i="1"/>
  <c r="AF221" i="1"/>
  <c r="AH173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4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5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6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7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8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9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80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81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82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83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4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5" i="1"/>
  <c r="K234" i="1"/>
  <c r="L234" i="1"/>
  <c r="M234" i="1"/>
  <c r="N234" i="1" s="1"/>
  <c r="V234" i="1"/>
  <c r="S52" i="3" s="1"/>
  <c r="Y234" i="1"/>
  <c r="Z234" i="1"/>
  <c r="AB234" i="1"/>
  <c r="AC234" i="1"/>
  <c r="AD234" i="1"/>
  <c r="AE234" i="1"/>
  <c r="R52" i="3" s="1"/>
  <c r="AF234" i="1"/>
  <c r="AH186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7" i="1"/>
  <c r="K236" i="1"/>
  <c r="L236" i="1"/>
  <c r="M236" i="1"/>
  <c r="N236" i="1" s="1"/>
  <c r="V236" i="1"/>
  <c r="S54" i="3" s="1"/>
  <c r="Y236" i="1"/>
  <c r="Z236" i="1"/>
  <c r="AB236" i="1"/>
  <c r="AC236" i="1"/>
  <c r="AD236" i="1"/>
  <c r="T236" i="1" s="1"/>
  <c r="AE236" i="1"/>
  <c r="R54" i="3" s="1"/>
  <c r="AF236" i="1"/>
  <c r="AH188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9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9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2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3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6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7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2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1" i="1"/>
  <c r="K170" i="1"/>
  <c r="L170" i="1"/>
  <c r="M170" i="1"/>
  <c r="N170" i="1" s="1"/>
  <c r="V170" i="1"/>
  <c r="S43" i="3" s="1"/>
  <c r="Y170" i="1"/>
  <c r="Z170" i="1"/>
  <c r="AB170" i="1"/>
  <c r="AC170" i="1"/>
  <c r="AD170" i="1"/>
  <c r="AG170" i="1" s="1"/>
  <c r="AE170" i="1"/>
  <c r="R43" i="3" s="1"/>
  <c r="AF170" i="1"/>
  <c r="AH20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4" i="1"/>
  <c r="K173" i="1"/>
  <c r="L173" i="1"/>
  <c r="M173" i="1"/>
  <c r="N173" i="1" s="1"/>
  <c r="V173" i="1"/>
  <c r="S45" i="3" s="1"/>
  <c r="Y173" i="1"/>
  <c r="Z173" i="1"/>
  <c r="AB173" i="1"/>
  <c r="AC173" i="1"/>
  <c r="AD173" i="1"/>
  <c r="AE173" i="1"/>
  <c r="R45" i="3" s="1"/>
  <c r="AF173" i="1"/>
  <c r="AH205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8" i="1"/>
  <c r="K177" i="1"/>
  <c r="L177" i="1"/>
  <c r="M177" i="1"/>
  <c r="P177" i="1" s="1"/>
  <c r="V177" i="1"/>
  <c r="S44" i="3" s="1"/>
  <c r="Y177" i="1"/>
  <c r="Z177" i="1"/>
  <c r="AB177" i="1"/>
  <c r="AC177" i="1"/>
  <c r="AD177" i="1"/>
  <c r="AE177" i="1"/>
  <c r="R44" i="3" s="1"/>
  <c r="AF177" i="1"/>
  <c r="AH209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0" i="1"/>
  <c r="K179" i="1"/>
  <c r="L179" i="1"/>
  <c r="M179" i="1"/>
  <c r="N179" i="1" s="1"/>
  <c r="V179" i="1"/>
  <c r="S46" i="3" s="1"/>
  <c r="Y179" i="1"/>
  <c r="Z179" i="1"/>
  <c r="AB179" i="1"/>
  <c r="AC179" i="1"/>
  <c r="AD179" i="1"/>
  <c r="AE179" i="1"/>
  <c r="R46" i="3" s="1"/>
  <c r="AF179" i="1"/>
  <c r="AH211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12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3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5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1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8" i="1"/>
  <c r="K187" i="1"/>
  <c r="L187" i="1"/>
  <c r="M187" i="1"/>
  <c r="P187" i="1" s="1"/>
  <c r="V187" i="1"/>
  <c r="Y187" i="1"/>
  <c r="Z187" i="1"/>
  <c r="AB187" i="1"/>
  <c r="AC187" i="1"/>
  <c r="AD187" i="1"/>
  <c r="AE187" i="1"/>
  <c r="AF187" i="1"/>
  <c r="AH219" i="1"/>
  <c r="K188" i="1"/>
  <c r="L188" i="1"/>
  <c r="M188" i="1"/>
  <c r="P188" i="1" s="1"/>
  <c r="V188" i="1"/>
  <c r="Y188" i="1"/>
  <c r="Z188" i="1"/>
  <c r="AB188" i="1"/>
  <c r="AC188" i="1"/>
  <c r="AD188" i="1"/>
  <c r="AG188" i="1" s="1"/>
  <c r="AE188" i="1"/>
  <c r="AF188" i="1"/>
  <c r="AH22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2" i="1"/>
  <c r="K191" i="1"/>
  <c r="L191" i="1"/>
  <c r="M191" i="1"/>
  <c r="N191" i="1" s="1"/>
  <c r="V191" i="1"/>
  <c r="S42" i="3" s="1"/>
  <c r="Y191" i="1"/>
  <c r="Z191" i="1"/>
  <c r="AB191" i="1"/>
  <c r="AC191" i="1"/>
  <c r="AD191" i="1"/>
  <c r="AE191" i="1"/>
  <c r="R42" i="3" s="1"/>
  <c r="AF191" i="1"/>
  <c r="AH22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2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8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22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3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4" i="1"/>
  <c r="AH23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3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38" i="1"/>
  <c r="M55" i="3"/>
  <c r="U55" i="3"/>
  <c r="T55" i="3" s="1"/>
  <c r="V55" i="3"/>
  <c r="W55" i="3"/>
  <c r="X55" i="3"/>
  <c r="AC55" i="3"/>
  <c r="M11" i="3"/>
  <c r="R11" i="3"/>
  <c r="S11" i="3"/>
  <c r="U11" i="3"/>
  <c r="T11" i="3" s="1"/>
  <c r="V11" i="3"/>
  <c r="W11" i="3"/>
  <c r="X11" i="3"/>
  <c r="AC11" i="3"/>
  <c r="M14" i="3"/>
  <c r="S14" i="3"/>
  <c r="U14" i="3"/>
  <c r="V14" i="3"/>
  <c r="W14" i="3"/>
  <c r="X14" i="3"/>
  <c r="AC14" i="3"/>
  <c r="M12" i="3"/>
  <c r="U12" i="3"/>
  <c r="T12" i="3" s="1"/>
  <c r="V12" i="3"/>
  <c r="W12" i="3"/>
  <c r="X12" i="3"/>
  <c r="M26" i="3"/>
  <c r="R26" i="3"/>
  <c r="S26" i="3"/>
  <c r="U26" i="3"/>
  <c r="T26" i="3" s="1"/>
  <c r="V26" i="3"/>
  <c r="W26" i="3"/>
  <c r="X26" i="3"/>
  <c r="AC26" i="3"/>
  <c r="M24" i="3"/>
  <c r="R24" i="3"/>
  <c r="S24" i="3"/>
  <c r="U24" i="3"/>
  <c r="AC24" i="3" s="1"/>
  <c r="V24" i="3"/>
  <c r="W24" i="3"/>
  <c r="X24" i="3"/>
  <c r="M32" i="3"/>
  <c r="U32" i="3"/>
  <c r="V32" i="3"/>
  <c r="W32" i="3"/>
  <c r="X32" i="3"/>
  <c r="AC32" i="3"/>
  <c r="M34" i="3"/>
  <c r="S34" i="3"/>
  <c r="U34" i="3"/>
  <c r="T34" i="3" s="1"/>
  <c r="V34" i="3"/>
  <c r="W34" i="3"/>
  <c r="X34" i="3"/>
  <c r="AC34" i="3"/>
  <c r="M22" i="3"/>
  <c r="U22" i="3"/>
  <c r="T22" i="3" s="1"/>
  <c r="V22" i="3"/>
  <c r="W22" i="3"/>
  <c r="X22" i="3"/>
  <c r="AC22" i="3"/>
  <c r="M43" i="3"/>
  <c r="U43" i="3"/>
  <c r="T43" i="3" s="1"/>
  <c r="V43" i="3"/>
  <c r="W43" i="3"/>
  <c r="X43" i="3"/>
  <c r="AC43" i="3"/>
  <c r="M27" i="3"/>
  <c r="R27" i="3"/>
  <c r="U27" i="3"/>
  <c r="V27" i="3"/>
  <c r="W27" i="3"/>
  <c r="X27" i="3"/>
  <c r="AC27" i="3"/>
  <c r="M25" i="3"/>
  <c r="R25" i="3"/>
  <c r="U25" i="3"/>
  <c r="V25" i="3"/>
  <c r="W25" i="3"/>
  <c r="X25" i="3"/>
  <c r="M9" i="3"/>
  <c r="R9" i="3"/>
  <c r="U9" i="3"/>
  <c r="T9" i="3" s="1"/>
  <c r="V9" i="3"/>
  <c r="W9" i="3"/>
  <c r="X9" i="3"/>
  <c r="AC9" i="3"/>
  <c r="M16" i="3"/>
  <c r="S16" i="3"/>
  <c r="U16" i="3"/>
  <c r="V16" i="3"/>
  <c r="W16" i="3"/>
  <c r="X16" i="3"/>
  <c r="AC16" i="3"/>
  <c r="M45" i="3"/>
  <c r="U45" i="3"/>
  <c r="T45" i="3" s="1"/>
  <c r="V45" i="3"/>
  <c r="W45" i="3"/>
  <c r="X45" i="3"/>
  <c r="AC45" i="3"/>
  <c r="M28" i="3"/>
  <c r="R28" i="3"/>
  <c r="U28" i="3"/>
  <c r="T28" i="3" s="1"/>
  <c r="V28" i="3"/>
  <c r="W28" i="3"/>
  <c r="X28" i="3"/>
  <c r="AC28" i="3"/>
  <c r="M47" i="3"/>
  <c r="U47" i="3"/>
  <c r="V47" i="3"/>
  <c r="W47" i="3"/>
  <c r="X47" i="3"/>
  <c r="AC47" i="3"/>
  <c r="M23" i="3"/>
  <c r="R23" i="3"/>
  <c r="S23" i="3"/>
  <c r="U23" i="3"/>
  <c r="V23" i="3"/>
  <c r="W23" i="3"/>
  <c r="X23" i="3"/>
  <c r="AC23" i="3"/>
  <c r="M15" i="3"/>
  <c r="U15" i="3"/>
  <c r="AD34" i="3" s="1"/>
  <c r="V15" i="3"/>
  <c r="W15" i="3"/>
  <c r="X15" i="3"/>
  <c r="M52" i="3"/>
  <c r="U52" i="3"/>
  <c r="T52" i="3" s="1"/>
  <c r="V52" i="3"/>
  <c r="W52" i="3"/>
  <c r="X52" i="3"/>
  <c r="M53" i="3"/>
  <c r="U53" i="3"/>
  <c r="T53" i="3" s="1"/>
  <c r="V53" i="3"/>
  <c r="W53" i="3"/>
  <c r="X53" i="3"/>
  <c r="AC53" i="3"/>
  <c r="M20" i="3"/>
  <c r="R20" i="3"/>
  <c r="U20" i="3"/>
  <c r="V20" i="3"/>
  <c r="W20" i="3"/>
  <c r="X20" i="3"/>
  <c r="AC20" i="3"/>
  <c r="M44" i="3"/>
  <c r="U44" i="3"/>
  <c r="T44" i="3" s="1"/>
  <c r="V44" i="3"/>
  <c r="W44" i="3"/>
  <c r="X44" i="3"/>
  <c r="AC44" i="3"/>
  <c r="M54" i="3"/>
  <c r="U54" i="3"/>
  <c r="T54" i="3" s="1"/>
  <c r="V54" i="3"/>
  <c r="W54" i="3"/>
  <c r="X54" i="3"/>
  <c r="M13" i="3"/>
  <c r="R13" i="3"/>
  <c r="U13" i="3"/>
  <c r="AD24" i="3" s="1"/>
  <c r="V13" i="3"/>
  <c r="W13" i="3"/>
  <c r="X13" i="3"/>
  <c r="AC13" i="3"/>
  <c r="M51" i="3"/>
  <c r="U51" i="3"/>
  <c r="V51" i="3"/>
  <c r="W51" i="3"/>
  <c r="X51" i="3"/>
  <c r="M46" i="3"/>
  <c r="U46" i="3"/>
  <c r="T46" i="3" s="1"/>
  <c r="V46" i="3"/>
  <c r="W46" i="3"/>
  <c r="X46" i="3"/>
  <c r="AC46" i="3"/>
  <c r="M36" i="3"/>
  <c r="R36" i="3"/>
  <c r="U36" i="3"/>
  <c r="T36" i="3" s="1"/>
  <c r="V36" i="3"/>
  <c r="W36" i="3"/>
  <c r="X36" i="3"/>
  <c r="AC36" i="3"/>
  <c r="M48" i="3"/>
  <c r="U48" i="3"/>
  <c r="T48" i="3" s="1"/>
  <c r="V48" i="3"/>
  <c r="W48" i="3"/>
  <c r="X48" i="3"/>
  <c r="AC48" i="3"/>
  <c r="M56" i="3"/>
  <c r="U56" i="3"/>
  <c r="V56" i="3"/>
  <c r="W56" i="3"/>
  <c r="X56" i="3"/>
  <c r="AC56" i="3"/>
  <c r="M50" i="3"/>
  <c r="R50" i="3"/>
  <c r="U50" i="3"/>
  <c r="T50" i="3" s="1"/>
  <c r="V50" i="3"/>
  <c r="W50" i="3"/>
  <c r="X50" i="3"/>
  <c r="M8" i="3"/>
  <c r="U8" i="3"/>
  <c r="T8" i="3" s="1"/>
  <c r="V8" i="3"/>
  <c r="W8" i="3"/>
  <c r="X8" i="3"/>
  <c r="AC8" i="3"/>
  <c r="M49" i="3"/>
  <c r="U49" i="3"/>
  <c r="V49" i="3"/>
  <c r="W49" i="3"/>
  <c r="X49" i="3"/>
  <c r="AC49" i="3"/>
  <c r="M37" i="3"/>
  <c r="R37" i="3"/>
  <c r="U37" i="3"/>
  <c r="AC37" i="3" s="1"/>
  <c r="V37" i="3"/>
  <c r="W37" i="3"/>
  <c r="X37" i="3"/>
  <c r="M29" i="3"/>
  <c r="R29" i="3"/>
  <c r="U29" i="3"/>
  <c r="AD20" i="3" s="1"/>
  <c r="V29" i="3"/>
  <c r="W29" i="3"/>
  <c r="X29" i="3"/>
  <c r="M38" i="3"/>
  <c r="R38" i="3"/>
  <c r="U38" i="3"/>
  <c r="T38" i="3" s="1"/>
  <c r="V38" i="3"/>
  <c r="W38" i="3"/>
  <c r="X38" i="3"/>
  <c r="AC38" i="3"/>
  <c r="M30" i="3"/>
  <c r="R30" i="3"/>
  <c r="U30" i="3"/>
  <c r="T30" i="3" s="1"/>
  <c r="V30" i="3"/>
  <c r="W30" i="3"/>
  <c r="X30" i="3"/>
  <c r="M21" i="3"/>
  <c r="R21" i="3"/>
  <c r="U21" i="3"/>
  <c r="AC21" i="3" s="1"/>
  <c r="V21" i="3"/>
  <c r="W21" i="3"/>
  <c r="X21" i="3"/>
  <c r="M18" i="3"/>
  <c r="R18" i="3"/>
  <c r="U18" i="3"/>
  <c r="T18" i="3" s="1"/>
  <c r="V18" i="3"/>
  <c r="W18" i="3"/>
  <c r="X18" i="3"/>
  <c r="M31" i="3"/>
  <c r="U31" i="3"/>
  <c r="T31" i="3" s="1"/>
  <c r="V31" i="3"/>
  <c r="W31" i="3"/>
  <c r="X31" i="3"/>
  <c r="M39" i="3"/>
  <c r="R39" i="3"/>
  <c r="U39" i="3"/>
  <c r="AD8" i="3" s="1"/>
  <c r="V39" i="3"/>
  <c r="W39" i="3"/>
  <c r="X39" i="3"/>
  <c r="AC39" i="3"/>
  <c r="M7" i="3"/>
  <c r="R7" i="3"/>
  <c r="U7" i="3"/>
  <c r="V7" i="3"/>
  <c r="W7" i="3"/>
  <c r="X7" i="3"/>
  <c r="AC7" i="3"/>
  <c r="M19" i="3"/>
  <c r="R19" i="3"/>
  <c r="U19" i="3"/>
  <c r="AD25" i="3" s="1"/>
  <c r="V19" i="3"/>
  <c r="W19" i="3"/>
  <c r="X19" i="3"/>
  <c r="AC19" i="3"/>
  <c r="M42" i="3"/>
  <c r="U42" i="3"/>
  <c r="T42" i="3" s="1"/>
  <c r="V42" i="3"/>
  <c r="W42" i="3"/>
  <c r="X42" i="3"/>
  <c r="AC42" i="3"/>
  <c r="M17" i="3"/>
  <c r="R17" i="3"/>
  <c r="S17" i="3"/>
  <c r="U17" i="3"/>
  <c r="V17" i="3"/>
  <c r="W17" i="3"/>
  <c r="X17" i="3"/>
  <c r="AC17" i="3"/>
  <c r="M33" i="3"/>
  <c r="U33" i="3"/>
  <c r="AD51" i="3" s="1"/>
  <c r="V33" i="3"/>
  <c r="W33" i="3"/>
  <c r="X33" i="3"/>
  <c r="AC33" i="3"/>
  <c r="M40" i="3"/>
  <c r="U40" i="3"/>
  <c r="T40" i="3" s="1"/>
  <c r="V40" i="3"/>
  <c r="W40" i="3"/>
  <c r="X40" i="3"/>
  <c r="M41" i="3"/>
  <c r="U41" i="3"/>
  <c r="AD37" i="3" s="1"/>
  <c r="V41" i="3"/>
  <c r="W41" i="3"/>
  <c r="X41" i="3"/>
  <c r="AC41" i="3"/>
  <c r="M10" i="3"/>
  <c r="U10" i="3"/>
  <c r="AC10" i="3" s="1"/>
  <c r="V10" i="3"/>
  <c r="W10" i="3"/>
  <c r="X10" i="3"/>
  <c r="X201" i="1" l="1"/>
  <c r="X64" i="1"/>
  <c r="T31" i="1"/>
  <c r="X100" i="1"/>
  <c r="X204" i="1"/>
  <c r="X68" i="1"/>
  <c r="AA225" i="1"/>
  <c r="X202" i="1"/>
  <c r="X85" i="1"/>
  <c r="X67" i="1"/>
  <c r="AG203" i="1"/>
  <c r="W203" i="1" s="1"/>
  <c r="X203" i="1"/>
  <c r="AC52" i="3"/>
  <c r="AC29" i="3"/>
  <c r="AD21" i="3"/>
  <c r="AD7" i="3"/>
  <c r="AC18" i="3"/>
  <c r="AD48" i="3"/>
  <c r="AD31" i="3"/>
  <c r="AD23" i="3"/>
  <c r="X66" i="1"/>
  <c r="AC50" i="3"/>
  <c r="F18" i="6"/>
  <c r="I19" i="6"/>
  <c r="G16" i="6"/>
  <c r="AC25" i="3"/>
  <c r="AC15" i="3"/>
  <c r="G20" i="6"/>
  <c r="F10" i="6"/>
  <c r="AG63" i="1"/>
  <c r="W63" i="1" s="1"/>
  <c r="X63" i="1"/>
  <c r="S19" i="3"/>
  <c r="Y53" i="3"/>
  <c r="S38" i="3"/>
  <c r="H19" i="6"/>
  <c r="H15" i="6"/>
  <c r="H11" i="6"/>
  <c r="I20" i="6"/>
  <c r="G19" i="6"/>
  <c r="J18" i="6"/>
  <c r="I16" i="6"/>
  <c r="G15" i="6"/>
  <c r="J14" i="6"/>
  <c r="I12" i="6"/>
  <c r="G11" i="6"/>
  <c r="J10" i="6"/>
  <c r="I8" i="6"/>
  <c r="H20" i="6"/>
  <c r="J19" i="6"/>
  <c r="I18" i="6"/>
  <c r="I17" i="6"/>
  <c r="H16" i="6"/>
  <c r="J15" i="6"/>
  <c r="I14" i="6"/>
  <c r="I13" i="6"/>
  <c r="H12" i="6"/>
  <c r="J11" i="6"/>
  <c r="I10" i="6"/>
  <c r="I9" i="6"/>
  <c r="H8" i="6"/>
  <c r="T74" i="1"/>
  <c r="X74" i="1"/>
  <c r="U74" i="1"/>
  <c r="S74" i="1" s="1"/>
  <c r="W74" i="1"/>
  <c r="AI74" i="1"/>
  <c r="Y38" i="3"/>
  <c r="AD12" i="3"/>
  <c r="AC54" i="3"/>
  <c r="Y40" i="3"/>
  <c r="AD41" i="3"/>
  <c r="T85" i="1"/>
  <c r="AG85" i="1"/>
  <c r="W85" i="1" s="1"/>
  <c r="H17" i="6"/>
  <c r="H13" i="6"/>
  <c r="H9" i="6"/>
  <c r="J20" i="6"/>
  <c r="H18" i="6"/>
  <c r="G17" i="6"/>
  <c r="J16" i="6"/>
  <c r="H14" i="6"/>
  <c r="G13" i="6"/>
  <c r="J12" i="6"/>
  <c r="H10" i="6"/>
  <c r="G9" i="6"/>
  <c r="J8" i="6"/>
  <c r="J17" i="6"/>
  <c r="J13" i="6"/>
  <c r="J9" i="6"/>
  <c r="AC12" i="3"/>
  <c r="P64" i="1"/>
  <c r="P72" i="1"/>
  <c r="R51" i="3"/>
  <c r="T25" i="3"/>
  <c r="AG59" i="1"/>
  <c r="AG20" i="1"/>
  <c r="U20" i="1" s="1"/>
  <c r="S20" i="1" s="1"/>
  <c r="X27" i="1"/>
  <c r="X99" i="1"/>
  <c r="Y13" i="3"/>
  <c r="AD32" i="3"/>
  <c r="Y31" i="3"/>
  <c r="Y55" i="3"/>
  <c r="AI161" i="1"/>
  <c r="AA161" i="1"/>
  <c r="W161" i="1" s="1"/>
  <c r="AA237" i="1"/>
  <c r="W237" i="1" s="1"/>
  <c r="AA110" i="1"/>
  <c r="AA92" i="1"/>
  <c r="AA81" i="1"/>
  <c r="W81" i="1" s="1"/>
  <c r="AA212" i="1"/>
  <c r="AA210" i="1"/>
  <c r="W210" i="1" s="1"/>
  <c r="AA206" i="1"/>
  <c r="AA158" i="1"/>
  <c r="AI157" i="1"/>
  <c r="AA154" i="1"/>
  <c r="AA143" i="1"/>
  <c r="W143" i="1" s="1"/>
  <c r="AA142" i="1"/>
  <c r="X60" i="1"/>
  <c r="AI48" i="1"/>
  <c r="AI44" i="1"/>
  <c r="T125" i="1"/>
  <c r="U125" i="1" s="1"/>
  <c r="S125" i="1" s="1"/>
  <c r="AA102" i="1"/>
  <c r="AI91" i="1"/>
  <c r="AA77" i="1"/>
  <c r="AA68" i="1"/>
  <c r="W68" i="1" s="1"/>
  <c r="T16" i="1"/>
  <c r="U16" i="1" s="1"/>
  <c r="S16" i="1" s="1"/>
  <c r="AD10" i="3"/>
  <c r="AD33" i="3"/>
  <c r="AD30" i="3"/>
  <c r="AD38" i="3"/>
  <c r="R49" i="3"/>
  <c r="T24" i="3"/>
  <c r="AA195" i="1"/>
  <c r="AA178" i="1"/>
  <c r="W178" i="1" s="1"/>
  <c r="AA166" i="1"/>
  <c r="W166" i="1" s="1"/>
  <c r="X229" i="1"/>
  <c r="AA226" i="1"/>
  <c r="AA128" i="1"/>
  <c r="AI127" i="1"/>
  <c r="AA16" i="1"/>
  <c r="W16" i="1" s="1"/>
  <c r="X28" i="1"/>
  <c r="AC30" i="3"/>
  <c r="Y22" i="3"/>
  <c r="W225" i="1"/>
  <c r="AD47" i="3"/>
  <c r="Y43" i="3"/>
  <c r="R56" i="3"/>
  <c r="R48" i="3"/>
  <c r="AD13" i="3"/>
  <c r="T13" i="3"/>
  <c r="T47" i="3"/>
  <c r="AG193" i="1"/>
  <c r="AI193" i="1" s="1"/>
  <c r="AA232" i="1"/>
  <c r="AA230" i="1"/>
  <c r="AA229" i="1"/>
  <c r="W229" i="1" s="1"/>
  <c r="AA209" i="1"/>
  <c r="W209" i="1" s="1"/>
  <c r="AA205" i="1"/>
  <c r="T130" i="1"/>
  <c r="U130" i="1" s="1"/>
  <c r="S130" i="1" s="1"/>
  <c r="AA115" i="1"/>
  <c r="AA114" i="1"/>
  <c r="W114" i="1" s="1"/>
  <c r="T80" i="1"/>
  <c r="U80" i="1" s="1"/>
  <c r="S80" i="1" s="1"/>
  <c r="AA32" i="1"/>
  <c r="W32" i="1" s="1"/>
  <c r="X31" i="1"/>
  <c r="AA30" i="1"/>
  <c r="AA29" i="1"/>
  <c r="X20" i="1"/>
  <c r="AA18" i="1"/>
  <c r="AA17" i="1"/>
  <c r="X16" i="1"/>
  <c r="AD17" i="3"/>
  <c r="T15" i="3"/>
  <c r="AA199" i="1"/>
  <c r="AA198" i="1"/>
  <c r="W198" i="1" s="1"/>
  <c r="AA224" i="1"/>
  <c r="AA222" i="1"/>
  <c r="AA104" i="1"/>
  <c r="AA103" i="1"/>
  <c r="AA95" i="1"/>
  <c r="W95" i="1" s="1"/>
  <c r="AG84" i="1"/>
  <c r="X84" i="1"/>
  <c r="AA83" i="1"/>
  <c r="W83" i="1" s="1"/>
  <c r="AA80" i="1"/>
  <c r="W80" i="1" s="1"/>
  <c r="AC51" i="3"/>
  <c r="S50" i="3"/>
  <c r="Y26" i="3"/>
  <c r="T209" i="1"/>
  <c r="U209" i="1" s="1"/>
  <c r="S209" i="1" s="1"/>
  <c r="AA139" i="1"/>
  <c r="AA138" i="1"/>
  <c r="X130" i="1"/>
  <c r="AA109" i="1"/>
  <c r="X32" i="1"/>
  <c r="AG19" i="1"/>
  <c r="U19" i="1" s="1"/>
  <c r="S19" i="1" s="1"/>
  <c r="X17" i="1"/>
  <c r="S49" i="3"/>
  <c r="S56" i="3"/>
  <c r="AD39" i="3"/>
  <c r="Y8" i="3"/>
  <c r="Y48" i="3"/>
  <c r="AD53" i="3"/>
  <c r="Y47" i="3"/>
  <c r="S47" i="3"/>
  <c r="AA177" i="1"/>
  <c r="AA173" i="1"/>
  <c r="AA170" i="1"/>
  <c r="W170" i="1" s="1"/>
  <c r="AA167" i="1"/>
  <c r="AA233" i="1"/>
  <c r="W233" i="1" s="1"/>
  <c r="AG220" i="1"/>
  <c r="U220" i="1" s="1"/>
  <c r="S220" i="1" s="1"/>
  <c r="X220" i="1"/>
  <c r="AG205" i="1"/>
  <c r="U205" i="1" s="1"/>
  <c r="S205" i="1" s="1"/>
  <c r="AA91" i="1"/>
  <c r="W91" i="1" s="1"/>
  <c r="AA84" i="1"/>
  <c r="AA64" i="1"/>
  <c r="W64" i="1" s="1"/>
  <c r="T197" i="1"/>
  <c r="AG189" i="1"/>
  <c r="U189" i="1" s="1"/>
  <c r="S189" i="1" s="1"/>
  <c r="AA182" i="1"/>
  <c r="W182" i="1" s="1"/>
  <c r="AA180" i="1"/>
  <c r="W180" i="1" s="1"/>
  <c r="AA179" i="1"/>
  <c r="AG164" i="1"/>
  <c r="U164" i="1" s="1"/>
  <c r="S164" i="1" s="1"/>
  <c r="AG197" i="1"/>
  <c r="AA194" i="1"/>
  <c r="W194" i="1" s="1"/>
  <c r="X190" i="1"/>
  <c r="AA186" i="1"/>
  <c r="AI165" i="1"/>
  <c r="AG152" i="1"/>
  <c r="U152" i="1" s="1"/>
  <c r="S152" i="1" s="1"/>
  <c r="AA136" i="1"/>
  <c r="AG121" i="1"/>
  <c r="U121" i="1" s="1"/>
  <c r="S121" i="1" s="1"/>
  <c r="AA119" i="1"/>
  <c r="AG94" i="1"/>
  <c r="AI94" i="1" s="1"/>
  <c r="X94" i="1"/>
  <c r="AG81" i="1"/>
  <c r="U81" i="1" s="1"/>
  <c r="S81" i="1" s="1"/>
  <c r="X81" i="1"/>
  <c r="AA78" i="1"/>
  <c r="AG72" i="1"/>
  <c r="AA65" i="1"/>
  <c r="AA52" i="1"/>
  <c r="AA41" i="1"/>
  <c r="AA40" i="1"/>
  <c r="W40" i="1" s="1"/>
  <c r="AG27" i="1"/>
  <c r="U27" i="1" s="1"/>
  <c r="S27" i="1" s="1"/>
  <c r="X24" i="1"/>
  <c r="AG148" i="1"/>
  <c r="AI148" i="1" s="1"/>
  <c r="AI144" i="1"/>
  <c r="AA131" i="1"/>
  <c r="W131" i="1" s="1"/>
  <c r="AI95" i="1"/>
  <c r="AA94" i="1"/>
  <c r="W94" i="1" s="1"/>
  <c r="AA87" i="1"/>
  <c r="AA86" i="1"/>
  <c r="AA69" i="1"/>
  <c r="AG50" i="1"/>
  <c r="U50" i="1" s="1"/>
  <c r="S50" i="1" s="1"/>
  <c r="AI36" i="1"/>
  <c r="AI32" i="1"/>
  <c r="AG206" i="1"/>
  <c r="AI206" i="1" s="1"/>
  <c r="AA25" i="1"/>
  <c r="W25" i="1" s="1"/>
  <c r="AI25" i="1"/>
  <c r="AG224" i="1"/>
  <c r="T224" i="1"/>
  <c r="X218" i="1"/>
  <c r="AA217" i="1"/>
  <c r="AA202" i="1"/>
  <c r="W202" i="1" s="1"/>
  <c r="AG52" i="1"/>
  <c r="AI52" i="1" s="1"/>
  <c r="X52" i="1"/>
  <c r="T34" i="1"/>
  <c r="AG34" i="1"/>
  <c r="AI198" i="1"/>
  <c r="AI196" i="1"/>
  <c r="X198" i="1"/>
  <c r="AG185" i="1"/>
  <c r="AI185" i="1" s="1"/>
  <c r="X165" i="1"/>
  <c r="X194" i="1"/>
  <c r="AA192" i="1"/>
  <c r="AG186" i="1"/>
  <c r="X186" i="1"/>
  <c r="AA181" i="1"/>
  <c r="AA169" i="1"/>
  <c r="AA228" i="1"/>
  <c r="X214" i="1"/>
  <c r="T213" i="1"/>
  <c r="AG213" i="1"/>
  <c r="AI213" i="1" s="1"/>
  <c r="AA153" i="1"/>
  <c r="W153" i="1" s="1"/>
  <c r="AI153" i="1"/>
  <c r="AG149" i="1"/>
  <c r="AI149" i="1" s="1"/>
  <c r="X149" i="1"/>
  <c r="AA132" i="1"/>
  <c r="AG122" i="1"/>
  <c r="X122" i="1"/>
  <c r="AG117" i="1"/>
  <c r="AI117" i="1" s="1"/>
  <c r="X118" i="1"/>
  <c r="T76" i="1"/>
  <c r="AG76" i="1"/>
  <c r="AI76" i="1" s="1"/>
  <c r="AA56" i="1"/>
  <c r="W56" i="1" s="1"/>
  <c r="AI56" i="1"/>
  <c r="AA28" i="1"/>
  <c r="W28" i="1" s="1"/>
  <c r="AI28" i="1"/>
  <c r="X21" i="1"/>
  <c r="AG21" i="1"/>
  <c r="AI21" i="1" s="1"/>
  <c r="AA183" i="1"/>
  <c r="AA175" i="1"/>
  <c r="AA160" i="1"/>
  <c r="AA238" i="1"/>
  <c r="W206" i="1"/>
  <c r="T90" i="1"/>
  <c r="AG90" i="1"/>
  <c r="AI90" i="1" s="1"/>
  <c r="T86" i="1"/>
  <c r="AG86" i="1"/>
  <c r="AI86" i="1" s="1"/>
  <c r="AG62" i="1"/>
  <c r="AI62" i="1" s="1"/>
  <c r="T62" i="1"/>
  <c r="AA60" i="1"/>
  <c r="W60" i="1" s="1"/>
  <c r="T58" i="1"/>
  <c r="X59" i="1"/>
  <c r="AA140" i="1"/>
  <c r="W140" i="1" s="1"/>
  <c r="AA111" i="1"/>
  <c r="AA107" i="1"/>
  <c r="AA105" i="1"/>
  <c r="W105" i="1" s="1"/>
  <c r="X95" i="1"/>
  <c r="AA82" i="1"/>
  <c r="AA43" i="1"/>
  <c r="AA36" i="1"/>
  <c r="W36" i="1" s="1"/>
  <c r="AA24" i="1"/>
  <c r="AA218" i="1"/>
  <c r="W218" i="1" s="1"/>
  <c r="AA201" i="1"/>
  <c r="AA190" i="1"/>
  <c r="W190" i="1" s="1"/>
  <c r="AI214" i="1"/>
  <c r="AI210" i="1"/>
  <c r="AA174" i="1"/>
  <c r="W174" i="1" s="1"/>
  <c r="AA171" i="1"/>
  <c r="AA165" i="1"/>
  <c r="W165" i="1" s="1"/>
  <c r="AA164" i="1"/>
  <c r="W164" i="1" s="1"/>
  <c r="AA236" i="1"/>
  <c r="AA235" i="1"/>
  <c r="W235" i="1" s="1"/>
  <c r="AA234" i="1"/>
  <c r="X221" i="1"/>
  <c r="AG156" i="1"/>
  <c r="U156" i="1" s="1"/>
  <c r="S156" i="1" s="1"/>
  <c r="X156" i="1"/>
  <c r="AA145" i="1"/>
  <c r="AI143" i="1"/>
  <c r="AG142" i="1"/>
  <c r="AI142" i="1" s="1"/>
  <c r="AA141" i="1"/>
  <c r="AG138" i="1"/>
  <c r="AI138" i="1" s="1"/>
  <c r="X138" i="1"/>
  <c r="AI131" i="1"/>
  <c r="AG126" i="1"/>
  <c r="U126" i="1" s="1"/>
  <c r="S126" i="1" s="1"/>
  <c r="X126" i="1"/>
  <c r="AA118" i="1"/>
  <c r="W118" i="1" s="1"/>
  <c r="AA93" i="1"/>
  <c r="AA72" i="1"/>
  <c r="AA67" i="1"/>
  <c r="X55" i="1"/>
  <c r="X51" i="1"/>
  <c r="AG47" i="1"/>
  <c r="U47" i="1" s="1"/>
  <c r="S47" i="1" s="1"/>
  <c r="AI40" i="1"/>
  <c r="X36" i="1"/>
  <c r="U31" i="1"/>
  <c r="AA157" i="1"/>
  <c r="W157" i="1" s="1"/>
  <c r="AA149" i="1"/>
  <c r="X142" i="1"/>
  <c r="AA127" i="1"/>
  <c r="W127" i="1" s="1"/>
  <c r="AA124" i="1"/>
  <c r="AA123" i="1"/>
  <c r="AA122" i="1"/>
  <c r="AA116" i="1"/>
  <c r="AA99" i="1"/>
  <c r="AA90" i="1"/>
  <c r="X77" i="1"/>
  <c r="AA76" i="1"/>
  <c r="AA62" i="1"/>
  <c r="U59" i="1"/>
  <c r="S59" i="1" s="1"/>
  <c r="AA58" i="1"/>
  <c r="AA57" i="1"/>
  <c r="AA48" i="1"/>
  <c r="W48" i="1" s="1"/>
  <c r="AA44" i="1"/>
  <c r="W44" i="1" s="1"/>
  <c r="X39" i="1"/>
  <c r="X35" i="1"/>
  <c r="AA35" i="1"/>
  <c r="AA26" i="1"/>
  <c r="AA21" i="1"/>
  <c r="AG17" i="1"/>
  <c r="AI17" i="1" s="1"/>
  <c r="T169" i="1"/>
  <c r="X169" i="1"/>
  <c r="AG169" i="1"/>
  <c r="AI169" i="1" s="1"/>
  <c r="AG217" i="1"/>
  <c r="U217" i="1" s="1"/>
  <c r="S217" i="1" s="1"/>
  <c r="AG201" i="1"/>
  <c r="U201" i="1" s="1"/>
  <c r="S201" i="1" s="1"/>
  <c r="AA196" i="1"/>
  <c r="W196" i="1" s="1"/>
  <c r="U193" i="1"/>
  <c r="S193" i="1" s="1"/>
  <c r="AA191" i="1"/>
  <c r="AA189" i="1"/>
  <c r="T218" i="1"/>
  <c r="U218" i="1" s="1"/>
  <c r="S218" i="1" s="1"/>
  <c r="T198" i="1"/>
  <c r="T194" i="1"/>
  <c r="U194" i="1" s="1"/>
  <c r="S194" i="1" s="1"/>
  <c r="AI202" i="1"/>
  <c r="T202" i="1"/>
  <c r="U202" i="1" s="1"/>
  <c r="S202" i="1" s="1"/>
  <c r="AA197" i="1"/>
  <c r="W197" i="1" s="1"/>
  <c r="AA193" i="1"/>
  <c r="W193" i="1" s="1"/>
  <c r="AI218" i="1"/>
  <c r="X185" i="1"/>
  <c r="X181" i="1"/>
  <c r="AG181" i="1"/>
  <c r="X182" i="1"/>
  <c r="T181" i="1"/>
  <c r="AG177" i="1"/>
  <c r="X178" i="1"/>
  <c r="T177" i="1"/>
  <c r="T173" i="1"/>
  <c r="AG173" i="1"/>
  <c r="AI173" i="1" s="1"/>
  <c r="T210" i="1"/>
  <c r="U210" i="1" s="1"/>
  <c r="S210" i="1" s="1"/>
  <c r="T157" i="1"/>
  <c r="U157" i="1" s="1"/>
  <c r="S157" i="1" s="1"/>
  <c r="T153" i="1"/>
  <c r="U153" i="1" s="1"/>
  <c r="S153" i="1" s="1"/>
  <c r="T131" i="1"/>
  <c r="T127" i="1"/>
  <c r="U127" i="1" s="1"/>
  <c r="S127" i="1" s="1"/>
  <c r="T190" i="1"/>
  <c r="U190" i="1" s="1"/>
  <c r="S190" i="1" s="1"/>
  <c r="T182" i="1"/>
  <c r="U182" i="1" s="1"/>
  <c r="S182" i="1" s="1"/>
  <c r="T178" i="1"/>
  <c r="U178" i="1" s="1"/>
  <c r="S178" i="1" s="1"/>
  <c r="X174" i="1"/>
  <c r="X170" i="1"/>
  <c r="T166" i="1"/>
  <c r="U166" i="1" s="1"/>
  <c r="S166" i="1" s="1"/>
  <c r="X164" i="1"/>
  <c r="AA162" i="1"/>
  <c r="W162" i="1" s="1"/>
  <c r="AG160" i="1"/>
  <c r="U160" i="1" s="1"/>
  <c r="S160" i="1" s="1"/>
  <c r="X237" i="1"/>
  <c r="AG236" i="1"/>
  <c r="AI236" i="1" s="1"/>
  <c r="X236" i="1"/>
  <c r="X233" i="1"/>
  <c r="AG232" i="1"/>
  <c r="U232" i="1" s="1"/>
  <c r="AA231" i="1"/>
  <c r="AG228" i="1"/>
  <c r="U228" i="1" s="1"/>
  <c r="S228" i="1" s="1"/>
  <c r="AA227" i="1"/>
  <c r="W227" i="1" s="1"/>
  <c r="T225" i="1"/>
  <c r="U225" i="1" s="1"/>
  <c r="S225" i="1" s="1"/>
  <c r="AA219" i="1"/>
  <c r="W219" i="1" s="1"/>
  <c r="AA211" i="1"/>
  <c r="T206" i="1"/>
  <c r="AA156" i="1"/>
  <c r="AG155" i="1"/>
  <c r="AA152" i="1"/>
  <c r="X145" i="1"/>
  <c r="AA144" i="1"/>
  <c r="W144" i="1" s="1"/>
  <c r="AA134" i="1"/>
  <c r="AG133" i="1"/>
  <c r="AI133" i="1" s="1"/>
  <c r="X133" i="1"/>
  <c r="AA130" i="1"/>
  <c r="W130" i="1" s="1"/>
  <c r="AG129" i="1"/>
  <c r="AA126" i="1"/>
  <c r="AA125" i="1"/>
  <c r="W125" i="1" s="1"/>
  <c r="T117" i="1"/>
  <c r="T114" i="1"/>
  <c r="AA108" i="1"/>
  <c r="AG106" i="1"/>
  <c r="W106" i="1" s="1"/>
  <c r="X106" i="1"/>
  <c r="AG100" i="1"/>
  <c r="AI100" i="1" s="1"/>
  <c r="AA100" i="1"/>
  <c r="AI77" i="1"/>
  <c r="AI68" i="1"/>
  <c r="T229" i="1"/>
  <c r="U229" i="1" s="1"/>
  <c r="S229" i="1" s="1"/>
  <c r="T221" i="1"/>
  <c r="U221" i="1" s="1"/>
  <c r="S221" i="1" s="1"/>
  <c r="T214" i="1"/>
  <c r="U214" i="1" s="1"/>
  <c r="S214" i="1" s="1"/>
  <c r="X210" i="1"/>
  <c r="AA207" i="1"/>
  <c r="X157" i="1"/>
  <c r="X153" i="1"/>
  <c r="AA151" i="1"/>
  <c r="T149" i="1"/>
  <c r="X143" i="1"/>
  <c r="AA135" i="1"/>
  <c r="X134" i="1"/>
  <c r="X131" i="1"/>
  <c r="X127" i="1"/>
  <c r="T122" i="1"/>
  <c r="AG109" i="1"/>
  <c r="U109" i="1" s="1"/>
  <c r="T105" i="1"/>
  <c r="U105" i="1" s="1"/>
  <c r="S105" i="1" s="1"/>
  <c r="AI64" i="1"/>
  <c r="AA187" i="1"/>
  <c r="AA185" i="1"/>
  <c r="AA176" i="1"/>
  <c r="T174" i="1"/>
  <c r="U174" i="1" s="1"/>
  <c r="S174" i="1" s="1"/>
  <c r="T170" i="1"/>
  <c r="U170" i="1" s="1"/>
  <c r="S170" i="1" s="1"/>
  <c r="X166" i="1"/>
  <c r="T237" i="1"/>
  <c r="U237" i="1" s="1"/>
  <c r="S237" i="1" s="1"/>
  <c r="T233" i="1"/>
  <c r="U233" i="1" s="1"/>
  <c r="S233" i="1" s="1"/>
  <c r="X225" i="1"/>
  <c r="AA220" i="1"/>
  <c r="W220" i="1" s="1"/>
  <c r="AA213" i="1"/>
  <c r="AA155" i="1"/>
  <c r="W155" i="1" s="1"/>
  <c r="AA150" i="1"/>
  <c r="AA148" i="1"/>
  <c r="AA146" i="1"/>
  <c r="AA133" i="1"/>
  <c r="AA129" i="1"/>
  <c r="AA121" i="1"/>
  <c r="AA120" i="1"/>
  <c r="T118" i="1"/>
  <c r="AA117" i="1"/>
  <c r="X114" i="1"/>
  <c r="X110" i="1"/>
  <c r="AG99" i="1"/>
  <c r="AI99" i="1" s="1"/>
  <c r="AA97" i="1"/>
  <c r="AA96" i="1"/>
  <c r="AA79" i="1"/>
  <c r="AA73" i="1"/>
  <c r="T72" i="1"/>
  <c r="AA66" i="1"/>
  <c r="W66" i="1" s="1"/>
  <c r="T56" i="1"/>
  <c r="U56" i="1" s="1"/>
  <c r="S56" i="1" s="1"/>
  <c r="AA53" i="1"/>
  <c r="AA51" i="1"/>
  <c r="T51" i="1"/>
  <c r="AA46" i="1"/>
  <c r="T44" i="1"/>
  <c r="U44" i="1" s="1"/>
  <c r="S44" i="1" s="1"/>
  <c r="T40" i="1"/>
  <c r="U40" i="1" s="1"/>
  <c r="S40" i="1" s="1"/>
  <c r="AA37" i="1"/>
  <c r="T35" i="1"/>
  <c r="T25" i="1"/>
  <c r="U25" i="1" s="1"/>
  <c r="S25" i="1" s="1"/>
  <c r="AA22" i="1"/>
  <c r="T21" i="1"/>
  <c r="U21" i="1" s="1"/>
  <c r="S21" i="1" s="1"/>
  <c r="AA15" i="1"/>
  <c r="W77" i="1"/>
  <c r="T48" i="1"/>
  <c r="U48" i="1" s="1"/>
  <c r="S48" i="1" s="1"/>
  <c r="T28" i="1"/>
  <c r="U28" i="1" s="1"/>
  <c r="S28" i="1" s="1"/>
  <c r="AA14" i="1"/>
  <c r="AA98" i="1"/>
  <c r="T98" i="1"/>
  <c r="AI81" i="1"/>
  <c r="T77" i="1"/>
  <c r="U77" i="1" s="1"/>
  <c r="S77" i="1" s="1"/>
  <c r="AG71" i="1"/>
  <c r="T68" i="1"/>
  <c r="U68" i="1" s="1"/>
  <c r="S68" i="1" s="1"/>
  <c r="T64" i="1"/>
  <c r="U64" i="1" s="1"/>
  <c r="T60" i="1"/>
  <c r="U60" i="1" s="1"/>
  <c r="S60" i="1" s="1"/>
  <c r="X56" i="1"/>
  <c r="AA55" i="1"/>
  <c r="AG54" i="1"/>
  <c r="AI54" i="1" s="1"/>
  <c r="AG51" i="1"/>
  <c r="AA47" i="1"/>
  <c r="AG46" i="1"/>
  <c r="U46" i="1" s="1"/>
  <c r="S46" i="1" s="1"/>
  <c r="X46" i="1"/>
  <c r="AA45" i="1"/>
  <c r="W45" i="1" s="1"/>
  <c r="X44" i="1"/>
  <c r="AG43" i="1"/>
  <c r="U43" i="1" s="1"/>
  <c r="S43" i="1" s="1"/>
  <c r="X40" i="1"/>
  <c r="AA39" i="1"/>
  <c r="AG38" i="1"/>
  <c r="U38" i="1" s="1"/>
  <c r="S38" i="1" s="1"/>
  <c r="AG35" i="1"/>
  <c r="AI35" i="1" s="1"/>
  <c r="T32" i="1"/>
  <c r="U32" i="1" s="1"/>
  <c r="S32" i="1" s="1"/>
  <c r="AA27" i="1"/>
  <c r="X25" i="1"/>
  <c r="AG23" i="1"/>
  <c r="U23" i="1" s="1"/>
  <c r="AG15" i="1"/>
  <c r="U15" i="1" s="1"/>
  <c r="S15" i="1" s="1"/>
  <c r="AA113" i="1"/>
  <c r="W113" i="1" s="1"/>
  <c r="AA112" i="1"/>
  <c r="T110" i="1"/>
  <c r="U110" i="1" s="1"/>
  <c r="S110" i="1" s="1"/>
  <c r="AA101" i="1"/>
  <c r="AG98" i="1"/>
  <c r="X93" i="1"/>
  <c r="AA75" i="1"/>
  <c r="AG67" i="1"/>
  <c r="AI67" i="1" s="1"/>
  <c r="AA61" i="1"/>
  <c r="AA59" i="1"/>
  <c r="W59" i="1" s="1"/>
  <c r="AG58" i="1"/>
  <c r="AG55" i="1"/>
  <c r="AI55" i="1" s="1"/>
  <c r="T52" i="1"/>
  <c r="AA50" i="1"/>
  <c r="AA49" i="1"/>
  <c r="X48" i="1"/>
  <c r="X47" i="1"/>
  <c r="AG39" i="1"/>
  <c r="AI39" i="1" s="1"/>
  <c r="T36" i="1"/>
  <c r="U36" i="1" s="1"/>
  <c r="S36" i="1" s="1"/>
  <c r="AA33" i="1"/>
  <c r="AA31" i="1"/>
  <c r="W31" i="1" s="1"/>
  <c r="AG30" i="1"/>
  <c r="U30" i="1" s="1"/>
  <c r="S30" i="1" s="1"/>
  <c r="AG24" i="1"/>
  <c r="U24" i="1" s="1"/>
  <c r="AA20" i="1"/>
  <c r="AI204" i="1"/>
  <c r="AI200" i="1"/>
  <c r="AI237" i="1"/>
  <c r="X217" i="1"/>
  <c r="T195" i="1"/>
  <c r="X195" i="1"/>
  <c r="AG195" i="1"/>
  <c r="W195" i="1" s="1"/>
  <c r="T192" i="1"/>
  <c r="X192" i="1"/>
  <c r="AI221" i="1"/>
  <c r="X189" i="1"/>
  <c r="T179" i="1"/>
  <c r="X179" i="1"/>
  <c r="AG179" i="1"/>
  <c r="AI179" i="1" s="1"/>
  <c r="T176" i="1"/>
  <c r="X176" i="1"/>
  <c r="X173" i="1"/>
  <c r="AA163" i="1"/>
  <c r="X160" i="1"/>
  <c r="X159" i="1"/>
  <c r="AG159" i="1"/>
  <c r="AI159" i="1" s="1"/>
  <c r="AI188" i="1"/>
  <c r="T191" i="1"/>
  <c r="X191" i="1"/>
  <c r="AG191" i="1"/>
  <c r="T188" i="1"/>
  <c r="U188" i="1" s="1"/>
  <c r="S188" i="1" s="1"/>
  <c r="X188" i="1"/>
  <c r="AI216" i="1"/>
  <c r="T175" i="1"/>
  <c r="X175" i="1"/>
  <c r="AG175" i="1"/>
  <c r="T172" i="1"/>
  <c r="U172" i="1" s="1"/>
  <c r="S172" i="1" s="1"/>
  <c r="X172" i="1"/>
  <c r="AA200" i="1"/>
  <c r="W200" i="1" s="1"/>
  <c r="T199" i="1"/>
  <c r="X199" i="1"/>
  <c r="AG199" i="1"/>
  <c r="T196" i="1"/>
  <c r="U196" i="1" s="1"/>
  <c r="S196" i="1" s="1"/>
  <c r="X196" i="1"/>
  <c r="AI225" i="1"/>
  <c r="X193" i="1"/>
  <c r="AG192" i="1"/>
  <c r="AI192" i="1" s="1"/>
  <c r="AA184" i="1"/>
  <c r="W184" i="1" s="1"/>
  <c r="T183" i="1"/>
  <c r="X183" i="1"/>
  <c r="AG183" i="1"/>
  <c r="T180" i="1"/>
  <c r="U180" i="1" s="1"/>
  <c r="S180" i="1" s="1"/>
  <c r="X180" i="1"/>
  <c r="AI209" i="1"/>
  <c r="X177" i="1"/>
  <c r="AG176" i="1"/>
  <c r="AI176" i="1" s="1"/>
  <c r="AA168" i="1"/>
  <c r="W168" i="1" s="1"/>
  <c r="T167" i="1"/>
  <c r="X167" i="1"/>
  <c r="AG167" i="1"/>
  <c r="X163" i="1"/>
  <c r="AG163" i="1"/>
  <c r="AI163" i="1" s="1"/>
  <c r="T163" i="1"/>
  <c r="AI194" i="1"/>
  <c r="T216" i="1"/>
  <c r="U216" i="1" s="1"/>
  <c r="S216" i="1" s="1"/>
  <c r="X216" i="1"/>
  <c r="AI233" i="1"/>
  <c r="AA216" i="1"/>
  <c r="W216" i="1" s="1"/>
  <c r="T200" i="1"/>
  <c r="U200" i="1" s="1"/>
  <c r="S200" i="1" s="1"/>
  <c r="X200" i="1"/>
  <c r="U198" i="1"/>
  <c r="S198" i="1" s="1"/>
  <c r="AI229" i="1"/>
  <c r="AA188" i="1"/>
  <c r="W188" i="1" s="1"/>
  <c r="T187" i="1"/>
  <c r="X187" i="1"/>
  <c r="AG187" i="1"/>
  <c r="AI187" i="1" s="1"/>
  <c r="T184" i="1"/>
  <c r="U184" i="1" s="1"/>
  <c r="S184" i="1" s="1"/>
  <c r="X184" i="1"/>
  <c r="AA172" i="1"/>
  <c r="W172" i="1" s="1"/>
  <c r="T171" i="1"/>
  <c r="X171" i="1"/>
  <c r="AG171" i="1"/>
  <c r="AI171" i="1" s="1"/>
  <c r="T168" i="1"/>
  <c r="U168" i="1" s="1"/>
  <c r="S168" i="1" s="1"/>
  <c r="X168" i="1"/>
  <c r="X224" i="1"/>
  <c r="T211" i="1"/>
  <c r="X211" i="1"/>
  <c r="AG211" i="1"/>
  <c r="T150" i="1"/>
  <c r="X150" i="1"/>
  <c r="AG150" i="1"/>
  <c r="T147" i="1"/>
  <c r="X147" i="1"/>
  <c r="U131" i="1"/>
  <c r="S131" i="1" s="1"/>
  <c r="AI105" i="1"/>
  <c r="S48" i="3"/>
  <c r="S53" i="3"/>
  <c r="T161" i="1"/>
  <c r="U161" i="1" s="1"/>
  <c r="S161" i="1" s="1"/>
  <c r="T238" i="1"/>
  <c r="X238" i="1"/>
  <c r="T234" i="1"/>
  <c r="X234" i="1"/>
  <c r="AG234" i="1"/>
  <c r="AI234" i="1" s="1"/>
  <c r="T231" i="1"/>
  <c r="X231" i="1"/>
  <c r="AI180" i="1"/>
  <c r="X228" i="1"/>
  <c r="T215" i="1"/>
  <c r="X215" i="1"/>
  <c r="AG215" i="1"/>
  <c r="W215" i="1" s="1"/>
  <c r="T212" i="1"/>
  <c r="X212" i="1"/>
  <c r="X209" i="1"/>
  <c r="T154" i="1"/>
  <c r="X154" i="1"/>
  <c r="AG154" i="1"/>
  <c r="W154" i="1" s="1"/>
  <c r="T151" i="1"/>
  <c r="X151" i="1"/>
  <c r="X148" i="1"/>
  <c r="AG147" i="1"/>
  <c r="AG137" i="1"/>
  <c r="X137" i="1"/>
  <c r="AI129" i="1"/>
  <c r="T120" i="1"/>
  <c r="X120" i="1"/>
  <c r="AG120" i="1"/>
  <c r="W120" i="1" s="1"/>
  <c r="X121" i="1"/>
  <c r="T104" i="1"/>
  <c r="X104" i="1"/>
  <c r="AG104" i="1"/>
  <c r="W104" i="1" s="1"/>
  <c r="X105" i="1"/>
  <c r="T96" i="1"/>
  <c r="X96" i="1"/>
  <c r="AG96" i="1"/>
  <c r="X90" i="1"/>
  <c r="X89" i="1"/>
  <c r="AG89" i="1"/>
  <c r="T89" i="1"/>
  <c r="T88" i="1"/>
  <c r="X88" i="1"/>
  <c r="AG88" i="1"/>
  <c r="T57" i="1"/>
  <c r="X57" i="1"/>
  <c r="AG57" i="1"/>
  <c r="T230" i="1"/>
  <c r="X230" i="1"/>
  <c r="AG230" i="1"/>
  <c r="T227" i="1"/>
  <c r="U227" i="1" s="1"/>
  <c r="S227" i="1" s="1"/>
  <c r="X227" i="1"/>
  <c r="T208" i="1"/>
  <c r="U208" i="1" s="1"/>
  <c r="S208" i="1" s="1"/>
  <c r="X208" i="1"/>
  <c r="AG135" i="1"/>
  <c r="X135" i="1"/>
  <c r="AI134" i="1"/>
  <c r="AI121" i="1"/>
  <c r="U114" i="1"/>
  <c r="S114" i="1" s="1"/>
  <c r="AI114" i="1"/>
  <c r="AI45" i="1"/>
  <c r="R53" i="3"/>
  <c r="T165" i="1"/>
  <c r="U165" i="1" s="1"/>
  <c r="S165" i="1" s="1"/>
  <c r="T162" i="1"/>
  <c r="U162" i="1" s="1"/>
  <c r="S162" i="1" s="1"/>
  <c r="X162" i="1"/>
  <c r="X161" i="1"/>
  <c r="AA159" i="1"/>
  <c r="AG238" i="1"/>
  <c r="AI238" i="1" s="1"/>
  <c r="W236" i="1"/>
  <c r="T235" i="1"/>
  <c r="U235" i="1" s="1"/>
  <c r="S235" i="1" s="1"/>
  <c r="X235" i="1"/>
  <c r="AI184" i="1"/>
  <c r="X232" i="1"/>
  <c r="AG231" i="1"/>
  <c r="U224" i="1"/>
  <c r="S224" i="1" s="1"/>
  <c r="AA223" i="1"/>
  <c r="W223" i="1" s="1"/>
  <c r="T222" i="1"/>
  <c r="X222" i="1"/>
  <c r="AG222" i="1"/>
  <c r="AI222" i="1" s="1"/>
  <c r="T219" i="1"/>
  <c r="U219" i="1" s="1"/>
  <c r="S219" i="1" s="1"/>
  <c r="X219" i="1"/>
  <c r="AI168" i="1"/>
  <c r="X213" i="1"/>
  <c r="AG212" i="1"/>
  <c r="AA204" i="1"/>
  <c r="W204" i="1" s="1"/>
  <c r="T158" i="1"/>
  <c r="X158" i="1"/>
  <c r="AG158" i="1"/>
  <c r="T155" i="1"/>
  <c r="U155" i="1" s="1"/>
  <c r="S155" i="1" s="1"/>
  <c r="X155" i="1"/>
  <c r="X152" i="1"/>
  <c r="AG151" i="1"/>
  <c r="T144" i="1"/>
  <c r="U144" i="1" s="1"/>
  <c r="S144" i="1" s="1"/>
  <c r="X144" i="1"/>
  <c r="X141" i="1"/>
  <c r="AG141" i="1"/>
  <c r="AG139" i="1"/>
  <c r="X139" i="1"/>
  <c r="T139" i="1"/>
  <c r="T135" i="1"/>
  <c r="U134" i="1"/>
  <c r="S134" i="1" s="1"/>
  <c r="AI130" i="1"/>
  <c r="T124" i="1"/>
  <c r="X124" i="1"/>
  <c r="AG124" i="1"/>
  <c r="X125" i="1"/>
  <c r="W110" i="1"/>
  <c r="T108" i="1"/>
  <c r="X108" i="1"/>
  <c r="AG108" i="1"/>
  <c r="X109" i="1"/>
  <c r="W92" i="1"/>
  <c r="T226" i="1"/>
  <c r="X226" i="1"/>
  <c r="AG226" i="1"/>
  <c r="AI226" i="1" s="1"/>
  <c r="T223" i="1"/>
  <c r="U223" i="1" s="1"/>
  <c r="S223" i="1" s="1"/>
  <c r="X223" i="1"/>
  <c r="AI172" i="1"/>
  <c r="AA208" i="1"/>
  <c r="W208" i="1" s="1"/>
  <c r="T207" i="1"/>
  <c r="X207" i="1"/>
  <c r="AG207" i="1"/>
  <c r="T204" i="1"/>
  <c r="U204" i="1" s="1"/>
  <c r="S204" i="1" s="1"/>
  <c r="AI155" i="1"/>
  <c r="AA147" i="1"/>
  <c r="T146" i="1"/>
  <c r="X146" i="1"/>
  <c r="AG146" i="1"/>
  <c r="AI140" i="1"/>
  <c r="T137" i="1"/>
  <c r="W134" i="1"/>
  <c r="AI110" i="1"/>
  <c r="AI92" i="1"/>
  <c r="T70" i="1"/>
  <c r="AG70" i="1"/>
  <c r="T145" i="1"/>
  <c r="T136" i="1"/>
  <c r="X136" i="1"/>
  <c r="T128" i="1"/>
  <c r="X128" i="1"/>
  <c r="AG128" i="1"/>
  <c r="T116" i="1"/>
  <c r="X116" i="1"/>
  <c r="AG116" i="1"/>
  <c r="X117" i="1"/>
  <c r="AI113" i="1"/>
  <c r="AI83" i="1"/>
  <c r="AI66" i="1"/>
  <c r="AI58" i="1"/>
  <c r="T37" i="1"/>
  <c r="X37" i="1"/>
  <c r="AG37" i="1"/>
  <c r="AG145" i="1"/>
  <c r="T143" i="1"/>
  <c r="U143" i="1" s="1"/>
  <c r="S143" i="1" s="1"/>
  <c r="T140" i="1"/>
  <c r="U140" i="1" s="1"/>
  <c r="S140" i="1" s="1"/>
  <c r="X140" i="1"/>
  <c r="AA137" i="1"/>
  <c r="AG136" i="1"/>
  <c r="T132" i="1"/>
  <c r="X132" i="1"/>
  <c r="AG132" i="1"/>
  <c r="T129" i="1"/>
  <c r="U129" i="1" s="1"/>
  <c r="S129" i="1" s="1"/>
  <c r="X129" i="1"/>
  <c r="AI125" i="1"/>
  <c r="U118" i="1"/>
  <c r="S118" i="1" s="1"/>
  <c r="AI118" i="1"/>
  <c r="U113" i="1"/>
  <c r="S113" i="1" s="1"/>
  <c r="T112" i="1"/>
  <c r="X112" i="1"/>
  <c r="AG112" i="1"/>
  <c r="X113" i="1"/>
  <c r="AG101" i="1"/>
  <c r="T101" i="1"/>
  <c r="AI98" i="1"/>
  <c r="U84" i="1"/>
  <c r="S84" i="1" s="1"/>
  <c r="T73" i="1"/>
  <c r="X73" i="1"/>
  <c r="AG73" i="1"/>
  <c r="T42" i="1"/>
  <c r="X42" i="1"/>
  <c r="AG42" i="1"/>
  <c r="X43" i="1"/>
  <c r="T93" i="1"/>
  <c r="T78" i="1"/>
  <c r="X78" i="1"/>
  <c r="AG78" i="1"/>
  <c r="T75" i="1"/>
  <c r="AI71" i="1"/>
  <c r="T53" i="1"/>
  <c r="X53" i="1"/>
  <c r="AG53" i="1"/>
  <c r="T49" i="1"/>
  <c r="X49" i="1"/>
  <c r="X50" i="1"/>
  <c r="AG49" i="1"/>
  <c r="AI38" i="1"/>
  <c r="T22" i="1"/>
  <c r="X22" i="1"/>
  <c r="AG22" i="1"/>
  <c r="W22" i="1" s="1"/>
  <c r="AG123" i="1"/>
  <c r="AG119" i="1"/>
  <c r="AG115" i="1"/>
  <c r="AG111" i="1"/>
  <c r="AG107" i="1"/>
  <c r="AG103" i="1"/>
  <c r="T102" i="1"/>
  <c r="T97" i="1"/>
  <c r="AG93" i="1"/>
  <c r="T91" i="1"/>
  <c r="U91" i="1" s="1"/>
  <c r="S91" i="1" s="1"/>
  <c r="T82" i="1"/>
  <c r="X82" i="1"/>
  <c r="AG82" i="1"/>
  <c r="T79" i="1"/>
  <c r="X79" i="1"/>
  <c r="X76" i="1"/>
  <c r="AG75" i="1"/>
  <c r="T65" i="1"/>
  <c r="AG65" i="1"/>
  <c r="T61" i="1"/>
  <c r="X61" i="1"/>
  <c r="U55" i="1"/>
  <c r="S55" i="1" s="1"/>
  <c r="X123" i="1"/>
  <c r="X119" i="1"/>
  <c r="X115" i="1"/>
  <c r="X111" i="1"/>
  <c r="X107" i="1"/>
  <c r="X103" i="1"/>
  <c r="AG102" i="1"/>
  <c r="U99" i="1"/>
  <c r="S99" i="1" s="1"/>
  <c r="AG97" i="1"/>
  <c r="T95" i="1"/>
  <c r="U95" i="1" s="1"/>
  <c r="S95" i="1" s="1"/>
  <c r="T92" i="1"/>
  <c r="U92" i="1" s="1"/>
  <c r="S92" i="1" s="1"/>
  <c r="X92" i="1"/>
  <c r="X91" i="1"/>
  <c r="AA89" i="1"/>
  <c r="AA88" i="1"/>
  <c r="W88" i="1" s="1"/>
  <c r="T87" i="1"/>
  <c r="X87" i="1"/>
  <c r="AG87" i="1"/>
  <c r="T83" i="1"/>
  <c r="U83" i="1" s="1"/>
  <c r="S83" i="1" s="1"/>
  <c r="X83" i="1"/>
  <c r="AI80" i="1"/>
  <c r="X80" i="1"/>
  <c r="AG79" i="1"/>
  <c r="AA71" i="1"/>
  <c r="U71" i="1"/>
  <c r="S71" i="1" s="1"/>
  <c r="AA70" i="1"/>
  <c r="T69" i="1"/>
  <c r="AG69" i="1"/>
  <c r="T66" i="1"/>
  <c r="U66" i="1" s="1"/>
  <c r="S66" i="1" s="1"/>
  <c r="X62" i="1"/>
  <c r="AG61" i="1"/>
  <c r="AA54" i="1"/>
  <c r="AI59" i="1"/>
  <c r="X58" i="1"/>
  <c r="X54" i="1"/>
  <c r="T33" i="1"/>
  <c r="X33" i="1"/>
  <c r="AG33" i="1"/>
  <c r="T18" i="1"/>
  <c r="X18" i="1"/>
  <c r="AG18" i="1"/>
  <c r="AA38" i="1"/>
  <c r="W38" i="1" s="1"/>
  <c r="T29" i="1"/>
  <c r="AG29" i="1"/>
  <c r="AA23" i="1"/>
  <c r="T14" i="1"/>
  <c r="AG14" i="1"/>
  <c r="AI50" i="1"/>
  <c r="T45" i="1"/>
  <c r="U45" i="1" s="1"/>
  <c r="S45" i="1" s="1"/>
  <c r="X45" i="1"/>
  <c r="AA42" i="1"/>
  <c r="T41" i="1"/>
  <c r="X41" i="1"/>
  <c r="AG41" i="1"/>
  <c r="AA34" i="1"/>
  <c r="W34" i="1" s="1"/>
  <c r="T26" i="1"/>
  <c r="X26" i="1"/>
  <c r="AG26" i="1"/>
  <c r="AA19" i="1"/>
  <c r="W19" i="1" s="1"/>
  <c r="X38" i="1"/>
  <c r="X34" i="1"/>
  <c r="AI31" i="1"/>
  <c r="S31" i="1"/>
  <c r="X30" i="1"/>
  <c r="X23" i="1"/>
  <c r="X19" i="1"/>
  <c r="AI16" i="1"/>
  <c r="X15" i="1"/>
  <c r="Y36" i="3"/>
  <c r="Y54" i="3"/>
  <c r="Y52" i="3"/>
  <c r="Y28" i="3"/>
  <c r="Y9" i="3"/>
  <c r="T41" i="3"/>
  <c r="T33" i="3"/>
  <c r="T19" i="3"/>
  <c r="T39" i="3"/>
  <c r="T29" i="3"/>
  <c r="T49" i="3"/>
  <c r="Y39" i="3"/>
  <c r="AC31" i="3"/>
  <c r="AD49" i="3"/>
  <c r="AD16" i="3"/>
  <c r="AD27" i="3"/>
  <c r="Y24" i="3"/>
  <c r="AD14" i="3"/>
  <c r="Y11" i="3"/>
  <c r="AD55" i="3"/>
  <c r="Y41" i="3"/>
  <c r="AC40" i="3"/>
  <c r="Y42" i="3"/>
  <c r="Y30" i="3"/>
  <c r="Y49" i="3"/>
  <c r="AD42" i="3"/>
  <c r="AD56" i="3"/>
  <c r="AD54" i="3"/>
  <c r="AD52" i="3"/>
  <c r="AD28" i="3"/>
  <c r="AD9" i="3"/>
  <c r="AD43" i="3"/>
  <c r="AD11" i="3"/>
  <c r="T10" i="3"/>
  <c r="AD40" i="3"/>
  <c r="T17" i="3"/>
  <c r="AD19" i="3"/>
  <c r="T7" i="3"/>
  <c r="AD18" i="3"/>
  <c r="T21" i="3"/>
  <c r="AD29" i="3"/>
  <c r="T37" i="3"/>
  <c r="AD50" i="3"/>
  <c r="T56" i="3"/>
  <c r="AD46" i="3"/>
  <c r="T51" i="3"/>
  <c r="AD44" i="3"/>
  <c r="T20" i="3"/>
  <c r="AD15" i="3"/>
  <c r="T23" i="3"/>
  <c r="AD45" i="3"/>
  <c r="T16" i="3"/>
  <c r="T27" i="3"/>
  <c r="AD22" i="3"/>
  <c r="T32" i="3"/>
  <c r="AD26" i="3"/>
  <c r="T14" i="3"/>
  <c r="Y17" i="3"/>
  <c r="Y56" i="3"/>
  <c r="Y51" i="3"/>
  <c r="Y20" i="3"/>
  <c r="Y23" i="3"/>
  <c r="Y16" i="3"/>
  <c r="Y27" i="3"/>
  <c r="Y32" i="3"/>
  <c r="Y14" i="3"/>
  <c r="Y10" i="3"/>
  <c r="Y7" i="3"/>
  <c r="Y21" i="3"/>
  <c r="Y37" i="3"/>
  <c r="Y33" i="3"/>
  <c r="Y19" i="3"/>
  <c r="Y18" i="3"/>
  <c r="Y29" i="3"/>
  <c r="Y50" i="3"/>
  <c r="Y46" i="3"/>
  <c r="Y44" i="3"/>
  <c r="Y15" i="3"/>
  <c r="Y45" i="3"/>
  <c r="Y25" i="3"/>
  <c r="Y34" i="3"/>
  <c r="Y12" i="3"/>
  <c r="M35" i="3"/>
  <c r="U35" i="3"/>
  <c r="AC35" i="3" s="1"/>
  <c r="V35" i="3"/>
  <c r="W35" i="3"/>
  <c r="X35" i="3"/>
  <c r="M28" i="5"/>
  <c r="S109" i="1" l="1"/>
  <c r="U122" i="1"/>
  <c r="S122" i="1" s="1"/>
  <c r="W205" i="1"/>
  <c r="W112" i="1"/>
  <c r="S232" i="1"/>
  <c r="W213" i="1"/>
  <c r="U203" i="1"/>
  <c r="S203" i="1" s="1"/>
  <c r="AI203" i="1"/>
  <c r="AI63" i="1"/>
  <c r="U63" i="1"/>
  <c r="S63" i="1" s="1"/>
  <c r="U67" i="1"/>
  <c r="S67" i="1" s="1"/>
  <c r="AI122" i="1"/>
  <c r="W67" i="1"/>
  <c r="U17" i="1"/>
  <c r="S17" i="1" s="1"/>
  <c r="U138" i="1"/>
  <c r="S138" i="1" s="1"/>
  <c r="U72" i="1"/>
  <c r="AI85" i="1"/>
  <c r="AI20" i="1"/>
  <c r="U148" i="1"/>
  <c r="S148" i="1" s="1"/>
  <c r="W181" i="1"/>
  <c r="W26" i="1"/>
  <c r="AI205" i="1"/>
  <c r="W121" i="1"/>
  <c r="W186" i="1"/>
  <c r="W167" i="1"/>
  <c r="AI201" i="1"/>
  <c r="W20" i="1"/>
  <c r="W21" i="1"/>
  <c r="W90" i="1"/>
  <c r="W201" i="1"/>
  <c r="U85" i="1"/>
  <c r="S85" i="1" s="1"/>
  <c r="AI156" i="1"/>
  <c r="W177" i="1"/>
  <c r="U34" i="1"/>
  <c r="S34" i="1" s="1"/>
  <c r="W117" i="1"/>
  <c r="W129" i="1"/>
  <c r="U117" i="1"/>
  <c r="S117" i="1" s="1"/>
  <c r="W156" i="1"/>
  <c r="U169" i="1"/>
  <c r="S169" i="1" s="1"/>
  <c r="W35" i="1"/>
  <c r="W62" i="1"/>
  <c r="W72" i="1"/>
  <c r="W84" i="1"/>
  <c r="W212" i="1"/>
  <c r="W73" i="1"/>
  <c r="AI189" i="1"/>
  <c r="W189" i="1"/>
  <c r="W224" i="1"/>
  <c r="AI19" i="1"/>
  <c r="AI34" i="1"/>
  <c r="W54" i="1"/>
  <c r="U54" i="1"/>
  <c r="S54" i="1" s="1"/>
  <c r="U94" i="1"/>
  <c r="S94" i="1" s="1"/>
  <c r="W135" i="1"/>
  <c r="AI164" i="1"/>
  <c r="AI232" i="1"/>
  <c r="AI220" i="1"/>
  <c r="W108" i="1"/>
  <c r="U206" i="1"/>
  <c r="S206" i="1" s="1"/>
  <c r="AI84" i="1"/>
  <c r="U52" i="1"/>
  <c r="S52" i="1" s="1"/>
  <c r="AI15" i="1"/>
  <c r="W78" i="1"/>
  <c r="W136" i="1"/>
  <c r="W150" i="1"/>
  <c r="U236" i="1"/>
  <c r="S236" i="1" s="1"/>
  <c r="AI72" i="1"/>
  <c r="AI27" i="1"/>
  <c r="W23" i="1"/>
  <c r="W18" i="1"/>
  <c r="AI47" i="1"/>
  <c r="AI23" i="1"/>
  <c r="W57" i="1"/>
  <c r="W169" i="1"/>
  <c r="U197" i="1"/>
  <c r="S197" i="1" s="1"/>
  <c r="S23" i="1"/>
  <c r="U35" i="1"/>
  <c r="S35" i="1" s="1"/>
  <c r="W46" i="1"/>
  <c r="W27" i="1"/>
  <c r="U51" i="1"/>
  <c r="S51" i="1" s="1"/>
  <c r="W98" i="1"/>
  <c r="U186" i="1"/>
  <c r="S186" i="1" s="1"/>
  <c r="W122" i="1"/>
  <c r="AI46" i="1"/>
  <c r="AI43" i="1"/>
  <c r="AI109" i="1"/>
  <c r="W124" i="1"/>
  <c r="AI152" i="1"/>
  <c r="U133" i="1"/>
  <c r="S133" i="1" s="1"/>
  <c r="W211" i="1"/>
  <c r="AI228" i="1"/>
  <c r="W175" i="1"/>
  <c r="AI217" i="1"/>
  <c r="W50" i="1"/>
  <c r="W148" i="1"/>
  <c r="W228" i="1"/>
  <c r="U90" i="1"/>
  <c r="S90" i="1" s="1"/>
  <c r="W52" i="1"/>
  <c r="W217" i="1"/>
  <c r="W159" i="1"/>
  <c r="AI197" i="1"/>
  <c r="AI126" i="1"/>
  <c r="AI106" i="1"/>
  <c r="W37" i="1"/>
  <c r="U149" i="1"/>
  <c r="S149" i="1" s="1"/>
  <c r="W126" i="1"/>
  <c r="W152" i="1"/>
  <c r="W58" i="1"/>
  <c r="AI24" i="1"/>
  <c r="U39" i="1"/>
  <c r="S39" i="1" s="1"/>
  <c r="W89" i="1"/>
  <c r="W42" i="1"/>
  <c r="W137" i="1"/>
  <c r="U106" i="1"/>
  <c r="S106" i="1" s="1"/>
  <c r="W76" i="1"/>
  <c r="W149" i="1"/>
  <c r="U62" i="1"/>
  <c r="S62" i="1" s="1"/>
  <c r="AI30" i="1"/>
  <c r="W75" i="1"/>
  <c r="W47" i="1"/>
  <c r="U58" i="1"/>
  <c r="S58" i="1" s="1"/>
  <c r="W71" i="1"/>
  <c r="W97" i="1"/>
  <c r="U100" i="1"/>
  <c r="S100" i="1" s="1"/>
  <c r="W133" i="1"/>
  <c r="W185" i="1"/>
  <c r="U185" i="1"/>
  <c r="S185" i="1" s="1"/>
  <c r="U173" i="1"/>
  <c r="S173" i="1" s="1"/>
  <c r="W138" i="1"/>
  <c r="AI51" i="1"/>
  <c r="W93" i="1"/>
  <c r="AI160" i="1"/>
  <c r="AI175" i="1"/>
  <c r="W24" i="1"/>
  <c r="U98" i="1"/>
  <c r="S98" i="1" s="1"/>
  <c r="W51" i="1"/>
  <c r="U86" i="1"/>
  <c r="S86" i="1" s="1"/>
  <c r="U142" i="1"/>
  <c r="S142" i="1" s="1"/>
  <c r="U76" i="1"/>
  <c r="S76" i="1" s="1"/>
  <c r="U213" i="1"/>
  <c r="S213" i="1" s="1"/>
  <c r="W142" i="1"/>
  <c r="W33" i="1"/>
  <c r="W100" i="1"/>
  <c r="W17" i="1"/>
  <c r="W86" i="1"/>
  <c r="AI212" i="1"/>
  <c r="W160" i="1"/>
  <c r="W39" i="1"/>
  <c r="W43" i="1"/>
  <c r="W99" i="1"/>
  <c r="W173" i="1"/>
  <c r="W230" i="1"/>
  <c r="AI230" i="1"/>
  <c r="W109" i="1"/>
  <c r="U181" i="1"/>
  <c r="S181" i="1" s="1"/>
  <c r="AI181" i="1"/>
  <c r="W55" i="1"/>
  <c r="W30" i="1"/>
  <c r="W15" i="1"/>
  <c r="W232" i="1"/>
  <c r="AI177" i="1"/>
  <c r="U177" i="1"/>
  <c r="S177" i="1" s="1"/>
  <c r="U87" i="1"/>
  <c r="S87" i="1" s="1"/>
  <c r="AI87" i="1"/>
  <c r="W87" i="1"/>
  <c r="U101" i="1"/>
  <c r="S101" i="1" s="1"/>
  <c r="AI101" i="1"/>
  <c r="AI116" i="1"/>
  <c r="U116" i="1"/>
  <c r="S116" i="1" s="1"/>
  <c r="AI33" i="1"/>
  <c r="U33" i="1"/>
  <c r="S33" i="1" s="1"/>
  <c r="U102" i="1"/>
  <c r="S102" i="1" s="1"/>
  <c r="AI102" i="1"/>
  <c r="W102" i="1"/>
  <c r="U119" i="1"/>
  <c r="S119" i="1" s="1"/>
  <c r="AI119" i="1"/>
  <c r="W119" i="1"/>
  <c r="AI141" i="1"/>
  <c r="U141" i="1"/>
  <c r="S141" i="1" s="1"/>
  <c r="AI151" i="1"/>
  <c r="U151" i="1"/>
  <c r="S151" i="1" s="1"/>
  <c r="U158" i="1"/>
  <c r="S158" i="1" s="1"/>
  <c r="AI158" i="1"/>
  <c r="W158" i="1"/>
  <c r="AI183" i="1"/>
  <c r="U231" i="1"/>
  <c r="S231" i="1" s="1"/>
  <c r="U238" i="1"/>
  <c r="S238" i="1" s="1"/>
  <c r="AI190" i="1"/>
  <c r="W238" i="1"/>
  <c r="AI96" i="1"/>
  <c r="U96" i="1"/>
  <c r="S96" i="1" s="1"/>
  <c r="AI104" i="1"/>
  <c r="U104" i="1"/>
  <c r="S104" i="1" s="1"/>
  <c r="W141" i="1"/>
  <c r="U234" i="1"/>
  <c r="S234" i="1" s="1"/>
  <c r="AI186" i="1"/>
  <c r="W234" i="1"/>
  <c r="U171" i="1"/>
  <c r="S171" i="1" s="1"/>
  <c r="U187" i="1"/>
  <c r="S187" i="1" s="1"/>
  <c r="AI219" i="1"/>
  <c r="AI235" i="1"/>
  <c r="U167" i="1"/>
  <c r="S167" i="1" s="1"/>
  <c r="AI199" i="1"/>
  <c r="AI224" i="1"/>
  <c r="U192" i="1"/>
  <c r="S192" i="1" s="1"/>
  <c r="U199" i="1"/>
  <c r="S199" i="1" s="1"/>
  <c r="AI231" i="1"/>
  <c r="W199" i="1"/>
  <c r="W192" i="1"/>
  <c r="W187" i="1"/>
  <c r="U41" i="1"/>
  <c r="S41" i="1" s="1"/>
  <c r="AI41" i="1"/>
  <c r="AI14" i="1"/>
  <c r="U14" i="1"/>
  <c r="S14" i="1" s="1"/>
  <c r="AI29" i="1"/>
  <c r="U29" i="1"/>
  <c r="S29" i="1" s="1"/>
  <c r="U132" i="1"/>
  <c r="S132" i="1" s="1"/>
  <c r="AI132" i="1"/>
  <c r="W132" i="1"/>
  <c r="U145" i="1"/>
  <c r="S145" i="1" s="1"/>
  <c r="AI145" i="1"/>
  <c r="U175" i="1"/>
  <c r="S175" i="1" s="1"/>
  <c r="AI207" i="1"/>
  <c r="AI26" i="1"/>
  <c r="U26" i="1"/>
  <c r="S26" i="1" s="1"/>
  <c r="U65" i="1"/>
  <c r="S64" i="1" s="1"/>
  <c r="AI65" i="1"/>
  <c r="W65" i="1"/>
  <c r="U103" i="1"/>
  <c r="S103" i="1" s="1"/>
  <c r="AI103" i="1"/>
  <c r="W103" i="1"/>
  <c r="AI49" i="1"/>
  <c r="U49" i="1"/>
  <c r="S49" i="1" s="1"/>
  <c r="AI53" i="1"/>
  <c r="U53" i="1"/>
  <c r="S53" i="1" s="1"/>
  <c r="W53" i="1"/>
  <c r="U73" i="1"/>
  <c r="AI73" i="1"/>
  <c r="AI61" i="1"/>
  <c r="U61" i="1"/>
  <c r="S61" i="1" s="1"/>
  <c r="AI79" i="1"/>
  <c r="U79" i="1"/>
  <c r="S79" i="1" s="1"/>
  <c r="AI97" i="1"/>
  <c r="U97" i="1"/>
  <c r="S97" i="1" s="1"/>
  <c r="AI75" i="1"/>
  <c r="U75" i="1"/>
  <c r="S75" i="1" s="1"/>
  <c r="AI93" i="1"/>
  <c r="U93" i="1"/>
  <c r="S93" i="1" s="1"/>
  <c r="U107" i="1"/>
  <c r="S107" i="1" s="1"/>
  <c r="AI107" i="1"/>
  <c r="U123" i="1"/>
  <c r="S123" i="1" s="1"/>
  <c r="AI123" i="1"/>
  <c r="W61" i="1"/>
  <c r="W79" i="1"/>
  <c r="AI42" i="1"/>
  <c r="U42" i="1"/>
  <c r="S42" i="1" s="1"/>
  <c r="AI112" i="1"/>
  <c r="U112" i="1"/>
  <c r="S112" i="1" s="1"/>
  <c r="W49" i="1"/>
  <c r="U128" i="1"/>
  <c r="S128" i="1" s="1"/>
  <c r="AI128" i="1"/>
  <c r="W128" i="1"/>
  <c r="W145" i="1"/>
  <c r="W147" i="1"/>
  <c r="U226" i="1"/>
  <c r="S226" i="1" s="1"/>
  <c r="AI178" i="1"/>
  <c r="AI124" i="1"/>
  <c r="U124" i="1"/>
  <c r="S124" i="1" s="1"/>
  <c r="W231" i="1"/>
  <c r="AI88" i="1"/>
  <c r="U88" i="1"/>
  <c r="S88" i="1" s="1"/>
  <c r="AI89" i="1"/>
  <c r="U89" i="1"/>
  <c r="S89" i="1" s="1"/>
  <c r="AI120" i="1"/>
  <c r="U120" i="1"/>
  <c r="S120" i="1" s="1"/>
  <c r="W151" i="1"/>
  <c r="W226" i="1"/>
  <c r="U191" i="1"/>
  <c r="S191" i="1" s="1"/>
  <c r="AI223" i="1"/>
  <c r="W123" i="1"/>
  <c r="AI191" i="1"/>
  <c r="U159" i="1"/>
  <c r="S159" i="1" s="1"/>
  <c r="W163" i="1"/>
  <c r="U179" i="1"/>
  <c r="S179" i="1" s="1"/>
  <c r="AI211" i="1"/>
  <c r="W179" i="1"/>
  <c r="W191" i="1"/>
  <c r="AI18" i="1"/>
  <c r="U18" i="1"/>
  <c r="S18" i="1" s="1"/>
  <c r="U69" i="1"/>
  <c r="S69" i="1" s="1"/>
  <c r="AI69" i="1"/>
  <c r="W69" i="1"/>
  <c r="U82" i="1"/>
  <c r="S82" i="1" s="1"/>
  <c r="AI82" i="1"/>
  <c r="W82" i="1"/>
  <c r="U115" i="1"/>
  <c r="S115" i="1" s="1"/>
  <c r="W115" i="1"/>
  <c r="AI115" i="1"/>
  <c r="W101" i="1"/>
  <c r="AI70" i="1"/>
  <c r="U70" i="1"/>
  <c r="S70" i="1" s="1"/>
  <c r="U139" i="1"/>
  <c r="S139" i="1" s="1"/>
  <c r="AI139" i="1"/>
  <c r="W139" i="1"/>
  <c r="U135" i="1"/>
  <c r="S135" i="1" s="1"/>
  <c r="AI135" i="1"/>
  <c r="AI137" i="1"/>
  <c r="U137" i="1"/>
  <c r="S137" i="1" s="1"/>
  <c r="AI147" i="1"/>
  <c r="U147" i="1"/>
  <c r="S147" i="1" s="1"/>
  <c r="U215" i="1"/>
  <c r="S215" i="1" s="1"/>
  <c r="AI170" i="1"/>
  <c r="W41" i="1"/>
  <c r="W14" i="1"/>
  <c r="W29" i="1"/>
  <c r="W70" i="1"/>
  <c r="U111" i="1"/>
  <c r="S111" i="1" s="1"/>
  <c r="AI111" i="1"/>
  <c r="AI22" i="1"/>
  <c r="U22" i="1"/>
  <c r="S22" i="1" s="1"/>
  <c r="U78" i="1"/>
  <c r="S78" i="1" s="1"/>
  <c r="AI78" i="1"/>
  <c r="U136" i="1"/>
  <c r="S136" i="1" s="1"/>
  <c r="AI136" i="1"/>
  <c r="AI37" i="1"/>
  <c r="U37" i="1"/>
  <c r="S37" i="1" s="1"/>
  <c r="W111" i="1"/>
  <c r="U146" i="1"/>
  <c r="S146" i="1" s="1"/>
  <c r="AI146" i="1"/>
  <c r="U207" i="1"/>
  <c r="S207" i="1" s="1"/>
  <c r="AI162" i="1"/>
  <c r="AI108" i="1"/>
  <c r="U108" i="1"/>
  <c r="S108" i="1" s="1"/>
  <c r="W116" i="1"/>
  <c r="AI167" i="1"/>
  <c r="U212" i="1"/>
  <c r="S212" i="1" s="1"/>
  <c r="U222" i="1"/>
  <c r="S222" i="1" s="1"/>
  <c r="AI174" i="1"/>
  <c r="W222" i="1"/>
  <c r="U230" i="1"/>
  <c r="S230" i="1" s="1"/>
  <c r="AI182" i="1"/>
  <c r="AI57" i="1"/>
  <c r="U57" i="1"/>
  <c r="S57" i="1" s="1"/>
  <c r="U154" i="1"/>
  <c r="S154" i="1" s="1"/>
  <c r="AI154" i="1"/>
  <c r="W96" i="1"/>
  <c r="U150" i="1"/>
  <c r="S150" i="1" s="1"/>
  <c r="AI150" i="1"/>
  <c r="U211" i="1"/>
  <c r="S211" i="1" s="1"/>
  <c r="AI166" i="1"/>
  <c r="W107" i="1"/>
  <c r="AI195" i="1"/>
  <c r="U163" i="1"/>
  <c r="S163" i="1" s="1"/>
  <c r="AI208" i="1"/>
  <c r="U176" i="1"/>
  <c r="S176" i="1" s="1"/>
  <c r="U183" i="1"/>
  <c r="S183" i="1" s="1"/>
  <c r="W183" i="1"/>
  <c r="AI215" i="1"/>
  <c r="W207" i="1"/>
  <c r="W176" i="1"/>
  <c r="W146" i="1"/>
  <c r="U195" i="1"/>
  <c r="S195" i="1" s="1"/>
  <c r="AI227" i="1"/>
  <c r="W171" i="1"/>
  <c r="T35" i="3"/>
  <c r="AD36" i="3"/>
  <c r="Y35" i="3"/>
  <c r="S72" i="1" l="1"/>
  <c r="B86" i="9"/>
  <c r="B87" i="9"/>
  <c r="C88" i="9" s="1"/>
  <c r="B88" i="9"/>
  <c r="B89" i="9"/>
  <c r="C90" i="9" s="1"/>
  <c r="C89" i="9"/>
  <c r="B90" i="9"/>
  <c r="B91" i="9"/>
  <c r="C91" i="9"/>
  <c r="B92" i="9"/>
  <c r="C93" i="9" s="1"/>
  <c r="B93" i="9"/>
  <c r="B94" i="9"/>
  <c r="B95" i="9"/>
  <c r="C96" i="9" s="1"/>
  <c r="B96" i="9"/>
  <c r="B97" i="9"/>
  <c r="C98" i="9" s="1"/>
  <c r="C97" i="9"/>
  <c r="B98" i="9"/>
  <c r="B99" i="9"/>
  <c r="C99" i="9"/>
  <c r="B100" i="9"/>
  <c r="C101" i="9" s="1"/>
  <c r="B101" i="9"/>
  <c r="B102" i="9"/>
  <c r="B103" i="9"/>
  <c r="C104" i="9" s="1"/>
  <c r="B104" i="9"/>
  <c r="B105" i="9"/>
  <c r="C106" i="9" s="1"/>
  <c r="C105" i="9"/>
  <c r="B106" i="9"/>
  <c r="B107" i="9"/>
  <c r="C107" i="9"/>
  <c r="B108" i="9"/>
  <c r="C109" i="9" s="1"/>
  <c r="B109" i="9"/>
  <c r="B110" i="9"/>
  <c r="B111" i="9"/>
  <c r="C112" i="9" s="1"/>
  <c r="B112" i="9"/>
  <c r="B113" i="9"/>
  <c r="C114" i="9" s="1"/>
  <c r="C113" i="9"/>
  <c r="B114" i="9"/>
  <c r="B115" i="9"/>
  <c r="C115" i="9"/>
  <c r="C108" i="9" l="1"/>
  <c r="C100" i="9"/>
  <c r="C92" i="9"/>
  <c r="C111" i="9"/>
  <c r="C110" i="9"/>
  <c r="C103" i="9"/>
  <c r="C102" i="9"/>
  <c r="C95" i="9"/>
  <c r="C94" i="9"/>
  <c r="C87" i="9"/>
  <c r="AD35" i="3"/>
  <c r="B3" i="6" l="1"/>
  <c r="H3" i="6" s="1"/>
  <c r="K3" i="6"/>
  <c r="B4" i="6"/>
  <c r="F4" i="6" s="1"/>
  <c r="K4" i="6"/>
  <c r="B5" i="6"/>
  <c r="G5" i="6" s="1"/>
  <c r="K5" i="6"/>
  <c r="B6" i="6"/>
  <c r="H6" i="6" s="1"/>
  <c r="K6" i="6"/>
  <c r="B7" i="6"/>
  <c r="G7" i="6" s="1"/>
  <c r="K7" i="6"/>
  <c r="J3" i="6" l="1"/>
  <c r="J6" i="6"/>
  <c r="F3" i="6"/>
  <c r="I7" i="6"/>
  <c r="I4" i="6"/>
  <c r="I3" i="6"/>
  <c r="G3" i="6"/>
  <c r="J7" i="6"/>
  <c r="F6" i="6"/>
  <c r="F7" i="6"/>
  <c r="I6" i="6"/>
  <c r="G6" i="6"/>
  <c r="J5" i="6"/>
  <c r="H7" i="6"/>
  <c r="I5" i="6"/>
  <c r="F5" i="6"/>
  <c r="H4" i="6"/>
  <c r="H5" i="6"/>
  <c r="G4" i="6"/>
  <c r="J4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C56" i="9" s="1"/>
  <c r="B57" i="9"/>
  <c r="B58" i="9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58" i="9" l="1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8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10" i="3" l="1"/>
  <c r="N44" i="3"/>
  <c r="N50" i="3"/>
  <c r="N51" i="3"/>
  <c r="N48" i="3"/>
  <c r="N47" i="3"/>
  <c r="N56" i="3"/>
  <c r="N49" i="3"/>
  <c r="N40" i="3"/>
  <c r="N31" i="3"/>
  <c r="N13" i="3"/>
  <c r="N54" i="3"/>
  <c r="N52" i="3"/>
  <c r="N53" i="3"/>
  <c r="N16" i="3"/>
  <c r="N12" i="3"/>
  <c r="N11" i="3"/>
  <c r="N42" i="3"/>
  <c r="N21" i="3"/>
  <c r="N30" i="3"/>
  <c r="N38" i="3"/>
  <c r="N37" i="3"/>
  <c r="N55" i="3"/>
  <c r="N41" i="3"/>
  <c r="N33" i="3"/>
  <c r="N17" i="3"/>
  <c r="N7" i="3"/>
  <c r="N19" i="3"/>
  <c r="N39" i="3"/>
  <c r="N18" i="3"/>
  <c r="N29" i="3"/>
  <c r="N46" i="3"/>
  <c r="N36" i="3"/>
  <c r="N23" i="3"/>
  <c r="N28" i="3"/>
  <c r="N43" i="3"/>
  <c r="N26" i="3"/>
  <c r="N32" i="3"/>
  <c r="N14" i="3"/>
  <c r="N20" i="3"/>
  <c r="N15" i="3"/>
  <c r="N45" i="3"/>
  <c r="N9" i="3"/>
  <c r="N25" i="3"/>
  <c r="N27" i="3"/>
  <c r="N22" i="3"/>
  <c r="N34" i="3"/>
  <c r="N24" i="3"/>
  <c r="N3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35" i="3" s="1"/>
  <c r="Y13" i="1"/>
  <c r="Z13" i="1"/>
  <c r="AB13" i="1"/>
  <c r="AC13" i="1"/>
  <c r="AD13" i="1"/>
  <c r="X14" i="1" s="1"/>
  <c r="AE13" i="1"/>
  <c r="R35" i="3" s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9" i="4" l="1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<sst xmlns="http://schemas.openxmlformats.org/spreadsheetml/2006/main" count="2797" uniqueCount="966">
  <si>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</si>
  <si>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</si>
  <si>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</si>
  <si>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</si>
  <si>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</si>
  <si>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</si>
  <si>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</si>
  <si>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</si>
  <si>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</si>
  <si>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</si>
  <si>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</si>
  <si>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</si>
  <si>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</si>
  <si>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</si>
  <si>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</si>
  <si>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</si>
  <si>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</si>
  <si>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</si>
  <si>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</si>
  <si>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</si>
  <si>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</si>
  <si>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</si>
  <si>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</si>
  <si>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</si>
  <si>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</si>
  <si>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</si>
  <si>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</si>
  <si>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</si>
  <si>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</si>
  <si>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</si>
  <si>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</si>
  <si>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</si>
  <si>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</si>
  <si>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</si>
  <si>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</si>
  <si>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</si>
  <si>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</si>
  <si>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</si>
  <si>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</si>
  <si>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</si>
  <si>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</si>
  <si>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</si>
  <si>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</si>
  <si>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</si>
  <si>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</si>
  <si>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</si>
  <si>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</si>
  <si>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</si>
  <si>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</si>
  <si>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</si>
  <si>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</si>
  <si>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</si>
  <si>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</si>
  <si>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</si>
  <si>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</si>
  <si>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</si>
  <si>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</si>
  <si>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</si>
  <si>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</si>
  <si>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</si>
  <si>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</si>
  <si>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</si>
  <si>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</si>
  <si>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</si>
  <si>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</si>
  <si>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</si>
  <si>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</si>
  <si>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</si>
  <si>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</si>
  <si>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</si>
  <si>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</si>
  <si>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</si>
  <si>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</si>
  <si>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</si>
  <si>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</si>
  <si>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</si>
  <si>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</si>
  <si>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</si>
  <si>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</si>
  <si>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</si>
  <si>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</si>
  <si>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</si>
  <si>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</si>
  <si>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</si>
  <si>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</si>
  <si>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</si>
  <si>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</si>
  <si>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</si>
  <si>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</si>
  <si>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</si>
  <si>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</si>
  <si>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</si>
  <si>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</si>
  <si>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</si>
  <si>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</si>
  <si>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</si>
  <si>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</si>
  <si>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</si>
  <si>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</si>
  <si>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</si>
  <si>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</si>
  <si>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</si>
  <si>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</si>
  <si>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</si>
  <si>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</si>
  <si>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</si>
  <si>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</si>
  <si>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</si>
  <si>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</si>
  <si>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</si>
  <si>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</si>
  <si>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</si>
  <si>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</si>
  <si>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</si>
  <si>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</si>
  <si>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</si>
  <si>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</si>
  <si>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</si>
  <si>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</si>
  <si>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</si>
  <si>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</si>
  <si>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</si>
  <si>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</si>
  <si>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</si>
  <si>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</si>
  <si>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</si>
  <si>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</si>
  <si>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</si>
  <si>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</si>
  <si>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</si>
  <si>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</si>
  <si>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</si>
  <si>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</si>
  <si>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</si>
  <si>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</si>
  <si>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</si>
  <si>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</si>
  <si>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</si>
  <si>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</si>
  <si>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</si>
  <si>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</si>
  <si>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</si>
  <si>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</si>
  <si>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</si>
  <si>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</si>
  <si>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</si>
  <si>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</si>
  <si>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</si>
  <si>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</si>
  <si>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</si>
  <si>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</si>
  <si>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</si>
  <si>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</si>
  <si>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</si>
  <si>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</si>
  <si>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</si>
  <si>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</si>
  <si>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</si>
  <si>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</si>
  <si>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</si>
  <si>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</si>
  <si>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</si>
  <si>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</si>
  <si>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</si>
  <si>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</si>
  <si>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</si>
  <si>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</si>
  <si>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</si>
  <si>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</si>
  <si>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</si>
  <si>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</si>
  <si>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</si>
  <si>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</si>
  <si>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</si>
  <si>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</si>
  <si>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</si>
  <si>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</si>
  <si>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</si>
  <si>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</si>
  <si>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</si>
  <si>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</si>
  <si>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</si>
  <si>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</si>
  <si>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</si>
  <si>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</si>
  <si>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</si>
  <si>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</si>
  <si>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</si>
  <si>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</si>
  <si>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</si>
  <si>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</si>
  <si>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</si>
  <si>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</si>
  <si>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</si>
  <si>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</si>
  <si>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</si>
  <si>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</si>
  <si>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</si>
  <si>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</si>
  <si>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</si>
  <si>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</si>
  <si>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</si>
  <si>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</si>
  <si>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</si>
  <si>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</si>
  <si>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</si>
  <si>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</si>
  <si>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</si>
  <si>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</si>
  <si>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</si>
  <si>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</si>
  <si>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</si>
  <si>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</si>
  <si>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</si>
  <si>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</si>
  <si>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</si>
  <si>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</si>
  <si>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</si>
  <si>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</si>
  <si>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</si>
  <si>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</si>
  <si>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</si>
  <si>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</si>
  <si>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</si>
  <si>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</si>
  <si>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</si>
  <si>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</si>
  <si>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204:141</t>
  </si>
  <si>
    <t>rtdc.l.rtdc.4014:itc</t>
  </si>
  <si>
    <t>CLI Grep2 (for slice disagreement)</t>
  </si>
  <si>
    <t>Y</t>
  </si>
  <si>
    <t>204:165</t>
  </si>
  <si>
    <t>204:455</t>
  </si>
  <si>
    <t>rtdc.l.rtdc.4031:itc</t>
  </si>
  <si>
    <t>204:442</t>
  </si>
  <si>
    <t>rtdc.l.rtdc.4046:itc</t>
  </si>
  <si>
    <t>204:460</t>
  </si>
  <si>
    <t>204:471</t>
  </si>
  <si>
    <t>rtdc.l.rtdc.4042:itc</t>
  </si>
  <si>
    <t>rtdc.l.rtdc.4041:itc</t>
  </si>
  <si>
    <t>DAVIDSON</t>
  </si>
  <si>
    <t>rtdc.l.rtdc.4010:itc</t>
  </si>
  <si>
    <t>204:145</t>
  </si>
  <si>
    <t>rtdc.l.rtdc.4032:itc</t>
  </si>
  <si>
    <t>CHANDLER</t>
  </si>
  <si>
    <t>LALONDE</t>
  </si>
  <si>
    <t>81-25</t>
  </si>
  <si>
    <t>80-25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</si>
  <si>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</si>
  <si>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</si>
  <si>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</si>
  <si>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</si>
  <si>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</si>
  <si>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</si>
  <si>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</si>
  <si>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</si>
  <si>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</si>
  <si>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</si>
  <si>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</si>
  <si>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</si>
  <si>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rtdc.l.rtdc.4030:itc</t>
  </si>
  <si>
    <t>GRADE CROSSING</t>
  </si>
  <si>
    <t>Bulletin (2)</t>
  </si>
  <si>
    <t>rtdc.l.rtdc.4029:itc</t>
  </si>
  <si>
    <t>rtdc.l.rtdc.4043:itc</t>
  </si>
  <si>
    <t>204:446</t>
  </si>
  <si>
    <t>JOHN</t>
  </si>
  <si>
    <t>IAN</t>
  </si>
  <si>
    <t>DAVID</t>
  </si>
  <si>
    <t>CRAIG</t>
  </si>
  <si>
    <t>JAMES</t>
  </si>
  <si>
    <t>Last + First</t>
  </si>
  <si>
    <t>Employee First Name</t>
  </si>
  <si>
    <t>rtdc.l.rtdc.4019:itc</t>
  </si>
  <si>
    <t>rtdc.l.rtdc.4020:itc</t>
  </si>
  <si>
    <t>204:232978</t>
  </si>
  <si>
    <t>KELVIN</t>
  </si>
  <si>
    <t>204:453</t>
  </si>
  <si>
    <t>204:152</t>
  </si>
  <si>
    <t>204:464</t>
  </si>
  <si>
    <t>204:232994</t>
  </si>
  <si>
    <t>rtdc.l.rtdc.4015:itc</t>
  </si>
  <si>
    <t>SWITCH UNKNOWN</t>
  </si>
  <si>
    <t>Track device (7)</t>
  </si>
  <si>
    <t>TEMPORARY SPEED RESTRICTION</t>
  </si>
  <si>
    <t>rtdc.l.rtdc.4045:itc</t>
  </si>
  <si>
    <t>204:232979</t>
  </si>
  <si>
    <t>204:233272</t>
  </si>
  <si>
    <t>204:233274</t>
  </si>
  <si>
    <t>204:147</t>
  </si>
  <si>
    <t>204:139</t>
  </si>
  <si>
    <t>204:232975</t>
  </si>
  <si>
    <t>MICHAEL</t>
  </si>
  <si>
    <t>DAVIS</t>
  </si>
  <si>
    <t>204:233308</t>
  </si>
  <si>
    <t>300:58623</t>
  </si>
  <si>
    <t>300:58632</t>
  </si>
  <si>
    <t>DE LA ROSA</t>
  </si>
  <si>
    <t>ALEX</t>
  </si>
  <si>
    <t>KILLION</t>
  </si>
  <si>
    <t>BARTLETT</t>
  </si>
  <si>
    <t>KIANDRA</t>
  </si>
  <si>
    <t>BRUDER</t>
  </si>
  <si>
    <t>RICHARD</t>
  </si>
  <si>
    <t>204:233310</t>
  </si>
  <si>
    <t>204:167</t>
  </si>
  <si>
    <t>204:232980</t>
  </si>
  <si>
    <t>204:233304</t>
  </si>
  <si>
    <t>204:232989</t>
  </si>
  <si>
    <t>204:473</t>
  </si>
  <si>
    <t>204:232996</t>
  </si>
  <si>
    <t>204:232983</t>
  </si>
  <si>
    <t>204:233303</t>
  </si>
  <si>
    <t>204:467</t>
  </si>
  <si>
    <t>204:232977</t>
  </si>
  <si>
    <t>204:161</t>
  </si>
  <si>
    <t>204:233295</t>
  </si>
  <si>
    <t>204:232990</t>
  </si>
  <si>
    <t>204:160</t>
  </si>
  <si>
    <t>204:233302</t>
  </si>
  <si>
    <t>204:480</t>
  </si>
  <si>
    <t>204:233334</t>
  </si>
  <si>
    <t>204:233015</t>
  </si>
  <si>
    <t>204:232987</t>
  </si>
  <si>
    <t>204:232984</t>
  </si>
  <si>
    <t>ACKERMAN</t>
  </si>
  <si>
    <t>JARED</t>
  </si>
  <si>
    <t>STARKS</t>
  </si>
  <si>
    <t>ANGELINA</t>
  </si>
  <si>
    <t>clear-night</t>
  </si>
  <si>
    <t>Clear</t>
  </si>
  <si>
    <t>204:158</t>
  </si>
  <si>
    <t>204:233312</t>
  </si>
  <si>
    <t>204:232988</t>
  </si>
  <si>
    <t>204:462</t>
  </si>
  <si>
    <t>204:233293</t>
  </si>
  <si>
    <t>204:232991</t>
  </si>
  <si>
    <t>204:449</t>
  </si>
  <si>
    <t>204:232993</t>
  </si>
  <si>
    <t>204:233284</t>
  </si>
  <si>
    <t>204:435</t>
  </si>
  <si>
    <t>204:233314</t>
  </si>
  <si>
    <t>204:974</t>
  </si>
  <si>
    <t>204:233286</t>
  </si>
  <si>
    <t>204:232969</t>
  </si>
  <si>
    <t>204:232972</t>
  </si>
  <si>
    <t>204:233281</t>
  </si>
  <si>
    <t>rtdc.l.rtdc.4013:itc</t>
  </si>
  <si>
    <t>CUSHING</t>
  </si>
  <si>
    <t>HARRY</t>
  </si>
  <si>
    <t>BONDS</t>
  </si>
  <si>
    <t>REYNALDO</t>
  </si>
  <si>
    <t>CLARK</t>
  </si>
  <si>
    <t>KATHLEEN</t>
  </si>
  <si>
    <t>YOUNG</t>
  </si>
  <si>
    <t>ELIZABETH</t>
  </si>
  <si>
    <t>CRAYTON</t>
  </si>
  <si>
    <t>QUNTRELL</t>
  </si>
  <si>
    <t>GREGORY</t>
  </si>
  <si>
    <t>309-12</t>
  </si>
  <si>
    <t>242-12</t>
  </si>
  <si>
    <t>311-12</t>
  </si>
  <si>
    <t>244-12</t>
  </si>
  <si>
    <t>313-12</t>
  </si>
  <si>
    <t>315-12</t>
  </si>
  <si>
    <t>204:1524</t>
  </si>
  <si>
    <t>204:232706</t>
  </si>
  <si>
    <t>204:233297</t>
  </si>
  <si>
    <t>204:475</t>
  </si>
  <si>
    <t>204:233301</t>
  </si>
  <si>
    <t>204:232973</t>
  </si>
  <si>
    <t>204:466</t>
  </si>
  <si>
    <t>204:233309</t>
  </si>
  <si>
    <t>204:232953</t>
  </si>
  <si>
    <t>204:232998</t>
  </si>
  <si>
    <t>204:233278</t>
  </si>
  <si>
    <t>204:233344</t>
  </si>
  <si>
    <t>204:486</t>
  </si>
  <si>
    <t>204:233011</t>
  </si>
  <si>
    <t>204:484</t>
  </si>
  <si>
    <t>204:1196</t>
  </si>
  <si>
    <t>204:233323</t>
  </si>
  <si>
    <t>204:233327</t>
  </si>
  <si>
    <t>204:232985</t>
  </si>
  <si>
    <t>300:23308</t>
  </si>
  <si>
    <t>300:23108</t>
  </si>
  <si>
    <t>300:58611</t>
  </si>
  <si>
    <t>300:58931</t>
  </si>
  <si>
    <t>300:58617</t>
  </si>
  <si>
    <t>300:58935</t>
  </si>
  <si>
    <t>300:58613</t>
  </si>
  <si>
    <t>204:981</t>
  </si>
  <si>
    <t>300:58944</t>
  </si>
  <si>
    <t>300:58928</t>
  </si>
  <si>
    <t>300:58608</t>
  </si>
  <si>
    <t>204:964</t>
  </si>
  <si>
    <t>300:58638</t>
  </si>
  <si>
    <t>300:58609</t>
  </si>
  <si>
    <t>300:58937</t>
  </si>
  <si>
    <t>204:663</t>
  </si>
  <si>
    <t>204:654</t>
  </si>
  <si>
    <t>204:677</t>
  </si>
  <si>
    <t>204:757</t>
  </si>
  <si>
    <t>101-13</t>
  </si>
  <si>
    <t>310-13</t>
  </si>
  <si>
    <t>rtdc.l.rtdc.4004:itc</t>
  </si>
  <si>
    <t>104-13</t>
  </si>
  <si>
    <t>107-13</t>
  </si>
  <si>
    <t>111-13</t>
  </si>
  <si>
    <t>106-13</t>
  </si>
  <si>
    <t>108-13</t>
  </si>
  <si>
    <t>124-13</t>
  </si>
  <si>
    <t>811-13</t>
  </si>
  <si>
    <t>130-13</t>
  </si>
  <si>
    <t>137-13</t>
  </si>
  <si>
    <t>140-13</t>
  </si>
  <si>
    <t>138-13</t>
  </si>
  <si>
    <t>814-13</t>
  </si>
  <si>
    <t>142-13</t>
  </si>
  <si>
    <t>50-13</t>
  </si>
  <si>
    <t>144-13</t>
  </si>
  <si>
    <t>151-13</t>
  </si>
  <si>
    <t>rtdc.l.rtdc.4008:itc</t>
  </si>
  <si>
    <t>52-13</t>
  </si>
  <si>
    <t>148-13</t>
  </si>
  <si>
    <t>818-13</t>
  </si>
  <si>
    <t>54-13</t>
  </si>
  <si>
    <t>160-13</t>
  </si>
  <si>
    <t>820-13</t>
  </si>
  <si>
    <t>169-13</t>
  </si>
  <si>
    <t>172-13</t>
  </si>
  <si>
    <t>181-13</t>
  </si>
  <si>
    <t>178-13</t>
  </si>
  <si>
    <t>182-13</t>
  </si>
  <si>
    <t>191-13</t>
  </si>
  <si>
    <t>188-13</t>
  </si>
  <si>
    <t>rtdc.l.rtdc.4021:itc</t>
  </si>
  <si>
    <t>190-13</t>
  </si>
  <si>
    <t>195-13</t>
  </si>
  <si>
    <t>203-13</t>
  </si>
  <si>
    <t>834-13</t>
  </si>
  <si>
    <t>219-13</t>
  </si>
  <si>
    <t>222-13</t>
  </si>
  <si>
    <t>225-13</t>
  </si>
  <si>
    <t>241-13</t>
  </si>
  <si>
    <t>243-13</t>
  </si>
  <si>
    <t>302-13</t>
  </si>
  <si>
    <t>304-13</t>
  </si>
  <si>
    <t>103-13</t>
  </si>
  <si>
    <t>306-13</t>
  </si>
  <si>
    <t>BEAM</t>
  </si>
  <si>
    <t>ROSS</t>
  </si>
  <si>
    <t>102-13</t>
  </si>
  <si>
    <t>105-13</t>
  </si>
  <si>
    <t>308-13</t>
  </si>
  <si>
    <t>SPECTOR</t>
  </si>
  <si>
    <t>109-13</t>
  </si>
  <si>
    <t>911-13</t>
  </si>
  <si>
    <t>113-13</t>
  </si>
  <si>
    <t>800-13</t>
  </si>
  <si>
    <t>115-13</t>
  </si>
  <si>
    <t>110-13</t>
  </si>
  <si>
    <t>117-13</t>
  </si>
  <si>
    <t>801-13</t>
  </si>
  <si>
    <t>912-13</t>
  </si>
  <si>
    <t>SCOTT</t>
  </si>
  <si>
    <t>112-13</t>
  </si>
  <si>
    <t>119-13</t>
  </si>
  <si>
    <t>rtdc.l.rtdc.4003:itc</t>
  </si>
  <si>
    <t>121-13</t>
  </si>
  <si>
    <t>114-13</t>
  </si>
  <si>
    <t>802-13</t>
  </si>
  <si>
    <t>803-13</t>
  </si>
  <si>
    <t>116-13</t>
  </si>
  <si>
    <t>123-13</t>
  </si>
  <si>
    <t>118-13</t>
  </si>
  <si>
    <t>804-13</t>
  </si>
  <si>
    <t>125-13</t>
  </si>
  <si>
    <t>805-13</t>
  </si>
  <si>
    <t>120-13</t>
  </si>
  <si>
    <t>122-13</t>
  </si>
  <si>
    <t>127-13</t>
  </si>
  <si>
    <t>806-13</t>
  </si>
  <si>
    <t>129-13</t>
  </si>
  <si>
    <t>807-13</t>
  </si>
  <si>
    <t>131-13</t>
  </si>
  <si>
    <t>808-13</t>
  </si>
  <si>
    <t>126-13</t>
  </si>
  <si>
    <t>133-13</t>
  </si>
  <si>
    <t>809-13</t>
  </si>
  <si>
    <t>135-13</t>
  </si>
  <si>
    <t>128-13</t>
  </si>
  <si>
    <t>810-13</t>
  </si>
  <si>
    <t>132-13</t>
  </si>
  <si>
    <t>139-13</t>
  </si>
  <si>
    <t>903-13</t>
  </si>
  <si>
    <t>134-13</t>
  </si>
  <si>
    <t>812-13</t>
  </si>
  <si>
    <t>SWANSON</t>
  </si>
  <si>
    <t>BRYCE</t>
  </si>
  <si>
    <t>141-13</t>
  </si>
  <si>
    <t>136-13</t>
  </si>
  <si>
    <t>143-13</t>
  </si>
  <si>
    <t>145-13</t>
  </si>
  <si>
    <t>813-13</t>
  </si>
  <si>
    <t>147-13</t>
  </si>
  <si>
    <t>149-13</t>
  </si>
  <si>
    <t>815-13</t>
  </si>
  <si>
    <t>146-13</t>
  </si>
  <si>
    <t>153-13</t>
  </si>
  <si>
    <t>150-13</t>
  </si>
  <si>
    <t>816-13</t>
  </si>
  <si>
    <t>HAITHCOX</t>
  </si>
  <si>
    <t>155-13</t>
  </si>
  <si>
    <t>159-13</t>
  </si>
  <si>
    <t>154-13</t>
  </si>
  <si>
    <t>161-13</t>
  </si>
  <si>
    <t>HILLS</t>
  </si>
  <si>
    <t>DUSTIN</t>
  </si>
  <si>
    <t>817-13</t>
  </si>
  <si>
    <t>rtdc.l.rtdc.4007:itc</t>
  </si>
  <si>
    <t>53-13</t>
  </si>
  <si>
    <t>163-13</t>
  </si>
  <si>
    <t>HELVIE</t>
  </si>
  <si>
    <t>ADAM</t>
  </si>
  <si>
    <t>156-13</t>
  </si>
  <si>
    <t>158-13</t>
  </si>
  <si>
    <t>165-13</t>
  </si>
  <si>
    <t>167-13</t>
  </si>
  <si>
    <t>162-13</t>
  </si>
  <si>
    <t>819-13</t>
  </si>
  <si>
    <t>164-13</t>
  </si>
  <si>
    <t>166-13</t>
  </si>
  <si>
    <t>171-13</t>
  </si>
  <si>
    <t>STORY</t>
  </si>
  <si>
    <t>SAMANTHA</t>
  </si>
  <si>
    <t>55-13</t>
  </si>
  <si>
    <t>173-13</t>
  </si>
  <si>
    <t>168-13</t>
  </si>
  <si>
    <t>175-13</t>
  </si>
  <si>
    <t>170-13</t>
  </si>
  <si>
    <t>821-13</t>
  </si>
  <si>
    <t>177-13</t>
  </si>
  <si>
    <t>179-13</t>
  </si>
  <si>
    <t>822-13</t>
  </si>
  <si>
    <t>174-13</t>
  </si>
  <si>
    <t>176-13</t>
  </si>
  <si>
    <t>183-13</t>
  </si>
  <si>
    <t>185-13</t>
  </si>
  <si>
    <t>180-13</t>
  </si>
  <si>
    <t>823-13</t>
  </si>
  <si>
    <t>187-13</t>
  </si>
  <si>
    <t>824-13</t>
  </si>
  <si>
    <t>189-13</t>
  </si>
  <si>
    <t>184-13</t>
  </si>
  <si>
    <t>186-13</t>
  </si>
  <si>
    <t>193-13</t>
  </si>
  <si>
    <t>825-13</t>
  </si>
  <si>
    <t>904-13</t>
  </si>
  <si>
    <t>826-13</t>
  </si>
  <si>
    <t>197-13</t>
  </si>
  <si>
    <t>827-13</t>
  </si>
  <si>
    <t>199-13</t>
  </si>
  <si>
    <t>192-13</t>
  </si>
  <si>
    <t>194-13</t>
  </si>
  <si>
    <t>828-13</t>
  </si>
  <si>
    <t>201-13</t>
  </si>
  <si>
    <t>829-13</t>
  </si>
  <si>
    <t>196-13</t>
  </si>
  <si>
    <t>198-13</t>
  </si>
  <si>
    <t>205-13</t>
  </si>
  <si>
    <t>200-13</t>
  </si>
  <si>
    <t>202-13</t>
  </si>
  <si>
    <t>207-13</t>
  </si>
  <si>
    <t>833-13</t>
  </si>
  <si>
    <t>832-13</t>
  </si>
  <si>
    <t>204-13</t>
  </si>
  <si>
    <t>209-13</t>
  </si>
  <si>
    <t>211-13</t>
  </si>
  <si>
    <t>206-13</t>
  </si>
  <si>
    <t>835-13</t>
  </si>
  <si>
    <t>213-13</t>
  </si>
  <si>
    <t>208-13</t>
  </si>
  <si>
    <t>67-13</t>
  </si>
  <si>
    <t>215-13</t>
  </si>
  <si>
    <t>210-13</t>
  </si>
  <si>
    <t>836-13</t>
  </si>
  <si>
    <t>217-13</t>
  </si>
  <si>
    <t>837-13</t>
  </si>
  <si>
    <t>212-13</t>
  </si>
  <si>
    <t>214-13</t>
  </si>
  <si>
    <t>838-13</t>
  </si>
  <si>
    <t>303-13</t>
  </si>
  <si>
    <t>906-13</t>
  </si>
  <si>
    <t>839-13</t>
  </si>
  <si>
    <t>216-13</t>
  </si>
  <si>
    <t>221-13</t>
  </si>
  <si>
    <t>218-13</t>
  </si>
  <si>
    <t>841-13</t>
  </si>
  <si>
    <t>305-13</t>
  </si>
  <si>
    <t>223-13</t>
  </si>
  <si>
    <t>220-13</t>
  </si>
  <si>
    <t>840-13</t>
  </si>
  <si>
    <t>307-13</t>
  </si>
  <si>
    <t>843-13</t>
  </si>
  <si>
    <t>224-13</t>
  </si>
  <si>
    <t>227-13</t>
  </si>
  <si>
    <t>842-13</t>
  </si>
  <si>
    <t>226-13</t>
  </si>
  <si>
    <t>229-13</t>
  </si>
  <si>
    <t>845-13</t>
  </si>
  <si>
    <t>228-13</t>
  </si>
  <si>
    <t>231-13</t>
  </si>
  <si>
    <t>844-13</t>
  </si>
  <si>
    <t>233-13</t>
  </si>
  <si>
    <t>DELGADO</t>
  </si>
  <si>
    <t>DIANAH</t>
  </si>
  <si>
    <t>230-13</t>
  </si>
  <si>
    <t>847-13</t>
  </si>
  <si>
    <t>232-13</t>
  </si>
  <si>
    <t>235-13</t>
  </si>
  <si>
    <t>908-13</t>
  </si>
  <si>
    <t>234-13</t>
  </si>
  <si>
    <t>237-13</t>
  </si>
  <si>
    <t>236-13</t>
  </si>
  <si>
    <t>239-13</t>
  </si>
  <si>
    <t>238-13</t>
  </si>
  <si>
    <t>240-13</t>
  </si>
  <si>
    <t>309-13</t>
  </si>
  <si>
    <t>242-13</t>
  </si>
  <si>
    <t>311-13</t>
  </si>
  <si>
    <t>244-13</t>
  </si>
  <si>
    <t>313-13</t>
  </si>
  <si>
    <t>315-13</t>
  </si>
  <si>
    <t>Mostly Cloudy</t>
  </si>
  <si>
    <t>204:233353</t>
  </si>
  <si>
    <t>204:735</t>
  </si>
  <si>
    <t>204:233351</t>
  </si>
  <si>
    <t>204:232717</t>
  </si>
  <si>
    <t>204:750</t>
  </si>
  <si>
    <t>204:232685</t>
  </si>
  <si>
    <t>204:233318</t>
  </si>
  <si>
    <t>204:232992</t>
  </si>
  <si>
    <t>204:879</t>
  </si>
  <si>
    <t>204:233266</t>
  </si>
  <si>
    <t>204:232951</t>
  </si>
  <si>
    <t>204:169</t>
  </si>
  <si>
    <t>204:37188</t>
  </si>
  <si>
    <t>204:746</t>
  </si>
  <si>
    <t>204:1304</t>
  </si>
  <si>
    <t>204:233280</t>
  </si>
  <si>
    <t>204:761</t>
  </si>
  <si>
    <t>204:774</t>
  </si>
  <si>
    <t>204:437</t>
  </si>
  <si>
    <t>204:138</t>
  </si>
  <si>
    <t>204:444</t>
  </si>
  <si>
    <t>204:233283</t>
  </si>
  <si>
    <t>204:1211</t>
  </si>
  <si>
    <t>204:233305</t>
  </si>
  <si>
    <t>204:1541</t>
  </si>
  <si>
    <t>204:128268</t>
  </si>
  <si>
    <t>204:233316</t>
  </si>
  <si>
    <t>204:103303</t>
  </si>
  <si>
    <t>204:921</t>
  </si>
  <si>
    <t>204:232955</t>
  </si>
  <si>
    <t>204:477</t>
  </si>
  <si>
    <t>204:233028</t>
  </si>
  <si>
    <t>204:38989</t>
  </si>
  <si>
    <t>204:32323</t>
  </si>
  <si>
    <t>204:233038</t>
  </si>
  <si>
    <t>204:1207</t>
  </si>
  <si>
    <t>204:183</t>
  </si>
  <si>
    <t>204:233220</t>
  </si>
  <si>
    <t>204:232898</t>
  </si>
  <si>
    <t>204:233364</t>
  </si>
  <si>
    <t>204:233345</t>
  </si>
  <si>
    <t>204:233051</t>
  </si>
  <si>
    <t>204:233083</t>
  </si>
  <si>
    <t>204:136</t>
  </si>
  <si>
    <t>204:233317</t>
  </si>
  <si>
    <t>204:491</t>
  </si>
  <si>
    <t>204:178</t>
  </si>
  <si>
    <t>204:233370</t>
  </si>
  <si>
    <t>204:154007</t>
  </si>
  <si>
    <t>204:233376</t>
  </si>
  <si>
    <t>204:233076</t>
  </si>
  <si>
    <t>204:420</t>
  </si>
  <si>
    <t>204:233380</t>
  </si>
  <si>
    <t>204:233061</t>
  </si>
  <si>
    <t>204:132</t>
  </si>
  <si>
    <t>204:100753</t>
  </si>
  <si>
    <t>204:502</t>
  </si>
  <si>
    <t>204:233340</t>
  </si>
  <si>
    <t>204:233017</t>
  </si>
  <si>
    <t>204:191</t>
  </si>
  <si>
    <t>204:233326</t>
  </si>
  <si>
    <t>204:1533</t>
  </si>
  <si>
    <t>204:429</t>
  </si>
  <si>
    <t>204:193452</t>
  </si>
  <si>
    <t>204:233021</t>
  </si>
  <si>
    <t>204:151</t>
  </si>
  <si>
    <t>204:233230</t>
  </si>
  <si>
    <t>204:233287</t>
  </si>
  <si>
    <t>204:232974</t>
  </si>
  <si>
    <t>204:192</t>
  </si>
  <si>
    <t>204:233001</t>
  </si>
  <si>
    <t>204:176</t>
  </si>
  <si>
    <t>204:256</t>
  </si>
  <si>
    <t>204:19130</t>
  </si>
  <si>
    <t>204:469</t>
  </si>
  <si>
    <t>204:9771</t>
  </si>
  <si>
    <t>204:555</t>
  </si>
  <si>
    <t>300:23095</t>
  </si>
  <si>
    <t>300:22335</t>
  </si>
  <si>
    <t>204:112</t>
  </si>
  <si>
    <t>204:498</t>
  </si>
  <si>
    <t>300:22854</t>
  </si>
  <si>
    <t>300:19699</t>
  </si>
  <si>
    <t>300:23303</t>
  </si>
  <si>
    <t>300:22841</t>
  </si>
  <si>
    <t>300:23220</t>
  </si>
  <si>
    <t>204:1622</t>
  </si>
  <si>
    <t>300:23304</t>
  </si>
  <si>
    <t>300:23115</t>
  </si>
  <si>
    <t>204:500</t>
  </si>
  <si>
    <t>300:22846</t>
  </si>
  <si>
    <t>300:58978</t>
  </si>
  <si>
    <t>300:42271</t>
  </si>
  <si>
    <t>300:42388</t>
  </si>
  <si>
    <t>300:42256</t>
  </si>
  <si>
    <t>300:42551</t>
  </si>
  <si>
    <t>204:459</t>
  </si>
  <si>
    <t>300:58092</t>
  </si>
  <si>
    <t>300:42542</t>
  </si>
  <si>
    <t>300:15673</t>
  </si>
  <si>
    <t>204:146</t>
  </si>
  <si>
    <t>300:41939</t>
  </si>
  <si>
    <t>204:162</t>
  </si>
  <si>
    <t>300:41958</t>
  </si>
  <si>
    <t>204:157</t>
  </si>
  <si>
    <t>300:42074</t>
  </si>
  <si>
    <t>300:42170</t>
  </si>
  <si>
    <t>300:42231</t>
  </si>
  <si>
    <t>204:144</t>
  </si>
  <si>
    <t>300:58657</t>
  </si>
  <si>
    <t>300:28761</t>
  </si>
  <si>
    <t>300:58711</t>
  </si>
  <si>
    <t>204:148</t>
  </si>
  <si>
    <t>300:22089</t>
  </si>
  <si>
    <t>204:880</t>
  </si>
  <si>
    <t>204:1194</t>
  </si>
  <si>
    <t>300:24210</t>
  </si>
  <si>
    <t>300:23329</t>
  </si>
  <si>
    <t>204:1144</t>
  </si>
  <si>
    <t>204:1450</t>
  </si>
  <si>
    <t>300:24220</t>
  </si>
  <si>
    <t>204:705</t>
  </si>
  <si>
    <t>204:1000</t>
  </si>
  <si>
    <t>300:58960</t>
  </si>
  <si>
    <t>300:58924</t>
  </si>
  <si>
    <t>204:992</t>
  </si>
  <si>
    <t>300:58961</t>
  </si>
  <si>
    <t>300:58647</t>
  </si>
  <si>
    <t>204:708</t>
  </si>
  <si>
    <t>204:1021</t>
  </si>
  <si>
    <t>300:58929</t>
  </si>
  <si>
    <t>204:733</t>
  </si>
  <si>
    <t>204:1009</t>
  </si>
  <si>
    <t>300:58941</t>
  </si>
  <si>
    <t>300:58630</t>
  </si>
  <si>
    <t>204:764</t>
  </si>
  <si>
    <t>204:1028</t>
  </si>
  <si>
    <t>204:717</t>
  </si>
  <si>
    <t>204:999</t>
  </si>
  <si>
    <t>300:58918</t>
  </si>
  <si>
    <t>204:995</t>
  </si>
  <si>
    <t>300:58926</t>
  </si>
  <si>
    <t>204:701</t>
  </si>
  <si>
    <t>300:57341</t>
  </si>
  <si>
    <t>204:1011</t>
  </si>
  <si>
    <t>204:1037</t>
  </si>
  <si>
    <t>300:58642</t>
  </si>
  <si>
    <t>204:978</t>
  </si>
  <si>
    <t>300:57331</t>
  </si>
  <si>
    <t>204:680</t>
  </si>
  <si>
    <t>300:28304</t>
  </si>
  <si>
    <t>300:13607</t>
  </si>
  <si>
    <t>204:684</t>
  </si>
  <si>
    <t>204:929</t>
  </si>
  <si>
    <t>204:692</t>
  </si>
  <si>
    <t>204:682</t>
  </si>
  <si>
    <t>204:986</t>
  </si>
  <si>
    <t>204:673</t>
  </si>
  <si>
    <t>204:972</t>
  </si>
  <si>
    <t>300:58606</t>
  </si>
  <si>
    <t>204:713</t>
  </si>
  <si>
    <t>204:1067</t>
  </si>
  <si>
    <t>300:24244</t>
  </si>
  <si>
    <t>300:23324</t>
  </si>
  <si>
    <t>300:58626</t>
  </si>
  <si>
    <t>300:21611</t>
  </si>
  <si>
    <t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t>
  </si>
  <si>
    <t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t>
  </si>
  <si>
    <t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t>
  </si>
  <si>
    <t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t>
  </si>
  <si>
    <t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t>
  </si>
  <si>
    <t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t>
  </si>
  <si>
    <t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t>
  </si>
  <si>
    <t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t>
  </si>
  <si>
    <t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t>
  </si>
  <si>
    <t>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 &amp; aws s3 cp s3://rtdc.mdm.uploadarchive.raw/RTDC4020/ "%USERPROFILE%\AppData\Local\Temp\OnboardLogs"\RTDC4020\2016-12-15 --exclude "*" --recursive --include "*20161215*" &amp; "%USERPROFILE%\Documents\GitHub\mrs-test-scripts\Headless Mode &amp; Sideloading\WalkAndUnGZ.bat" "%USERPROFILE%\AppData\Local\Temp\OnboardLogs"\RTDC4020\2016-12-15</t>
  </si>
  <si>
    <t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t>
  </si>
  <si>
    <t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t>
  </si>
  <si>
    <t>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 &amp; 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</t>
  </si>
  <si>
    <t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t>
  </si>
  <si>
    <t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t>
  </si>
  <si>
    <t>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 &amp; 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</t>
  </si>
  <si>
    <t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t>
  </si>
  <si>
    <t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t>
  </si>
  <si>
    <t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t>
  </si>
  <si>
    <t>DUS SW 9 was reversed, train didn't have route</t>
  </si>
  <si>
    <t>Sable 2N stuck at STOP (XING dependency?)</t>
  </si>
  <si>
    <t>From 10:07:17 - 10:41:46, a few requests to clear were sent to Sable 2N. The signal didn't clear until 10:41:46. Was there a dependency on the Chambers crossing or something like that? Or do logs show any sort of failure/issue at the time?</t>
  </si>
  <si>
    <t>Wi-MAX data drop</t>
  </si>
  <si>
    <t>Onboard in-route failure</t>
  </si>
  <si>
    <t>Premature downgrade at Pena 2N</t>
  </si>
  <si>
    <t>At 17:02:36, Pena 2N dropped from PROCEED CAB to STOP. Do logs tell us anything interesting?</t>
  </si>
  <si>
    <t>No clear controls sent to Bright 2N</t>
  </si>
  <si>
    <t>Went active too close to signal</t>
  </si>
  <si>
    <t>Early arrival</t>
  </si>
  <si>
    <t>DUS 16N STOP</t>
  </si>
  <si>
    <t>http://stevetu21.github.io/eaglep3/load_kml.html?kml=http://rtdc.gmaps-snips.s3.amazonaws.com/c8c401c3-209e-4063-a77f-222eaa2e00b8.kml</t>
  </si>
  <si>
    <t>http://stevetu21.github.io/eaglep3/load_kml.html?kml=http://rtdc.gmaps-snips.s3.amazonaws.com/1ea63d55-5467-4deb-81ab-dcb7bed3fb5c.kml</t>
  </si>
  <si>
    <t>http://stevetu21.github.io/eaglep3/load_kml.html?kml=http://rtdc.gmaps-snips.s3.amazonaws.com/3a7a92b0-dfb8-45cb-9049-d0962f29e465.kml</t>
  </si>
  <si>
    <t>40th 2N RESTRICTED aspect</t>
  </si>
  <si>
    <t>http://stevetu21.github.io/eaglep3/load_kml.html?kml=http://rtdc.gmaps-snips.s3.amazonaws.com/6724e7d5-7b22-49b0-8fab-a1ea7f671538.kml</t>
  </si>
  <si>
    <t>http://stevetu21.github.io/eaglep3/load_kml.html?kml=http://rtdc.gmaps-snips.s3.amazonaws.com/cb4080be-70bb-4ef4-9495-bf99725c2326.kml</t>
  </si>
  <si>
    <t>Cancelled - bus bridge</t>
  </si>
  <si>
    <t>SYS :2016/12/13 10:54:07.648:ENFORCEMENT:Predictive Enforcement Action:  Target Number: 00001003  Target Speed:   0.0  Current Speed:   3.9</t>
  </si>
  <si>
    <t>SYS :2016/12/13 10:54:07.669:ENFORCEMENT:Predictive Enforcement Action:  Target Number: 00001003  Target Speed:   0.0  Current Speed:   3.9</t>
  </si>
  <si>
    <t>SYS :2016/12/13 10:54:08.452:ENFORCEMENT:Predictive Enforcement Action:  Target Number: 00001003  Target Speed:   0.0  Current Speed:   3.9</t>
  </si>
  <si>
    <t>SYS :2016/12/13 11:21:19.863:ENFORCEMENT:Predictive Enforcement Action:  Target Number: 00001002  Target Speed:   0.0  Current Speed:   5.0</t>
  </si>
  <si>
    <t>SYS :2016/12/13 11:41:03.141:ENFORCEMENT:Reactive Enforcement Action:  Target Number: 00001003  Target Speed:   0.0  Current Speed:   0.9</t>
  </si>
  <si>
    <t>SYS :2016/12/13 11:41:03.327:ENFORCEMENT:Reactive Enforcement Action:  Target Number: 0000100E  Target Speed:   0.0  Current Speed:   0.9</t>
  </si>
  <si>
    <t>SYS :2016/12/13 11:41:03.562:ENFORCEMENT:Reactive Enforcement Action:  Target Number: 0000100E  Target Speed:   0.0  Current Speed:   0.9</t>
  </si>
  <si>
    <t>SYS :2016/12/13 11:41:57.023:ENFORCEMENT:Reactive Enforcement Action:  Target Number: 00010021  Target Speed:  15.0  Current Speed:  20.7</t>
  </si>
  <si>
    <t>SYS :2016/12/13 11:41:57.337:ENFORCEMENT:Reactive Enforcement Action:  Target Number: 00010021  Target Speed:  15.0  Current Speed:  20.7</t>
  </si>
  <si>
    <t>SYS :2016/12/13 11:41:58.039:ENFORCEMENT:Reactive Enforcement Action:  Target Number: 00010021  Target Speed:  15.0  Current Speed:  20.7</t>
  </si>
  <si>
    <t>SYS :2016/12/13 11:49:59.914:ENFORCEMENT:Predictive Enforcement Action:  Target Number: 00006032  Target Speed:   0.0  Current Speed:  62.9</t>
  </si>
  <si>
    <t>SYS :2016/12/13 11:49:59.917:ENFORCEMENT:Predictive Enforcement Action:  Target Number: 00006039  Target Speed:   0.0  Current Speed:  63.2</t>
  </si>
  <si>
    <t>SYS :2016/12/13 12:05:40.458:ENFORCEMENT:Predictive Enforcement Action:  Target Number: 0000604A  Target Speed:   0.0  Current Speed:   9.5</t>
  </si>
  <si>
    <t>SYS :2016/12/13 12:05:40.654:ENFORCEMENT:Predictive Enforcement Action:  Target Number: 0000604A  Target Speed:   0.0  Current Speed:   9.5</t>
  </si>
  <si>
    <t>SYS :2016/12/13 12:05:40.669:ENFORCEMENT:Predictive Enforcement Action:  Target Number: 0000604A  Target Speed:   0.0  Current Speed:   9.5</t>
  </si>
  <si>
    <t>SYS :2016/12/13 12:19:43.256:ENFORCEMENT:Predictive Enforcement Action:  Target Number: 0000A003  Target Speed:  15.0  Current Speed:  44.0</t>
  </si>
  <si>
    <t>SYS :2016/12/13 12:19:43.475:ENFORCEMENT:Predictive Enforcement Action:  Target Number: 0000A003  Target Speed:  15.0  Current Speed:  43.9</t>
  </si>
  <si>
    <t>SYS :2016/12/13 12:19:43.630:ENFORCEMENT:Predictive Enforcement Action:  Target Number: 0000A003  Target Speed:  15.0  Current Speed:  43.9</t>
  </si>
  <si>
    <t>SYS :2016/12/13 12:53:33.877:ENFORCEMENT:Reactive Enforcement Action:  Target Number: 0000A006  Target Speed:  15.0  Current Speed:  20.6</t>
  </si>
  <si>
    <t>SYS :2016/12/13 12:53:34.595:ENFORCEMENT:Reactive Enforcement Action:  Target Number: 0000A006  Target Speed:  15.0  Current Speed:  20.6</t>
  </si>
  <si>
    <t>SYS :2016/12/13 12:55:31.622:ENFORCEMENT:Predictive Enforcement Action:  Target Number: 00001005  Target Speed:   0.0  Current Speed:   4.5</t>
  </si>
  <si>
    <t>SYS :2016/12/13 12:55:32.245:ENFORCEMENT:Predictive Enforcement Action:  Target Number: 00001005  Target Speed:   0.0  Current Speed:   4.5</t>
  </si>
  <si>
    <t>SYS :2016/12/13 12:55:32.462:ENFORCEMENT:Predictive Enforcement Action:  Target Number: 00001005  Target Speed:   0.0  Current Speed:   4.5</t>
  </si>
  <si>
    <t>SYS :2016/12/13 13:14:41.580:ENFORCEMENT:Predictive Enforcement Action:  Target Number: 00001004  Target Speed:   0.0  Current Speed:   1.4</t>
  </si>
  <si>
    <t>SYS :2016/12/13 14:01:45.539:ENFORCEMENT:Reactive Enforcement Action:  Target Number: 0000A007  Target Speed:  15.0  Current Speed:  20.8</t>
  </si>
  <si>
    <t>SYS :2016/12/13 14:55:47.272:ENFORCEMENT:Predictive Enforcement Action:  Target Number: 0000A009  Target Speed:  10.0  Current Speed:  27.4</t>
  </si>
  <si>
    <t>SYS :2016/12/13 14:55:47.485:ENFORCEMENT:Predictive Enforcement Action:  Target Number: 0000A009  Target Speed:  10.0  Current Speed:  27.4</t>
  </si>
  <si>
    <t>SYS :2016/12/13 14:55:47.635:ENFORCEMENT:Predictive Enforcement Action:  Target Number: 0000A009  Target Speed:  10.0  Current Speed:  26.9</t>
  </si>
  <si>
    <t>SYS :2016/12/13 15:18:11.616:ENFORCEMENT:Predictive Enforcement Action:  Target Number: 00001006  Target Speed:   0.0  Current Speed:   4.3</t>
  </si>
  <si>
    <t>SYS :2016/12/13 15:21:19.672:ENFORCEMENT:Predictive Enforcement Action:  Target Number: 00006029  Target Speed:   0.0  Current Speed:  14.1</t>
  </si>
  <si>
    <t>SYS :2016/12/13 15:21:19.691:ENFORCEMENT:Predictive Enforcement Action:  Target Number: 00004015  Target Speed:   0.0  Current Speed:  14.1</t>
  </si>
  <si>
    <t>SYS :2016/12/13 15:21:19.713:ENFORCEMENT:Predictive Enforcement Action:  Target Number: 00004014  Target Speed:   0.0  Current Speed:  14.1</t>
  </si>
  <si>
    <t>SYS :2016/12/13 15:21:20.635:ENFORCEMENT:Predictive Enforcement Action:  Target Number: 0000621E  Target Speed:   0.0  Current Speed:  14.1</t>
  </si>
  <si>
    <t>SYS :2016/12/13 15:21:20.655:ENFORCEMENT:Predictive Enforcement Action:  Target Number: 000040A7  Target Speed:   0.0  Current Speed:  14.1</t>
  </si>
  <si>
    <t>SYS :2016/12/13 15:21:20.675:ENFORCEMENT:Predictive Enforcement Action:  Target Number: 000040A6  Target Speed:   0.0  Current Speed:  14.1</t>
  </si>
  <si>
    <t>SYS :2016/12/13 15:21:20.681:ENFORCEMENT:Predictive Enforcement Action:  Target Number: 000061B2  Target Speed:   0.0  Current Speed:  14.1</t>
  </si>
  <si>
    <t>SYS :2016/12/13 15:21:20.701:ENFORCEMENT:Predictive Enforcement Action:  Target Number: 0000408C  Target Speed:   0.0  Current Speed:  14.1</t>
  </si>
  <si>
    <t>SYS :2016/12/13 15:21:20.722:ENFORCEMENT:Predictive Enforcement Action:  Target Number: 0000408B  Target Speed:   0.0  Current Speed:  14.1</t>
  </si>
  <si>
    <t>SYS :2016/12/13 15:23:50.333:ENFORCEMENT:Reactive Enforcement Action:  Target Number: 0000A01D  Target Speed:  15.0  Current Speed:  21.3</t>
  </si>
  <si>
    <t>SYS :2016/12/13 15:23:51.372:ENFORCEMENT:Reactive Enforcement Action:  Target Number: 0000A00A  Target Speed:  15.0  Current Speed:  21.3</t>
  </si>
  <si>
    <t>SYS :2016/12/13 15:23:51.575:ENFORCEMENT:Reactive Enforcement Action:  Target Number: 0000A01D  Target Speed:  15.0  Current Speed:  21.3</t>
  </si>
  <si>
    <t>SYS :2016/12/13 15:51:21.285:ENFORCEMENT:Predictive Enforcement Action:  Target Number: 0000A00C  Target Speed:  15.0  Current Speed:  36.0</t>
  </si>
  <si>
    <t>SYS :2016/12/13 15:51:22.110:ENFORCEMENT:Predictive Enforcement Action:  Target Number: 0000A00C  Target Speed:  15.0  Current Speed:  36.0</t>
  </si>
  <si>
    <t>SYS :2016/12/13 15:51:22.410:ENFORCEMENT:Predictive Enforcement Action:  Target Number: 0000A005  Target Speed:  15.0  Current Speed:  35.9</t>
  </si>
  <si>
    <t>SYS :2016/12/13 16:35:56.923:ENFORCEMENT:Reactive Enforcement Action:  Target Number: 000101AA  Target Speed:  60.0  Current Speed:  65.4</t>
  </si>
  <si>
    <t>SYS :2016/12/13 16:35:56.963:ENFORCEMENT:Reactive Enforcement Action:  Target Number: 00010187  Target Speed:  60.0  Current Speed:  65.4</t>
  </si>
  <si>
    <t>SYS :2016/12/13 16:35:57.425:ENFORCEMENT:Reactive Enforcement Action:  Target Number: 000101AA  Target Speed:  60.0  Current Speed:  65.4</t>
  </si>
  <si>
    <t>SYS :2016/12/13 16:36:35.265:ENFORCEMENT:Predictive Enforcement Action:  Target Number: 00004051  Target Speed:   0.0  Current Speed:  50.1</t>
  </si>
  <si>
    <t>SYS :2016/12/13 16:36:35.482:ENFORCEMENT:Predictive Enforcement Action:  Target Number: 000060EB  Target Speed:   0.0  Current Speed:  50.1</t>
  </si>
  <si>
    <t>SYS :2016/12/13 16:36:35.635:ENFORCEMENT:Predictive Enforcement Action:  Target Number: 000060F0  Target Speed:   0.0  Current Speed:  51.0</t>
  </si>
  <si>
    <t>SYS :2016/12/13 16:36:36.261:ENFORCEMENT:Predictive Enforcement Action:  Target Number: 000060EF  Target Speed:   0.0  Current Speed:  51.0</t>
  </si>
  <si>
    <t>SYS :2016/12/13 16:54:58.003:ENFORCEMENT:Predictive Enforcement Action:  Target Number: 0000101E  Target Speed:   0.0  Current Speed:   3.7</t>
  </si>
  <si>
    <t>SYS :2016/12/13 16:56:56.676:ENFORCEMENT:Reactive Enforcement Action:  Target Number: 0000A00D  Target Speed:  15.0  Current Speed:  20.6</t>
  </si>
  <si>
    <t>SYS :2016/12/13 16:56:57.300:ENFORCEMENT:Reactive Enforcement Action:  Target Number: 0000A00D  Target Speed:  15.0  Current Speed:  20.6</t>
  </si>
  <si>
    <t>SYS :2016/12/13 17:32:48.506:ENFORCEMENT:Predictive Enforcement Action:  Target Number: 0000A004  Target Speed:  10.0  Current Speed:  26.1</t>
  </si>
  <si>
    <t>SYS :2016/12/13 17:32:48.976:ENFORCEMENT:Predictive Enforcement Action:  Target Number: 0000A010  Target Speed:  10.0  Current Speed:  26.1</t>
  </si>
  <si>
    <t>SYS :2016/12/13 17:32:49.143:ENFORCEMENT:Predictive Enforcement Action:  Target Number: 0000A010  Target Speed:  10.0  Current Speed:  25.6</t>
  </si>
  <si>
    <t>SYS :2016/12/13 17:37:11.280:ENFORCEMENT:Predictive Enforcement Action:  Target Number: 000060A8  Target Speed:   0.0  Current Speed:   6.9</t>
  </si>
  <si>
    <t>SYS :2016/12/13 17:37:12.094:ENFORCEMENT:Predictive Enforcement Action:  Target Number: 000060A7  Target Speed:   0.0  Current Speed:   6.9</t>
  </si>
  <si>
    <t>SYS :2016/12/13 17:37:12.393:ENFORCEMENT:Predictive Enforcement Action:  Target Number: 00006064  Target Speed:   0.0  Current Speed:   6.7</t>
  </si>
  <si>
    <t>SYS :2016/12/13 18:13:26.746:ENFORCEMENT:Reactive Enforcement Action:  Target Number: 00004055  Target Speed:   0.0  Current Speed:  42.8</t>
  </si>
  <si>
    <t>SYS :2016/12/13 18:13:26.755:ENFORCEMENT:Predictive Enforcement Action:  Target Number: 00004056  Target Speed:   0.0  Current Speed:  42.8</t>
  </si>
  <si>
    <t>SYS :2016/12/13 18:13:27.351:ENFORCEMENT:Reactive Enforcement Action:  Target Number: 00004055  Target Speed:   0.0  Current Speed:  42.8</t>
  </si>
  <si>
    <t>SYS :2016/12/13 18:13:27.361:ENFORCEMENT:Predictive Enforcement Action:  Target Number: 00004056  Target Speed:   0.0  Current Speed:  42.8</t>
  </si>
  <si>
    <t>SYS :2016/12/13 18:13:28.252:ENFORCEMENT:Reactive Enforcement Action:  Target Number: 00004055  Target Speed:   0.0  Current Speed:  42.8</t>
  </si>
  <si>
    <t>SYS :2016/12/13 18:13:28.262:ENFORCEMENT:Predictive Enforcement Action:  Target Number: 00004056  Target Speed:   0.0  Current Speed:  42.8</t>
  </si>
  <si>
    <t>SYS :2016/12/13 18:19:00.735:ENFORCEMENT:Predictive Enforcement Action:  Target Number: 00001008  Target Speed:   0.0  Current Speed:   4.0</t>
  </si>
  <si>
    <t>SYS :2016/12/13 18:38:07.244:ENFORCEMENT:Reactive Enforcement Action:  Target Number: 00006240  Target Speed:   0.0  Current Speed:   9.4</t>
  </si>
  <si>
    <t>SYS :2016/12/13 18:38:08.386:ENFORCEMENT:Reactive Enforcement Action:  Target Number: 000062EE  Target Speed:   0.0  Current Speed:   8.4</t>
  </si>
  <si>
    <t>SYS :2016/12/13 19:27:10.499:ENFORCEMENT:Predictive Enforcement Action:  Target Number: 000060E4  Target Speed:   0.0  Current Speed:  64.9</t>
  </si>
  <si>
    <t>SYS :2016/12/13 19:27:11.012:ENFORCEMENT:Predictive Enforcement Action:  Target Number: 0000617D  Target Speed:   0.0  Current Speed:  64.9</t>
  </si>
  <si>
    <t>SYS :2016/12/13 19:27:12.147:ENFORCEMENT:Predictive Enforcement Action:  Target Number: 00006185  Target Speed:   0.0  Current Speed:  63.1</t>
  </si>
  <si>
    <t>SYS :2016/12/13 21:14:10.299:ENFORCEMENT:Reactive Enforcement Action:  Target Number: 0000A013  Target Speed:  15.0  Current Speed:  20.1</t>
  </si>
  <si>
    <t>SYS :2016/12/13 21:14:11.113:ENFORCEMENT:Reactive Enforcement Action:  Target Number: 0000A013  Target Speed:  15.0  Current Speed:  20.1</t>
  </si>
  <si>
    <t>SYS :2016/12/13 21:24:48.276:ENFORCEMENT:Predictive Enforcement Action:  Target Number: 0000100B  Target Speed:   0.0  Current Speed:  13.7</t>
  </si>
  <si>
    <t>SYS :2016/12/13 21:24:48.395:ENFORCEMENT:Predictive Enforcement Action:  Target Number: 0000100B  Target Speed:   0.0  Current Speed:  13.7</t>
  </si>
  <si>
    <t>SYS :2016/12/13 21:24:54.767:ENFORCEMENT:Reactive Enforcement Action:  Target Number: 0000A00F  Target Speed:  15.0  Current Speed:  20.3</t>
  </si>
  <si>
    <t>SYS :2016/12/13 21:24:55.262:ENFORCEMENT:Reactive Enforcement Action:  Target Number: 0000A00F  Target Speed:  15.0  Current Speed:  20.3</t>
  </si>
  <si>
    <t>SYS :2016/12/13 21:24:55.355:ENFORCEMENT:Reactive Enforcement Action:  Target Number: 0000A00F  Target Speed:  15.0  Current Speed:  20.3</t>
  </si>
  <si>
    <t>SYS :2016/12/13 21:25:41.097:ENFORCEMENT:Predictive Enforcement Action:  Target Number: 0000100B  Target Speed:   0.0  Current Speed:   4.5</t>
  </si>
  <si>
    <t>SYS :2016/12/13 21:25:41.273:ENFORCEMENT:Predictive Enforcement Action:  Target Number: 0000100B  Target Speed:   0.0  Current Speed:   5.1</t>
  </si>
  <si>
    <t>SYS :2016/12/13 21:25:41.395:ENFORCEMENT:Predictive Enforcement Action:  Target Number: 0000100B  Target Speed:   0.0  Current Speed:   4.5</t>
  </si>
  <si>
    <t>SYS :2016/12/13 21:53:47.260:ENFORCEMENT:Reactive Enforcement Action:  Target Number: 0000A013  Target Speed:  15.0  Current Speed:  20.4</t>
  </si>
  <si>
    <t>SYS :2016/12/13 21:53:47.469:ENFORCEMENT:Reactive Enforcement Action:  Target Number: 0000A013  Target Speed:  15.0  Current Speed:  20.4</t>
  </si>
  <si>
    <t>SYS :2016/12/13 21:53:47.632:ENFORCEMENT:Reactive Enforcement Action:  Target Number: 0000A013  Target Speed:  15.0  Current Speed:  20.4</t>
  </si>
  <si>
    <t>SYS :2016/12/13 22:18:49.298:ENFORCEMENT:Predictive Enforcement Action:  Target Number: 000040A1  Target Speed:   0.0  Current Speed:  75.4</t>
  </si>
  <si>
    <t>SYS :2016/12/13 22:18:49.763:ENFORCEMENT:Predictive Enforcement Action:  Target Number: 00004097  Target Speed:   0.0  Current Speed:  75.7</t>
  </si>
  <si>
    <t>SYS :2016/12/13 22:40:45.987:ENFORCEMENT:Predictive Enforcement Action:  Target Number: 0000621A  Target Speed:   0.0  Current Speed:  66.0</t>
  </si>
  <si>
    <t>SYS :2016/12/13 22:41:38.137:ENFORCEMENT:Predictive Enforcement Action:  Target Number: 00006222  Target Speed:   0.0  Current Speed:  10.1</t>
  </si>
  <si>
    <t>SYS :2016/12/13 22:41:38.498:ENFORCEMENT:Predictive Enforcement Action:  Target Number: 00006185  Target Speed:   0.0  Current Speed:  10.1</t>
  </si>
  <si>
    <t>SYS :2016/12/13 22:41:38.975:ENFORCEMENT:Predictive Enforcement Action:  Target Number: 0000621A  Target Speed:   0.0  Current Speed:  10.1</t>
  </si>
  <si>
    <t>SYS :2016/12/13 22:56:02.517:ENFORCEMENT:Reactive Enforcement Action:  Target Number: 0000A00C  Target Speed:  15.0  Current Speed:  20.6</t>
  </si>
  <si>
    <t>SYS :2016/12/13 22:56:03.572:ENFORCEMENT:Reactive Enforcement Action:  Target Number: 0000A00C  Target Speed:  15.0  Current Speed:  20.6</t>
  </si>
  <si>
    <t>SYS :2016/12/13 22:56:03.837:ENFORCEMENT:Reactive Enforcement Action:  Target Number: 0000A00C  Target Speed:  15.0  Current Speed:  20.6</t>
  </si>
  <si>
    <t>SYS :2016/12/13 23:11:08.080:ENFORCEMENT:Predictive Enforcement Action:  Target Number: 0000100D  Target Speed:   0.0  Current Speed:   5.1</t>
  </si>
  <si>
    <t>SYS :2016/12/13 23:11:08.275:ENFORCEMENT:Predictive Enforcement Action:  Target Number: 0000100D  Target Speed:   0.0  Current Speed:   5.1</t>
  </si>
  <si>
    <t>SYS :2016/12/13 23:11:08.396:ENFORCEMENT:Predictive Enforcement Action:  Target Number: 0000100D  Target Speed:   0.0  Current Speed:   5.1</t>
  </si>
  <si>
    <t>SYS :2016/12/13 23:36:55.682:ENFORCEMENT:Predictive Enforcement Action:  Target Number: 00017070  Target Speed:   0.0  Current Speed:  21.5</t>
  </si>
  <si>
    <t>SYS :2016/12/13 23:36:56.001:ENFORCEMENT:Predictive Enforcement Action:  Target Number: 00017070  Target Speed:   0.0  Current Speed:  21.5</t>
  </si>
  <si>
    <t>SYS :2016/12/13 23:36:56.800:ENFORCEMENT:Predictive Enforcement Action:  Target Number: 00017070  Target Speed:   0.0  Current Speed:  20.9</t>
  </si>
  <si>
    <t>SYS :2016/12/13 23:38:55.003:ENFORCEMENT:Reactive Enforcement Action:  Target Number: 00017071  Target Speed:  22.0  Current Speed:  27.5</t>
  </si>
  <si>
    <t>SYS :2016/12/14 00:02:37.803:ENFORCEMENT:Predictive Enforcement Action:  Target Number: 000061CE  Target Speed:   0.0  Current Speed:  59.4</t>
  </si>
  <si>
    <t>SYS :2016/12/14 00:02:37.993:ENFORCEMENT:Predictive Enforcement Action:  Target Number: 0000602E  Target Speed:   0.0  Current Speed:  59.4</t>
  </si>
  <si>
    <t>SYS :2016/12/14 00:02:38.692:ENFORCEMENT:Reactive Enforcement Action:  Target Number: 000061E4  Target Speed:   0.0  Current Speed:  59.4</t>
  </si>
  <si>
    <t>SYS :2016/12/14 00:03:24.951:ENFORCEMENT:Reactive Enforcement Action:  Target Number: 0000602E  Target Speed:   0.0  Current Speed:   0.9</t>
  </si>
  <si>
    <t>SYS :2016/12/14 00:03:25.677:ENFORCEMENT:Reactive Enforcement Action:  Target Number: 000061E4  Target Speed:   0.0  Current Speed:   0.9</t>
  </si>
  <si>
    <t>SYS :2016/12/14 00:03:25.793:ENFORCEMENT:Reactive Enforcement Action:  Target Number: 000061CE  Target Speed:   0.0  Current Speed:   0.9</t>
  </si>
  <si>
    <t>SYS :2016/12/14 00:45:25.470:ENFORCEMENT:Predictive Enforcement Action:  Target Number: 000103DA  Target Speed:  30.0  Current Speed:  40.3</t>
  </si>
  <si>
    <t>SYS :2016/12/14 00:45:25.965:ENFORCEMENT:Predictive Enforcement Action:  Target Number: 000100C4  Target Speed:  30.0  Current Speed:  40.3</t>
  </si>
  <si>
    <t>SYS :2016/12/14 00:45:26.285:ENFORCEMENT:Predictive Enforcement Action:  Target Number: 00010176  Target Speed:  30.0  Current Speed:  40.3</t>
  </si>
  <si>
    <t>SYS :2016/12/14 00:55:42.444:ENFORCEMENT:Predictive Enforcement Action:  Target Number: 00001069  Target Speed:   0.0  Current Speed:  12.1</t>
  </si>
  <si>
    <t>SYS :2016/12/14 01:52:31.764:ENFORCEMENT:Predictive Enforcement Action:  Target Number: 00006290  Target Speed:   0.0  Current Speed:  55.8</t>
  </si>
  <si>
    <t>SYS :2016/12/14 01:52:32.307:ENFORCEMENT:Predictive Enforcement Action:  Target Number: 0000628A  Target Speed:   0.0  Current Speed:  56.6</t>
  </si>
  <si>
    <t>SYS :2016/12/14 03:37:33.260:ENFORCEMENT:Predictive Enforcement Action:  Target Number: 00001013  Target Speed:   0.0  Current Speed:   7.1</t>
  </si>
  <si>
    <t>SYS :2016/12/14 03:37:33.468:ENFORCEMENT:Predictive Enforcement Action:  Target Number: 00001013  Target Speed:   0.0  Current Speed:   7.1</t>
  </si>
  <si>
    <t>SYS :2016/12/14 03:38:21.671:ENFORCEMENT:Predictive Enforcement Action:  Target Number: 00001013  Target Speed:   0.0  Current Speed:   5.6</t>
  </si>
  <si>
    <t>SYS :2016/12/14 03:38:21.789:ENFORCEMENT:Predictive Enforcement Action:  Target Number: 00001013  Target Speed:   0.0  Current Speed:   5.6</t>
  </si>
  <si>
    <t>SYS :2016/12/14 03:38:21.983:ENFORCEMENT:Predictive Enforcement Action:  Target Number: 00001006  Target Speed:   0.0  Current Speed:   5.6</t>
  </si>
  <si>
    <t>SYS :2016/12/14 07:35:30.672:ENFORCEMENT:Predictive Enforcement Action:  Target Number: 00001017  Target Speed:   0.0  Current Speed:   6.4</t>
  </si>
  <si>
    <t>SYS :2016/12/14 07:35:30.797:ENFORCEMENT:Predictive Enforcement Action:  Target Number: 00001017  Target Speed:   0.0  Current Speed:   6.4</t>
  </si>
  <si>
    <t>SYS :2016/12/14 07:35:30.991:ENFORCEMENT:Predictive Enforcement Action:  Target Number: 0000100A  Target Speed:   0.0  Current Speed:   6.4</t>
  </si>
  <si>
    <t>SYS :2016/12/14 08:00:49.298:ENFORCEMENT:Predictive Enforcement Action:  Target Number: 000101DE  Target Speed:  45.0  Current Speed:  55.3</t>
  </si>
  <si>
    <t>Banner without braking</t>
  </si>
  <si>
    <t>40th 4S STOP, banner without braking</t>
  </si>
  <si>
    <t>Onboard in-route failure delayed departure</t>
  </si>
  <si>
    <t>Network equipment failure (CRMF House RuggedComm Switch)</t>
  </si>
  <si>
    <t>Operator entered wrong CCROC at first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</si>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</sst>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stevetu21.github.io/eaglep3/load_kml.html?kml=http://rtdc.gmaps-snips.s3.amazonaws.com/3a7a92b0-dfb8-45cb-9049-d0962f29e465.kml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stevetu21.github.io/eaglep3/load_kml.html?kml=http://rtdc.gmaps-snips.s3.amazonaws.com/1ea63d55-5467-4deb-81ab-dcb7bed3fb5c.kml" TargetMode="External"/><Relationship Id="rId1" Type="http://schemas.openxmlformats.org/officeDocument/2006/relationships/hyperlink" Target="http://stevetu21.github.io/eaglep3/load_kml.html?kml=http://rtdc.gmaps-snips.s3.amazonaws.com/c8c401c3-209e-4063-a77f-222eaa2e00b8.kml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stevetu21.github.io/eaglep3/load_kml.html?kml=http://rtdc.gmaps-snips.s3.amazonaws.com/cb4080be-70bb-4ef4-9495-bf99725c2326.k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8"/>
  <sheetViews>
    <sheetView topLeftCell="A53" zoomScaleNormal="100" workbookViewId="0">
      <selection activeCell="A71" activeCellId="1" sqref="A66:XFD66 A71:XFD7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42717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142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45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COUNTIFS($N$13:$N$9359,"&gt;0",$AG$13:$AG$9359,I1)</f>
        <v>135</v>
      </c>
      <c r="K5" s="44"/>
      <c r="L5" s="44"/>
      <c r="M5" s="45">
        <f>AVERAGEIFS($N$13:$N$9359,$AG$13:$AG$9359,I1)</f>
        <v>42.08456790136794</v>
      </c>
      <c r="N5" s="43">
        <f t="array" ref="N5">MIN(IF($AG$13:$AG$9359=I1,IF(ISNUMBER($N$13:$N$9359),IF($N$13:$N$9359&gt;0,$N$13:$N$9359))))</f>
        <v>35.166666673030704</v>
      </c>
      <c r="O5" s="3">
        <f t="array" ref="O5">MAX(IF($AG$13:$AG$9359=I1,IF(ISNUMBER($N$13:$N$9359),IF($N$13:$N$9359&gt;0,$N$13:$N$9359))))</f>
        <v>56.26666666008532</v>
      </c>
      <c r="P5" s="2"/>
      <c r="R5" s="80" t="s">
        <v>17</v>
      </c>
      <c r="S5" s="55">
        <f>COUNTIFS($N$13:$N$9359,"&gt;0",$AG$13:$AG$9359,R1)</f>
        <v>42</v>
      </c>
      <c r="T5" s="44"/>
      <c r="U5" s="169"/>
      <c r="V5" s="45">
        <f>AVERAGEIFS($N$13:$N$9359,$AG$13:$AG$9359,R1)</f>
        <v>15.134920633281581</v>
      </c>
      <c r="W5" s="43">
        <f t="array" ref="W5">MIN(IF($AG$13:$AG$9359=R1,IF(ISNUMBER($N$13:$N$9359),IF($N$13:$N$9359&gt;0,$N$13:$N$9359))))</f>
        <v>12.833333326270804</v>
      </c>
      <c r="X5" s="173">
        <f t="array" ref="X5">MAX(IF($AG$13:$AG$9359=R1,IF(ISNUMBER($N$13:$N$9359),IF($N$13:$N$9359&gt;0,$N$13:$N$9359))))</f>
        <v>19.333333326503634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9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COUNTIFS($P$13:$P$9359,"&gt;0",$AG$13:$AG$9359,I1)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COUNTIFS($P$13:$P$9359,"&gt;0",$AG$13:$AG$9359,R1)</f>
        <v>3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135</v>
      </c>
      <c r="K8" s="44"/>
      <c r="L8" s="44"/>
      <c r="M8" s="45">
        <f>M5</f>
        <v>42.08456790136794</v>
      </c>
      <c r="N8" s="43">
        <f>N5</f>
        <v>35.166666673030704</v>
      </c>
      <c r="O8" s="3">
        <f>O5</f>
        <v>56.26666666008532</v>
      </c>
      <c r="P8" s="2"/>
      <c r="R8" s="80" t="s">
        <v>16</v>
      </c>
      <c r="S8" s="55">
        <f>S5</f>
        <v>42</v>
      </c>
      <c r="T8" s="44"/>
      <c r="U8" s="169"/>
      <c r="V8" s="45">
        <f>V5</f>
        <v>15.134920633281581</v>
      </c>
      <c r="W8" s="43">
        <f>W5</f>
        <v>12.833333326270804</v>
      </c>
      <c r="X8" s="173">
        <f>X5</f>
        <v>19.333333326503634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0.95070422535211263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0.93333333333333335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- 2016-12-13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AVERAGE(S13:S99)</f>
        <v>0.9821428571428571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403</v>
      </c>
      <c r="B13" s="7">
        <v>4044</v>
      </c>
      <c r="C13" s="22" t="s">
        <v>207</v>
      </c>
      <c r="D13" s="22" t="s">
        <v>402</v>
      </c>
      <c r="E13" s="13">
        <v>42717.129016203704</v>
      </c>
      <c r="F13" s="13">
        <v>42717.135613425926</v>
      </c>
      <c r="G13" s="7">
        <v>1</v>
      </c>
      <c r="H13" s="22" t="s">
        <v>635</v>
      </c>
      <c r="I13" s="13">
        <v>42717.162638888891</v>
      </c>
      <c r="J13" s="7">
        <v>1</v>
      </c>
      <c r="K13" s="109" t="str">
        <f t="shared" ref="K13:K74" si="0">IF(ISEVEN(B13),(B13-1)&amp;"/"&amp;B13,B13&amp;"/"&amp;(B13+1))</f>
        <v>4043/4044</v>
      </c>
      <c r="L13" s="22" t="str">
        <f>VLOOKUP(A13,'Trips&amp;Operators'!$C$1:$G$99999,5,FALSE)</f>
        <v>KILLION DAVID</v>
      </c>
      <c r="M13" s="6">
        <f t="shared" ref="M13:M74" si="1">I13-F13</f>
        <v>2.7025462964957114E-2</v>
      </c>
      <c r="N13" s="7">
        <f t="shared" ref="N13:N22" si="2">24*60*SUM($M13:$M13)</f>
        <v>38.916666669538245</v>
      </c>
      <c r="O13" s="7"/>
      <c r="P13" s="7"/>
      <c r="Q13" s="23"/>
      <c r="R13" s="23"/>
      <c r="S13" s="35">
        <f t="shared" ref="S13:S22" si="3">SUM(U13:U13)/IF(AG13="EC",12,1)</f>
        <v>1</v>
      </c>
      <c r="T13" s="50" t="str">
        <f t="shared" ref="T13:T74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4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https://search-rtdc-monitor-bjffxe2xuh6vdkpspy63sjmuny.us-east-1.es.amazonaws.com/_plugin/kibana/#/discover/Steve-Slow-Train-Analysis-(2080s-and-2083s)?_g=(refreshInterval:(display:Off,section:0,value:0),time:(from:'2016-12-13 02:05:47-700',mode:absolute,to:'2016-12-13 04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4" si="6">IF(AA13&lt;IF(AG13="EC",23,5.65),"Y","N")</f>
        <v>N</v>
      </c>
      <c r="X13" s="177" t="e">
        <f t="shared" ref="X13:X26" si="7">VALUE(LEFT(AD13,4))-VALUE(LEFT(AD12,4))</f>
        <v>#VALUE!</v>
      </c>
      <c r="Y13" s="67">
        <f t="shared" ref="Y13:Y44" si="8">RIGHT(D13,LEN(D13)-4)/10000</f>
        <v>7.5700000000000003E-2</v>
      </c>
      <c r="Z13" s="67">
        <f t="shared" ref="Z13:Z44" si="9">RIGHT(H13,LEN(H13)-4)/10000</f>
        <v>23.3353</v>
      </c>
      <c r="AA13" s="67">
        <f t="shared" ref="AA13:AA74" si="10">ABS(Z13-Y13)</f>
        <v>23.259599999999999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4" si="11">IF(LEN(A13)=6,"0"&amp;A13,A13)</f>
        <v>0101-13</v>
      </c>
      <c r="AE13" s="91" t="str">
        <f t="shared" ref="AE13:AE7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13" s="88" t="str">
        <f t="shared" ref="AF13:AF7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/stypes="app*4044*20161213*" /stext=" 10:.+((SYSTEM_STATE.+slice.+state.+changed )|(ment ac)|(multiple cpu faults)|(system.+state.+changed )|(\[timeout)|(PRM\|1\|D)|(kpr)|(kdp)|(\|lc)|(penalty))" /e /r /s</v>
      </c>
      <c r="AG13" s="1" t="str">
        <f t="shared" ref="AG13:AG7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4044 --swversion DE.1.0.8.0 --startMP 204:757 --initTime 2016-12-13T03:05:47 --startdatetime 2016-12-13T03:15:17 --delay 1 --endMP 204:233353 --enddatetime 2016-12-13T03:54:12 --enforcementcount 1 &gt;&gt;C:\Users\stu\Documents\GitHub\eaglep3-reporting\EC\2016-12-13-refined-times.txt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{"issue":{"subject":"","project_id":79,"tracker_id":40,"status_id":1,"priority_id":2,"assigned_to_id":23,"start_date":"2016-12-13","description":"","custom_fields":[{"id":1,"name":"Subdivision","value":"EC"},{"id":4,"name":"Milepost","value":"23.3353"},{"id":17,"name":"Train ID","value":"101-13"},{"id":16,"name":"Locomotive ID","value":"4044"},{"id":130,"name":"Impact","value":""},{"id":150,"name":"Time of Event (Mountain Time)","value":"03:54:12"},{"id":151,"name":"Denver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452</v>
      </c>
      <c r="B14" s="7">
        <v>4052</v>
      </c>
      <c r="C14" s="22" t="s">
        <v>207</v>
      </c>
      <c r="D14" s="22" t="s">
        <v>366</v>
      </c>
      <c r="E14" s="13">
        <v>42717.169305555559</v>
      </c>
      <c r="F14" s="13">
        <v>42717.174513888887</v>
      </c>
      <c r="G14" s="7">
        <v>1</v>
      </c>
      <c r="H14" s="22" t="s">
        <v>213</v>
      </c>
      <c r="I14" s="13">
        <v>42717.206273148149</v>
      </c>
      <c r="J14" s="7">
        <v>0</v>
      </c>
      <c r="K14" s="109" t="str">
        <f t="shared" si="0"/>
        <v>4051/4052</v>
      </c>
      <c r="L14" s="22" t="str">
        <f>VLOOKUP(A14,'Trips&amp;Operators'!$C$1:$G$99999,5,FALSE)</f>
        <v>KILLION DAVID</v>
      </c>
      <c r="M14" s="6">
        <f t="shared" si="1"/>
        <v>3.1759259261889383E-2</v>
      </c>
      <c r="N14" s="7">
        <f t="shared" si="2"/>
        <v>45.733333337120712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03:03:48-700',mode:absolute,to:'2016-12-13 05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23.270600000000002</v>
      </c>
      <c r="Z14" s="67">
        <f t="shared" si="9"/>
        <v>1.4999999999999999E-2</v>
      </c>
      <c r="AA14" s="67">
        <f t="shared" si="10"/>
        <v>23.255600000000001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0102-13</v>
      </c>
      <c r="AE14" s="91" t="str">
        <f t="shared" si="12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14" s="88" t="str">
        <f t="shared" si="13"/>
        <v>"C:\Program Files (x86)\AstroGrep\AstroGrep.exe" /spath="%USERPROFILE%\AppData\Local\Temp\OnboardLogs" /stypes="app*4052*20161213*"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4052 --swversion DE.1.0.8.0 --startMP 204:232706 --initTime 2016-12-13T04:03:48 --startdatetime 2016-12-13T04:11:18 --delay 1 --endMP 204:150 --enddatetime 2016-12-13T04:57:02 --enforcementcount 0 &gt;&gt;C:\Users\stu\Documents\GitHub\eaglep3-reporting\EC\2016-12-13-refined-times.txt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{"issue":{"subject":"","project_id":79,"tracker_id":40,"status_id":1,"priority_id":2,"assigned_to_id":23,"start_date":"2016-12-13","description":"","custom_fields":[{"id":1,"name":"Subdivision","value":"EC"},{"id":4,"name":"Milepost","value":"0.015"},{"id":17,"name":"Train ID","value":"102-13"},{"id":16,"name":"Locomotive ID","value":"4052"},{"id":130,"name":"Impact","value":""},{"id":150,"name":"Time of Event (Mountain Time)","value":"04:57:02"},{"id":151,"name":"Denver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448</v>
      </c>
      <c r="B15" s="7">
        <v>4020</v>
      </c>
      <c r="C15" s="22" t="s">
        <v>207</v>
      </c>
      <c r="D15" s="22" t="s">
        <v>636</v>
      </c>
      <c r="E15" s="13">
        <v>42717.152025462965</v>
      </c>
      <c r="F15" s="13">
        <v>42717.156446759262</v>
      </c>
      <c r="G15" s="7">
        <v>2</v>
      </c>
      <c r="H15" s="22" t="s">
        <v>637</v>
      </c>
      <c r="I15" s="13">
        <v>42717.184513888889</v>
      </c>
      <c r="J15" s="7">
        <v>0</v>
      </c>
      <c r="K15" s="109" t="str">
        <f t="shared" si="0"/>
        <v>4019/4020</v>
      </c>
      <c r="L15" s="22" t="str">
        <f>VLOOKUP(A15,'Trips&amp;Operators'!$C$1:$G$99999,5,FALSE)</f>
        <v>ACKERMAN JARED</v>
      </c>
      <c r="M15" s="6">
        <f t="shared" si="1"/>
        <v>2.806712962774327E-2</v>
      </c>
      <c r="N15" s="7">
        <f t="shared" si="2"/>
        <v>40.416666663950309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02:38:55-700',mode:absolute,to:'2016-12-13 05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7.3499999999999996E-2</v>
      </c>
      <c r="Z15" s="67">
        <f t="shared" si="9"/>
        <v>23.335100000000001</v>
      </c>
      <c r="AA15" s="67">
        <f t="shared" si="10"/>
        <v>23.261600000000001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0103-13</v>
      </c>
      <c r="AE15" s="91" t="str">
        <f t="shared" si="12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15" s="88" t="str">
        <f t="shared" si="13"/>
        <v>"C:\Program Files (x86)\AstroGrep\AstroGrep.exe" /spath="%USERPROFILE%\AppData\Local\Temp\OnboardLogs" /stypes="app*4020*20161213*"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103-13 --locoid 4020 --swversion DE.1.0.8.0 --startMP 204:735 --initTime 2016-12-13T03:38:55 --startdatetime 2016-12-13T03:45:17 --delay 2 --endMP 204:233351 --enddatetime 2016-12-13T04:25:42 --enforcementcount 0 &gt;&gt;C:\Users\stu\Documents\GitHub\eaglep3-reporting\EC\2016-12-13-refined-times.txt</v>
      </c>
      <c r="AI1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{"issue":{"subject":"","project_id":79,"tracker_id":40,"status_id":1,"priority_id":2,"assigned_to_id":23,"start_date":"2016-12-13","description":"","custom_fields":[{"id":1,"name":"Subdivision","value":"EC"},{"id":4,"name":"Milepost","value":"23.3351"},{"id":17,"name":"Train ID","value":"103-13"},{"id":16,"name":"Locomotive ID","value":"4020"},{"id":130,"name":"Impact","value":""},{"id":150,"name":"Time of Event (Mountain Time)","value":"04:25:42"},{"id":151,"name":"Denver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406</v>
      </c>
      <c r="B16" s="7">
        <v>4004</v>
      </c>
      <c r="C16" s="22" t="s">
        <v>207</v>
      </c>
      <c r="D16" s="22" t="s">
        <v>638</v>
      </c>
      <c r="E16" s="13">
        <v>42717.189456018517</v>
      </c>
      <c r="F16" s="13">
        <v>42717.195393518516</v>
      </c>
      <c r="G16" s="7">
        <v>2</v>
      </c>
      <c r="H16" s="22" t="s">
        <v>242</v>
      </c>
      <c r="I16" s="13">
        <v>42717.23296296296</v>
      </c>
      <c r="J16" s="7">
        <v>1</v>
      </c>
      <c r="K16" s="109" t="str">
        <f t="shared" si="0"/>
        <v>4003/4004</v>
      </c>
      <c r="L16" s="22" t="str">
        <f>VLOOKUP(A16,'Trips&amp;Operators'!$C$1:$G$99999,5,FALSE)</f>
        <v>ACKERMAN JARED</v>
      </c>
      <c r="M16" s="6">
        <f t="shared" si="1"/>
        <v>3.7569444444670808E-2</v>
      </c>
      <c r="N16" s="7">
        <f t="shared" si="2"/>
        <v>54.100000000325963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03:32:49-700',mode:absolute,to:'2016-12-13 06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23.271699999999999</v>
      </c>
      <c r="Z16" s="67">
        <f t="shared" si="9"/>
        <v>1.4500000000000001E-2</v>
      </c>
      <c r="AA16" s="67">
        <f t="shared" si="10"/>
        <v>23.257199999999997</v>
      </c>
      <c r="AB16" s="64" t="str">
        <f>VLOOKUP(A16,Enforcements!$C$7:$K$19,8,0)</f>
        <v>Speed (6)</v>
      </c>
      <c r="AC16" s="60" t="str">
        <f>VLOOKUP(A16,Enforcements!$C$7:$E$19,3,0)</f>
        <v>PERMANENT SPEED RESTRICTION</v>
      </c>
      <c r="AD16" s="61" t="str">
        <f t="shared" si="11"/>
        <v>0104-13</v>
      </c>
      <c r="AE16" s="91" t="str">
        <f t="shared" si="12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16" s="88" t="str">
        <f t="shared" si="13"/>
        <v>"C:\Program Files (x86)\AstroGrep\AstroGrep.exe" /spath="%USERPROFILE%\AppData\Local\Temp\OnboardLogs" /stypes="app*4004*20161213*"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104-13 --locoid 4004 --swversion DE.1.0.8.0 --startMP 204:232717 --initTime 2016-12-13T04:32:49 --startdatetime 2016-12-13T04:41:22 --delay 2 --endMP 204:145 --enddatetime 2016-12-13T05:35:28 --enforcementcount 1 &gt;&gt;C:\Users\stu\Documents\GitHub\eaglep3-reporting\EC\2016-12-13-refined-times.txt</v>
      </c>
      <c r="AI1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{"issue":{"subject":"","project_id":79,"tracker_id":40,"status_id":1,"priority_id":2,"assigned_to_id":23,"start_date":"2016-12-13","description":"","custom_fields":[{"id":1,"name":"Subdivision","value":"EC"},{"id":4,"name":"Milepost","value":"0.0145"},{"id":17,"name":"Train ID","value":"104-13"},{"id":16,"name":"Locomotive ID","value":"4004"},{"id":130,"name":"Impact","value":""},{"id":150,"name":"Time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453</v>
      </c>
      <c r="B17" s="7">
        <v>4022</v>
      </c>
      <c r="C17" s="22" t="s">
        <v>207</v>
      </c>
      <c r="D17" s="22" t="s">
        <v>639</v>
      </c>
      <c r="E17" s="13">
        <v>42717.172858796293</v>
      </c>
      <c r="F17" s="13">
        <v>42717.177430555559</v>
      </c>
      <c r="G17" s="7">
        <v>1</v>
      </c>
      <c r="H17" s="22" t="s">
        <v>367</v>
      </c>
      <c r="I17" s="13">
        <v>42717.204560185186</v>
      </c>
      <c r="J17" s="7">
        <v>0</v>
      </c>
      <c r="K17" s="109" t="str">
        <f t="shared" si="0"/>
        <v>4021/4022</v>
      </c>
      <c r="L17" s="22" t="str">
        <f>VLOOKUP(A17,'Trips&amp;Operators'!$C$1:$G$99999,5,FALSE)</f>
        <v>BEAM ROSS</v>
      </c>
      <c r="M17" s="6">
        <f t="shared" si="1"/>
        <v>2.7129629626870155E-2</v>
      </c>
      <c r="N17" s="7">
        <f t="shared" si="2"/>
        <v>39.066666662693024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03:08:55-700',mode:absolute,to:'2016-12-13 05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7.4999999999999997E-2</v>
      </c>
      <c r="Z17" s="67">
        <f t="shared" si="9"/>
        <v>23.329699999999999</v>
      </c>
      <c r="AA17" s="67">
        <f t="shared" si="10"/>
        <v>23.2547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0105-13</v>
      </c>
      <c r="AE17" s="91" t="str">
        <f t="shared" si="12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7" s="88" t="str">
        <f t="shared" si="13"/>
        <v>"C:\Program Files (x86)\AstroGrep\AstroGrep.exe" /spath="%USERPROFILE%\AppData\Local\Temp\OnboardLogs" /stypes="app*4022*20161213*"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105-13 --locoid 4022 --swversion DE.1.0.8.0 --startMP 204:750 --initTime 2016-12-13T04:08:55 --startdatetime 2016-12-13T04:15:30 --delay 1 --endMP 204:233297 --enddatetime 2016-12-13T04:54:34 --enforcementcount 0 &gt;&gt;C:\Users\stu\Documents\GitHub\eaglep3-reporting\EC\2016-12-13-refined-times.txt</v>
      </c>
      <c r="AI1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{"issue":{"subject":"","project_id":79,"tracker_id":40,"status_id":1,"priority_id":2,"assigned_to_id":23,"start_date":"2016-12-13","description":"","custom_fields":[{"id":1,"name":"Subdivision","value":"EC"},{"id":4,"name":"Milepost","value":"23.3297"},{"id":17,"name":"Train ID","value":"105-13"},{"id":16,"name":"Locomotive ID","value":"4022"},{"id":130,"name":"Impact","value":""},{"id":150,"name":"Time of Event (Mountain Time)","value":"04:54:34"},{"id":151,"name":"Denver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409</v>
      </c>
      <c r="B18" s="7">
        <v>4015</v>
      </c>
      <c r="C18" s="22" t="s">
        <v>207</v>
      </c>
      <c r="D18" s="22" t="s">
        <v>640</v>
      </c>
      <c r="E18" s="13">
        <v>42717.209537037037</v>
      </c>
      <c r="F18" s="13">
        <v>42717.216226851851</v>
      </c>
      <c r="G18" s="7">
        <v>1</v>
      </c>
      <c r="H18" s="22" t="s">
        <v>242</v>
      </c>
      <c r="I18" s="13">
        <v>42717.246967592589</v>
      </c>
      <c r="J18" s="7">
        <v>2</v>
      </c>
      <c r="K18" s="109" t="str">
        <f t="shared" si="0"/>
        <v>4015/4016</v>
      </c>
      <c r="L18" s="22" t="str">
        <f>VLOOKUP(A18,'Trips&amp;Operators'!$C$1:$G$99999,5,FALSE)</f>
        <v>BEAM ROSS</v>
      </c>
      <c r="M18" s="6">
        <f t="shared" si="1"/>
        <v>3.0740740738110617E-2</v>
      </c>
      <c r="N18" s="7">
        <f t="shared" si="2"/>
        <v>44.266666662879288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04:01:44-700',mode:absolute,to:'2016-12-13 06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23.2685</v>
      </c>
      <c r="Z18" s="67">
        <f t="shared" si="9"/>
        <v>1.4500000000000001E-2</v>
      </c>
      <c r="AA18" s="67">
        <f t="shared" si="10"/>
        <v>23.253999999999998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0106-13</v>
      </c>
      <c r="AE18" s="91" t="str">
        <f t="shared" si="12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18" s="88" t="str">
        <f t="shared" si="13"/>
        <v>"C:\Program Files (x86)\AstroGrep\AstroGrep.exe" /spath="%USERPROFILE%\AppData\Local\Temp\OnboardLogs" /stypes="app*4015*20161213*"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106-13 --locoid 4015 --swversion DE.1.0.8.0 --startMP 204:232685 --initTime 2016-12-13T05:01:44 --startdatetime 2016-12-13T05:11:22 --delay 1 --endMP 204:145 --enddatetime 2016-12-13T05:55:38 --enforcementcount 2 &gt;&gt;C:\Users\stu\Documents\GitHub\eaglep3-reporting\EC\2016-12-13-refined-times.txt</v>
      </c>
      <c r="AI1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{"issue":{"subject":"","project_id":79,"tracker_id":40,"status_id":1,"priority_id":2,"assigned_to_id":23,"start_date":"2016-12-13","description":"","custom_fields":[{"id":1,"name":"Subdivision","value":"EC"},{"id":4,"name":"Milepost","value":"0.0145"},{"id":17,"name":"Train ID","value":"106-13"},{"id":16,"name":"Locomotive ID","value":"4015"},{"id":130,"name":"Impact","value":""},{"id":150,"name":"Time of Event (Mountain Time)","value":"05:55:38"},{"id":151,"name":"Denver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407</v>
      </c>
      <c r="B19" s="7">
        <v>4031</v>
      </c>
      <c r="C19" s="22" t="s">
        <v>207</v>
      </c>
      <c r="D19" s="22" t="s">
        <v>379</v>
      </c>
      <c r="E19" s="13">
        <v>42717.183761574073</v>
      </c>
      <c r="F19" s="13">
        <v>42717.187685185185</v>
      </c>
      <c r="G19" s="7">
        <v>1</v>
      </c>
      <c r="H19" s="22" t="s">
        <v>641</v>
      </c>
      <c r="I19" s="13">
        <v>42717.215960648151</v>
      </c>
      <c r="J19" s="7">
        <v>1</v>
      </c>
      <c r="K19" s="109" t="str">
        <f t="shared" si="0"/>
        <v>4031/4032</v>
      </c>
      <c r="L19" s="22" t="str">
        <f>VLOOKUP(A19,'Trips&amp;Operators'!$C$1:$G$99999,5,FALSE)</f>
        <v>SPECTOR MICHAEL</v>
      </c>
      <c r="M19" s="6">
        <f t="shared" si="1"/>
        <v>2.8275462966121268E-2</v>
      </c>
      <c r="N19" s="7">
        <f t="shared" si="2"/>
        <v>40.716666671214625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03:24:37-700',mode:absolute,to:'2016-12-13 06:10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4.8399999999999999E-2</v>
      </c>
      <c r="Z19" s="67">
        <f t="shared" si="9"/>
        <v>23.331800000000001</v>
      </c>
      <c r="AA19" s="67">
        <f t="shared" si="10"/>
        <v>23.2834</v>
      </c>
      <c r="AB19" s="64" t="str">
        <f>VLOOKUP(A19,Enforcements!$C$7:$K$19,8,0)</f>
        <v>Signal based authority (5)</v>
      </c>
      <c r="AC19" s="60" t="str">
        <f>VLOOKUP(A19,Enforcements!$C$7:$E$19,3,0)</f>
        <v>SIGNAL</v>
      </c>
      <c r="AD19" s="61" t="str">
        <f t="shared" si="11"/>
        <v>0107-13</v>
      </c>
      <c r="AE19" s="91" t="str">
        <f t="shared" si="12"/>
        <v>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 &amp; 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</v>
      </c>
      <c r="AF19" s="88" t="str">
        <f t="shared" si="13"/>
        <v>"C:\Program Files (x86)\AstroGrep\AstroGrep.exe" /spath="%USERPROFILE%\AppData\Local\Temp\OnboardLogs" /stypes="app*4031*20161213*"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107-13 --locoid 4031 --swversion DE.1.0.8.0 --startMP 204:484 --initTime 2016-12-13T04:24:37 --startdatetime 2016-12-13T04:30:16 --delay 1 --endMP 204:233318 --enddatetime 2016-12-13T05:10:59 --enforcementcount 1 &gt;&gt;C:\Users\stu\Documents\GitHub\eaglep3-reporting\EC\2016-12-13-refined-times.txt</v>
      </c>
      <c r="AI19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{"issue":{"subject":"","project_id":79,"tracker_id":40,"status_id":1,"priority_id":2,"assigned_to_id":23,"start_date":"2016-12-13","description":"","custom_fields":[{"id":1,"name":"Subdivision","value":"EC"},{"id":4,"name":"Milepost","value":"23.3318"},{"id":17,"name":"Train ID","value":"107-13"},{"id":16,"name":"Locomotive ID","value":"4031"},{"id":130,"name":"Impact","value":""},{"id":150,"name":"Time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410</v>
      </c>
      <c r="B20" s="7">
        <v>4032</v>
      </c>
      <c r="C20" s="22" t="s">
        <v>207</v>
      </c>
      <c r="D20" s="22" t="s">
        <v>642</v>
      </c>
      <c r="E20" s="13">
        <v>42717.223495370374</v>
      </c>
      <c r="F20" s="13">
        <v>42717.227453703701</v>
      </c>
      <c r="G20" s="7">
        <v>1</v>
      </c>
      <c r="H20" s="22" t="s">
        <v>643</v>
      </c>
      <c r="I20" s="13">
        <v>42717.260266203702</v>
      </c>
      <c r="J20" s="7">
        <v>2</v>
      </c>
      <c r="K20" s="109" t="str">
        <f t="shared" si="0"/>
        <v>4031/4032</v>
      </c>
      <c r="L20" s="22" t="str">
        <f>VLOOKUP(A20,'Trips&amp;Operators'!$C$1:$G$99999,5,FALSE)</f>
        <v>SPECTOR MICHAEL</v>
      </c>
      <c r="M20" s="6">
        <f t="shared" si="1"/>
        <v>3.2812500001455192E-2</v>
      </c>
      <c r="N20" s="7">
        <f t="shared" si="2"/>
        <v>47.250000002095476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04:21:50-700',mode:absolute,to:'2016-12-13 07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23.299199999999999</v>
      </c>
      <c r="Z20" s="67">
        <f t="shared" si="9"/>
        <v>8.7900000000000006E-2</v>
      </c>
      <c r="AA20" s="67">
        <f t="shared" si="10"/>
        <v>23.211299999999998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0108-13</v>
      </c>
      <c r="AE20" s="91" t="str">
        <f t="shared" si="12"/>
        <v>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 &amp; 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</v>
      </c>
      <c r="AF20" s="88" t="str">
        <f t="shared" si="13"/>
        <v>"C:\Program Files (x86)\AstroGrep\AstroGrep.exe" /spath="%USERPROFILE%\AppData\Local\Temp\OnboardLogs" /stypes="app*4032*20161213*"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108-13 --locoid 4032 --swversion DE.1.0.8.0 --startMP 204:232992 --initTime 2016-12-13T05:21:50 --startdatetime 2016-12-13T05:27:32 --delay 1 --endMP 204:879 --enddatetime 2016-12-13T06:14:47 --enforcementcount 2 &gt;&gt;C:\Users\stu\Documents\GitHub\eaglep3-reporting\EC\2016-12-13-refined-times.txt</v>
      </c>
      <c r="AI20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{"issue":{"subject":"","project_id":79,"tracker_id":40,"status_id":1,"priority_id":2,"assigned_to_id":23,"start_date":"2016-12-13","description":"","custom_fields":[{"id":1,"name":"Subdivision","value":"EC"},{"id":4,"name":"Milepost","value":"0.0879"},{"id":17,"name":"Train ID","value":"108-13"},{"id":16,"name":"Locomotive ID","value":"4032"},{"id":130,"name":"Impact","value":""},{"id":150,"name":"Time of Event (Mountain Time)","value":"06:14:47"},{"id":151,"name":"Denver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456</v>
      </c>
      <c r="B21" s="7">
        <v>4042</v>
      </c>
      <c r="C21" s="22" t="s">
        <v>207</v>
      </c>
      <c r="D21" s="22" t="s">
        <v>194</v>
      </c>
      <c r="E21" s="13">
        <v>42717.197025462963</v>
      </c>
      <c r="F21" s="13">
        <v>42717.199224537035</v>
      </c>
      <c r="G21" s="7">
        <v>2</v>
      </c>
      <c r="H21" s="22" t="s">
        <v>644</v>
      </c>
      <c r="I21" s="13">
        <v>42717.230520833335</v>
      </c>
      <c r="J21" s="7">
        <v>0</v>
      </c>
      <c r="K21" s="109" t="str">
        <f t="shared" si="0"/>
        <v>4041/4042</v>
      </c>
      <c r="L21" s="22" t="str">
        <f>VLOOKUP(A21,'Trips&amp;Operators'!$C$1:$G$99999,5,FALSE)</f>
        <v>CUSHING HARRY</v>
      </c>
      <c r="M21" s="6">
        <f t="shared" si="1"/>
        <v>3.1296296299842652E-2</v>
      </c>
      <c r="N21" s="7">
        <f t="shared" si="2"/>
        <v>45.066666671773419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03:43:43-700',mode:absolute,to:'2016-12-13 06:31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4.4699999999999997E-2</v>
      </c>
      <c r="Z21" s="67">
        <f t="shared" si="9"/>
        <v>23.326599999999999</v>
      </c>
      <c r="AA21" s="67">
        <f t="shared" si="10"/>
        <v>23.2819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0109-13</v>
      </c>
      <c r="AE21" s="91" t="str">
        <f t="shared" si="12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21" s="88" t="str">
        <f t="shared" si="13"/>
        <v>"C:\Program Files (x86)\AstroGrep\AstroGrep.exe" /spath="%USERPROFILE%\AppData\Local\Temp\OnboardLogs" /stypes="app*4042*20161213*"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109-13 --locoid 4042 --swversion DE.1.0.8.0 --startMP 204:447 --initTime 2016-12-13T04:43:43 --startdatetime 2016-12-13T04:46:53 --delay 2 --endMP 204:233266 --enddatetime 2016-12-13T05:31:57 --enforcementcount 0 &gt;&gt;C:\Users\stu\Documents\GitHub\eaglep3-reporting\EC\2016-12-13-refined-times.txt</v>
      </c>
      <c r="AI21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{"issue":{"subject":"","project_id":79,"tracker_id":40,"status_id":1,"priority_id":2,"assigned_to_id":23,"start_date":"2016-12-13","description":"","custom_fields":[{"id":1,"name":"Subdivision","value":"EC"},{"id":4,"name":"Milepost","value":"23.3266"},{"id":17,"name":"Train ID","value":"109-13"},{"id":16,"name":"Locomotive ID","value":"4042"},{"id":130,"name":"Impact","value":""},{"id":150,"name":"Time of Event (Mountain Time)","value":"05:31:57"},{"id":151,"name":"Denver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461</v>
      </c>
      <c r="B22" s="7">
        <v>4041</v>
      </c>
      <c r="C22" s="22" t="s">
        <v>207</v>
      </c>
      <c r="D22" s="22" t="s">
        <v>645</v>
      </c>
      <c r="E22" s="13">
        <v>42717.232557870368</v>
      </c>
      <c r="F22" s="13">
        <v>42717.237407407411</v>
      </c>
      <c r="G22" s="7">
        <v>3</v>
      </c>
      <c r="H22" s="22" t="s">
        <v>646</v>
      </c>
      <c r="I22" s="13">
        <v>42717.27648148148</v>
      </c>
      <c r="J22" s="7">
        <v>0</v>
      </c>
      <c r="K22" s="109" t="str">
        <f t="shared" si="0"/>
        <v>4041/4042</v>
      </c>
      <c r="L22" s="22" t="str">
        <f>VLOOKUP(A22,'Trips&amp;Operators'!$C$1:$G$99999,5,FALSE)</f>
        <v>CUSHING HARRY</v>
      </c>
      <c r="M22" s="6">
        <f t="shared" si="1"/>
        <v>3.9074074069503695E-2</v>
      </c>
      <c r="N22" s="7">
        <f t="shared" si="2"/>
        <v>56.26666666008532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04:34:53-700',mode:absolute,to:'2016-12-13 07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23.295100000000001</v>
      </c>
      <c r="Z22" s="67">
        <f t="shared" si="9"/>
        <v>1.6899999999999998E-2</v>
      </c>
      <c r="AA22" s="67">
        <f t="shared" si="10"/>
        <v>23.278200000000002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0110-13</v>
      </c>
      <c r="AE22" s="91" t="str">
        <f t="shared" si="12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22" s="88" t="str">
        <f t="shared" si="13"/>
        <v>"C:\Program Files (x86)\AstroGrep\AstroGrep.exe" /spath="%USERPROFILE%\AppData\Local\Temp\OnboardLogs" /stypes="app*4041*20161213*"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110-13 --locoid 4041 --swversion DE.1.0.8.0 --startMP 204:232951 --initTime 2016-12-13T05:34:53 --startdatetime 2016-12-13T05:41:52 --delay 3 --endMP 204:169 --enddatetime 2016-12-13T06:38:08 --enforcementcount 0 &gt;&gt;C:\Users\stu\Documents\GitHub\eaglep3-reporting\EC\2016-12-13-refined-times.txt</v>
      </c>
      <c r="AI22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{"issue":{"subject":"","project_id":79,"tracker_id":40,"status_id":1,"priority_id":2,"assigned_to_id":23,"start_date":"2016-12-13","description":"","custom_fields":[{"id":1,"name":"Subdivision","value":"EC"},{"id":4,"name":"Milepost","value":"0.0169"},{"id":17,"name":"Train ID","value":"110-13"},{"id":16,"name":"Locomotive ID","value":"4041"},{"id":130,"name":"Impact","value":""},{"id":150,"name":"Time of Event (Mountain Time)","value":"06:38:08"},{"id":151,"name":"Denver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408</v>
      </c>
      <c r="B23" s="7">
        <v>4044</v>
      </c>
      <c r="C23" s="22" t="s">
        <v>207</v>
      </c>
      <c r="D23" s="22" t="s">
        <v>647</v>
      </c>
      <c r="E23" s="13">
        <v>42717.219108796293</v>
      </c>
      <c r="F23" s="13">
        <v>42717.221504629626</v>
      </c>
      <c r="G23" s="7">
        <v>0</v>
      </c>
      <c r="H23" s="22" t="s">
        <v>316</v>
      </c>
      <c r="I23" s="13">
        <v>42717.244583333333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DAVIS MICHAEL</v>
      </c>
      <c r="M23" s="6">
        <f t="shared" si="1"/>
        <v>2.3078703707142267E-2</v>
      </c>
      <c r="N23" s="7"/>
      <c r="O23" s="7"/>
      <c r="P23" s="7">
        <f>24*60*SUM($M23:$M23)</f>
        <v>33.233333338284865</v>
      </c>
      <c r="Q23" s="23"/>
      <c r="R23" s="23" t="s">
        <v>820</v>
      </c>
      <c r="S23" s="35">
        <f>SUM(U23:U24)/IF(AG23="EC",12,1)</f>
        <v>0.75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9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04:15:31-700',mode:absolute,to:'2016-12-13 06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Y</v>
      </c>
      <c r="X23" s="177">
        <f t="shared" si="7"/>
        <v>1</v>
      </c>
      <c r="Y23" s="67">
        <f t="shared" si="8"/>
        <v>3.7187999999999999</v>
      </c>
      <c r="Z23" s="67">
        <f t="shared" si="9"/>
        <v>23.329499999999999</v>
      </c>
      <c r="AA23" s="67">
        <f t="shared" si="10"/>
        <v>19.610700000000001</v>
      </c>
      <c r="AB23" s="64" t="str">
        <f>VLOOKUP(A23,Enforcements!$C$7:$K$19,8,0)</f>
        <v>Signal based authority (5)</v>
      </c>
      <c r="AC23" s="60" t="str">
        <f>VLOOKUP(A23,Enforcements!$C$7:$E$19,3,0)</f>
        <v>SIGNAL</v>
      </c>
      <c r="AD23" s="61" t="str">
        <f t="shared" si="11"/>
        <v>0111-13</v>
      </c>
      <c r="AE23" s="91" t="str">
        <f t="shared" si="12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23" s="88" t="str">
        <f t="shared" si="13"/>
        <v>"C:\Program Files (x86)\AstroGrep\AstroGrep.exe" /spath="%USERPROFILE%\AppData\Local\Temp\OnboardLogs" /stypes="app*4044*20161213*"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111-13 --locoid 4044 --swversion DE.1.0.8.0 --startMP 204:37188 --initTime 2016-12-13T05:15:31 --startdatetime 2016-12-13T05:18:58 --delay 0 --endMP 204:233295 --enddatetime 2016-12-13T05:52:12 --enforcementcount 0 &gt;&gt;C:\Users\stu\Documents\GitHub\eaglep3-reporting\EC\2016-12-13-refined-times.txt</v>
      </c>
      <c r="AI23" s="119" t="str">
        <f t="shared" si="18"/>
        <v>echo {"issue":{"subject":"DUS SW 9 was reversed, train didn't have route","project_id":79,"tracker_id":40,"status_id":1,"priority_id":2,"assigned_to_id":23,"start_date":"2016-12-13","description":"","custom_fields":[{"id":1,"name":"Subdivision","value":"EC"},{"id":4,"name":"Milepost","value":"23.3295"},{"id":17,"name":"Train ID","value":"111-13"},{"id":16,"name":"Locomotive ID","value":"4044"},{"id":130,"name":"Impact","value":""},{"id":150,"name":"Time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408</v>
      </c>
      <c r="B24" s="7">
        <v>4044</v>
      </c>
      <c r="C24" s="22" t="s">
        <v>207</v>
      </c>
      <c r="D24" s="22" t="s">
        <v>648</v>
      </c>
      <c r="E24" s="13">
        <v>42717.210486111115</v>
      </c>
      <c r="F24" s="13">
        <v>42717.221504629626</v>
      </c>
      <c r="G24" s="7">
        <v>1</v>
      </c>
      <c r="H24" s="22" t="s">
        <v>649</v>
      </c>
      <c r="I24" s="13">
        <v>42717.244583333333</v>
      </c>
      <c r="J24" s="7">
        <v>1</v>
      </c>
      <c r="K24" s="109" t="str">
        <f t="shared" si="0"/>
        <v>4043/4044</v>
      </c>
      <c r="L24" s="22" t="str">
        <f>VLOOKUP(A24,'Trips&amp;Operators'!$C$1:$G$99999,5,FALSE)</f>
        <v>DAVIS MICHAEL</v>
      </c>
      <c r="M24" s="6">
        <f t="shared" si="1"/>
        <v>2.3078703707142267E-2</v>
      </c>
      <c r="N24" s="7"/>
      <c r="O24" s="7"/>
      <c r="P24" s="7"/>
      <c r="Q24" s="23"/>
      <c r="R24" s="23"/>
      <c r="S24" s="35"/>
      <c r="T24" s="50" t="str">
        <f t="shared" si="4"/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04:03:06-700',mode:absolute,to:'2016-12-13 06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4" s="52" t="str">
        <f t="shared" si="6"/>
        <v>Y</v>
      </c>
      <c r="X24" s="177">
        <f t="shared" si="7"/>
        <v>0</v>
      </c>
      <c r="Y24" s="67">
        <f t="shared" si="8"/>
        <v>7.46E-2</v>
      </c>
      <c r="Z24" s="67">
        <f t="shared" si="9"/>
        <v>0.13039999999999999</v>
      </c>
      <c r="AA24" s="67">
        <f t="shared" si="10"/>
        <v>5.5799999999999988E-2</v>
      </c>
      <c r="AB24" s="64" t="str">
        <f>VLOOKUP(A24,Enforcements!$C$7:$K$19,8,0)</f>
        <v>Signal based authority (5)</v>
      </c>
      <c r="AC24" s="60" t="str">
        <f>VLOOKUP(A24,Enforcements!$C$7:$E$19,3,0)</f>
        <v>SIGNAL</v>
      </c>
      <c r="AD24" s="61" t="str">
        <f t="shared" si="11"/>
        <v>0111-13</v>
      </c>
      <c r="AE24" s="91" t="str">
        <f t="shared" si="12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24" s="88" t="str">
        <f t="shared" si="13"/>
        <v>"C:\Program Files (x86)\AstroGrep\AstroGrep.exe" /spath="%USERPROFILE%\AppData\Local\Temp\OnboardLogs" /stypes="app*4044*20161213*" /stext=" 12:.+((SYSTEM_STATE.+slice.+state.+changed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111-13 --locoid 4044 --swversion DE.1.0.8.0 --startMP 204:746 --initTime 2016-12-13T05:03:06 --startdatetime 2016-12-13T05:18:58 --delay 1 --endMP 204:1304 --enddatetime 2016-12-13T05:52:12 --enforcementcount 1 &gt;&gt;C:\Users\stu\Documents\GitHub\eaglep3-reporting\EC\2016-12-13-refined-times.txt</v>
      </c>
      <c r="AI24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{"issue":{"subject":"","project_id":79,"tracker_id":40,"status_id":1,"priority_id":2,"assigned_to_id":23,"start_date":"2016-12-13","description":"","custom_fields":[{"id":1,"name":"Subdivision","value":"EC"},{"id":4,"name":"Milepost","value":"0.1304"},{"id":17,"name":"Train ID","value":"111-13"},{"id":16,"name":"Locomotive ID","value":"4044"},{"id":130,"name":"Impact","value":""},{"id":150,"name":"Time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4043</v>
      </c>
      <c r="C25" s="22" t="s">
        <v>207</v>
      </c>
      <c r="D25" s="22" t="s">
        <v>338</v>
      </c>
      <c r="E25" s="13">
        <v>42717.245844907404</v>
      </c>
      <c r="F25" s="13">
        <v>42717.24759259259</v>
      </c>
      <c r="G25" s="7">
        <v>1</v>
      </c>
      <c r="H25" s="22" t="s">
        <v>192</v>
      </c>
      <c r="I25" s="13">
        <v>42717.281342592592</v>
      </c>
      <c r="J25" s="7">
        <v>0</v>
      </c>
      <c r="K25" s="109" t="str">
        <f t="shared" si="0"/>
        <v>4043/4044</v>
      </c>
      <c r="L25" s="22" t="str">
        <f>VLOOKUP(A25,'Trips&amp;Operators'!$C$1:$G$99999,5,FALSE)</f>
        <v>DAVIS MICHAEL</v>
      </c>
      <c r="M25" s="6">
        <f t="shared" si="1"/>
        <v>3.3750000002328306E-2</v>
      </c>
      <c r="N25" s="7">
        <f t="shared" ref="N25:N63" si="19">24*60*SUM($M25:$M25)</f>
        <v>48.600000003352761</v>
      </c>
      <c r="O25" s="7"/>
      <c r="P25" s="7"/>
      <c r="Q25" s="23"/>
      <c r="R25" s="23"/>
      <c r="S25" s="35">
        <f t="shared" ref="S25:S63" si="20">SUM(U25:U25)/IF(AG25="EC",12,1)</f>
        <v>1</v>
      </c>
      <c r="T25" s="50" t="str">
        <f t="shared" si="4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04:54:01-700',mode:absolute,to:'2016-12-13 07:45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23.299299999999999</v>
      </c>
      <c r="Z25" s="67">
        <f t="shared" si="9"/>
        <v>1.49E-2</v>
      </c>
      <c r="AA25" s="67">
        <f t="shared" si="10"/>
        <v>23.284399999999998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0112-13</v>
      </c>
      <c r="AE25" s="91" t="str">
        <f t="shared" si="12"/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AF25" s="88" t="str">
        <f t="shared" si="13"/>
        <v>"C:\Program Files (x86)\AstroGrep\AstroGrep.exe" /spath="%USERPROFILE%\AppData\Local\Temp\OnboardLogs" /stypes="app*4043*20161213*"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112-13 --locoid 4043 --swversion DE.1.0.8.0 --startMP 204:232993 --initTime 2016-12-13T05:54:01 --startdatetime 2016-12-13T05:56:32 --delay 1 --endMP 204:149 --enddatetime 2016-12-13T06:45:08 --enforcementcount 0 &gt;&gt;C:\Users\stu\Documents\GitHub\eaglep3-reporting\EC\2016-12-13-refined-times.txt</v>
      </c>
      <c r="AI2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{"issue":{"subject":"","project_id":79,"tracker_id":40,"status_id":1,"priority_id":2,"assigned_to_id":23,"start_date":"2016-12-13","description":"","custom_fields":[{"id":1,"name":"Subdivision","value":"EC"},{"id":4,"name":"Milepost","value":"0.0149"},{"id":17,"name":"Train ID","value":"112-13"},{"id":16,"name":"Locomotive ID","value":"4043"},{"id":130,"name":"Impact","value":""},{"id":150,"name":"Time of Event (Mountain Time)","value":"06:45:08"},{"id":151,"name":"Denver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458</v>
      </c>
      <c r="B26" s="7">
        <v>4051</v>
      </c>
      <c r="C26" s="22" t="s">
        <v>207</v>
      </c>
      <c r="D26" s="22" t="s">
        <v>279</v>
      </c>
      <c r="E26" s="13">
        <v>42717.216377314813</v>
      </c>
      <c r="F26" s="13">
        <v>42717.219965277778</v>
      </c>
      <c r="G26" s="7">
        <v>1</v>
      </c>
      <c r="H26" s="22" t="s">
        <v>650</v>
      </c>
      <c r="I26" s="13">
        <v>42717.247916666667</v>
      </c>
      <c r="J26" s="7">
        <v>0</v>
      </c>
      <c r="K26" s="109" t="str">
        <f t="shared" si="0"/>
        <v>4051/4052</v>
      </c>
      <c r="L26" s="22" t="str">
        <f>VLOOKUP(A26,'Trips&amp;Operators'!$C$1:$G$99999,5,FALSE)</f>
        <v>KILLION DAVID</v>
      </c>
      <c r="M26" s="6">
        <f t="shared" si="1"/>
        <v>2.7951388889050577E-2</v>
      </c>
      <c r="N26" s="7">
        <f t="shared" si="19"/>
        <v>40.250000000232831</v>
      </c>
      <c r="O26" s="7"/>
      <c r="P26" s="7"/>
      <c r="Q26" s="23"/>
      <c r="R26" s="23"/>
      <c r="S26" s="35">
        <f t="shared" si="20"/>
        <v>1</v>
      </c>
      <c r="T26" s="50" t="str">
        <f t="shared" si="4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04:11:35-700',mode:absolute,to:'2016-12-13 06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4.6399999999999997E-2</v>
      </c>
      <c r="Z26" s="67">
        <f t="shared" si="9"/>
        <v>23.327999999999999</v>
      </c>
      <c r="AA26" s="67">
        <f t="shared" si="10"/>
        <v>23.281600000000001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0113-13</v>
      </c>
      <c r="AE26" s="91" t="str">
        <f t="shared" si="12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26" s="88" t="str">
        <f t="shared" si="13"/>
        <v>"C:\Program Files (x86)\AstroGrep\AstroGrep.exe" /spath="%USERPROFILE%\AppData\Local\Temp\OnboardLogs" /stypes="app*4051*20161213*" /stext=" 12:.+((SYSTEM_STATE.+slice.+state.+changed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113-13 --locoid 4051 --swversion DE.1.0.8.0 --startMP 204:464 --initTime 2016-12-13T05:11:35 --startdatetime 2016-12-13T05:16:45 --delay 1 --endMP 204:233280 --enddatetime 2016-12-13T05:57:00 --enforcementcount 0 &gt;&gt;C:\Users\stu\Documents\GitHub\eaglep3-reporting\EC\2016-12-13-refined-times.txt</v>
      </c>
      <c r="AI2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{"issue":{"subject":"","project_id":79,"tracker_id":40,"status_id":1,"priority_id":2,"assigned_to_id":23,"start_date":"2016-12-13","description":"","custom_fields":[{"id":1,"name":"Subdivision","value":"EC"},{"id":4,"name":"Milepost","value":"23.328"},{"id":17,"name":"Train ID","value":"113-13"},{"id":16,"name":"Locomotive ID","value":"4051"},{"id":130,"name":"Impact","value":""},{"id":150,"name":"Time of Event (Mountain Time)","value":"05:57:00"},{"id":151,"name":"Denver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470</v>
      </c>
      <c r="B27" s="7">
        <v>4052</v>
      </c>
      <c r="C27" s="22" t="s">
        <v>207</v>
      </c>
      <c r="D27" s="22" t="s">
        <v>314</v>
      </c>
      <c r="E27" s="13">
        <v>42717.255902777775</v>
      </c>
      <c r="F27" s="13">
        <v>42717.257905092592</v>
      </c>
      <c r="G27" s="7">
        <v>1</v>
      </c>
      <c r="H27" s="22" t="s">
        <v>278</v>
      </c>
      <c r="I27" s="13">
        <v>42717.292291666665</v>
      </c>
      <c r="J27" s="7">
        <v>0</v>
      </c>
      <c r="K27" s="109" t="str">
        <f t="shared" si="0"/>
        <v>4051/4052</v>
      </c>
      <c r="L27" s="22" t="str">
        <f>VLOOKUP(A27,'Trips&amp;Operators'!$C$1:$G$99999,5,FALSE)</f>
        <v>KILLION DAVID</v>
      </c>
      <c r="M27" s="6">
        <f t="shared" si="1"/>
        <v>3.4386574072414078E-2</v>
      </c>
      <c r="N27" s="7">
        <f t="shared" si="19"/>
        <v>49.516666664276272</v>
      </c>
      <c r="O27" s="7"/>
      <c r="P27" s="7"/>
      <c r="Q27" s="23"/>
      <c r="R27" s="23"/>
      <c r="S27" s="35">
        <f t="shared" si="20"/>
        <v>1</v>
      </c>
      <c r="T27" s="50" t="str">
        <f t="shared" si="4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05:08:30-700',mode:absolute,to:'2016-12-13 08:00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7" s="52" t="str">
        <f t="shared" si="6"/>
        <v>N</v>
      </c>
      <c r="X27" s="177">
        <f t="shared" ref="X27:X29" si="21">VALUE(LEFT(AD27,4))-VALUE(LEFT(AD26,4))</f>
        <v>1</v>
      </c>
      <c r="Y27" s="67">
        <f t="shared" si="8"/>
        <v>23.297699999999999</v>
      </c>
      <c r="Z27" s="67">
        <f t="shared" si="9"/>
        <v>1.52E-2</v>
      </c>
      <c r="AA27" s="67">
        <f t="shared" si="10"/>
        <v>23.282499999999999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0114-13</v>
      </c>
      <c r="AE27" s="91" t="str">
        <f t="shared" si="12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27" s="88" t="str">
        <f t="shared" si="13"/>
        <v>"C:\Program Files (x86)\AstroGrep\AstroGrep.exe" /spath="%USERPROFILE%\AppData\Local\Temp\OnboardLogs" /stypes="app*4052*20161213*" /stext=" 14:.+((SYSTEM_STATE.+slice.+state.+changed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114-13 --locoid 4052 --swversion DE.1.0.8.0 --startMP 204:232977 --initTime 2016-12-13T06:08:30 --startdatetime 2016-12-13T06:11:23 --delay 1 --endMP 204:152 --enddatetime 2016-12-13T07:00:54 --enforcementcount 0 &gt;&gt;C:\Users\stu\Documents\GitHub\eaglep3-reporting\EC\2016-12-13-refined-times.txt</v>
      </c>
      <c r="AI2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ID","value":"114-13"},{"id":16,"name":"Locomotive ID","value":"4052"},{"id":130,"name":"Impact","value":""},{"id":150,"name":"Time of Event (Mountain Time)","value":"07:00:54"},{"id":151,"name":"Denver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460</v>
      </c>
      <c r="B28" s="7">
        <v>4011</v>
      </c>
      <c r="C28" s="22" t="s">
        <v>207</v>
      </c>
      <c r="D28" s="22" t="s">
        <v>380</v>
      </c>
      <c r="E28" s="13">
        <v>42717.227418981478</v>
      </c>
      <c r="F28" s="13">
        <v>42717.236990740741</v>
      </c>
      <c r="G28" s="7">
        <v>1</v>
      </c>
      <c r="H28" s="22" t="s">
        <v>341</v>
      </c>
      <c r="I28" s="13">
        <v>42717.26458333333</v>
      </c>
      <c r="J28" s="7">
        <v>0</v>
      </c>
      <c r="K28" s="109" t="str">
        <f t="shared" si="0"/>
        <v>4011/4012</v>
      </c>
      <c r="L28" s="22" t="str">
        <f>VLOOKUP(A28,'Trips&amp;Operators'!$C$1:$G$99999,5,FALSE)</f>
        <v>DAVIDSON DAVID</v>
      </c>
      <c r="M28" s="6">
        <f t="shared" si="1"/>
        <v>2.7592592588916887E-2</v>
      </c>
      <c r="N28" s="7">
        <f t="shared" si="19"/>
        <v>39.733333328040317</v>
      </c>
      <c r="O28" s="7"/>
      <c r="P28" s="7"/>
      <c r="Q28" s="23"/>
      <c r="R28" s="23"/>
      <c r="S28" s="35">
        <f t="shared" si="20"/>
        <v>1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04:27:29-700',mode:absolute,to:'2016-12-13 07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8" s="52" t="str">
        <f t="shared" si="6"/>
        <v>N</v>
      </c>
      <c r="X28" s="177">
        <f t="shared" si="21"/>
        <v>1</v>
      </c>
      <c r="Y28" s="67">
        <f t="shared" si="8"/>
        <v>0.1196</v>
      </c>
      <c r="Z28" s="67">
        <f t="shared" si="9"/>
        <v>23.331399999999999</v>
      </c>
      <c r="AA28" s="67">
        <f t="shared" si="10"/>
        <v>23.2118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0115-13</v>
      </c>
      <c r="AE28" s="91" t="str">
        <f t="shared" si="12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28" s="88" t="str">
        <f t="shared" si="13"/>
        <v>"C:\Program Files (x86)\AstroGrep\AstroGrep.exe" /spath="%USERPROFILE%\AppData\Local\Temp\OnboardLogs" /stypes="app*4011*20161213*"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115-13 --locoid 4011 --swversion DE.1.0.8.0 --startMP 204:1196 --initTime 2016-12-13T05:27:29 --startdatetime 2016-12-13T05:41:16 --delay 1 --endMP 204:233314 --enddatetime 2016-12-13T06:21:00 --enforcementcount 0 &gt;&gt;C:\Users\stu\Documents\GitHub\eaglep3-reporting\EC\2016-12-13-refined-times.txt</v>
      </c>
      <c r="AI2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{"issue":{"subject":"","project_id":79,"tracker_id":40,"status_id":1,"priority_id":2,"assigned_to_id":23,"start_date":"2016-12-13","description":"","custom_fields":[{"id":1,"name":"Subdivision","value":"EC"},{"id":4,"name":"Milepost","value":"23.3314"},{"id":17,"name":"Train ID","value":"115-13"},{"id":16,"name":"Locomotive ID","value":"4011"},{"id":130,"name":"Impact","value":""},{"id":150,"name":"Time of Event (Mountain Time)","value":"06:21:00"},{"id":151,"name":"Denver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473</v>
      </c>
      <c r="B29" s="7">
        <v>4012</v>
      </c>
      <c r="C29" s="22" t="s">
        <v>207</v>
      </c>
      <c r="D29" s="22" t="s">
        <v>323</v>
      </c>
      <c r="E29" s="13">
        <v>42717.266400462962</v>
      </c>
      <c r="F29" s="13">
        <v>42717.26834490741</v>
      </c>
      <c r="G29" s="7">
        <v>1</v>
      </c>
      <c r="H29" s="22" t="s">
        <v>318</v>
      </c>
      <c r="I29" s="13">
        <v>42717.299409722225</v>
      </c>
      <c r="J29" s="7">
        <v>0</v>
      </c>
      <c r="K29" s="109" t="str">
        <f t="shared" si="0"/>
        <v>4011/4012</v>
      </c>
      <c r="L29" s="22" t="str">
        <f>VLOOKUP(A29,'Trips&amp;Operators'!$C$1:$G$99999,5,FALSE)</f>
        <v>DAVIDSON DAVID</v>
      </c>
      <c r="M29" s="6">
        <f t="shared" si="1"/>
        <v>3.1064814815181307E-2</v>
      </c>
      <c r="N29" s="7">
        <f t="shared" si="19"/>
        <v>44.733333333861083</v>
      </c>
      <c r="O29" s="7"/>
      <c r="P29" s="7"/>
      <c r="Q29" s="23"/>
      <c r="R29" s="23"/>
      <c r="S29" s="35">
        <f t="shared" si="20"/>
        <v>1</v>
      </c>
      <c r="T29" s="50" t="str">
        <f t="shared" si="4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05:23:37-700',mode:absolute,to:'2016-12-13 08:11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9" s="52" t="str">
        <f t="shared" si="6"/>
        <v>N</v>
      </c>
      <c r="X29" s="177">
        <f t="shared" si="21"/>
        <v>1</v>
      </c>
      <c r="Y29" s="67">
        <f t="shared" si="8"/>
        <v>23.2987</v>
      </c>
      <c r="Z29" s="67">
        <f t="shared" si="9"/>
        <v>1.6E-2</v>
      </c>
      <c r="AA29" s="67">
        <f t="shared" si="10"/>
        <v>23.282700000000002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0116-13</v>
      </c>
      <c r="AE29" s="91" t="str">
        <f t="shared" si="12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29" s="88" t="str">
        <f t="shared" si="13"/>
        <v>"C:\Program Files (x86)\AstroGrep\AstroGrep.exe" /spath="%USERPROFILE%\AppData\Local\Temp\OnboardLogs" /stypes="app*4012*20161213*"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116-13 --locoid 4012 --swversion DE.1.0.8.0 --startMP 204:232987 --initTime 2016-12-13T06:23:37 --startdatetime 2016-12-13T06:26:25 --delay 1 --endMP 204:160 --enddatetime 2016-12-13T07:11:09 --enforcementcount 0 &gt;&gt;C:\Users\stu\Documents\GitHub\eaglep3-reporting\EC\2016-12-13-refined-times.txt</v>
      </c>
      <c r="AI29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{"issue":{"subject":"","project_id":79,"tracker_id":40,"status_id":1,"priority_id":2,"assigned_to_id":23,"start_date":"2016-12-13","description":"","custom_fields":[{"id":1,"name":"Subdivision","value":"EC"},{"id":4,"name":"Milepost","value":"0.016"},{"id":17,"name":"Train ID","value":"116-13"},{"id":16,"name":"Locomotive ID","value":"4012"},{"id":130,"name":"Impact","value":""},{"id":150,"name":"Time of Event (Mountain Time)","value":"07:11:09"},{"id":151,"name":"Denver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462</v>
      </c>
      <c r="B30" s="7">
        <v>4020</v>
      </c>
      <c r="C30" s="22" t="s">
        <v>207</v>
      </c>
      <c r="D30" s="22" t="s">
        <v>651</v>
      </c>
      <c r="E30" s="13">
        <v>42717.239247685182</v>
      </c>
      <c r="F30" s="13">
        <v>42717.24145833333</v>
      </c>
      <c r="G30" s="7">
        <v>1</v>
      </c>
      <c r="H30" s="22" t="s">
        <v>341</v>
      </c>
      <c r="I30" s="13">
        <v>42717.271967592591</v>
      </c>
      <c r="J30" s="7">
        <v>0</v>
      </c>
      <c r="K30" s="109" t="str">
        <f t="shared" si="0"/>
        <v>4019/4020</v>
      </c>
      <c r="L30" s="22" t="str">
        <f>VLOOKUP(A30,'Trips&amp;Operators'!$C$1:$G$99999,5,FALSE)</f>
        <v>ACKERMAN JARED</v>
      </c>
      <c r="M30" s="6">
        <f t="shared" si="1"/>
        <v>3.050925926072523E-2</v>
      </c>
      <c r="N30" s="7">
        <f t="shared" si="19"/>
        <v>43.933333335444331</v>
      </c>
      <c r="O30" s="7"/>
      <c r="P30" s="7"/>
      <c r="Q30" s="23"/>
      <c r="R30" s="23"/>
      <c r="S30" s="35">
        <f t="shared" si="20"/>
        <v>1</v>
      </c>
      <c r="T30" s="50" t="str">
        <f t="shared" si="4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04:44:31-700',mode:absolute,to:'2016-12-13 07:31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0" s="52" t="str">
        <f t="shared" si="6"/>
        <v>N</v>
      </c>
      <c r="X30" s="177">
        <f t="shared" ref="X30:X63" si="22">VALUE(LEFT(AD30,4))-VALUE(LEFT(AD29,4))</f>
        <v>1</v>
      </c>
      <c r="Y30" s="67">
        <f t="shared" si="8"/>
        <v>7.6100000000000001E-2</v>
      </c>
      <c r="Z30" s="67">
        <f t="shared" si="9"/>
        <v>23.331399999999999</v>
      </c>
      <c r="AA30" s="67">
        <f t="shared" si="10"/>
        <v>23.255299999999998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0117-13</v>
      </c>
      <c r="AE30" s="91" t="str">
        <f t="shared" si="12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30" s="88" t="str">
        <f t="shared" si="13"/>
        <v>"C:\Program Files (x86)\AstroGrep\AstroGrep.exe" /spath="%USERPROFILE%\AppData\Local\Temp\OnboardLogs" /stypes="app*4020*20161213*"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117-13 --locoid 4020 --swversion DE.1.0.8.0 --startMP 204:761 --initTime 2016-12-13T05:44:31 --startdatetime 2016-12-13T05:47:42 --delay 1 --endMP 204:233314 --enddatetime 2016-12-13T06:31:38 --enforcementcount 0 &gt;&gt;C:\Users\stu\Documents\GitHub\eaglep3-reporting\EC\2016-12-13-refined-times.txt</v>
      </c>
      <c r="AI30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{"issue":{"subject":"","project_id":79,"tracker_id":40,"status_id":1,"priority_id":2,"assigned_to_id":23,"start_date":"2016-12-13","description":"","custom_fields":[{"id":1,"name":"Subdivision","value":"EC"},{"id":4,"name":"Milepost","value":"23.3314"},{"id":17,"name":"Train ID","value":"117-13"},{"id":16,"name":"Locomotive ID","value":"4020"},{"id":130,"name":"Impact","value":""},{"id":150,"name":"Time of Event (Mountain Time)","value":"06:31:38"},{"id":151,"name":"Denver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475</v>
      </c>
      <c r="B31" s="7">
        <v>4019</v>
      </c>
      <c r="C31" s="22" t="s">
        <v>207</v>
      </c>
      <c r="D31" s="22" t="s">
        <v>280</v>
      </c>
      <c r="E31" s="13">
        <v>42717.274895833332</v>
      </c>
      <c r="F31" s="13">
        <v>42717.279548611114</v>
      </c>
      <c r="G31" s="7">
        <v>1</v>
      </c>
      <c r="H31" s="22" t="s">
        <v>193</v>
      </c>
      <c r="I31" s="13">
        <v>42717.311620370368</v>
      </c>
      <c r="J31" s="7">
        <v>0</v>
      </c>
      <c r="K31" s="109" t="str">
        <f t="shared" si="0"/>
        <v>4019/4020</v>
      </c>
      <c r="L31" s="22" t="str">
        <f>VLOOKUP(A31,'Trips&amp;Operators'!$C$1:$G$99999,5,FALSE)</f>
        <v>ACKERMAN JARED</v>
      </c>
      <c r="M31" s="6">
        <f t="shared" si="1"/>
        <v>3.2071759254904464E-2</v>
      </c>
      <c r="N31" s="7">
        <f t="shared" si="19"/>
        <v>46.183333327062428</v>
      </c>
      <c r="O31" s="7"/>
      <c r="P31" s="7"/>
      <c r="Q31" s="23"/>
      <c r="R31" s="23"/>
      <c r="S31" s="35">
        <f t="shared" si="20"/>
        <v>1</v>
      </c>
      <c r="T31" s="50" t="str">
        <f t="shared" si="4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05:35:51-700',mode:absolute,to:'2016-12-13 08:28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1" s="52" t="str">
        <f t="shared" si="6"/>
        <v>N</v>
      </c>
      <c r="X31" s="177">
        <f t="shared" si="22"/>
        <v>1</v>
      </c>
      <c r="Y31" s="67">
        <f t="shared" si="8"/>
        <v>23.299399999999999</v>
      </c>
      <c r="Z31" s="67">
        <f t="shared" si="9"/>
        <v>1.43E-2</v>
      </c>
      <c r="AA31" s="67">
        <f t="shared" si="10"/>
        <v>23.2851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0118-13</v>
      </c>
      <c r="AE31" s="91" t="str">
        <f t="shared" si="12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31" s="88" t="str">
        <f t="shared" si="13"/>
        <v>"C:\Program Files (x86)\AstroGrep\AstroGrep.exe" /spath="%USERPROFILE%\AppData\Local\Temp\OnboardLogs" /stypes="app*4019*20161213*"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118-13 --locoid 4019 --swversion DE.1.0.8.0 --startMP 204:232994 --initTime 2016-12-13T06:35:51 --startdatetime 2016-12-13T06:42:33 --delay 1 --endMP 204:143 --enddatetime 2016-12-13T07:28:44 --enforcementcount 0 &gt;&gt;C:\Users\stu\Documents\GitHub\eaglep3-reporting\EC\2016-12-13-refined-times.txt</v>
      </c>
      <c r="AI31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{"issue":{"subject":"","project_id":79,"tracker_id":40,"status_id":1,"priority_id":2,"assigned_to_id":23,"start_date":"2016-12-13","description":"","custom_fields":[{"id":1,"name":"Subdivision","value":"EC"},{"id":4,"name":"Milepost","value":"0.0143"},{"id":17,"name":"Train ID","value":"118-13"},{"id":16,"name":"Locomotive ID","value":"4019"},{"id":130,"name":"Impact","value":""},{"id":150,"name":"Time of Event (Mountain Time)","value":"07:28:44"},{"id":151,"name":"Denver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467</v>
      </c>
      <c r="B32" s="7">
        <v>4022</v>
      </c>
      <c r="C32" s="22" t="s">
        <v>207</v>
      </c>
      <c r="D32" s="22" t="s">
        <v>652</v>
      </c>
      <c r="E32" s="13">
        <v>42717.250520833331</v>
      </c>
      <c r="F32" s="13">
        <v>42717.252002314817</v>
      </c>
      <c r="G32" s="7">
        <v>1</v>
      </c>
      <c r="H32" s="22" t="s">
        <v>335</v>
      </c>
      <c r="I32" s="13">
        <v>42717.282754629632</v>
      </c>
      <c r="J32" s="7">
        <v>0</v>
      </c>
      <c r="K32" s="109" t="str">
        <f t="shared" si="0"/>
        <v>4021/4022</v>
      </c>
      <c r="L32" s="22" t="str">
        <f>VLOOKUP(A32,'Trips&amp;Operators'!$C$1:$G$99999,5,FALSE)</f>
        <v>BEAM ROSS</v>
      </c>
      <c r="M32" s="6">
        <f t="shared" si="1"/>
        <v>3.0752314814890269E-2</v>
      </c>
      <c r="N32" s="7">
        <f t="shared" si="19"/>
        <v>44.283333333441988</v>
      </c>
      <c r="O32" s="7"/>
      <c r="P32" s="7"/>
      <c r="Q32" s="23"/>
      <c r="R32" s="23"/>
      <c r="S32" s="35">
        <f t="shared" si="20"/>
        <v>1</v>
      </c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05:00:45-700',mode:absolute,to:'2016-12-13 07:47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2" s="52" t="str">
        <f t="shared" si="6"/>
        <v>N</v>
      </c>
      <c r="X32" s="177">
        <f t="shared" si="22"/>
        <v>1</v>
      </c>
      <c r="Y32" s="67">
        <f t="shared" si="8"/>
        <v>7.7399999999999997E-2</v>
      </c>
      <c r="Z32" s="67">
        <f t="shared" si="9"/>
        <v>23.3293</v>
      </c>
      <c r="AA32" s="67">
        <f t="shared" si="10"/>
        <v>23.251899999999999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0119-13</v>
      </c>
      <c r="AE32" s="91" t="str">
        <f t="shared" si="12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32" s="88" t="str">
        <f t="shared" si="13"/>
        <v>"C:\Program Files (x86)\AstroGrep\AstroGrep.exe" /spath="%USERPROFILE%\AppData\Local\Temp\OnboardLogs" /stypes="app*4022*20161213*"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119-13 --locoid 4022 --swversion DE.1.0.8.0 --startMP 204:774 --initTime 2016-12-13T06:00:45 --startdatetime 2016-12-13T06:02:53 --delay 1 --endMP 204:233293 --enddatetime 2016-12-13T06:47:10 --enforcementcount 0 &gt;&gt;C:\Users\stu\Documents\GitHub\eaglep3-reporting\EC\2016-12-13-refined-times.txt</v>
      </c>
      <c r="AI32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{"issue":{"subject":"","project_id":79,"tracker_id":40,"status_id":1,"priority_id":2,"assigned_to_id":23,"start_date":"2016-12-13","description":"","custom_fields":[{"id":1,"name":"Subdivision","value":"EC"},{"id":4,"name":"Milepost","value":"23.3293"},{"id":17,"name":"Train ID","value":"119-13"},{"id":16,"name":"Locomotive ID","value":"4022"},{"id":130,"name":"Impact","value":""},{"id":150,"name":"Time of Event (Mountain Time)","value":"06:47:10"},{"id":151,"name":"Denver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479</v>
      </c>
      <c r="B33" s="7">
        <v>4021</v>
      </c>
      <c r="C33" s="22" t="s">
        <v>207</v>
      </c>
      <c r="D33" s="22" t="s">
        <v>336</v>
      </c>
      <c r="E33" s="13">
        <v>42717.285590277781</v>
      </c>
      <c r="F33" s="13">
        <v>42717.289131944446</v>
      </c>
      <c r="G33" s="7">
        <v>1</v>
      </c>
      <c r="H33" s="22" t="s">
        <v>226</v>
      </c>
      <c r="I33" s="13">
        <v>42717.320347222223</v>
      </c>
      <c r="J33" s="7">
        <v>0</v>
      </c>
      <c r="K33" s="109" t="str">
        <f t="shared" si="0"/>
        <v>4021/4022</v>
      </c>
      <c r="L33" s="22" t="str">
        <f>VLOOKUP(A33,'Trips&amp;Operators'!$C$1:$G$99999,5,FALSE)</f>
        <v>BEAM ROSS</v>
      </c>
      <c r="M33" s="6">
        <f t="shared" si="1"/>
        <v>3.1215277776937E-2</v>
      </c>
      <c r="N33" s="7">
        <f t="shared" si="19"/>
        <v>44.949999998789281</v>
      </c>
      <c r="O33" s="7"/>
      <c r="P33" s="7"/>
      <c r="Q33" s="23"/>
      <c r="R33" s="23"/>
      <c r="S33" s="35">
        <f t="shared" si="20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05:51:15-700',mode:absolute,to:'2016-12-13 08:41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3" s="52" t="str">
        <f t="shared" si="6"/>
        <v>N</v>
      </c>
      <c r="X33" s="177">
        <f t="shared" si="22"/>
        <v>1</v>
      </c>
      <c r="Y33" s="67">
        <f t="shared" si="8"/>
        <v>23.299099999999999</v>
      </c>
      <c r="Z33" s="67">
        <f t="shared" si="9"/>
        <v>1.54E-2</v>
      </c>
      <c r="AA33" s="67">
        <f t="shared" si="10"/>
        <v>23.2837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0120-13</v>
      </c>
      <c r="AE33" s="91" t="str">
        <f t="shared" si="12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33" s="88" t="str">
        <f t="shared" si="13"/>
        <v>"C:\Program Files (x86)\AstroGrep\AstroGrep.exe" /spath="%USERPROFILE%\AppData\Local\Temp\OnboardLogs" /stypes="app*4021*20161213*"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120-13 --locoid 4021 --swversion DE.1.0.8.0 --startMP 204:232991 --initTime 2016-12-13T06:51:15 --startdatetime 2016-12-13T06:56:21 --delay 1 --endMP 204:154 --enddatetime 2016-12-13T07:41:18 --enforcementcount 0 &gt;&gt;C:\Users\stu\Documents\GitHub\eaglep3-reporting\EC\2016-12-13-refined-times.txt</v>
      </c>
      <c r="AI33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{"issue":{"subject":"","project_id":79,"tracker_id":40,"status_id":1,"priority_id":2,"assigned_to_id":23,"start_date":"2016-12-13","description":"","custom_fields":[{"id":1,"name":"Subdivision","value":"EC"},{"id":4,"name":"Milepost","value":"0.0154"},{"id":17,"name":"Train ID","value":"120-13"},{"id":16,"name":"Locomotive ID","value":"4021"},{"id":130,"name":"Impact","value":""},{"id":150,"name":"Time of Event (Mountain Time)","value":"07:41:18"},{"id":151,"name":"Denver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469</v>
      </c>
      <c r="B34" s="7">
        <v>4003</v>
      </c>
      <c r="C34" s="22" t="s">
        <v>207</v>
      </c>
      <c r="D34" s="22" t="s">
        <v>653</v>
      </c>
      <c r="E34" s="13">
        <v>42717.254351851851</v>
      </c>
      <c r="F34" s="13">
        <v>42717.260752314818</v>
      </c>
      <c r="G34" s="7">
        <v>1</v>
      </c>
      <c r="H34" s="22" t="s">
        <v>312</v>
      </c>
      <c r="I34" s="13">
        <v>42717.289803240739</v>
      </c>
      <c r="J34" s="7">
        <v>0</v>
      </c>
      <c r="K34" s="109" t="str">
        <f t="shared" si="0"/>
        <v>4003/4004</v>
      </c>
      <c r="L34" s="22" t="str">
        <f>VLOOKUP(A34,'Trips&amp;Operators'!$C$1:$G$99999,5,FALSE)</f>
        <v>DE LA ROSA ALEX</v>
      </c>
      <c r="M34" s="6">
        <f t="shared" si="1"/>
        <v>2.9050925921183079E-2</v>
      </c>
      <c r="N34" s="7">
        <f t="shared" si="19"/>
        <v>41.833333326503634</v>
      </c>
      <c r="O34" s="7"/>
      <c r="P34" s="7"/>
      <c r="Q34" s="23"/>
      <c r="R34" s="23"/>
      <c r="S34" s="35">
        <f t="shared" si="20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05:06:16-700',mode:absolute,to:'2016-12-13 07:57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4" s="52" t="str">
        <f t="shared" si="6"/>
        <v>N</v>
      </c>
      <c r="X34" s="177">
        <f t="shared" si="22"/>
        <v>1</v>
      </c>
      <c r="Y34" s="67">
        <f t="shared" si="8"/>
        <v>4.3700000000000003E-2</v>
      </c>
      <c r="Z34" s="67">
        <f t="shared" si="9"/>
        <v>23.330300000000001</v>
      </c>
      <c r="AA34" s="67">
        <f t="shared" si="10"/>
        <v>23.2866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0121-13</v>
      </c>
      <c r="AE34" s="91" t="str">
        <f t="shared" si="12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34" s="88" t="str">
        <f t="shared" si="13"/>
        <v>"C:\Program Files (x86)\AstroGrep\AstroGrep.exe" /spath="%USERPROFILE%\AppData\Local\Temp\OnboardLogs" /stypes="app*4003*20161213*"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121-13 --locoid 4003 --swversion DE.1.0.8.0 --startMP 204:437 --initTime 2016-12-13T06:06:16 --startdatetime 2016-12-13T06:15:29 --delay 1 --endMP 204:233303 --enddatetime 2016-12-13T06:57:19 --enforcementcount 0 &gt;&gt;C:\Users\stu\Documents\GitHub\eaglep3-reporting\EC\2016-12-13-refined-times.txt</v>
      </c>
      <c r="AI34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{"issue":{"subject":"","project_id":79,"tracker_id":40,"status_id":1,"priority_id":2,"assigned_to_id":23,"start_date":"2016-12-13","description":"","custom_fields":[{"id":1,"name":"Subdivision","value":"EC"},{"id":4,"name":"Milepost","value":"23.3303"},{"id":17,"name":"Train ID","value":"121-13"},{"id":16,"name":"Locomotive ID","value":"4003"},{"id":130,"name":"Impact","value":""},{"id":150,"name":"Time of Event (Mountain Time)","value":"06:57:19"},{"id":151,"name":"Denver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480</v>
      </c>
      <c r="B35" s="7">
        <v>4004</v>
      </c>
      <c r="C35" s="22" t="s">
        <v>207</v>
      </c>
      <c r="D35" s="22" t="s">
        <v>370</v>
      </c>
      <c r="E35" s="13">
        <v>42717.29277777778</v>
      </c>
      <c r="F35" s="13">
        <v>42717.299583333333</v>
      </c>
      <c r="G35" s="7">
        <v>1</v>
      </c>
      <c r="H35" s="22" t="s">
        <v>227</v>
      </c>
      <c r="I35" s="13">
        <v>42717.329861111109</v>
      </c>
      <c r="J35" s="7">
        <v>0</v>
      </c>
      <c r="K35" s="109" t="str">
        <f t="shared" si="0"/>
        <v>4003/4004</v>
      </c>
      <c r="L35" s="22" t="str">
        <f>VLOOKUP(A35,'Trips&amp;Operators'!$C$1:$G$99999,5,FALSE)</f>
        <v>DE LA ROSA ALEX</v>
      </c>
      <c r="M35" s="6">
        <f t="shared" si="1"/>
        <v>3.0277777776063886E-2</v>
      </c>
      <c r="N35" s="7">
        <f t="shared" si="19"/>
        <v>43.599999997531995</v>
      </c>
      <c r="O35" s="7"/>
      <c r="P35" s="7"/>
      <c r="Q35" s="23"/>
      <c r="R35" s="23"/>
      <c r="S35" s="35">
        <f t="shared" si="20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06:01:36-700',mode:absolute,to:'2016-12-13 08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5" s="52" t="str">
        <f t="shared" si="6"/>
        <v>N</v>
      </c>
      <c r="X35" s="177">
        <f t="shared" si="22"/>
        <v>1</v>
      </c>
      <c r="Y35" s="67">
        <f t="shared" si="8"/>
        <v>23.2973</v>
      </c>
      <c r="Z35" s="67">
        <f t="shared" si="9"/>
        <v>1.41E-2</v>
      </c>
      <c r="AA35" s="67">
        <f t="shared" si="10"/>
        <v>23.283200000000001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0122-13</v>
      </c>
      <c r="AE35" s="91" t="str">
        <f t="shared" si="12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35" s="88" t="str">
        <f t="shared" si="13"/>
        <v>"C:\Program Files (x86)\AstroGrep\AstroGrep.exe" /spath="%USERPROFILE%\AppData\Local\Temp\OnboardLogs" /stypes="app*4004*20161213*"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122-13 --locoid 4004 --swversion DE.1.0.8.0 --startMP 204:232973 --initTime 2016-12-13T07:01:36 --startdatetime 2016-12-13T07:11:24 --delay 1 --endMP 204:141 --enddatetime 2016-12-13T07:55:00 --enforcementcount 0 &gt;&gt;C:\Users\stu\Documents\GitHub\eaglep3-reporting\EC\2016-12-13-refined-times.txt</v>
      </c>
      <c r="AI3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{"issue":{"subject":"","project_id":79,"tracker_id":40,"status_id":1,"priority_id":2,"assigned_to_id":23,"start_date":"2016-12-13","description":"","custom_fields":[{"id":1,"name":"Subdivision","value":"EC"},{"id":4,"name":"Milepost","value":"0.0141"},{"id":17,"name":"Train ID","value":"122-13"},{"id":16,"name":"Locomotive ID","value":"4004"},{"id":130,"name":"Impact","value":""},{"id":150,"name":"Time of Event (Mountain Time)","value":"07:55:00"},{"id":151,"name":"Denver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474</v>
      </c>
      <c r="B36" s="7">
        <v>4016</v>
      </c>
      <c r="C36" s="22" t="s">
        <v>207</v>
      </c>
      <c r="D36" s="22" t="s">
        <v>337</v>
      </c>
      <c r="E36" s="13">
        <v>42717.266712962963</v>
      </c>
      <c r="F36" s="13">
        <v>42717.271226851852</v>
      </c>
      <c r="G36" s="7">
        <v>2</v>
      </c>
      <c r="H36" s="22" t="s">
        <v>382</v>
      </c>
      <c r="I36" s="13">
        <v>42717.299629629626</v>
      </c>
      <c r="J36" s="7">
        <v>0</v>
      </c>
      <c r="K36" s="109" t="str">
        <f t="shared" si="0"/>
        <v>4015/4016</v>
      </c>
      <c r="L36" s="22" t="str">
        <f>VLOOKUP(A36,'Trips&amp;Operators'!$C$1:$G$99999,5,FALSE)</f>
        <v>SPECTOR MICHAEL</v>
      </c>
      <c r="M36" s="6">
        <f t="shared" si="1"/>
        <v>2.8402777774317656E-2</v>
      </c>
      <c r="N36" s="7">
        <f t="shared" si="19"/>
        <v>40.899999995017424</v>
      </c>
      <c r="O36" s="7"/>
      <c r="P36" s="7"/>
      <c r="Q36" s="23"/>
      <c r="R36" s="23"/>
      <c r="S36" s="35">
        <f t="shared" si="20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05:24:04-700',mode:absolute,to:'2016-12-13 08:11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6" s="52" t="str">
        <f t="shared" si="6"/>
        <v>N</v>
      </c>
      <c r="X36" s="177">
        <f t="shared" si="22"/>
        <v>1</v>
      </c>
      <c r="Y36" s="67">
        <f t="shared" si="8"/>
        <v>4.4900000000000002E-2</v>
      </c>
      <c r="Z36" s="67">
        <f t="shared" si="9"/>
        <v>23.332699999999999</v>
      </c>
      <c r="AA36" s="67">
        <f t="shared" si="10"/>
        <v>23.287800000000001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0123-13</v>
      </c>
      <c r="AE36" s="91" t="str">
        <f t="shared" si="12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36" s="88" t="str">
        <f t="shared" si="13"/>
        <v>"C:\Program Files (x86)\AstroGrep\AstroGrep.exe" /spath="%USERPROFILE%\AppData\Local\Temp\OnboardLogs" /stypes="app*4016*20161213*"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123-13 --locoid 4016 --swversion DE.1.0.8.0 --startMP 204:449 --initTime 2016-12-13T06:24:04 --startdatetime 2016-12-13T06:30:34 --delay 2 --endMP 204:233327 --enddatetime 2016-12-13T07:11:28 --enforcementcount 0 &gt;&gt;C:\Users\stu\Documents\GitHub\eaglep3-reporting\EC\2016-12-13-refined-times.txt</v>
      </c>
      <c r="AI3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{"issue":{"subject":"","project_id":79,"tracker_id":40,"status_id":1,"priority_id":2,"assigned_to_id":23,"start_date":"2016-12-13","description":"","custom_fields":[{"id":1,"name":"Subdivision","value":"EC"},{"id":4,"name":"Milepost","value":"23.3327"},{"id":17,"name":"Train ID","value":"123-13"},{"id":16,"name":"Locomotive ID","value":"4016"},{"id":130,"name":"Impact","value":""},{"id":150,"name":"Time of Event (Mountain Time)","value":"07:11:28"},{"id":151,"name":"Denver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411</v>
      </c>
      <c r="B37" s="7">
        <v>4015</v>
      </c>
      <c r="C37" s="22" t="s">
        <v>207</v>
      </c>
      <c r="D37" s="22" t="s">
        <v>322</v>
      </c>
      <c r="E37" s="13">
        <v>42717.305219907408</v>
      </c>
      <c r="F37" s="13">
        <v>42717.309907407405</v>
      </c>
      <c r="G37" s="7">
        <v>1</v>
      </c>
      <c r="H37" s="22" t="s">
        <v>242</v>
      </c>
      <c r="I37" s="13">
        <v>42717.346076388887</v>
      </c>
      <c r="J37" s="7">
        <v>1</v>
      </c>
      <c r="K37" s="109" t="str">
        <f t="shared" si="0"/>
        <v>4015/4016</v>
      </c>
      <c r="L37" s="22" t="str">
        <f>VLOOKUP(A37,'Trips&amp;Operators'!$C$1:$G$99999,5,FALSE)</f>
        <v>SPECTOR MICHAEL</v>
      </c>
      <c r="M37" s="6">
        <f t="shared" si="1"/>
        <v>3.6168981481750961E-2</v>
      </c>
      <c r="N37" s="7">
        <f t="shared" si="19"/>
        <v>52.083333333721384</v>
      </c>
      <c r="O37" s="7"/>
      <c r="P37" s="7"/>
      <c r="Q37" s="23"/>
      <c r="R37" s="23"/>
      <c r="S37" s="35">
        <f t="shared" si="20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06:19:31-700',mode:absolute,to:'2016-12-13 09:18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7" s="52" t="str">
        <f t="shared" si="6"/>
        <v>N</v>
      </c>
      <c r="X37" s="177">
        <f t="shared" si="22"/>
        <v>1</v>
      </c>
      <c r="Y37" s="67">
        <f t="shared" si="8"/>
        <v>23.301500000000001</v>
      </c>
      <c r="Z37" s="67">
        <f t="shared" si="9"/>
        <v>1.4500000000000001E-2</v>
      </c>
      <c r="AA37" s="67">
        <f t="shared" si="10"/>
        <v>23.286999999999999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0124-13</v>
      </c>
      <c r="AE37" s="91" t="str">
        <f t="shared" si="12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37" s="88" t="str">
        <f t="shared" si="13"/>
        <v>"C:\Program Files (x86)\AstroGrep\AstroGrep.exe" /spath="%USERPROFILE%\AppData\Local\Temp\OnboardLogs" /stypes="app*4015*20161213*"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124-13 --locoid 4015 --swversion DE.1.0.8.0 --startMP 204:233015 --initTime 2016-12-13T07:19:31 --startdatetime 2016-12-13T07:26:16 --delay 1 --endMP 204:145 --enddatetime 2016-12-13T08:18:21 --enforcementcount 1 &gt;&gt;C:\Users\stu\Documents\GitHub\eaglep3-reporting\EC\2016-12-13-refined-times.txt</v>
      </c>
      <c r="AI3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{"issue":{"subject":"","project_id":79,"tracker_id":40,"status_id":1,"priority_id":2,"assigned_to_id":23,"start_date":"2016-12-13","description":"","custom_fields":[{"id":1,"name":"Subdivision","value":"EC"},{"id":4,"name":"Milepost","value":"0.0145"},{"id":17,"name":"Train ID","value":"124-13"},{"id":16,"name":"Locomotive ID","value":"4015"},{"id":130,"name":"Impact","value":""},{"id":150,"name":"Time of Event (Mountain Time)","value":"08:18:21"},{"id":151,"name":"Denver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477</v>
      </c>
      <c r="B38" s="7">
        <v>4044</v>
      </c>
      <c r="C38" s="22" t="s">
        <v>207</v>
      </c>
      <c r="D38" s="22" t="s">
        <v>368</v>
      </c>
      <c r="E38" s="13">
        <v>42717.282824074071</v>
      </c>
      <c r="F38" s="13">
        <v>42717.286562499998</v>
      </c>
      <c r="G38" s="7">
        <v>1</v>
      </c>
      <c r="H38" s="22" t="s">
        <v>369</v>
      </c>
      <c r="I38" s="13">
        <v>42717.32099537037</v>
      </c>
      <c r="J38" s="7">
        <v>0</v>
      </c>
      <c r="K38" s="109" t="str">
        <f t="shared" si="0"/>
        <v>4043/4044</v>
      </c>
      <c r="L38" s="22" t="str">
        <f>VLOOKUP(A38,'Trips&amp;Operators'!$C$1:$G$99999,5,FALSE)</f>
        <v>DAVIS MICHAEL</v>
      </c>
      <c r="M38" s="6">
        <f t="shared" si="1"/>
        <v>3.443287037225673E-2</v>
      </c>
      <c r="N38" s="7">
        <f t="shared" si="19"/>
        <v>49.583333336049691</v>
      </c>
      <c r="O38" s="7"/>
      <c r="P38" s="7"/>
      <c r="Q38" s="23"/>
      <c r="R38" s="23"/>
      <c r="S38" s="35">
        <f t="shared" si="20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05:47:16-700',mode:absolute,to:'2016-12-13 08:42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8" s="52" t="str">
        <f t="shared" si="6"/>
        <v>N</v>
      </c>
      <c r="X38" s="177">
        <f t="shared" si="22"/>
        <v>1</v>
      </c>
      <c r="Y38" s="67">
        <f t="shared" si="8"/>
        <v>4.7500000000000001E-2</v>
      </c>
      <c r="Z38" s="67">
        <f t="shared" si="9"/>
        <v>23.330100000000002</v>
      </c>
      <c r="AA38" s="67">
        <f t="shared" si="10"/>
        <v>23.282600000000002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0125-13</v>
      </c>
      <c r="AE38" s="91" t="str">
        <f t="shared" si="12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38" s="88" t="str">
        <f t="shared" si="13"/>
        <v>"C:\Program Files (x86)\AstroGrep\AstroGrep.exe" /spath="%USERPROFILE%\AppData\Local\Temp\OnboardLogs" /stypes="app*4044*20161213*"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125-13 --locoid 4044 --swversion DE.1.0.8.0 --startMP 204:475 --initTime 2016-12-13T06:47:16 --startdatetime 2016-12-13T06:52:39 --delay 1 --endMP 204:233301 --enddatetime 2016-12-13T07:42:14 --enforcementcount 0 &gt;&gt;C:\Users\stu\Documents\GitHub\eaglep3-reporting\EC\2016-12-13-refined-times.txt</v>
      </c>
      <c r="AI3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{"issue":{"subject":"","project_id":79,"tracker_id":40,"status_id":1,"priority_id":2,"assigned_to_id":23,"start_date":"2016-12-13","description":"","custom_fields":[{"id":1,"name":"Subdivision","value":"EC"},{"id":4,"name":"Milepost","value":"23.3301"},{"id":17,"name":"Train ID","value":"125-13"},{"id":16,"name":"Locomotive ID","value":"4044"},{"id":130,"name":"Impact","value":""},{"id":150,"name":"Time of Event (Mountain Time)","value":"07:42:14"},{"id":151,"name":"Denver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487</v>
      </c>
      <c r="B39" s="7">
        <v>4043</v>
      </c>
      <c r="C39" s="22" t="s">
        <v>207</v>
      </c>
      <c r="D39" s="22" t="s">
        <v>642</v>
      </c>
      <c r="E39" s="13">
        <v>42717.322453703702</v>
      </c>
      <c r="F39" s="13">
        <v>42717.324861111112</v>
      </c>
      <c r="G39" s="7">
        <v>1</v>
      </c>
      <c r="H39" s="22" t="s">
        <v>654</v>
      </c>
      <c r="I39" s="13">
        <v>42717.361134259256</v>
      </c>
      <c r="J39" s="7">
        <v>0</v>
      </c>
      <c r="K39" s="109" t="str">
        <f t="shared" si="0"/>
        <v>4043/4044</v>
      </c>
      <c r="L39" s="22" t="str">
        <f>VLOOKUP(A39,'Trips&amp;Operators'!$C$1:$G$99999,5,FALSE)</f>
        <v>DAVIS MICHAEL</v>
      </c>
      <c r="M39" s="6">
        <f t="shared" si="1"/>
        <v>3.6273148143664002E-2</v>
      </c>
      <c r="N39" s="7">
        <f t="shared" si="19"/>
        <v>52.233333326876163</v>
      </c>
      <c r="O39" s="7"/>
      <c r="P39" s="7"/>
      <c r="Q39" s="23"/>
      <c r="R39" s="23"/>
      <c r="S39" s="35">
        <f t="shared" si="20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06:44:20-700',mode:absolute,to:'2016-12-13 09:40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9" s="52" t="str">
        <f t="shared" si="6"/>
        <v>N</v>
      </c>
      <c r="X39" s="177">
        <f t="shared" si="22"/>
        <v>1</v>
      </c>
      <c r="Y39" s="67">
        <f t="shared" si="8"/>
        <v>23.299199999999999</v>
      </c>
      <c r="Z39" s="67">
        <f t="shared" si="9"/>
        <v>1.38E-2</v>
      </c>
      <c r="AA39" s="67">
        <f t="shared" si="10"/>
        <v>23.285399999999999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0126-13</v>
      </c>
      <c r="AE39" s="91" t="str">
        <f t="shared" si="12"/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AF39" s="88" t="str">
        <f t="shared" si="13"/>
        <v>"C:\Program Files (x86)\AstroGrep\AstroGrep.exe" /spath="%USERPROFILE%\AppData\Local\Temp\OnboardLogs" /stypes="app*4043*20161213*"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126-13 --locoid 4043 --swversion DE.1.0.8.0 --startMP 204:232992 --initTime 2016-12-13T07:44:20 --startdatetime 2016-12-13T07:47:48 --delay 1 --endMP 204:138 --enddatetime 2016-12-13T08:40:02 --enforcementcount 0 &gt;&gt;C:\Users\stu\Documents\GitHub\eaglep3-reporting\EC\2016-12-13-refined-times.txt</v>
      </c>
      <c r="AI39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{"issue":{"subject":"","project_id":79,"tracker_id":40,"status_id":1,"priority_id":2,"assigned_to_id":23,"start_date":"2016-12-13","description":"","custom_fields":[{"id":1,"name":"Subdivision","value":"EC"},{"id":4,"name":"Milepost","value":"0.0138"},{"id":17,"name":"Train ID","value":"126-13"},{"id":16,"name":"Locomotive ID","value":"4043"},{"id":130,"name":"Impact","value":""},{"id":150,"name":"Time of Event (Mountain Time)","value":"08:40:02"},{"id":151,"name":"Denver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481</v>
      </c>
      <c r="B40" s="7">
        <v>4051</v>
      </c>
      <c r="C40" s="22" t="s">
        <v>207</v>
      </c>
      <c r="D40" s="22" t="s">
        <v>313</v>
      </c>
      <c r="E40" s="13">
        <v>42717.293773148151</v>
      </c>
      <c r="F40" s="13">
        <v>42717.29546296296</v>
      </c>
      <c r="G40" s="7">
        <v>1</v>
      </c>
      <c r="H40" s="22" t="s">
        <v>294</v>
      </c>
      <c r="I40" s="13">
        <v>42717.329363425924</v>
      </c>
      <c r="J40" s="7">
        <v>0</v>
      </c>
      <c r="K40" s="109" t="str">
        <f t="shared" si="0"/>
        <v>4051/4052</v>
      </c>
      <c r="L40" s="22" t="str">
        <f>VLOOKUP(A40,'Trips&amp;Operators'!$C$1:$G$99999,5,FALSE)</f>
        <v>KILLION DAVID</v>
      </c>
      <c r="M40" s="6">
        <f t="shared" si="1"/>
        <v>3.3900462964083999E-2</v>
      </c>
      <c r="N40" s="7">
        <f t="shared" si="19"/>
        <v>48.816666668280959</v>
      </c>
      <c r="O40" s="7"/>
      <c r="P40" s="7"/>
      <c r="Q40" s="23"/>
      <c r="R40" s="23"/>
      <c r="S40" s="35">
        <f t="shared" si="20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06:03:02-700',mode:absolute,to:'2016-12-13 08:54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0" s="52" t="str">
        <f t="shared" si="6"/>
        <v>N</v>
      </c>
      <c r="X40" s="177">
        <f t="shared" si="22"/>
        <v>1</v>
      </c>
      <c r="Y40" s="67">
        <f t="shared" si="8"/>
        <v>4.6699999999999998E-2</v>
      </c>
      <c r="Z40" s="67">
        <f t="shared" si="9"/>
        <v>23.3308</v>
      </c>
      <c r="AA40" s="67">
        <f t="shared" si="10"/>
        <v>23.284099999999999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0127-13</v>
      </c>
      <c r="AE40" s="91" t="str">
        <f t="shared" si="12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40" s="88" t="str">
        <f t="shared" si="13"/>
        <v>"C:\Program Files (x86)\AstroGrep\AstroGrep.exe" /spath="%USERPROFILE%\AppData\Local\Temp\OnboardLogs" /stypes="app*4051*20161213*"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127-13 --locoid 4051 --swversion DE.1.0.8.0 --startMP 204:467 --initTime 2016-12-13T07:03:02 --startdatetime 2016-12-13T07:05:28 --delay 1 --endMP 204:233308 --enddatetime 2016-12-13T07:54:17 --enforcementcount 0 &gt;&gt;C:\Users\stu\Documents\GitHub\eaglep3-reporting\EC\2016-12-13-refined-times.txt</v>
      </c>
      <c r="AI40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{"issue":{"subject":"","project_id":79,"tracker_id":40,"status_id":1,"priority_id":2,"assigned_to_id":23,"start_date":"2016-12-13","description":"","custom_fields":[{"id":1,"name":"Subdivision","value":"EC"},{"id":4,"name":"Milepost","value":"23.3308"},{"id":17,"name":"Train ID","value":"127-13"},{"id":16,"name":"Locomotive ID","value":"4051"},{"id":130,"name":"Impact","value":""},{"id":150,"name":"Time of Event (Mountain Time)","value":"07:54:17"},{"id":151,"name":"Denver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491</v>
      </c>
      <c r="B41" s="7">
        <v>4052</v>
      </c>
      <c r="C41" s="22" t="s">
        <v>207</v>
      </c>
      <c r="D41" s="22" t="s">
        <v>383</v>
      </c>
      <c r="E41" s="13">
        <v>42717.334675925929</v>
      </c>
      <c r="F41" s="13">
        <v>42717.33630787037</v>
      </c>
      <c r="G41" s="7">
        <v>1</v>
      </c>
      <c r="H41" s="22" t="s">
        <v>278</v>
      </c>
      <c r="I41" s="13">
        <v>42717.368668981479</v>
      </c>
      <c r="J41" s="7">
        <v>0</v>
      </c>
      <c r="K41" s="109" t="str">
        <f t="shared" si="0"/>
        <v>4051/4052</v>
      </c>
      <c r="L41" s="22" t="str">
        <f>VLOOKUP(A41,'Trips&amp;Operators'!$C$1:$G$99999,5,FALSE)</f>
        <v>KILLION DAVID</v>
      </c>
      <c r="M41" s="6">
        <f t="shared" si="1"/>
        <v>3.2361111108912155E-2</v>
      </c>
      <c r="N41" s="7">
        <f t="shared" si="19"/>
        <v>46.599999996833503</v>
      </c>
      <c r="O41" s="7"/>
      <c r="P41" s="7"/>
      <c r="Q41" s="23"/>
      <c r="R41" s="23"/>
      <c r="S41" s="35">
        <f t="shared" si="20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07:01:56-700',mode:absolute,to:'2016-12-13 09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1" s="52" t="str">
        <f t="shared" si="6"/>
        <v>N</v>
      </c>
      <c r="X41" s="177">
        <f t="shared" si="22"/>
        <v>1</v>
      </c>
      <c r="Y41" s="67">
        <f t="shared" si="8"/>
        <v>23.298500000000001</v>
      </c>
      <c r="Z41" s="67">
        <f t="shared" si="9"/>
        <v>1.52E-2</v>
      </c>
      <c r="AA41" s="67">
        <f t="shared" si="10"/>
        <v>23.283300000000001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0128-13</v>
      </c>
      <c r="AE41" s="91" t="str">
        <f t="shared" si="12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41" s="88" t="str">
        <f t="shared" si="13"/>
        <v>"C:\Program Files (x86)\AstroGrep\AstroGrep.exe" /spath="%USERPROFILE%\AppData\Local\Temp\OnboardLogs" /stypes="app*4052*20161213*"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128-13 --locoid 4052 --swversion DE.1.0.8.0 --startMP 204:232985 --initTime 2016-12-13T08:01:56 --startdatetime 2016-12-13T08:04:17 --delay 1 --endMP 204:152 --enddatetime 2016-12-13T08:50:53 --enforcementcount 0 &gt;&gt;C:\Users\stu\Documents\GitHub\eaglep3-reporting\EC\2016-12-13-refined-times.txt</v>
      </c>
      <c r="AI41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ID","value":"128-13"},{"id":16,"name":"Locomotive ID","value":"4052"},{"id":130,"name":"Impact","value":""},{"id":150,"name":"Time of Event (Mountain Time)","value":"08:50:53"},{"id":151,"name":"Denver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483</v>
      </c>
      <c r="B42" s="7">
        <v>4011</v>
      </c>
      <c r="C42" s="22" t="s">
        <v>207</v>
      </c>
      <c r="D42" s="22" t="s">
        <v>655</v>
      </c>
      <c r="E42" s="13">
        <v>42717.301087962966</v>
      </c>
      <c r="F42" s="13">
        <v>42717.303564814814</v>
      </c>
      <c r="G42" s="7">
        <v>1</v>
      </c>
      <c r="H42" s="22" t="s">
        <v>339</v>
      </c>
      <c r="I42" s="13">
        <v>42717.332719907405</v>
      </c>
      <c r="J42" s="7">
        <v>0</v>
      </c>
      <c r="K42" s="109" t="str">
        <f t="shared" si="0"/>
        <v>4011/4012</v>
      </c>
      <c r="L42" s="22" t="str">
        <f>VLOOKUP(A42,'Trips&amp;Operators'!$C$1:$G$99999,5,FALSE)</f>
        <v>DAVIDSON DAVID</v>
      </c>
      <c r="M42" s="6">
        <f t="shared" si="1"/>
        <v>2.9155092590372078E-2</v>
      </c>
      <c r="N42" s="7">
        <f t="shared" si="19"/>
        <v>41.983333330135792</v>
      </c>
      <c r="O42" s="7"/>
      <c r="P42" s="7"/>
      <c r="Q42" s="23"/>
      <c r="R42" s="23"/>
      <c r="S42" s="35">
        <f t="shared" si="20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06:13:34-700',mode:absolute,to:'2016-12-13 08:59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2" s="52" t="str">
        <f t="shared" si="6"/>
        <v>N</v>
      </c>
      <c r="X42" s="177">
        <f t="shared" si="22"/>
        <v>1</v>
      </c>
      <c r="Y42" s="67">
        <f t="shared" si="8"/>
        <v>4.4400000000000002E-2</v>
      </c>
      <c r="Z42" s="67">
        <f t="shared" si="9"/>
        <v>23.328399999999998</v>
      </c>
      <c r="AA42" s="67">
        <f t="shared" si="10"/>
        <v>23.283999999999999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0129-13</v>
      </c>
      <c r="AE42" s="91" t="str">
        <f t="shared" si="12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42" s="88" t="str">
        <f t="shared" si="13"/>
        <v>"C:\Program Files (x86)\AstroGrep\AstroGrep.exe" /spath="%USERPROFILE%\AppData\Local\Temp\OnboardLogs" /stypes="app*4011*20161213*"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129-13 --locoid 4011 --swversion DE.1.0.8.0 --startMP 204:444 --initTime 2016-12-13T07:13:34 --startdatetime 2016-12-13T07:17:08 --delay 1 --endMP 204:233284 --enddatetime 2016-12-13T07:59:07 --enforcementcount 0 &gt;&gt;C:\Users\stu\Documents\GitHub\eaglep3-reporting\EC\2016-12-13-refined-times.txt</v>
      </c>
      <c r="AI42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{"issue":{"subject":"","project_id":79,"tracker_id":40,"status_id":1,"priority_id":2,"assigned_to_id":23,"start_date":"2016-12-13","description":"","custom_fields":[{"id":1,"name":"Subdivision","value":"EC"},{"id":4,"name":"Milepost","value":"23.3284"},{"id":17,"name":"Train ID","value":"129-13"},{"id":16,"name":"Locomotive ID","value":"4011"},{"id":130,"name":"Impact","value":""},{"id":150,"name":"Time of Event (Mountain Time)","value":"07:59:07"},{"id":151,"name":"Denver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413</v>
      </c>
      <c r="B43" s="7">
        <v>4012</v>
      </c>
      <c r="C43" s="22" t="s">
        <v>207</v>
      </c>
      <c r="D43" s="22" t="s">
        <v>291</v>
      </c>
      <c r="E43" s="13">
        <v>42717.335706018515</v>
      </c>
      <c r="F43" s="13">
        <v>42717.341886574075</v>
      </c>
      <c r="G43" s="7">
        <v>1</v>
      </c>
      <c r="H43" s="22" t="s">
        <v>205</v>
      </c>
      <c r="I43" s="13">
        <v>42717.373877314814</v>
      </c>
      <c r="J43" s="7">
        <v>1</v>
      </c>
      <c r="K43" s="109" t="str">
        <f t="shared" si="0"/>
        <v>4011/4012</v>
      </c>
      <c r="L43" s="22" t="str">
        <f>VLOOKUP(A43,'Trips&amp;Operators'!$C$1:$G$99999,5,FALSE)</f>
        <v>DAVIDSON DAVID</v>
      </c>
      <c r="M43" s="6">
        <f t="shared" si="1"/>
        <v>3.199074073927477E-2</v>
      </c>
      <c r="N43" s="7">
        <f t="shared" si="19"/>
        <v>46.066666664555669</v>
      </c>
      <c r="O43" s="7"/>
      <c r="P43" s="7"/>
      <c r="Q43" s="23"/>
      <c r="R43" s="23"/>
      <c r="S43" s="35">
        <f t="shared" si="20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07:03:25-700',mode:absolute,to:'2016-12-13 09:58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3" s="52" t="str">
        <f t="shared" si="6"/>
        <v>N</v>
      </c>
      <c r="X43" s="177">
        <f t="shared" si="22"/>
        <v>1</v>
      </c>
      <c r="Y43" s="67">
        <f t="shared" si="8"/>
        <v>23.297499999999999</v>
      </c>
      <c r="Z43" s="67">
        <f t="shared" si="9"/>
        <v>1.5599999999999999E-2</v>
      </c>
      <c r="AA43" s="67">
        <f t="shared" si="10"/>
        <v>23.2819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0130-13</v>
      </c>
      <c r="AE43" s="91" t="str">
        <f t="shared" si="12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43" s="88" t="str">
        <f t="shared" si="13"/>
        <v>"C:\Program Files (x86)\AstroGrep\AstroGrep.exe" /spath="%USERPROFILE%\AppData\Local\Temp\OnboardLogs" /stypes="app*4012*20161213*"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130-13 --locoid 4012 --swversion DE.1.0.8.0 --startMP 204:232975 --initTime 2016-12-13T08:03:25 --startdatetime 2016-12-13T08:12:19 --delay 1 --endMP 204:156 --enddatetime 2016-12-13T08:58:23 --enforcementcount 1 &gt;&gt;C:\Users\stu\Documents\GitHub\eaglep3-reporting\EC\2016-12-13-refined-times.txt</v>
      </c>
      <c r="AI43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{"issue":{"subject":"","project_id":79,"tracker_id":40,"status_id":1,"priority_id":2,"assigned_to_id":23,"start_date":"2016-12-13","description":"","custom_fields":[{"id":1,"name":"Subdivision","value":"EC"},{"id":4,"name":"Milepost","value":"0.0156"},{"id":17,"name":"Train ID","value":"130-13"},{"id":16,"name":"Locomotive ID","value":"4012"},{"id":130,"name":"Impact","value":""},{"id":150,"name":"Time of Event (Mountain Time)","value":"08:58:23"},{"id":151,"name":"Denver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485</v>
      </c>
      <c r="B44" s="7">
        <v>4020</v>
      </c>
      <c r="C44" s="22" t="s">
        <v>207</v>
      </c>
      <c r="D44" s="22" t="s">
        <v>334</v>
      </c>
      <c r="E44" s="13">
        <v>42717.312997685185</v>
      </c>
      <c r="F44" s="13">
        <v>42717.314606481479</v>
      </c>
      <c r="G44" s="7">
        <v>1</v>
      </c>
      <c r="H44" s="22" t="s">
        <v>656</v>
      </c>
      <c r="I44" s="13">
        <v>42717.340613425928</v>
      </c>
      <c r="J44" s="7">
        <v>0</v>
      </c>
      <c r="K44" s="109" t="str">
        <f t="shared" si="0"/>
        <v>4019/4020</v>
      </c>
      <c r="L44" s="22" t="str">
        <f>VLOOKUP(A44,'Trips&amp;Operators'!$C$1:$G$99999,5,FALSE)</f>
        <v>ACKERMAN JARED</v>
      </c>
      <c r="M44" s="6">
        <f t="shared" si="1"/>
        <v>2.6006944448454306E-2</v>
      </c>
      <c r="N44" s="7">
        <f t="shared" si="19"/>
        <v>37.4500000057742</v>
      </c>
      <c r="O44" s="7"/>
      <c r="P44" s="7"/>
      <c r="Q44" s="23"/>
      <c r="R44" s="23"/>
      <c r="S44" s="35">
        <f t="shared" si="20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06:30:43-700',mode:absolute,to:'2016-12-13 09:10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4" s="52" t="str">
        <f t="shared" si="6"/>
        <v>N</v>
      </c>
      <c r="X44" s="177">
        <f t="shared" si="22"/>
        <v>1</v>
      </c>
      <c r="Y44" s="67">
        <f t="shared" si="8"/>
        <v>4.6199999999999998E-2</v>
      </c>
      <c r="Z44" s="67">
        <f t="shared" si="9"/>
        <v>23.328299999999999</v>
      </c>
      <c r="AA44" s="67">
        <f t="shared" si="10"/>
        <v>23.2821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0131-13</v>
      </c>
      <c r="AE44" s="91" t="str">
        <f t="shared" si="12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44" s="88" t="str">
        <f t="shared" si="13"/>
        <v>"C:\Program Files (x86)\AstroGrep\AstroGrep.exe" /spath="%USERPROFILE%\AppData\Local\Temp\OnboardLogs" /stypes="app*4020*20161213*"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131-13 --locoid 4020 --swversion DE.1.0.8.0 --startMP 204:462 --initTime 2016-12-13T07:30:43 --startdatetime 2016-12-13T07:33:02 --delay 1 --endMP 204:233283 --enddatetime 2016-12-13T08:10:29 --enforcementcount 0 &gt;&gt;C:\Users\stu\Documents\GitHub\eaglep3-reporting\EC\2016-12-13-refined-times.txt</v>
      </c>
      <c r="AI44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{"issue":{"subject":"","project_id":79,"tracker_id":40,"status_id":1,"priority_id":2,"assigned_to_id":23,"start_date":"2016-12-13","description":"","custom_fields":[{"id":1,"name":"Subdivision","value":"EC"},{"id":4,"name":"Milepost","value":"23.3283"},{"id":17,"name":"Train ID","value":"131-13"},{"id":16,"name":"Locomotive ID","value":"4020"},{"id":130,"name":"Impact","value":""},{"id":150,"name":"Time of Event (Mountain Time)","value":"08:10:29"},{"id":151,"name":"Denver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493</v>
      </c>
      <c r="B45" s="7">
        <v>4019</v>
      </c>
      <c r="C45" s="22" t="s">
        <v>207</v>
      </c>
      <c r="D45" s="22" t="s">
        <v>383</v>
      </c>
      <c r="E45" s="13">
        <v>42717.346122685187</v>
      </c>
      <c r="F45" s="13">
        <v>42717.3515625</v>
      </c>
      <c r="G45" s="7">
        <v>1</v>
      </c>
      <c r="H45" s="22" t="s">
        <v>192</v>
      </c>
      <c r="I45" s="13">
        <v>42717.381724537037</v>
      </c>
      <c r="J45" s="7">
        <v>0</v>
      </c>
      <c r="K45" s="109" t="str">
        <f t="shared" si="0"/>
        <v>4019/4020</v>
      </c>
      <c r="L45" s="22" t="str">
        <f>VLOOKUP(A45,'Trips&amp;Operators'!$C$1:$G$99999,5,FALSE)</f>
        <v>ACKERMAN JARED</v>
      </c>
      <c r="M45" s="6">
        <f t="shared" si="1"/>
        <v>3.0162037037371192E-2</v>
      </c>
      <c r="N45" s="7">
        <f t="shared" si="19"/>
        <v>43.433333333814517</v>
      </c>
      <c r="O45" s="7"/>
      <c r="P45" s="7"/>
      <c r="Q45" s="23"/>
      <c r="R45" s="23"/>
      <c r="S45" s="35">
        <f t="shared" si="20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07:18:25-700',mode:absolute,to:'2016-12-13 10:09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5" s="52" t="str">
        <f t="shared" si="6"/>
        <v>N</v>
      </c>
      <c r="X45" s="177">
        <f t="shared" si="22"/>
        <v>1</v>
      </c>
      <c r="Y45" s="67">
        <f t="shared" ref="Y45:Y62" si="23">RIGHT(D45,LEN(D45)-4)/10000</f>
        <v>23.298500000000001</v>
      </c>
      <c r="Z45" s="67">
        <f t="shared" ref="Z45:Z62" si="24">RIGHT(H45,LEN(H45)-4)/10000</f>
        <v>1.49E-2</v>
      </c>
      <c r="AA45" s="67">
        <f t="shared" si="10"/>
        <v>23.2836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0132-13</v>
      </c>
      <c r="AE45" s="91" t="str">
        <f t="shared" si="12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45" s="88" t="str">
        <f t="shared" si="13"/>
        <v>"C:\Program Files (x86)\AstroGrep\AstroGrep.exe" /spath="%USERPROFILE%\AppData\Local\Temp\OnboardLogs" /stypes="app*4019*20161213*"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132-13 --locoid 4019 --swversion DE.1.0.8.0 --startMP 204:232985 --initTime 2016-12-13T08:18:25 --startdatetime 2016-12-13T08:26:15 --delay 1 --endMP 204:149 --enddatetime 2016-12-13T09:09:41 --enforcementcount 0 &gt;&gt;C:\Users\stu\Documents\GitHub\eaglep3-reporting\EC\2016-12-13-refined-times.txt</v>
      </c>
      <c r="AI4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{"issue":{"subject":"","project_id":79,"tracker_id":40,"status_id":1,"priority_id":2,"assigned_to_id":23,"start_date":"2016-12-13","description":"","custom_fields":[{"id":1,"name":"Subdivision","value":"EC"},{"id":4,"name":"Milepost","value":"0.0149"},{"id":17,"name":"Train ID","value":"132-13"},{"id":16,"name":"Locomotive ID","value":"4019"},{"id":130,"name":"Impact","value":""},{"id":150,"name":"Time of Event (Mountain Time)","value":"09:09:41"},{"id":151,"name":"Denver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488</v>
      </c>
      <c r="B46" s="7">
        <v>4022</v>
      </c>
      <c r="C46" s="22" t="s">
        <v>207</v>
      </c>
      <c r="D46" s="22" t="s">
        <v>232</v>
      </c>
      <c r="E46" s="13">
        <v>42717.322835648149</v>
      </c>
      <c r="F46" s="13">
        <v>42717.324236111112</v>
      </c>
      <c r="G46" s="7">
        <v>1</v>
      </c>
      <c r="H46" s="22" t="s">
        <v>372</v>
      </c>
      <c r="I46" s="13">
        <v>42717.355752314812</v>
      </c>
      <c r="J46" s="7">
        <v>0</v>
      </c>
      <c r="K46" s="109" t="str">
        <f t="shared" si="0"/>
        <v>4021/4022</v>
      </c>
      <c r="L46" s="22" t="str">
        <f>VLOOKUP(A46,'Trips&amp;Operators'!$C$1:$G$99999,5,FALSE)</f>
        <v>BEAM ROSS</v>
      </c>
      <c r="M46" s="6">
        <f t="shared" si="1"/>
        <v>3.1516203700448386E-2</v>
      </c>
      <c r="N46" s="7">
        <f t="shared" si="19"/>
        <v>45.383333328645676</v>
      </c>
      <c r="O46" s="7"/>
      <c r="P46" s="7"/>
      <c r="Q46" s="23"/>
      <c r="R46" s="23"/>
      <c r="S46" s="35">
        <f t="shared" si="20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06:44:53-700',mode:absolute,to:'2016-12-13 09:32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6" s="52" t="str">
        <f t="shared" si="6"/>
        <v>N</v>
      </c>
      <c r="X46" s="177">
        <f t="shared" si="22"/>
        <v>1</v>
      </c>
      <c r="Y46" s="67">
        <f t="shared" si="23"/>
        <v>4.5499999999999999E-2</v>
      </c>
      <c r="Z46" s="67">
        <f t="shared" si="24"/>
        <v>23.3309</v>
      </c>
      <c r="AA46" s="67">
        <f t="shared" si="10"/>
        <v>23.285399999999999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0133-13</v>
      </c>
      <c r="AE46" s="91" t="str">
        <f t="shared" si="12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46" s="88" t="str">
        <f t="shared" si="13"/>
        <v>"C:\Program Files (x86)\AstroGrep\AstroGrep.exe" /spath="%USERPROFILE%\AppData\Local\Temp\OnboardLogs" /stypes="app*4022*20161213*"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133-13 --locoid 4022 --swversion DE.1.0.8.0 --startMP 204:455 --initTime 2016-12-13T07:44:53 --startdatetime 2016-12-13T07:46:54 --delay 1 --endMP 204:233309 --enddatetime 2016-12-13T08:32:17 --enforcementcount 0 &gt;&gt;C:\Users\stu\Documents\GitHub\eaglep3-reporting\EC\2016-12-13-refined-times.txt</v>
      </c>
      <c r="AI4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{"issue":{"subject":"","project_id":79,"tracker_id":40,"status_id":1,"priority_id":2,"assigned_to_id":23,"start_date":"2016-12-13","description":"","custom_fields":[{"id":1,"name":"Subdivision","value":"EC"},{"id":4,"name":"Milepost","value":"23.3309"},{"id":17,"name":"Train ID","value":"133-13"},{"id":16,"name":"Locomotive ID","value":"4022"},{"id":130,"name":"Impact","value":""},{"id":150,"name":"Time of Event (Mountain Time)","value":"08:32:17"},{"id":151,"name":"Denver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496</v>
      </c>
      <c r="B47" s="7">
        <v>4021</v>
      </c>
      <c r="C47" s="22" t="s">
        <v>207</v>
      </c>
      <c r="D47" s="22" t="s">
        <v>317</v>
      </c>
      <c r="E47" s="13">
        <v>42717.358425925922</v>
      </c>
      <c r="F47" s="13">
        <v>42717.361979166664</v>
      </c>
      <c r="G47" s="7">
        <v>1</v>
      </c>
      <c r="H47" s="22" t="s">
        <v>657</v>
      </c>
      <c r="I47" s="13">
        <v>42717.392187500001</v>
      </c>
      <c r="J47" s="7">
        <v>0</v>
      </c>
      <c r="K47" s="109" t="str">
        <f t="shared" si="0"/>
        <v>4021/4022</v>
      </c>
      <c r="L47" s="22" t="str">
        <f>VLOOKUP(A47,'Trips&amp;Operators'!$C$1:$G$99999,5,FALSE)</f>
        <v>BEAM ROSS</v>
      </c>
      <c r="M47" s="6">
        <f t="shared" si="1"/>
        <v>3.0208333337213844E-2</v>
      </c>
      <c r="N47" s="7">
        <f t="shared" si="19"/>
        <v>43.500000005587935</v>
      </c>
      <c r="O47" s="7"/>
      <c r="P47" s="7"/>
      <c r="Q47" s="23"/>
      <c r="R47" s="23"/>
      <c r="S47" s="35">
        <f t="shared" si="20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07:36:08-700',mode:absolute,to:'2016-12-13 10:24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7" s="52" t="str">
        <f t="shared" si="6"/>
        <v>N</v>
      </c>
      <c r="X47" s="177">
        <f t="shared" si="22"/>
        <v>1</v>
      </c>
      <c r="Y47" s="67">
        <f t="shared" si="23"/>
        <v>23.298999999999999</v>
      </c>
      <c r="Z47" s="67">
        <f t="shared" si="24"/>
        <v>0.1211</v>
      </c>
      <c r="AA47" s="67">
        <f t="shared" si="10"/>
        <v>23.177900000000001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0134-13</v>
      </c>
      <c r="AE47" s="91" t="str">
        <f t="shared" si="12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47" s="88" t="str">
        <f t="shared" si="13"/>
        <v>"C:\Program Files (x86)\AstroGrep\AstroGrep.exe" /spath="%USERPROFILE%\AppData\Local\Temp\OnboardLogs" /stypes="app*4021*20161213*"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134-13 --locoid 4021 --swversion DE.1.0.8.0 --startMP 204:232990 --initTime 2016-12-13T08:36:08 --startdatetime 2016-12-13T08:41:15 --delay 1 --endMP 204:1211 --enddatetime 2016-12-13T09:24:45 --enforcementcount 0 &gt;&gt;C:\Users\stu\Documents\GitHub\eaglep3-reporting\EC\2016-12-13-refined-times.txt</v>
      </c>
      <c r="AI4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{"issue":{"subject":"","project_id":79,"tracker_id":40,"status_id":1,"priority_id":2,"assigned_to_id":23,"start_date":"2016-12-13","description":"","custom_fields":[{"id":1,"name":"Subdivision","value":"EC"},{"id":4,"name":"Milepost","value":"0.1211"},{"id":17,"name":"Train ID","value":"134-13"},{"id":16,"name":"Locomotive ID","value":"4021"},{"id":130,"name":"Impact","value":""},{"id":150,"name":"Time of Event (Mountain Time)","value":"09:24:45"},{"id":151,"name":"Denver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490</v>
      </c>
      <c r="B48" s="7">
        <v>4003</v>
      </c>
      <c r="C48" s="22" t="s">
        <v>207</v>
      </c>
      <c r="D48" s="22" t="s">
        <v>655</v>
      </c>
      <c r="E48" s="13">
        <v>42717.331504629627</v>
      </c>
      <c r="F48" s="13">
        <v>42717.333680555559</v>
      </c>
      <c r="G48" s="7">
        <v>1</v>
      </c>
      <c r="H48" s="22" t="s">
        <v>304</v>
      </c>
      <c r="I48" s="13">
        <v>42717.366111111114</v>
      </c>
      <c r="J48" s="7">
        <v>0</v>
      </c>
      <c r="K48" s="109" t="str">
        <f t="shared" si="0"/>
        <v>4003/4004</v>
      </c>
      <c r="L48" s="22" t="str">
        <f>VLOOKUP(A48,'Trips&amp;Operators'!$C$1:$G$99999,5,FALSE)</f>
        <v>DE LA ROSA ALEX</v>
      </c>
      <c r="M48" s="6">
        <f t="shared" si="1"/>
        <v>3.2430555555038154E-2</v>
      </c>
      <c r="N48" s="7">
        <f t="shared" si="19"/>
        <v>46.699999999254942</v>
      </c>
      <c r="O48" s="7"/>
      <c r="P48" s="7"/>
      <c r="Q48" s="23"/>
      <c r="R48" s="23"/>
      <c r="S48" s="35">
        <f t="shared" si="20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06:57:22-700',mode:absolute,to:'2016-12-13 09:47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8" s="52" t="str">
        <f t="shared" si="6"/>
        <v>N</v>
      </c>
      <c r="X48" s="177">
        <f t="shared" si="22"/>
        <v>1</v>
      </c>
      <c r="Y48" s="67">
        <f t="shared" si="23"/>
        <v>4.4400000000000002E-2</v>
      </c>
      <c r="Z48" s="67">
        <f t="shared" si="24"/>
        <v>23.331</v>
      </c>
      <c r="AA48" s="67">
        <f t="shared" si="10"/>
        <v>23.2866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0135-13</v>
      </c>
      <c r="AE48" s="91" t="str">
        <f t="shared" si="12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48" s="88" t="str">
        <f t="shared" si="13"/>
        <v>"C:\Program Files (x86)\AstroGrep\AstroGrep.exe" /spath="%USERPROFILE%\AppData\Local\Temp\OnboardLogs" /stypes="app*4003*20161213*"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135-13 --locoid 4003 --swversion DE.1.0.8.0 --startMP 204:444 --initTime 2016-12-13T07:57:22 --startdatetime 2016-12-13T08:00:30 --delay 1 --endMP 204:233310 --enddatetime 2016-12-13T08:47:12 --enforcementcount 0 &gt;&gt;C:\Users\stu\Documents\GitHub\eaglep3-reporting\EC\2016-12-13-refined-times.txt</v>
      </c>
      <c r="AI4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{"issue":{"subject":"","project_id":79,"tracker_id":40,"status_id":1,"priority_id":2,"assigned_to_id":23,"start_date":"2016-12-13","description":"","custom_fields":[{"id":1,"name":"Subdivision","value":"EC"},{"id":4,"name":"Milepost","value":"23.331"},{"id":17,"name":"Train ID","value":"135-13"},{"id":16,"name":"Locomotive ID","value":"4003"},{"id":130,"name":"Impact","value":""},{"id":150,"name":"Time of Event (Mountain Time)","value":"08:47:12"},{"id":151,"name":"Denver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501</v>
      </c>
      <c r="B49" s="7">
        <v>4004</v>
      </c>
      <c r="C49" s="22" t="s">
        <v>207</v>
      </c>
      <c r="D49" s="22" t="s">
        <v>311</v>
      </c>
      <c r="E49" s="13">
        <v>42717.367731481485</v>
      </c>
      <c r="F49" s="13">
        <v>42717.372546296298</v>
      </c>
      <c r="G49" s="7">
        <v>1</v>
      </c>
      <c r="H49" s="22" t="s">
        <v>242</v>
      </c>
      <c r="I49" s="13">
        <v>42717.402696759258</v>
      </c>
      <c r="J49" s="7">
        <v>0</v>
      </c>
      <c r="K49" s="109" t="str">
        <f t="shared" si="0"/>
        <v>4003/4004</v>
      </c>
      <c r="L49" s="22" t="str">
        <f>VLOOKUP(A49,'Trips&amp;Operators'!$C$1:$G$99999,5,FALSE)</f>
        <v>DE LA ROSA ALEX</v>
      </c>
      <c r="M49" s="6">
        <f t="shared" si="1"/>
        <v>3.015046296059154E-2</v>
      </c>
      <c r="N49" s="7">
        <f t="shared" si="19"/>
        <v>43.416666663251817</v>
      </c>
      <c r="O49" s="7"/>
      <c r="P49" s="7"/>
      <c r="Q49" s="23"/>
      <c r="R49" s="23"/>
      <c r="S49" s="35">
        <f t="shared" si="20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07:49:32-700',mode:absolute,to:'2016-12-13 10:39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9" s="52" t="str">
        <f t="shared" si="6"/>
        <v>N</v>
      </c>
      <c r="X49" s="177">
        <f t="shared" si="22"/>
        <v>1</v>
      </c>
      <c r="Y49" s="67">
        <f t="shared" si="23"/>
        <v>23.298300000000001</v>
      </c>
      <c r="Z49" s="67">
        <f t="shared" si="24"/>
        <v>1.4500000000000001E-2</v>
      </c>
      <c r="AA49" s="67">
        <f t="shared" si="10"/>
        <v>23.283799999999999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0136-13</v>
      </c>
      <c r="AE49" s="91" t="str">
        <f t="shared" si="12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49" s="88" t="str">
        <f t="shared" si="13"/>
        <v>"C:\Program Files (x86)\AstroGrep\AstroGrep.exe" /spath="%USERPROFILE%\AppData\Local\Temp\OnboardLogs" /stypes="app*4004*20161213*"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136-13 --locoid 4004 --swversion DE.1.0.8.0 --startMP 204:232983 --initTime 2016-12-13T08:49:32 --startdatetime 2016-12-13T08:56:28 --delay 1 --endMP 204:145 --enddatetime 2016-12-13T09:39:53 --enforcementcount 0 &gt;&gt;C:\Users\stu\Documents\GitHub\eaglep3-reporting\EC\2016-12-13-refined-times.txt</v>
      </c>
      <c r="AI49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{"issue":{"subject":"","project_id":79,"tracker_id":40,"status_id":1,"priority_id":2,"assigned_to_id":23,"start_date":"2016-12-13","description":"","custom_fields":[{"id":1,"name":"Subdivision","value":"EC"},{"id":4,"name":"Milepost","value":"0.0145"},{"id":17,"name":"Train ID","value":"136-13"},{"id":16,"name":"Locomotive ID","value":"4004"},{"id":130,"name":"Impact","value":""},{"id":150,"name":"Time of Event (Mountain Time)","value":"09:39:53"},{"id":151,"name":"Denver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414</v>
      </c>
      <c r="B50" s="7">
        <v>4016</v>
      </c>
      <c r="C50" s="22" t="s">
        <v>207</v>
      </c>
      <c r="D50" s="22" t="s">
        <v>277</v>
      </c>
      <c r="E50" s="13">
        <v>42717.349305555559</v>
      </c>
      <c r="F50" s="13">
        <v>42717.351331018515</v>
      </c>
      <c r="G50" s="7">
        <v>1</v>
      </c>
      <c r="H50" s="22" t="s">
        <v>658</v>
      </c>
      <c r="I50" s="13">
        <v>42717.378333333334</v>
      </c>
      <c r="J50" s="7">
        <v>1</v>
      </c>
      <c r="K50" s="109" t="str">
        <f t="shared" si="0"/>
        <v>4015/4016</v>
      </c>
      <c r="L50" s="22" t="str">
        <f>VLOOKUP(A50,'Trips&amp;Operators'!$C$1:$G$99999,5,FALSE)</f>
        <v>SPECTOR MICHAEL</v>
      </c>
      <c r="M50" s="6">
        <f t="shared" si="1"/>
        <v>2.7002314818673767E-2</v>
      </c>
      <c r="N50" s="7">
        <f t="shared" si="19"/>
        <v>38.883333338890225</v>
      </c>
      <c r="O50" s="7"/>
      <c r="P50" s="7"/>
      <c r="Q50" s="23"/>
      <c r="R50" s="23"/>
      <c r="S50" s="35">
        <f t="shared" si="20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07:23:00-700',mode:absolute,to:'2016-12-13 10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0" s="52" t="str">
        <f t="shared" si="6"/>
        <v>N</v>
      </c>
      <c r="X50" s="177">
        <f t="shared" si="22"/>
        <v>1</v>
      </c>
      <c r="Y50" s="67">
        <f t="shared" si="23"/>
        <v>4.53E-2</v>
      </c>
      <c r="Z50" s="67">
        <f t="shared" si="24"/>
        <v>23.330500000000001</v>
      </c>
      <c r="AA50" s="67">
        <f t="shared" si="10"/>
        <v>23.2852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0137-13</v>
      </c>
      <c r="AE50" s="91" t="str">
        <f t="shared" si="12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50" s="88" t="str">
        <f t="shared" si="13"/>
        <v>"C:\Program Files (x86)\AstroGrep\AstroGrep.exe" /spath="%USERPROFILE%\AppData\Local\Temp\OnboardLogs" /stypes="app*4016*20161213*"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137-13 --locoid 4016 --swversion DE.1.0.8.0 --startMP 204:453 --initTime 2016-12-13T08:23:00 --startdatetime 2016-12-13T08:25:55 --delay 1 --endMP 204:233305 --enddatetime 2016-12-13T09:04:48 --enforcementcount 1 &gt;&gt;C:\Users\stu\Documents\GitHub\eaglep3-reporting\EC\2016-12-13-refined-times.txt</v>
      </c>
      <c r="AI50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{"issue":{"subject":"","project_id":79,"tracker_id":40,"status_id":1,"priority_id":2,"assigned_to_id":23,"start_date":"2016-12-13","description":"","custom_fields":[{"id":1,"name":"Subdivision","value":"EC"},{"id":4,"name":"Milepost","value":"23.3305"},{"id":17,"name":"Train ID","value":"137-13"},{"id":16,"name":"Locomotive ID","value":"4016"},{"id":130,"name":"Impact","value":""},{"id":150,"name":"Time of Event (Mountain Time)","value":"09:04:48"},{"id":151,"name":"Denver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416</v>
      </c>
      <c r="B51" s="7">
        <v>4015</v>
      </c>
      <c r="C51" s="22" t="s">
        <v>207</v>
      </c>
      <c r="D51" s="22" t="s">
        <v>333</v>
      </c>
      <c r="E51" s="13">
        <v>42717.383020833331</v>
      </c>
      <c r="F51" s="13">
        <v>42717.384756944448</v>
      </c>
      <c r="G51" s="7">
        <v>1</v>
      </c>
      <c r="H51" s="22" t="s">
        <v>290</v>
      </c>
      <c r="I51" s="13">
        <v>42717.41673611111</v>
      </c>
      <c r="J51" s="7">
        <v>2</v>
      </c>
      <c r="K51" s="109" t="str">
        <f t="shared" si="0"/>
        <v>4015/4016</v>
      </c>
      <c r="L51" s="22" t="str">
        <f>VLOOKUP(A51,'Trips&amp;Operators'!$C$1:$G$99999,5,FALSE)</f>
        <v>SPECTOR MICHAEL</v>
      </c>
      <c r="M51" s="6">
        <f t="shared" si="1"/>
        <v>3.1979166662495118E-2</v>
      </c>
      <c r="N51" s="7">
        <f t="shared" si="19"/>
        <v>46.049999993992969</v>
      </c>
      <c r="O51" s="7"/>
      <c r="P51" s="7"/>
      <c r="Q51" s="23"/>
      <c r="R51" s="23"/>
      <c r="S51" s="35">
        <f t="shared" si="20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08:11:33-700',mode:absolute,to:'2016-12-13 11:00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1" s="52" t="str">
        <f t="shared" si="6"/>
        <v>N</v>
      </c>
      <c r="X51" s="177">
        <f t="shared" si="22"/>
        <v>1</v>
      </c>
      <c r="Y51" s="67">
        <f t="shared" si="23"/>
        <v>23.2988</v>
      </c>
      <c r="Z51" s="67">
        <f t="shared" si="24"/>
        <v>1.3899999999999999E-2</v>
      </c>
      <c r="AA51" s="67">
        <f t="shared" si="10"/>
        <v>23.2849</v>
      </c>
      <c r="AB51" s="64" t="str">
        <f>VLOOKUP(A51,Enforcements!$C$7:$K$19,8,0)</f>
        <v>Signal based authority (5)</v>
      </c>
      <c r="AC51" s="60" t="str">
        <f>VLOOKUP(A51,Enforcements!$C$7:$E$19,3,0)</f>
        <v>SIGNAL</v>
      </c>
      <c r="AD51" s="61" t="str">
        <f t="shared" si="11"/>
        <v>0138-13</v>
      </c>
      <c r="AE51" s="91" t="str">
        <f t="shared" si="12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51" s="88" t="str">
        <f t="shared" si="13"/>
        <v>"C:\Program Files (x86)\AstroGrep\AstroGrep.exe" /spath="%USERPROFILE%\AppData\Local\Temp\OnboardLogs" /stypes="app*4015*20161213*" /stext=" 17:.+((SYSTEM_STATE.+slice.+state.+changed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138-13 --locoid 4015 --swversion DE.1.0.8.0 --startMP 204:232988 --initTime 2016-12-13T09:11:33 --startdatetime 2016-12-13T09:14:03 --delay 1 --endMP 204:139 --enddatetime 2016-12-13T10:00:06 --enforcementcount 2 &gt;&gt;C:\Users\stu\Documents\GitHub\eaglep3-reporting\EC\2016-12-13-refined-times.txt</v>
      </c>
      <c r="AI51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{"issue":{"subject":"","project_id":79,"tracker_id":40,"status_id":1,"priority_id":2,"assigned_to_id":23,"start_date":"2016-12-13","description":"","custom_fields":[{"id":1,"name":"Subdivision","value":"EC"},{"id":4,"name":"Milepost","value":"0.0139"},{"id":17,"name":"Train ID","value":"138-13"},{"id":16,"name":"Locomotive ID","value":"4015"},{"id":130,"name":"Impact","value":""},{"id":150,"name":"Time of Event (Mountain Time)","value":"10:00:06"},{"id":151,"name":"Denver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494</v>
      </c>
      <c r="B52" s="7">
        <v>4042</v>
      </c>
      <c r="C52" s="22" t="s">
        <v>207</v>
      </c>
      <c r="D52" s="22" t="s">
        <v>659</v>
      </c>
      <c r="E52" s="13">
        <v>42717.354525462964</v>
      </c>
      <c r="F52" s="13">
        <v>42717.357071759259</v>
      </c>
      <c r="G52" s="7">
        <v>1</v>
      </c>
      <c r="H52" s="22" t="s">
        <v>287</v>
      </c>
      <c r="I52" s="13">
        <v>42717.388726851852</v>
      </c>
      <c r="J52" s="7">
        <v>0</v>
      </c>
      <c r="K52" s="109" t="str">
        <f t="shared" si="0"/>
        <v>4041/4042</v>
      </c>
      <c r="L52" s="22" t="str">
        <f>VLOOKUP(A52,'Trips&amp;Operators'!$C$1:$G$99999,5,FALSE)</f>
        <v>CUSHING HARRY</v>
      </c>
      <c r="M52" s="6">
        <f t="shared" si="1"/>
        <v>3.1655092592700385E-2</v>
      </c>
      <c r="N52" s="7">
        <f t="shared" si="19"/>
        <v>45.583333333488554</v>
      </c>
      <c r="O52" s="7"/>
      <c r="P52" s="7"/>
      <c r="Q52" s="23"/>
      <c r="R52" s="23"/>
      <c r="S52" s="35">
        <f t="shared" si="20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07:30:31-700',mode:absolute,to:'2016-12-13 10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2" s="52" t="str">
        <f t="shared" si="6"/>
        <v>N</v>
      </c>
      <c r="X52" s="177">
        <f t="shared" si="22"/>
        <v>1</v>
      </c>
      <c r="Y52" s="67">
        <f t="shared" si="23"/>
        <v>0.15409999999999999</v>
      </c>
      <c r="Z52" s="67">
        <f t="shared" si="24"/>
        <v>23.327200000000001</v>
      </c>
      <c r="AA52" s="67">
        <f t="shared" si="10"/>
        <v>23.173100000000002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0139-13</v>
      </c>
      <c r="AE52" s="91" t="str">
        <f t="shared" si="12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52" s="88" t="str">
        <f t="shared" si="13"/>
        <v>"C:\Program Files (x86)\AstroGrep\AstroGrep.exe" /spath="%USERPROFILE%\AppData\Local\Temp\OnboardLogs" /stypes="app*4042*20161213*"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139-13 --locoid 4042 --swversion DE.1.0.8.0 --startMP 204:1541 --initTime 2016-12-13T08:30:31 --startdatetime 2016-12-13T08:34:11 --delay 1 --endMP 204:233272 --enddatetime 2016-12-13T09:19:46 --enforcementcount 0 &gt;&gt;C:\Users\stu\Documents\GitHub\eaglep3-reporting\EC\2016-12-13-refined-times.txt</v>
      </c>
      <c r="AI52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{"issue":{"subject":"","project_id":79,"tracker_id":40,"status_id":1,"priority_id":2,"assigned_to_id":23,"start_date":"2016-12-13","description":"","custom_fields":[{"id":1,"name":"Subdivision","value":"EC"},{"id":4,"name":"Milepost","value":"23.3272"},{"id":17,"name":"Train ID","value":"139-13"},{"id":16,"name":"Locomotive ID","value":"4042"},{"id":130,"name":"Impact","value":""},{"id":150,"name":"Time of Event (Mountain Time)","value":"09:19:46"},{"id":151,"name":"Denver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415</v>
      </c>
      <c r="B53" s="7">
        <v>4041</v>
      </c>
      <c r="C53" s="22" t="s">
        <v>207</v>
      </c>
      <c r="D53" s="22" t="s">
        <v>373</v>
      </c>
      <c r="E53" s="13">
        <v>42717.391412037039</v>
      </c>
      <c r="F53" s="13">
        <v>42717.39402777778</v>
      </c>
      <c r="G53" s="7">
        <v>1</v>
      </c>
      <c r="H53" s="22" t="s">
        <v>231</v>
      </c>
      <c r="I53" s="13">
        <v>42717.42597222222</v>
      </c>
      <c r="J53" s="7">
        <v>1</v>
      </c>
      <c r="K53" s="109" t="str">
        <f t="shared" si="0"/>
        <v>4041/4042</v>
      </c>
      <c r="L53" s="22" t="str">
        <f>VLOOKUP(A53,'Trips&amp;Operators'!$C$1:$G$99999,5,FALSE)</f>
        <v>CUSHING HARRY</v>
      </c>
      <c r="M53" s="6">
        <f t="shared" si="1"/>
        <v>3.1944444439432118E-2</v>
      </c>
      <c r="N53" s="7">
        <f t="shared" si="19"/>
        <v>45.99999999278225</v>
      </c>
      <c r="O53" s="7"/>
      <c r="P53" s="7"/>
      <c r="Q53" s="23"/>
      <c r="R53" s="23"/>
      <c r="S53" s="35">
        <f t="shared" si="20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08:23:38-700',mode:absolute,to:'2016-12-13 11:13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3" s="52" t="str">
        <f t="shared" si="6"/>
        <v>N</v>
      </c>
      <c r="X53" s="177">
        <f t="shared" si="22"/>
        <v>1</v>
      </c>
      <c r="Y53" s="67">
        <f t="shared" si="23"/>
        <v>23.295300000000001</v>
      </c>
      <c r="Z53" s="67">
        <f t="shared" si="24"/>
        <v>1.6500000000000001E-2</v>
      </c>
      <c r="AA53" s="67">
        <f t="shared" si="10"/>
        <v>23.2788</v>
      </c>
      <c r="AB53" s="64" t="str">
        <f>VLOOKUP(A53,Enforcements!$C$7:$K$19,8,0)</f>
        <v>Speed (6)</v>
      </c>
      <c r="AC53" s="60" t="str">
        <f>VLOOKUP(A53,Enforcements!$C$7:$E$19,3,0)</f>
        <v>PERMANENT SPEED RESTRICTION</v>
      </c>
      <c r="AD53" s="61" t="str">
        <f t="shared" si="11"/>
        <v>0140-13</v>
      </c>
      <c r="AE53" s="91" t="str">
        <f t="shared" si="12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53" s="88" t="str">
        <f t="shared" si="13"/>
        <v>"C:\Program Files (x86)\AstroGrep\AstroGrep.exe" /spath="%USERPROFILE%\AppData\Local\Temp\OnboardLogs" /stypes="app*4041*20161213*"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140-13 --locoid 4041 --swversion DE.1.0.8.0 --startMP 204:232953 --initTime 2016-12-13T09:23:38 --startdatetime 2016-12-13T09:27:24 --delay 1 --endMP 204:165 --enddatetime 2016-12-13T10:13:24 --enforcementcount 1 &gt;&gt;C:\Users\stu\Documents\GitHub\eaglep3-reporting\EC\2016-12-13-refined-times.txt</v>
      </c>
      <c r="AI53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{"issue":{"subject":"","project_id":79,"tracker_id":40,"status_id":1,"priority_id":2,"assigned_to_id":23,"start_date":"2016-12-13","description":"","custom_fields":[{"id":1,"name":"Subdivision","value":"EC"},{"id":4,"name":"Milepost","value":"0.0165"},{"id":17,"name":"Train ID","value":"140-13"},{"id":16,"name":"Locomotive ID","value":"4041"},{"id":130,"name":"Impact","value":""},{"id":150,"name":"Time of Event (Mountain Time)","value":"10:13:24"},{"id":151,"name":"Denver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500</v>
      </c>
      <c r="B54" s="7">
        <v>4044</v>
      </c>
      <c r="C54" s="22" t="s">
        <v>207</v>
      </c>
      <c r="D54" s="22" t="s">
        <v>337</v>
      </c>
      <c r="E54" s="13">
        <v>42717.365844907406</v>
      </c>
      <c r="F54" s="13">
        <v>42717.367349537039</v>
      </c>
      <c r="G54" s="7">
        <v>1</v>
      </c>
      <c r="H54" s="22" t="s">
        <v>375</v>
      </c>
      <c r="I54" s="13">
        <v>42717.393460648149</v>
      </c>
      <c r="J54" s="7">
        <v>0</v>
      </c>
      <c r="K54" s="109" t="str">
        <f t="shared" si="0"/>
        <v>4043/4044</v>
      </c>
      <c r="L54" s="22" t="str">
        <f>VLOOKUP(A54,'Trips&amp;Operators'!$C$1:$G$99999,5,FALSE)</f>
        <v>DAVIS MICHAEL</v>
      </c>
      <c r="M54" s="6">
        <f t="shared" si="1"/>
        <v>2.6111111110367347E-2</v>
      </c>
      <c r="N54" s="7">
        <f t="shared" si="19"/>
        <v>37.599999998928979</v>
      </c>
      <c r="O54" s="7"/>
      <c r="P54" s="7"/>
      <c r="Q54" s="23"/>
      <c r="R54" s="23"/>
      <c r="S54" s="35">
        <f t="shared" si="20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07:46:49-700',mode:absolute,to:'2016-12-13 10:26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6"/>
        <v>N</v>
      </c>
      <c r="X54" s="177">
        <f t="shared" si="22"/>
        <v>1</v>
      </c>
      <c r="Y54" s="67">
        <f t="shared" si="23"/>
        <v>4.4900000000000002E-2</v>
      </c>
      <c r="Z54" s="67">
        <f t="shared" si="24"/>
        <v>23.3278</v>
      </c>
      <c r="AA54" s="67">
        <f t="shared" si="10"/>
        <v>23.282900000000001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0141-13</v>
      </c>
      <c r="AE54" s="91" t="str">
        <f t="shared" si="12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54" s="88" t="str">
        <f t="shared" si="13"/>
        <v>"C:\Program Files (x86)\AstroGrep\AstroGrep.exe" /spath="%USERPROFILE%\AppData\Local\Temp\OnboardLogs" /stypes="app*4044*20161213*"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141-13 --locoid 4044 --swversion DE.1.0.8.0 --startMP 204:449 --initTime 2016-12-13T08:46:49 --startdatetime 2016-12-13T08:48:59 --delay 1 --endMP 204:233278 --enddatetime 2016-12-13T09:26:35 --enforcementcount 0 &gt;&gt;C:\Users\stu\Documents\GitHub\eaglep3-reporting\EC\2016-12-13-refined-times.txt</v>
      </c>
      <c r="AI54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{"issue":{"subject":"","project_id":79,"tracker_id":40,"status_id":1,"priority_id":2,"assigned_to_id":23,"start_date":"2016-12-13","description":"","custom_fields":[{"id":1,"name":"Subdivision","value":"EC"},{"id":4,"name":"Milepost","value":"23.3278"},{"id":17,"name":"Train ID","value":"141-13"},{"id":16,"name":"Locomotive ID","value":"4044"},{"id":130,"name":"Impact","value":""},{"id":150,"name":"Time of Event (Mountain Time)","value":"09:26:35"},{"id":151,"name":"Denver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418</v>
      </c>
      <c r="B55" s="7">
        <v>4043</v>
      </c>
      <c r="C55" s="22" t="s">
        <v>207</v>
      </c>
      <c r="D55" s="22" t="s">
        <v>373</v>
      </c>
      <c r="E55" s="13">
        <v>42717.39508101852</v>
      </c>
      <c r="F55" s="13">
        <v>42717.403622685182</v>
      </c>
      <c r="G55" s="7">
        <v>1</v>
      </c>
      <c r="H55" s="22" t="s">
        <v>231</v>
      </c>
      <c r="I55" s="13">
        <v>42717.438206018516</v>
      </c>
      <c r="J55" s="7">
        <v>1</v>
      </c>
      <c r="K55" s="109" t="str">
        <f t="shared" si="0"/>
        <v>4043/4044</v>
      </c>
      <c r="L55" s="22" t="str">
        <f>VLOOKUP(A55,'Trips&amp;Operators'!$C$1:$G$99999,5,FALSE)</f>
        <v>DAVIS MICHAEL</v>
      </c>
      <c r="M55" s="6">
        <f t="shared" si="1"/>
        <v>3.4583333334012423E-2</v>
      </c>
      <c r="N55" s="7">
        <f t="shared" si="19"/>
        <v>49.800000000977889</v>
      </c>
      <c r="O55" s="7"/>
      <c r="P55" s="7"/>
      <c r="Q55" s="23"/>
      <c r="R55" s="23"/>
      <c r="S55" s="35">
        <f t="shared" si="20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08:28:55-700',mode:absolute,to:'2016-12-13 11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6"/>
        <v>N</v>
      </c>
      <c r="X55" s="177">
        <f t="shared" si="22"/>
        <v>1</v>
      </c>
      <c r="Y55" s="67">
        <f t="shared" si="23"/>
        <v>23.295300000000001</v>
      </c>
      <c r="Z55" s="67">
        <f t="shared" si="24"/>
        <v>1.6500000000000001E-2</v>
      </c>
      <c r="AA55" s="67">
        <f t="shared" si="10"/>
        <v>23.2788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0142-13</v>
      </c>
      <c r="AE55" s="91" t="str">
        <f t="shared" si="12"/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AF55" s="88" t="str">
        <f t="shared" si="13"/>
        <v>"C:\Program Files (x86)\AstroGrep\AstroGrep.exe" /spath="%USERPROFILE%\AppData\Local\Temp\OnboardLogs" /stypes="app*4043*20161213*"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142-13 --locoid 4043 --swversion DE.1.0.8.0 --startMP 204:232953 --initTime 2016-12-13T09:28:55 --startdatetime 2016-12-13T09:41:13 --delay 1 --endMP 204:165 --enddatetime 2016-12-13T10:31:01 --enforcementcount 1 &gt;&gt;C:\Users\stu\Documents\GitHub\eaglep3-reporting\EC\2016-12-13-refined-times.txt</v>
      </c>
      <c r="AI5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{"issue":{"subject":"","project_id":79,"tracker_id":40,"status_id":1,"priority_id":2,"assigned_to_id":23,"start_date":"2016-12-13","description":"","custom_fields":[{"id":1,"name":"Subdivision","value":"EC"},{"id":4,"name":"Milepost","value":"0.0165"},{"id":17,"name":"Train ID","value":"142-13"},{"id":16,"name":"Locomotive ID","value":"4043"},{"id":130,"name":"Impact","value":""},{"id":150,"name":"Time of Event (Mountain Time)","value":"10:31:01"},{"id":151,"name":"Denver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502</v>
      </c>
      <c r="B56" s="7">
        <v>4051</v>
      </c>
      <c r="C56" s="22" t="s">
        <v>207</v>
      </c>
      <c r="D56" s="22" t="s">
        <v>279</v>
      </c>
      <c r="E56" s="13">
        <v>42717.372372685182</v>
      </c>
      <c r="F56" s="13">
        <v>42717.375196759262</v>
      </c>
      <c r="G56" s="7">
        <v>1</v>
      </c>
      <c r="H56" s="22" t="s">
        <v>650</v>
      </c>
      <c r="I56" s="13">
        <v>42717.403287037036</v>
      </c>
      <c r="J56" s="7">
        <v>0</v>
      </c>
      <c r="K56" s="109" t="str">
        <f t="shared" si="0"/>
        <v>4051/4052</v>
      </c>
      <c r="L56" s="22" t="str">
        <f>VLOOKUP(A56,'Trips&amp;Operators'!$C$1:$G$99999,5,FALSE)</f>
        <v>KILLION DAVID</v>
      </c>
      <c r="M56" s="6">
        <f t="shared" si="1"/>
        <v>2.8090277774026617E-2</v>
      </c>
      <c r="N56" s="7">
        <f t="shared" si="19"/>
        <v>40.449999994598329</v>
      </c>
      <c r="O56" s="7"/>
      <c r="P56" s="7"/>
      <c r="Q56" s="23"/>
      <c r="R56" s="23"/>
      <c r="S56" s="35">
        <f t="shared" si="20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07:56:13-700',mode:absolute,to:'2016-12-13 10:40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56" s="52" t="str">
        <f t="shared" si="6"/>
        <v>N</v>
      </c>
      <c r="X56" s="177">
        <f t="shared" si="22"/>
        <v>1</v>
      </c>
      <c r="Y56" s="67">
        <f t="shared" si="23"/>
        <v>4.6399999999999997E-2</v>
      </c>
      <c r="Z56" s="67">
        <f t="shared" si="24"/>
        <v>23.327999999999999</v>
      </c>
      <c r="AA56" s="67">
        <f t="shared" si="10"/>
        <v>23.281600000000001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0143-13</v>
      </c>
      <c r="AE56" s="91" t="str">
        <f t="shared" si="12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56" s="88" t="str">
        <f t="shared" si="13"/>
        <v>"C:\Program Files (x86)\AstroGrep\AstroGrep.exe" /spath="%USERPROFILE%\AppData\Local\Temp\OnboardLogs" /stypes="app*4051*20161213*"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143-13 --locoid 4051 --swversion DE.1.0.8.0 --startMP 204:464 --initTime 2016-12-13T08:56:13 --startdatetime 2016-12-13T09:00:17 --delay 1 --endMP 204:233280 --enddatetime 2016-12-13T09:40:44 --enforcementcount 0 &gt;&gt;C:\Users\stu\Documents\GitHub\eaglep3-reporting\EC\2016-12-13-refined-times.txt</v>
      </c>
      <c r="AI5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{"issue":{"subject":"","project_id":79,"tracker_id":40,"status_id":1,"priority_id":2,"assigned_to_id":23,"start_date":"2016-12-13","description":"","custom_fields":[{"id":1,"name":"Subdivision","value":"EC"},{"id":4,"name":"Milepost","value":"23.328"},{"id":17,"name":"Train ID","value":"143-13"},{"id":16,"name":"Locomotive ID","value":"4051"},{"id":130,"name":"Impact","value":""},{"id":150,"name":"Time of Event (Mountain Time)","value":"09:40:44"},{"id":151,"name":"Denver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420</v>
      </c>
      <c r="B57" s="7">
        <v>4052</v>
      </c>
      <c r="C57" s="22" t="s">
        <v>207</v>
      </c>
      <c r="D57" s="22" t="s">
        <v>345</v>
      </c>
      <c r="E57" s="13">
        <v>42717.409803240742</v>
      </c>
      <c r="F57" s="13">
        <v>42717.418703703705</v>
      </c>
      <c r="G57" s="7">
        <v>1</v>
      </c>
      <c r="H57" s="22" t="s">
        <v>315</v>
      </c>
      <c r="I57" s="13">
        <v>42717.452361111114</v>
      </c>
      <c r="J57" s="7">
        <v>1</v>
      </c>
      <c r="K57" s="109" t="str">
        <f t="shared" si="0"/>
        <v>4051/4052</v>
      </c>
      <c r="L57" s="22" t="str">
        <f>VLOOKUP(A57,'Trips&amp;Operators'!$C$1:$G$99999,5,FALSE)</f>
        <v>KILLION DAVID</v>
      </c>
      <c r="M57" s="6">
        <f t="shared" si="1"/>
        <v>3.365740740991896E-2</v>
      </c>
      <c r="N57" s="7">
        <f t="shared" si="19"/>
        <v>48.466666670283303</v>
      </c>
      <c r="O57" s="7"/>
      <c r="P57" s="7"/>
      <c r="Q57" s="23"/>
      <c r="R57" s="23"/>
      <c r="S57" s="35">
        <f t="shared" si="20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08:50:07-700',mode:absolute,to:'2016-12-13 11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57" s="52" t="str">
        <f t="shared" si="6"/>
        <v>N</v>
      </c>
      <c r="X57" s="177">
        <f t="shared" si="22"/>
        <v>1</v>
      </c>
      <c r="Y57" s="67">
        <f t="shared" si="23"/>
        <v>23.2972</v>
      </c>
      <c r="Z57" s="67">
        <f t="shared" si="24"/>
        <v>1.61E-2</v>
      </c>
      <c r="AA57" s="67">
        <f t="shared" si="10"/>
        <v>23.281099999999999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0144-13</v>
      </c>
      <c r="AE57" s="91" t="str">
        <f t="shared" si="12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57" s="88" t="str">
        <f t="shared" si="13"/>
        <v>"C:\Program Files (x86)\AstroGrep\AstroGrep.exe" /spath="%USERPROFILE%\AppData\Local\Temp\OnboardLogs" /stypes="app*4052*20161213*"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144-13 --locoid 4052 --swversion DE.1.0.8.0 --startMP 204:232972 --initTime 2016-12-13T09:50:07 --startdatetime 2016-12-13T10:02:56 --delay 1 --endMP 204:161 --enddatetime 2016-12-13T10:51:24 --enforcementcount 1 &gt;&gt;C:\Users\stu\Documents\GitHub\eaglep3-reporting\EC\2016-12-13-refined-times.txt</v>
      </c>
      <c r="AI5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{"issue":{"subject":"","project_id":79,"tracker_id":40,"status_id":1,"priority_id":2,"assigned_to_id":23,"start_date":"2016-12-13","description":"","custom_fields":[{"id":1,"name":"Subdivision","value":"EC"},{"id":4,"name":"Milepost","value":"0.0161"},{"id":17,"name":"Train ID","value":"144-13"},{"id":16,"name":"Locomotive ID","value":"4052"},{"id":130,"name":"Impact","value":""},{"id":150,"name":"Time of Event (Mountain Time)","value":"10:51:24"},{"id":151,"name":"Denver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503</v>
      </c>
      <c r="B58" s="7">
        <v>4011</v>
      </c>
      <c r="C58" s="22" t="s">
        <v>207</v>
      </c>
      <c r="D58" s="22" t="s">
        <v>309</v>
      </c>
      <c r="E58" s="13">
        <v>42717.383252314816</v>
      </c>
      <c r="F58" s="13">
        <v>42717.386180555557</v>
      </c>
      <c r="G58" s="7">
        <v>1</v>
      </c>
      <c r="H58" s="22" t="s">
        <v>316</v>
      </c>
      <c r="I58" s="13">
        <v>42717.413622685184</v>
      </c>
      <c r="J58" s="7">
        <v>0</v>
      </c>
      <c r="K58" s="109" t="str">
        <f t="shared" si="0"/>
        <v>4011/4012</v>
      </c>
      <c r="L58" s="22" t="str">
        <f>VLOOKUP(A58,'Trips&amp;Operators'!$C$1:$G$99999,5,FALSE)</f>
        <v>DAVIDSON DAVID</v>
      </c>
      <c r="M58" s="6">
        <f t="shared" si="1"/>
        <v>2.7442129627161194E-2</v>
      </c>
      <c r="N58" s="7">
        <f t="shared" si="19"/>
        <v>39.516666663112119</v>
      </c>
      <c r="O58" s="7"/>
      <c r="P58" s="7"/>
      <c r="Q58" s="23"/>
      <c r="R58" s="23"/>
      <c r="S58" s="35">
        <f t="shared" si="20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08:11:53-700',mode:absolute,to:'2016-12-13 10:55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8" s="52" t="str">
        <f t="shared" si="6"/>
        <v>N</v>
      </c>
      <c r="X58" s="177">
        <f t="shared" si="22"/>
        <v>1</v>
      </c>
      <c r="Y58" s="67">
        <f t="shared" si="23"/>
        <v>4.7300000000000002E-2</v>
      </c>
      <c r="Z58" s="67">
        <f t="shared" si="24"/>
        <v>23.329499999999999</v>
      </c>
      <c r="AA58" s="67">
        <f t="shared" si="10"/>
        <v>23.2822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0145-13</v>
      </c>
      <c r="AE58" s="91" t="str">
        <f t="shared" si="12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58" s="88" t="str">
        <f t="shared" si="13"/>
        <v>"C:\Program Files (x86)\AstroGrep\AstroGrep.exe" /spath="%USERPROFILE%\AppData\Local\Temp\OnboardLogs" /stypes="app*4011*20161213*"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145-13 --locoid 4011 --swversion DE.1.0.8.0 --startMP 204:473 --initTime 2016-12-13T09:11:53 --startdatetime 2016-12-13T09:16:06 --delay 1 --endMP 204:233295 --enddatetime 2016-12-13T09:55:37 --enforcementcount 0 &gt;&gt;C:\Users\stu\Documents\GitHub\eaglep3-reporting\EC\2016-12-13-refined-times.txt</v>
      </c>
      <c r="AI5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{"issue":{"subject":"","project_id":79,"tracker_id":40,"status_id":1,"priority_id":2,"assigned_to_id":23,"start_date":"2016-12-13","description":"","custom_fields":[{"id":1,"name":"Subdivision","value":"EC"},{"id":4,"name":"Milepost","value":"23.3295"},{"id":17,"name":"Train ID","value":"145-13"},{"id":16,"name":"Locomotive ID","value":"4011"},{"id":130,"name":"Impact","value":""},{"id":150,"name":"Time of Event (Mountain Time)","value":"09:55:37"},{"id":151,"name":"Denver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508</v>
      </c>
      <c r="B59" s="7">
        <v>4012</v>
      </c>
      <c r="C59" s="22" t="s">
        <v>207</v>
      </c>
      <c r="D59" s="22" t="s">
        <v>275</v>
      </c>
      <c r="E59" s="13">
        <v>42717.430567129632</v>
      </c>
      <c r="F59" s="13">
        <v>42717.432685185187</v>
      </c>
      <c r="G59" s="7">
        <v>1</v>
      </c>
      <c r="H59" s="22" t="s">
        <v>305</v>
      </c>
      <c r="I59" s="13">
        <v>42717.466909722221</v>
      </c>
      <c r="J59" s="7">
        <v>0</v>
      </c>
      <c r="K59" s="109" t="str">
        <f t="shared" si="0"/>
        <v>4011/4012</v>
      </c>
      <c r="L59" s="22" t="str">
        <f>VLOOKUP(A59,'Trips&amp;Operators'!$C$1:$G$99999,5,FALSE)</f>
        <v>DAVIDSON DAVID</v>
      </c>
      <c r="M59" s="6">
        <f t="shared" si="1"/>
        <v>3.4224537033878732E-2</v>
      </c>
      <c r="N59" s="7">
        <f t="shared" si="19"/>
        <v>49.283333328785375</v>
      </c>
      <c r="O59" s="7"/>
      <c r="P59" s="7"/>
      <c r="Q59" s="23"/>
      <c r="R59" s="23"/>
      <c r="S59" s="35">
        <f t="shared" si="20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09:20:01-700',mode:absolute,to:'2016-12-13 12:12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9" s="52" t="str">
        <f t="shared" si="6"/>
        <v>N</v>
      </c>
      <c r="X59" s="177">
        <f t="shared" si="22"/>
        <v>1</v>
      </c>
      <c r="Y59" s="67">
        <f t="shared" si="23"/>
        <v>23.297799999999999</v>
      </c>
      <c r="Z59" s="67">
        <f t="shared" si="24"/>
        <v>1.67E-2</v>
      </c>
      <c r="AA59" s="67">
        <f t="shared" si="10"/>
        <v>23.281099999999999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0146-13</v>
      </c>
      <c r="AE59" s="91" t="str">
        <f t="shared" si="12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59" s="88" t="str">
        <f t="shared" si="13"/>
        <v>"C:\Program Files (x86)\AstroGrep\AstroGrep.exe" /spath="%USERPROFILE%\AppData\Local\Temp\OnboardLogs" /stypes="app*4012*20161213*" /stext=" 18:.+((SYSTEM_STATE.+slice.+state.+changed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146-13 --locoid 4012 --swversion DE.1.0.8.0 --startMP 204:232978 --initTime 2016-12-13T10:20:01 --startdatetime 2016-12-13T10:23:04 --delay 1 --endMP 204:167 --enddatetime 2016-12-13T11:12:21 --enforcementcount 0 &gt;&gt;C:\Users\stu\Documents\GitHub\eaglep3-reporting\EC\2016-12-13-refined-times.txt</v>
      </c>
      <c r="AI59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{"issue":{"subject":"","project_id":79,"tracker_id":40,"status_id":1,"priority_id":2,"assigned_to_id":23,"start_date":"2016-12-13","description":"","custom_fields":[{"id":1,"name":"Subdivision","value":"EC"},{"id":4,"name":"Milepost","value":"0.0167"},{"id":17,"name":"Train ID","value":"146-13"},{"id":16,"name":"Locomotive ID","value":"4012"},{"id":130,"name":"Impact","value":""},{"id":150,"name":"Time of Event (Mountain Time)","value":"11:12:21"},{"id":151,"name":"Denver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505</v>
      </c>
      <c r="B60" s="7">
        <v>4020</v>
      </c>
      <c r="C60" s="22" t="s">
        <v>207</v>
      </c>
      <c r="D60" s="22" t="s">
        <v>371</v>
      </c>
      <c r="E60" s="13">
        <v>42717.38858796296</v>
      </c>
      <c r="F60" s="13">
        <v>42717.396006944444</v>
      </c>
      <c r="G60" s="7">
        <v>2</v>
      </c>
      <c r="H60" s="22" t="s">
        <v>367</v>
      </c>
      <c r="I60" s="13">
        <v>42717.423217592594</v>
      </c>
      <c r="J60" s="7">
        <v>0</v>
      </c>
      <c r="K60" s="109" t="str">
        <f t="shared" si="0"/>
        <v>4019/4020</v>
      </c>
      <c r="L60" s="22" t="str">
        <f>VLOOKUP(A60,'Trips&amp;Operators'!$C$1:$G$99999,5,FALSE)</f>
        <v>ACKERMAN JARED</v>
      </c>
      <c r="M60" s="6">
        <f t="shared" si="1"/>
        <v>2.7210648149775807E-2</v>
      </c>
      <c r="N60" s="7">
        <f t="shared" si="19"/>
        <v>39.183333335677162</v>
      </c>
      <c r="O60" s="7"/>
      <c r="P60" s="7"/>
      <c r="Q60" s="23"/>
      <c r="R60" s="23"/>
      <c r="S60" s="35">
        <f t="shared" si="20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08:19:34-700',mode:absolute,to:'2016-12-13 11:09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0" s="52" t="str">
        <f t="shared" si="6"/>
        <v>N</v>
      </c>
      <c r="X60" s="177">
        <f t="shared" si="22"/>
        <v>1</v>
      </c>
      <c r="Y60" s="67">
        <f t="shared" si="23"/>
        <v>4.6600000000000003E-2</v>
      </c>
      <c r="Z60" s="67">
        <f t="shared" si="24"/>
        <v>23.329699999999999</v>
      </c>
      <c r="AA60" s="67">
        <f t="shared" si="10"/>
        <v>23.283099999999997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0147-13</v>
      </c>
      <c r="AE60" s="91" t="str">
        <f t="shared" si="12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60" s="88" t="str">
        <f t="shared" si="13"/>
        <v>"C:\Program Files (x86)\AstroGrep\AstroGrep.exe" /spath="%USERPROFILE%\AppData\Local\Temp\OnboardLogs" /stypes="app*4020*20161213*"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147-13 --locoid 4020 --swversion DE.1.0.8.0 --startMP 204:466 --initTime 2016-12-13T09:19:34 --startdatetime 2016-12-13T09:30:15 --delay 2 --endMP 204:233297 --enddatetime 2016-12-13T10:09:26 --enforcementcount 0 &gt;&gt;C:\Users\stu\Documents\GitHub\eaglep3-reporting\EC\2016-12-13-refined-times.txt</v>
      </c>
      <c r="AI60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{"issue":{"subject":"","project_id":79,"tracker_id":40,"status_id":1,"priority_id":2,"assigned_to_id":23,"start_date":"2016-12-13","description":"","custom_fields":[{"id":1,"name":"Subdivision","value":"EC"},{"id":4,"name":"Milepost","value":"23.3297"},{"id":17,"name":"Train ID","value":"147-13"},{"id":16,"name":"Locomotive ID","value":"4020"},{"id":130,"name":"Impact","value":""},{"id":150,"name":"Time of Event (Mountain Time)","value":"10:09:26"},{"id":151,"name":"Denver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424</v>
      </c>
      <c r="B61" s="7">
        <v>4019</v>
      </c>
      <c r="C61" s="22" t="s">
        <v>207</v>
      </c>
      <c r="D61" s="22" t="s">
        <v>311</v>
      </c>
      <c r="E61" s="13">
        <v>42717.439363425925</v>
      </c>
      <c r="F61" s="13">
        <v>42717.441041666665</v>
      </c>
      <c r="G61" s="7">
        <v>1</v>
      </c>
      <c r="H61" s="22" t="s">
        <v>205</v>
      </c>
      <c r="I61" s="13">
        <v>42717.471574074072</v>
      </c>
      <c r="J61" s="7">
        <v>1</v>
      </c>
      <c r="K61" s="109" t="str">
        <f t="shared" si="0"/>
        <v>4019/4020</v>
      </c>
      <c r="L61" s="22" t="str">
        <f>VLOOKUP(A61,'Trips&amp;Operators'!$C$1:$G$99999,5,FALSE)</f>
        <v>ACKERMAN JARED</v>
      </c>
      <c r="M61" s="6">
        <f t="shared" si="1"/>
        <v>3.0532407407008577E-2</v>
      </c>
      <c r="N61" s="7">
        <f t="shared" si="19"/>
        <v>43.966666666092351</v>
      </c>
      <c r="O61" s="7"/>
      <c r="P61" s="7"/>
      <c r="Q61" s="23"/>
      <c r="R61" s="23"/>
      <c r="S61" s="35">
        <f t="shared" si="20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09:32:41-700',mode:absolute,to:'2016-12-13 12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1" s="52" t="str">
        <f t="shared" si="6"/>
        <v>N</v>
      </c>
      <c r="X61" s="177">
        <f t="shared" si="22"/>
        <v>1</v>
      </c>
      <c r="Y61" s="67">
        <f t="shared" si="23"/>
        <v>23.298300000000001</v>
      </c>
      <c r="Z61" s="67">
        <f t="shared" si="24"/>
        <v>1.5599999999999999E-2</v>
      </c>
      <c r="AA61" s="67">
        <f t="shared" si="10"/>
        <v>23.282700000000002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0148-13</v>
      </c>
      <c r="AE61" s="91" t="str">
        <f t="shared" si="12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61" s="88" t="str">
        <f t="shared" si="13"/>
        <v>"C:\Program Files (x86)\AstroGrep\AstroGrep.exe" /spath="%USERPROFILE%\AppData\Local\Temp\OnboardLogs" /stypes="app*4019*20161213*"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148-13 --locoid 4019 --swversion DE.1.0.8.0 --startMP 204:232983 --initTime 2016-12-13T10:32:41 --startdatetime 2016-12-13T10:35:06 --delay 1 --endMP 204:156 --enddatetime 2016-12-13T11:19:04 --enforcementcount 1 &gt;&gt;C:\Users\stu\Documents\GitHub\eaglep3-reporting\EC\2016-12-13-refined-times.txt</v>
      </c>
      <c r="AI61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{"issue":{"subject":"","project_id":79,"tracker_id":40,"status_id":1,"priority_id":2,"assigned_to_id":23,"start_date":"2016-12-13","description":"","custom_fields":[{"id":1,"name":"Subdivision","value":"EC"},{"id":4,"name":"Milepost","value":"0.0156"},{"id":17,"name":"Train ID","value":"148-13"},{"id":16,"name":"Locomotive ID","value":"4019"},{"id":130,"name":"Impact","value":""},{"id":150,"name":"Time of Event (Mountain Time)","value":"11:19:04"},{"id":151,"name":"Denver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506</v>
      </c>
      <c r="B62" s="7">
        <v>4003</v>
      </c>
      <c r="C62" s="22" t="s">
        <v>207</v>
      </c>
      <c r="D62" s="22" t="s">
        <v>265</v>
      </c>
      <c r="E62" s="13">
        <v>42717.403877314813</v>
      </c>
      <c r="F62" s="13">
        <v>42717.406504629631</v>
      </c>
      <c r="G62" s="7">
        <v>1</v>
      </c>
      <c r="H62" s="22" t="s">
        <v>343</v>
      </c>
      <c r="I62" s="13">
        <v>42717.436354166668</v>
      </c>
      <c r="J62" s="7">
        <v>0</v>
      </c>
      <c r="K62" s="109" t="str">
        <f t="shared" si="0"/>
        <v>4003/4004</v>
      </c>
      <c r="L62" s="22" t="str">
        <f>VLOOKUP(A62,'Trips&amp;Operators'!$C$1:$G$99999,5,FALSE)</f>
        <v>DE LA ROSA ALEX</v>
      </c>
      <c r="M62" s="6">
        <f t="shared" si="1"/>
        <v>2.9849537037080154E-2</v>
      </c>
      <c r="N62" s="7">
        <f t="shared" si="19"/>
        <v>42.983333333395422</v>
      </c>
      <c r="O62" s="7"/>
      <c r="P62" s="7"/>
      <c r="Q62" s="23"/>
      <c r="R62" s="23"/>
      <c r="S62" s="35">
        <f t="shared" si="20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08:41:35-700',mode:absolute,to:'2016-12-13 11:28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2" s="52" t="str">
        <f t="shared" si="6"/>
        <v>N</v>
      </c>
      <c r="X62" s="177">
        <f t="shared" si="22"/>
        <v>1</v>
      </c>
      <c r="Y62" s="67">
        <f t="shared" si="23"/>
        <v>4.4600000000000001E-2</v>
      </c>
      <c r="Z62" s="67">
        <f t="shared" si="24"/>
        <v>23.328600000000002</v>
      </c>
      <c r="AA62" s="67">
        <f t="shared" si="10"/>
        <v>23.284000000000002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0149-13</v>
      </c>
      <c r="AE62" s="91" t="str">
        <f t="shared" si="12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62" s="88" t="str">
        <f t="shared" si="13"/>
        <v>"C:\Program Files (x86)\AstroGrep\AstroGrep.exe" /spath="%USERPROFILE%\AppData\Local\Temp\OnboardLogs" /stypes="app*4003*20161213*"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149-13 --locoid 4003 --swversion DE.1.0.8.0 --startMP 204:446 --initTime 2016-12-13T09:41:35 --startdatetime 2016-12-13T09:45:22 --delay 1 --endMP 204:233286 --enddatetime 2016-12-13T10:28:21 --enforcementcount 0 &gt;&gt;C:\Users\stu\Documents\GitHub\eaglep3-reporting\EC\2016-12-13-refined-times.txt</v>
      </c>
      <c r="AI62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{"issue":{"subject":"","project_id":79,"tracker_id":40,"status_id":1,"priority_id":2,"assigned_to_id":23,"start_date":"2016-12-13","description":"","custom_fields":[{"id":1,"name":"Subdivision","value":"EC"},{"id":4,"name":"Milepost","value":"23.3286"},{"id":17,"name":"Train ID","value":"149-13"},{"id":16,"name":"Locomotive ID","value":"4003"},{"id":130,"name":"Impact","value":""},{"id":150,"name":"Time of Event (Mountain Time)","value":"10:28:21"},{"id":151,"name":"Denver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510</v>
      </c>
      <c r="B63" s="7">
        <v>4004</v>
      </c>
      <c r="C63" s="22" t="s">
        <v>207</v>
      </c>
      <c r="D63" s="22" t="s">
        <v>265</v>
      </c>
      <c r="E63" s="13">
        <v>42717.403877314813</v>
      </c>
      <c r="F63" s="13">
        <v>42717.445335648146</v>
      </c>
      <c r="G63" s="7">
        <v>1</v>
      </c>
      <c r="H63" s="22" t="s">
        <v>343</v>
      </c>
      <c r="I63" s="13">
        <v>42717.482187499998</v>
      </c>
      <c r="J63" s="7">
        <v>0</v>
      </c>
      <c r="K63" s="109" t="str">
        <f t="shared" si="0"/>
        <v>4003/4004</v>
      </c>
      <c r="L63" s="22" t="str">
        <f>VLOOKUP(A63,'Trips&amp;Operators'!$C$1:$G$99999,5,FALSE)</f>
        <v>DE LA ROSA ALEX</v>
      </c>
      <c r="M63" s="6">
        <f t="shared" si="1"/>
        <v>3.6851851851679385E-2</v>
      </c>
      <c r="N63" s="7">
        <f t="shared" si="19"/>
        <v>53.066666666418314</v>
      </c>
      <c r="O63" s="7"/>
      <c r="P63" s="7"/>
      <c r="Q63" s="23"/>
      <c r="R63" s="23"/>
      <c r="S63" s="35">
        <f t="shared" si="20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08:41:35-700',mode:absolute,to:'2016-12-13 12:34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3" s="52" t="str">
        <f t="shared" si="6"/>
        <v>N</v>
      </c>
      <c r="X63" s="177">
        <f t="shared" si="22"/>
        <v>1</v>
      </c>
      <c r="Y63" s="67">
        <v>23.298300000000001</v>
      </c>
      <c r="Z63" s="67">
        <v>1.5599999999999999E-2</v>
      </c>
      <c r="AA63" s="67">
        <f t="shared" si="10"/>
        <v>23.282700000000002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0150-13</v>
      </c>
      <c r="AE63" s="91" t="str">
        <f t="shared" si="12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63" s="88" t="str">
        <f t="shared" si="13"/>
        <v>"C:\Program Files (x86)\AstroGrep\AstroGrep.exe" /spath="%USERPROFILE%\AppData\Local\Temp\OnboardLogs" /stypes="app*4004*20161213*"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ref="AH63" si="25"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150-13 --locoid 4004 --swversion DE.1.0.8.0 --startMP 204:446 --initTime 2016-12-13T09:41:35 --startdatetime 2016-12-13T10:41:17 --delay 1 --endMP 204:233286 --enddatetime 2016-12-13T11:34:21 --enforcementcount 0 &gt;&gt;C:\Users\stu\Documents\GitHub\eaglep3-reporting\EC\2016-12-13-refined-times.txt</v>
      </c>
      <c r="AI63" s="119" t="str">
        <f t="shared" ref="AI63" si="26"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Z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{"issue":{"subject":"","project_id":79,"tracker_id":40,"status_id":1,"priority_id":2,"assigned_to_id":23,"start_date":"2016-12-13","description":"","custom_fields":[{"id":1,"name":"Subdivision","value":"EC"},{"id":4,"name":"Milepost","value":"0.0156"},{"id":17,"name":"Train ID","value":"150-13"},{"id":16,"name":"Locomotive ID","value":"4004"},{"id":130,"name":"Impact","value":""},{"id":150,"name":"Time of Event (Mountain Time)","value":"11:34:21"},{"id":151,"name":"Denver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</row>
    <row r="64" spans="1:91" s="1" customFormat="1" x14ac:dyDescent="0.25">
      <c r="A64" s="37" t="s">
        <v>421</v>
      </c>
      <c r="B64" s="7">
        <v>4016</v>
      </c>
      <c r="C64" s="22" t="s">
        <v>207</v>
      </c>
      <c r="D64" s="22" t="s">
        <v>660</v>
      </c>
      <c r="E64" s="13">
        <v>42717.447094907409</v>
      </c>
      <c r="F64" s="13">
        <v>42717.447662037041</v>
      </c>
      <c r="G64" s="7">
        <v>0</v>
      </c>
      <c r="H64" s="22" t="s">
        <v>661</v>
      </c>
      <c r="I64" s="13">
        <v>42717.460810185185</v>
      </c>
      <c r="J64" s="7">
        <v>0</v>
      </c>
      <c r="K64" s="109" t="str">
        <f t="shared" si="0"/>
        <v>4015/4016</v>
      </c>
      <c r="L64" s="22" t="str">
        <f>VLOOKUP(A64,'Trips&amp;Operators'!$C$1:$G$99999,5,FALSE)</f>
        <v>SPECTOR MICHAEL</v>
      </c>
      <c r="M64" s="6">
        <f t="shared" si="1"/>
        <v>1.3148148143955041E-2</v>
      </c>
      <c r="N64" s="7"/>
      <c r="O64" s="7"/>
      <c r="P64" s="7">
        <f>24*60*SUM($M64:$M65)</f>
        <v>52.433333321241662</v>
      </c>
      <c r="Q64" s="23"/>
      <c r="R64" s="23" t="s">
        <v>821</v>
      </c>
      <c r="S64" s="35">
        <f>SUM(U64:U65)/IF(AG64="EC",12,1)</f>
        <v>0.83333333333333337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09:43:49-700',mode:absolute,to:'2016-12-13 12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4" s="52" t="str">
        <f t="shared" si="6"/>
        <v>Y</v>
      </c>
      <c r="X64" s="177">
        <f t="shared" ref="X64:X69" si="27">VALUE(LEFT(AD64,4))-VALUE(LEFT(AD63,4))</f>
        <v>1</v>
      </c>
      <c r="Y64" s="67">
        <f t="shared" ref="Y64:Y73" si="28">RIGHT(D64,LEN(D64)-4)/10000</f>
        <v>12.8268</v>
      </c>
      <c r="Z64" s="67">
        <f t="shared" ref="Z64:Z73" si="29">RIGHT(H64,LEN(H64)-4)/10000</f>
        <v>23.331600000000002</v>
      </c>
      <c r="AA64" s="67">
        <f t="shared" si="10"/>
        <v>10.504800000000001</v>
      </c>
      <c r="AB64" s="64" t="str">
        <f>VLOOKUP(A64,Enforcements!$C$7:$K$19,8,0)</f>
        <v>Signal based authority (5)</v>
      </c>
      <c r="AC64" s="60" t="str">
        <f>VLOOKUP(A64,Enforcements!$C$7:$E$19,3,0)</f>
        <v>SIGNAL</v>
      </c>
      <c r="AD64" s="61" t="str">
        <f t="shared" si="11"/>
        <v>0151-13</v>
      </c>
      <c r="AE64" s="91" t="str">
        <f t="shared" si="12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64" s="88" t="str">
        <f t="shared" si="13"/>
        <v>"C:\Program Files (x86)\AstroGrep\AstroGrep.exe" /spath="%USERPROFILE%\AppData\Local\Temp\OnboardLogs" /stypes="app*4016*20161213*"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151-13 --locoid 4016 --swversion DE.1.0.8.0 --startMP 204:128268 --initTime 2016-12-13T10:43:49 --startdatetime 2016-12-13T10:44:38 --delay 0 --endMP 204:233316 --enddatetime 2016-12-13T11:03:34 --enforcementcount 0 &gt;&gt;C:\Users\stu\Documents\GitHub\eaglep3-reporting\EC\2016-12-13-refined-times.txt</v>
      </c>
      <c r="AI64" s="119" t="str">
        <f t="shared" si="18"/>
        <v>echo {"issue":{"subject":"Sable 2N stuck at STOP (XING dependency?)","project_id":79,"tracker_id":40,"status_id":1,"priority_id":2,"assigned_to_id":23,"start_date":"2016-12-13","description":"From 10:07:17 - 10:41:46, a few requests to clear were sent to Sable 2N. The signal didn't clear until 10:41:46. Was there a dependency on the Chambers crossing or something like that? Or do logs show any sort of failure/issue at the time?","custom_fields":[{"id":1,"name":"Subdivision","value":"EC"},{"id":4,"name":"Milepost","value":"23.3316"},{"id":17,"name":"Train ID","value":"151-13"},{"id":16,"name":"Locomotive ID","value":"4016"},{"id":130,"name":"Impact","value":"Unexpected Cut-Out or Disengaged"},{"id":150,"name":"Time of Event (Mountain Time)","value":"11:03:34"},{"id":151,"name":"Denver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4" s="53" t="s">
        <v>822</v>
      </c>
      <c r="AK64" s="53" t="s">
        <v>131</v>
      </c>
      <c r="AL64" s="53" t="s">
        <v>130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421</v>
      </c>
      <c r="B65" s="7">
        <v>4016</v>
      </c>
      <c r="C65" s="22" t="s">
        <v>207</v>
      </c>
      <c r="D65" s="22" t="s">
        <v>313</v>
      </c>
      <c r="E65" s="13">
        <v>42717.419178240743</v>
      </c>
      <c r="F65" s="13">
        <v>42717.419988425929</v>
      </c>
      <c r="G65" s="7">
        <v>1</v>
      </c>
      <c r="H65" s="22" t="s">
        <v>662</v>
      </c>
      <c r="I65" s="13">
        <v>42717.443252314813</v>
      </c>
      <c r="J65" s="7">
        <v>1</v>
      </c>
      <c r="K65" s="109" t="str">
        <f t="shared" si="0"/>
        <v>4015/4016</v>
      </c>
      <c r="L65" s="22" t="str">
        <f>VLOOKUP(A65,'Trips&amp;Operators'!$C$1:$G$99999,5,FALSE)</f>
        <v>SPECTOR MICHAEL</v>
      </c>
      <c r="M65" s="6">
        <f t="shared" si="1"/>
        <v>2.3263888884685002E-2</v>
      </c>
      <c r="N65" s="7"/>
      <c r="O65" s="7"/>
      <c r="P65" s="7"/>
      <c r="Q65" s="23"/>
      <c r="R65" s="23"/>
      <c r="S65" s="35"/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10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09:03:37-700',mode:absolute,to:'2016-12-13 11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52" t="str">
        <f t="shared" si="6"/>
        <v>Y</v>
      </c>
      <c r="X65" s="177">
        <f t="shared" si="27"/>
        <v>0</v>
      </c>
      <c r="Y65" s="67">
        <f t="shared" si="28"/>
        <v>4.6699999999999998E-2</v>
      </c>
      <c r="Z65" s="67">
        <f t="shared" si="29"/>
        <v>10.330299999999999</v>
      </c>
      <c r="AA65" s="67">
        <f t="shared" si="10"/>
        <v>10.2836</v>
      </c>
      <c r="AB65" s="64" t="str">
        <f>VLOOKUP(A65,Enforcements!$C$7:$K$19,8,0)</f>
        <v>Signal based authority (5)</v>
      </c>
      <c r="AC65" s="60" t="str">
        <f>VLOOKUP(A65,Enforcements!$C$7:$E$19,3,0)</f>
        <v>SIGNAL</v>
      </c>
      <c r="AD65" s="61" t="str">
        <f t="shared" si="11"/>
        <v>0151-13</v>
      </c>
      <c r="AE65" s="91" t="str">
        <f t="shared" si="12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65" s="88" t="str">
        <f t="shared" si="13"/>
        <v>"C:\Program Files (x86)\AstroGrep\AstroGrep.exe" /spath="%USERPROFILE%\AppData\Local\Temp\OnboardLogs" /stypes="app*4016*20161213*"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151-13 --locoid 4016 --swversion DE.1.0.8.0 --startMP 204:467 --initTime 2016-12-13T10:03:37 --startdatetime 2016-12-13T10:04:47 --delay 1 --endMP 204:103303 --enddatetime 2016-12-13T10:38:17 --enforcementcount 1 &gt;&gt;C:\Users\stu\Documents\GitHub\eaglep3-reporting\EC\2016-12-13-refined-times.txt</v>
      </c>
      <c r="AI6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{"issue":{"subject":"","project_id":79,"tracker_id":40,"status_id":1,"priority_id":2,"assigned_to_id":23,"start_date":"2016-12-13","description":"","custom_fields":[{"id":1,"name":"Subdivision","value":"EC"},{"id":4,"name":"Milepost","value":"10.3303"},{"id":17,"name":"Train ID","value":"151-13"},{"id":16,"name":"Locomotive ID","value":"4016"},{"id":130,"name":"Impact","value":""},{"id":150,"name":"Time of Event (Mountain Time)","value":"10:38:17"},{"id":151,"name":"Denver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509</v>
      </c>
      <c r="B66" s="7">
        <v>4042</v>
      </c>
      <c r="C66" s="22" t="s">
        <v>207</v>
      </c>
      <c r="D66" s="22" t="s">
        <v>663</v>
      </c>
      <c r="E66" s="13">
        <v>42717.430451388886</v>
      </c>
      <c r="F66" s="13">
        <v>42717.433668981481</v>
      </c>
      <c r="G66" s="7">
        <v>4</v>
      </c>
      <c r="H66" s="22" t="s">
        <v>346</v>
      </c>
      <c r="I66" s="13">
        <v>42717.46371527778</v>
      </c>
      <c r="J66" s="7">
        <v>0</v>
      </c>
      <c r="K66" s="109" t="str">
        <f t="shared" si="0"/>
        <v>4041/4042</v>
      </c>
      <c r="L66" s="22" t="str">
        <f>VLOOKUP(A66,'Trips&amp;Operators'!$C$1:$G$99999,5,FALSE)</f>
        <v>STARKS ANGELINA</v>
      </c>
      <c r="M66" s="6">
        <f t="shared" si="1"/>
        <v>3.0046296298678499E-2</v>
      </c>
      <c r="N66" s="7">
        <f>24*60*SUM($M66:$M66)</f>
        <v>43.266666670097038</v>
      </c>
      <c r="O66" s="7"/>
      <c r="P66" s="7"/>
      <c r="Q66" s="23"/>
      <c r="R66" s="23"/>
      <c r="S66" s="35">
        <f t="shared" ref="S66:S71" si="30">SUM(U66:U66)/IF(AG66="EC",12,1)</f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09:19:51-700',mode:absolute,to:'2016-12-13 12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6" s="52" t="str">
        <f t="shared" si="6"/>
        <v>N</v>
      </c>
      <c r="X66" s="177" t="e">
        <f>VALUE(LEFT(AD66,4))-VALUE(LEFT(#REF!,4))</f>
        <v>#REF!</v>
      </c>
      <c r="Y66" s="67">
        <f t="shared" si="28"/>
        <v>9.2100000000000001E-2</v>
      </c>
      <c r="Z66" s="67">
        <f t="shared" si="29"/>
        <v>23.328099999999999</v>
      </c>
      <c r="AA66" s="67">
        <f t="shared" si="10"/>
        <v>23.236000000000001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0153-13</v>
      </c>
      <c r="AE66" s="91" t="str">
        <f t="shared" si="12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66" s="88" t="str">
        <f t="shared" si="13"/>
        <v>"C:\Program Files (x86)\AstroGrep\AstroGrep.exe" /spath="%USERPROFILE%\AppData\Local\Temp\OnboardLogs" /stypes="app*4042*20161213*"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153-13 --locoid 4042 --swversion DE.1.0.8.0 --startMP 204:921 --initTime 2016-12-13T10:19:51 --startdatetime 2016-12-13T10:24:29 --delay 4 --endMP 204:233281 --enddatetime 2016-12-13T11:07:45 --enforcementcount 0 &gt;&gt;C:\Users\stu\Documents\GitHub\eaglep3-reporting\EC\2016-12-13-refined-times.txt</v>
      </c>
      <c r="AI6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{"issue":{"subject":"","project_id":79,"tracker_id":40,"status_id":1,"priority_id":2,"assigned_to_id":23,"start_date":"2016-12-13","description":"","custom_fields":[{"id":1,"name":"Subdivision","value":"EC"},{"id":4,"name":"Milepost","value":"23.3281"},{"id":17,"name":"Train ID","value":"153-13"},{"id":16,"name":"Locomotive ID","value":"4042"},{"id":130,"name":"Impact","value":""},{"id":150,"name":"Time of Event (Mountain Time)","value":"11:07:45"},{"id":151,"name":"Denver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515</v>
      </c>
      <c r="B67" s="7">
        <v>4015</v>
      </c>
      <c r="C67" s="22" t="s">
        <v>207</v>
      </c>
      <c r="D67" s="22" t="s">
        <v>642</v>
      </c>
      <c r="E67" s="13">
        <v>42717.464849537035</v>
      </c>
      <c r="F67" s="13">
        <v>42717.466261574074</v>
      </c>
      <c r="G67" s="7">
        <v>1</v>
      </c>
      <c r="H67" s="22" t="s">
        <v>213</v>
      </c>
      <c r="I67" s="13">
        <v>42717.496053240742</v>
      </c>
      <c r="J67" s="7">
        <v>0</v>
      </c>
      <c r="K67" s="109" t="str">
        <f t="shared" si="0"/>
        <v>4015/4016</v>
      </c>
      <c r="L67" s="22" t="str">
        <f>VLOOKUP(A67,'Trips&amp;Operators'!$C$1:$G$99999,5,FALSE)</f>
        <v>SPECTOR MICHAEL</v>
      </c>
      <c r="M67" s="6">
        <f t="shared" si="1"/>
        <v>2.9791666667733807E-2</v>
      </c>
      <c r="N67" s="7">
        <f>24*60*SUM($M67:$M67)</f>
        <v>42.900000001536682</v>
      </c>
      <c r="O67" s="7"/>
      <c r="P67" s="7"/>
      <c r="Q67" s="23"/>
      <c r="R67" s="23"/>
      <c r="S67" s="35">
        <f t="shared" si="30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10:09:23-700',mode:absolute,to:'2016-12-13 12:54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7" s="52" t="str">
        <f t="shared" si="6"/>
        <v>N</v>
      </c>
      <c r="X67" s="177">
        <f t="shared" si="27"/>
        <v>1</v>
      </c>
      <c r="Y67" s="67">
        <f t="shared" si="28"/>
        <v>23.299199999999999</v>
      </c>
      <c r="Z67" s="67">
        <f t="shared" si="29"/>
        <v>1.4999999999999999E-2</v>
      </c>
      <c r="AA67" s="67">
        <f t="shared" si="10"/>
        <v>23.284199999999998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0154-13</v>
      </c>
      <c r="AE67" s="91" t="str">
        <f t="shared" si="12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67" s="88" t="str">
        <f t="shared" si="13"/>
        <v>"C:\Program Files (x86)\AstroGrep\AstroGrep.exe" /spath="%USERPROFILE%\AppData\Local\Temp\OnboardLogs" /stypes="app*4015*20161213*"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154-13 --locoid 4015 --swversion DE.1.0.8.0 --startMP 204:232992 --initTime 2016-12-13T11:09:23 --startdatetime 2016-12-13T11:11:25 --delay 1 --endMP 204:150 --enddatetime 2016-12-13T11:54:19 --enforcementcount 0 &gt;&gt;C:\Users\stu\Documents\GitHub\eaglep3-reporting\EC\2016-12-13-refined-times.txt</v>
      </c>
      <c r="AI6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{"issue":{"subject":"","project_id":79,"tracker_id":40,"status_id":1,"priority_id":2,"assigned_to_id":23,"start_date":"2016-12-13","description":"","custom_fields":[{"id":1,"name":"Subdivision","value":"EC"},{"id":4,"name":"Milepost","value":"0.015"},{"id":17,"name":"Train ID","value":"154-13"},{"id":16,"name":"Locomotive ID","value":"4015"},{"id":130,"name":"Impact","value":""},{"id":150,"name":"Time of Event (Mountain Time)","value":"11:54:19"},{"id":151,"name":"Denver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513</v>
      </c>
      <c r="B68" s="7">
        <v>4044</v>
      </c>
      <c r="C68" s="22" t="s">
        <v>207</v>
      </c>
      <c r="D68" s="22" t="s">
        <v>232</v>
      </c>
      <c r="E68" s="13">
        <v>42717.44226851852</v>
      </c>
      <c r="F68" s="13">
        <v>42717.445960648147</v>
      </c>
      <c r="G68" s="7">
        <v>3</v>
      </c>
      <c r="H68" s="22" t="s">
        <v>288</v>
      </c>
      <c r="I68" s="13">
        <v>42717.473657407405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DAVIS MICHAEL</v>
      </c>
      <c r="M68" s="6">
        <f t="shared" si="1"/>
        <v>2.7696759258105885E-2</v>
      </c>
      <c r="N68" s="7">
        <f>24*60*SUM($M68:$M68)</f>
        <v>39.883333331672475</v>
      </c>
      <c r="O68" s="7"/>
      <c r="P68" s="7"/>
      <c r="Q68" s="23"/>
      <c r="R68" s="23"/>
      <c r="S68" s="35">
        <f t="shared" si="30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09:36:52-700',mode:absolute,to:'2016-12-13 12:22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 t="shared" si="6"/>
        <v>N</v>
      </c>
      <c r="X68" s="177">
        <f t="shared" si="27"/>
        <v>1</v>
      </c>
      <c r="Y68" s="67">
        <f t="shared" si="28"/>
        <v>4.5499999999999999E-2</v>
      </c>
      <c r="Z68" s="67">
        <f t="shared" si="29"/>
        <v>23.327400000000001</v>
      </c>
      <c r="AA68" s="67">
        <f t="shared" si="10"/>
        <v>23.2819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0155-13</v>
      </c>
      <c r="AE68" s="91" t="str">
        <f t="shared" si="12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68" s="88" t="str">
        <f t="shared" si="13"/>
        <v>"C:\Program Files (x86)\AstroGrep\AstroGrep.exe" /spath="%USERPROFILE%\AppData\Local\Temp\OnboardLogs" /stypes="app*4044*20161213*"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155-13 --locoid 4044 --swversion DE.1.0.8.0 --startMP 204:455 --initTime 2016-12-13T10:36:52 --startdatetime 2016-12-13T10:42:11 --delay 3 --endMP 204:233274 --enddatetime 2016-12-13T11:22:04 --enforcementcount 0 &gt;&gt;C:\Users\stu\Documents\GitHub\eaglep3-reporting\EC\2016-12-13-refined-times.txt</v>
      </c>
      <c r="AI6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{"issue":{"subject":"","project_id":79,"tracker_id":40,"status_id":1,"priority_id":2,"assigned_to_id":23,"start_date":"2016-12-13","description":"","custom_fields":[{"id":1,"name":"Subdivision","value":"EC"},{"id":4,"name":"Milepost","value":"23.3274"},{"id":17,"name":"Train ID","value":"155-13"},{"id":16,"name":"Locomotive ID","value":"4044"},{"id":130,"name":"Impact","value":""},{"id":150,"name":"Time of Event (Mountain Time)","value":"11:22:04"},{"id":151,"name":"Denver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525</v>
      </c>
      <c r="B69" s="7">
        <v>4041</v>
      </c>
      <c r="C69" s="22" t="s">
        <v>207</v>
      </c>
      <c r="D69" s="22" t="s">
        <v>314</v>
      </c>
      <c r="E69" s="13">
        <v>42717.475208333337</v>
      </c>
      <c r="F69" s="13">
        <v>42717.476631944446</v>
      </c>
      <c r="G69" s="7">
        <v>1</v>
      </c>
      <c r="H69" s="22" t="s">
        <v>278</v>
      </c>
      <c r="I69" s="13">
        <v>42717.5075</v>
      </c>
      <c r="J69" s="7">
        <v>0</v>
      </c>
      <c r="K69" s="109" t="str">
        <f t="shared" si="0"/>
        <v>4041/4042</v>
      </c>
      <c r="L69" s="22" t="str">
        <f>VLOOKUP(A69,'Trips&amp;Operators'!$C$1:$G$99999,5,FALSE)</f>
        <v>STARKS ANGELINA</v>
      </c>
      <c r="M69" s="6">
        <f t="shared" si="1"/>
        <v>3.0868055553582963E-2</v>
      </c>
      <c r="N69" s="7">
        <f>24*60*SUM($M69:$M69)</f>
        <v>44.449999997159466</v>
      </c>
      <c r="O69" s="7"/>
      <c r="P69" s="7"/>
      <c r="Q69" s="23"/>
      <c r="R69" s="23"/>
      <c r="S69" s="35">
        <f t="shared" si="30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10:24:18-700',mode:absolute,to:'2016-12-13 13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9" s="52" t="str">
        <f t="shared" si="6"/>
        <v>N</v>
      </c>
      <c r="X69" s="177">
        <f t="shared" si="27"/>
        <v>1</v>
      </c>
      <c r="Y69" s="67">
        <f t="shared" si="28"/>
        <v>23.297699999999999</v>
      </c>
      <c r="Z69" s="67">
        <f t="shared" si="29"/>
        <v>1.52E-2</v>
      </c>
      <c r="AA69" s="67">
        <f t="shared" si="10"/>
        <v>23.282499999999999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0156-13</v>
      </c>
      <c r="AE69" s="91" t="str">
        <f t="shared" si="12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69" s="88" t="str">
        <f t="shared" si="13"/>
        <v>"C:\Program Files (x86)\AstroGrep\AstroGrep.exe" /spath="%USERPROFILE%\AppData\Local\Temp\OnboardLogs" /stypes="app*4041*20161213*"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156-13 --locoid 4041 --swversion DE.1.0.8.0 --startMP 204:232977 --initTime 2016-12-13T11:24:18 --startdatetime 2016-12-13T11:26:21 --delay 1 --endMP 204:152 --enddatetime 2016-12-13T12:10:48 --enforcementcount 0 &gt;&gt;C:\Users\stu\Documents\GitHub\eaglep3-reporting\EC\2016-12-13-refined-times.txt</v>
      </c>
      <c r="AI69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ID","value":"156-13"},{"id":16,"name":"Locomotive ID","value":"4041"},{"id":130,"name":"Impact","value":""},{"id":150,"name":"Time of Event (Mountain Time)","value":"12:10:48"},{"id":151,"name":"Denver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526</v>
      </c>
      <c r="B70" s="7">
        <v>4043</v>
      </c>
      <c r="C70" s="22" t="s">
        <v>207</v>
      </c>
      <c r="D70" s="22" t="s">
        <v>664</v>
      </c>
      <c r="E70" s="13">
        <v>42717.48101851852</v>
      </c>
      <c r="F70" s="13">
        <v>42717.487615740742</v>
      </c>
      <c r="G70" s="7">
        <v>1</v>
      </c>
      <c r="H70" s="22" t="s">
        <v>289</v>
      </c>
      <c r="I70" s="13">
        <v>42717.519143518519</v>
      </c>
      <c r="J70" s="7">
        <v>0</v>
      </c>
      <c r="K70" s="109" t="str">
        <f t="shared" si="0"/>
        <v>4043/4044</v>
      </c>
      <c r="L70" s="22" t="str">
        <f>VLOOKUP(A70,'Trips&amp;Operators'!$C$1:$G$99999,5,FALSE)</f>
        <v>DAVIS MICHAEL</v>
      </c>
      <c r="M70" s="6">
        <f t="shared" si="1"/>
        <v>3.1527777777228039E-2</v>
      </c>
      <c r="N70" s="7">
        <f>24*60*SUM($M70:$M70)</f>
        <v>45.399999999208376</v>
      </c>
      <c r="O70" s="7"/>
      <c r="P70" s="7"/>
      <c r="Q70" s="23"/>
      <c r="R70" s="23"/>
      <c r="S70" s="35">
        <f t="shared" si="30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10:32:40-700',mode:absolute,to:'2016-12-13 13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0" s="52" t="str">
        <f t="shared" si="6"/>
        <v>N</v>
      </c>
      <c r="X70" s="177" t="e">
        <f>VALUE(LEFT(AD70,4))-VALUE(LEFT(#REF!,4))</f>
        <v>#REF!</v>
      </c>
      <c r="Y70" s="67">
        <f t="shared" si="28"/>
        <v>23.295500000000001</v>
      </c>
      <c r="Z70" s="67">
        <f t="shared" si="29"/>
        <v>1.47E-2</v>
      </c>
      <c r="AA70" s="67">
        <f t="shared" si="10"/>
        <v>23.280799999999999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0158-13</v>
      </c>
      <c r="AE70" s="91" t="str">
        <f t="shared" si="12"/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AF70" s="88" t="str">
        <f t="shared" si="13"/>
        <v>"C:\Program Files (x86)\AstroGrep\AstroGrep.exe" /spath="%USERPROFILE%\AppData\Local\Temp\OnboardLogs" /stypes="app*4043*20161213*"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158-13 --locoid 4043 --swversion DE.1.0.8.0 --startMP 204:232955 --initTime 2016-12-13T11:32:40 --startdatetime 2016-12-13T11:42:10 --delay 1 --endMP 204:147 --enddatetime 2016-12-13T12:27:34 --enforcementcount 0 &gt;&gt;C:\Users\stu\Documents\GitHub\eaglep3-reporting\EC\2016-12-13-refined-times.txt</v>
      </c>
      <c r="AI70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{"issue":{"subject":"","project_id":79,"tracker_id":40,"status_id":1,"priority_id":2,"assigned_to_id":23,"start_date":"2016-12-13","description":"","custom_fields":[{"id":1,"name":"Subdivision","value":"EC"},{"id":4,"name":"Milepost","value":"0.0147"},{"id":17,"name":"Train ID","value":"158-13"},{"id":16,"name":"Locomotive ID","value":"4043"},{"id":130,"name":"Impact","value":""},{"id":150,"name":"Time of Event (Mountain Time)","value":"12:27:34"},{"id":151,"name":"Denver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514</v>
      </c>
      <c r="B71" s="7">
        <v>4051</v>
      </c>
      <c r="C71" s="22" t="s">
        <v>207</v>
      </c>
      <c r="D71" s="22" t="s">
        <v>665</v>
      </c>
      <c r="E71" s="13">
        <v>42717.454583333332</v>
      </c>
      <c r="F71" s="13">
        <v>42717.45857638889</v>
      </c>
      <c r="G71" s="7">
        <v>1</v>
      </c>
      <c r="H71" s="22" t="s">
        <v>321</v>
      </c>
      <c r="I71" s="13">
        <v>42717.484849537039</v>
      </c>
      <c r="J71" s="7">
        <v>0</v>
      </c>
      <c r="K71" s="109" t="str">
        <f t="shared" si="0"/>
        <v>4051/4052</v>
      </c>
      <c r="L71" s="22" t="str">
        <f>VLOOKUP(A71,'Trips&amp;Operators'!$C$1:$G$99999,5,FALSE)</f>
        <v>BARTLETT KIANDRA</v>
      </c>
      <c r="M71" s="6">
        <f t="shared" si="1"/>
        <v>2.6273148148902692E-2</v>
      </c>
      <c r="N71" s="7">
        <f>24*60*SUM($M71:$M71)</f>
        <v>37.833333334419876</v>
      </c>
      <c r="O71" s="7"/>
      <c r="P71" s="7"/>
      <c r="Q71" s="23"/>
      <c r="R71" s="23"/>
      <c r="S71" s="35">
        <f t="shared" si="30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09:54:36-700',mode:absolute,to:'2016-12-13 12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1" s="52" t="str">
        <f t="shared" si="6"/>
        <v>N</v>
      </c>
      <c r="X71" s="177">
        <f t="shared" ref="X71" si="31">VALUE(LEFT(AD71,4))-VALUE(LEFT(AD70,4))</f>
        <v>1</v>
      </c>
      <c r="Y71" s="67">
        <f t="shared" si="28"/>
        <v>4.7699999999999999E-2</v>
      </c>
      <c r="Z71" s="67">
        <f t="shared" si="29"/>
        <v>23.333400000000001</v>
      </c>
      <c r="AA71" s="67">
        <f t="shared" si="10"/>
        <v>23.285700000000002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0159-13</v>
      </c>
      <c r="AE71" s="91" t="str">
        <f t="shared" si="12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71" s="88" t="str">
        <f t="shared" si="13"/>
        <v>"C:\Program Files (x86)\AstroGrep\AstroGrep.exe" /spath="%USERPROFILE%\AppData\Local\Temp\OnboardLogs" /stypes="app*4051*20161213*"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159-13 --locoid 4051 --swversion DE.1.0.8.0 --startMP 204:477 --initTime 2016-12-13T10:54:36 --startdatetime 2016-12-13T11:00:21 --delay 1 --endMP 204:233334 --enddatetime 2016-12-13T11:38:11 --enforcementcount 0 &gt;&gt;C:\Users\stu\Documents\GitHub\eaglep3-reporting\EC\2016-12-13-refined-times.txt</v>
      </c>
      <c r="AI71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{"issue":{"subject":"","project_id":79,"tracker_id":40,"status_id":1,"priority_id":2,"assigned_to_id":23,"start_date":"2016-12-13","description":"","custom_fields":[{"id":1,"name":"Subdivision","value":"EC"},{"id":4,"name":"Milepost","value":"23.3334"},{"id":17,"name":"Train ID","value":"159-13"},{"id":16,"name":"Locomotive ID","value":"4051"},{"id":130,"name":"Impact","value":""},{"id":150,"name":"Time of Event (Mountain Time)","value":"11:38:11"},{"id":151,"name":"Denver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427</v>
      </c>
      <c r="B72" s="7">
        <v>4052</v>
      </c>
      <c r="C72" s="22" t="s">
        <v>207</v>
      </c>
      <c r="D72" s="22" t="s">
        <v>666</v>
      </c>
      <c r="E72" s="13">
        <v>42717.487766203703</v>
      </c>
      <c r="F72" s="13">
        <v>42717.488819444443</v>
      </c>
      <c r="G72" s="7">
        <v>1</v>
      </c>
      <c r="H72" s="22" t="s">
        <v>667</v>
      </c>
      <c r="I72" s="13">
        <v>42717.520231481481</v>
      </c>
      <c r="J72" s="7">
        <v>0</v>
      </c>
      <c r="K72" s="109" t="str">
        <f t="shared" si="0"/>
        <v>4051/4052</v>
      </c>
      <c r="L72" s="22" t="str">
        <f>VLOOKUP(A72,'Trips&amp;Operators'!$C$1:$G$99999,5,FALSE)</f>
        <v>BARTLETT KIANDRA</v>
      </c>
      <c r="M72" s="6">
        <f t="shared" si="1"/>
        <v>3.1412037038535345E-2</v>
      </c>
      <c r="N72" s="7"/>
      <c r="O72" s="7"/>
      <c r="P72" s="7">
        <f>24*60*SUM($M72:$M73)</f>
        <v>58.800000009359792</v>
      </c>
      <c r="Q72" s="23"/>
      <c r="R72" s="23" t="s">
        <v>823</v>
      </c>
      <c r="S72" s="35">
        <f>SUM(U72:U73)/IF(AG72="EC",12,1)</f>
        <v>0.91666666666666663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9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10:42:23-700',mode:absolute,to:'2016-12-13 13:29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2" s="52" t="str">
        <f t="shared" si="6"/>
        <v>Y</v>
      </c>
      <c r="X72" s="177">
        <f t="shared" ref="X72:X97" si="32">VALUE(LEFT(AD72,4))-VALUE(LEFT(AD71,4))</f>
        <v>1</v>
      </c>
      <c r="Y72" s="67">
        <f t="shared" si="28"/>
        <v>23.302800000000001</v>
      </c>
      <c r="Z72" s="67">
        <f t="shared" si="29"/>
        <v>3.8988999999999998</v>
      </c>
      <c r="AA72" s="67">
        <f t="shared" si="10"/>
        <v>19.4039</v>
      </c>
      <c r="AB72" s="64" t="str">
        <f>VLOOKUP(A72,Enforcements!$C$7:$K$19,8,0)</f>
        <v>Signal based authority (5)</v>
      </c>
      <c r="AC72" s="60" t="str">
        <f>VLOOKUP(A72,Enforcements!$C$7:$E$19,3,0)</f>
        <v>SIGNAL</v>
      </c>
      <c r="AD72" s="61" t="str">
        <f t="shared" si="11"/>
        <v>0160-13</v>
      </c>
      <c r="AE72" s="91" t="str">
        <f t="shared" si="12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72" s="88" t="str">
        <f t="shared" si="13"/>
        <v>"C:\Program Files (x86)\AstroGrep\AstroGrep.exe" /spath="%USERPROFILE%\AppData\Local\Temp\OnboardLogs" /stypes="app*4052*20161213*"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160-13 --locoid 4052 --swversion DE.1.0.8.0 --startMP 204:233028 --initTime 2016-12-13T11:42:23 --startdatetime 2016-12-13T11:43:54 --delay 1 --endMP 204:38989 --enddatetime 2016-12-13T12:29:08 --enforcementcount 0 &gt;&gt;C:\Users\stu\Documents\GitHub\eaglep3-reporting\EC\2016-12-13-refined-times.txt</v>
      </c>
      <c r="AI72" s="119" t="str">
        <f t="shared" si="18"/>
        <v>echo {"issue":{"subject":"Wi-MAX data drop","project_id":79,"tracker_id":40,"status_id":1,"priority_id":2,"assigned_to_id":23,"start_date":"2016-12-13","description":"","custom_fields":[{"id":1,"name":"Subdivision","value":"EC"},{"id":4,"name":"Milepost","value":"3.8989"},{"id":17,"name":"Train ID","value":"160-13"},{"id":16,"name":"Locomotive ID","value":"4052"},{"id":130,"name":"Impact","value":""},{"id":150,"name":"Time of Event (Mountain Time)","value":"12:29:08"},{"id":151,"name":"Denver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427</v>
      </c>
      <c r="B73" s="7">
        <v>4052</v>
      </c>
      <c r="C73" s="22" t="s">
        <v>207</v>
      </c>
      <c r="D73" s="22" t="s">
        <v>668</v>
      </c>
      <c r="E73" s="13">
        <v>42717.521365740744</v>
      </c>
      <c r="F73" s="13">
        <v>42717.522152777776</v>
      </c>
      <c r="G73" s="7">
        <v>1</v>
      </c>
      <c r="H73" s="22" t="s">
        <v>192</v>
      </c>
      <c r="I73" s="13">
        <v>42717.531574074077</v>
      </c>
      <c r="J73" s="7">
        <v>0</v>
      </c>
      <c r="K73" s="109" t="str">
        <f t="shared" si="0"/>
        <v>4051/4052</v>
      </c>
      <c r="L73" s="22" t="str">
        <f>VLOOKUP(A73,'Trips&amp;Operators'!$C$1:$G$99999,5,FALSE)</f>
        <v>BARTLETT KIANDRA</v>
      </c>
      <c r="M73" s="6">
        <f t="shared" si="1"/>
        <v>9.4212963012978435E-3</v>
      </c>
      <c r="N73" s="7"/>
      <c r="O73" s="7"/>
      <c r="P73" s="7"/>
      <c r="Q73" s="23"/>
      <c r="R73" s="23"/>
      <c r="S73" s="35"/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11:30:46-700',mode:absolute,to:'2016-12-13 13:45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3" s="52" t="str">
        <f t="shared" si="6"/>
        <v>Y</v>
      </c>
      <c r="X73" s="177">
        <f t="shared" si="32"/>
        <v>0</v>
      </c>
      <c r="Y73" s="67">
        <f t="shared" si="28"/>
        <v>3.2323</v>
      </c>
      <c r="Z73" s="67">
        <f t="shared" si="29"/>
        <v>1.49E-2</v>
      </c>
      <c r="AA73" s="67">
        <f t="shared" si="10"/>
        <v>3.2174</v>
      </c>
      <c r="AB73" s="64" t="str">
        <f>VLOOKUP(A73,Enforcements!$C$7:$K$19,8,0)</f>
        <v>Signal based authority (5)</v>
      </c>
      <c r="AC73" s="60" t="str">
        <f>VLOOKUP(A73,Enforcements!$C$7:$E$19,3,0)</f>
        <v>SIGNAL</v>
      </c>
      <c r="AD73" s="61" t="str">
        <f t="shared" si="11"/>
        <v>0160-13</v>
      </c>
      <c r="AE73" s="91" t="str">
        <f t="shared" si="12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73" s="88" t="str">
        <f t="shared" si="13"/>
        <v>"C:\Program Files (x86)\AstroGrep\AstroGrep.exe" /spath="%USERPROFILE%\AppData\Local\Temp\OnboardLogs" /stypes="app*4052*20161213*"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160-13 --locoid 4052 --swversion DE.1.0.8.0 --startMP 204:32323 --initTime 2016-12-13T12:30:46 --startdatetime 2016-12-13T12:31:54 --delay 1 --endMP 204:149 --enddatetime 2016-12-13T12:45:28 --enforcementcount 0 &gt;&gt;C:\Users\stu\Documents\GitHub\eaglep3-reporting\EC\2016-12-13-refined-times.txt</v>
      </c>
      <c r="AI73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{"issue":{"subject":"","project_id":79,"tracker_id":40,"status_id":1,"priority_id":2,"assigned_to_id":23,"start_date":"2016-12-13","description":"","custom_fields":[{"id":1,"name":"Subdivision","value":"EC"},{"id":4,"name":"Milepost","value":"0.0149"},{"id":17,"name":"Train ID","value":"160-13"},{"id":16,"name":"Locomotive ID","value":"4052"},{"id":130,"name":"Impact","value":""},{"id":150,"name":"Time of Event (Mountain Time)","value":"12:45:28"},{"id":151,"name":"Denver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516</v>
      </c>
      <c r="B74" s="7">
        <v>4011</v>
      </c>
      <c r="C74" s="22" t="s">
        <v>207</v>
      </c>
      <c r="D74" s="22" t="s">
        <v>668</v>
      </c>
      <c r="E74" s="13">
        <v>42717.521365740744</v>
      </c>
      <c r="F74" s="13">
        <v>42717.469895833332</v>
      </c>
      <c r="G74" s="7">
        <v>1</v>
      </c>
      <c r="H74" s="22" t="s">
        <v>192</v>
      </c>
      <c r="I74" s="13">
        <v>42717.472708333335</v>
      </c>
      <c r="J74" s="7">
        <v>0</v>
      </c>
      <c r="K74" s="109" t="str">
        <f t="shared" si="0"/>
        <v>4011/4012</v>
      </c>
      <c r="L74" s="22" t="str">
        <f>VLOOKUP(A74,'Trips&amp;Operators'!$C$1:$G$99999,5,FALSE)</f>
        <v>HILLS DUSTIN</v>
      </c>
      <c r="M74" s="6">
        <f t="shared" si="1"/>
        <v>2.8125000026193447E-3</v>
      </c>
      <c r="N74" s="7"/>
      <c r="O74" s="7"/>
      <c r="P74" s="7">
        <f>24*60*SUM($M74:$M74)</f>
        <v>4.0500000037718564</v>
      </c>
      <c r="Q74" s="23"/>
      <c r="R74" s="23" t="s">
        <v>824</v>
      </c>
      <c r="S74" s="35">
        <f t="shared" ref="S74:S105" si="33">SUM(U74:U74)/IF(AG74="EC",12,1)</f>
        <v>0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https://search-rtdc-monitor-bjffxe2xuh6vdkpspy63sjmuny.us-east-1.es.amazonaws.com/_plugin/kibana/#/discover/Steve-Slow-Train-Analysis-(2080s-and-2083s)?_g=(refreshInterval:(display:Off,section:0,value:0),time:(from:'2016-12-13 11:30:46-700',mode:absolute,to:'2016-12-13 12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4" s="52" t="str">
        <f t="shared" si="6"/>
        <v>Y</v>
      </c>
      <c r="X74" s="177">
        <f t="shared" si="32"/>
        <v>1</v>
      </c>
      <c r="Y74" s="67">
        <v>0</v>
      </c>
      <c r="Z74" s="67">
        <v>0</v>
      </c>
      <c r="AA74" s="67">
        <f t="shared" si="10"/>
        <v>0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0161-13</v>
      </c>
      <c r="AE74" s="91" t="str">
        <f t="shared" si="12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74" s="88" t="str">
        <f t="shared" si="13"/>
        <v>"C:\Program Files (x86)\AstroGrep\AstroGrep.exe" /spath="%USERPROFILE%\AppData\Local\Temp\OnboardLogs" /stypes="app*4011*20161213*"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ref="AH74" si="34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161-13 --locoid 4011 --swversion DE.1.0.8.0 --startMP 204:32323 --initTime 2016-12-13T12:30:46 --startdatetime 2016-12-13T11:16:39 --delay 1 --endMP 204:149 --enddatetime 2016-12-13T11:20:42 --enforcementcount 0 &gt;&gt;C:\Users\stu\Documents\GitHub\eaglep3-reporting\EC\2016-12-13-refined-times.txt</v>
      </c>
      <c r="AI74" s="119" t="str">
        <f t="shared" ref="AI74" si="35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failure","project_id":79,"tracker_id":40,"status_id":1,"priority_id":2,"assigned_to_id":23,"start_date":"2016-12-13","description":"","custom_fields":[{"id":1,"name":"Subdivision","value":"EC"},{"id":4,"name":"Milepost","value":"0"},{"id":17,"name":"Train ID","value":"161-13"},{"id":16,"name":"Locomotive ID","value":"4011"},{"id":130,"name":"Impact","value":""},{"id":150,"name":"Time of Event (Mountain Time)","value":"11:20:42"},{"id":151,"name":"Denver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</row>
    <row r="75" spans="1:91" s="1" customFormat="1" x14ac:dyDescent="0.25">
      <c r="A75" s="37" t="s">
        <v>529</v>
      </c>
      <c r="B75" s="7">
        <v>4012</v>
      </c>
      <c r="C75" s="22" t="s">
        <v>207</v>
      </c>
      <c r="D75" s="22" t="s">
        <v>669</v>
      </c>
      <c r="E75" s="13">
        <v>42717.506215277775</v>
      </c>
      <c r="F75" s="13">
        <v>42717.508043981485</v>
      </c>
      <c r="G75" s="7">
        <v>1</v>
      </c>
      <c r="H75" s="22" t="s">
        <v>670</v>
      </c>
      <c r="I75" s="13">
        <v>42717.536793981482</v>
      </c>
      <c r="J75" s="7">
        <v>0</v>
      </c>
      <c r="K75" s="109" t="str">
        <f t="shared" ref="K75:K138" si="36">IF(ISEVEN(B75),(B75-1)&amp;"/"&amp;B75,B75&amp;"/"&amp;(B75+1))</f>
        <v>4011/4012</v>
      </c>
      <c r="L75" s="22" t="str">
        <f>VLOOKUP(A75,'Trips&amp;Operators'!$C$1:$G$99999,5,FALSE)</f>
        <v>HILLS DUSTIN</v>
      </c>
      <c r="M75" s="6">
        <f t="shared" ref="M75:M138" si="37">I75-F75</f>
        <v>2.8749999997671694E-2</v>
      </c>
      <c r="N75" s="7">
        <f t="shared" ref="N75:N98" si="38">24*60*SUM($M75:$M75)</f>
        <v>41.399999996647239</v>
      </c>
      <c r="O75" s="7"/>
      <c r="P75" s="7"/>
      <c r="Q75" s="23"/>
      <c r="R75" s="23"/>
      <c r="S75" s="35">
        <f t="shared" si="33"/>
        <v>1</v>
      </c>
      <c r="T75" s="50" t="str">
        <f t="shared" ref="T75:T138" si="39">IF(ISEVEN(LEFT(AD75,4)),"Southbound","NorthBound")</f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ref="V75:V138" si="40"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https://search-rtdc-monitor-bjffxe2xuh6vdkpspy63sjmuny.us-east-1.es.amazonaws.com/_plugin/kibana/#/discover/Steve-Slow-Train-Analysis-(2080s-and-2083s)?_g=(refreshInterval:(display:Off,section:0,value:0),time:(from:'2016-12-13 11:08:57-700',mode:absolute,to:'2016-12-13 13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5" s="52" t="str">
        <f t="shared" ref="W75:W138" si="41">IF(AA75&lt;IF(AG75="EC",23,5.65),"Y","N")</f>
        <v>N</v>
      </c>
      <c r="X75" s="177">
        <f t="shared" si="32"/>
        <v>1</v>
      </c>
      <c r="Y75" s="67">
        <f t="shared" ref="Y75:Y84" si="42">RIGHT(D75,LEN(D75)-4)/10000</f>
        <v>23.303799999999999</v>
      </c>
      <c r="Z75" s="67">
        <f t="shared" ref="Z75:Z84" si="43">RIGHT(H75,LEN(H75)-4)/10000</f>
        <v>0.1207</v>
      </c>
      <c r="AA75" s="67">
        <f t="shared" ref="AA75:AA138" si="44">ABS(Z75-Y75)</f>
        <v>23.1831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ref="AD75:AD138" si="45">IF(LEN(A75)=6,"0"&amp;A75,A75)</f>
        <v>0162-13</v>
      </c>
      <c r="AE75" s="91" t="str">
        <f t="shared" ref="AE75:AE138" si="46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75" s="88" t="str">
        <f t="shared" ref="AF75:AF138" si="47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/stypes="app*4012*20161213*" /stext=" 19:.+((SYSTEM_STATE.+slice.+state.+changed )|(ment ac)|(multiple cpu faults)|(system.+state.+changed )|(\[timeout)|(PRM\|1\|D)|(kpr)|(kdp)|(\|lc)|(penalty))" /e /r /s</v>
      </c>
      <c r="AG75" s="1" t="str">
        <f t="shared" ref="AG75:AG138" si="48">IFERROR(IF(VALUE(LEFT(AD75,2))&lt;=2,"EC",IF(OR(VALUE(LEFT(AD75,2))=8,VALUE(LEFT(AD75,2))=18),"NW","Other")),"Other")</f>
        <v>EC</v>
      </c>
      <c r="AH75" s="92" t="str">
        <f t="shared" si="17"/>
        <v>"%USERPROFILE%\Documents\GitHub\eaglep3\Utilities\RefineRTDCRunTimes.py" --tripid 162-13 --locoid 4012 --swversion DE.1.0.8.0 --startMP 204:233038 --initTime 2016-12-13T12:08:57 --startdatetime 2016-12-13T12:11:35 --delay 1 --endMP 204:1207 --enddatetime 2016-12-13T12:52:59 --enforcementcount 0 &gt;&gt;C:\Users\stu\Documents\GitHub\eaglep3-reporting\EC\2016-12-13-refined-times.txt</v>
      </c>
      <c r="AI75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{"issue":{"subject":"","project_id":79,"tracker_id":40,"status_id":1,"priority_id":2,"assigned_to_id":23,"start_date":"2016-12-13","description":"","custom_fields":[{"id":1,"name":"Subdivision","value":"EC"},{"id":4,"name":"Milepost","value":"0.1207"},{"id":17,"name":"Train ID","value":"162-13"},{"id":16,"name":"Locomotive ID","value":"4012"},{"id":130,"name":"Impact","value":""},{"id":150,"name":"Time of Event (Mountain Time)","value":"12:52:59"},{"id":151,"name":"Denver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522</v>
      </c>
      <c r="B76" s="7">
        <v>4020</v>
      </c>
      <c r="C76" s="22" t="s">
        <v>207</v>
      </c>
      <c r="D76" s="22" t="s">
        <v>277</v>
      </c>
      <c r="E76" s="13">
        <v>42717.476168981484</v>
      </c>
      <c r="F76" s="13">
        <v>42717.479988425926</v>
      </c>
      <c r="G76" s="7">
        <v>1</v>
      </c>
      <c r="H76" s="22" t="s">
        <v>341</v>
      </c>
      <c r="I76" s="13">
        <v>42717.506643518522</v>
      </c>
      <c r="J76" s="7">
        <v>0</v>
      </c>
      <c r="K76" s="109" t="str">
        <f t="shared" si="36"/>
        <v>4019/4020</v>
      </c>
      <c r="L76" s="22" t="str">
        <f>VLOOKUP(A76,'Trips&amp;Operators'!$C$1:$G$99999,5,FALSE)</f>
        <v>HELVIE ADAM</v>
      </c>
      <c r="M76" s="6">
        <f t="shared" si="37"/>
        <v>2.6655092595319729E-2</v>
      </c>
      <c r="N76" s="7">
        <f t="shared" si="38"/>
        <v>38.38333333726041</v>
      </c>
      <c r="O76" s="7"/>
      <c r="P76" s="7"/>
      <c r="Q76" s="23"/>
      <c r="R76" s="23"/>
      <c r="S76" s="35">
        <f t="shared" si="33"/>
        <v>1</v>
      </c>
      <c r="T76" s="50" t="str">
        <f t="shared" si="39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10:25:41-700',mode:absolute,to:'2016-12-13 13:09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6" s="52" t="str">
        <f t="shared" si="41"/>
        <v>N</v>
      </c>
      <c r="X76" s="177">
        <f t="shared" si="32"/>
        <v>1</v>
      </c>
      <c r="Y76" s="67">
        <f t="shared" si="42"/>
        <v>4.53E-2</v>
      </c>
      <c r="Z76" s="67">
        <f t="shared" si="43"/>
        <v>23.331399999999999</v>
      </c>
      <c r="AA76" s="67">
        <f t="shared" si="44"/>
        <v>23.286099999999998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45"/>
        <v>0163-13</v>
      </c>
      <c r="AE76" s="91" t="str">
        <f t="shared" si="46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76" s="88" t="str">
        <f t="shared" si="47"/>
        <v>"C:\Program Files (x86)\AstroGrep\AstroGrep.exe" /spath="%USERPROFILE%\AppData\Local\Temp\OnboardLogs" /stypes="app*4020*20161213*" /stext=" 19:.+((SYSTEM_STATE.+slice.+state.+changed )|(ment ac)|(multiple cpu faults)|(system.+state.+changed )|(\[timeout)|(PRM\|1\|D)|(kpr)|(kdp)|(\|lc)|(penalty))" /e /r /s</v>
      </c>
      <c r="AG76" s="1" t="str">
        <f t="shared" si="48"/>
        <v>EC</v>
      </c>
      <c r="AH76" s="92" t="str">
        <f t="shared" si="17"/>
        <v>"%USERPROFILE%\Documents\GitHub\eaglep3\Utilities\RefineRTDCRunTimes.py" --tripid 163-13 --locoid 4020 --swversion DE.1.0.8.0 --startMP 204:453 --initTime 2016-12-13T11:25:41 --startdatetime 2016-12-13T11:31:11 --delay 1 --endMP 204:233314 --enddatetime 2016-12-13T12:09:34 --enforcementcount 0 &gt;&gt;C:\Users\stu\Documents\GitHub\eaglep3-reporting\EC\2016-12-13-refined-times.txt</v>
      </c>
      <c r="AI76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{"issue":{"subject":"","project_id":79,"tracker_id":40,"status_id":1,"priority_id":2,"assigned_to_id":23,"start_date":"2016-12-13","description":"","custom_fields":[{"id":1,"name":"Subdivision","value":"EC"},{"id":4,"name":"Milepost","value":"23.3314"},{"id":17,"name":"Train ID","value":"163-13"},{"id":16,"name":"Locomotive ID","value":"4020"},{"id":130,"name":"Impact","value":""},{"id":150,"name":"Time of Event (Mountain Time)","value":"12:09:34"},{"id":151,"name":"Denver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531</v>
      </c>
      <c r="B77" s="7">
        <v>4019</v>
      </c>
      <c r="C77" s="22" t="s">
        <v>207</v>
      </c>
      <c r="D77" s="22" t="s">
        <v>310</v>
      </c>
      <c r="E77" s="13">
        <v>42717.515324074076</v>
      </c>
      <c r="F77" s="13">
        <v>42717.518263888887</v>
      </c>
      <c r="G77" s="7">
        <v>1</v>
      </c>
      <c r="H77" s="22" t="s">
        <v>213</v>
      </c>
      <c r="I77" s="13">
        <v>42717.548530092594</v>
      </c>
      <c r="J77" s="7">
        <v>0</v>
      </c>
      <c r="K77" s="109" t="str">
        <f t="shared" si="36"/>
        <v>4019/4020</v>
      </c>
      <c r="L77" s="22" t="str">
        <f>VLOOKUP(A77,'Trips&amp;Operators'!$C$1:$G$99999,5,FALSE)</f>
        <v>HELVIE ADAM</v>
      </c>
      <c r="M77" s="6">
        <f t="shared" si="37"/>
        <v>3.0266203706560191E-2</v>
      </c>
      <c r="N77" s="7">
        <f t="shared" si="38"/>
        <v>43.583333337446675</v>
      </c>
      <c r="O77" s="7"/>
      <c r="P77" s="7"/>
      <c r="Q77" s="23"/>
      <c r="R77" s="23"/>
      <c r="S77" s="35">
        <f t="shared" si="33"/>
        <v>1</v>
      </c>
      <c r="T77" s="50" t="str">
        <f t="shared" si="39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11:22:04-700',mode:absolute,to:'2016-12-13 14:09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7" s="52" t="str">
        <f t="shared" si="41"/>
        <v>N</v>
      </c>
      <c r="X77" s="177">
        <f t="shared" si="32"/>
        <v>1</v>
      </c>
      <c r="Y77" s="67">
        <f t="shared" si="42"/>
        <v>23.299600000000002</v>
      </c>
      <c r="Z77" s="67">
        <f t="shared" si="43"/>
        <v>1.4999999999999999E-2</v>
      </c>
      <c r="AA77" s="67">
        <f t="shared" si="44"/>
        <v>23.284600000000001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si="45"/>
        <v>0164-13</v>
      </c>
      <c r="AE77" s="91" t="str">
        <f t="shared" si="46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77" s="88" t="str">
        <f t="shared" si="47"/>
        <v>"C:\Program Files (x86)\AstroGrep\AstroGrep.exe" /spath="%USERPROFILE%\AppData\Local\Temp\OnboardLogs" /stypes="app*4019*20161213*" /stext=" 20:.+((SYSTEM_STATE.+slice.+state.+changed )|(ment ac)|(multiple cpu faults)|(system.+state.+changed )|(\[timeout)|(PRM\|1\|D)|(kpr)|(kdp)|(\|lc)|(penalty))" /e /r /s</v>
      </c>
      <c r="AG77" s="1" t="str">
        <f t="shared" si="48"/>
        <v>EC</v>
      </c>
      <c r="AH77" s="92" t="str">
        <f t="shared" si="17"/>
        <v>"%USERPROFILE%\Documents\GitHub\eaglep3\Utilities\RefineRTDCRunTimes.py" --tripid 164-13 --locoid 4019 --swversion DE.1.0.8.0 --startMP 204:232996 --initTime 2016-12-13T12:22:04 --startdatetime 2016-12-13T12:26:18 --delay 1 --endMP 204:150 --enddatetime 2016-12-13T13:09:53 --enforcementcount 0 &gt;&gt;C:\Users\stu\Documents\GitHub\eaglep3-reporting\EC\2016-12-13-refined-times.txt</v>
      </c>
      <c r="AI77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{"issue":{"subject":"","project_id":79,"tracker_id":40,"status_id":1,"priority_id":2,"assigned_to_id":23,"start_date":"2016-12-13","description":"","custom_fields":[{"id":1,"name":"Subdivision","value":"EC"},{"id":4,"name":"Milepost","value":"0.015"},{"id":17,"name":"Train ID","value":"164-13"},{"id":16,"name":"Locomotive ID","value":"4019"},{"id":130,"name":"Impact","value":""},{"id":150,"name":"Time of Event (Mountain Time)","value":"13:09:53"},{"id":151,"name":"Denver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527</v>
      </c>
      <c r="B78" s="7">
        <v>4003</v>
      </c>
      <c r="C78" s="22" t="s">
        <v>207</v>
      </c>
      <c r="D78" s="22" t="s">
        <v>334</v>
      </c>
      <c r="E78" s="13">
        <v>42717.485266203701</v>
      </c>
      <c r="F78" s="13">
        <v>42717.489745370367</v>
      </c>
      <c r="G78" s="7">
        <v>1</v>
      </c>
      <c r="H78" s="22" t="s">
        <v>312</v>
      </c>
      <c r="I78" s="13">
        <v>42717.516006944446</v>
      </c>
      <c r="J78" s="7">
        <v>0</v>
      </c>
      <c r="K78" s="109" t="str">
        <f t="shared" si="36"/>
        <v>4003/4004</v>
      </c>
      <c r="L78" s="22" t="str">
        <f>VLOOKUP(A78,'Trips&amp;Operators'!$C$1:$G$99999,5,FALSE)</f>
        <v>BONDS REYNALDO</v>
      </c>
      <c r="M78" s="6">
        <f t="shared" si="37"/>
        <v>2.6261574079398997E-2</v>
      </c>
      <c r="N78" s="7">
        <f t="shared" si="38"/>
        <v>37.816666674334556</v>
      </c>
      <c r="O78" s="7"/>
      <c r="P78" s="7"/>
      <c r="Q78" s="23"/>
      <c r="R78" s="23"/>
      <c r="S78" s="35">
        <f t="shared" si="33"/>
        <v>1</v>
      </c>
      <c r="T78" s="50" t="str">
        <f t="shared" si="39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10:38:47-700',mode:absolute,to:'2016-12-13 13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8" s="52" t="str">
        <f t="shared" si="41"/>
        <v>N</v>
      </c>
      <c r="X78" s="177">
        <f t="shared" si="32"/>
        <v>1</v>
      </c>
      <c r="Y78" s="67">
        <f t="shared" si="42"/>
        <v>4.6199999999999998E-2</v>
      </c>
      <c r="Z78" s="67">
        <f t="shared" si="43"/>
        <v>23.330300000000001</v>
      </c>
      <c r="AA78" s="67">
        <f t="shared" si="44"/>
        <v>23.284100000000002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45"/>
        <v>0165-13</v>
      </c>
      <c r="AE78" s="91" t="str">
        <f t="shared" si="46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78" s="88" t="str">
        <f t="shared" si="47"/>
        <v>"C:\Program Files (x86)\AstroGrep\AstroGrep.exe" /spath="%USERPROFILE%\AppData\Local\Temp\OnboardLogs" /stypes="app*4003*20161213*" /stext=" 19:.+((SYSTEM_STATE.+slice.+state.+changed )|(ment ac)|(multiple cpu faults)|(system.+state.+changed )|(\[timeout)|(PRM\|1\|D)|(kpr)|(kdp)|(\|lc)|(penalty))" /e /r /s</v>
      </c>
      <c r="AG78" s="1" t="str">
        <f t="shared" si="48"/>
        <v>EC</v>
      </c>
      <c r="AH78" s="92" t="str">
        <f t="shared" si="17"/>
        <v>"%USERPROFILE%\Documents\GitHub\eaglep3\Utilities\RefineRTDCRunTimes.py" --tripid 165-13 --locoid 4003 --swversion DE.1.0.8.0 --startMP 204:462 --initTime 2016-12-13T11:38:47 --startdatetime 2016-12-13T11:45:14 --delay 1 --endMP 204:233303 --enddatetime 2016-12-13T12:23:03 --enforcementcount 0 &gt;&gt;C:\Users\stu\Documents\GitHub\eaglep3-reporting\EC\2016-12-13-refined-times.txt</v>
      </c>
      <c r="AI78" s="119" t="str">
        <f t="shared" si="18"/>
        <v>echo {"issue":{"subject":"","project_id":79,"tracker_id":40,"status_id":1,"priority_id":2,"assigned_to_id":23,"start_date":"2016-12-13","description":"","custom_fields":[{"id":1,"name":"Subdivision","value":"EC"},{"id":4,"name":"Milepost","value":"23.3303"},{"id":17,"name":"Train ID","value":"165-13"},{"id":16,"name":"Locomotive ID","value":"4003"},{"id":130,"name":"Impact","value":""},{"id":150,"name":"Time of Event (Mountain Time)","value":"12:23:03"},{"id":151,"name":"Denver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532</v>
      </c>
      <c r="B79" s="7">
        <v>4004</v>
      </c>
      <c r="C79" s="22" t="s">
        <v>207</v>
      </c>
      <c r="D79" s="22" t="s">
        <v>333</v>
      </c>
      <c r="E79" s="13">
        <v>42717.520277777781</v>
      </c>
      <c r="F79" s="13">
        <v>42717.529490740744</v>
      </c>
      <c r="G79" s="7">
        <v>1</v>
      </c>
      <c r="H79" s="22" t="s">
        <v>278</v>
      </c>
      <c r="I79" s="13">
        <v>42717.560370370367</v>
      </c>
      <c r="J79" s="7">
        <v>0</v>
      </c>
      <c r="K79" s="109" t="str">
        <f t="shared" si="36"/>
        <v>4003/4004</v>
      </c>
      <c r="L79" s="22" t="str">
        <f>VLOOKUP(A79,'Trips&amp;Operators'!$C$1:$G$99999,5,FALSE)</f>
        <v>BONDS REYNALDO</v>
      </c>
      <c r="M79" s="6">
        <f t="shared" si="37"/>
        <v>3.0879629623086657E-2</v>
      </c>
      <c r="N79" s="7">
        <f t="shared" si="38"/>
        <v>44.466666657244787</v>
      </c>
      <c r="O79" s="7"/>
      <c r="P79" s="7"/>
      <c r="Q79" s="23"/>
      <c r="R79" s="23"/>
      <c r="S79" s="35">
        <f t="shared" si="33"/>
        <v>1</v>
      </c>
      <c r="T79" s="50" t="str">
        <f t="shared" si="39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11:29:12-700',mode:absolute,to:'2016-12-13 14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9" s="52" t="str">
        <f t="shared" si="41"/>
        <v>N</v>
      </c>
      <c r="X79" s="177">
        <f t="shared" si="32"/>
        <v>1</v>
      </c>
      <c r="Y79" s="67">
        <f t="shared" si="42"/>
        <v>23.2988</v>
      </c>
      <c r="Z79" s="67">
        <f t="shared" si="43"/>
        <v>1.52E-2</v>
      </c>
      <c r="AA79" s="67">
        <f t="shared" si="44"/>
        <v>23.2836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45"/>
        <v>0166-13</v>
      </c>
      <c r="AE79" s="91" t="str">
        <f t="shared" si="46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79" s="88" t="str">
        <f t="shared" si="47"/>
        <v>"C:\Program Files (x86)\AstroGrep\AstroGrep.exe" /spath="%USERPROFILE%\AppData\Local\Temp\OnboardLogs" /stypes="app*4004*20161213*" /stext=" 20:.+((SYSTEM_STATE.+slice.+state.+changed )|(ment ac)|(multiple cpu faults)|(system.+state.+changed )|(\[timeout)|(PRM\|1\|D)|(kpr)|(kdp)|(\|lc)|(penalty))" /e /r /s</v>
      </c>
      <c r="AG79" s="1" t="str">
        <f t="shared" si="48"/>
        <v>EC</v>
      </c>
      <c r="AH79" s="92" t="str">
        <f t="shared" ref="AH79:AH141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166-13 --locoid 4004 --swversion DE.1.0.8.0 --startMP 204:232988 --initTime 2016-12-13T12:29:12 --startdatetime 2016-12-13T12:42:28 --delay 1 --endMP 204:152 --enddatetime 2016-12-13T13:26:56 --enforcementcount 0 &gt;&gt;C:\Users\stu\Documents\GitHub\eaglep3-reporting\EC\2016-12-13-refined-times.txt</v>
      </c>
      <c r="AI79" s="119" t="str">
        <f t="shared" ref="AI79:AI141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ID","value":"166-13"},{"id":16,"name":"Locomotive ID","value":"4004"},{"id":130,"name":"Impact","value":""},{"id":150,"name":"Time of Event (Mountain Time)","value":"13:26:56"},{"id":151,"name":"Denver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4016</v>
      </c>
      <c r="C80" s="22" t="s">
        <v>207</v>
      </c>
      <c r="D80" s="22" t="s">
        <v>252</v>
      </c>
      <c r="E80" s="13">
        <v>42717.499444444446</v>
      </c>
      <c r="F80" s="13">
        <v>42717.501076388886</v>
      </c>
      <c r="G80" s="7">
        <v>1</v>
      </c>
      <c r="H80" s="22" t="s">
        <v>294</v>
      </c>
      <c r="I80" s="13">
        <v>42717.52952546296</v>
      </c>
      <c r="J80" s="7">
        <v>0</v>
      </c>
      <c r="K80" s="109" t="str">
        <f t="shared" si="36"/>
        <v>4015/4016</v>
      </c>
      <c r="L80" s="22" t="str">
        <f>VLOOKUP(A80,'Trips&amp;Operators'!$C$1:$G$99999,5,FALSE)</f>
        <v>YOUNG ELIZABETH</v>
      </c>
      <c r="M80" s="6">
        <f t="shared" si="37"/>
        <v>2.8449074074160308E-2</v>
      </c>
      <c r="N80" s="7">
        <f t="shared" si="38"/>
        <v>40.966666666790843</v>
      </c>
      <c r="O80" s="7"/>
      <c r="P80" s="7"/>
      <c r="Q80" s="23"/>
      <c r="R80" s="23"/>
      <c r="S80" s="35">
        <f t="shared" si="33"/>
        <v>1</v>
      </c>
      <c r="T80" s="50" t="str">
        <f t="shared" si="39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10:59:12-700',mode:absolute,to:'2016-12-13 13:42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0" s="52" t="str">
        <f t="shared" si="41"/>
        <v>N</v>
      </c>
      <c r="X80" s="177">
        <f t="shared" si="32"/>
        <v>1</v>
      </c>
      <c r="Y80" s="67">
        <f t="shared" si="42"/>
        <v>4.58E-2</v>
      </c>
      <c r="Z80" s="67">
        <f t="shared" si="43"/>
        <v>23.3308</v>
      </c>
      <c r="AA80" s="67">
        <f t="shared" si="44"/>
        <v>23.285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45"/>
        <v>0167-13</v>
      </c>
      <c r="AE80" s="91" t="str">
        <f t="shared" si="46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80" s="88" t="str">
        <f t="shared" si="47"/>
        <v>"C:\Program Files (x86)\AstroGrep\AstroGrep.exe" /spath="%USERPROFILE%\AppData\Local\Temp\OnboardLogs" /stypes="app*4016*20161213*" /stext=" 19:.+((SYSTEM_STATE.+slice.+state.+changed )|(ment ac)|(multiple cpu faults)|(system.+state.+changed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167-13 --locoid 4016 --swversion DE.1.0.8.0 --startMP 204:458 --initTime 2016-12-13T11:59:12 --startdatetime 2016-12-13T12:01:33 --delay 1 --endMP 204:233308 --enddatetime 2016-12-13T12:42:31 --enforcementcount 0 &gt;&gt;C:\Users\stu\Documents\GitHub\eaglep3-reporting\EC\2016-12-13-refined-times.txt</v>
      </c>
      <c r="AI8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{"issue":{"subject":"","project_id":79,"tracker_id":40,"status_id":1,"priority_id":2,"assigned_to_id":23,"start_date":"2016-12-13","description":"","custom_fields":[{"id":1,"name":"Subdivision","value":"EC"},{"id":4,"name":"Milepost","value":"23.3308"},{"id":17,"name":"Train ID","value":"167-13"},{"id":16,"name":"Locomotive ID","value":"4016"},{"id":130,"name":"Impact","value":""},{"id":150,"name":"Time of Event (Mountain Time)","value":"12:42:31"},{"id":151,"name":"Denver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538</v>
      </c>
      <c r="B81" s="7">
        <v>4015</v>
      </c>
      <c r="C81" s="22" t="s">
        <v>207</v>
      </c>
      <c r="D81" s="22" t="s">
        <v>308</v>
      </c>
      <c r="E81" s="13">
        <v>42717.534699074073</v>
      </c>
      <c r="F81" s="13">
        <v>42717.539085648146</v>
      </c>
      <c r="G81" s="7">
        <v>1</v>
      </c>
      <c r="H81" s="22" t="s">
        <v>671</v>
      </c>
      <c r="I81" s="13">
        <v>42717.569050925929</v>
      </c>
      <c r="J81" s="7">
        <v>0</v>
      </c>
      <c r="K81" s="109" t="str">
        <f t="shared" si="36"/>
        <v>4015/4016</v>
      </c>
      <c r="L81" s="22" t="str">
        <f>VLOOKUP(A81,'Trips&amp;Operators'!$C$1:$G$99999,5,FALSE)</f>
        <v>YOUNG ELIZABETH</v>
      </c>
      <c r="M81" s="6">
        <f t="shared" si="37"/>
        <v>2.9965277783048805E-2</v>
      </c>
      <c r="N81" s="7">
        <f t="shared" si="38"/>
        <v>43.150000007590279</v>
      </c>
      <c r="O81" s="7"/>
      <c r="P81" s="7"/>
      <c r="Q81" s="23"/>
      <c r="R81" s="23"/>
      <c r="S81" s="35">
        <f t="shared" si="33"/>
        <v>1</v>
      </c>
      <c r="T81" s="50" t="str">
        <f t="shared" si="39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11:49:58-700',mode:absolute,to:'2016-12-13 14:39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1" s="52" t="str">
        <f t="shared" si="41"/>
        <v>N</v>
      </c>
      <c r="X81" s="177">
        <f t="shared" si="32"/>
        <v>1</v>
      </c>
      <c r="Y81" s="67">
        <f t="shared" si="42"/>
        <v>23.2989</v>
      </c>
      <c r="Z81" s="67">
        <f t="shared" si="43"/>
        <v>1.83E-2</v>
      </c>
      <c r="AA81" s="67">
        <f t="shared" si="44"/>
        <v>23.2806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45"/>
        <v>0168-13</v>
      </c>
      <c r="AE81" s="91" t="str">
        <f t="shared" si="46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81" s="88" t="str">
        <f t="shared" si="47"/>
        <v>"C:\Program Files (x86)\AstroGrep\AstroGrep.exe" /spath="%USERPROFILE%\AppData\Local\Temp\OnboardLogs" /stypes="app*4015*20161213*" /stext=" 20:.+((SYSTEM_STATE.+slice.+state.+changed )|(ment ac)|(multiple cpu faults)|(system.+state.+changed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168-13 --locoid 4015 --swversion DE.1.0.8.0 --startMP 204:232989 --initTime 2016-12-13T12:49:58 --startdatetime 2016-12-13T12:56:17 --delay 1 --endMP 204:183 --enddatetime 2016-12-13T13:39:26 --enforcementcount 0 &gt;&gt;C:\Users\stu\Documents\GitHub\eaglep3-reporting\EC\2016-12-13-refined-times.txt</v>
      </c>
      <c r="AI8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{"issue":{"subject":"","project_id":79,"tracker_id":40,"status_id":1,"priority_id":2,"assigned_to_id":23,"start_date":"2016-12-13","description":"","custom_fields":[{"id":1,"name":"Subdivision","value":"EC"},{"id":4,"name":"Milepost","value":"0.0183"},{"id":17,"name":"Train ID","value":"168-13"},{"id":16,"name":"Locomotive ID","value":"4015"},{"id":130,"name":"Impact","value":""},{"id":150,"name":"Time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429</v>
      </c>
      <c r="B82" s="7">
        <v>4042</v>
      </c>
      <c r="C82" s="22" t="s">
        <v>207</v>
      </c>
      <c r="D82" s="22" t="s">
        <v>337</v>
      </c>
      <c r="E82" s="13">
        <v>42717.509386574071</v>
      </c>
      <c r="F82" s="13">
        <v>42717.511469907404</v>
      </c>
      <c r="G82" s="7">
        <v>1</v>
      </c>
      <c r="H82" s="22" t="s">
        <v>672</v>
      </c>
      <c r="I82" s="13">
        <v>42717.539976851855</v>
      </c>
      <c r="J82" s="7">
        <v>1</v>
      </c>
      <c r="K82" s="109" t="str">
        <f t="shared" si="36"/>
        <v>4041/4042</v>
      </c>
      <c r="L82" s="22" t="str">
        <f>VLOOKUP(A82,'Trips&amp;Operators'!$C$1:$G$99999,5,FALSE)</f>
        <v>CLARK KATHLEEN</v>
      </c>
      <c r="M82" s="6">
        <f t="shared" si="37"/>
        <v>2.8506944450782612E-2</v>
      </c>
      <c r="N82" s="7">
        <f t="shared" si="38"/>
        <v>41.050000009126961</v>
      </c>
      <c r="O82" s="7"/>
      <c r="P82" s="7"/>
      <c r="Q82" s="23"/>
      <c r="R82" s="23"/>
      <c r="S82" s="35">
        <f t="shared" si="33"/>
        <v>1</v>
      </c>
      <c r="T82" s="50" t="str">
        <f t="shared" si="39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11:13:31-700',mode:absolute,to:'2016-12-13 13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2" s="52" t="str">
        <f t="shared" si="41"/>
        <v>N</v>
      </c>
      <c r="X82" s="177">
        <f t="shared" si="32"/>
        <v>1</v>
      </c>
      <c r="Y82" s="67">
        <f t="shared" si="42"/>
        <v>4.4900000000000002E-2</v>
      </c>
      <c r="Z82" s="67">
        <f t="shared" si="43"/>
        <v>23.321999999999999</v>
      </c>
      <c r="AA82" s="67">
        <f t="shared" si="44"/>
        <v>23.277100000000001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45"/>
        <v>0169-13</v>
      </c>
      <c r="AE82" s="91" t="str">
        <f t="shared" si="46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82" s="88" t="str">
        <f t="shared" si="47"/>
        <v>"C:\Program Files (x86)\AstroGrep\AstroGrep.exe" /spath="%USERPROFILE%\AppData\Local\Temp\OnboardLogs" /stypes="app*4042*20161213*" /stext=" 19:.+((SYSTEM_STATE.+slice.+state.+changed )|(ment ac)|(multiple cpu faults)|(system.+state.+changed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169-13 --locoid 4042 --swversion DE.1.0.8.0 --startMP 204:449 --initTime 2016-12-13T12:13:31 --startdatetime 2016-12-13T12:16:31 --delay 1 --endMP 204:233220 --enddatetime 2016-12-13T12:57:34 --enforcementcount 1 &gt;&gt;C:\Users\stu\Documents\GitHub\eaglep3-reporting\EC\2016-12-13-refined-times.txt</v>
      </c>
      <c r="AI82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{"issue":{"subject":"","project_id":79,"tracker_id":40,"status_id":1,"priority_id":2,"assigned_to_id":23,"start_date":"2016-12-13","description":"","custom_fields":[{"id":1,"name":"Subdivision","value":"EC"},{"id":4,"name":"Milepost","value":"23.322"},{"id":17,"name":"Train ID","value":"169-13"},{"id":16,"name":"Locomotive ID","value":"4042"},{"id":130,"name":"Impact","value":""},{"id":150,"name":"Time of Event (Mountain Time)","value":"12:57:34"},{"id":151,"name":"Denver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540</v>
      </c>
      <c r="B83" s="7">
        <v>4041</v>
      </c>
      <c r="C83" s="22" t="s">
        <v>207</v>
      </c>
      <c r="D83" s="22" t="s">
        <v>673</v>
      </c>
      <c r="E83" s="13">
        <v>42717.544583333336</v>
      </c>
      <c r="F83" s="13">
        <v>42717.549467592595</v>
      </c>
      <c r="G83" s="7">
        <v>1</v>
      </c>
      <c r="H83" s="22" t="s">
        <v>226</v>
      </c>
      <c r="I83" s="13">
        <v>42717.578726851854</v>
      </c>
      <c r="J83" s="7">
        <v>0</v>
      </c>
      <c r="K83" s="109" t="str">
        <f t="shared" si="36"/>
        <v>4041/4042</v>
      </c>
      <c r="L83" s="22" t="str">
        <f>VLOOKUP(A83,'Trips&amp;Operators'!$C$1:$G$99999,5,FALSE)</f>
        <v>CLARK KATHLEEN</v>
      </c>
      <c r="M83" s="6">
        <f t="shared" si="37"/>
        <v>2.9259259259561077E-2</v>
      </c>
      <c r="N83" s="7">
        <f t="shared" si="38"/>
        <v>42.133333333767951</v>
      </c>
      <c r="O83" s="7"/>
      <c r="P83" s="7"/>
      <c r="Q83" s="23"/>
      <c r="R83" s="23"/>
      <c r="S83" s="35">
        <f t="shared" si="33"/>
        <v>1</v>
      </c>
      <c r="T83" s="50" t="str">
        <f t="shared" si="39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12:04:12-700',mode:absolute,to:'2016-12-13 14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3" s="52" t="str">
        <f t="shared" si="41"/>
        <v>N</v>
      </c>
      <c r="X83" s="177">
        <f t="shared" si="32"/>
        <v>1</v>
      </c>
      <c r="Y83" s="67">
        <f t="shared" si="42"/>
        <v>23.2898</v>
      </c>
      <c r="Z83" s="67">
        <f t="shared" si="43"/>
        <v>1.54E-2</v>
      </c>
      <c r="AA83" s="67">
        <f t="shared" si="44"/>
        <v>23.2744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45"/>
        <v>0170-13</v>
      </c>
      <c r="AE83" s="91" t="str">
        <f t="shared" si="46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83" s="88" t="str">
        <f t="shared" si="47"/>
        <v>"C:\Program Files (x86)\AstroGrep\AstroGrep.exe" /spath="%USERPROFILE%\AppData\Local\Temp\OnboardLogs" /stypes="app*4041*20161213*" /stext=" 20:.+((SYSTEM_STATE.+slice.+state.+changed )|(ment ac)|(multiple cpu faults)|(system.+state.+changed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170-13 --locoid 4041 --swversion DE.1.0.8.0 --startMP 204:232898 --initTime 2016-12-13T13:04:12 --startdatetime 2016-12-13T13:11:14 --delay 1 --endMP 204:154 --enddatetime 2016-12-13T13:53:22 --enforcementcount 0 &gt;&gt;C:\Users\stu\Documents\GitHub\eaglep3-reporting\EC\2016-12-13-refined-times.txt</v>
      </c>
      <c r="AI83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{"issue":{"subject":"","project_id":79,"tracker_id":40,"status_id":1,"priority_id":2,"assigned_to_id":23,"start_date":"2016-12-13","description":"","custom_fields":[{"id":1,"name":"Subdivision","value":"EC"},{"id":4,"name":"Milepost","value":"0.0154"},{"id":17,"name":"Train ID","value":"170-13"},{"id":16,"name":"Locomotive ID","value":"4041"},{"id":130,"name":"Impact","value":""},{"id":150,"name":"Time of Event (Mountain Time)","value":"13:53:22"},{"id":151,"name":"Denver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533</v>
      </c>
      <c r="B84" s="7">
        <v>4044</v>
      </c>
      <c r="C84" s="22" t="s">
        <v>207</v>
      </c>
      <c r="D84" s="22" t="s">
        <v>265</v>
      </c>
      <c r="E84" s="13">
        <v>42717.523680555554</v>
      </c>
      <c r="F84" s="13">
        <v>42717.525358796294</v>
      </c>
      <c r="G84" s="7">
        <v>1</v>
      </c>
      <c r="H84" s="22" t="s">
        <v>674</v>
      </c>
      <c r="I84" s="13">
        <v>42717.55364583333</v>
      </c>
      <c r="J84" s="7">
        <v>0</v>
      </c>
      <c r="K84" s="109" t="str">
        <f t="shared" si="36"/>
        <v>4043/4044</v>
      </c>
      <c r="L84" s="22" t="str">
        <f>VLOOKUP(A84,'Trips&amp;Operators'!$C$1:$G$99999,5,FALSE)</f>
        <v>STORY SAMANTHA</v>
      </c>
      <c r="M84" s="6">
        <f t="shared" si="37"/>
        <v>2.8287037035624962E-2</v>
      </c>
      <c r="N84" s="7">
        <f t="shared" si="38"/>
        <v>40.733333331299946</v>
      </c>
      <c r="O84" s="7"/>
      <c r="P84" s="7"/>
      <c r="Q84" s="23"/>
      <c r="R84" s="23" t="s">
        <v>964</v>
      </c>
      <c r="S84" s="35">
        <f t="shared" si="33"/>
        <v>1</v>
      </c>
      <c r="T84" s="50" t="str">
        <f t="shared" si="39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11:34:06-700',mode:absolute,to:'2016-12-13 14:17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4" s="52" t="str">
        <f t="shared" si="41"/>
        <v>N</v>
      </c>
      <c r="X84" s="177">
        <f t="shared" si="32"/>
        <v>1</v>
      </c>
      <c r="Y84" s="67">
        <f t="shared" si="42"/>
        <v>4.4600000000000001E-2</v>
      </c>
      <c r="Z84" s="67">
        <f t="shared" si="43"/>
        <v>23.336400000000001</v>
      </c>
      <c r="AA84" s="67">
        <f t="shared" si="44"/>
        <v>23.291800000000002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45"/>
        <v>0171-13</v>
      </c>
      <c r="AE84" s="91" t="str">
        <f t="shared" si="46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84" s="88" t="str">
        <f t="shared" si="47"/>
        <v>"C:\Program Files (x86)\AstroGrep\AstroGrep.exe" /spath="%USERPROFILE%\AppData\Local\Temp\OnboardLogs" /stypes="app*4044*20161213*" /stext=" 20:.+((SYSTEM_STATE.+slice.+state.+changed )|(ment ac)|(multiple cpu faults)|(system.+state.+changed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171-13 --locoid 4044 --swversion DE.1.0.8.0 --startMP 204:446 --initTime 2016-12-13T12:34:06 --startdatetime 2016-12-13T12:36:31 --delay 1 --endMP 204:233364 --enddatetime 2016-12-13T13:17:15 --enforcementcount 0 &gt;&gt;C:\Users\stu\Documents\GitHub\eaglep3-reporting\EC\2016-12-13-refined-times.txt</v>
      </c>
      <c r="AI84" s="119" t="str">
        <f t="shared" si="50"/>
        <v>echo {"issue":{"subject":"Operator entered wrong CCROC at first","project_id":79,"tracker_id":40,"status_id":1,"priority_id":2,"assigned_to_id":23,"start_date":"2016-12-13","description":"","custom_fields":[{"id":1,"name":"Subdivision","value":"EC"},{"id":4,"name":"Milepost","value":"23.3364"},{"id":17,"name":"Train ID","value":"171-13"},{"id":16,"name":"Locomotive ID","value":"4044"},{"id":130,"name":"Impact","value":""},{"id":150,"name":"Time of Event (Mountain Time)","value":"13:17:15"},{"id":151,"name":"Denver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430</v>
      </c>
      <c r="B85" s="7">
        <v>4043</v>
      </c>
      <c r="C85" s="22" t="s">
        <v>207</v>
      </c>
      <c r="D85" s="22" t="s">
        <v>265</v>
      </c>
      <c r="E85" s="13">
        <v>42717.523680555554</v>
      </c>
      <c r="F85" s="13">
        <v>42717.560069444444</v>
      </c>
      <c r="G85" s="7">
        <v>1</v>
      </c>
      <c r="H85" s="22" t="s">
        <v>674</v>
      </c>
      <c r="I85" s="13">
        <v>42717.59039351852</v>
      </c>
      <c r="J85" s="7">
        <v>0</v>
      </c>
      <c r="K85" s="109" t="str">
        <f t="shared" si="36"/>
        <v>4043/4044</v>
      </c>
      <c r="L85" s="22" t="str">
        <f>VLOOKUP(A85,'Trips&amp;Operators'!$C$1:$G$99999,5,FALSE)</f>
        <v>STORY SAMANTHA</v>
      </c>
      <c r="M85" s="6">
        <f t="shared" si="37"/>
        <v>3.0324074075906537E-2</v>
      </c>
      <c r="N85" s="7">
        <f t="shared" si="38"/>
        <v>43.666666669305414</v>
      </c>
      <c r="O85" s="7"/>
      <c r="P85" s="7"/>
      <c r="Q85" s="23"/>
      <c r="R85" s="23"/>
      <c r="S85" s="35">
        <f t="shared" si="33"/>
        <v>1</v>
      </c>
      <c r="T85" s="50" t="str">
        <f t="shared" si="39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11:34:06-700',mode:absolute,to:'2016-12-13 15:10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5" s="52" t="str">
        <f t="shared" si="41"/>
        <v>N</v>
      </c>
      <c r="X85" s="177">
        <f t="shared" si="32"/>
        <v>1</v>
      </c>
      <c r="Y85" s="67">
        <v>23.2898</v>
      </c>
      <c r="Z85" s="67">
        <v>1.54E-2</v>
      </c>
      <c r="AA85" s="67">
        <f t="shared" si="44"/>
        <v>23.2744</v>
      </c>
      <c r="AB85" s="64" t="str">
        <f>VLOOKUP(A85,Enforcements!$C$7:$K$19,8,0)</f>
        <v>Bulletin (2)</v>
      </c>
      <c r="AC85" s="60" t="str">
        <f>VLOOKUP(A85,Enforcements!$C$7:$E$19,3,0)</f>
        <v>GRADE CROSSING</v>
      </c>
      <c r="AD85" s="61" t="str">
        <f t="shared" si="45"/>
        <v>0172-13</v>
      </c>
      <c r="AE85" s="91" t="str">
        <f t="shared" si="46"/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AF85" s="88" t="str">
        <f t="shared" si="47"/>
        <v>"C:\Program Files (x86)\AstroGrep\AstroGrep.exe" /spath="%USERPROFILE%\AppData\Local\Temp\OnboardLogs" /stypes="app*4043*20161213*" /stext=" 21:.+((SYSTEM_STATE.+slice.+state.+changed )|(ment ac)|(multiple cpu faults)|(system.+state.+changed )|(\[timeout)|(PRM\|1\|D)|(kpr)|(kdp)|(\|lc)|(penalty))" /e /r /s</v>
      </c>
      <c r="AG85" s="1" t="str">
        <f t="shared" si="48"/>
        <v>EC</v>
      </c>
      <c r="AH85" s="92" t="str">
        <f t="shared" ref="AH85" si="51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172-13 --locoid 4043 --swversion DE.1.0.8.0 --startMP 204:446 --initTime 2016-12-13T12:34:06 --startdatetime 2016-12-13T13:26:30 --delay 1 --endMP 204:233364 --enddatetime 2016-12-13T14:10:10 --enforcementcount 0 &gt;&gt;C:\Users\stu\Documents\GitHub\eaglep3-reporting\EC\2016-12-13-refined-times.txt</v>
      </c>
      <c r="AI85" s="119" t="str">
        <f t="shared" ref="AI85" si="52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{"issue":{"subject":"","project_id":79,"tracker_id":40,"status_id":1,"priority_id":2,"assigned_to_id":23,"start_date":"2016-12-13","description":"","custom_fields":[{"id":1,"name":"Subdivision","value":"EC"},{"id":4,"name":"Milepost","value":"0.0154"},{"id":17,"name":"Train ID","value":"172-13"},{"id":16,"name":"Locomotive ID","value":"4043"},{"id":130,"name":"Impact","value":""},{"id":150,"name":"Time of Event (Mountain Time)","value":"14:10:10"},{"id":151,"name":"Denver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</row>
    <row r="86" spans="1:91" s="1" customFormat="1" x14ac:dyDescent="0.25">
      <c r="A86" s="37" t="s">
        <v>537</v>
      </c>
      <c r="B86" s="7">
        <v>4051</v>
      </c>
      <c r="C86" s="22" t="s">
        <v>207</v>
      </c>
      <c r="D86" s="22" t="s">
        <v>337</v>
      </c>
      <c r="E86" s="13">
        <v>42717.533333333333</v>
      </c>
      <c r="F86" s="13">
        <v>42717.535046296296</v>
      </c>
      <c r="G86" s="7">
        <v>1</v>
      </c>
      <c r="H86" s="22" t="s">
        <v>675</v>
      </c>
      <c r="I86" s="13">
        <v>42717.563368055555</v>
      </c>
      <c r="J86" s="7">
        <v>0</v>
      </c>
      <c r="K86" s="109" t="str">
        <f t="shared" si="36"/>
        <v>4051/4052</v>
      </c>
      <c r="L86" s="22" t="str">
        <f>VLOOKUP(A86,'Trips&amp;Operators'!$C$1:$G$99999,5,FALSE)</f>
        <v>BARTLETT KIANDRA</v>
      </c>
      <c r="M86" s="6">
        <f t="shared" si="37"/>
        <v>2.8321759258687962E-2</v>
      </c>
      <c r="N86" s="7">
        <f t="shared" si="38"/>
        <v>40.783333332510665</v>
      </c>
      <c r="O86" s="7"/>
      <c r="P86" s="7"/>
      <c r="Q86" s="23"/>
      <c r="R86" s="23"/>
      <c r="S86" s="35">
        <f t="shared" si="33"/>
        <v>1</v>
      </c>
      <c r="T86" s="50" t="str">
        <f t="shared" si="39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11:48:00-700',mode:absolute,to:'2016-12-13 14:31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6" s="52" t="str">
        <f t="shared" si="41"/>
        <v>N</v>
      </c>
      <c r="X86" s="177">
        <f t="shared" si="32"/>
        <v>1</v>
      </c>
      <c r="Y86" s="67">
        <f t="shared" ref="Y86:Y117" si="53">RIGHT(D86,LEN(D86)-4)/10000</f>
        <v>4.4900000000000002E-2</v>
      </c>
      <c r="Z86" s="67">
        <f t="shared" ref="Z86:Z103" si="54">RIGHT(H86,LEN(H86)-4)/10000</f>
        <v>23.334499999999998</v>
      </c>
      <c r="AA86" s="67">
        <f t="shared" si="44"/>
        <v>23.2896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45"/>
        <v>0173-13</v>
      </c>
      <c r="AE86" s="91" t="str">
        <f t="shared" si="46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86" s="88" t="str">
        <f t="shared" si="47"/>
        <v>"C:\Program Files (x86)\AstroGrep\AstroGrep.exe" /spath="%USERPROFILE%\AppData\Local\Temp\OnboardLogs" /stypes="app*4051*20161213*" /stext=" 20:.+((SYSTEM_STATE.+slice.+state.+changed )|(ment ac)|(multiple cpu faults)|(system.+state.+changed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173-13 --locoid 4051 --swversion DE.1.0.8.0 --startMP 204:449 --initTime 2016-12-13T12:48:00 --startdatetime 2016-12-13T12:50:28 --delay 1 --endMP 204:233345 --enddatetime 2016-12-13T13:31:15 --enforcementcount 0 &gt;&gt;C:\Users\stu\Documents\GitHub\eaglep3-reporting\EC\2016-12-13-refined-times.txt</v>
      </c>
      <c r="AI86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{"issue":{"subject":"","project_id":79,"tracker_id":40,"status_id":1,"priority_id":2,"assigned_to_id":23,"start_date":"2016-12-13","description":"","custom_fields":[{"id":1,"name":"Subdivision","value":"EC"},{"id":4,"name":"Milepost","value":"23.3345"},{"id":17,"name":"Train ID","value":"173-13"},{"id":16,"name":"Locomotive ID","value":"4051"},{"id":130,"name":"Impact","value":""},{"id":150,"name":"Time of Event (Mountain Time)","value":"13:31:15"},{"id":151,"name":"Denver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545</v>
      </c>
      <c r="B87" s="7">
        <v>4052</v>
      </c>
      <c r="C87" s="22" t="s">
        <v>207</v>
      </c>
      <c r="D87" s="22" t="s">
        <v>676</v>
      </c>
      <c r="E87" s="13">
        <v>42717.568483796298</v>
      </c>
      <c r="F87" s="13">
        <v>42717.570428240739</v>
      </c>
      <c r="G87" s="7">
        <v>1</v>
      </c>
      <c r="H87" s="22" t="s">
        <v>205</v>
      </c>
      <c r="I87" s="13">
        <v>42717.597129629627</v>
      </c>
      <c r="J87" s="7">
        <v>0</v>
      </c>
      <c r="K87" s="109" t="str">
        <f t="shared" si="36"/>
        <v>4051/4052</v>
      </c>
      <c r="L87" s="22" t="str">
        <f>VLOOKUP(A87,'Trips&amp;Operators'!$C$1:$G$99999,5,FALSE)</f>
        <v>BARTLETT KIANDRA</v>
      </c>
      <c r="M87" s="6">
        <f t="shared" si="37"/>
        <v>2.6701388887886424E-2</v>
      </c>
      <c r="N87" s="7">
        <f t="shared" si="38"/>
        <v>38.44999999855645</v>
      </c>
      <c r="O87" s="7"/>
      <c r="P87" s="7"/>
      <c r="Q87" s="23"/>
      <c r="R87" s="23"/>
      <c r="S87" s="35">
        <f t="shared" si="33"/>
        <v>1</v>
      </c>
      <c r="T87" s="50" t="str">
        <f t="shared" si="39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12:38:37-700',mode:absolute,to:'2016-12-13 15:19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87" s="52" t="str">
        <f t="shared" si="41"/>
        <v>N</v>
      </c>
      <c r="X87" s="177">
        <f t="shared" si="32"/>
        <v>1</v>
      </c>
      <c r="Y87" s="67">
        <f t="shared" si="53"/>
        <v>23.305099999999999</v>
      </c>
      <c r="Z87" s="67">
        <f t="shared" si="54"/>
        <v>1.5599999999999999E-2</v>
      </c>
      <c r="AA87" s="67">
        <f t="shared" si="44"/>
        <v>23.2895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45"/>
        <v>0174-13</v>
      </c>
      <c r="AE87" s="91" t="str">
        <f t="shared" si="46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87" s="88" t="str">
        <f t="shared" si="47"/>
        <v>"C:\Program Files (x86)\AstroGrep\AstroGrep.exe" /spath="%USERPROFILE%\AppData\Local\Temp\OnboardLogs" /stypes="app*4052*20161213*" /stext=" 21:.+((SYSTEM_STATE.+slice.+state.+changed )|(ment ac)|(multiple cpu faults)|(system.+state.+changed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174-13 --locoid 4052 --swversion DE.1.0.8.0 --startMP 204:233051 --initTime 2016-12-13T13:38:37 --startdatetime 2016-12-13T13:41:25 --delay 1 --endMP 204:156 --enddatetime 2016-12-13T14:19:52 --enforcementcount 0 &gt;&gt;C:\Users\stu\Documents\GitHub\eaglep3-reporting\EC\2016-12-13-refined-times.txt</v>
      </c>
      <c r="AI87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{"issue":{"subject":"","project_id":79,"tracker_id":40,"status_id":1,"priority_id":2,"assigned_to_id":23,"start_date":"2016-12-13","description":"","custom_fields":[{"id":1,"name":"Subdivision","value":"EC"},{"id":4,"name":"Milepost","value":"0.0156"},{"id":17,"name":"Train ID","value":"174-13"},{"id":16,"name":"Locomotive ID","value":"4052"},{"id":130,"name":"Impact","value":""},{"id":150,"name":"Time of Event (Mountain Time)","value":"14:19:52"},{"id":151,"name":"Denver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539</v>
      </c>
      <c r="B88" s="7">
        <v>4022</v>
      </c>
      <c r="C88" s="22" t="s">
        <v>207</v>
      </c>
      <c r="D88" s="22" t="s">
        <v>279</v>
      </c>
      <c r="E88" s="13">
        <v>42717.539861111109</v>
      </c>
      <c r="F88" s="13">
        <v>42717.54184027778</v>
      </c>
      <c r="G88" s="7">
        <v>1</v>
      </c>
      <c r="H88" s="22" t="s">
        <v>637</v>
      </c>
      <c r="I88" s="13">
        <v>42717.567465277774</v>
      </c>
      <c r="J88" s="7">
        <v>0</v>
      </c>
      <c r="K88" s="109" t="str">
        <f t="shared" si="36"/>
        <v>4021/4022</v>
      </c>
      <c r="L88" s="22" t="str">
        <f>VLOOKUP(A88,'Trips&amp;Operators'!$C$1:$G$99999,5,FALSE)</f>
        <v>HILLS DUSTIN</v>
      </c>
      <c r="M88" s="6">
        <f t="shared" si="37"/>
        <v>2.5624999994761311E-2</v>
      </c>
      <c r="N88" s="7">
        <f t="shared" si="38"/>
        <v>36.899999992456287</v>
      </c>
      <c r="O88" s="7"/>
      <c r="P88" s="7"/>
      <c r="Q88" s="23"/>
      <c r="R88" s="23"/>
      <c r="S88" s="35">
        <f t="shared" si="33"/>
        <v>1</v>
      </c>
      <c r="T88" s="50" t="str">
        <f t="shared" si="39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11:57:24-700',mode:absolute,to:'2016-12-13 14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8" s="52" t="str">
        <f t="shared" si="41"/>
        <v>N</v>
      </c>
      <c r="X88" s="177">
        <f t="shared" si="32"/>
        <v>1</v>
      </c>
      <c r="Y88" s="67">
        <f t="shared" si="53"/>
        <v>4.6399999999999997E-2</v>
      </c>
      <c r="Z88" s="67">
        <f t="shared" si="54"/>
        <v>23.335100000000001</v>
      </c>
      <c r="AA88" s="67">
        <f t="shared" si="44"/>
        <v>23.288700000000002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45"/>
        <v>0175-13</v>
      </c>
      <c r="AE88" s="91" t="str">
        <f t="shared" si="46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88" s="88" t="str">
        <f t="shared" si="47"/>
        <v>"C:\Program Files (x86)\AstroGrep\AstroGrep.exe" /spath="%USERPROFILE%\AppData\Local\Temp\OnboardLogs" /stypes="app*4022*20161213*" /stext=" 20:.+((SYSTEM_STATE.+slice.+state.+changed )|(ment ac)|(multiple cpu faults)|(system.+state.+changed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175-13 --locoid 4022 --swversion DE.1.0.8.0 --startMP 204:464 --initTime 2016-12-13T12:57:24 --startdatetime 2016-12-13T13:00:15 --delay 1 --endMP 204:233351 --enddatetime 2016-12-13T13:37:09 --enforcementcount 0 &gt;&gt;C:\Users\stu\Documents\GitHub\eaglep3-reporting\EC\2016-12-13-refined-times.txt</v>
      </c>
      <c r="AI88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{"issue":{"subject":"","project_id":79,"tracker_id":40,"status_id":1,"priority_id":2,"assigned_to_id":23,"start_date":"2016-12-13","description":"","custom_fields":[{"id":1,"name":"Subdivision","value":"EC"},{"id":4,"name":"Milepost","value":"23.3351"},{"id":17,"name":"Train ID","value":"175-13"},{"id":16,"name":"Locomotive ID","value":"4022"},{"id":130,"name":"Impact","value":""},{"id":150,"name":"Time of Event (Mountain Time)","value":"13:37:09"},{"id":151,"name":"Denver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546</v>
      </c>
      <c r="B89" s="7">
        <v>4021</v>
      </c>
      <c r="C89" s="22" t="s">
        <v>207</v>
      </c>
      <c r="D89" s="22" t="s">
        <v>677</v>
      </c>
      <c r="E89" s="13">
        <v>42717.571550925924</v>
      </c>
      <c r="F89" s="13">
        <v>42717.580879629626</v>
      </c>
      <c r="G89" s="7">
        <v>1</v>
      </c>
      <c r="H89" s="22" t="s">
        <v>678</v>
      </c>
      <c r="I89" s="13">
        <v>42717.607824074075</v>
      </c>
      <c r="J89" s="7">
        <v>0</v>
      </c>
      <c r="K89" s="109" t="str">
        <f t="shared" si="36"/>
        <v>4021/4022</v>
      </c>
      <c r="L89" s="22" t="str">
        <f>VLOOKUP(A89,'Trips&amp;Operators'!$C$1:$G$99999,5,FALSE)</f>
        <v>HILLS DUSTIN</v>
      </c>
      <c r="M89" s="6">
        <f t="shared" si="37"/>
        <v>2.694444444932742E-2</v>
      </c>
      <c r="N89" s="7">
        <f t="shared" si="38"/>
        <v>38.800000007031485</v>
      </c>
      <c r="O89" s="7"/>
      <c r="P89" s="7"/>
      <c r="Q89" s="23"/>
      <c r="R89" s="23"/>
      <c r="S89" s="35">
        <f t="shared" si="33"/>
        <v>1</v>
      </c>
      <c r="T89" s="50" t="str">
        <f t="shared" si="39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12:43:02-700',mode:absolute,to:'2016-12-13 15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9" s="52" t="str">
        <f t="shared" si="41"/>
        <v>N</v>
      </c>
      <c r="X89" s="177">
        <f t="shared" si="32"/>
        <v>1</v>
      </c>
      <c r="Y89" s="67">
        <f t="shared" si="53"/>
        <v>23.308299999999999</v>
      </c>
      <c r="Z89" s="67">
        <f t="shared" si="54"/>
        <v>1.3599999999999999E-2</v>
      </c>
      <c r="AA89" s="67">
        <f t="shared" si="44"/>
        <v>23.294699999999999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45"/>
        <v>0176-13</v>
      </c>
      <c r="AE89" s="91" t="str">
        <f t="shared" si="46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89" s="88" t="str">
        <f t="shared" si="47"/>
        <v>"C:\Program Files (x86)\AstroGrep\AstroGrep.exe" /spath="%USERPROFILE%\AppData\Local\Temp\OnboardLogs" /stypes="app*4021*20161213*" /stext=" 21:.+((SYSTEM_STATE.+slice.+state.+changed )|(ment ac)|(multiple cpu faults)|(system.+state.+changed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176-13 --locoid 4021 --swversion DE.1.0.8.0 --startMP 204:233083 --initTime 2016-12-13T13:43:02 --startdatetime 2016-12-13T13:56:28 --delay 1 --endMP 204:136 --enddatetime 2016-12-13T14:35:16 --enforcementcount 0 &gt;&gt;C:\Users\stu\Documents\GitHub\eaglep3-reporting\EC\2016-12-13-refined-times.txt</v>
      </c>
      <c r="AI89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{"issue":{"subject":"","project_id":79,"tracker_id":40,"status_id":1,"priority_id":2,"assigned_to_id":23,"start_date":"2016-12-13","description":"","custom_fields":[{"id":1,"name":"Subdivision","value":"EC"},{"id":4,"name":"Milepost","value":"0.0136"},{"id":17,"name":"Train ID","value":"176-13"},{"id":16,"name":"Locomotive ID","value":"4021"},{"id":130,"name":"Impact","value":""},{"id":150,"name":"Time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542</v>
      </c>
      <c r="B90" s="7">
        <v>4020</v>
      </c>
      <c r="C90" s="22" t="s">
        <v>207</v>
      </c>
      <c r="D90" s="22" t="s">
        <v>337</v>
      </c>
      <c r="E90" s="13">
        <v>42717.550138888888</v>
      </c>
      <c r="F90" s="13">
        <v>42717.552430555559</v>
      </c>
      <c r="G90" s="7">
        <v>1</v>
      </c>
      <c r="H90" s="22" t="s">
        <v>372</v>
      </c>
      <c r="I90" s="13">
        <v>42717.576909722222</v>
      </c>
      <c r="J90" s="7">
        <v>0</v>
      </c>
      <c r="K90" s="109" t="str">
        <f t="shared" si="36"/>
        <v>4019/4020</v>
      </c>
      <c r="L90" s="22" t="str">
        <f>VLOOKUP(A90,'Trips&amp;Operators'!$C$1:$G$99999,5,FALSE)</f>
        <v>HELVIE ADAM</v>
      </c>
      <c r="M90" s="6">
        <f t="shared" si="37"/>
        <v>2.4479166662786156E-2</v>
      </c>
      <c r="N90" s="7">
        <f t="shared" si="38"/>
        <v>35.249999994412065</v>
      </c>
      <c r="O90" s="7"/>
      <c r="P90" s="7"/>
      <c r="Q90" s="23"/>
      <c r="R90" s="23"/>
      <c r="S90" s="35">
        <f t="shared" si="33"/>
        <v>1</v>
      </c>
      <c r="T90" s="50" t="str">
        <f t="shared" si="39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12:12:12-700',mode:absolute,to:'2016-12-13 14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0" s="52" t="str">
        <f t="shared" si="41"/>
        <v>N</v>
      </c>
      <c r="X90" s="177">
        <f t="shared" si="32"/>
        <v>1</v>
      </c>
      <c r="Y90" s="67">
        <f t="shared" si="53"/>
        <v>4.4900000000000002E-2</v>
      </c>
      <c r="Z90" s="67">
        <f t="shared" si="54"/>
        <v>23.3309</v>
      </c>
      <c r="AA90" s="67">
        <f t="shared" si="44"/>
        <v>23.286000000000001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45"/>
        <v>0177-13</v>
      </c>
      <c r="AE90" s="91" t="str">
        <f t="shared" si="46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90" s="88" t="str">
        <f t="shared" si="47"/>
        <v>"C:\Program Files (x86)\AstroGrep\AstroGrep.exe" /spath="%USERPROFILE%\AppData\Local\Temp\OnboardLogs" /stypes="app*4020*20161213*" /stext=" 20:.+((SYSTEM_STATE.+slice.+state.+changed )|(ment ac)|(multiple cpu faults)|(system.+state.+changed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177-13 --locoid 4020 --swversion DE.1.0.8.0 --startMP 204:449 --initTime 2016-12-13T13:12:12 --startdatetime 2016-12-13T13:15:30 --delay 1 --endMP 204:233309 --enddatetime 2016-12-13T13:50:45 --enforcementcount 0 &gt;&gt;C:\Users\stu\Documents\GitHub\eaglep3-reporting\EC\2016-12-13-refined-times.txt</v>
      </c>
      <c r="AI9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{"issue":{"subject":"","project_id":79,"tracker_id":40,"status_id":1,"priority_id":2,"assigned_to_id":23,"start_date":"2016-12-13","description":"","custom_fields":[{"id":1,"name":"Subdivision","value":"EC"},{"id":4,"name":"Milepost","value":"23.3309"},{"id":17,"name":"Train ID","value":"177-13"},{"id":16,"name":"Locomotive ID","value":"4020"},{"id":130,"name":"Impact","value":""},{"id":150,"name":"Time of Event (Mountain Time)","value":"13:50:45"},{"id":151,"name":"Denver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432</v>
      </c>
      <c r="B91" s="7">
        <v>4019</v>
      </c>
      <c r="C91" s="22" t="s">
        <v>207</v>
      </c>
      <c r="D91" s="22" t="s">
        <v>642</v>
      </c>
      <c r="E91" s="13">
        <v>42717.588194444441</v>
      </c>
      <c r="F91" s="13">
        <v>42717.591180555559</v>
      </c>
      <c r="G91" s="7">
        <v>1</v>
      </c>
      <c r="H91" s="22" t="s">
        <v>213</v>
      </c>
      <c r="I91" s="13">
        <v>42717.620266203703</v>
      </c>
      <c r="J91" s="7">
        <v>1</v>
      </c>
      <c r="K91" s="109" t="str">
        <f t="shared" si="36"/>
        <v>4019/4020</v>
      </c>
      <c r="L91" s="22" t="str">
        <f>VLOOKUP(A91,'Trips&amp;Operators'!$C$1:$G$99999,5,FALSE)</f>
        <v>HELVIE ADAM</v>
      </c>
      <c r="M91" s="6">
        <f t="shared" si="37"/>
        <v>2.9085648144246079E-2</v>
      </c>
      <c r="N91" s="7">
        <f t="shared" si="38"/>
        <v>41.883333327714354</v>
      </c>
      <c r="O91" s="7"/>
      <c r="P91" s="7"/>
      <c r="Q91" s="23"/>
      <c r="R91" s="23"/>
      <c r="S91" s="35">
        <f t="shared" si="33"/>
        <v>1</v>
      </c>
      <c r="T91" s="50" t="str">
        <f t="shared" si="39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13:07:00-700',mode:absolute,to:'2016-12-13 15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1" s="52" t="str">
        <f t="shared" si="41"/>
        <v>N</v>
      </c>
      <c r="X91" s="177">
        <f t="shared" si="32"/>
        <v>1</v>
      </c>
      <c r="Y91" s="67">
        <f t="shared" si="53"/>
        <v>23.299199999999999</v>
      </c>
      <c r="Z91" s="67">
        <f t="shared" si="54"/>
        <v>1.4999999999999999E-2</v>
      </c>
      <c r="AA91" s="67">
        <f t="shared" si="44"/>
        <v>23.284199999999998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45"/>
        <v>0178-13</v>
      </c>
      <c r="AE91" s="91" t="str">
        <f t="shared" si="46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91" s="88" t="str">
        <f t="shared" si="47"/>
        <v>"C:\Program Files (x86)\AstroGrep\AstroGrep.exe" /spath="%USERPROFILE%\AppData\Local\Temp\OnboardLogs" /stypes="app*4019*20161213*" /stext=" 21:.+((SYSTEM_STATE.+slice.+state.+changed )|(ment ac)|(multiple cpu faults)|(system.+state.+changed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178-13 --locoid 4019 --swversion DE.1.0.8.0 --startMP 204:232992 --initTime 2016-12-13T14:07:00 --startdatetime 2016-12-13T14:11:18 --delay 1 --endMP 204:150 --enddatetime 2016-12-13T14:53:11 --enforcementcount 1 &gt;&gt;C:\Users\stu\Documents\GitHub\eaglep3-reporting\EC\2016-12-13-refined-times.txt</v>
      </c>
      <c r="AI9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{"issue":{"subject":"","project_id":79,"tracker_id":40,"status_id":1,"priority_id":2,"assigned_to_id":23,"start_date":"2016-12-13","description":"","custom_fields":[{"id":1,"name":"Subdivision","value":"EC"},{"id":4,"name":"Milepost","value":"0.015"},{"id":17,"name":"Train ID","value":"178-13"},{"id":16,"name":"Locomotive ID","value":"4019"},{"id":130,"name":"Impact","value":""},{"id":150,"name":"Time of Event (Mountain Time)","value":"14:53:11"},{"id":151,"name":"Denver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543</v>
      </c>
      <c r="B92" s="7">
        <v>4003</v>
      </c>
      <c r="C92" s="22" t="s">
        <v>207</v>
      </c>
      <c r="D92" s="22" t="s">
        <v>371</v>
      </c>
      <c r="E92" s="13">
        <v>42717.561238425929</v>
      </c>
      <c r="F92" s="13">
        <v>42717.562696759262</v>
      </c>
      <c r="G92" s="7">
        <v>1</v>
      </c>
      <c r="H92" s="22" t="s">
        <v>679</v>
      </c>
      <c r="I92" s="13">
        <v>42717.587870370371</v>
      </c>
      <c r="J92" s="7">
        <v>0</v>
      </c>
      <c r="K92" s="109" t="str">
        <f t="shared" si="36"/>
        <v>4003/4004</v>
      </c>
      <c r="L92" s="22" t="str">
        <f>VLOOKUP(A92,'Trips&amp;Operators'!$C$1:$G$99999,5,FALSE)</f>
        <v>BONDS REYNALDO</v>
      </c>
      <c r="M92" s="6">
        <f t="shared" si="37"/>
        <v>2.5173611109494232E-2</v>
      </c>
      <c r="N92" s="7">
        <f t="shared" si="38"/>
        <v>36.249999997671694</v>
      </c>
      <c r="O92" s="7"/>
      <c r="P92" s="7"/>
      <c r="Q92" s="23"/>
      <c r="R92" s="23"/>
      <c r="S92" s="35">
        <f t="shared" si="33"/>
        <v>1</v>
      </c>
      <c r="T92" s="50" t="str">
        <f t="shared" si="39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12:28:11-700',mode:absolute,to:'2016-12-13 15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2" s="52" t="str">
        <f t="shared" si="41"/>
        <v>N</v>
      </c>
      <c r="X92" s="177">
        <f t="shared" si="32"/>
        <v>1</v>
      </c>
      <c r="Y92" s="67">
        <f t="shared" si="53"/>
        <v>4.6600000000000003E-2</v>
      </c>
      <c r="Z92" s="67">
        <f t="shared" si="54"/>
        <v>23.331700000000001</v>
      </c>
      <c r="AA92" s="67">
        <f t="shared" si="44"/>
        <v>23.2851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45"/>
        <v>0179-13</v>
      </c>
      <c r="AE92" s="91" t="str">
        <f t="shared" si="46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92" s="88" t="str">
        <f t="shared" si="47"/>
        <v>"C:\Program Files (x86)\AstroGrep\AstroGrep.exe" /spath="%USERPROFILE%\AppData\Local\Temp\OnboardLogs" /stypes="app*4003*20161213*" /stext=" 21:.+((SYSTEM_STATE.+slice.+state.+changed )|(ment ac)|(multiple cpu faults)|(system.+state.+changed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179-13 --locoid 4003 --swversion DE.1.0.8.0 --startMP 204:466 --initTime 2016-12-13T13:28:11 --startdatetime 2016-12-13T13:30:17 --delay 1 --endMP 204:233317 --enddatetime 2016-12-13T14:06:32 --enforcementcount 0 &gt;&gt;C:\Users\stu\Documents\GitHub\eaglep3-reporting\EC\2016-12-13-refined-times.txt</v>
      </c>
      <c r="AI92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{"issue":{"subject":"","project_id":79,"tracker_id":40,"status_id":1,"priority_id":2,"assigned_to_id":23,"start_date":"2016-12-13","description":"","custom_fields":[{"id":1,"name":"Subdivision","value":"EC"},{"id":4,"name":"Milepost","value":"23.3317"},{"id":17,"name":"Train ID","value":"179-13"},{"id":16,"name":"Locomotive ID","value":"4003"},{"id":130,"name":"Impact","value":""},{"id":150,"name":"Time of Event (Mountain Time)","value":"14:06:32"},{"id":151,"name":"Denver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549</v>
      </c>
      <c r="B93" s="7">
        <v>4004</v>
      </c>
      <c r="C93" s="22" t="s">
        <v>207</v>
      </c>
      <c r="D93" s="22" t="s">
        <v>310</v>
      </c>
      <c r="E93" s="13">
        <v>42717.592083333337</v>
      </c>
      <c r="F93" s="13">
        <v>42717.601597222223</v>
      </c>
      <c r="G93" s="7">
        <v>1</v>
      </c>
      <c r="H93" s="22" t="s">
        <v>678</v>
      </c>
      <c r="I93" s="13">
        <v>42717.629965277774</v>
      </c>
      <c r="J93" s="7">
        <v>0</v>
      </c>
      <c r="K93" s="109" t="str">
        <f t="shared" si="36"/>
        <v>4003/4004</v>
      </c>
      <c r="L93" s="22" t="str">
        <f>VLOOKUP(A93,'Trips&amp;Operators'!$C$1:$G$99999,5,FALSE)</f>
        <v>BONDS REYNALDO</v>
      </c>
      <c r="M93" s="6">
        <f t="shared" si="37"/>
        <v>2.8368055551254656E-2</v>
      </c>
      <c r="N93" s="7">
        <f t="shared" si="38"/>
        <v>40.849999993806705</v>
      </c>
      <c r="O93" s="7"/>
      <c r="P93" s="7"/>
      <c r="Q93" s="23"/>
      <c r="R93" s="23"/>
      <c r="S93" s="35">
        <f t="shared" si="33"/>
        <v>1</v>
      </c>
      <c r="T93" s="50" t="str">
        <f t="shared" si="39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13:12:36-700',mode:absolute,to:'2016-12-13 16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3" s="52" t="str">
        <f t="shared" si="41"/>
        <v>N</v>
      </c>
      <c r="X93" s="177">
        <f t="shared" si="32"/>
        <v>1</v>
      </c>
      <c r="Y93" s="67">
        <f t="shared" si="53"/>
        <v>23.299600000000002</v>
      </c>
      <c r="Z93" s="67">
        <f t="shared" si="54"/>
        <v>1.3599999999999999E-2</v>
      </c>
      <c r="AA93" s="67">
        <f t="shared" si="44"/>
        <v>23.286000000000001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45"/>
        <v>0180-13</v>
      </c>
      <c r="AE93" s="91" t="str">
        <f t="shared" si="46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93" s="88" t="str">
        <f t="shared" si="47"/>
        <v>"C:\Program Files (x86)\AstroGrep\AstroGrep.exe" /spath="%USERPROFILE%\AppData\Local\Temp\OnboardLogs" /stypes="app*4004*20161213*" /stext=" 22:.+((SYSTEM_STATE.+slice.+state.+changed )|(ment ac)|(multiple cpu faults)|(system.+state.+changed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180-13 --locoid 4004 --swversion DE.1.0.8.0 --startMP 204:232996 --initTime 2016-12-13T14:12:36 --startdatetime 2016-12-13T14:26:18 --delay 1 --endMP 204:136 --enddatetime 2016-12-13T15:07:09 --enforcementcount 0 &gt;&gt;C:\Users\stu\Documents\GitHub\eaglep3-reporting\EC\2016-12-13-refined-times.txt</v>
      </c>
      <c r="AI93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{"issue":{"subject":"","project_id":79,"tracker_id":40,"status_id":1,"priority_id":2,"assigned_to_id":23,"start_date":"2016-12-13","description":"","custom_fields":[{"id":1,"name":"Subdivision","value":"EC"},{"id":4,"name":"Milepost","value":"0.0136"},{"id":17,"name":"Train ID","value":"180-13"},{"id":16,"name":"Locomotive ID","value":"4004"},{"id":130,"name":"Impact","value":""},{"id":150,"name":"Time of Event (Mountain Time)","value":"15:07:09"},{"id":151,"name":"Denver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431</v>
      </c>
      <c r="B94" s="7">
        <v>4016</v>
      </c>
      <c r="C94" s="22" t="s">
        <v>207</v>
      </c>
      <c r="D94" s="22" t="s">
        <v>680</v>
      </c>
      <c r="E94" s="13">
        <v>42717.570208333331</v>
      </c>
      <c r="F94" s="13">
        <v>42717.573391203703</v>
      </c>
      <c r="G94" s="7">
        <v>1</v>
      </c>
      <c r="H94" s="22" t="s">
        <v>372</v>
      </c>
      <c r="I94" s="13">
        <v>42717.599988425929</v>
      </c>
      <c r="J94" s="7">
        <v>2</v>
      </c>
      <c r="K94" s="109" t="str">
        <f t="shared" si="36"/>
        <v>4015/4016</v>
      </c>
      <c r="L94" s="22" t="str">
        <f>VLOOKUP(A94,'Trips&amp;Operators'!$C$1:$G$99999,5,FALSE)</f>
        <v>YOUNG ELIZABETH</v>
      </c>
      <c r="M94" s="6">
        <f t="shared" si="37"/>
        <v>2.6597222225973383E-2</v>
      </c>
      <c r="N94" s="7">
        <f t="shared" si="38"/>
        <v>38.300000005401671</v>
      </c>
      <c r="O94" s="7"/>
      <c r="P94" s="7"/>
      <c r="Q94" s="23"/>
      <c r="R94" s="23"/>
      <c r="S94" s="35">
        <f t="shared" si="33"/>
        <v>1</v>
      </c>
      <c r="T94" s="50" t="str">
        <f t="shared" si="39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12:41:06-700',mode:absolute,to:'2016-12-13 15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4" s="52" t="str">
        <f t="shared" si="41"/>
        <v>N</v>
      </c>
      <c r="X94" s="177">
        <f t="shared" si="32"/>
        <v>1</v>
      </c>
      <c r="Y94" s="67">
        <f t="shared" si="53"/>
        <v>4.9099999999999998E-2</v>
      </c>
      <c r="Z94" s="67">
        <f t="shared" si="54"/>
        <v>23.3309</v>
      </c>
      <c r="AA94" s="67">
        <f t="shared" si="44"/>
        <v>23.2818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45"/>
        <v>0181-13</v>
      </c>
      <c r="AE94" s="91" t="str">
        <f t="shared" si="46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94" s="88" t="str">
        <f t="shared" si="47"/>
        <v>"C:\Program Files (x86)\AstroGrep\AstroGrep.exe" /spath="%USERPROFILE%\AppData\Local\Temp\OnboardLogs" /stypes="app*4016*20161213*" /stext=" 21:.+((SYSTEM_STATE.+slice.+state.+changed )|(ment ac)|(multiple cpu faults)|(system.+state.+changed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181-13 --locoid 4016 --swversion DE.1.0.8.0 --startMP 204:491 --initTime 2016-12-13T13:41:06 --startdatetime 2016-12-13T13:45:41 --delay 1 --endMP 204:233309 --enddatetime 2016-12-13T14:23:59 --enforcementcount 2 &gt;&gt;C:\Users\stu\Documents\GitHub\eaglep3-reporting\EC\2016-12-13-refined-times.txt</v>
      </c>
      <c r="AI94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{"issue":{"subject":"","project_id":79,"tracker_id":40,"status_id":1,"priority_id":2,"assigned_to_id":23,"start_date":"2016-12-13","description":"","custom_fields":[{"id":1,"name":"Subdivision","value":"EC"},{"id":4,"name":"Milepost","value":"23.3309"},{"id":17,"name":"Train ID","value":"181-13"},{"id":16,"name":"Locomotive ID","value":"4016"},{"id":130,"name":"Impact","value":""},{"id":150,"name":"Time of Event (Mountain Time)","value":"14:23:59"},{"id":151,"name":"Denver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7" t="s">
        <v>433</v>
      </c>
      <c r="B95" s="7">
        <v>4015</v>
      </c>
      <c r="C95" s="22" t="s">
        <v>207</v>
      </c>
      <c r="D95" s="22" t="s">
        <v>324</v>
      </c>
      <c r="E95" s="13">
        <v>42717.604664351849</v>
      </c>
      <c r="F95" s="13">
        <v>42717.612187500003</v>
      </c>
      <c r="G95" s="7">
        <v>1</v>
      </c>
      <c r="H95" s="22" t="s">
        <v>681</v>
      </c>
      <c r="I95" s="13">
        <v>42717.642754629633</v>
      </c>
      <c r="J95" s="7">
        <v>1</v>
      </c>
      <c r="K95" s="109" t="str">
        <f t="shared" si="36"/>
        <v>4015/4016</v>
      </c>
      <c r="L95" s="22" t="str">
        <f>VLOOKUP(A95,'Trips&amp;Operators'!$C$1:$G$99999,5,FALSE)</f>
        <v>YOUNG ELIZABETH</v>
      </c>
      <c r="M95" s="6">
        <f t="shared" si="37"/>
        <v>3.0567129630071577E-2</v>
      </c>
      <c r="N95" s="7">
        <f t="shared" si="38"/>
        <v>44.01666666730307</v>
      </c>
      <c r="O95" s="7"/>
      <c r="P95" s="7"/>
      <c r="Q95" s="23"/>
      <c r="R95" s="23"/>
      <c r="S95" s="35">
        <f t="shared" si="33"/>
        <v>1</v>
      </c>
      <c r="T95" s="50" t="str">
        <f t="shared" si="39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13:30:43-700',mode:absolute,to:'2016-12-13 16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5" s="52" t="str">
        <f t="shared" si="41"/>
        <v>N</v>
      </c>
      <c r="X95" s="177">
        <f t="shared" si="32"/>
        <v>1</v>
      </c>
      <c r="Y95" s="67">
        <f t="shared" si="53"/>
        <v>23.298400000000001</v>
      </c>
      <c r="Z95" s="67">
        <f t="shared" si="54"/>
        <v>1.78E-2</v>
      </c>
      <c r="AA95" s="67">
        <f t="shared" si="44"/>
        <v>23.2806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45"/>
        <v>0182-13</v>
      </c>
      <c r="AE95" s="91" t="str">
        <f t="shared" si="46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95" s="88" t="str">
        <f t="shared" si="47"/>
        <v>"C:\Program Files (x86)\AstroGrep\AstroGrep.exe" /spath="%USERPROFILE%\AppData\Local\Temp\OnboardLogs" /stypes="app*4015*20161213*" /stext=" 22:.+((SYSTEM_STATE.+slice.+state.+changed )|(ment ac)|(multiple cpu faults)|(system.+state.+changed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182-13 --locoid 4015 --swversion DE.1.0.8.0 --startMP 204:232984 --initTime 2016-12-13T14:30:43 --startdatetime 2016-12-13T14:41:33 --delay 1 --endMP 204:178 --enddatetime 2016-12-13T15:25:34 --enforcementcount 1 &gt;&gt;C:\Users\stu\Documents\GitHub\eaglep3-reporting\EC\2016-12-13-refined-times.txt</v>
      </c>
      <c r="AI95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{"issue":{"subject":"","project_id":79,"tracker_id":40,"status_id":1,"priority_id":2,"assigned_to_id":23,"start_date":"2016-12-13","description":"","custom_fields":[{"id":1,"name":"Subdivision","value":"EC"},{"id":4,"name":"Milepost","value":"0.0178"},{"id":17,"name":"Train ID","value":"182-13"},{"id":16,"name":"Locomotive ID","value":"4015"},{"id":130,"name":"Impact","value":""},{"id":150,"name":"Time of Event (Mountain Time)","value":"15:25:34"},{"id":151,"name":"Denver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x14ac:dyDescent="0.25">
      <c r="A96" s="37" t="s">
        <v>547</v>
      </c>
      <c r="B96" s="7">
        <v>4042</v>
      </c>
      <c r="C96" s="22" t="s">
        <v>207</v>
      </c>
      <c r="D96" s="22" t="s">
        <v>665</v>
      </c>
      <c r="E96" s="13">
        <v>42717.580208333333</v>
      </c>
      <c r="F96" s="13">
        <v>42717.583506944444</v>
      </c>
      <c r="G96" s="7">
        <v>1</v>
      </c>
      <c r="H96" s="22" t="s">
        <v>307</v>
      </c>
      <c r="I96" s="13">
        <v>42717.610625000001</v>
      </c>
      <c r="J96" s="7">
        <v>0</v>
      </c>
      <c r="K96" s="109" t="str">
        <f t="shared" si="36"/>
        <v>4041/4042</v>
      </c>
      <c r="L96" s="22" t="str">
        <f>VLOOKUP(A96,'Trips&amp;Operators'!$C$1:$G$99999,5,FALSE)</f>
        <v>CLARK KATHLEEN</v>
      </c>
      <c r="M96" s="6">
        <f t="shared" si="37"/>
        <v>2.7118055557366461E-2</v>
      </c>
      <c r="N96" s="7">
        <f t="shared" si="38"/>
        <v>39.050000002607703</v>
      </c>
      <c r="O96" s="7"/>
      <c r="P96" s="7"/>
      <c r="Q96" s="23"/>
      <c r="R96" s="23"/>
      <c r="S96" s="35">
        <f t="shared" si="33"/>
        <v>1</v>
      </c>
      <c r="T96" s="50" t="str">
        <f t="shared" si="39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12:55:30-700',mode:absolute,to:'2016-12-13 15:39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6" s="52" t="str">
        <f t="shared" si="41"/>
        <v>N</v>
      </c>
      <c r="X96" s="177">
        <f t="shared" si="32"/>
        <v>1</v>
      </c>
      <c r="Y96" s="67">
        <f t="shared" si="53"/>
        <v>4.7699999999999999E-2</v>
      </c>
      <c r="Z96" s="67">
        <f t="shared" si="54"/>
        <v>23.330400000000001</v>
      </c>
      <c r="AA96" s="67">
        <f t="shared" si="44"/>
        <v>23.282700000000002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45"/>
        <v>0183-13</v>
      </c>
      <c r="AE96" s="91" t="str">
        <f t="shared" si="46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96" s="88" t="str">
        <f t="shared" si="47"/>
        <v>"C:\Program Files (x86)\AstroGrep\AstroGrep.exe" /spath="%USERPROFILE%\AppData\Local\Temp\OnboardLogs" /stypes="app*4042*20161213*" /stext=" 21:.+((SYSTEM_STATE.+slice.+state.+changed )|(ment ac)|(multiple cpu faults)|(system.+state.+changed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183-13 --locoid 4042 --swversion DE.1.0.8.0 --startMP 204:477 --initTime 2016-12-13T13:55:30 --startdatetime 2016-12-13T14:00:15 --delay 1 --endMP 204:233304 --enddatetime 2016-12-13T14:39:18 --enforcementcount 0 &gt;&gt;C:\Users\stu\Documents\GitHub\eaglep3-reporting\EC\2016-12-13-refined-times.txt</v>
      </c>
      <c r="AI96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{"issue":{"subject":"","project_id":79,"tracker_id":40,"status_id":1,"priority_id":2,"assigned_to_id":23,"start_date":"2016-12-13","description":"","custom_fields":[{"id":1,"name":"Subdivision","value":"EC"},{"id":4,"name":"Milepost","value":"23.3304"},{"id":17,"name":"Train ID","value":"183-13"},{"id":16,"name":"Locomotive ID","value":"4042"},{"id":130,"name":"Impact","value":""},{"id":150,"name":"Time of Event (Mountain Time)","value":"14:39:18"},{"id":151,"name":"Denver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554</v>
      </c>
      <c r="B97" s="7">
        <v>4041</v>
      </c>
      <c r="C97" s="22" t="s">
        <v>207</v>
      </c>
      <c r="D97" s="22" t="s">
        <v>383</v>
      </c>
      <c r="E97" s="13">
        <v>42717.617106481484</v>
      </c>
      <c r="F97" s="13">
        <v>42717.622384259259</v>
      </c>
      <c r="G97" s="7">
        <v>0</v>
      </c>
      <c r="H97" s="22" t="s">
        <v>315</v>
      </c>
      <c r="I97" s="13">
        <v>42717.653124999997</v>
      </c>
      <c r="J97" s="7">
        <v>0</v>
      </c>
      <c r="K97" s="109" t="str">
        <f t="shared" si="36"/>
        <v>4041/4042</v>
      </c>
      <c r="L97" s="22" t="str">
        <f>VLOOKUP(A97,'Trips&amp;Operators'!$C$1:$G$99999,5,FALSE)</f>
        <v>CLARK KATHLEEN</v>
      </c>
      <c r="M97" s="6">
        <f t="shared" si="37"/>
        <v>3.0740740738110617E-2</v>
      </c>
      <c r="N97" s="7">
        <f t="shared" si="38"/>
        <v>44.266666662879288</v>
      </c>
      <c r="O97" s="7"/>
      <c r="P97" s="7"/>
      <c r="Q97" s="23"/>
      <c r="R97" s="23"/>
      <c r="S97" s="35">
        <f t="shared" si="33"/>
        <v>1</v>
      </c>
      <c r="T97" s="50" t="str">
        <f t="shared" si="39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13:48:38-700',mode:absolute,to:'2016-12-13 16:40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7" s="52" t="str">
        <f t="shared" si="41"/>
        <v>N</v>
      </c>
      <c r="X97" s="177">
        <f t="shared" si="32"/>
        <v>1</v>
      </c>
      <c r="Y97" s="67">
        <f t="shared" si="53"/>
        <v>23.298500000000001</v>
      </c>
      <c r="Z97" s="67">
        <f t="shared" si="54"/>
        <v>1.61E-2</v>
      </c>
      <c r="AA97" s="67">
        <f t="shared" si="44"/>
        <v>23.282399999999999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45"/>
        <v>0184-13</v>
      </c>
      <c r="AE97" s="91" t="str">
        <f t="shared" si="46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97" s="88" t="str">
        <f t="shared" si="47"/>
        <v>"C:\Program Files (x86)\AstroGrep\AstroGrep.exe" /spath="%USERPROFILE%\AppData\Local\Temp\OnboardLogs" /stypes="app*4041*20161213*" /stext=" 22:.+((SYSTEM_STATE.+slice.+state.+changed )|(ment ac)|(multiple cpu faults)|(system.+state.+changed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184-13 --locoid 4041 --swversion DE.1.0.8.0 --startMP 204:232985 --initTime 2016-12-13T14:48:38 --startdatetime 2016-12-13T14:56:14 --delay 0 --endMP 204:161 --enddatetime 2016-12-13T15:40:30 --enforcementcount 0 &gt;&gt;C:\Users\stu\Documents\GitHub\eaglep3-reporting\EC\2016-12-13-refined-times.txt</v>
      </c>
      <c r="AI97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{"issue":{"subject":"","project_id":79,"tracker_id":40,"status_id":1,"priority_id":2,"assigned_to_id":23,"start_date":"2016-12-13","description":"","custom_fields":[{"id":1,"name":"Subdivision","value":"EC"},{"id":4,"name":"Milepost","value":"0.0161"},{"id":17,"name":"Train ID","value":"184-13"},{"id":16,"name":"Locomotive ID","value":"4041"},{"id":130,"name":"Impact","value":""},{"id":150,"name":"Time of Event (Mountain Time)","value":"15:40:30"},{"id":151,"name":"Denver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548</v>
      </c>
      <c r="B98" s="7">
        <v>4044</v>
      </c>
      <c r="C98" s="22" t="s">
        <v>207</v>
      </c>
      <c r="D98" s="22" t="s">
        <v>252</v>
      </c>
      <c r="E98" s="13">
        <v>42717.591493055559</v>
      </c>
      <c r="F98" s="13">
        <v>42717.594085648147</v>
      </c>
      <c r="G98" s="7">
        <v>1</v>
      </c>
      <c r="H98" s="22" t="s">
        <v>682</v>
      </c>
      <c r="I98" s="13">
        <v>42717.619849537034</v>
      </c>
      <c r="J98" s="7">
        <v>0</v>
      </c>
      <c r="K98" s="109" t="str">
        <f t="shared" si="36"/>
        <v>4043/4044</v>
      </c>
      <c r="L98" s="22" t="str">
        <f>VLOOKUP(A98,'Trips&amp;Operators'!$C$1:$G$99999,5,FALSE)</f>
        <v>STORY SAMANTHA</v>
      </c>
      <c r="M98" s="6">
        <f t="shared" si="37"/>
        <v>2.5763888887013309E-2</v>
      </c>
      <c r="N98" s="7">
        <f t="shared" si="38"/>
        <v>37.099999997299165</v>
      </c>
      <c r="O98" s="7"/>
      <c r="P98" s="7"/>
      <c r="Q98" s="23"/>
      <c r="R98" s="23"/>
      <c r="S98" s="35">
        <f t="shared" si="33"/>
        <v>1</v>
      </c>
      <c r="T98" s="50" t="str">
        <f t="shared" si="39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13:11:45-700',mode:absolute,to:'2016-12-13 15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8" s="52" t="str">
        <f t="shared" si="41"/>
        <v>N</v>
      </c>
      <c r="X98" s="177">
        <f t="shared" ref="X98:X102" si="55">VALUE(LEFT(AD98,4))-VALUE(LEFT(AD97,4))</f>
        <v>1</v>
      </c>
      <c r="Y98" s="67">
        <f t="shared" si="53"/>
        <v>4.58E-2</v>
      </c>
      <c r="Z98" s="67">
        <f t="shared" si="54"/>
        <v>23.337</v>
      </c>
      <c r="AA98" s="67">
        <f t="shared" si="44"/>
        <v>23.2912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45"/>
        <v>0185-13</v>
      </c>
      <c r="AE98" s="91" t="str">
        <f t="shared" si="46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98" s="88" t="str">
        <f t="shared" si="47"/>
        <v>"C:\Program Files (x86)\AstroGrep\AstroGrep.exe" /spath="%USERPROFILE%\AppData\Local\Temp\OnboardLogs" /stypes="app*4044*20161213*" /stext=" 21:.+((SYSTEM_STATE.+slice.+state.+changed )|(ment ac)|(multiple cpu faults)|(system.+state.+changed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185-13 --locoid 4044 --swversion DE.1.0.8.0 --startMP 204:458 --initTime 2016-12-13T14:11:45 --startdatetime 2016-12-13T14:15:29 --delay 1 --endMP 204:233370 --enddatetime 2016-12-13T14:52:35 --enforcementcount 0 &gt;&gt;C:\Users\stu\Documents\GitHub\eaglep3-reporting\EC\2016-12-13-refined-times.txt</v>
      </c>
      <c r="AI98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{"issue":{"subject":"","project_id":79,"tracker_id":40,"status_id":1,"priority_id":2,"assigned_to_id":23,"start_date":"2016-12-13","description":"","custom_fields":[{"id":1,"name":"Subdivision","value":"EC"},{"id":4,"name":"Milepost","value":"23.337"},{"id":17,"name":"Train ID","value":"185-13"},{"id":16,"name":"Locomotive ID","value":"4044"},{"id":130,"name":"Impact","value":""},{"id":150,"name":"Time of Event (Mountain Time)","value":"14:52:35"},{"id":151,"name":"Denver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555</v>
      </c>
      <c r="B99" s="7">
        <v>4043</v>
      </c>
      <c r="C99" s="22" t="s">
        <v>207</v>
      </c>
      <c r="D99" s="22" t="s">
        <v>683</v>
      </c>
      <c r="E99" s="13">
        <v>42717.642789351848</v>
      </c>
      <c r="F99" s="13">
        <v>42717.643530092595</v>
      </c>
      <c r="G99" s="7">
        <v>1</v>
      </c>
      <c r="H99" s="22" t="s">
        <v>315</v>
      </c>
      <c r="I99" s="13">
        <v>42717.668206018519</v>
      </c>
      <c r="J99" s="7">
        <v>0</v>
      </c>
      <c r="K99" s="109" t="str">
        <f t="shared" si="36"/>
        <v>4043/4044</v>
      </c>
      <c r="L99" s="22" t="str">
        <f>VLOOKUP(A99,'Trips&amp;Operators'!$C$1:$G$99999,5,FALSE)</f>
        <v>STORY SAMANTHA</v>
      </c>
      <c r="M99" s="6">
        <f t="shared" si="37"/>
        <v>2.4675925924384501E-2</v>
      </c>
      <c r="N99" s="7"/>
      <c r="O99" s="7"/>
      <c r="P99" s="7">
        <f>24*60*SUM($M99:$M99)</f>
        <v>35.533333331113681</v>
      </c>
      <c r="Q99" s="23"/>
      <c r="R99" s="23" t="s">
        <v>824</v>
      </c>
      <c r="S99" s="35">
        <f t="shared" si="33"/>
        <v>1</v>
      </c>
      <c r="T99" s="50" t="str">
        <f t="shared" si="39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14:25:37-700',mode:absolute,to:'2016-12-13 17:02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9" s="52" t="str">
        <f t="shared" si="41"/>
        <v>Y</v>
      </c>
      <c r="X99" s="177">
        <f t="shared" si="55"/>
        <v>1</v>
      </c>
      <c r="Y99" s="67">
        <f t="shared" si="53"/>
        <v>15.400700000000001</v>
      </c>
      <c r="Z99" s="67">
        <f t="shared" si="54"/>
        <v>1.61E-2</v>
      </c>
      <c r="AA99" s="67">
        <f t="shared" si="44"/>
        <v>15.384600000000001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45"/>
        <v>0186-13</v>
      </c>
      <c r="AE99" s="91" t="str">
        <f t="shared" si="46"/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AF99" s="88" t="str">
        <f t="shared" si="47"/>
        <v>"C:\Program Files (x86)\AstroGrep\AstroGrep.exe" /spath="%USERPROFILE%\AppData\Local\Temp\OnboardLogs" /stypes="app*4043*20161213*" /stext=" 23:.+((SYSTEM_STATE.+slice.+state.+changed )|(ment ac)|(multiple cpu faults)|(system.+state.+changed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186-13 --locoid 4043 --swversion DE.1.0.8.0 --startMP 204:154007 --initTime 2016-12-13T15:25:37 --startdatetime 2016-12-13T15:26:41 --delay 1 --endMP 204:161 --enddatetime 2016-12-13T16:02:13 --enforcementcount 0 &gt;&gt;C:\Users\stu\Documents\GitHub\eaglep3-reporting\EC\2016-12-13-refined-times.txt</v>
      </c>
      <c r="AI99" s="119" t="str">
        <f t="shared" si="50"/>
        <v>echo {"issue":{"subject":"Onboard in-route failure","project_id":79,"tracker_id":40,"status_id":1,"priority_id":2,"assigned_to_id":23,"start_date":"2016-12-13","description":"","custom_fields":[{"id":1,"name":"Subdivision","value":"EC"},{"id":4,"name":"Milepost","value":"0.0161"},{"id":17,"name":"Train ID","value":"186-13"},{"id":16,"name":"Locomotive ID","value":"4043"},{"id":130,"name":"Impact","value":""},{"id":150,"name":"Time of Event (Mountain Time)","value":"16:02:13"},{"id":151,"name":"Denver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551</v>
      </c>
      <c r="B100" s="7">
        <v>4051</v>
      </c>
      <c r="C100" s="22" t="s">
        <v>207</v>
      </c>
      <c r="D100" s="22" t="s">
        <v>371</v>
      </c>
      <c r="E100" s="13">
        <v>42717.599259259259</v>
      </c>
      <c r="F100" s="13">
        <v>42717.604513888888</v>
      </c>
      <c r="G100" s="7">
        <v>1</v>
      </c>
      <c r="H100" s="22" t="s">
        <v>684</v>
      </c>
      <c r="I100" s="13">
        <v>42717.630543981482</v>
      </c>
      <c r="J100" s="7">
        <v>0</v>
      </c>
      <c r="K100" s="109" t="str">
        <f t="shared" si="36"/>
        <v>4051/4052</v>
      </c>
      <c r="L100" s="22" t="str">
        <f>VLOOKUP(A100,'Trips&amp;Operators'!$C$1:$G$99999,5,FALSE)</f>
        <v>BARTLETT KIANDRA</v>
      </c>
      <c r="M100" s="6">
        <f t="shared" si="37"/>
        <v>2.6030092594737653E-2</v>
      </c>
      <c r="N100" s="7">
        <f t="shared" ref="N100:N115" si="56">24*60*SUM($M100:$M100)</f>
        <v>37.48333333642222</v>
      </c>
      <c r="O100" s="7"/>
      <c r="P100" s="7"/>
      <c r="Q100" s="23"/>
      <c r="R100" s="23"/>
      <c r="S100" s="35">
        <f t="shared" si="33"/>
        <v>1</v>
      </c>
      <c r="T100" s="50" t="str">
        <f t="shared" si="39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13:22:56-700',mode:absolute,to:'2016-12-13 16:07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0" s="52" t="str">
        <f t="shared" si="41"/>
        <v>N</v>
      </c>
      <c r="X100" s="177">
        <f t="shared" si="55"/>
        <v>1</v>
      </c>
      <c r="Y100" s="67">
        <f t="shared" si="53"/>
        <v>4.6600000000000003E-2</v>
      </c>
      <c r="Z100" s="67">
        <f t="shared" si="54"/>
        <v>23.337599999999998</v>
      </c>
      <c r="AA100" s="67">
        <f t="shared" si="44"/>
        <v>23.290999999999997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45"/>
        <v>0187-13</v>
      </c>
      <c r="AE100" s="91" t="str">
        <f t="shared" si="46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100" s="88" t="str">
        <f t="shared" si="47"/>
        <v>"C:\Program Files (x86)\AstroGrep\AstroGrep.exe" /spath="%USERPROFILE%\AppData\Local\Temp\OnboardLogs" /stypes="app*4051*20161213*" /stext=" 22:.+((SYSTEM_STATE.+slice.+state.+changed )|(ment ac)|(multiple cpu faults)|(system.+state.+changed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187-13 --locoid 4051 --swversion DE.1.0.8.0 --startMP 204:466 --initTime 2016-12-13T14:22:56 --startdatetime 2016-12-13T14:30:30 --delay 1 --endMP 204:233376 --enddatetime 2016-12-13T15:07:59 --enforcementcount 0 &gt;&gt;C:\Users\stu\Documents\GitHub\eaglep3-reporting\EC\2016-12-13-refined-times.txt</v>
      </c>
      <c r="AI10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{"issue":{"subject":"","project_id":79,"tracker_id":40,"status_id":1,"priority_id":2,"assigned_to_id":23,"start_date":"2016-12-13","description":"","custom_fields":[{"id":1,"name":"Subdivision","value":"EC"},{"id":4,"name":"Milepost","value":"23.3376"},{"id":17,"name":"Train ID","value":"187-13"},{"id":16,"name":"Locomotive ID","value":"4051"},{"id":130,"name":"Impact","value":""},{"id":150,"name":"Time of Event (Mountain Time)","value":"15:07:59"},{"id":151,"name":"Denver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435</v>
      </c>
      <c r="B101" s="7">
        <v>4052</v>
      </c>
      <c r="C101" s="22" t="s">
        <v>207</v>
      </c>
      <c r="D101" s="22" t="s">
        <v>685</v>
      </c>
      <c r="E101" s="13">
        <v>42717.638611111113</v>
      </c>
      <c r="F101" s="13">
        <v>42717.64366898148</v>
      </c>
      <c r="G101" s="7">
        <v>1</v>
      </c>
      <c r="H101" s="22" t="s">
        <v>226</v>
      </c>
      <c r="I101" s="13">
        <v>42717.672812500001</v>
      </c>
      <c r="J101" s="7">
        <v>1</v>
      </c>
      <c r="K101" s="109" t="str">
        <f t="shared" si="36"/>
        <v>4051/4052</v>
      </c>
      <c r="L101" s="22" t="str">
        <f>VLOOKUP(A101,'Trips&amp;Operators'!$C$1:$G$99999,5,FALSE)</f>
        <v>BARTLETT KIANDRA</v>
      </c>
      <c r="M101" s="6">
        <f t="shared" si="37"/>
        <v>2.9143518520868383E-2</v>
      </c>
      <c r="N101" s="7">
        <f t="shared" si="56"/>
        <v>41.966666670050472</v>
      </c>
      <c r="O101" s="7"/>
      <c r="P101" s="7"/>
      <c r="Q101" s="23"/>
      <c r="R101" s="23"/>
      <c r="S101" s="35">
        <f t="shared" si="33"/>
        <v>1</v>
      </c>
      <c r="T101" s="50" t="str">
        <f t="shared" si="39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14:19:36-700',mode:absolute,to:'2016-12-13 17:08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1" s="52" t="str">
        <f t="shared" si="41"/>
        <v>N</v>
      </c>
      <c r="X101" s="177">
        <f t="shared" si="55"/>
        <v>1</v>
      </c>
      <c r="Y101" s="67">
        <f t="shared" si="53"/>
        <v>23.307600000000001</v>
      </c>
      <c r="Z101" s="67">
        <f t="shared" si="54"/>
        <v>1.54E-2</v>
      </c>
      <c r="AA101" s="67">
        <f t="shared" si="44"/>
        <v>23.292200000000001</v>
      </c>
      <c r="AB101" s="64" t="str">
        <f>VLOOKUP(A101,Enforcements!$C$7:$K$19,8,0)</f>
        <v>Signal based authority (5)</v>
      </c>
      <c r="AC101" s="60" t="str">
        <f>VLOOKUP(A101,Enforcements!$C$7:$E$19,3,0)</f>
        <v>SIGNAL</v>
      </c>
      <c r="AD101" s="61" t="str">
        <f t="shared" si="45"/>
        <v>0188-13</v>
      </c>
      <c r="AE101" s="91" t="str">
        <f t="shared" si="46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101" s="88" t="str">
        <f t="shared" si="47"/>
        <v>"C:\Program Files (x86)\AstroGrep\AstroGrep.exe" /spath="%USERPROFILE%\AppData\Local\Temp\OnboardLogs" /stypes="app*4052*20161213*" /stext=" 23:.+((SYSTEM_STATE.+slice.+state.+changed )|(ment ac)|(multiple cpu faults)|(system.+state.+changed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188-13 --locoid 4052 --swversion DE.1.0.8.0 --startMP 204:233076 --initTime 2016-12-13T15:19:36 --startdatetime 2016-12-13T15:26:53 --delay 1 --endMP 204:154 --enddatetime 2016-12-13T16:08:51 --enforcementcount 1 &gt;&gt;C:\Users\stu\Documents\GitHub\eaglep3-reporting\EC\2016-12-13-refined-times.txt</v>
      </c>
      <c r="AI10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{"issue":{"subject":"","project_id":79,"tracker_id":40,"status_id":1,"priority_id":2,"assigned_to_id":23,"start_date":"2016-12-13","description":"","custom_fields":[{"id":1,"name":"Subdivision","value":"EC"},{"id":4,"name":"Milepost","value":"0.0154"},{"id":17,"name":"Train ID","value":"188-13"},{"id":16,"name":"Locomotive ID","value":"4052"},{"id":130,"name":"Impact","value":""},{"id":150,"name":"Time of Event (Mountain Time)","value":"16:08:51"},{"id":151,"name":"Denver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553</v>
      </c>
      <c r="B102" s="7">
        <v>4022</v>
      </c>
      <c r="C102" s="22" t="s">
        <v>207</v>
      </c>
      <c r="D102" s="22" t="s">
        <v>686</v>
      </c>
      <c r="E102" s="13">
        <v>42717.609074074076</v>
      </c>
      <c r="F102" s="13">
        <v>42717.614745370367</v>
      </c>
      <c r="G102" s="7">
        <v>1</v>
      </c>
      <c r="H102" s="22" t="s">
        <v>687</v>
      </c>
      <c r="I102" s="13">
        <v>42717.639166666668</v>
      </c>
      <c r="J102" s="7">
        <v>0</v>
      </c>
      <c r="K102" s="109" t="str">
        <f t="shared" si="36"/>
        <v>4021/4022</v>
      </c>
      <c r="L102" s="22" t="str">
        <f>VLOOKUP(A102,'Trips&amp;Operators'!$C$1:$G$99999,5,FALSE)</f>
        <v>HILLS DUSTIN</v>
      </c>
      <c r="M102" s="6">
        <f t="shared" si="37"/>
        <v>2.4421296300715767E-2</v>
      </c>
      <c r="N102" s="7">
        <f t="shared" si="56"/>
        <v>35.166666673030704</v>
      </c>
      <c r="O102" s="7"/>
      <c r="P102" s="7"/>
      <c r="Q102" s="23"/>
      <c r="R102" s="23"/>
      <c r="S102" s="35">
        <f t="shared" si="33"/>
        <v>1</v>
      </c>
      <c r="T102" s="50" t="str">
        <f t="shared" si="39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13:37:04-700',mode:absolute,to:'2016-12-13 16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2" s="52" t="str">
        <f t="shared" si="41"/>
        <v>N</v>
      </c>
      <c r="X102" s="177">
        <f t="shared" si="55"/>
        <v>1</v>
      </c>
      <c r="Y102" s="67">
        <f t="shared" si="53"/>
        <v>4.2000000000000003E-2</v>
      </c>
      <c r="Z102" s="67">
        <f t="shared" si="54"/>
        <v>23.338000000000001</v>
      </c>
      <c r="AA102" s="67">
        <f t="shared" si="44"/>
        <v>23.295999999999999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45"/>
        <v>0189-13</v>
      </c>
      <c r="AE102" s="91" t="str">
        <f t="shared" si="46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02" s="88" t="str">
        <f t="shared" si="47"/>
        <v>"C:\Program Files (x86)\AstroGrep\AstroGrep.exe" /spath="%USERPROFILE%\AppData\Local\Temp\OnboardLogs" /stypes="app*4022*20161213*" /stext=" 22:.+((SYSTEM_STATE.+slice.+state.+changed )|(ment ac)|(multiple cpu faults)|(system.+state.+changed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189-13 --locoid 4022 --swversion DE.1.0.8.0 --startMP 204:420 --initTime 2016-12-13T14:37:04 --startdatetime 2016-12-13T14:45:14 --delay 1 --endMP 204:233380 --enddatetime 2016-12-13T15:20:24 --enforcementcount 0 &gt;&gt;C:\Users\stu\Documents\GitHub\eaglep3-reporting\EC\2016-12-13-refined-times.txt</v>
      </c>
      <c r="AI102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{"issue":{"subject":"","project_id":79,"tracker_id":40,"status_id":1,"priority_id":2,"assigned_to_id":23,"start_date":"2016-12-13","description":"","custom_fields":[{"id":1,"name":"Subdivision","value":"EC"},{"id":4,"name":"Milepost","value":"23.338"},{"id":17,"name":"Train ID","value":"189-13"},{"id":16,"name":"Locomotive ID","value":"4022"},{"id":130,"name":"Impact","value":""},{"id":150,"name":"Time of Event (Mountain Time)","value":"15:20:24"},{"id":151,"name":"Denver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437</v>
      </c>
      <c r="B103" s="7">
        <v>4021</v>
      </c>
      <c r="C103" s="22" t="s">
        <v>207</v>
      </c>
      <c r="D103" s="22" t="s">
        <v>688</v>
      </c>
      <c r="E103" s="13">
        <v>42717.640462962961</v>
      </c>
      <c r="F103" s="13">
        <v>42717.653854166667</v>
      </c>
      <c r="G103" s="7">
        <v>1</v>
      </c>
      <c r="H103" s="22" t="s">
        <v>689</v>
      </c>
      <c r="I103" s="13">
        <v>42717.684687499997</v>
      </c>
      <c r="J103" s="7">
        <v>1</v>
      </c>
      <c r="K103" s="109" t="str">
        <f t="shared" si="36"/>
        <v>4021/4022</v>
      </c>
      <c r="L103" s="22" t="str">
        <f>VLOOKUP(A103,'Trips&amp;Operators'!$C$1:$G$99999,5,FALSE)</f>
        <v>HILLS DUSTIN</v>
      </c>
      <c r="M103" s="6">
        <f t="shared" si="37"/>
        <v>3.0833333330519963E-2</v>
      </c>
      <c r="N103" s="7">
        <f t="shared" si="56"/>
        <v>44.399999995948747</v>
      </c>
      <c r="O103" s="7"/>
      <c r="P103" s="7"/>
      <c r="Q103" s="23"/>
      <c r="R103" s="23"/>
      <c r="S103" s="35">
        <f t="shared" si="33"/>
        <v>1</v>
      </c>
      <c r="T103" s="50" t="str">
        <f t="shared" si="39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14:22:16-700',mode:absolute,to:'2016-12-13 17:25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3" s="52" t="str">
        <f t="shared" si="41"/>
        <v>N</v>
      </c>
      <c r="X103" s="177">
        <f t="shared" ref="X103:X134" si="57">VALUE(LEFT(AD103,4))-VALUE(LEFT(AD102,4))</f>
        <v>1</v>
      </c>
      <c r="Y103" s="67">
        <f t="shared" si="53"/>
        <v>23.306100000000001</v>
      </c>
      <c r="Z103" s="67">
        <f t="shared" si="54"/>
        <v>1.32E-2</v>
      </c>
      <c r="AA103" s="67">
        <f t="shared" si="44"/>
        <v>23.292899999999999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45"/>
        <v>0190-13</v>
      </c>
      <c r="AE103" s="91" t="str">
        <f t="shared" si="46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103" s="88" t="str">
        <f t="shared" si="47"/>
        <v>"C:\Program Files (x86)\AstroGrep\AstroGrep.exe" /spath="%USERPROFILE%\AppData\Local\Temp\OnboardLogs" /stypes="app*4021*20161213*" /stext=" 23:.+((SYSTEM_STATE.+slice.+state.+changed )|(ment ac)|(multiple cpu faults)|(system.+state.+changed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190-13 --locoid 4021 --swversion DE.1.0.8.0 --startMP 204:233061 --initTime 2016-12-13T15:22:16 --startdatetime 2016-12-13T15:41:33 --delay 1 --endMP 204:132 --enddatetime 2016-12-13T16:25:57 --enforcementcount 1 &gt;&gt;C:\Users\stu\Documents\GitHub\eaglep3-reporting\EC\2016-12-13-refined-times.txt</v>
      </c>
      <c r="AI103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{"issue":{"subject":"","project_id":79,"tracker_id":40,"status_id":1,"priority_id":2,"assigned_to_id":23,"start_date":"2016-12-13","description":"","custom_fields":[{"id":1,"name":"Subdivision","value":"EC"},{"id":4,"name":"Milepost","value":"0.0132"},{"id":17,"name":"Train ID","value":"190-13"},{"id":16,"name":"Locomotive ID","value":"4021"},{"id":130,"name":"Impact","value":""},{"id":150,"name":"Time of Event (Mountain Time)","value":"16:25:57"},{"id":151,"name":"Denver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434</v>
      </c>
      <c r="B104" s="7">
        <v>4020</v>
      </c>
      <c r="C104" s="22" t="s">
        <v>207</v>
      </c>
      <c r="D104" s="22" t="s">
        <v>313</v>
      </c>
      <c r="E104" s="13">
        <v>42717.623715277776</v>
      </c>
      <c r="F104" s="13">
        <v>42717.625219907408</v>
      </c>
      <c r="G104" s="7">
        <v>1</v>
      </c>
      <c r="H104" s="22" t="s">
        <v>690</v>
      </c>
      <c r="I104" s="13">
        <v>42717.651250000003</v>
      </c>
      <c r="J104" s="7">
        <v>1</v>
      </c>
      <c r="K104" s="109" t="str">
        <f t="shared" si="36"/>
        <v>4019/4020</v>
      </c>
      <c r="L104" s="22" t="str">
        <f>VLOOKUP(A104,'Trips&amp;Operators'!$C$1:$G$99999,5,FALSE)</f>
        <v>HELVIE ADAM</v>
      </c>
      <c r="M104" s="6">
        <f t="shared" si="37"/>
        <v>2.6030092594737653E-2</v>
      </c>
      <c r="N104" s="7">
        <f t="shared" si="56"/>
        <v>37.48333333642222</v>
      </c>
      <c r="O104" s="7"/>
      <c r="P104" s="7"/>
      <c r="Q104" s="23"/>
      <c r="R104" s="23"/>
      <c r="S104" s="35">
        <f t="shared" si="33"/>
        <v>1</v>
      </c>
      <c r="T104" s="50" t="str">
        <f t="shared" si="39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13:58:09-700',mode:absolute,to:'2016-12-13 16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4" s="52" t="str">
        <f t="shared" si="41"/>
        <v>N</v>
      </c>
      <c r="X104" s="177">
        <f t="shared" si="57"/>
        <v>1</v>
      </c>
      <c r="Y104" s="67">
        <f t="shared" si="53"/>
        <v>4.6699999999999998E-2</v>
      </c>
      <c r="Z104" s="67">
        <v>23.331800000000001</v>
      </c>
      <c r="AA104" s="67">
        <f t="shared" si="44"/>
        <v>23.2851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45"/>
        <v>0191-13</v>
      </c>
      <c r="AE104" s="91" t="str">
        <f t="shared" si="46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104" s="88" t="str">
        <f t="shared" si="47"/>
        <v>"C:\Program Files (x86)\AstroGrep\AstroGrep.exe" /spath="%USERPROFILE%\AppData\Local\Temp\OnboardLogs" /stypes="app*4020*20161213*" /stext=" 22:.+((SYSTEM_STATE.+slice.+state.+changed )|(ment ac)|(multiple cpu faults)|(system.+state.+changed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191-13 --locoid 4020 --swversion DE.1.0.8.0 --startMP 204:467 --initTime 2016-12-13T14:58:09 --startdatetime 2016-12-13T15:00:19 --delay 1 --endMP 204:100753 --enddatetime 2016-12-13T15:37:48 --enforcementcount 1 &gt;&gt;C:\Users\stu\Documents\GitHub\eaglep3-reporting\EC\2016-12-13-refined-times.txt</v>
      </c>
      <c r="AI104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{"issue":{"subject":"","project_id":79,"tracker_id":40,"status_id":1,"priority_id":2,"assigned_to_id":23,"start_date":"2016-12-13","description":"","custom_fields":[{"id":1,"name":"Subdivision","value":"EC"},{"id":4,"name":"Milepost","value":"23.3318"},{"id":17,"name":"Train ID","value":"191-13"},{"id":16,"name":"Locomotive ID","value":"4020"},{"id":130,"name":"Impact","value":""},{"id":150,"name":"Time of Event (Mountain Time)","value":"15:37:48"},{"id":151,"name":"Denver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563</v>
      </c>
      <c r="B105" s="7">
        <v>4019</v>
      </c>
      <c r="C105" s="22" t="s">
        <v>207</v>
      </c>
      <c r="D105" s="22" t="s">
        <v>374</v>
      </c>
      <c r="E105" s="13">
        <v>42717.661226851851</v>
      </c>
      <c r="F105" s="13">
        <v>42717.664050925923</v>
      </c>
      <c r="G105" s="7">
        <v>1</v>
      </c>
      <c r="H105" s="22" t="s">
        <v>256</v>
      </c>
      <c r="I105" s="13">
        <v>42717.693182870367</v>
      </c>
      <c r="J105" s="7">
        <v>0</v>
      </c>
      <c r="K105" s="109" t="str">
        <f t="shared" si="36"/>
        <v>4019/4020</v>
      </c>
      <c r="L105" s="22" t="str">
        <f>VLOOKUP(A105,'Trips&amp;Operators'!$C$1:$G$99999,5,FALSE)</f>
        <v>HELVIE ADAM</v>
      </c>
      <c r="M105" s="6">
        <f t="shared" si="37"/>
        <v>2.9131944444088731E-2</v>
      </c>
      <c r="N105" s="7">
        <f t="shared" si="56"/>
        <v>41.949999999487773</v>
      </c>
      <c r="O105" s="7"/>
      <c r="P105" s="7"/>
      <c r="Q105" s="23"/>
      <c r="R105" s="23"/>
      <c r="S105" s="35">
        <f t="shared" si="33"/>
        <v>1</v>
      </c>
      <c r="T105" s="50" t="str">
        <f t="shared" si="39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14:52:10-700',mode:absolute,to:'2016-12-13 17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5" s="52" t="str">
        <f t="shared" si="41"/>
        <v>N</v>
      </c>
      <c r="X105" s="177">
        <f t="shared" si="57"/>
        <v>1</v>
      </c>
      <c r="Y105" s="67">
        <f t="shared" si="53"/>
        <v>23.299800000000001</v>
      </c>
      <c r="Z105" s="67">
        <f t="shared" ref="Z105:Z136" si="58">RIGHT(H105,LEN(H105)-4)/10000</f>
        <v>1.6299999999999999E-2</v>
      </c>
      <c r="AA105" s="67">
        <f t="shared" si="44"/>
        <v>23.2835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45"/>
        <v>0192-13</v>
      </c>
      <c r="AE105" s="91" t="str">
        <f t="shared" si="46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105" s="88" t="str">
        <f t="shared" si="47"/>
        <v>"C:\Program Files (x86)\AstroGrep\AstroGrep.exe" /spath="%USERPROFILE%\AppData\Local\Temp\OnboardLogs" /stypes="app*4019*20161213*" /stext=" 23:.+((SYSTEM_STATE.+slice.+state.+changed )|(ment ac)|(multiple cpu faults)|(system.+state.+changed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192-13 --locoid 4019 --swversion DE.1.0.8.0 --startMP 204:232998 --initTime 2016-12-13T15:52:10 --startdatetime 2016-12-13T15:56:14 --delay 1 --endMP 204:163 --enddatetime 2016-12-13T16:38:11 --enforcementcount 0 &gt;&gt;C:\Users\stu\Documents\GitHub\eaglep3-reporting\EC\2016-12-13-refined-times.txt</v>
      </c>
      <c r="AI105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{"issue":{"subject":"","project_id":79,"tracker_id":40,"status_id":1,"priority_id":2,"assigned_to_id":23,"start_date":"2016-12-13","description":"","custom_fields":[{"id":1,"name":"Subdivision","value":"EC"},{"id":4,"name":"Milepost","value":"0.0163"},{"id":17,"name":"Train ID","value":"192-13"},{"id":16,"name":"Locomotive ID","value":"4019"},{"id":130,"name":"Impact","value":""},{"id":150,"name":"Time of Event (Mountain Time)","value":"16:38:11"},{"id":151,"name":"Denver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556</v>
      </c>
      <c r="B106" s="7">
        <v>4003</v>
      </c>
      <c r="C106" s="22" t="s">
        <v>207</v>
      </c>
      <c r="D106" s="22" t="s">
        <v>655</v>
      </c>
      <c r="E106" s="13">
        <v>42717.631273148145</v>
      </c>
      <c r="F106" s="13">
        <v>42717.635625000003</v>
      </c>
      <c r="G106" s="7">
        <v>1</v>
      </c>
      <c r="H106" s="22" t="s">
        <v>641</v>
      </c>
      <c r="I106" s="13">
        <v>42717.663657407407</v>
      </c>
      <c r="J106" s="7">
        <v>0</v>
      </c>
      <c r="K106" s="109" t="str">
        <f t="shared" si="36"/>
        <v>4003/4004</v>
      </c>
      <c r="L106" s="22" t="str">
        <f>VLOOKUP(A106,'Trips&amp;Operators'!$C$1:$G$99999,5,FALSE)</f>
        <v>BONDS REYNALDO</v>
      </c>
      <c r="M106" s="6">
        <f t="shared" si="37"/>
        <v>2.8032407404680271E-2</v>
      </c>
      <c r="N106" s="7">
        <f t="shared" si="56"/>
        <v>40.36666666273959</v>
      </c>
      <c r="O106" s="7"/>
      <c r="P106" s="7"/>
      <c r="Q106" s="23"/>
      <c r="R106" s="23"/>
      <c r="S106" s="35">
        <f t="shared" ref="S106:S137" si="59">SUM(U106:U106)/IF(AG106="EC",12,1)</f>
        <v>1</v>
      </c>
      <c r="T106" s="50" t="str">
        <f t="shared" si="39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14:09:02-700',mode:absolute,to:'2016-12-13 16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6" s="52" t="str">
        <f t="shared" si="41"/>
        <v>N</v>
      </c>
      <c r="X106" s="177">
        <f t="shared" si="57"/>
        <v>1</v>
      </c>
      <c r="Y106" s="67">
        <f t="shared" si="53"/>
        <v>4.4400000000000002E-2</v>
      </c>
      <c r="Z106" s="67">
        <f t="shared" si="58"/>
        <v>23.331800000000001</v>
      </c>
      <c r="AA106" s="67">
        <f t="shared" si="44"/>
        <v>23.287400000000002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45"/>
        <v>0193-13</v>
      </c>
      <c r="AE106" s="91" t="str">
        <f t="shared" si="46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106" s="88" t="str">
        <f t="shared" si="47"/>
        <v>"C:\Program Files (x86)\AstroGrep\AstroGrep.exe" /spath="%USERPROFILE%\AppData\Local\Temp\OnboardLogs" /stypes="app*4003*20161213*" /stext=" 22:.+((SYSTEM_STATE.+slice.+state.+changed )|(ment ac)|(multiple cpu faults)|(system.+state.+changed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193-13 --locoid 4003 --swversion DE.1.0.8.0 --startMP 204:444 --initTime 2016-12-13T15:09:02 --startdatetime 2016-12-13T15:15:18 --delay 1 --endMP 204:233318 --enddatetime 2016-12-13T15:55:40 --enforcementcount 0 &gt;&gt;C:\Users\stu\Documents\GitHub\eaglep3-reporting\EC\2016-12-13-refined-times.txt</v>
      </c>
      <c r="AI106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{"issue":{"subject":"","project_id":79,"tracker_id":40,"status_id":1,"priority_id":2,"assigned_to_id":23,"start_date":"2016-12-13","description":"","custom_fields":[{"id":1,"name":"Subdivision","value":"EC"},{"id":4,"name":"Milepost","value":"23.3318"},{"id":17,"name":"Train ID","value":"193-13"},{"id":16,"name":"Locomotive ID","value":"4003"},{"id":130,"name":"Impact","value":""},{"id":150,"name":"Time of Event (Mountain Time)","value":"15:55:40"},{"id":151,"name":"Denver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564</v>
      </c>
      <c r="B107" s="7">
        <v>4004</v>
      </c>
      <c r="C107" s="22" t="s">
        <v>207</v>
      </c>
      <c r="D107" s="22" t="s">
        <v>374</v>
      </c>
      <c r="E107" s="13">
        <v>42717.669270833336</v>
      </c>
      <c r="F107" s="13">
        <v>42717.674525462964</v>
      </c>
      <c r="G107" s="7">
        <v>1</v>
      </c>
      <c r="H107" s="22" t="s">
        <v>278</v>
      </c>
      <c r="I107" s="13">
        <v>42717.704074074078</v>
      </c>
      <c r="J107" s="7">
        <v>0</v>
      </c>
      <c r="K107" s="109" t="str">
        <f t="shared" si="36"/>
        <v>4003/4004</v>
      </c>
      <c r="L107" s="22" t="str">
        <f>VLOOKUP(A107,'Trips&amp;Operators'!$C$1:$G$99999,5,FALSE)</f>
        <v>BONDS REYNALDO</v>
      </c>
      <c r="M107" s="6">
        <f t="shared" si="37"/>
        <v>2.9548611113568768E-2</v>
      </c>
      <c r="N107" s="7">
        <f t="shared" si="56"/>
        <v>42.550000003539026</v>
      </c>
      <c r="O107" s="7"/>
      <c r="P107" s="7"/>
      <c r="Q107" s="23"/>
      <c r="R107" s="23"/>
      <c r="S107" s="35">
        <f t="shared" si="59"/>
        <v>1</v>
      </c>
      <c r="T107" s="50" t="str">
        <f t="shared" si="39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15:03:45-700',mode:absolute,to:'2016-12-13 17:53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7" s="52" t="str">
        <f t="shared" si="41"/>
        <v>N</v>
      </c>
      <c r="X107" s="177">
        <f t="shared" si="57"/>
        <v>1</v>
      </c>
      <c r="Y107" s="67">
        <f t="shared" si="53"/>
        <v>23.299800000000001</v>
      </c>
      <c r="Z107" s="67">
        <f t="shared" si="58"/>
        <v>1.52E-2</v>
      </c>
      <c r="AA107" s="67">
        <f t="shared" si="44"/>
        <v>23.284600000000001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45"/>
        <v>0194-13</v>
      </c>
      <c r="AE107" s="91" t="str">
        <f t="shared" si="46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107" s="88" t="str">
        <f t="shared" si="47"/>
        <v>"C:\Program Files (x86)\AstroGrep\AstroGrep.exe" /spath="%USERPROFILE%\AppData\Local\Temp\OnboardLogs" /stypes="app*4004*20161213*" /stext=" 23:.+((SYSTEM_STATE.+slice.+state.+changed )|(ment ac)|(multiple cpu faults)|(system.+state.+changed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194-13 --locoid 4004 --swversion DE.1.0.8.0 --startMP 204:232998 --initTime 2016-12-13T16:03:45 --startdatetime 2016-12-13T16:11:19 --delay 1 --endMP 204:152 --enddatetime 2016-12-13T16:53:52 --enforcementcount 0 &gt;&gt;C:\Users\stu\Documents\GitHub\eaglep3-reporting\EC\2016-12-13-refined-times.txt</v>
      </c>
      <c r="AI107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ID","value":"194-13"},{"id":16,"name":"Locomotive ID","value":"4004"},{"id":130,"name":"Impact","value":""},{"id":150,"name":"Time of Event (Mountain Time)","value":"16:53:52"},{"id":151,"name":"Denver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438</v>
      </c>
      <c r="B108" s="7">
        <v>4016</v>
      </c>
      <c r="C108" s="22" t="s">
        <v>207</v>
      </c>
      <c r="D108" s="22" t="s">
        <v>691</v>
      </c>
      <c r="E108" s="13">
        <v>42717.643993055557</v>
      </c>
      <c r="F108" s="13">
        <v>42717.64644675926</v>
      </c>
      <c r="G108" s="7">
        <v>1</v>
      </c>
      <c r="H108" s="22" t="s">
        <v>692</v>
      </c>
      <c r="I108" s="13">
        <v>42717.674467592595</v>
      </c>
      <c r="J108" s="7">
        <v>1</v>
      </c>
      <c r="K108" s="109" t="str">
        <f t="shared" si="36"/>
        <v>4015/4016</v>
      </c>
      <c r="L108" s="22" t="str">
        <f>VLOOKUP(A108,'Trips&amp;Operators'!$C$1:$G$99999,5,FALSE)</f>
        <v>YOUNG ELIZABETH</v>
      </c>
      <c r="M108" s="6">
        <f t="shared" si="37"/>
        <v>2.8020833335176576E-2</v>
      </c>
      <c r="N108" s="7">
        <f t="shared" si="56"/>
        <v>40.350000002654269</v>
      </c>
      <c r="O108" s="7"/>
      <c r="P108" s="7"/>
      <c r="Q108" s="23"/>
      <c r="R108" s="23"/>
      <c r="S108" s="35">
        <f t="shared" si="59"/>
        <v>1</v>
      </c>
      <c r="T108" s="50" t="str">
        <f t="shared" si="39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14:27:21-700',mode:absolute,to:'2016-12-13 17:11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8" s="52" t="str">
        <f t="shared" si="41"/>
        <v>N</v>
      </c>
      <c r="X108" s="177">
        <f t="shared" si="57"/>
        <v>1</v>
      </c>
      <c r="Y108" s="67">
        <f t="shared" si="53"/>
        <v>5.0200000000000002E-2</v>
      </c>
      <c r="Z108" s="67">
        <f t="shared" si="58"/>
        <v>23.334</v>
      </c>
      <c r="AA108" s="67">
        <f t="shared" si="44"/>
        <v>23.283799999999999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45"/>
        <v>0195-13</v>
      </c>
      <c r="AE108" s="91" t="str">
        <f t="shared" si="46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108" s="88" t="str">
        <f t="shared" si="47"/>
        <v>"C:\Program Files (x86)\AstroGrep\AstroGrep.exe" /spath="%USERPROFILE%\AppData\Local\Temp\OnboardLogs" /stypes="app*4016*20161213*" /stext=" 23:.+((SYSTEM_STATE.+slice.+state.+changed )|(ment ac)|(multiple cpu faults)|(system.+state.+changed )|(\[timeout)|(PRM\|1\|D)|(kpr)|(kdp)|(\|lc)|(penalty))" /e /r /s</v>
      </c>
      <c r="AG108" s="1" t="str">
        <f t="shared" si="48"/>
        <v>EC</v>
      </c>
      <c r="AH108" s="92" t="str">
        <f t="shared" si="49"/>
        <v>"%USERPROFILE%\Documents\GitHub\eaglep3\Utilities\RefineRTDCRunTimes.py" --tripid 195-13 --locoid 4016 --swversion DE.1.0.8.0 --startMP 204:502 --initTime 2016-12-13T15:27:21 --startdatetime 2016-12-13T15:30:53 --delay 1 --endMP 204:233340 --enddatetime 2016-12-13T16:11:14 --enforcementcount 1 &gt;&gt;C:\Users\stu\Documents\GitHub\eaglep3-reporting\EC\2016-12-13-refined-times.txt</v>
      </c>
      <c r="AI108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{"issue":{"subject":"","project_id":79,"tracker_id":40,"status_id":1,"priority_id":2,"assigned_to_id":23,"start_date":"2016-12-13","description":"","custom_fields":[{"id":1,"name":"Subdivision","value":"EC"},{"id":4,"name":"Milepost","value":"23.334"},{"id":17,"name":"Train ID","value":"195-13"},{"id":16,"name":"Locomotive ID","value":"4016"},{"id":130,"name":"Impact","value":""},{"id":150,"name":"Time of Event (Mountain Time)","value":"16:11:14"},{"id":151,"name":"Denver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568</v>
      </c>
      <c r="B109" s="7">
        <v>4015</v>
      </c>
      <c r="C109" s="22" t="s">
        <v>207</v>
      </c>
      <c r="D109" s="22" t="s">
        <v>693</v>
      </c>
      <c r="E109" s="13">
        <v>42717.678252314814</v>
      </c>
      <c r="F109" s="13">
        <v>42717.684976851851</v>
      </c>
      <c r="G109" s="7">
        <v>1</v>
      </c>
      <c r="H109" s="22" t="s">
        <v>694</v>
      </c>
      <c r="I109" s="13">
        <v>42717.716956018521</v>
      </c>
      <c r="J109" s="7">
        <v>0</v>
      </c>
      <c r="K109" s="109" t="str">
        <f t="shared" si="36"/>
        <v>4015/4016</v>
      </c>
      <c r="L109" s="22" t="str">
        <f>VLOOKUP(A109,'Trips&amp;Operators'!$C$1:$G$99999,5,FALSE)</f>
        <v>YOUNG ELIZABETH</v>
      </c>
      <c r="M109" s="6">
        <f t="shared" si="37"/>
        <v>3.1979166669771075E-2</v>
      </c>
      <c r="N109" s="7">
        <f t="shared" si="56"/>
        <v>46.050000004470348</v>
      </c>
      <c r="O109" s="7"/>
      <c r="P109" s="7"/>
      <c r="Q109" s="23"/>
      <c r="R109" s="23"/>
      <c r="S109" s="35">
        <f t="shared" si="59"/>
        <v>1</v>
      </c>
      <c r="T109" s="50" t="str">
        <f t="shared" si="39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15:16:41-700',mode:absolute,to:'2016-12-13 18:12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9" s="52" t="str">
        <f t="shared" si="41"/>
        <v>N</v>
      </c>
      <c r="X109" s="177">
        <f t="shared" si="57"/>
        <v>1</v>
      </c>
      <c r="Y109" s="67">
        <f t="shared" si="53"/>
        <v>23.3017</v>
      </c>
      <c r="Z109" s="67">
        <f t="shared" si="58"/>
        <v>1.9099999999999999E-2</v>
      </c>
      <c r="AA109" s="67">
        <f t="shared" si="44"/>
        <v>23.282599999999999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45"/>
        <v>0196-13</v>
      </c>
      <c r="AE109" s="91" t="str">
        <f t="shared" si="46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109" s="88" t="str">
        <f t="shared" si="47"/>
        <v>"C:\Program Files (x86)\AstroGrep\AstroGrep.exe" /spath="%USERPROFILE%\AppData\Local\Temp\OnboardLogs" /stypes="app*4015*20161214*" /stext=" 00:.+((SYSTEM_STATE.+slice.+state.+changed )|(ment ac)|(multiple cpu faults)|(system.+state.+changed )|(\[timeout)|(PRM\|1\|D)|(kpr)|(kdp)|(\|lc)|(penalty))" /e /r /s</v>
      </c>
      <c r="AG109" s="1" t="str">
        <f t="shared" si="48"/>
        <v>EC</v>
      </c>
      <c r="AH109" s="92" t="str">
        <f t="shared" si="49"/>
        <v>"%USERPROFILE%\Documents\GitHub\eaglep3\Utilities\RefineRTDCRunTimes.py" --tripid 196-13 --locoid 4015 --swversion DE.1.0.8.0 --startMP 204:233017 --initTime 2016-12-13T16:16:41 --startdatetime 2016-12-13T16:26:22 --delay 1 --endMP 204:191 --enddatetime 2016-12-13T17:12:25 --enforcementcount 0 &gt;&gt;C:\Users\stu\Documents\GitHub\eaglep3-reporting\EC\2016-12-13-refined-times.txt</v>
      </c>
      <c r="AI109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{"issue":{"subject":"","project_id":79,"tracker_id":40,"status_id":1,"priority_id":2,"assigned_to_id":23,"start_date":"2016-12-13","description":"","custom_fields":[{"id":1,"name":"Subdivision","value":"EC"},{"id":4,"name":"Milepost","value":"0.0191"},{"id":17,"name":"Train ID","value":"196-13"},{"id":16,"name":"Locomotive ID","value":"4015"},{"id":130,"name":"Impact","value":""},{"id":150,"name":"Time of Event (Mountain Time)","value":"17:12:25"},{"id":151,"name":"Denver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560</v>
      </c>
      <c r="B110" s="7">
        <v>4042</v>
      </c>
      <c r="C110" s="22" t="s">
        <v>207</v>
      </c>
      <c r="D110" s="22" t="s">
        <v>377</v>
      </c>
      <c r="E110" s="13">
        <v>42717.654317129629</v>
      </c>
      <c r="F110" s="13">
        <v>42717.656493055554</v>
      </c>
      <c r="G110" s="7">
        <v>2</v>
      </c>
      <c r="H110" s="22" t="s">
        <v>695</v>
      </c>
      <c r="I110" s="13">
        <v>42717.683553240742</v>
      </c>
      <c r="J110" s="7">
        <v>0</v>
      </c>
      <c r="K110" s="109" t="str">
        <f t="shared" si="36"/>
        <v>4041/4042</v>
      </c>
      <c r="L110" s="22" t="str">
        <f>VLOOKUP(A110,'Trips&amp;Operators'!$C$1:$G$99999,5,FALSE)</f>
        <v>CLARK KATHLEEN</v>
      </c>
      <c r="M110" s="6">
        <f t="shared" si="37"/>
        <v>2.7060185188020114E-2</v>
      </c>
      <c r="N110" s="7">
        <f t="shared" si="56"/>
        <v>38.966666670748964</v>
      </c>
      <c r="O110" s="7"/>
      <c r="P110" s="7"/>
      <c r="Q110" s="23"/>
      <c r="R110" s="23"/>
      <c r="S110" s="35">
        <f t="shared" si="59"/>
        <v>1</v>
      </c>
      <c r="T110" s="50" t="str">
        <f t="shared" si="39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14:42:13-700',mode:absolute,to:'2016-12-13 17:24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0" s="52" t="str">
        <f t="shared" si="41"/>
        <v>N</v>
      </c>
      <c r="X110" s="177">
        <f t="shared" si="57"/>
        <v>1</v>
      </c>
      <c r="Y110" s="67">
        <f t="shared" si="53"/>
        <v>4.8599999999999997E-2</v>
      </c>
      <c r="Z110" s="67">
        <f t="shared" si="58"/>
        <v>23.332599999999999</v>
      </c>
      <c r="AA110" s="67">
        <f t="shared" si="44"/>
        <v>23.283999999999999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45"/>
        <v>0197-13</v>
      </c>
      <c r="AE110" s="91" t="str">
        <f t="shared" si="46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110" s="88" t="str">
        <f t="shared" si="47"/>
        <v>"C:\Program Files (x86)\AstroGrep\AstroGrep.exe" /spath="%USERPROFILE%\AppData\Local\Temp\OnboardLogs" /stypes="app*4042*20161213*" /stext=" 23:.+((SYSTEM_STATE.+slice.+state.+changed )|(ment ac)|(multiple cpu faults)|(system.+state.+changed )|(\[timeout)|(PRM\|1\|D)|(kpr)|(kdp)|(\|lc)|(penalty))" /e /r /s</v>
      </c>
      <c r="AG110" s="1" t="str">
        <f t="shared" si="48"/>
        <v>EC</v>
      </c>
      <c r="AH110" s="92" t="str">
        <f t="shared" si="49"/>
        <v>"%USERPROFILE%\Documents\GitHub\eaglep3\Utilities\RefineRTDCRunTimes.py" --tripid 197-13 --locoid 4042 --swversion DE.1.0.8.0 --startMP 204:486 --initTime 2016-12-13T15:42:13 --startdatetime 2016-12-13T15:45:21 --delay 2 --endMP 204:233326 --enddatetime 2016-12-13T16:24:19 --enforcementcount 0 &gt;&gt;C:\Users\stu\Documents\GitHub\eaglep3-reporting\EC\2016-12-13-refined-times.txt</v>
      </c>
      <c r="AI11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{"issue":{"subject":"","project_id":79,"tracker_id":40,"status_id":1,"priority_id":2,"assigned_to_id":23,"start_date":"2016-12-13","description":"","custom_fields":[{"id":1,"name":"Subdivision","value":"EC"},{"id":4,"name":"Milepost","value":"23.3326"},{"id":17,"name":"Train ID","value":"197-13"},{"id":16,"name":"Locomotive ID","value":"4042"},{"id":130,"name":"Impact","value":""},{"id":150,"name":"Time of Event (Mountain Time)","value":"16:24:19"},{"id":151,"name":"Denver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569</v>
      </c>
      <c r="B111" s="7">
        <v>4041</v>
      </c>
      <c r="C111" s="22" t="s">
        <v>207</v>
      </c>
      <c r="D111" s="22" t="s">
        <v>314</v>
      </c>
      <c r="E111" s="13">
        <v>42717.689525462964</v>
      </c>
      <c r="F111" s="13">
        <v>42717.6953125</v>
      </c>
      <c r="G111" s="7">
        <v>1</v>
      </c>
      <c r="H111" s="22" t="s">
        <v>231</v>
      </c>
      <c r="I111" s="13">
        <v>42717.724976851852</v>
      </c>
      <c r="J111" s="7">
        <v>0</v>
      </c>
      <c r="K111" s="109" t="str">
        <f t="shared" si="36"/>
        <v>4041/4042</v>
      </c>
      <c r="L111" s="22" t="str">
        <f>VLOOKUP(A111,'Trips&amp;Operators'!$C$1:$G$99999,5,FALSE)</f>
        <v>CLARK KATHLEEN</v>
      </c>
      <c r="M111" s="6">
        <f t="shared" si="37"/>
        <v>2.9664351852261461E-2</v>
      </c>
      <c r="N111" s="7">
        <f t="shared" si="56"/>
        <v>42.716666667256504</v>
      </c>
      <c r="O111" s="7"/>
      <c r="P111" s="7"/>
      <c r="Q111" s="23"/>
      <c r="R111" s="23"/>
      <c r="S111" s="35">
        <f t="shared" si="59"/>
        <v>1</v>
      </c>
      <c r="T111" s="50" t="str">
        <f t="shared" si="39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15:32:55-700',mode:absolute,to:'2016-12-13 18:23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1" s="52" t="str">
        <f t="shared" si="41"/>
        <v>N</v>
      </c>
      <c r="X111" s="177">
        <f t="shared" si="57"/>
        <v>1</v>
      </c>
      <c r="Y111" s="67">
        <f t="shared" si="53"/>
        <v>23.297699999999999</v>
      </c>
      <c r="Z111" s="67">
        <f t="shared" si="58"/>
        <v>1.6500000000000001E-2</v>
      </c>
      <c r="AA111" s="67">
        <f t="shared" si="44"/>
        <v>23.281199999999998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45"/>
        <v>0198-13</v>
      </c>
      <c r="AE111" s="91" t="str">
        <f t="shared" si="46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111" s="88" t="str">
        <f t="shared" si="47"/>
        <v>"C:\Program Files (x86)\AstroGrep\AstroGrep.exe" /spath="%USERPROFILE%\AppData\Local\Temp\OnboardLogs" /stypes="app*4041*20161214*" /stext=" 00:.+((SYSTEM_STATE.+slice.+state.+changed )|(ment ac)|(multiple cpu faults)|(system.+state.+changed )|(\[timeout)|(PRM\|1\|D)|(kpr)|(kdp)|(\|lc)|(penalty))" /e /r /s</v>
      </c>
      <c r="AG111" s="1" t="str">
        <f t="shared" si="48"/>
        <v>EC</v>
      </c>
      <c r="AH111" s="92" t="str">
        <f t="shared" si="49"/>
        <v>"%USERPROFILE%\Documents\GitHub\eaglep3\Utilities\RefineRTDCRunTimes.py" --tripid 198-13 --locoid 4041 --swversion DE.1.0.8.0 --startMP 204:232977 --initTime 2016-12-13T16:32:55 --startdatetime 2016-12-13T16:41:15 --delay 1 --endMP 204:165 --enddatetime 2016-12-13T17:23:58 --enforcementcount 0 &gt;&gt;C:\Users\stu\Documents\GitHub\eaglep3-reporting\EC\2016-12-13-refined-times.txt</v>
      </c>
      <c r="AI11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{"issue":{"subject":"","project_id":79,"tracker_id":40,"status_id":1,"priority_id":2,"assigned_to_id":23,"start_date":"2016-12-13","description":"","custom_fields":[{"id":1,"name":"Subdivision","value":"EC"},{"id":4,"name":"Milepost","value":"0.0165"},{"id":17,"name":"Train ID","value":"198-13"},{"id":16,"name":"Locomotive ID","value":"4041"},{"id":130,"name":"Impact","value":""},{"id":150,"name":"Time of Event (Mountain Time)","value":"17:23:58"},{"id":151,"name":"Denver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562</v>
      </c>
      <c r="B112" s="7">
        <v>4011</v>
      </c>
      <c r="C112" s="22" t="s">
        <v>207</v>
      </c>
      <c r="D112" s="22" t="s">
        <v>696</v>
      </c>
      <c r="E112" s="13">
        <v>42717.658206018517</v>
      </c>
      <c r="F112" s="13">
        <v>42717.660891203705</v>
      </c>
      <c r="G112" s="7">
        <v>12</v>
      </c>
      <c r="H112" s="22" t="s">
        <v>367</v>
      </c>
      <c r="I112" s="13">
        <v>42717.695185185185</v>
      </c>
      <c r="J112" s="7">
        <v>0</v>
      </c>
      <c r="K112" s="109" t="str">
        <f t="shared" si="36"/>
        <v>4011/4012</v>
      </c>
      <c r="L112" s="22" t="str">
        <f>VLOOKUP(A112,'Trips&amp;Operators'!$C$1:$G$99999,5,FALSE)</f>
        <v>HAITHCOX MICHAEL</v>
      </c>
      <c r="M112" s="6">
        <f t="shared" si="37"/>
        <v>3.4293981480004732E-2</v>
      </c>
      <c r="N112" s="7">
        <f t="shared" si="56"/>
        <v>49.383333331206813</v>
      </c>
      <c r="O112" s="7"/>
      <c r="P112" s="7"/>
      <c r="Q112" s="23"/>
      <c r="R112" s="23" t="s">
        <v>962</v>
      </c>
      <c r="S112" s="35">
        <f t="shared" si="59"/>
        <v>1</v>
      </c>
      <c r="T112" s="50" t="str">
        <f t="shared" si="39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14:47:49-700',mode:absolute,to:'2016-12-13 17:41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52" t="str">
        <f t="shared" si="41"/>
        <v>N</v>
      </c>
      <c r="X112" s="177">
        <f t="shared" si="57"/>
        <v>1</v>
      </c>
      <c r="Y112" s="67">
        <f t="shared" si="53"/>
        <v>0.15329999999999999</v>
      </c>
      <c r="Z112" s="67">
        <f t="shared" si="58"/>
        <v>23.329699999999999</v>
      </c>
      <c r="AA112" s="67">
        <f t="shared" si="44"/>
        <v>23.176399999999997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45"/>
        <v>0199-13</v>
      </c>
      <c r="AE112" s="91" t="str">
        <f t="shared" si="46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112" s="88" t="str">
        <f t="shared" si="47"/>
        <v>"C:\Program Files (x86)\AstroGrep\AstroGrep.exe" /spath="%USERPROFILE%\AppData\Local\Temp\OnboardLogs" /stypes="app*4011*20161213*" /stext=" 23:.+((SYSTEM_STATE.+slice.+state.+changed )|(ment ac)|(multiple cpu faults)|(system.+state.+changed )|(\[timeout)|(PRM\|1\|D)|(kpr)|(kdp)|(\|lc)|(penalty))" /e /r /s</v>
      </c>
      <c r="AG112" s="1" t="str">
        <f t="shared" si="48"/>
        <v>EC</v>
      </c>
      <c r="AH112" s="92" t="str">
        <f t="shared" si="49"/>
        <v>"%USERPROFILE%\Documents\GitHub\eaglep3\Utilities\RefineRTDCRunTimes.py" --tripid 199-13 --locoid 4011 --swversion DE.1.0.8.0 --startMP 204:1533 --initTime 2016-12-13T15:47:49 --startdatetime 2016-12-13T15:51:41 --delay 12 --endMP 204:233297 --enddatetime 2016-12-13T16:41:04 --enforcementcount 0 &gt;&gt;C:\Users\stu\Documents\GitHub\eaglep3-reporting\EC\2016-12-13-refined-times.txt</v>
      </c>
      <c r="AI112" s="119" t="str">
        <f t="shared" si="50"/>
        <v>echo {"issue":{"subject":"Onboard in-route failure delayed departure","project_id":79,"tracker_id":40,"status_id":1,"priority_id":2,"assigned_to_id":23,"start_date":"2016-12-13","description":"","custom_fields":[{"id":1,"name":"Subdivision","value":"EC"},{"id":4,"name":"Milepost","value":"23.3297"},{"id":17,"name":"Train ID","value":"199-13"},{"id":16,"name":"Locomotive ID","value":"4011"},{"id":130,"name":"Impact","value":""},{"id":150,"name":"Time of Event (Mountain Time)","value":"16:41:04"},{"id":151,"name":"Denver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571</v>
      </c>
      <c r="B113" s="7">
        <v>4012</v>
      </c>
      <c r="C113" s="22" t="s">
        <v>207</v>
      </c>
      <c r="D113" s="22" t="s">
        <v>310</v>
      </c>
      <c r="E113" s="13">
        <v>42717.702175925922</v>
      </c>
      <c r="F113" s="13">
        <v>42717.705879629626</v>
      </c>
      <c r="G113" s="7">
        <v>1</v>
      </c>
      <c r="H113" s="22" t="s">
        <v>226</v>
      </c>
      <c r="I113" s="13">
        <v>42717.736805555556</v>
      </c>
      <c r="J113" s="7">
        <v>0</v>
      </c>
      <c r="K113" s="109" t="str">
        <f t="shared" si="36"/>
        <v>4011/4012</v>
      </c>
      <c r="L113" s="22" t="str">
        <f>VLOOKUP(A113,'Trips&amp;Operators'!$C$1:$G$99999,5,FALSE)</f>
        <v>HAITHCOX MICHAEL</v>
      </c>
      <c r="M113" s="6">
        <f t="shared" si="37"/>
        <v>3.0925925930205267E-2</v>
      </c>
      <c r="N113" s="7">
        <f t="shared" si="56"/>
        <v>44.533333339495584</v>
      </c>
      <c r="O113" s="7"/>
      <c r="P113" s="7"/>
      <c r="Q113" s="23"/>
      <c r="R113" s="23"/>
      <c r="S113" s="35">
        <f t="shared" si="59"/>
        <v>1</v>
      </c>
      <c r="T113" s="50" t="str">
        <f t="shared" si="39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15:51:08-700',mode:absolute,to:'2016-12-13 18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52" t="str">
        <f t="shared" si="41"/>
        <v>N</v>
      </c>
      <c r="X113" s="177">
        <f t="shared" si="57"/>
        <v>1</v>
      </c>
      <c r="Y113" s="67">
        <f t="shared" si="53"/>
        <v>23.299600000000002</v>
      </c>
      <c r="Z113" s="67">
        <f t="shared" si="58"/>
        <v>1.54E-2</v>
      </c>
      <c r="AA113" s="67">
        <f t="shared" si="44"/>
        <v>23.284200000000002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45"/>
        <v>0200-13</v>
      </c>
      <c r="AE113" s="91" t="str">
        <f t="shared" si="46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113" s="88" t="str">
        <f t="shared" si="47"/>
        <v>"C:\Program Files (x86)\AstroGrep\AstroGrep.exe" /spath="%USERPROFILE%\AppData\Local\Temp\OnboardLogs" /stypes="app*4012*20161214*" /stext=" 00:.+((SYSTEM_STATE.+slice.+state.+changed )|(ment ac)|(multiple cpu faults)|(system.+state.+changed )|(\[timeout)|(PRM\|1\|D)|(kpr)|(kdp)|(\|lc)|(penalty))" /e /r /s</v>
      </c>
      <c r="AG113" s="1" t="str">
        <f t="shared" si="48"/>
        <v>EC</v>
      </c>
      <c r="AH113" s="92" t="str">
        <f t="shared" si="49"/>
        <v>"%USERPROFILE%\Documents\GitHub\eaglep3\Utilities\RefineRTDCRunTimes.py" --tripid 200-13 --locoid 4012 --swversion DE.1.0.8.0 --startMP 204:232996 --initTime 2016-12-13T16:51:08 --startdatetime 2016-12-13T16:56:28 --delay 1 --endMP 204:154 --enddatetime 2016-12-13T17:41:00 --enforcementcount 0 &gt;&gt;C:\Users\stu\Documents\GitHub\eaglep3-reporting\EC\2016-12-13-refined-times.txt</v>
      </c>
      <c r="AI113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{"issue":{"subject":"","project_id":79,"tracker_id":40,"status_id":1,"priority_id":2,"assigned_to_id":23,"start_date":"2016-12-13","description":"","custom_fields":[{"id":1,"name":"Subdivision","value":"EC"},{"id":4,"name":"Milepost","value":"0.0154"},{"id":17,"name":"Train ID","value":"200-13"},{"id":16,"name":"Locomotive ID","value":"4012"},{"id":130,"name":"Impact","value":""},{"id":150,"name":"Time of Event (Mountain Time)","value":"17:41:00"},{"id":151,"name":"Denver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566</v>
      </c>
      <c r="B114" s="7">
        <v>4051</v>
      </c>
      <c r="C114" s="22" t="s">
        <v>207</v>
      </c>
      <c r="D114" s="22" t="s">
        <v>665</v>
      </c>
      <c r="E114" s="13">
        <v>42717.674710648149</v>
      </c>
      <c r="F114" s="13">
        <v>42717.677743055552</v>
      </c>
      <c r="G114" s="7">
        <v>1</v>
      </c>
      <c r="H114" s="22" t="s">
        <v>372</v>
      </c>
      <c r="I114" s="13">
        <v>42717.7034375</v>
      </c>
      <c r="J114" s="7">
        <v>0</v>
      </c>
      <c r="K114" s="109" t="str">
        <f t="shared" si="36"/>
        <v>4051/4052</v>
      </c>
      <c r="L114" s="22" t="str">
        <f>VLOOKUP(A114,'Trips&amp;Operators'!$C$1:$G$99999,5,FALSE)</f>
        <v>BARTLETT KIANDRA</v>
      </c>
      <c r="M114" s="6">
        <f t="shared" si="37"/>
        <v>2.5694444448163267E-2</v>
      </c>
      <c r="N114" s="7">
        <f t="shared" si="56"/>
        <v>37.000000005355105</v>
      </c>
      <c r="O114" s="7"/>
      <c r="P114" s="7"/>
      <c r="Q114" s="23"/>
      <c r="R114" s="23"/>
      <c r="S114" s="35">
        <f t="shared" si="59"/>
        <v>1</v>
      </c>
      <c r="T114" s="50" t="str">
        <f t="shared" si="39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15:11:35-700',mode:absolute,to:'2016-12-13 17:52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4" s="52" t="str">
        <f t="shared" si="41"/>
        <v>N</v>
      </c>
      <c r="X114" s="177">
        <f t="shared" si="57"/>
        <v>1</v>
      </c>
      <c r="Y114" s="67">
        <f t="shared" si="53"/>
        <v>4.7699999999999999E-2</v>
      </c>
      <c r="Z114" s="67">
        <f t="shared" si="58"/>
        <v>23.3309</v>
      </c>
      <c r="AA114" s="67">
        <f t="shared" si="44"/>
        <v>23.283200000000001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45"/>
        <v>0201-13</v>
      </c>
      <c r="AE114" s="91" t="str">
        <f t="shared" si="46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114" s="88" t="str">
        <f t="shared" si="47"/>
        <v>"C:\Program Files (x86)\AstroGrep\AstroGrep.exe" /spath="%USERPROFILE%\AppData\Local\Temp\OnboardLogs" /stypes="app*4051*20161213*" /stext=" 23:.+((SYSTEM_STATE.+slice.+state.+changed )|(ment ac)|(multiple cpu faults)|(system.+state.+changed )|(\[timeout)|(PRM\|1\|D)|(kpr)|(kdp)|(\|lc)|(penalty))" /e /r /s</v>
      </c>
      <c r="AG114" s="1" t="str">
        <f t="shared" si="48"/>
        <v>EC</v>
      </c>
      <c r="AH114" s="92" t="str">
        <f t="shared" si="49"/>
        <v>"%USERPROFILE%\Documents\GitHub\eaglep3\Utilities\RefineRTDCRunTimes.py" --tripid 201-13 --locoid 4051 --swversion DE.1.0.8.0 --startMP 204:477 --initTime 2016-12-13T16:11:35 --startdatetime 2016-12-13T16:15:57 --delay 1 --endMP 204:233309 --enddatetime 2016-12-13T16:52:57 --enforcementcount 0 &gt;&gt;C:\Users\stu\Documents\GitHub\eaglep3-reporting\EC\2016-12-13-refined-times.txt</v>
      </c>
      <c r="AI114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{"issue":{"subject":"","project_id":79,"tracker_id":40,"status_id":1,"priority_id":2,"assigned_to_id":23,"start_date":"2016-12-13","description":"","custom_fields":[{"id":1,"name":"Subdivision","value":"EC"},{"id":4,"name":"Milepost","value":"23.3309"},{"id":17,"name":"Train ID","value":"201-13"},{"id":16,"name":"Locomotive ID","value":"4051"},{"id":130,"name":"Impact","value":""},{"id":150,"name":"Time of Event (Mountain Time)","value":"16:52:57"},{"id":151,"name":"Denver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572</v>
      </c>
      <c r="B115" s="7">
        <v>4052</v>
      </c>
      <c r="C115" s="22" t="s">
        <v>207</v>
      </c>
      <c r="D115" s="22" t="s">
        <v>306</v>
      </c>
      <c r="E115" s="13">
        <v>42717.705578703702</v>
      </c>
      <c r="F115" s="13">
        <v>42717.716469907406</v>
      </c>
      <c r="G115" s="7">
        <v>0</v>
      </c>
      <c r="H115" s="22" t="s">
        <v>231</v>
      </c>
      <c r="I115" s="13">
        <v>42717.74423611111</v>
      </c>
      <c r="J115" s="7">
        <v>0</v>
      </c>
      <c r="K115" s="109" t="str">
        <f t="shared" si="36"/>
        <v>4051/4052</v>
      </c>
      <c r="L115" s="22" t="str">
        <f>VLOOKUP(A115,'Trips&amp;Operators'!$C$1:$G$99999,5,FALSE)</f>
        <v>BARTLETT KIANDRA</v>
      </c>
      <c r="M115" s="6">
        <f t="shared" si="37"/>
        <v>2.7766203704231884E-2</v>
      </c>
      <c r="N115" s="7">
        <f t="shared" si="56"/>
        <v>39.983333334093913</v>
      </c>
      <c r="O115" s="7"/>
      <c r="P115" s="7"/>
      <c r="Q115" s="23"/>
      <c r="R115" s="23"/>
      <c r="S115" s="35">
        <f t="shared" si="59"/>
        <v>1</v>
      </c>
      <c r="T115" s="50" t="str">
        <f t="shared" si="39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15:56:02-700',mode:absolute,to:'2016-12-13 18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15" s="52" t="str">
        <f t="shared" si="41"/>
        <v>N</v>
      </c>
      <c r="X115" s="177">
        <f t="shared" si="57"/>
        <v>1</v>
      </c>
      <c r="Y115" s="67">
        <f t="shared" si="53"/>
        <v>23.297999999999998</v>
      </c>
      <c r="Z115" s="67">
        <f t="shared" si="58"/>
        <v>1.6500000000000001E-2</v>
      </c>
      <c r="AA115" s="67">
        <f t="shared" si="44"/>
        <v>23.281499999999998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45"/>
        <v>0202-13</v>
      </c>
      <c r="AE115" s="91" t="str">
        <f t="shared" si="46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115" s="88" t="str">
        <f t="shared" si="47"/>
        <v>"C:\Program Files (x86)\AstroGrep\AstroGrep.exe" /spath="%USERPROFILE%\AppData\Local\Temp\OnboardLogs" /stypes="app*4052*20161214*" /stext=" 00:.+((SYSTEM_STATE.+slice.+state.+changed )|(ment ac)|(multiple cpu faults)|(system.+state.+changed )|(\[timeout)|(PRM\|1\|D)|(kpr)|(kdp)|(\|lc)|(penalty))" /e /r /s</v>
      </c>
      <c r="AG115" s="1" t="str">
        <f t="shared" si="48"/>
        <v>EC</v>
      </c>
      <c r="AH115" s="92" t="str">
        <f t="shared" si="49"/>
        <v>"%USERPROFILE%\Documents\GitHub\eaglep3\Utilities\RefineRTDCRunTimes.py" --tripid 202-13 --locoid 4052 --swversion DE.1.0.8.0 --startMP 204:232980 --initTime 2016-12-13T16:56:02 --startdatetime 2016-12-13T17:11:43 --delay 0 --endMP 204:165 --enddatetime 2016-12-13T17:51:42 --enforcementcount 0 &gt;&gt;C:\Users\stu\Documents\GitHub\eaglep3-reporting\EC\2016-12-13-refined-times.txt</v>
      </c>
      <c r="AI115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{"issue":{"subject":"","project_id":79,"tracker_id":40,"status_id":1,"priority_id":2,"assigned_to_id":23,"start_date":"2016-12-13","description":"","custom_fields":[{"id":1,"name":"Subdivision","value":"EC"},{"id":4,"name":"Milepost","value":"0.0165"},{"id":17,"name":"Train ID","value":"202-13"},{"id":16,"name":"Locomotive ID","value":"4052"},{"id":130,"name":"Impact","value":""},{"id":150,"name":"Time of Event (Mountain Time)","value":"17:51:42"},{"id":151,"name":"Denver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439</v>
      </c>
      <c r="B116" s="7">
        <v>4022</v>
      </c>
      <c r="C116" s="22" t="s">
        <v>207</v>
      </c>
      <c r="D116" s="22" t="s">
        <v>697</v>
      </c>
      <c r="E116" s="13">
        <v>42717.686111111114</v>
      </c>
      <c r="F116" s="13">
        <v>42717.688136574077</v>
      </c>
      <c r="G116" s="7">
        <v>1</v>
      </c>
      <c r="H116" s="22" t="s">
        <v>698</v>
      </c>
      <c r="I116" s="13">
        <v>42717.710439814815</v>
      </c>
      <c r="J116" s="7">
        <v>3</v>
      </c>
      <c r="K116" s="109" t="str">
        <f t="shared" si="36"/>
        <v>4021/4022</v>
      </c>
      <c r="L116" s="22" t="str">
        <f>VLOOKUP(A116,'Trips&amp;Operators'!$C$1:$G$99999,5,FALSE)</f>
        <v>HILLS DUSTIN</v>
      </c>
      <c r="M116" s="6">
        <f t="shared" si="37"/>
        <v>2.230324073752854E-2</v>
      </c>
      <c r="N116" s="7"/>
      <c r="O116" s="7"/>
      <c r="P116" s="7">
        <f>24*60*SUM($M116:$M116)</f>
        <v>32.116666662041098</v>
      </c>
      <c r="Q116" s="23"/>
      <c r="R116" s="23" t="s">
        <v>825</v>
      </c>
      <c r="S116" s="35">
        <f t="shared" si="59"/>
        <v>1</v>
      </c>
      <c r="T116" s="50" t="str">
        <f t="shared" si="39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15:28:00-700',mode:absolute,to:'2016-12-13 18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6" s="52" t="str">
        <f t="shared" si="41"/>
        <v>Y</v>
      </c>
      <c r="X116" s="177">
        <f t="shared" si="57"/>
        <v>1</v>
      </c>
      <c r="Y116" s="67">
        <f t="shared" si="53"/>
        <v>4.2900000000000001E-2</v>
      </c>
      <c r="Z116" s="67">
        <f t="shared" si="58"/>
        <v>19.345199999999998</v>
      </c>
      <c r="AA116" s="67">
        <f t="shared" si="44"/>
        <v>19.302299999999999</v>
      </c>
      <c r="AB116" s="64" t="str">
        <f>VLOOKUP(A116,Enforcements!$C$7:$K$19,8,0)</f>
        <v>Bulletin (2)</v>
      </c>
      <c r="AC116" s="60" t="str">
        <f>VLOOKUP(A116,Enforcements!$C$7:$E$19,3,0)</f>
        <v>GRADE CROSSING</v>
      </c>
      <c r="AD116" s="61" t="str">
        <f t="shared" si="45"/>
        <v>0203-13</v>
      </c>
      <c r="AE116" s="91" t="str">
        <f t="shared" si="46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16" s="88" t="str">
        <f t="shared" si="47"/>
        <v>"C:\Program Files (x86)\AstroGrep\AstroGrep.exe" /spath="%USERPROFILE%\AppData\Local\Temp\OnboardLogs" /stypes="app*4022*20161214*" /stext=" 00:.+((SYSTEM_STATE.+slice.+state.+changed )|(ment ac)|(multiple cpu faults)|(system.+state.+changed )|(\[timeout)|(PRM\|1\|D)|(kpr)|(kdp)|(\|lc)|(penalty))" /e /r /s</v>
      </c>
      <c r="AG116" s="1" t="str">
        <f t="shared" si="48"/>
        <v>EC</v>
      </c>
      <c r="AH116" s="92" t="str">
        <f t="shared" si="49"/>
        <v>"%USERPROFILE%\Documents\GitHub\eaglep3\Utilities\RefineRTDCRunTimes.py" --tripid 203-13 --locoid 4022 --swversion DE.1.0.8.0 --startMP 204:429 --initTime 2016-12-13T16:28:00 --startdatetime 2016-12-13T16:30:55 --delay 1 --endMP 204:193452 --enddatetime 2016-12-13T17:03:02 --enforcementcount 3 &gt;&gt;C:\Users\stu\Documents\GitHub\eaglep3-reporting\EC\2016-12-13-refined-times.txt</v>
      </c>
      <c r="AI116" s="119" t="str">
        <f t="shared" si="50"/>
        <v>echo {"issue":{"subject":"Premature downgrade at Pena 2N","project_id":79,"tracker_id":40,"status_id":1,"priority_id":2,"assigned_to_id":23,"start_date":"2016-12-13","description":"At 17:02:36, Pena 2N dropped from PROCEED CAB to STOP. Do logs tell us anything interesting?","custom_fields":[{"id":1,"name":"Subdivision","value":"EC"},{"id":4,"name":"Milepost","value":"19.3452"},{"id":17,"name":"Train ID","value":"203-13"},{"id":16,"name":"Locomotive ID","value":"4022"},{"id":130,"name":"Impact","value":"Enforcement"},{"id":150,"name":"Time of Event (Mountain Time)","value":"17:03:02"},{"id":151,"name":"Denver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6" s="53" t="s">
        <v>826</v>
      </c>
      <c r="AK116" s="53" t="s">
        <v>125</v>
      </c>
      <c r="AL116" s="53" t="s">
        <v>130</v>
      </c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576</v>
      </c>
      <c r="B117" s="7">
        <v>4021</v>
      </c>
      <c r="C117" s="22" t="s">
        <v>207</v>
      </c>
      <c r="D117" s="22" t="s">
        <v>699</v>
      </c>
      <c r="E117" s="13">
        <v>42717.717951388891</v>
      </c>
      <c r="F117" s="13">
        <v>42717.726759259262</v>
      </c>
      <c r="G117" s="7">
        <v>1</v>
      </c>
      <c r="H117" s="22" t="s">
        <v>242</v>
      </c>
      <c r="I117" s="13">
        <v>42717.755393518521</v>
      </c>
      <c r="J117" s="7">
        <v>0</v>
      </c>
      <c r="K117" s="109" t="str">
        <f t="shared" si="36"/>
        <v>4021/4022</v>
      </c>
      <c r="L117" s="22" t="str">
        <f>VLOOKUP(A117,'Trips&amp;Operators'!$C$1:$G$99999,5,FALSE)</f>
        <v>HILLS DUSTIN</v>
      </c>
      <c r="M117" s="6">
        <f t="shared" si="37"/>
        <v>2.8634259258979E-2</v>
      </c>
      <c r="N117" s="7">
        <f t="shared" ref="N117:N137" si="60">24*60*SUM($M117:$M117)</f>
        <v>41.23333333292976</v>
      </c>
      <c r="O117" s="7"/>
      <c r="P117" s="7"/>
      <c r="Q117" s="23"/>
      <c r="R117" s="23"/>
      <c r="S117" s="35">
        <f t="shared" si="59"/>
        <v>1</v>
      </c>
      <c r="T117" s="50" t="str">
        <f t="shared" si="39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16:13:51-700',mode:absolute,to:'2016-12-13 19:07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7" s="52" t="str">
        <f t="shared" si="41"/>
        <v>N</v>
      </c>
      <c r="X117" s="177">
        <f t="shared" si="57"/>
        <v>1</v>
      </c>
      <c r="Y117" s="67">
        <f t="shared" si="53"/>
        <v>23.302099999999999</v>
      </c>
      <c r="Z117" s="67">
        <f t="shared" si="58"/>
        <v>1.4500000000000001E-2</v>
      </c>
      <c r="AA117" s="67">
        <f t="shared" si="44"/>
        <v>23.287599999999998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45"/>
        <v>0204-13</v>
      </c>
      <c r="AE117" s="91" t="str">
        <f t="shared" si="46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117" s="88" t="str">
        <f t="shared" si="47"/>
        <v>"C:\Program Files (x86)\AstroGrep\AstroGrep.exe" /spath="%USERPROFILE%\AppData\Local\Temp\OnboardLogs" /stypes="app*4021*20161214*" /stext=" 01:.+((SYSTEM_STATE.+slice.+state.+changed )|(ment ac)|(multiple cpu faults)|(system.+state.+changed )|(\[timeout)|(PRM\|1\|D)|(kpr)|(kdp)|(\|lc)|(penalty))" /e /r /s</v>
      </c>
      <c r="AG117" s="1" t="str">
        <f t="shared" si="48"/>
        <v>EC</v>
      </c>
      <c r="AH117" s="92" t="str">
        <f t="shared" si="49"/>
        <v>"%USERPROFILE%\Documents\GitHub\eaglep3\Utilities\RefineRTDCRunTimes.py" --tripid 204-13 --locoid 4021 --swversion DE.1.0.8.0 --startMP 204:233021 --initTime 2016-12-13T17:13:51 --startdatetime 2016-12-13T17:26:32 --delay 1 --endMP 204:145 --enddatetime 2016-12-13T18:07:46 --enforcementcount 0 &gt;&gt;C:\Users\stu\Documents\GitHub\eaglep3-reporting\EC\2016-12-13-refined-times.txt</v>
      </c>
      <c r="AI117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{"issue":{"subject":"","project_id":79,"tracker_id":40,"status_id":1,"priority_id":2,"assigned_to_id":23,"start_date":"2016-12-13","description":"","custom_fields":[{"id":1,"name":"Subdivision","value":"EC"},{"id":4,"name":"Milepost","value":"0.0145"},{"id":17,"name":"Train ID","value":"204-13"},{"id":16,"name":"Locomotive ID","value":"4021"},{"id":130,"name":"Impact","value":""},{"id":150,"name":"Time of Event (Mountain Time)","value":"18:07:46"},{"id":151,"name":"Denver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570</v>
      </c>
      <c r="B118" s="7">
        <v>4020</v>
      </c>
      <c r="C118" s="22" t="s">
        <v>207</v>
      </c>
      <c r="D118" s="22" t="s">
        <v>371</v>
      </c>
      <c r="E118" s="13">
        <v>42717.696342592593</v>
      </c>
      <c r="F118" s="13">
        <v>42717.737291666665</v>
      </c>
      <c r="G118" s="7">
        <v>1</v>
      </c>
      <c r="H118" s="22" t="s">
        <v>369</v>
      </c>
      <c r="I118" s="13">
        <v>42717.766909722224</v>
      </c>
      <c r="J118" s="7">
        <v>0</v>
      </c>
      <c r="K118" s="109" t="str">
        <f t="shared" si="36"/>
        <v>4019/4020</v>
      </c>
      <c r="L118" s="22" t="str">
        <f>VLOOKUP(A118,'Trips&amp;Operators'!$C$1:$G$99999,5,FALSE)</f>
        <v>HELVIE ADAM</v>
      </c>
      <c r="M118" s="6">
        <f t="shared" si="37"/>
        <v>2.9618055559694767E-2</v>
      </c>
      <c r="N118" s="7">
        <f t="shared" si="60"/>
        <v>42.650000005960464</v>
      </c>
      <c r="O118" s="7"/>
      <c r="P118" s="7"/>
      <c r="Q118" s="23"/>
      <c r="R118" s="23"/>
      <c r="S118" s="35">
        <f t="shared" si="59"/>
        <v>1</v>
      </c>
      <c r="T118" s="50" t="str">
        <f t="shared" si="39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15:42:44-700',mode:absolute,to:'2016-12-13 19:24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8" s="52" t="str">
        <f t="shared" si="41"/>
        <v>N</v>
      </c>
      <c r="X118" s="177">
        <f t="shared" si="57"/>
        <v>1</v>
      </c>
      <c r="Y118" s="67">
        <f t="shared" ref="Y118:Y149" si="61">RIGHT(D118,LEN(D118)-4)/10000</f>
        <v>4.6600000000000003E-2</v>
      </c>
      <c r="Z118" s="67">
        <f t="shared" si="58"/>
        <v>23.330100000000002</v>
      </c>
      <c r="AA118" s="67">
        <f t="shared" si="44"/>
        <v>23.2835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45"/>
        <v>0205-13</v>
      </c>
      <c r="AE118" s="91" t="str">
        <f t="shared" si="46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118" s="88" t="str">
        <f t="shared" si="47"/>
        <v>"C:\Program Files (x86)\AstroGrep\AstroGrep.exe" /spath="%USERPROFILE%\AppData\Local\Temp\OnboardLogs" /stypes="app*4020*20161214*" /stext=" 01:.+((SYSTEM_STATE.+slice.+state.+changed )|(ment ac)|(multiple cpu faults)|(system.+state.+changed )|(\[timeout)|(PRM\|1\|D)|(kpr)|(kdp)|(\|lc)|(penalty))" /e /r /s</v>
      </c>
      <c r="AG118" s="1" t="str">
        <f t="shared" si="48"/>
        <v>EC</v>
      </c>
      <c r="AH118" s="92" t="str">
        <f t="shared" si="49"/>
        <v>"%USERPROFILE%\Documents\GitHub\eaglep3\Utilities\RefineRTDCRunTimes.py" --tripid 205-13 --locoid 4020 --swversion DE.1.0.8.0 --startMP 204:466 --initTime 2016-12-13T16:42:44 --startdatetime 2016-12-13T17:41:42 --delay 1 --endMP 204:233301 --enddatetime 2016-12-13T18:24:21 --enforcementcount 0 &gt;&gt;C:\Users\stu\Documents\GitHub\eaglep3-reporting\EC\2016-12-13-refined-times.txt</v>
      </c>
      <c r="AI118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{"issue":{"subject":"","project_id":79,"tracker_id":40,"status_id":1,"priority_id":2,"assigned_to_id":23,"start_date":"2016-12-13","description":"","custom_fields":[{"id":1,"name":"Subdivision","value":"EC"},{"id":4,"name":"Milepost","value":"23.3301"},{"id":17,"name":"Train ID","value":"205-13"},{"id":16,"name":"Locomotive ID","value":"4020"},{"id":130,"name":"Impact","value":""},{"id":150,"name":"Time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579</v>
      </c>
      <c r="B119" s="7">
        <v>4019</v>
      </c>
      <c r="C119" s="22" t="s">
        <v>207</v>
      </c>
      <c r="D119" s="22" t="s">
        <v>317</v>
      </c>
      <c r="E119" s="13">
        <v>42717.735613425924</v>
      </c>
      <c r="F119" s="13">
        <v>42717.737291666665</v>
      </c>
      <c r="G119" s="7">
        <v>1</v>
      </c>
      <c r="H119" s="22" t="s">
        <v>289</v>
      </c>
      <c r="I119" s="13">
        <v>42717.766909722224</v>
      </c>
      <c r="J119" s="7">
        <v>0</v>
      </c>
      <c r="K119" s="109" t="str">
        <f t="shared" si="36"/>
        <v>4019/4020</v>
      </c>
      <c r="L119" s="22" t="str">
        <f>VLOOKUP(A119,'Trips&amp;Operators'!$C$1:$G$99999,5,FALSE)</f>
        <v>HELVIE ADAM</v>
      </c>
      <c r="M119" s="6">
        <f t="shared" si="37"/>
        <v>2.9618055559694767E-2</v>
      </c>
      <c r="N119" s="7">
        <f t="shared" si="60"/>
        <v>42.650000005960464</v>
      </c>
      <c r="O119" s="7"/>
      <c r="P119" s="7"/>
      <c r="Q119" s="23"/>
      <c r="R119" s="23"/>
      <c r="S119" s="35">
        <f t="shared" si="59"/>
        <v>1</v>
      </c>
      <c r="T119" s="50" t="str">
        <f t="shared" si="39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16:39:17-700',mode:absolute,to:'2016-12-13 19:24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9" s="52" t="str">
        <f t="shared" si="41"/>
        <v>N</v>
      </c>
      <c r="X119" s="177">
        <f t="shared" si="57"/>
        <v>1</v>
      </c>
      <c r="Y119" s="67">
        <f t="shared" si="61"/>
        <v>23.298999999999999</v>
      </c>
      <c r="Z119" s="67">
        <f t="shared" si="58"/>
        <v>1.47E-2</v>
      </c>
      <c r="AA119" s="67">
        <f t="shared" si="44"/>
        <v>23.284299999999998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45"/>
        <v>0206-13</v>
      </c>
      <c r="AE119" s="91" t="str">
        <f t="shared" si="46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119" s="88" t="str">
        <f t="shared" si="47"/>
        <v>"C:\Program Files (x86)\AstroGrep\AstroGrep.exe" /spath="%USERPROFILE%\AppData\Local\Temp\OnboardLogs" /stypes="app*4019*20161214*" /stext=" 01:.+((SYSTEM_STATE.+slice.+state.+changed )|(ment ac)|(multiple cpu faults)|(system.+state.+changed )|(\[timeout)|(PRM\|1\|D)|(kpr)|(kdp)|(\|lc)|(penalty))" /e /r /s</v>
      </c>
      <c r="AG119" s="1" t="str">
        <f t="shared" si="48"/>
        <v>EC</v>
      </c>
      <c r="AH119" s="92" t="str">
        <f t="shared" si="49"/>
        <v>"%USERPROFILE%\Documents\GitHub\eaglep3\Utilities\RefineRTDCRunTimes.py" --tripid 206-13 --locoid 4019 --swversion DE.1.0.8.0 --startMP 204:232990 --initTime 2016-12-13T17:39:17 --startdatetime 2016-12-13T17:41:42 --delay 1 --endMP 204:147 --enddatetime 2016-12-13T18:24:21 --enforcementcount 0 &gt;&gt;C:\Users\stu\Documents\GitHub\eaglep3-reporting\EC\2016-12-13-refined-times.txt</v>
      </c>
      <c r="AI119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{"issue":{"subject":"","project_id":79,"tracker_id":40,"status_id":1,"priority_id":2,"assigned_to_id":23,"start_date":"2016-12-13","description":"","custom_fields":[{"id":1,"name":"Subdivision","value":"EC"},{"id":4,"name":"Milepost","value":"0.0147"},{"id":17,"name":"Train ID","value":"206-13"},{"id":16,"name":"Locomotive ID","value":"4019"},{"id":130,"name":"Impact","value":""},{"id":150,"name":"Time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573</v>
      </c>
      <c r="B120" s="7">
        <v>4003</v>
      </c>
      <c r="C120" s="22" t="s">
        <v>207</v>
      </c>
      <c r="D120" s="22" t="s">
        <v>368</v>
      </c>
      <c r="E120" s="13">
        <v>42717.705682870372</v>
      </c>
      <c r="F120" s="13">
        <v>42717.708483796298</v>
      </c>
      <c r="G120" s="7">
        <v>1</v>
      </c>
      <c r="H120" s="22" t="s">
        <v>316</v>
      </c>
      <c r="I120" s="13">
        <v>42717.734664351854</v>
      </c>
      <c r="J120" s="7">
        <v>0</v>
      </c>
      <c r="K120" s="109" t="str">
        <f t="shared" si="36"/>
        <v>4003/4004</v>
      </c>
      <c r="L120" s="22" t="str">
        <f>VLOOKUP(A120,'Trips&amp;Operators'!$C$1:$G$99999,5,FALSE)</f>
        <v>CRAYTON QUNTRELL</v>
      </c>
      <c r="M120" s="6">
        <f t="shared" si="37"/>
        <v>2.6180555556493346E-2</v>
      </c>
      <c r="N120" s="7">
        <f t="shared" si="60"/>
        <v>37.700000001350418</v>
      </c>
      <c r="O120" s="7"/>
      <c r="P120" s="7"/>
      <c r="Q120" s="23"/>
      <c r="R120" s="23"/>
      <c r="S120" s="35">
        <f t="shared" si="59"/>
        <v>1</v>
      </c>
      <c r="T120" s="50" t="str">
        <f t="shared" si="39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15:56:11-700',mode:absolute,to:'2016-12-13 18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0" s="52" t="str">
        <f t="shared" si="41"/>
        <v>N</v>
      </c>
      <c r="X120" s="177">
        <f t="shared" si="57"/>
        <v>1</v>
      </c>
      <c r="Y120" s="67">
        <f t="shared" si="61"/>
        <v>4.7500000000000001E-2</v>
      </c>
      <c r="Z120" s="67">
        <f t="shared" si="58"/>
        <v>23.329499999999999</v>
      </c>
      <c r="AA120" s="67">
        <f t="shared" si="44"/>
        <v>23.282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45"/>
        <v>0207-13</v>
      </c>
      <c r="AE120" s="91" t="str">
        <f t="shared" si="46"/>
        <v>aws s3 cp s3://rtdc.mdm.uploadarchive.raw/RTDC4003/ "%USERPROFILE%\AppData\Local\Temp\OnboardLogs"\RTDC4003\2016-12-13 --exclude "*" --recursive --include "*20161213*" &amp; "%USERPROFILE%\Documents\GitHub\mrs-test-scripts\Headless Mode &amp; Sideloading\WalkAndUnGZ.bat" "%USERPROFILE%\AppData\Local\Temp\OnboardLogs"\RTDC4003\2016-12-13 &amp; aws s3 cp s3://rtdc.mdm.uploadarchive.raw/RTDC4003/ "%USERPROFILE%\AppData\Local\Temp\OnboardLogs"\RTDC4003\2016-12-14 --exclude "*" --recursive --include "*20161214*" &amp; "%USERPROFILE%\Documents\GitHub\mrs-test-scripts\Headless Mode &amp; Sideloading\WalkAndUnGZ.bat" "%USERPROFILE%\AppData\Local\Temp\OnboardLogs"\RTDC4003\2016-12-14</v>
      </c>
      <c r="AF120" s="88" t="str">
        <f t="shared" si="47"/>
        <v>"C:\Program Files (x86)\AstroGrep\AstroGrep.exe" /spath="%USERPROFILE%\AppData\Local\Temp\OnboardLogs" /stypes="app*4003*20161214*" /stext=" 00:.+((SYSTEM_STATE.+slice.+state.+changed )|(ment ac)|(multiple cpu faults)|(system.+state.+changed )|(\[timeout)|(PRM\|1\|D)|(kpr)|(kdp)|(\|lc)|(penalty))" /e /r /s</v>
      </c>
      <c r="AG120" s="1" t="str">
        <f t="shared" si="48"/>
        <v>EC</v>
      </c>
      <c r="AH120" s="92" t="str">
        <f t="shared" si="49"/>
        <v>"%USERPROFILE%\Documents\GitHub\eaglep3\Utilities\RefineRTDCRunTimes.py" --tripid 207-13 --locoid 4003 --swversion DE.1.0.8.0 --startMP 204:475 --initTime 2016-12-13T16:56:11 --startdatetime 2016-12-13T17:00:13 --delay 1 --endMP 204:233295 --enddatetime 2016-12-13T17:37:55 --enforcementcount 0 &gt;&gt;C:\Users\stu\Documents\GitHub\eaglep3-reporting\EC\2016-12-13-refined-times.txt</v>
      </c>
      <c r="AI12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{"issue":{"subject":"","project_id":79,"tracker_id":40,"status_id":1,"priority_id":2,"assigned_to_id":23,"start_date":"2016-12-13","description":"","custom_fields":[{"id":1,"name":"Subdivision","value":"EC"},{"id":4,"name":"Milepost","value":"23.3295"},{"id":17,"name":"Train ID","value":"207-13"},{"id":16,"name":"Locomotive ID","value":"4003"},{"id":130,"name":"Impact","value":""},{"id":150,"name":"Time of Event (Mountain Time)","value":"17:37:55"},{"id":151,"name":"Denver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582</v>
      </c>
      <c r="B121" s="7">
        <v>4004</v>
      </c>
      <c r="C121" s="22" t="s">
        <v>207</v>
      </c>
      <c r="D121" s="22" t="s">
        <v>280</v>
      </c>
      <c r="E121" s="13">
        <v>42717.738530092596</v>
      </c>
      <c r="F121" s="13">
        <v>42717.747662037036</v>
      </c>
      <c r="G121" s="7">
        <v>1</v>
      </c>
      <c r="H121" s="22" t="s">
        <v>700</v>
      </c>
      <c r="I121" s="13">
        <v>42717.778877314813</v>
      </c>
      <c r="J121" s="7">
        <v>0</v>
      </c>
      <c r="K121" s="109" t="str">
        <f t="shared" si="36"/>
        <v>4003/4004</v>
      </c>
      <c r="L121" s="22" t="str">
        <f>VLOOKUP(A121,'Trips&amp;Operators'!$C$1:$G$99999,5,FALSE)</f>
        <v>CRAYTON QUNTRELL</v>
      </c>
      <c r="M121" s="6">
        <f t="shared" si="37"/>
        <v>3.1215277776937E-2</v>
      </c>
      <c r="N121" s="7">
        <f t="shared" si="60"/>
        <v>44.949999998789281</v>
      </c>
      <c r="O121" s="7"/>
      <c r="P121" s="7"/>
      <c r="Q121" s="23"/>
      <c r="R121" s="23"/>
      <c r="S121" s="35">
        <f t="shared" si="59"/>
        <v>1</v>
      </c>
      <c r="T121" s="50" t="str">
        <f t="shared" si="39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16:43:29-700',mode:absolute,to:'2016-12-13 19:41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1" s="52" t="str">
        <f t="shared" si="41"/>
        <v>N</v>
      </c>
      <c r="X121" s="177">
        <f t="shared" si="57"/>
        <v>1</v>
      </c>
      <c r="Y121" s="67">
        <f t="shared" si="61"/>
        <v>23.299399999999999</v>
      </c>
      <c r="Z121" s="67">
        <f t="shared" si="58"/>
        <v>1.5100000000000001E-2</v>
      </c>
      <c r="AA121" s="67">
        <f t="shared" si="44"/>
        <v>23.284299999999998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45"/>
        <v>0208-13</v>
      </c>
      <c r="AE121" s="91" t="str">
        <f t="shared" si="46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121" s="88" t="str">
        <f t="shared" si="47"/>
        <v>"C:\Program Files (x86)\AstroGrep\AstroGrep.exe" /spath="%USERPROFILE%\AppData\Local\Temp\OnboardLogs" /stypes="app*4004*20161214*" /stext=" 01:.+((SYSTEM_STATE.+slice.+state.+changed )|(ment ac)|(multiple cpu faults)|(system.+state.+changed )|(\[timeout)|(PRM\|1\|D)|(kpr)|(kdp)|(\|lc)|(penalty))" /e /r /s</v>
      </c>
      <c r="AG121" s="1" t="str">
        <f t="shared" si="48"/>
        <v>EC</v>
      </c>
      <c r="AH121" s="92" t="str">
        <f t="shared" si="49"/>
        <v>"%USERPROFILE%\Documents\GitHub\eaglep3\Utilities\RefineRTDCRunTimes.py" --tripid 208-13 --locoid 4004 --swversion DE.1.0.8.0 --startMP 204:232994 --initTime 2016-12-13T17:43:29 --startdatetime 2016-12-13T17:56:38 --delay 1 --endMP 204:151 --enddatetime 2016-12-13T18:41:35 --enforcementcount 0 &gt;&gt;C:\Users\stu\Documents\GitHub\eaglep3-reporting\EC\2016-12-13-refined-times.txt</v>
      </c>
      <c r="AI12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{"issue":{"subject":"","project_id":79,"tracker_id":40,"status_id":1,"priority_id":2,"assigned_to_id":23,"start_date":"2016-12-13","description":"","custom_fields":[{"id":1,"name":"Subdivision","value":"EC"},{"id":4,"name":"Milepost","value":"0.0151"},{"id":17,"name":"Train ID","value":"208-13"},{"id":16,"name":"Locomotive ID","value":"4004"},{"id":130,"name":"Impact","value":""},{"id":150,"name":"Time of Event (Mountain Time)","value":"18:41:35"},{"id":151,"name":"Denver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577</v>
      </c>
      <c r="B122" s="7">
        <v>4016</v>
      </c>
      <c r="C122" s="22" t="s">
        <v>207</v>
      </c>
      <c r="D122" s="22" t="s">
        <v>320</v>
      </c>
      <c r="E122" s="13">
        <v>42717.718773148146</v>
      </c>
      <c r="F122" s="13">
        <v>42717.720659722225</v>
      </c>
      <c r="G122" s="7">
        <v>1</v>
      </c>
      <c r="H122" s="22" t="s">
        <v>701</v>
      </c>
      <c r="I122" s="13">
        <v>42717.74759259259</v>
      </c>
      <c r="J122" s="7">
        <v>0</v>
      </c>
      <c r="K122" s="109" t="str">
        <f t="shared" si="36"/>
        <v>4015/4016</v>
      </c>
      <c r="L122" s="22" t="str">
        <f>VLOOKUP(A122,'Trips&amp;Operators'!$C$1:$G$99999,5,FALSE)</f>
        <v>LEVERE CRAIG</v>
      </c>
      <c r="M122" s="6">
        <f t="shared" si="37"/>
        <v>2.693287036527181E-2</v>
      </c>
      <c r="N122" s="7">
        <f t="shared" si="60"/>
        <v>38.783333325991407</v>
      </c>
      <c r="O122" s="7"/>
      <c r="P122" s="7"/>
      <c r="Q122" s="23"/>
      <c r="R122" s="23"/>
      <c r="S122" s="35">
        <f t="shared" si="59"/>
        <v>1</v>
      </c>
      <c r="T122" s="50" t="str">
        <f t="shared" si="39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16:15:02-700',mode:absolute,to:'2016-12-13 18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2" s="52" t="str">
        <f t="shared" si="41"/>
        <v>N</v>
      </c>
      <c r="X122" s="177">
        <f t="shared" si="57"/>
        <v>1</v>
      </c>
      <c r="Y122" s="67">
        <f t="shared" si="61"/>
        <v>4.8000000000000001E-2</v>
      </c>
      <c r="Z122" s="67">
        <f t="shared" si="58"/>
        <v>23.323</v>
      </c>
      <c r="AA122" s="67">
        <f t="shared" si="44"/>
        <v>23.275000000000002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45"/>
        <v>0209-13</v>
      </c>
      <c r="AE122" s="91" t="str">
        <f t="shared" si="46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122" s="88" t="str">
        <f t="shared" si="47"/>
        <v>"C:\Program Files (x86)\AstroGrep\AstroGrep.exe" /spath="%USERPROFILE%\AppData\Local\Temp\OnboardLogs" /stypes="app*4016*20161214*" /stext=" 00:.+((SYSTEM_STATE.+slice.+state.+changed )|(ment ac)|(multiple cpu faults)|(system.+state.+changed )|(\[timeout)|(PRM\|1\|D)|(kpr)|(kdp)|(\|lc)|(penalty))" /e /r /s</v>
      </c>
      <c r="AG122" s="1" t="str">
        <f t="shared" si="48"/>
        <v>EC</v>
      </c>
      <c r="AH122" s="92" t="str">
        <f t="shared" si="49"/>
        <v>"%USERPROFILE%\Documents\GitHub\eaglep3\Utilities\RefineRTDCRunTimes.py" --tripid 209-13 --locoid 4016 --swversion DE.1.0.8.0 --startMP 204:480 --initTime 2016-12-13T17:15:02 --startdatetime 2016-12-13T17:17:45 --delay 1 --endMP 204:233230 --enddatetime 2016-12-13T17:56:32 --enforcementcount 0 &gt;&gt;C:\Users\stu\Documents\GitHub\eaglep3-reporting\EC\2016-12-13-refined-times.txt</v>
      </c>
      <c r="AI122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{"issue":{"subject":"","project_id":79,"tracker_id":40,"status_id":1,"priority_id":2,"assigned_to_id":23,"start_date":"2016-12-13","description":"","custom_fields":[{"id":1,"name":"Subdivision","value":"EC"},{"id":4,"name":"Milepost","value":"23.323"},{"id":17,"name":"Train ID","value":"209-13"},{"id":16,"name":"Locomotive ID","value":"4016"},{"id":130,"name":"Impact","value":""},{"id":150,"name":"Time of Event (Mountain Time)","value":"17:56:32"},{"id":151,"name":"Denver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585</v>
      </c>
      <c r="B123" s="7">
        <v>4015</v>
      </c>
      <c r="C123" s="22" t="s">
        <v>207</v>
      </c>
      <c r="D123" s="22" t="s">
        <v>306</v>
      </c>
      <c r="E123" s="13">
        <v>42717.751550925925</v>
      </c>
      <c r="F123" s="13">
        <v>42717.758032407408</v>
      </c>
      <c r="G123" s="7">
        <v>2</v>
      </c>
      <c r="H123" s="22" t="s">
        <v>231</v>
      </c>
      <c r="I123" s="13">
        <v>42717.787557870368</v>
      </c>
      <c r="J123" s="7">
        <v>0</v>
      </c>
      <c r="K123" s="109" t="str">
        <f t="shared" si="36"/>
        <v>4015/4016</v>
      </c>
      <c r="L123" s="22" t="str">
        <f>VLOOKUP(A123,'Trips&amp;Operators'!$C$1:$G$99999,5,FALSE)</f>
        <v>LEVERE CRAIG</v>
      </c>
      <c r="M123" s="6">
        <f t="shared" si="37"/>
        <v>2.9525462960009463E-2</v>
      </c>
      <c r="N123" s="7">
        <f t="shared" si="60"/>
        <v>42.516666662413627</v>
      </c>
      <c r="O123" s="7"/>
      <c r="P123" s="7"/>
      <c r="Q123" s="23"/>
      <c r="R123" s="23"/>
      <c r="S123" s="35">
        <f t="shared" si="59"/>
        <v>1</v>
      </c>
      <c r="T123" s="50" t="str">
        <f t="shared" si="39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17:02:14-700',mode:absolute,to:'2016-12-13 19:54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3" s="52" t="str">
        <f t="shared" si="41"/>
        <v>N</v>
      </c>
      <c r="X123" s="177">
        <f t="shared" si="57"/>
        <v>1</v>
      </c>
      <c r="Y123" s="67">
        <f t="shared" si="61"/>
        <v>23.297999999999998</v>
      </c>
      <c r="Z123" s="67">
        <f t="shared" si="58"/>
        <v>1.6500000000000001E-2</v>
      </c>
      <c r="AA123" s="67">
        <f t="shared" si="44"/>
        <v>23.281499999999998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45"/>
        <v>0210-13</v>
      </c>
      <c r="AE123" s="91" t="str">
        <f t="shared" si="46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123" s="88" t="str">
        <f t="shared" si="47"/>
        <v>"C:\Program Files (x86)\AstroGrep\AstroGrep.exe" /spath="%USERPROFILE%\AppData\Local\Temp\OnboardLogs" /stypes="app*4015*20161214*" /stext=" 01:.+((SYSTEM_STATE.+slice.+state.+changed )|(ment ac)|(multiple cpu faults)|(system.+state.+changed )|(\[timeout)|(PRM\|1\|D)|(kpr)|(kdp)|(\|lc)|(penalty))" /e /r /s</v>
      </c>
      <c r="AG123" s="1" t="str">
        <f t="shared" si="48"/>
        <v>EC</v>
      </c>
      <c r="AH123" s="92" t="str">
        <f t="shared" si="49"/>
        <v>"%USERPROFILE%\Documents\GitHub\eaglep3\Utilities\RefineRTDCRunTimes.py" --tripid 210-13 --locoid 4015 --swversion DE.1.0.8.0 --startMP 204:232980 --initTime 2016-12-13T18:02:14 --startdatetime 2016-12-13T18:11:34 --delay 2 --endMP 204:165 --enddatetime 2016-12-13T18:54:05 --enforcementcount 0 &gt;&gt;C:\Users\stu\Documents\GitHub\eaglep3-reporting\EC\2016-12-13-refined-times.txt</v>
      </c>
      <c r="AI123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{"issue":{"subject":"","project_id":79,"tracker_id":40,"status_id":1,"priority_id":2,"assigned_to_id":23,"start_date":"2016-12-13","description":"","custom_fields":[{"id":1,"name":"Subdivision","value":"EC"},{"id":4,"name":"Milepost","value":"0.0165"},{"id":17,"name":"Train ID","value":"210-13"},{"id":16,"name":"Locomotive ID","value":"4015"},{"id":130,"name":"Impact","value":""},{"id":150,"name":"Time of Event (Mountain Time)","value":"18:54:05"},{"id":151,"name":"Denver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578</v>
      </c>
      <c r="B124" s="7">
        <v>4042</v>
      </c>
      <c r="C124" s="22" t="s">
        <v>207</v>
      </c>
      <c r="D124" s="22" t="s">
        <v>377</v>
      </c>
      <c r="E124" s="13">
        <v>42717.727777777778</v>
      </c>
      <c r="F124" s="13">
        <v>42717.729456018518</v>
      </c>
      <c r="G124" s="7">
        <v>1</v>
      </c>
      <c r="H124" s="22" t="s">
        <v>702</v>
      </c>
      <c r="I124" s="13">
        <v>42717.757905092592</v>
      </c>
      <c r="J124" s="7">
        <v>0</v>
      </c>
      <c r="K124" s="109" t="str">
        <f t="shared" si="36"/>
        <v>4041/4042</v>
      </c>
      <c r="L124" s="22" t="str">
        <f>VLOOKUP(A124,'Trips&amp;Operators'!$C$1:$G$99999,5,FALSE)</f>
        <v>YOUNG ELIZABETH</v>
      </c>
      <c r="M124" s="6">
        <f t="shared" si="37"/>
        <v>2.8449074074160308E-2</v>
      </c>
      <c r="N124" s="7">
        <f t="shared" si="60"/>
        <v>40.966666666790843</v>
      </c>
      <c r="O124" s="7"/>
      <c r="P124" s="7"/>
      <c r="Q124" s="23"/>
      <c r="R124" s="23"/>
      <c r="S124" s="35">
        <f t="shared" si="59"/>
        <v>1</v>
      </c>
      <c r="T124" s="50" t="str">
        <f t="shared" si="39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16:28:00-700',mode:absolute,to:'2016-12-13 19:11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4" s="52" t="str">
        <f t="shared" si="41"/>
        <v>N</v>
      </c>
      <c r="X124" s="177">
        <f t="shared" si="57"/>
        <v>1</v>
      </c>
      <c r="Y124" s="67">
        <f t="shared" si="61"/>
        <v>4.8599999999999997E-2</v>
      </c>
      <c r="Z124" s="67">
        <f t="shared" si="58"/>
        <v>23.328700000000001</v>
      </c>
      <c r="AA124" s="67">
        <f t="shared" si="44"/>
        <v>23.280100000000001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45"/>
        <v>0211-13</v>
      </c>
      <c r="AE124" s="91" t="str">
        <f t="shared" si="46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124" s="88" t="str">
        <f t="shared" si="47"/>
        <v>"C:\Program Files (x86)\AstroGrep\AstroGrep.exe" /spath="%USERPROFILE%\AppData\Local\Temp\OnboardLogs" /stypes="app*4042*20161214*" /stext=" 01:.+((SYSTEM_STATE.+slice.+state.+changed )|(ment ac)|(multiple cpu faults)|(system.+state.+changed )|(\[timeout)|(PRM\|1\|D)|(kpr)|(kdp)|(\|lc)|(penalty))" /e /r /s</v>
      </c>
      <c r="AG124" s="1" t="str">
        <f t="shared" si="48"/>
        <v>EC</v>
      </c>
      <c r="AH124" s="92" t="str">
        <f t="shared" si="49"/>
        <v>"%USERPROFILE%\Documents\GitHub\eaglep3\Utilities\RefineRTDCRunTimes.py" --tripid 211-13 --locoid 4042 --swversion DE.1.0.8.0 --startMP 204:486 --initTime 2016-12-13T17:28:00 --startdatetime 2016-12-13T17:30:25 --delay 1 --endMP 204:233287 --enddatetime 2016-12-13T18:11:23 --enforcementcount 0 &gt;&gt;C:\Users\stu\Documents\GitHub\eaglep3-reporting\EC\2016-12-13-refined-times.txt</v>
      </c>
      <c r="AI124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{"issue":{"subject":"","project_id":79,"tracker_id":40,"status_id":1,"priority_id":2,"assigned_to_id":23,"start_date":"2016-12-13","description":"","custom_fields":[{"id":1,"name":"Subdivision","value":"EC"},{"id":4,"name":"Milepost","value":"23.3287"},{"id":17,"name":"Train ID","value":"211-13"},{"id":16,"name":"Locomotive ID","value":"4042"},{"id":130,"name":"Impact","value":""},{"id":150,"name":"Time of Event (Mountain Time)","value":"18:11:23"},{"id":151,"name":"Denver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589</v>
      </c>
      <c r="B125" s="7">
        <v>4041</v>
      </c>
      <c r="C125" s="22" t="s">
        <v>207</v>
      </c>
      <c r="D125" s="22" t="s">
        <v>703</v>
      </c>
      <c r="E125" s="13">
        <v>42717.760555555556</v>
      </c>
      <c r="F125" s="13">
        <v>42717.769004629627</v>
      </c>
      <c r="G125" s="7">
        <v>2</v>
      </c>
      <c r="H125" s="22" t="s">
        <v>704</v>
      </c>
      <c r="I125" s="13">
        <v>42717.804050925923</v>
      </c>
      <c r="J125" s="7">
        <v>0</v>
      </c>
      <c r="K125" s="109" t="str">
        <f t="shared" si="36"/>
        <v>4041/4042</v>
      </c>
      <c r="L125" s="22" t="str">
        <f>VLOOKUP(A125,'Trips&amp;Operators'!$C$1:$G$99999,5,FALSE)</f>
        <v>YOUNG ELIZABETH</v>
      </c>
      <c r="M125" s="6">
        <f t="shared" si="37"/>
        <v>3.5046296296059154E-2</v>
      </c>
      <c r="N125" s="7">
        <f t="shared" si="60"/>
        <v>50.466666666325182</v>
      </c>
      <c r="O125" s="7"/>
      <c r="P125" s="7"/>
      <c r="Q125" s="23"/>
      <c r="R125" s="23"/>
      <c r="S125" s="35">
        <f t="shared" si="59"/>
        <v>1</v>
      </c>
      <c r="T125" s="50" t="str">
        <f t="shared" si="39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17:15:12-700',mode:absolute,to:'2016-12-13 20:17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5" s="52" t="str">
        <f t="shared" si="41"/>
        <v>N</v>
      </c>
      <c r="X125" s="177">
        <f t="shared" si="57"/>
        <v>1</v>
      </c>
      <c r="Y125" s="67">
        <f t="shared" si="61"/>
        <v>23.2974</v>
      </c>
      <c r="Z125" s="67">
        <f t="shared" si="58"/>
        <v>1.9199999999999998E-2</v>
      </c>
      <c r="AA125" s="67">
        <f t="shared" si="44"/>
        <v>23.278199999999998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45"/>
        <v>0212-13</v>
      </c>
      <c r="AE125" s="91" t="str">
        <f t="shared" si="46"/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AF125" s="88" t="str">
        <f t="shared" si="47"/>
        <v>"C:\Program Files (x86)\AstroGrep\AstroGrep.exe" /spath="%USERPROFILE%\AppData\Local\Temp\OnboardLogs" /stypes="app*4041*20161214*" /stext=" 02:.+((SYSTEM_STATE.+slice.+state.+changed )|(ment ac)|(multiple cpu faults)|(system.+state.+changed )|(\[timeout)|(PRM\|1\|D)|(kpr)|(kdp)|(\|lc)|(penalty))" /e /r /s</v>
      </c>
      <c r="AG125" s="1" t="str">
        <f t="shared" si="48"/>
        <v>EC</v>
      </c>
      <c r="AH125" s="92" t="str">
        <f t="shared" si="49"/>
        <v>"%USERPROFILE%\Documents\GitHub\eaglep3\Utilities\RefineRTDCRunTimes.py" --tripid 212-13 --locoid 4041 --swversion DE.1.0.8.0 --startMP 204:232974 --initTime 2016-12-13T18:15:12 --startdatetime 2016-12-13T18:27:22 --delay 2 --endMP 204:192 --enddatetime 2016-12-13T19:17:50 --enforcementcount 0 &gt;&gt;C:\Users\stu\Documents\GitHub\eaglep3-reporting\EC\2016-12-13-refined-times.txt</v>
      </c>
      <c r="AI125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{"issue":{"subject":"","project_id":79,"tracker_id":40,"status_id":1,"priority_id":2,"assigned_to_id":23,"start_date":"2016-12-13","description":"","custom_fields":[{"id":1,"name":"Subdivision","value":"EC"},{"id":4,"name":"Milepost","value":"0.0192"},{"id":17,"name":"Train ID","value":"212-13"},{"id":16,"name":"Locomotive ID","value":"4041"},{"id":130,"name":"Impact","value":""},{"id":150,"name":"Time of Event (Mountain Time)","value":"19:17:50"},{"id":151,"name":"Denver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581</v>
      </c>
      <c r="B126" s="7">
        <v>4011</v>
      </c>
      <c r="C126" s="22" t="s">
        <v>207</v>
      </c>
      <c r="D126" s="22" t="s">
        <v>194</v>
      </c>
      <c r="E126" s="13">
        <v>42717.738368055558</v>
      </c>
      <c r="F126" s="13">
        <v>42717.740173611113</v>
      </c>
      <c r="G126" s="7">
        <v>1</v>
      </c>
      <c r="H126" s="22" t="s">
        <v>335</v>
      </c>
      <c r="I126" s="13">
        <v>42717.765150462961</v>
      </c>
      <c r="J126" s="7">
        <v>0</v>
      </c>
      <c r="K126" s="109" t="str">
        <f t="shared" si="36"/>
        <v>4011/4012</v>
      </c>
      <c r="L126" s="22" t="str">
        <f>VLOOKUP(A126,'Trips&amp;Operators'!$C$1:$G$99999,5,FALSE)</f>
        <v>COOLAHAN JOHN</v>
      </c>
      <c r="M126" s="6">
        <f t="shared" si="37"/>
        <v>2.4976851847895887E-2</v>
      </c>
      <c r="N126" s="7">
        <f t="shared" si="60"/>
        <v>35.966666660970077</v>
      </c>
      <c r="O126" s="7"/>
      <c r="P126" s="7"/>
      <c r="Q126" s="23"/>
      <c r="R126" s="23"/>
      <c r="S126" s="35">
        <f t="shared" si="59"/>
        <v>1</v>
      </c>
      <c r="T126" s="50" t="str">
        <f t="shared" si="39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16:43:15-700',mode:absolute,to:'2016-12-13 19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52" t="str">
        <f t="shared" si="41"/>
        <v>N</v>
      </c>
      <c r="X126" s="177">
        <f t="shared" si="57"/>
        <v>1</v>
      </c>
      <c r="Y126" s="67">
        <f t="shared" si="61"/>
        <v>4.4699999999999997E-2</v>
      </c>
      <c r="Z126" s="67">
        <f t="shared" si="58"/>
        <v>23.3293</v>
      </c>
      <c r="AA126" s="67">
        <f t="shared" si="44"/>
        <v>23.284600000000001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45"/>
        <v>0213-13</v>
      </c>
      <c r="AE126" s="91" t="str">
        <f t="shared" si="46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126" s="88" t="str">
        <f t="shared" si="47"/>
        <v>"C:\Program Files (x86)\AstroGrep\AstroGrep.exe" /spath="%USERPROFILE%\AppData\Local\Temp\OnboardLogs" /stypes="app*4011*20161214*" /stext=" 01:.+((SYSTEM_STATE.+slice.+state.+changed )|(ment ac)|(multiple cpu faults)|(system.+state.+changed )|(\[timeout)|(PRM\|1\|D)|(kpr)|(kdp)|(\|lc)|(penalty))" /e /r /s</v>
      </c>
      <c r="AG126" s="1" t="str">
        <f t="shared" si="48"/>
        <v>EC</v>
      </c>
      <c r="AH126" s="92" t="str">
        <f t="shared" si="49"/>
        <v>"%USERPROFILE%\Documents\GitHub\eaglep3\Utilities\RefineRTDCRunTimes.py" --tripid 213-13 --locoid 4011 --swversion DE.1.0.8.0 --startMP 204:447 --initTime 2016-12-13T17:43:15 --startdatetime 2016-12-13T17:45:51 --delay 1 --endMP 204:233293 --enddatetime 2016-12-13T18:21:49 --enforcementcount 0 &gt;&gt;C:\Users\stu\Documents\GitHub\eaglep3-reporting\EC\2016-12-13-refined-times.txt</v>
      </c>
      <c r="AI126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{"issue":{"subject":"","project_id":79,"tracker_id":40,"status_id":1,"priority_id":2,"assigned_to_id":23,"start_date":"2016-12-13","description":"","custom_fields":[{"id":1,"name":"Subdivision","value":"EC"},{"id":4,"name":"Milepost","value":"23.3293"},{"id":17,"name":"Train ID","value":"213-13"},{"id":16,"name":"Locomotive ID","value":"4011"},{"id":130,"name":"Impact","value":""},{"id":150,"name":"Time of Event (Mountain Time)","value":"18:21:49"},{"id":151,"name":"Denver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x14ac:dyDescent="0.25">
      <c r="A127" s="37" t="s">
        <v>590</v>
      </c>
      <c r="B127" s="7">
        <v>4012</v>
      </c>
      <c r="C127" s="22" t="s">
        <v>207</v>
      </c>
      <c r="D127" s="22" t="s">
        <v>344</v>
      </c>
      <c r="E127" s="13">
        <v>42717.7734375</v>
      </c>
      <c r="F127" s="13">
        <v>42717.778993055559</v>
      </c>
      <c r="G127" s="7">
        <v>3</v>
      </c>
      <c r="H127" s="22" t="s">
        <v>646</v>
      </c>
      <c r="I127" s="13">
        <v>42717.806458333333</v>
      </c>
      <c r="J127" s="7">
        <v>0</v>
      </c>
      <c r="K127" s="109" t="str">
        <f t="shared" si="36"/>
        <v>4011/4012</v>
      </c>
      <c r="L127" s="22" t="str">
        <f>VLOOKUP(A127,'Trips&amp;Operators'!$C$1:$G$99999,5,FALSE)</f>
        <v>COOLAHAN JOHN</v>
      </c>
      <c r="M127" s="6">
        <f t="shared" si="37"/>
        <v>2.7465277773444541E-2</v>
      </c>
      <c r="N127" s="7">
        <f t="shared" si="60"/>
        <v>39.549999993760139</v>
      </c>
      <c r="O127" s="7"/>
      <c r="P127" s="7"/>
      <c r="Q127" s="23"/>
      <c r="R127" s="23"/>
      <c r="S127" s="35">
        <f t="shared" si="59"/>
        <v>1</v>
      </c>
      <c r="T127" s="50" t="str">
        <f t="shared" si="39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17:33:45-700',mode:absolute,to:'2016-12-13 20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52" t="str">
        <f t="shared" si="41"/>
        <v>N</v>
      </c>
      <c r="X127" s="177">
        <f t="shared" si="57"/>
        <v>1</v>
      </c>
      <c r="Y127" s="67">
        <f t="shared" si="61"/>
        <v>23.296900000000001</v>
      </c>
      <c r="Z127" s="67">
        <f t="shared" si="58"/>
        <v>1.6899999999999998E-2</v>
      </c>
      <c r="AA127" s="67">
        <f t="shared" si="44"/>
        <v>23.28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45"/>
        <v>0214-13</v>
      </c>
      <c r="AE127" s="91" t="str">
        <f t="shared" si="46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127" s="88" t="str">
        <f t="shared" si="47"/>
        <v>"C:\Program Files (x86)\AstroGrep\AstroGrep.exe" /spath="%USERPROFILE%\AppData\Local\Temp\OnboardLogs" /stypes="app*4012*20161214*" /stext=" 02:.+((SYSTEM_STATE.+slice.+state.+changed )|(ment ac)|(multiple cpu faults)|(system.+state.+changed )|(\[timeout)|(PRM\|1\|D)|(kpr)|(kdp)|(\|lc)|(penalty))" /e /r /s</v>
      </c>
      <c r="AG127" s="1" t="str">
        <f t="shared" si="48"/>
        <v>EC</v>
      </c>
      <c r="AH127" s="92" t="str">
        <f t="shared" si="49"/>
        <v>"%USERPROFILE%\Documents\GitHub\eaglep3\Utilities\RefineRTDCRunTimes.py" --tripid 214-13 --locoid 4012 --swversion DE.1.0.8.0 --startMP 204:232969 --initTime 2016-12-13T18:33:45 --startdatetime 2016-12-13T18:41:45 --delay 3 --endMP 204:169 --enddatetime 2016-12-13T19:21:18 --enforcementcount 0 &gt;&gt;C:\Users\stu\Documents\GitHub\eaglep3-reporting\EC\2016-12-13-refined-times.txt</v>
      </c>
      <c r="AI127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{"issue":{"subject":"","project_id":79,"tracker_id":40,"status_id":1,"priority_id":2,"assigned_to_id":23,"start_date":"2016-12-13","description":"","custom_fields":[{"id":1,"name":"Subdivision","value":"EC"},{"id":4,"name":"Milepost","value":"0.0169"},{"id":17,"name":"Train ID","value":"214-13"},{"id":16,"name":"Locomotive ID","value":"4012"},{"id":130,"name":"Impact","value":""},{"id":150,"name":"Time of Event (Mountain Time)","value":"19:21:18"},{"id":151,"name":"Denver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584</v>
      </c>
      <c r="B128" s="7">
        <v>4051</v>
      </c>
      <c r="C128" s="22" t="s">
        <v>207</v>
      </c>
      <c r="D128" s="22" t="s">
        <v>237</v>
      </c>
      <c r="E128" s="13">
        <v>42717.74832175926</v>
      </c>
      <c r="F128" s="13">
        <v>42717.750277777777</v>
      </c>
      <c r="G128" s="7">
        <v>2</v>
      </c>
      <c r="H128" s="22" t="s">
        <v>319</v>
      </c>
      <c r="I128" s="13">
        <v>42717.778229166666</v>
      </c>
      <c r="J128" s="7">
        <v>0</v>
      </c>
      <c r="K128" s="109" t="str">
        <f t="shared" si="36"/>
        <v>4051/4052</v>
      </c>
      <c r="L128" s="22" t="str">
        <f>VLOOKUP(A128,'Trips&amp;Operators'!$C$1:$G$99999,5,FALSE)</f>
        <v>STORY SAMANTHA</v>
      </c>
      <c r="M128" s="6">
        <f t="shared" si="37"/>
        <v>2.7951388889050577E-2</v>
      </c>
      <c r="N128" s="7">
        <f t="shared" si="60"/>
        <v>40.250000000232831</v>
      </c>
      <c r="O128" s="7"/>
      <c r="P128" s="7"/>
      <c r="Q128" s="23"/>
      <c r="R128" s="23"/>
      <c r="S128" s="35">
        <f t="shared" si="59"/>
        <v>1</v>
      </c>
      <c r="T128" s="50" t="str">
        <f t="shared" si="39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16:57:35-700',mode:absolute,to:'2016-12-13 19:40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28" s="52" t="str">
        <f t="shared" si="41"/>
        <v>N</v>
      </c>
      <c r="X128" s="177">
        <f t="shared" si="57"/>
        <v>1</v>
      </c>
      <c r="Y128" s="67">
        <f t="shared" si="61"/>
        <v>4.7100000000000003E-2</v>
      </c>
      <c r="Z128" s="67">
        <f t="shared" si="58"/>
        <v>23.330200000000001</v>
      </c>
      <c r="AA128" s="67">
        <f t="shared" si="44"/>
        <v>23.283100000000001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45"/>
        <v>0215-13</v>
      </c>
      <c r="AE128" s="91" t="str">
        <f t="shared" si="46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128" s="88" t="str">
        <f t="shared" si="47"/>
        <v>"C:\Program Files (x86)\AstroGrep\AstroGrep.exe" /spath="%USERPROFILE%\AppData\Local\Temp\OnboardLogs" /stypes="app*4051*20161214*" /stext=" 01:.+((SYSTEM_STATE.+slice.+state.+changed )|(ment ac)|(multiple cpu faults)|(system.+state.+changed )|(\[timeout)|(PRM\|1\|D)|(kpr)|(kdp)|(\|lc)|(penalty))" /e /r /s</v>
      </c>
      <c r="AG128" s="1" t="str">
        <f t="shared" si="48"/>
        <v>EC</v>
      </c>
      <c r="AH128" s="92" t="str">
        <f t="shared" si="49"/>
        <v>"%USERPROFILE%\Documents\GitHub\eaglep3\Utilities\RefineRTDCRunTimes.py" --tripid 215-13 --locoid 4051 --swversion DE.1.0.8.0 --startMP 204:471 --initTime 2016-12-13T17:57:35 --startdatetime 2016-12-13T18:00:24 --delay 2 --endMP 204:233302 --enddatetime 2016-12-13T18:40:39 --enforcementcount 0 &gt;&gt;C:\Users\stu\Documents\GitHub\eaglep3-reporting\EC\2016-12-13-refined-times.txt</v>
      </c>
      <c r="AI128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{"issue":{"subject":"","project_id":79,"tracker_id":40,"status_id":1,"priority_id":2,"assigned_to_id":23,"start_date":"2016-12-13","description":"","custom_fields":[{"id":1,"name":"Subdivision","value":"EC"},{"id":4,"name":"Milepost","value":"23.3302"},{"id":17,"name":"Train ID","value":"215-13"},{"id":16,"name":"Locomotive ID","value":"4051"},{"id":130,"name":"Impact","value":""},{"id":150,"name":"Time of Event (Mountain Time)","value":"18:40:39"},{"id":151,"name":"Denver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595</v>
      </c>
      <c r="B129" s="7">
        <v>4052</v>
      </c>
      <c r="C129" s="22" t="s">
        <v>207</v>
      </c>
      <c r="D129" s="22" t="s">
        <v>286</v>
      </c>
      <c r="E129" s="13">
        <v>42717.784641203703</v>
      </c>
      <c r="F129" s="13">
        <v>42717.789247685185</v>
      </c>
      <c r="G129" s="7">
        <v>1</v>
      </c>
      <c r="H129" s="22" t="s">
        <v>256</v>
      </c>
      <c r="I129" s="13">
        <v>42717.820740740739</v>
      </c>
      <c r="J129" s="7">
        <v>0</v>
      </c>
      <c r="K129" s="109" t="str">
        <f t="shared" si="36"/>
        <v>4051/4052</v>
      </c>
      <c r="L129" s="22" t="str">
        <f>VLOOKUP(A129,'Trips&amp;Operators'!$C$1:$G$99999,5,FALSE)</f>
        <v>STORY SAMANTHA</v>
      </c>
      <c r="M129" s="6">
        <f t="shared" si="37"/>
        <v>3.1493055554165039E-2</v>
      </c>
      <c r="N129" s="7">
        <f t="shared" si="60"/>
        <v>45.349999997997656</v>
      </c>
      <c r="O129" s="7"/>
      <c r="P129" s="7"/>
      <c r="Q129" s="23"/>
      <c r="R129" s="23"/>
      <c r="S129" s="35">
        <f t="shared" si="59"/>
        <v>1</v>
      </c>
      <c r="T129" s="50" t="str">
        <f t="shared" si="39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17:49:53-700',mode:absolute,to:'2016-12-13 20:41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29" s="52" t="str">
        <f t="shared" si="41"/>
        <v>N</v>
      </c>
      <c r="X129" s="177">
        <f t="shared" si="57"/>
        <v>1</v>
      </c>
      <c r="Y129" s="67">
        <f t="shared" si="61"/>
        <v>23.297899999999998</v>
      </c>
      <c r="Z129" s="67">
        <f t="shared" si="58"/>
        <v>1.6299999999999999E-2</v>
      </c>
      <c r="AA129" s="67">
        <f t="shared" si="44"/>
        <v>23.281599999999997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45"/>
        <v>0216-13</v>
      </c>
      <c r="AE129" s="91" t="str">
        <f t="shared" si="46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129" s="88" t="str">
        <f t="shared" si="47"/>
        <v>"C:\Program Files (x86)\AstroGrep\AstroGrep.exe" /spath="%USERPROFILE%\AppData\Local\Temp\OnboardLogs" /stypes="app*4052*20161214*" /stext=" 02:.+((SYSTEM_STATE.+slice.+state.+changed )|(ment ac)|(multiple cpu faults)|(system.+state.+changed )|(\[timeout)|(PRM\|1\|D)|(kpr)|(kdp)|(\|lc)|(penalty))" /e /r /s</v>
      </c>
      <c r="AG129" s="1" t="str">
        <f t="shared" si="48"/>
        <v>EC</v>
      </c>
      <c r="AH129" s="92" t="str">
        <f t="shared" si="49"/>
        <v>"%USERPROFILE%\Documents\GitHub\eaglep3\Utilities\RefineRTDCRunTimes.py" --tripid 216-13 --locoid 4052 --swversion DE.1.0.8.0 --startMP 204:232979 --initTime 2016-12-13T18:49:53 --startdatetime 2016-12-13T18:56:31 --delay 1 --endMP 204:163 --enddatetime 2016-12-13T19:41:52 --enforcementcount 0 &gt;&gt;C:\Users\stu\Documents\GitHub\eaglep3-reporting\EC\2016-12-13-refined-times.txt</v>
      </c>
      <c r="AI129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{"issue":{"subject":"","project_id":79,"tracker_id":40,"status_id":1,"priority_id":2,"assigned_to_id":23,"start_date":"2016-12-13","description":"","custom_fields":[{"id":1,"name":"Subdivision","value":"EC"},{"id":4,"name":"Milepost","value":"0.0163"},{"id":17,"name":"Train ID","value":"216-13"},{"id":16,"name":"Locomotive ID","value":"4052"},{"id":130,"name":"Impact","value":""},{"id":150,"name":"Time of Event (Mountain Time)","value":"19:41:52"},{"id":151,"name":"Denver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587</v>
      </c>
      <c r="B130" s="7">
        <v>4022</v>
      </c>
      <c r="C130" s="22" t="s">
        <v>207</v>
      </c>
      <c r="D130" s="22" t="s">
        <v>265</v>
      </c>
      <c r="E130" s="13">
        <v>42717.757615740738</v>
      </c>
      <c r="F130" s="13">
        <v>42717.76059027778</v>
      </c>
      <c r="G130" s="7">
        <v>1</v>
      </c>
      <c r="H130" s="22" t="s">
        <v>341</v>
      </c>
      <c r="I130" s="13">
        <v>42717.785150462965</v>
      </c>
      <c r="J130" s="7">
        <v>0</v>
      </c>
      <c r="K130" s="109" t="str">
        <f t="shared" si="36"/>
        <v>4021/4022</v>
      </c>
      <c r="L130" s="22" t="str">
        <f>VLOOKUP(A130,'Trips&amp;Operators'!$C$1:$G$99999,5,FALSE)</f>
        <v>YANAI IAN</v>
      </c>
      <c r="M130" s="6">
        <f t="shared" si="37"/>
        <v>2.4560185185691807E-2</v>
      </c>
      <c r="N130" s="7">
        <f t="shared" si="60"/>
        <v>35.366666667396203</v>
      </c>
      <c r="O130" s="7"/>
      <c r="P130" s="7"/>
      <c r="Q130" s="23"/>
      <c r="R130" s="23"/>
      <c r="S130" s="35">
        <f t="shared" si="59"/>
        <v>1</v>
      </c>
      <c r="T130" s="50" t="str">
        <f t="shared" si="39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17:10:58-700',mode:absolute,to:'2016-12-13 19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0" s="52" t="str">
        <f t="shared" si="41"/>
        <v>N</v>
      </c>
      <c r="X130" s="177">
        <f t="shared" si="57"/>
        <v>1</v>
      </c>
      <c r="Y130" s="67">
        <f t="shared" si="61"/>
        <v>4.4600000000000001E-2</v>
      </c>
      <c r="Z130" s="67">
        <f t="shared" si="58"/>
        <v>23.331399999999999</v>
      </c>
      <c r="AA130" s="67">
        <f t="shared" si="44"/>
        <v>23.286799999999999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45"/>
        <v>0217-13</v>
      </c>
      <c r="AE130" s="91" t="str">
        <f t="shared" si="46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30" s="88" t="str">
        <f t="shared" si="47"/>
        <v>"C:\Program Files (x86)\AstroGrep\AstroGrep.exe" /spath="%USERPROFILE%\AppData\Local\Temp\OnboardLogs" /stypes="app*4022*20161214*" /stext=" 01:.+((SYSTEM_STATE.+slice.+state.+changed )|(ment ac)|(multiple cpu faults)|(system.+state.+changed )|(\[timeout)|(PRM\|1\|D)|(kpr)|(kdp)|(\|lc)|(penalty))" /e /r /s</v>
      </c>
      <c r="AG130" s="1" t="str">
        <f t="shared" si="48"/>
        <v>EC</v>
      </c>
      <c r="AH130" s="92" t="str">
        <f t="shared" si="49"/>
        <v>"%USERPROFILE%\Documents\GitHub\eaglep3\Utilities\RefineRTDCRunTimes.py" --tripid 217-13 --locoid 4022 --swversion DE.1.0.8.0 --startMP 204:446 --initTime 2016-12-13T18:10:58 --startdatetime 2016-12-13T18:15:15 --delay 1 --endMP 204:233314 --enddatetime 2016-12-13T18:50:37 --enforcementcount 0 &gt;&gt;C:\Users\stu\Documents\GitHub\eaglep3-reporting\EC\2016-12-13-refined-times.txt</v>
      </c>
      <c r="AI13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{"issue":{"subject":"","project_id":79,"tracker_id":40,"status_id":1,"priority_id":2,"assigned_to_id":23,"start_date":"2016-12-13","description":"","custom_fields":[{"id":1,"name":"Subdivision","value":"EC"},{"id":4,"name":"Milepost","value":"23.3314"},{"id":17,"name":"Train ID","value":"217-13"},{"id":16,"name":"Locomotive ID","value":"4022"},{"id":130,"name":"Impact","value":""},{"id":150,"name":"Time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597</v>
      </c>
      <c r="B131" s="7">
        <v>4021</v>
      </c>
      <c r="C131" s="22" t="s">
        <v>207</v>
      </c>
      <c r="D131" s="22" t="s">
        <v>705</v>
      </c>
      <c r="E131" s="13">
        <v>42717.788958333331</v>
      </c>
      <c r="F131" s="13">
        <v>42717.799537037034</v>
      </c>
      <c r="G131" s="7">
        <v>1</v>
      </c>
      <c r="H131" s="22" t="s">
        <v>278</v>
      </c>
      <c r="I131" s="13">
        <v>42717.82540509259</v>
      </c>
      <c r="J131" s="7">
        <v>0</v>
      </c>
      <c r="K131" s="109" t="str">
        <f t="shared" si="36"/>
        <v>4021/4022</v>
      </c>
      <c r="L131" s="22" t="str">
        <f>VLOOKUP(A131,'Trips&amp;Operators'!$C$1:$G$99999,5,FALSE)</f>
        <v>YANAI IAN</v>
      </c>
      <c r="M131" s="6">
        <f t="shared" si="37"/>
        <v>2.5868055556202307E-2</v>
      </c>
      <c r="N131" s="7">
        <f t="shared" si="60"/>
        <v>37.250000000931323</v>
      </c>
      <c r="O131" s="7"/>
      <c r="P131" s="7"/>
      <c r="Q131" s="23"/>
      <c r="R131" s="23"/>
      <c r="S131" s="35">
        <f t="shared" si="59"/>
        <v>1</v>
      </c>
      <c r="T131" s="50" t="str">
        <f t="shared" si="39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17:56:06-700',mode:absolute,to:'2016-12-13 20:48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1" s="52" t="str">
        <f t="shared" si="41"/>
        <v>N</v>
      </c>
      <c r="X131" s="177">
        <f t="shared" si="57"/>
        <v>1</v>
      </c>
      <c r="Y131" s="67">
        <f t="shared" si="61"/>
        <v>23.3001</v>
      </c>
      <c r="Z131" s="67">
        <f t="shared" si="58"/>
        <v>1.52E-2</v>
      </c>
      <c r="AA131" s="67">
        <f t="shared" si="44"/>
        <v>23.2849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45"/>
        <v>0218-13</v>
      </c>
      <c r="AE131" s="91" t="str">
        <f t="shared" si="46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131" s="88" t="str">
        <f t="shared" si="47"/>
        <v>"C:\Program Files (x86)\AstroGrep\AstroGrep.exe" /spath="%USERPROFILE%\AppData\Local\Temp\OnboardLogs" /stypes="app*4021*20161214*" /stext=" 02:.+((SYSTEM_STATE.+slice.+state.+changed )|(ment ac)|(multiple cpu faults)|(system.+state.+changed )|(\[timeout)|(PRM\|1\|D)|(kpr)|(kdp)|(\|lc)|(penalty))" /e /r /s</v>
      </c>
      <c r="AG131" s="1" t="str">
        <f t="shared" si="48"/>
        <v>EC</v>
      </c>
      <c r="AH131" s="92" t="str">
        <f t="shared" si="49"/>
        <v>"%USERPROFILE%\Documents\GitHub\eaglep3\Utilities\RefineRTDCRunTimes.py" --tripid 218-13 --locoid 4021 --swversion DE.1.0.8.0 --startMP 204:233001 --initTime 2016-12-13T18:56:06 --startdatetime 2016-12-13T19:11:20 --delay 1 --endMP 204:152 --enddatetime 2016-12-13T19:48:35 --enforcementcount 0 &gt;&gt;C:\Users\stu\Documents\GitHub\eaglep3-reporting\EC\2016-12-13-refined-times.txt</v>
      </c>
      <c r="AI13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{"issue":{"subject":"","project_id":79,"tracker_id":40,"status_id":1,"priority_id":2,"assigned_to_id":23,"start_date":"2016-12-13","description":"","custom_fields":[{"id":1,"name":"Subdivision","value":"EC"},{"id":4,"name":"Milepost","value":"0.0152"},{"id":17,"name":"Train ID","value":"218-13"},{"id":16,"name":"Locomotive ID","value":"4021"},{"id":130,"name":"Impact","value":""},{"id":150,"name":"Time of Event (Mountain Time)","value":"19:48:35"},{"id":151,"name":"Denver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441</v>
      </c>
      <c r="B132" s="7">
        <v>4020</v>
      </c>
      <c r="C132" s="22" t="s">
        <v>207</v>
      </c>
      <c r="D132" s="22" t="s">
        <v>265</v>
      </c>
      <c r="E132" s="13">
        <v>42717.770844907405</v>
      </c>
      <c r="F132" s="13">
        <v>42717.771840277775</v>
      </c>
      <c r="G132" s="7">
        <v>1</v>
      </c>
      <c r="H132" s="22" t="s">
        <v>367</v>
      </c>
      <c r="I132" s="13">
        <v>42717.799537037034</v>
      </c>
      <c r="J132" s="7">
        <v>1</v>
      </c>
      <c r="K132" s="109" t="str">
        <f t="shared" si="36"/>
        <v>4019/4020</v>
      </c>
      <c r="L132" s="22" t="str">
        <f>VLOOKUP(A132,'Trips&amp;Operators'!$C$1:$G$99999,5,FALSE)</f>
        <v>CHANDLER KELVIN</v>
      </c>
      <c r="M132" s="6">
        <f t="shared" si="37"/>
        <v>2.7696759258105885E-2</v>
      </c>
      <c r="N132" s="7">
        <f t="shared" si="60"/>
        <v>39.883333331672475</v>
      </c>
      <c r="O132" s="7"/>
      <c r="P132" s="7"/>
      <c r="Q132" s="23"/>
      <c r="R132" s="23"/>
      <c r="S132" s="35">
        <f t="shared" si="59"/>
        <v>1</v>
      </c>
      <c r="T132" s="50" t="str">
        <f t="shared" si="39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17:30:01-700',mode:absolute,to:'2016-12-13 20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2" s="52" t="str">
        <f t="shared" si="41"/>
        <v>N</v>
      </c>
      <c r="X132" s="177">
        <f t="shared" si="57"/>
        <v>1</v>
      </c>
      <c r="Y132" s="67">
        <f t="shared" si="61"/>
        <v>4.4600000000000001E-2</v>
      </c>
      <c r="Z132" s="67">
        <f t="shared" si="58"/>
        <v>23.329699999999999</v>
      </c>
      <c r="AA132" s="67">
        <f t="shared" si="44"/>
        <v>23.2851</v>
      </c>
      <c r="AB132" s="64" t="str">
        <f>VLOOKUP(A132,Enforcements!$C$7:$K$19,8,0)</f>
        <v>Signal based authority (5)</v>
      </c>
      <c r="AC132" s="60" t="str">
        <f>VLOOKUP(A132,Enforcements!$C$7:$E$19,3,0)</f>
        <v>SIGNAL</v>
      </c>
      <c r="AD132" s="61" t="str">
        <f t="shared" si="45"/>
        <v>0219-13</v>
      </c>
      <c r="AE132" s="91" t="str">
        <f t="shared" si="46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132" s="88" t="str">
        <f t="shared" si="47"/>
        <v>"C:\Program Files (x86)\AstroGrep\AstroGrep.exe" /spath="%USERPROFILE%\AppData\Local\Temp\OnboardLogs" /stypes="app*4020*20161214*" /stext=" 02:.+((SYSTEM_STATE.+slice.+state.+changed )|(ment ac)|(multiple cpu faults)|(system.+state.+changed )|(\[timeout)|(PRM\|1\|D)|(kpr)|(kdp)|(\|lc)|(penalty))" /e /r /s</v>
      </c>
      <c r="AG132" s="1" t="str">
        <f t="shared" si="48"/>
        <v>EC</v>
      </c>
      <c r="AH132" s="92" t="str">
        <f t="shared" si="49"/>
        <v>"%USERPROFILE%\Documents\GitHub\eaglep3\Utilities\RefineRTDCRunTimes.py" --tripid 219-13 --locoid 4020 --swversion DE.1.0.8.0 --startMP 204:446 --initTime 2016-12-13T18:30:01 --startdatetime 2016-12-13T18:31:27 --delay 1 --endMP 204:233297 --enddatetime 2016-12-13T19:11:20 --enforcementcount 1 &gt;&gt;C:\Users\stu\Documents\GitHub\eaglep3-reporting\EC\2016-12-13-refined-times.txt</v>
      </c>
      <c r="AI132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{"issue":{"subject":"","project_id":79,"tracker_id":40,"status_id":1,"priority_id":2,"assigned_to_id":23,"start_date":"2016-12-13","description":"","custom_fields":[{"id":1,"name":"Subdivision","value":"EC"},{"id":4,"name":"Milepost","value":"23.3297"},{"id":17,"name":"Train ID","value":"219-13"},{"id":16,"name":"Locomotive ID","value":"4020"},{"id":130,"name":"Impact","value":""},{"id":150,"name":"Time of Event (Mountain Time)","value":"19:11:20"},{"id":151,"name":"Denver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601</v>
      </c>
      <c r="B133" s="7">
        <v>4019</v>
      </c>
      <c r="C133" s="22" t="s">
        <v>207</v>
      </c>
      <c r="D133" s="22" t="s">
        <v>345</v>
      </c>
      <c r="E133" s="13">
        <v>42717.808993055558</v>
      </c>
      <c r="F133" s="13">
        <v>42717.810162037036</v>
      </c>
      <c r="G133" s="7">
        <v>1</v>
      </c>
      <c r="H133" s="22" t="s">
        <v>706</v>
      </c>
      <c r="I133" s="13">
        <v>42717.839942129627</v>
      </c>
      <c r="J133" s="7">
        <v>0</v>
      </c>
      <c r="K133" s="109" t="str">
        <f t="shared" si="36"/>
        <v>4019/4020</v>
      </c>
      <c r="L133" s="22" t="str">
        <f>VLOOKUP(A133,'Trips&amp;Operators'!$C$1:$G$99999,5,FALSE)</f>
        <v>CHANDLER KELVIN</v>
      </c>
      <c r="M133" s="6">
        <f t="shared" si="37"/>
        <v>2.9780092590954155E-2</v>
      </c>
      <c r="N133" s="7">
        <f t="shared" si="60"/>
        <v>42.883333330973983</v>
      </c>
      <c r="O133" s="7"/>
      <c r="P133" s="7"/>
      <c r="Q133" s="23"/>
      <c r="R133" s="23"/>
      <c r="S133" s="35">
        <f t="shared" si="59"/>
        <v>1</v>
      </c>
      <c r="T133" s="50" t="str">
        <f t="shared" si="39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18:24:57-700',mode:absolute,to:'2016-12-13 21:09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3" s="52" t="str">
        <f t="shared" si="41"/>
        <v>N</v>
      </c>
      <c r="X133" s="177">
        <f t="shared" si="57"/>
        <v>1</v>
      </c>
      <c r="Y133" s="67">
        <f t="shared" si="61"/>
        <v>23.2972</v>
      </c>
      <c r="Z133" s="67">
        <f t="shared" si="58"/>
        <v>1.7600000000000001E-2</v>
      </c>
      <c r="AA133" s="67">
        <f t="shared" si="44"/>
        <v>23.279599999999999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45"/>
        <v>0220-13</v>
      </c>
      <c r="AE133" s="91" t="str">
        <f t="shared" si="46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133" s="88" t="str">
        <f t="shared" si="47"/>
        <v>"C:\Program Files (x86)\AstroGrep\AstroGrep.exe" /spath="%USERPROFILE%\AppData\Local\Temp\OnboardLogs" /stypes="app*4019*20161214*" /stext=" 03:.+((SYSTEM_STATE.+slice.+state.+changed )|(ment ac)|(multiple cpu faults)|(system.+state.+changed )|(\[timeout)|(PRM\|1\|D)|(kpr)|(kdp)|(\|lc)|(penalty))" /e /r /s</v>
      </c>
      <c r="AG133" s="1" t="str">
        <f t="shared" si="48"/>
        <v>EC</v>
      </c>
      <c r="AH133" s="92" t="str">
        <f t="shared" si="49"/>
        <v>"%USERPROFILE%\Documents\GitHub\eaglep3\Utilities\RefineRTDCRunTimes.py" --tripid 220-13 --locoid 4019 --swversion DE.1.0.8.0 --startMP 204:232972 --initTime 2016-12-13T19:24:57 --startdatetime 2016-12-13T19:26:38 --delay 1 --endMP 204:176 --enddatetime 2016-12-13T20:09:31 --enforcementcount 0 &gt;&gt;C:\Users\stu\Documents\GitHub\eaglep3-reporting\EC\2016-12-13-refined-times.txt</v>
      </c>
      <c r="AI133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{"issue":{"subject":"","project_id":79,"tracker_id":40,"status_id":1,"priority_id":2,"assigned_to_id":23,"start_date":"2016-12-13","description":"","custom_fields":[{"id":1,"name":"Subdivision","value":"EC"},{"id":4,"name":"Milepost","value":"0.0176"},{"id":17,"name":"Train ID","value":"220-13"},{"id":16,"name":"Locomotive ID","value":"4019"},{"id":130,"name":"Impact","value":""},{"id":150,"name":"Time of Event (Mountain Time)","value":"20:09:31"},{"id":151,"name":"Denver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596</v>
      </c>
      <c r="B134" s="7">
        <v>4016</v>
      </c>
      <c r="C134" s="22" t="s">
        <v>207</v>
      </c>
      <c r="D134" s="22" t="s">
        <v>309</v>
      </c>
      <c r="E134" s="13">
        <v>42717.788773148146</v>
      </c>
      <c r="F134" s="13">
        <v>42717.791863425926</v>
      </c>
      <c r="G134" s="7">
        <v>1</v>
      </c>
      <c r="H134" s="22" t="s">
        <v>702</v>
      </c>
      <c r="I134" s="13">
        <v>42717.818333333336</v>
      </c>
      <c r="J134" s="7">
        <v>0</v>
      </c>
      <c r="K134" s="109" t="str">
        <f t="shared" si="36"/>
        <v>4015/4016</v>
      </c>
      <c r="L134" s="22" t="str">
        <f>VLOOKUP(A134,'Trips&amp;Operators'!$C$1:$G$99999,5,FALSE)</f>
        <v>LEVERE CRAIG</v>
      </c>
      <c r="M134" s="6">
        <f t="shared" si="37"/>
        <v>2.6469907410501037E-2</v>
      </c>
      <c r="N134" s="7">
        <f t="shared" si="60"/>
        <v>38.116666671121493</v>
      </c>
      <c r="O134" s="7"/>
      <c r="P134" s="7"/>
      <c r="Q134" s="23"/>
      <c r="R134" s="23"/>
      <c r="S134" s="35">
        <f t="shared" si="59"/>
        <v>1</v>
      </c>
      <c r="T134" s="50" t="str">
        <f t="shared" si="39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17:55:50-700',mode:absolute,to:'2016-12-13 20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4" s="52" t="str">
        <f t="shared" si="41"/>
        <v>N</v>
      </c>
      <c r="X134" s="177">
        <f t="shared" si="57"/>
        <v>1</v>
      </c>
      <c r="Y134" s="67">
        <f t="shared" si="61"/>
        <v>4.7300000000000002E-2</v>
      </c>
      <c r="Z134" s="67">
        <f t="shared" si="58"/>
        <v>23.328700000000001</v>
      </c>
      <c r="AA134" s="67">
        <f t="shared" si="44"/>
        <v>23.281400000000001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45"/>
        <v>0221-13</v>
      </c>
      <c r="AE134" s="91" t="str">
        <f t="shared" si="46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134" s="88" t="str">
        <f t="shared" si="47"/>
        <v>"C:\Program Files (x86)\AstroGrep\AstroGrep.exe" /spath="%USERPROFILE%\AppData\Local\Temp\OnboardLogs" /stypes="app*4016*20161214*" /stext=" 02:.+((SYSTEM_STATE.+slice.+state.+changed )|(ment ac)|(multiple cpu faults)|(system.+state.+changed )|(\[timeout)|(PRM\|1\|D)|(kpr)|(kdp)|(\|lc)|(penalty))" /e /r /s</v>
      </c>
      <c r="AG134" s="1" t="str">
        <f t="shared" si="48"/>
        <v>EC</v>
      </c>
      <c r="AH134" s="92" t="str">
        <f t="shared" si="49"/>
        <v>"%USERPROFILE%\Documents\GitHub\eaglep3\Utilities\RefineRTDCRunTimes.py" --tripid 221-13 --locoid 4016 --swversion DE.1.0.8.0 --startMP 204:473 --initTime 2016-12-13T18:55:50 --startdatetime 2016-12-13T19:00:17 --delay 1 --endMP 204:233287 --enddatetime 2016-12-13T19:38:24 --enforcementcount 0 &gt;&gt;C:\Users\stu\Documents\GitHub\eaglep3-reporting\EC\2016-12-13-refined-times.txt</v>
      </c>
      <c r="AI134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{"issue":{"subject":"","project_id":79,"tracker_id":40,"status_id":1,"priority_id":2,"assigned_to_id":23,"start_date":"2016-12-13","description":"","custom_fields":[{"id":1,"name":"Subdivision","value":"EC"},{"id":4,"name":"Milepost","value":"23.3287"},{"id":17,"name":"Train ID","value":"221-13"},{"id":16,"name":"Locomotive ID","value":"4016"},{"id":130,"name":"Impact","value":""},{"id":150,"name":"Time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442</v>
      </c>
      <c r="B135" s="7">
        <v>4015</v>
      </c>
      <c r="C135" s="22" t="s">
        <v>207</v>
      </c>
      <c r="D135" s="22" t="s">
        <v>308</v>
      </c>
      <c r="E135" s="13">
        <v>42717.823784722219</v>
      </c>
      <c r="F135" s="13">
        <v>42717.830972222226</v>
      </c>
      <c r="G135" s="7">
        <v>1</v>
      </c>
      <c r="H135" s="22" t="s">
        <v>707</v>
      </c>
      <c r="I135" s="13">
        <v>42717.859479166669</v>
      </c>
      <c r="J135" s="7">
        <v>1</v>
      </c>
      <c r="K135" s="109" t="str">
        <f t="shared" si="36"/>
        <v>4015/4016</v>
      </c>
      <c r="L135" s="22" t="str">
        <f>VLOOKUP(A135,'Trips&amp;Operators'!$C$1:$G$99999,5,FALSE)</f>
        <v>LEVERE CRAIG</v>
      </c>
      <c r="M135" s="6">
        <f t="shared" si="37"/>
        <v>2.8506944443506654E-2</v>
      </c>
      <c r="N135" s="7">
        <f t="shared" si="60"/>
        <v>41.049999998649582</v>
      </c>
      <c r="O135" s="7"/>
      <c r="P135" s="7"/>
      <c r="Q135" s="23"/>
      <c r="R135" s="23"/>
      <c r="S135" s="35">
        <f t="shared" si="59"/>
        <v>1</v>
      </c>
      <c r="T135" s="50" t="str">
        <f t="shared" si="39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18:46:15-700',mode:absolute,to:'2016-12-13 21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5" s="52" t="str">
        <f t="shared" si="41"/>
        <v>N</v>
      </c>
      <c r="X135" s="177">
        <f t="shared" ref="X135:X166" si="62">VALUE(LEFT(AD135,4))-VALUE(LEFT(AD134,4))</f>
        <v>1</v>
      </c>
      <c r="Y135" s="67">
        <f t="shared" si="61"/>
        <v>23.2989</v>
      </c>
      <c r="Z135" s="67">
        <f t="shared" si="58"/>
        <v>2.5600000000000001E-2</v>
      </c>
      <c r="AA135" s="67">
        <f t="shared" si="44"/>
        <v>23.273299999999999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45"/>
        <v>0222-13</v>
      </c>
      <c r="AE135" s="91" t="str">
        <f t="shared" si="46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135" s="88" t="str">
        <f t="shared" si="47"/>
        <v>"C:\Program Files (x86)\AstroGrep\AstroGrep.exe" /spath="%USERPROFILE%\AppData\Local\Temp\OnboardLogs" /stypes="app*4015*20161214*" /stext=" 03:.+((SYSTEM_STATE.+slice.+state.+changed )|(ment ac)|(multiple cpu faults)|(system.+state.+changed )|(\[timeout)|(PRM\|1\|D)|(kpr)|(kdp)|(\|lc)|(penalty))" /e /r /s</v>
      </c>
      <c r="AG135" s="1" t="str">
        <f t="shared" si="48"/>
        <v>EC</v>
      </c>
      <c r="AH135" s="92" t="str">
        <f t="shared" si="49"/>
        <v>"%USERPROFILE%\Documents\GitHub\eaglep3\Utilities\RefineRTDCRunTimes.py" --tripid 222-13 --locoid 4015 --swversion DE.1.0.8.0 --startMP 204:232989 --initTime 2016-12-13T19:46:15 --startdatetime 2016-12-13T19:56:36 --delay 1 --endMP 204:256 --enddatetime 2016-12-13T20:37:39 --enforcementcount 1 &gt;&gt;C:\Users\stu\Documents\GitHub\eaglep3-reporting\EC\2016-12-13-refined-times.txt</v>
      </c>
      <c r="AI135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{"issue":{"subject":"","project_id":79,"tracker_id":40,"status_id":1,"priority_id":2,"assigned_to_id":23,"start_date":"2016-12-13","description":"","custom_fields":[{"id":1,"name":"Subdivision","value":"EC"},{"id":4,"name":"Milepost","value":"0.0256"},{"id":17,"name":"Train ID","value":"222-13"},{"id":16,"name":"Locomotive ID","value":"4015"},{"id":130,"name":"Impact","value":""},{"id":150,"name":"Time of Event (Mountain Time)","value":"20:37:39"},{"id":151,"name":"Denver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600</v>
      </c>
      <c r="B136" s="7">
        <v>4011</v>
      </c>
      <c r="C136" s="22" t="s">
        <v>207</v>
      </c>
      <c r="D136" s="22" t="s">
        <v>195</v>
      </c>
      <c r="E136" s="13">
        <v>42717.808530092596</v>
      </c>
      <c r="F136" s="13">
        <v>42717.812800925924</v>
      </c>
      <c r="G136" s="7">
        <v>1</v>
      </c>
      <c r="H136" s="22" t="s">
        <v>376</v>
      </c>
      <c r="I136" s="13">
        <v>42717.837731481479</v>
      </c>
      <c r="J136" s="7">
        <v>0</v>
      </c>
      <c r="K136" s="109" t="str">
        <f t="shared" si="36"/>
        <v>4011/4012</v>
      </c>
      <c r="L136" s="22" t="str">
        <f>VLOOKUP(A136,'Trips&amp;Operators'!$C$1:$G$99999,5,FALSE)</f>
        <v>COOLAHAN JOHN</v>
      </c>
      <c r="M136" s="6">
        <f t="shared" si="37"/>
        <v>2.4930555555329192E-2</v>
      </c>
      <c r="N136" s="7">
        <f t="shared" si="60"/>
        <v>35.899999999674037</v>
      </c>
      <c r="O136" s="7"/>
      <c r="P136" s="7"/>
      <c r="Q136" s="23"/>
      <c r="R136" s="23"/>
      <c r="S136" s="35">
        <f t="shared" si="59"/>
        <v>1</v>
      </c>
      <c r="T136" s="50" t="str">
        <f t="shared" si="39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18:24:17-700',mode:absolute,to:'2016-12-13 21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52" t="str">
        <f t="shared" si="41"/>
        <v>N</v>
      </c>
      <c r="X136" s="177">
        <f t="shared" si="62"/>
        <v>1</v>
      </c>
      <c r="Y136" s="67">
        <f t="shared" si="61"/>
        <v>4.5100000000000001E-2</v>
      </c>
      <c r="Z136" s="67">
        <f t="shared" si="58"/>
        <v>23.334399999999999</v>
      </c>
      <c r="AA136" s="67">
        <f t="shared" si="44"/>
        <v>23.289299999999997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45"/>
        <v>0223-13</v>
      </c>
      <c r="AE136" s="91" t="str">
        <f t="shared" si="46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136" s="88" t="str">
        <f t="shared" si="47"/>
        <v>"C:\Program Files (x86)\AstroGrep\AstroGrep.exe" /spath="%USERPROFILE%\AppData\Local\Temp\OnboardLogs" /stypes="app*4011*20161214*" /stext=" 03:.+((SYSTEM_STATE.+slice.+state.+changed )|(ment ac)|(multiple cpu faults)|(system.+state.+changed )|(\[timeout)|(PRM\|1\|D)|(kpr)|(kdp)|(\|lc)|(penalty))" /e /r /s</v>
      </c>
      <c r="AG136" s="1" t="str">
        <f t="shared" si="48"/>
        <v>EC</v>
      </c>
      <c r="AH136" s="92" t="str">
        <f t="shared" si="49"/>
        <v>"%USERPROFILE%\Documents\GitHub\eaglep3\Utilities\RefineRTDCRunTimes.py" --tripid 223-13 --locoid 4011 --swversion DE.1.0.8.0 --startMP 204:451 --initTime 2016-12-13T19:24:17 --startdatetime 2016-12-13T19:30:26 --delay 1 --endMP 204:233344 --enddatetime 2016-12-13T20:06:20 --enforcementcount 0 &gt;&gt;C:\Users\stu\Documents\GitHub\eaglep3-reporting\EC\2016-12-13-refined-times.txt</v>
      </c>
      <c r="AI136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{"issue":{"subject":"","project_id":79,"tracker_id":40,"status_id":1,"priority_id":2,"assigned_to_id":23,"start_date":"2016-12-13","description":"","custom_fields":[{"id":1,"name":"Subdivision","value":"EC"},{"id":4,"name":"Milepost","value":"23.3344"},{"id":17,"name":"Train ID","value":"223-13"},{"id":16,"name":"Locomotive ID","value":"4011"},{"id":130,"name":"Impact","value":""},{"id":150,"name":"Time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605</v>
      </c>
      <c r="B137" s="7">
        <v>4012</v>
      </c>
      <c r="C137" s="22" t="s">
        <v>207</v>
      </c>
      <c r="D137" s="22" t="s">
        <v>693</v>
      </c>
      <c r="E137" s="13">
        <v>42717.847870370373</v>
      </c>
      <c r="F137" s="13">
        <v>42717.851655092592</v>
      </c>
      <c r="G137" s="7">
        <v>5</v>
      </c>
      <c r="H137" s="22" t="s">
        <v>242</v>
      </c>
      <c r="I137" s="13">
        <v>42717.881099537037</v>
      </c>
      <c r="J137" s="7">
        <v>0</v>
      </c>
      <c r="K137" s="109" t="str">
        <f t="shared" si="36"/>
        <v>4011/4012</v>
      </c>
      <c r="L137" s="22" t="str">
        <f>VLOOKUP(A137,'Trips&amp;Operators'!$C$1:$G$99999,5,FALSE)</f>
        <v>COOLAHAN JOHN</v>
      </c>
      <c r="M137" s="6">
        <f t="shared" si="37"/>
        <v>2.9444444444379769E-2</v>
      </c>
      <c r="N137" s="7">
        <f t="shared" si="60"/>
        <v>42.399999999906868</v>
      </c>
      <c r="O137" s="7"/>
      <c r="P137" s="7"/>
      <c r="Q137" s="23"/>
      <c r="R137" s="23"/>
      <c r="S137" s="35">
        <f t="shared" si="59"/>
        <v>1</v>
      </c>
      <c r="T137" s="50" t="str">
        <f t="shared" si="39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19:20:56-700',mode:absolute,to:'2016-12-13 22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52" t="str">
        <f t="shared" si="41"/>
        <v>N</v>
      </c>
      <c r="X137" s="177">
        <f t="shared" si="62"/>
        <v>1</v>
      </c>
      <c r="Y137" s="67">
        <f t="shared" si="61"/>
        <v>23.3017</v>
      </c>
      <c r="Z137" s="67">
        <f t="shared" ref="Z137:Z168" si="63">RIGHT(H137,LEN(H137)-4)/10000</f>
        <v>1.4500000000000001E-2</v>
      </c>
      <c r="AA137" s="67">
        <f t="shared" si="44"/>
        <v>23.287199999999999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45"/>
        <v>0224-13</v>
      </c>
      <c r="AE137" s="91" t="str">
        <f t="shared" si="46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137" s="88" t="str">
        <f t="shared" si="47"/>
        <v>"C:\Program Files (x86)\AstroGrep\AstroGrep.exe" /spath="%USERPROFILE%\AppData\Local\Temp\OnboardLogs" /stypes="app*4012*20161214*" /stext=" 04:.+((SYSTEM_STATE.+slice.+state.+changed )|(ment ac)|(multiple cpu faults)|(system.+state.+changed )|(\[timeout)|(PRM\|1\|D)|(kpr)|(kdp)|(\|lc)|(penalty))" /e /r /s</v>
      </c>
      <c r="AG137" s="1" t="str">
        <f t="shared" si="48"/>
        <v>EC</v>
      </c>
      <c r="AH137" s="92" t="str">
        <f t="shared" si="49"/>
        <v>"%USERPROFILE%\Documents\GitHub\eaglep3\Utilities\RefineRTDCRunTimes.py" --tripid 224-13 --locoid 4012 --swversion DE.1.0.8.0 --startMP 204:233017 --initTime 2016-12-13T20:20:56 --startdatetime 2016-12-13T20:26:23 --delay 5 --endMP 204:145 --enddatetime 2016-12-13T21:08:47 --enforcementcount 0 &gt;&gt;C:\Users\stu\Documents\GitHub\eaglep3-reporting\EC\2016-12-13-refined-times.txt</v>
      </c>
      <c r="AI137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{"issue":{"subject":"","project_id":79,"tracker_id":40,"status_id":1,"priority_id":2,"assigned_to_id":23,"start_date":"2016-12-13","description":"","custom_fields":[{"id":1,"name":"Subdivision","value":"EC"},{"id":4,"name":"Milepost","value":"0.0145"},{"id":17,"name":"Train ID","value":"224-13"},{"id":16,"name":"Locomotive ID","value":"4012"},{"id":130,"name":"Impact","value":""},{"id":150,"name":"Time of Event (Mountain Time)","value":"21:08:47"},{"id":151,"name":"Denver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443</v>
      </c>
      <c r="B138" s="7">
        <v>4022</v>
      </c>
      <c r="C138" s="22" t="s">
        <v>207</v>
      </c>
      <c r="D138" s="22" t="s">
        <v>708</v>
      </c>
      <c r="E138" s="13">
        <v>42717.838449074072</v>
      </c>
      <c r="F138" s="13">
        <v>42717.839189814818</v>
      </c>
      <c r="G138" s="7">
        <v>0</v>
      </c>
      <c r="H138" s="22" t="s">
        <v>332</v>
      </c>
      <c r="I138" s="13">
        <v>42717.860046296293</v>
      </c>
      <c r="J138" s="7">
        <v>1</v>
      </c>
      <c r="K138" s="109" t="str">
        <f t="shared" si="36"/>
        <v>4021/4022</v>
      </c>
      <c r="L138" s="22" t="str">
        <f>VLOOKUP(A138,'Trips&amp;Operators'!$C$1:$G$99999,5,FALSE)</f>
        <v>YANAI IAN</v>
      </c>
      <c r="M138" s="6">
        <f t="shared" si="37"/>
        <v>2.0856481474766042E-2</v>
      </c>
      <c r="N138" s="7"/>
      <c r="O138" s="7"/>
      <c r="P138" s="7">
        <f>24*60*SUM($M138:$M138)</f>
        <v>30.033333323663101</v>
      </c>
      <c r="Q138" s="23"/>
      <c r="R138" s="23" t="s">
        <v>827</v>
      </c>
      <c r="S138" s="35">
        <f t="shared" ref="S138:S169" si="64">SUM(U138:U138)/IF(AG138="EC",12,1)</f>
        <v>1</v>
      </c>
      <c r="T138" s="50" t="str">
        <f t="shared" si="39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https://search-rtdc-monitor-bjffxe2xuh6vdkpspy63sjmuny.us-east-1.es.amazonaws.com/_plugin/kibana/#/discover/Steve-Slow-Train-Analysis-(2080s-and-2083s)?_g=(refreshInterval:(display:Off,section:0,value:0),time:(from:'2016-12-13 19:07:22-700',mode:absolute,to:'2016-12-13 21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8" s="52" t="str">
        <f t="shared" si="41"/>
        <v>Y</v>
      </c>
      <c r="X138" s="177">
        <f t="shared" si="62"/>
        <v>1</v>
      </c>
      <c r="Y138" s="67">
        <f t="shared" si="61"/>
        <v>1.913</v>
      </c>
      <c r="Z138" s="67">
        <f t="shared" si="63"/>
        <v>23.331199999999999</v>
      </c>
      <c r="AA138" s="67">
        <f t="shared" si="44"/>
        <v>21.418199999999999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45"/>
        <v>0225-13</v>
      </c>
      <c r="AE138" s="91" t="str">
        <f t="shared" si="46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38" s="88" t="str">
        <f t="shared" si="47"/>
        <v>"C:\Program Files (x86)\AstroGrep\AstroGrep.exe" /spath="%USERPROFILE%\AppData\Local\Temp\OnboardLogs" /stypes="app*4022*20161214*" /stext=" 03:.+((SYSTEM_STATE.+slice.+state.+changed )|(ment ac)|(multiple cpu faults)|(system.+state.+changed )|(\[timeout)|(PRM\|1\|D)|(kpr)|(kdp)|(\|lc)|(penalty))" /e /r /s</v>
      </c>
      <c r="AG138" s="1" t="str">
        <f t="shared" si="48"/>
        <v>EC</v>
      </c>
      <c r="AH138" s="92" t="str">
        <f t="shared" si="49"/>
        <v>"%USERPROFILE%\Documents\GitHub\eaglep3\Utilities\RefineRTDCRunTimes.py" --tripid 225-13 --locoid 4022 --swversion DE.1.0.8.0 --startMP 204:19130 --initTime 2016-12-13T20:07:22 --startdatetime 2016-12-13T20:08:26 --delay 0 --endMP 204:233312 --enddatetime 2016-12-13T20:38:28 --enforcementcount 1 &gt;&gt;C:\Users\stu\Documents\GitHub\eaglep3-reporting\EC\2016-12-13-refined-times.txt</v>
      </c>
      <c r="AI138" s="119" t="str">
        <f t="shared" si="50"/>
        <v>echo {"issue":{"subject":"No clear controls sent to Bright 2N","project_id":79,"tracker_id":40,"status_id":1,"priority_id":2,"assigned_to_id":23,"start_date":"2016-12-13","description":"","custom_fields":[{"id":1,"name":"Subdivision","value":"EC"},{"id":4,"name":"Milepost","value":"23.3312"},{"id":17,"name":"Train ID","value":"225-13"},{"id":16,"name":"Locomotive ID","value":"4022"},{"id":130,"name":"Impact","value":""},{"id":150,"name":"Time of Event (Mountain Time)","value":"20:38:28"},{"id":151,"name":"Denver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443</v>
      </c>
      <c r="B139" s="7">
        <v>4022</v>
      </c>
      <c r="C139" s="22" t="s">
        <v>207</v>
      </c>
      <c r="D139" s="22" t="s">
        <v>709</v>
      </c>
      <c r="E139" s="13">
        <v>42717.828564814816</v>
      </c>
      <c r="F139" s="13">
        <v>42717.839189814818</v>
      </c>
      <c r="G139" s="7">
        <v>2</v>
      </c>
      <c r="H139" s="22" t="s">
        <v>710</v>
      </c>
      <c r="I139" s="13">
        <v>42717.860046296293</v>
      </c>
      <c r="J139" s="7">
        <v>0</v>
      </c>
      <c r="K139" s="109" t="str">
        <f t="shared" ref="K139:K202" si="65">IF(ISEVEN(B139),(B139-1)&amp;"/"&amp;B139,B139&amp;"/"&amp;(B139+1))</f>
        <v>4021/4022</v>
      </c>
      <c r="L139" s="22" t="str">
        <f>VLOOKUP(A139,'Trips&amp;Operators'!$C$1:$G$99999,5,FALSE)</f>
        <v>YANAI IAN</v>
      </c>
      <c r="M139" s="6">
        <f t="shared" ref="M139:M202" si="66">I139-F139</f>
        <v>2.0856481474766042E-2</v>
      </c>
      <c r="N139" s="7"/>
      <c r="O139" s="7"/>
      <c r="P139" s="7"/>
      <c r="Q139" s="23"/>
      <c r="R139" s="23"/>
      <c r="S139" s="35">
        <f t="shared" si="64"/>
        <v>0</v>
      </c>
      <c r="T139" s="50" t="str">
        <f t="shared" ref="T139:T202" si="67"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98" t="str">
        <f t="shared" ref="V139:V202" si="68"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https://search-rtdc-monitor-bjffxe2xuh6vdkpspy63sjmuny.us-east-1.es.amazonaws.com/_plugin/kibana/#/discover/Steve-Slow-Train-Analysis-(2080s-and-2083s)?_g=(refreshInterval:(display:Off,section:0,value:0),time:(from:'2016-12-13 18:53:08-700',mode:absolute,to:'2016-12-13 21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9" s="52" t="str">
        <f t="shared" ref="W139:W202" si="69">IF(AA139&lt;IF(AG139="EC",23,5.65),"Y","N")</f>
        <v>Y</v>
      </c>
      <c r="X139" s="177">
        <f t="shared" si="62"/>
        <v>0</v>
      </c>
      <c r="Y139" s="67">
        <f t="shared" si="61"/>
        <v>4.6899999999999997E-2</v>
      </c>
      <c r="Z139" s="67">
        <f t="shared" si="63"/>
        <v>0.97709999999999997</v>
      </c>
      <c r="AA139" s="67">
        <f t="shared" ref="AA139:AA202" si="70">ABS(Z139-Y139)</f>
        <v>0.93019999999999992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ref="AD139:AD202" si="71">IF(LEN(A139)=6,"0"&amp;A139,A139)</f>
        <v>0225-13</v>
      </c>
      <c r="AE139" s="91" t="str">
        <f t="shared" ref="AE139:AE202" si="72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39" s="88" t="str">
        <f t="shared" ref="AF139:AF202" si="73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/stypes="app*4022*20161214*" /stext=" 03:.+((SYSTEM_STATE.+slice.+state.+changed )|(ment ac)|(multiple cpu faults)|(system.+state.+changed )|(\[timeout)|(PRM\|1\|D)|(kpr)|(kdp)|(\|lc)|(penalty))" /e /r /s</v>
      </c>
      <c r="AG139" s="1" t="str">
        <f t="shared" ref="AG139:AG202" si="74">IFERROR(IF(VALUE(LEFT(AD139,2))&lt;=2,"EC",IF(OR(VALUE(LEFT(AD139,2))=8,VALUE(LEFT(AD139,2))=18),"NW","Other")),"Other")</f>
        <v>EC</v>
      </c>
      <c r="AH139" s="92" t="str">
        <f t="shared" si="49"/>
        <v>"%USERPROFILE%\Documents\GitHub\eaglep3\Utilities\RefineRTDCRunTimes.py" --tripid 225-13 --locoid 4022 --swversion DE.1.0.8.0 --startMP 204:469 --initTime 2016-12-13T19:53:08 --startdatetime 2016-12-13T20:08:26 --delay 2 --endMP 204:9771 --enddatetime 2016-12-13T20:38:28 --enforcementcount 0 &gt;&gt;C:\Users\stu\Documents\GitHub\eaglep3-reporting\EC\2016-12-13-refined-times.txt</v>
      </c>
      <c r="AI139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{"issue":{"subject":"","project_id":79,"tracker_id":40,"status_id":1,"priority_id":2,"assigned_to_id":23,"start_date":"2016-12-13","description":"","custom_fields":[{"id":1,"name":"Subdivision","value":"EC"},{"id":4,"name":"Milepost","value":"0.9771"},{"id":17,"name":"Train ID","value":"225-13"},{"id":16,"name":"Locomotive ID","value":"4022"},{"id":130,"name":"Impact","value":""},{"id":150,"name":"Time of Event (Mountain Time)","value":"20:38:28"},{"id":151,"name":"Denver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608</v>
      </c>
      <c r="B140" s="7">
        <v>4021</v>
      </c>
      <c r="C140" s="22" t="s">
        <v>207</v>
      </c>
      <c r="D140" s="22" t="s">
        <v>374</v>
      </c>
      <c r="E140" s="13">
        <v>42717.864699074074</v>
      </c>
      <c r="F140" s="13">
        <v>42717.872395833336</v>
      </c>
      <c r="G140" s="7">
        <v>0</v>
      </c>
      <c r="H140" s="22" t="s">
        <v>305</v>
      </c>
      <c r="I140" s="13">
        <v>42717.900706018518</v>
      </c>
      <c r="J140" s="7">
        <v>0</v>
      </c>
      <c r="K140" s="109" t="str">
        <f t="shared" si="65"/>
        <v>4021/4022</v>
      </c>
      <c r="L140" s="22" t="str">
        <f>VLOOKUP(A140,'Trips&amp;Operators'!$C$1:$G$99999,5,FALSE)</f>
        <v>YANAI IAN</v>
      </c>
      <c r="M140" s="6">
        <f t="shared" si="66"/>
        <v>2.8310185181908309E-2</v>
      </c>
      <c r="N140" s="7">
        <f t="shared" ref="N140:N176" si="75">24*60*SUM($M140:$M140)</f>
        <v>40.766666661947966</v>
      </c>
      <c r="O140" s="7"/>
      <c r="P140" s="7"/>
      <c r="Q140" s="23"/>
      <c r="R140" s="23"/>
      <c r="S140" s="35">
        <f t="shared" si="64"/>
        <v>1</v>
      </c>
      <c r="T140" s="50" t="str">
        <f t="shared" si="6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19:45:10-700',mode:absolute,to:'2016-12-13 22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0" s="52" t="str">
        <f t="shared" si="69"/>
        <v>N</v>
      </c>
      <c r="X140" s="177">
        <f t="shared" si="62"/>
        <v>1</v>
      </c>
      <c r="Y140" s="67">
        <f t="shared" si="61"/>
        <v>23.299800000000001</v>
      </c>
      <c r="Z140" s="67">
        <f t="shared" si="63"/>
        <v>1.67E-2</v>
      </c>
      <c r="AA140" s="67">
        <f t="shared" si="70"/>
        <v>23.283100000000001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71"/>
        <v>0226-13</v>
      </c>
      <c r="AE140" s="91" t="str">
        <f t="shared" si="72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140" s="88" t="str">
        <f t="shared" si="73"/>
        <v>"C:\Program Files (x86)\AstroGrep\AstroGrep.exe" /spath="%USERPROFILE%\AppData\Local\Temp\OnboardLogs" /stypes="app*4021*20161214*" /stext=" 04:.+((SYSTEM_STATE.+slice.+state.+changed )|(ment ac)|(multiple cpu faults)|(system.+state.+changed )|(\[timeout)|(PRM\|1\|D)|(kpr)|(kdp)|(\|lc)|(penalty))" /e /r /s</v>
      </c>
      <c r="AG140" s="1" t="str">
        <f t="shared" si="74"/>
        <v>EC</v>
      </c>
      <c r="AH140" s="92" t="str">
        <f t="shared" si="49"/>
        <v>"%USERPROFILE%\Documents\GitHub\eaglep3\Utilities\RefineRTDCRunTimes.py" --tripid 226-13 --locoid 4021 --swversion DE.1.0.8.0 --startMP 204:232998 --initTime 2016-12-13T20:45:10 --startdatetime 2016-12-13T20:56:15 --delay 0 --endMP 204:167 --enddatetime 2016-12-13T21:37:01 --enforcementcount 0 &gt;&gt;C:\Users\stu\Documents\GitHub\eaglep3-reporting\EC\2016-12-13-refined-times.txt</v>
      </c>
      <c r="AI140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{"issue":{"subject":"","project_id":79,"tracker_id":40,"status_id":1,"priority_id":2,"assigned_to_id":23,"start_date":"2016-12-13","description":"","custom_fields":[{"id":1,"name":"Subdivision","value":"EC"},{"id":4,"name":"Milepost","value":"0.0167"},{"id":17,"name":"Train ID","value":"226-13"},{"id":16,"name":"Locomotive ID","value":"4021"},{"id":130,"name":"Impact","value":""},{"id":150,"name":"Time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x14ac:dyDescent="0.25">
      <c r="A141" s="37" t="s">
        <v>606</v>
      </c>
      <c r="B141" s="7">
        <v>4020</v>
      </c>
      <c r="C141" s="22" t="s">
        <v>207</v>
      </c>
      <c r="D141" s="22" t="s">
        <v>309</v>
      </c>
      <c r="E141" s="13">
        <v>42717.853877314818</v>
      </c>
      <c r="F141" s="13">
        <v>42717.854791666665</v>
      </c>
      <c r="G141" s="7">
        <v>1</v>
      </c>
      <c r="H141" s="22" t="s">
        <v>656</v>
      </c>
      <c r="I141" s="13">
        <v>42717.880995370368</v>
      </c>
      <c r="J141" s="7">
        <v>0</v>
      </c>
      <c r="K141" s="109" t="str">
        <f t="shared" si="65"/>
        <v>4019/4020</v>
      </c>
      <c r="L141" s="22" t="str">
        <f>VLOOKUP(A141,'Trips&amp;Operators'!$C$1:$G$99999,5,FALSE)</f>
        <v>CHANDLER KELVIN</v>
      </c>
      <c r="M141" s="6">
        <f t="shared" si="66"/>
        <v>2.6203703702776693E-2</v>
      </c>
      <c r="N141" s="7">
        <f t="shared" si="75"/>
        <v>37.733333331998438</v>
      </c>
      <c r="O141" s="7"/>
      <c r="P141" s="7"/>
      <c r="Q141" s="23"/>
      <c r="R141" s="23"/>
      <c r="S141" s="35">
        <f t="shared" si="64"/>
        <v>1</v>
      </c>
      <c r="T141" s="50" t="str">
        <f t="shared" si="67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19:29:35-700',mode:absolute,to:'2016-12-13 22:08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1" s="52" t="str">
        <f t="shared" si="69"/>
        <v>N</v>
      </c>
      <c r="X141" s="177">
        <f t="shared" si="62"/>
        <v>1</v>
      </c>
      <c r="Y141" s="67">
        <f t="shared" si="61"/>
        <v>4.7300000000000002E-2</v>
      </c>
      <c r="Z141" s="67">
        <f t="shared" si="63"/>
        <v>23.328299999999999</v>
      </c>
      <c r="AA141" s="67">
        <f t="shared" si="70"/>
        <v>23.280999999999999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si="71"/>
        <v>0227-13</v>
      </c>
      <c r="AE141" s="91" t="str">
        <f t="shared" si="72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141" s="88" t="str">
        <f t="shared" si="73"/>
        <v>"C:\Program Files (x86)\AstroGrep\AstroGrep.exe" /spath="%USERPROFILE%\AppData\Local\Temp\OnboardLogs" /stypes="app*4020*20161214*" /stext=" 04:.+((SYSTEM_STATE.+slice.+state.+changed )|(ment ac)|(multiple cpu faults)|(system.+state.+changed )|(\[timeout)|(PRM\|1\|D)|(kpr)|(kdp)|(\|lc)|(penalty))" /e /r /s</v>
      </c>
      <c r="AG141" s="1" t="str">
        <f t="shared" si="74"/>
        <v>EC</v>
      </c>
      <c r="AH141" s="92" t="str">
        <f t="shared" si="49"/>
        <v>"%USERPROFILE%\Documents\GitHub\eaglep3\Utilities\RefineRTDCRunTimes.py" --tripid 227-13 --locoid 4020 --swversion DE.1.0.8.0 --startMP 204:473 --initTime 2016-12-13T20:29:35 --startdatetime 2016-12-13T20:30:54 --delay 1 --endMP 204:233283 --enddatetime 2016-12-13T21:08:38 --enforcementcount 0 &gt;&gt;C:\Users\stu\Documents\GitHub\eaglep3-reporting\EC\2016-12-13-refined-times.txt</v>
      </c>
      <c r="AI141" s="119" t="str">
        <f t="shared" si="50"/>
        <v>echo {"issue":{"subject":"","project_id":79,"tracker_id":40,"status_id":1,"priority_id":2,"assigned_to_id":23,"start_date":"2016-12-13","description":"","custom_fields":[{"id":1,"name":"Subdivision","value":"EC"},{"id":4,"name":"Milepost","value":"23.3283"},{"id":17,"name":"Train ID","value":"227-13"},{"id":16,"name":"Locomotive ID","value":"4020"},{"id":130,"name":"Impact","value":""},{"id":150,"name":"Time of Event (Mountain Time)","value":"21:08:38"},{"id":151,"name":"Denver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611</v>
      </c>
      <c r="B142" s="7">
        <v>4019</v>
      </c>
      <c r="C142" s="22" t="s">
        <v>207</v>
      </c>
      <c r="D142" s="22" t="s">
        <v>703</v>
      </c>
      <c r="E142" s="13">
        <v>42717.891064814816</v>
      </c>
      <c r="F142" s="13">
        <v>42717.893530092595</v>
      </c>
      <c r="G142" s="7">
        <v>1</v>
      </c>
      <c r="H142" s="22" t="s">
        <v>646</v>
      </c>
      <c r="I142" s="13">
        <v>42717.922199074077</v>
      </c>
      <c r="J142" s="7">
        <v>0</v>
      </c>
      <c r="K142" s="109" t="str">
        <f t="shared" si="65"/>
        <v>4019/4020</v>
      </c>
      <c r="L142" s="22" t="str">
        <f>VLOOKUP(A142,'Trips&amp;Operators'!$C$1:$G$99999,5,FALSE)</f>
        <v>CHANDLER KELVIN</v>
      </c>
      <c r="M142" s="6">
        <f t="shared" si="66"/>
        <v>2.8668981482042E-2</v>
      </c>
      <c r="N142" s="7">
        <f t="shared" si="75"/>
        <v>41.28333333414048</v>
      </c>
      <c r="O142" s="7"/>
      <c r="P142" s="7"/>
      <c r="Q142" s="23"/>
      <c r="R142" s="23"/>
      <c r="S142" s="35">
        <f t="shared" si="64"/>
        <v>1</v>
      </c>
      <c r="T142" s="50" t="str">
        <f t="shared" si="67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20:23:08-700',mode:absolute,to:'2016-12-13 23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2" s="52" t="str">
        <f t="shared" si="69"/>
        <v>N</v>
      </c>
      <c r="X142" s="177">
        <f t="shared" si="62"/>
        <v>1</v>
      </c>
      <c r="Y142" s="67">
        <f t="shared" si="61"/>
        <v>23.2974</v>
      </c>
      <c r="Z142" s="67">
        <f t="shared" si="63"/>
        <v>1.6899999999999998E-2</v>
      </c>
      <c r="AA142" s="67">
        <f t="shared" si="70"/>
        <v>23.2805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71"/>
        <v>0228-13</v>
      </c>
      <c r="AE142" s="91" t="str">
        <f t="shared" si="72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142" s="88" t="str">
        <f t="shared" si="73"/>
        <v>"C:\Program Files (x86)\AstroGrep\AstroGrep.exe" /spath="%USERPROFILE%\AppData\Local\Temp\OnboardLogs" /stypes="app*4019*20161214*" /stext=" 05:.+((SYSTEM_STATE.+slice.+state.+changed )|(ment ac)|(multiple cpu faults)|(system.+state.+changed )|(\[timeout)|(PRM\|1\|D)|(kpr)|(kdp)|(\|lc)|(penalty))" /e /r /s</v>
      </c>
      <c r="AG142" s="1" t="str">
        <f t="shared" si="74"/>
        <v>EC</v>
      </c>
      <c r="AH142" s="92" t="str">
        <f t="shared" ref="AH142:AH205" si="7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228-13 --locoid 4019 --swversion DE.1.0.8.0 --startMP 204:232974 --initTime 2016-12-13T21:23:08 --startdatetime 2016-12-13T21:26:41 --delay 1 --endMP 204:169 --enddatetime 2016-12-13T22:07:58 --enforcementcount 0 &gt;&gt;C:\Users\stu\Documents\GitHub\eaglep3-reporting\EC\2016-12-13-refined-times.txt</v>
      </c>
      <c r="AI142" s="119" t="str">
        <f t="shared" ref="AI142:AI205" si="7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{"issue":{"subject":"","project_id":79,"tracker_id":40,"status_id":1,"priority_id":2,"assigned_to_id":23,"start_date":"2016-12-13","description":"","custom_fields":[{"id":1,"name":"Subdivision","value":"EC"},{"id":4,"name":"Milepost","value":"0.0169"},{"id":17,"name":"Train ID","value":"228-13"},{"id":16,"name":"Locomotive ID","value":"4019"},{"id":130,"name":"Impact","value":""},{"id":150,"name":"Time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609</v>
      </c>
      <c r="B143" s="7">
        <v>4016</v>
      </c>
      <c r="C143" s="22" t="s">
        <v>207</v>
      </c>
      <c r="D143" s="22" t="s">
        <v>711</v>
      </c>
      <c r="E143" s="13">
        <v>42717.870486111111</v>
      </c>
      <c r="F143" s="13">
        <v>42717.875208333331</v>
      </c>
      <c r="G143" s="7">
        <v>1</v>
      </c>
      <c r="H143" s="22" t="s">
        <v>307</v>
      </c>
      <c r="I143" s="13">
        <v>42717.900914351849</v>
      </c>
      <c r="J143" s="7">
        <v>0</v>
      </c>
      <c r="K143" s="109" t="str">
        <f t="shared" si="65"/>
        <v>4015/4016</v>
      </c>
      <c r="L143" s="22" t="str">
        <f>VLOOKUP(A143,'Trips&amp;Operators'!$C$1:$G$99999,5,FALSE)</f>
        <v>LEVERE CRAIG</v>
      </c>
      <c r="M143" s="6">
        <f t="shared" si="66"/>
        <v>2.5706018517666962E-2</v>
      </c>
      <c r="N143" s="7">
        <f t="shared" si="75"/>
        <v>37.016666665440425</v>
      </c>
      <c r="O143" s="7"/>
      <c r="P143" s="7"/>
      <c r="Q143" s="23"/>
      <c r="R143" s="23"/>
      <c r="S143" s="35">
        <f t="shared" si="64"/>
        <v>1</v>
      </c>
      <c r="T143" s="50" t="str">
        <f t="shared" si="67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19:53:30-700',mode:absolute,to:'2016-12-13 22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3" s="52" t="str">
        <f t="shared" si="69"/>
        <v>N</v>
      </c>
      <c r="X143" s="177">
        <f t="shared" si="62"/>
        <v>1</v>
      </c>
      <c r="Y143" s="67">
        <f t="shared" si="61"/>
        <v>5.5500000000000001E-2</v>
      </c>
      <c r="Z143" s="67">
        <f t="shared" si="63"/>
        <v>23.330400000000001</v>
      </c>
      <c r="AA143" s="67">
        <f t="shared" si="70"/>
        <v>23.274900000000002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71"/>
        <v>0229-13</v>
      </c>
      <c r="AE143" s="91" t="str">
        <f t="shared" si="72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143" s="88" t="str">
        <f t="shared" si="73"/>
        <v>"C:\Program Files (x86)\AstroGrep\AstroGrep.exe" /spath="%USERPROFILE%\AppData\Local\Temp\OnboardLogs" /stypes="app*4016*20161214*" /stext=" 04:.+((SYSTEM_STATE.+slice.+state.+changed )|(ment ac)|(multiple cpu faults)|(system.+state.+changed )|(\[timeout)|(PRM\|1\|D)|(kpr)|(kdp)|(\|lc)|(penalty))" /e /r /s</v>
      </c>
      <c r="AG143" s="1" t="str">
        <f t="shared" si="74"/>
        <v>EC</v>
      </c>
      <c r="AH143" s="92" t="str">
        <f t="shared" si="76"/>
        <v>"%USERPROFILE%\Documents\GitHub\eaglep3\Utilities\RefineRTDCRunTimes.py" --tripid 229-13 --locoid 4016 --swversion DE.1.0.8.0 --startMP 204:555 --initTime 2016-12-13T20:53:30 --startdatetime 2016-12-13T21:00:18 --delay 1 --endMP 204:233304 --enddatetime 2016-12-13T21:37:19 --enforcementcount 0 &gt;&gt;C:\Users\stu\Documents\GitHub\eaglep3-reporting\EC\2016-12-13-refined-times.txt</v>
      </c>
      <c r="AI143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{"issue":{"subject":"","project_id":79,"tracker_id":40,"status_id":1,"priority_id":2,"assigned_to_id":23,"start_date":"2016-12-13","description":"","custom_fields":[{"id":1,"name":"Subdivision","value":"EC"},{"id":4,"name":"Milepost","value":"23.3304"},{"id":17,"name":"Train ID","value":"229-13"},{"id":16,"name":"Locomotive ID","value":"4016"},{"id":130,"name":"Impact","value":""},{"id":150,"name":"Time of Event (Mountain Time)","value":"21:37:19"},{"id":151,"name":"Denver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617</v>
      </c>
      <c r="B144" s="7">
        <v>4015</v>
      </c>
      <c r="C144" s="22" t="s">
        <v>207</v>
      </c>
      <c r="D144" s="22" t="s">
        <v>323</v>
      </c>
      <c r="E144" s="13">
        <v>42717.906909722224</v>
      </c>
      <c r="F144" s="13">
        <v>42717.914120370369</v>
      </c>
      <c r="G144" s="7">
        <v>1</v>
      </c>
      <c r="H144" s="22" t="s">
        <v>213</v>
      </c>
      <c r="I144" s="13">
        <v>42717.942627314813</v>
      </c>
      <c r="J144" s="7">
        <v>0</v>
      </c>
      <c r="K144" s="109" t="str">
        <f t="shared" si="65"/>
        <v>4015/4016</v>
      </c>
      <c r="L144" s="22" t="str">
        <f>VLOOKUP(A144,'Trips&amp;Operators'!$C$1:$G$99999,5,FALSE)</f>
        <v>LEVERE CRAIG</v>
      </c>
      <c r="M144" s="6">
        <f t="shared" si="66"/>
        <v>2.8506944443506654E-2</v>
      </c>
      <c r="N144" s="7">
        <f t="shared" si="75"/>
        <v>41.049999998649582</v>
      </c>
      <c r="O144" s="7"/>
      <c r="P144" s="7"/>
      <c r="Q144" s="23"/>
      <c r="R144" s="23"/>
      <c r="S144" s="35">
        <f t="shared" si="64"/>
        <v>1</v>
      </c>
      <c r="T144" s="50" t="str">
        <f t="shared" si="67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20:45:57-700',mode:absolute,to:'2016-12-13 23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4" s="52" t="str">
        <f t="shared" si="69"/>
        <v>N</v>
      </c>
      <c r="X144" s="177">
        <f t="shared" si="62"/>
        <v>1</v>
      </c>
      <c r="Y144" s="67">
        <f t="shared" si="61"/>
        <v>23.2987</v>
      </c>
      <c r="Z144" s="67">
        <f t="shared" si="63"/>
        <v>1.4999999999999999E-2</v>
      </c>
      <c r="AA144" s="67">
        <f t="shared" si="70"/>
        <v>23.2837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71"/>
        <v>0230-13</v>
      </c>
      <c r="AE144" s="91" t="str">
        <f t="shared" si="72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144" s="88" t="str">
        <f t="shared" si="73"/>
        <v>"C:\Program Files (x86)\AstroGrep\AstroGrep.exe" /spath="%USERPROFILE%\AppData\Local\Temp\OnboardLogs" /stypes="app*4015*20161214*" /stext=" 05:.+((SYSTEM_STATE.+slice.+state.+changed )|(ment ac)|(multiple cpu faults)|(system.+state.+changed )|(\[timeout)|(PRM\|1\|D)|(kpr)|(kdp)|(\|lc)|(penalty))" /e /r /s</v>
      </c>
      <c r="AG144" s="1" t="str">
        <f t="shared" si="74"/>
        <v>EC</v>
      </c>
      <c r="AH144" s="92" t="str">
        <f t="shared" si="76"/>
        <v>"%USERPROFILE%\Documents\GitHub\eaglep3\Utilities\RefineRTDCRunTimes.py" --tripid 230-13 --locoid 4015 --swversion DE.1.0.8.0 --startMP 204:232987 --initTime 2016-12-13T21:45:57 --startdatetime 2016-12-13T21:56:20 --delay 1 --endMP 204:150 --enddatetime 2016-12-13T22:37:23 --enforcementcount 0 &gt;&gt;C:\Users\stu\Documents\GitHub\eaglep3-reporting\EC\2016-12-13-refined-times.txt</v>
      </c>
      <c r="AI144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{"issue":{"subject":"","project_id":79,"tracker_id":40,"status_id":1,"priority_id":2,"assigned_to_id":23,"start_date":"2016-12-13","description":"","custom_fields":[{"id":1,"name":"Subdivision","value":"EC"},{"id":4,"name":"Milepost","value":"0.015"},{"id":17,"name":"Train ID","value":"230-13"},{"id":16,"name":"Locomotive ID","value":"4015"},{"id":130,"name":"Impact","value":""},{"id":150,"name":"Time of Event (Mountain Time)","value":"22:37:23"},{"id":151,"name":"Denver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612</v>
      </c>
      <c r="B145" s="7">
        <v>4011</v>
      </c>
      <c r="C145" s="22" t="s">
        <v>207</v>
      </c>
      <c r="D145" s="22" t="s">
        <v>194</v>
      </c>
      <c r="E145" s="13">
        <v>42717.892997685187</v>
      </c>
      <c r="F145" s="13">
        <v>42717.896111111113</v>
      </c>
      <c r="G145" s="7">
        <v>1</v>
      </c>
      <c r="H145" s="22" t="s">
        <v>679</v>
      </c>
      <c r="I145" s="13">
        <v>42717.921724537038</v>
      </c>
      <c r="J145" s="7">
        <v>0</v>
      </c>
      <c r="K145" s="109" t="str">
        <f t="shared" si="65"/>
        <v>4011/4012</v>
      </c>
      <c r="L145" s="22" t="str">
        <f>VLOOKUP(A145,'Trips&amp;Operators'!$C$1:$G$99999,5,FALSE)</f>
        <v>COOLAHAN JOHN</v>
      </c>
      <c r="M145" s="6">
        <f t="shared" si="66"/>
        <v>2.5613425925257616E-2</v>
      </c>
      <c r="N145" s="7">
        <f t="shared" si="75"/>
        <v>36.883333332370967</v>
      </c>
      <c r="O145" s="7"/>
      <c r="P145" s="7"/>
      <c r="Q145" s="23"/>
      <c r="R145" s="23"/>
      <c r="S145" s="35">
        <f t="shared" si="64"/>
        <v>1</v>
      </c>
      <c r="T145" s="50" t="str">
        <f t="shared" si="67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20:25:55-700',mode:absolute,to:'2016-12-13 23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5" s="52" t="str">
        <f t="shared" si="69"/>
        <v>N</v>
      </c>
      <c r="X145" s="177">
        <f t="shared" si="62"/>
        <v>1</v>
      </c>
      <c r="Y145" s="67">
        <f t="shared" si="61"/>
        <v>4.4699999999999997E-2</v>
      </c>
      <c r="Z145" s="67">
        <f t="shared" si="63"/>
        <v>23.331700000000001</v>
      </c>
      <c r="AA145" s="67">
        <f t="shared" si="70"/>
        <v>23.287000000000003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71"/>
        <v>0231-13</v>
      </c>
      <c r="AE145" s="91" t="str">
        <f t="shared" si="72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145" s="88" t="str">
        <f t="shared" si="73"/>
        <v>"C:\Program Files (x86)\AstroGrep\AstroGrep.exe" /spath="%USERPROFILE%\AppData\Local\Temp\OnboardLogs" /stypes="app*4011*20161214*" /stext=" 05:.+((SYSTEM_STATE.+slice.+state.+changed )|(ment ac)|(multiple cpu faults)|(system.+state.+changed )|(\[timeout)|(PRM\|1\|D)|(kpr)|(kdp)|(\|lc)|(penalty))" /e /r /s</v>
      </c>
      <c r="AG145" s="1" t="str">
        <f t="shared" si="74"/>
        <v>EC</v>
      </c>
      <c r="AH145" s="92" t="str">
        <f t="shared" si="76"/>
        <v>"%USERPROFILE%\Documents\GitHub\eaglep3\Utilities\RefineRTDCRunTimes.py" --tripid 231-13 --locoid 4011 --swversion DE.1.0.8.0 --startMP 204:447 --initTime 2016-12-13T21:25:55 --startdatetime 2016-12-13T21:30:24 --delay 1 --endMP 204:233317 --enddatetime 2016-12-13T22:07:17 --enforcementcount 0 &gt;&gt;C:\Users\stu\Documents\GitHub\eaglep3-reporting\EC\2016-12-13-refined-times.txt</v>
      </c>
      <c r="AI145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{"issue":{"subject":"","project_id":79,"tracker_id":40,"status_id":1,"priority_id":2,"assigned_to_id":23,"start_date":"2016-12-13","description":"","custom_fields":[{"id":1,"name":"Subdivision","value":"EC"},{"id":4,"name":"Milepost","value":"23.3317"},{"id":17,"name":"Train ID","value":"231-13"},{"id":16,"name":"Locomotive ID","value":"4011"},{"id":130,"name":"Impact","value":""},{"id":150,"name":"Time of Event (Mountain Time)","value":"22:07:17"},{"id":151,"name":"Denver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619</v>
      </c>
      <c r="B146" s="7">
        <v>4012</v>
      </c>
      <c r="C146" s="22" t="s">
        <v>207</v>
      </c>
      <c r="D146" s="22" t="s">
        <v>308</v>
      </c>
      <c r="E146" s="13">
        <v>42717.932037037041</v>
      </c>
      <c r="F146" s="13">
        <v>42717.935196759259</v>
      </c>
      <c r="G146" s="7">
        <v>0</v>
      </c>
      <c r="H146" s="22" t="s">
        <v>192</v>
      </c>
      <c r="I146" s="13">
        <v>42717.962800925925</v>
      </c>
      <c r="J146" s="7">
        <v>0</v>
      </c>
      <c r="K146" s="109" t="str">
        <f t="shared" si="65"/>
        <v>4011/4012</v>
      </c>
      <c r="L146" s="22" t="str">
        <f>VLOOKUP(A146,'Trips&amp;Operators'!$C$1:$G$99999,5,FALSE)</f>
        <v>COOLAHAN JOHN</v>
      </c>
      <c r="M146" s="6">
        <f t="shared" si="66"/>
        <v>2.7604166665696539E-2</v>
      </c>
      <c r="N146" s="7">
        <f t="shared" si="75"/>
        <v>39.749999998603016</v>
      </c>
      <c r="O146" s="7"/>
      <c r="P146" s="7"/>
      <c r="Q146" s="23"/>
      <c r="R146" s="23"/>
      <c r="S146" s="35">
        <f t="shared" si="64"/>
        <v>1</v>
      </c>
      <c r="T146" s="50" t="str">
        <f t="shared" si="67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21:22:08-700',mode:absolute,to:'2016-12-14 00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6" s="52" t="str">
        <f t="shared" si="69"/>
        <v>N</v>
      </c>
      <c r="X146" s="177">
        <f t="shared" si="62"/>
        <v>1</v>
      </c>
      <c r="Y146" s="67">
        <f t="shared" si="61"/>
        <v>23.2989</v>
      </c>
      <c r="Z146" s="67">
        <f t="shared" si="63"/>
        <v>1.49E-2</v>
      </c>
      <c r="AA146" s="67">
        <f t="shared" si="70"/>
        <v>23.283999999999999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71"/>
        <v>0232-13</v>
      </c>
      <c r="AE146" s="91" t="str">
        <f t="shared" si="72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146" s="88" t="str">
        <f t="shared" si="73"/>
        <v>"C:\Program Files (x86)\AstroGrep\AstroGrep.exe" /spath="%USERPROFILE%\AppData\Local\Temp\OnboardLogs" /stypes="app*4012*20161214*" /stext=" 06:.+((SYSTEM_STATE.+slice.+state.+changed )|(ment ac)|(multiple cpu faults)|(system.+state.+changed )|(\[timeout)|(PRM\|1\|D)|(kpr)|(kdp)|(\|lc)|(penalty))" /e /r /s</v>
      </c>
      <c r="AG146" s="1" t="str">
        <f t="shared" si="74"/>
        <v>EC</v>
      </c>
      <c r="AH146" s="92" t="str">
        <f t="shared" si="76"/>
        <v>"%USERPROFILE%\Documents\GitHub\eaglep3\Utilities\RefineRTDCRunTimes.py" --tripid 232-13 --locoid 4012 --swversion DE.1.0.8.0 --startMP 204:232989 --initTime 2016-12-13T22:22:08 --startdatetime 2016-12-13T22:26:41 --delay 0 --endMP 204:149 --enddatetime 2016-12-13T23:06:26 --enforcementcount 0 &gt;&gt;C:\Users\stu\Documents\GitHub\eaglep3-reporting\EC\2016-12-13-refined-times.txt</v>
      </c>
      <c r="AI146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{"issue":{"subject":"","project_id":79,"tracker_id":40,"status_id":1,"priority_id":2,"assigned_to_id":23,"start_date":"2016-12-13","description":"","custom_fields":[{"id":1,"name":"Subdivision","value":"EC"},{"id":4,"name":"Milepost","value":"0.0149"},{"id":17,"name":"Train ID","value":"232-13"},{"id":16,"name":"Locomotive ID","value":"4012"},{"id":130,"name":"Impact","value":""},{"id":150,"name":"Time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614</v>
      </c>
      <c r="B147" s="7">
        <v>4022</v>
      </c>
      <c r="C147" s="22" t="s">
        <v>207</v>
      </c>
      <c r="D147" s="22" t="s">
        <v>195</v>
      </c>
      <c r="E147" s="13">
        <v>42717.905358796299</v>
      </c>
      <c r="F147" s="13">
        <v>42717.916944444441</v>
      </c>
      <c r="G147" s="7">
        <v>2</v>
      </c>
      <c r="H147" s="22" t="s">
        <v>367</v>
      </c>
      <c r="I147" s="13">
        <v>42717.94363425926</v>
      </c>
      <c r="J147" s="7">
        <v>0</v>
      </c>
      <c r="K147" s="109" t="str">
        <f t="shared" si="65"/>
        <v>4021/4022</v>
      </c>
      <c r="L147" s="22" t="str">
        <f>VLOOKUP(A147,'Trips&amp;Operators'!$C$1:$G$99999,5,FALSE)</f>
        <v>DELGADO DIANAH</v>
      </c>
      <c r="M147" s="6">
        <f t="shared" si="66"/>
        <v>2.6689814818382729E-2</v>
      </c>
      <c r="N147" s="7">
        <f t="shared" si="75"/>
        <v>38.43333333847113</v>
      </c>
      <c r="O147" s="7"/>
      <c r="P147" s="7"/>
      <c r="Q147" s="23"/>
      <c r="R147" s="23"/>
      <c r="S147" s="35">
        <f t="shared" si="64"/>
        <v>1</v>
      </c>
      <c r="T147" s="50" t="str">
        <f t="shared" si="67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20:43:43-700',mode:absolute,to:'2016-12-13 23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7" s="52" t="str">
        <f t="shared" si="69"/>
        <v>N</v>
      </c>
      <c r="X147" s="177">
        <f t="shared" si="62"/>
        <v>1</v>
      </c>
      <c r="Y147" s="67">
        <f t="shared" si="61"/>
        <v>4.5100000000000001E-2</v>
      </c>
      <c r="Z147" s="67">
        <f t="shared" si="63"/>
        <v>23.329699999999999</v>
      </c>
      <c r="AA147" s="67">
        <f t="shared" si="70"/>
        <v>23.284599999999998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71"/>
        <v>0233-13</v>
      </c>
      <c r="AE147" s="91" t="str">
        <f t="shared" si="72"/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AF147" s="88" t="str">
        <f t="shared" si="73"/>
        <v>"C:\Program Files (x86)\AstroGrep\AstroGrep.exe" /spath="%USERPROFILE%\AppData\Local\Temp\OnboardLogs" /stypes="app*4022*20161214*" /stext=" 05:.+((SYSTEM_STATE.+slice.+state.+changed )|(ment ac)|(multiple cpu faults)|(system.+state.+changed )|(\[timeout)|(PRM\|1\|D)|(kpr)|(kdp)|(\|lc)|(penalty))" /e /r /s</v>
      </c>
      <c r="AG147" s="1" t="str">
        <f t="shared" si="74"/>
        <v>EC</v>
      </c>
      <c r="AH147" s="92" t="str">
        <f t="shared" si="76"/>
        <v>"%USERPROFILE%\Documents\GitHub\eaglep3\Utilities\RefineRTDCRunTimes.py" --tripid 233-13 --locoid 4022 --swversion DE.1.0.8.0 --startMP 204:451 --initTime 2016-12-13T21:43:43 --startdatetime 2016-12-13T22:00:24 --delay 2 --endMP 204:233297 --enddatetime 2016-12-13T22:38:50 --enforcementcount 0 &gt;&gt;C:\Users\stu\Documents\GitHub\eaglep3-reporting\EC\2016-12-13-refined-times.txt</v>
      </c>
      <c r="AI147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{"issue":{"subject":"","project_id":79,"tracker_id":40,"status_id":1,"priority_id":2,"assigned_to_id":23,"start_date":"2016-12-13","description":"","custom_fields":[{"id":1,"name":"Subdivision","value":"EC"},{"id":4,"name":"Milepost","value":"23.3297"},{"id":17,"name":"Train ID","value":"233-13"},{"id":16,"name":"Locomotive ID","value":"4022"},{"id":130,"name":"Impact","value":""},{"id":150,"name":"Time of Event (Mountain Time)","value":"22:38:50"},{"id":151,"name":"Denver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622</v>
      </c>
      <c r="B148" s="7">
        <v>4021</v>
      </c>
      <c r="C148" s="22" t="s">
        <v>207</v>
      </c>
      <c r="D148" s="22" t="s">
        <v>280</v>
      </c>
      <c r="E148" s="13">
        <v>42717.948877314811</v>
      </c>
      <c r="F148" s="13">
        <v>42717.955763888887</v>
      </c>
      <c r="G148" s="7">
        <v>1</v>
      </c>
      <c r="H148" s="22" t="s">
        <v>226</v>
      </c>
      <c r="I148" s="13">
        <v>42717.987928240742</v>
      </c>
      <c r="J148" s="7">
        <v>0</v>
      </c>
      <c r="K148" s="109" t="str">
        <f t="shared" si="65"/>
        <v>4021/4022</v>
      </c>
      <c r="L148" s="22" t="str">
        <f>VLOOKUP(A148,'Trips&amp;Operators'!$C$1:$G$99999,5,FALSE)</f>
        <v>DELGADO DIANAH</v>
      </c>
      <c r="M148" s="6">
        <f t="shared" si="66"/>
        <v>3.2164351854589768E-2</v>
      </c>
      <c r="N148" s="7">
        <f t="shared" si="75"/>
        <v>46.316666670609266</v>
      </c>
      <c r="O148" s="7"/>
      <c r="P148" s="7"/>
      <c r="Q148" s="23"/>
      <c r="R148" s="23"/>
      <c r="S148" s="35">
        <f t="shared" si="64"/>
        <v>1</v>
      </c>
      <c r="T148" s="50" t="str">
        <f t="shared" si="67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21:46:23-700',mode:absolute,to:'2016-12-14 00:42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8" s="52" t="str">
        <f t="shared" si="69"/>
        <v>N</v>
      </c>
      <c r="X148" s="177">
        <f t="shared" si="62"/>
        <v>1</v>
      </c>
      <c r="Y148" s="67">
        <f t="shared" si="61"/>
        <v>23.299399999999999</v>
      </c>
      <c r="Z148" s="67">
        <f t="shared" si="63"/>
        <v>1.54E-2</v>
      </c>
      <c r="AA148" s="67">
        <f t="shared" si="70"/>
        <v>23.283999999999999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71"/>
        <v>0234-13</v>
      </c>
      <c r="AE148" s="91" t="str">
        <f t="shared" si="72"/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AF148" s="88" t="str">
        <f t="shared" si="73"/>
        <v>"C:\Program Files (x86)\AstroGrep\AstroGrep.exe" /spath="%USERPROFILE%\AppData\Local\Temp\OnboardLogs" /stypes="app*4021*20161214*" /stext=" 06:.+((SYSTEM_STATE.+slice.+state.+changed )|(ment ac)|(multiple cpu faults)|(system.+state.+changed )|(\[timeout)|(PRM\|1\|D)|(kpr)|(kdp)|(\|lc)|(penalty))" /e /r /s</v>
      </c>
      <c r="AG148" s="1" t="str">
        <f t="shared" si="74"/>
        <v>EC</v>
      </c>
      <c r="AH148" s="92" t="str">
        <f t="shared" si="76"/>
        <v>"%USERPROFILE%\Documents\GitHub\eaglep3\Utilities\RefineRTDCRunTimes.py" --tripid 234-13 --locoid 4021 --swversion DE.1.0.8.0 --startMP 204:232994 --initTime 2016-12-13T22:46:23 --startdatetime 2016-12-13T22:56:18 --delay 1 --endMP 204:154 --enddatetime 2016-12-13T23:42:37 --enforcementcount 0 &gt;&gt;C:\Users\stu\Documents\GitHub\eaglep3-reporting\EC\2016-12-13-refined-times.txt</v>
      </c>
      <c r="AI148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{"issue":{"subject":"","project_id":79,"tracker_id":40,"status_id":1,"priority_id":2,"assigned_to_id":23,"start_date":"2016-12-13","description":"","custom_fields":[{"id":1,"name":"Subdivision","value":"EC"},{"id":4,"name":"Milepost","value":"0.0154"},{"id":17,"name":"Train ID","value":"234-13"},{"id":16,"name":"Locomotive ID","value":"4021"},{"id":130,"name":"Impact","value":""},{"id":150,"name":"Time of Event (Mountain Time)","value":"23:42:37"},{"id":151,"name":"Denver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620</v>
      </c>
      <c r="B149" s="7">
        <v>4020</v>
      </c>
      <c r="C149" s="22" t="s">
        <v>207</v>
      </c>
      <c r="D149" s="22" t="s">
        <v>709</v>
      </c>
      <c r="E149" s="13">
        <v>42717.935787037037</v>
      </c>
      <c r="F149" s="13">
        <v>42717.937743055554</v>
      </c>
      <c r="G149" s="7">
        <v>1</v>
      </c>
      <c r="H149" s="22" t="s">
        <v>702</v>
      </c>
      <c r="I149" s="13">
        <v>42717.963356481479</v>
      </c>
      <c r="J149" s="7">
        <v>0</v>
      </c>
      <c r="K149" s="109" t="str">
        <f t="shared" si="65"/>
        <v>4019/4020</v>
      </c>
      <c r="L149" s="22" t="str">
        <f>VLOOKUP(A149,'Trips&amp;Operators'!$C$1:$G$99999,5,FALSE)</f>
        <v>CHANDLER KELVIN</v>
      </c>
      <c r="M149" s="6">
        <f t="shared" si="66"/>
        <v>2.5613425925257616E-2</v>
      </c>
      <c r="N149" s="7">
        <f t="shared" si="75"/>
        <v>36.883333332370967</v>
      </c>
      <c r="O149" s="7"/>
      <c r="P149" s="7"/>
      <c r="Q149" s="23"/>
      <c r="R149" s="23"/>
      <c r="S149" s="35">
        <f t="shared" si="64"/>
        <v>1</v>
      </c>
      <c r="T149" s="50" t="str">
        <f t="shared" si="67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21:27:32-700',mode:absolute,to:'2016-12-14 00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9" s="52" t="str">
        <f t="shared" si="69"/>
        <v>N</v>
      </c>
      <c r="X149" s="177">
        <f t="shared" si="62"/>
        <v>1</v>
      </c>
      <c r="Y149" s="67">
        <f t="shared" si="61"/>
        <v>4.6899999999999997E-2</v>
      </c>
      <c r="Z149" s="67">
        <f t="shared" si="63"/>
        <v>23.328700000000001</v>
      </c>
      <c r="AA149" s="67">
        <f t="shared" si="70"/>
        <v>23.2818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71"/>
        <v>0235-13</v>
      </c>
      <c r="AE149" s="91" t="str">
        <f t="shared" si="72"/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AF149" s="88" t="str">
        <f t="shared" si="73"/>
        <v>"C:\Program Files (x86)\AstroGrep\AstroGrep.exe" /spath="%USERPROFILE%\AppData\Local\Temp\OnboardLogs" /stypes="app*4020*20161214*" /stext=" 06:.+((SYSTEM_STATE.+slice.+state.+changed )|(ment ac)|(multiple cpu faults)|(system.+state.+changed )|(\[timeout)|(PRM\|1\|D)|(kpr)|(kdp)|(\|lc)|(penalty))" /e /r /s</v>
      </c>
      <c r="AG149" s="1" t="str">
        <f t="shared" si="74"/>
        <v>EC</v>
      </c>
      <c r="AH149" s="92" t="str">
        <f t="shared" si="76"/>
        <v>"%USERPROFILE%\Documents\GitHub\eaglep3\Utilities\RefineRTDCRunTimes.py" --tripid 235-13 --locoid 4020 --swversion DE.1.0.8.0 --startMP 204:469 --initTime 2016-12-13T22:27:32 --startdatetime 2016-12-13T22:30:21 --delay 1 --endMP 204:233287 --enddatetime 2016-12-13T23:07:14 --enforcementcount 0 &gt;&gt;C:\Users\stu\Documents\GitHub\eaglep3-reporting\EC\2016-12-13-refined-times.txt</v>
      </c>
      <c r="AI149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{"issue":{"subject":"","project_id":79,"tracker_id":40,"status_id":1,"priority_id":2,"assigned_to_id":23,"start_date":"2016-12-13","description":"","custom_fields":[{"id":1,"name":"Subdivision","value":"EC"},{"id":4,"name":"Milepost","value":"23.3287"},{"id":17,"name":"Train ID","value":"235-13"},{"id":16,"name":"Locomotive ID","value":"4020"},{"id":130,"name":"Impact","value":""},{"id":150,"name":"Time of Event (Mountain Time)","value":"23:07:14"},{"id":151,"name":"Denver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624</v>
      </c>
      <c r="B150" s="7">
        <v>4019</v>
      </c>
      <c r="C150" s="22" t="s">
        <v>207</v>
      </c>
      <c r="D150" s="22" t="s">
        <v>703</v>
      </c>
      <c r="E150" s="13">
        <v>42717.972662037035</v>
      </c>
      <c r="F150" s="13">
        <v>42717.976678240739</v>
      </c>
      <c r="G150" s="7">
        <v>1</v>
      </c>
      <c r="H150" s="22" t="s">
        <v>289</v>
      </c>
      <c r="I150" s="13">
        <v>42718.006736111114</v>
      </c>
      <c r="J150" s="7">
        <v>0</v>
      </c>
      <c r="K150" s="109" t="str">
        <f t="shared" si="65"/>
        <v>4019/4020</v>
      </c>
      <c r="L150" s="22" t="str">
        <f>VLOOKUP(A150,'Trips&amp;Operators'!$C$1:$G$99999,5,FALSE)</f>
        <v>CHANDLER KELVIN</v>
      </c>
      <c r="M150" s="6">
        <f t="shared" si="66"/>
        <v>3.0057870375458151E-2</v>
      </c>
      <c r="N150" s="7">
        <f t="shared" si="75"/>
        <v>43.283333340659738</v>
      </c>
      <c r="O150" s="7"/>
      <c r="P150" s="7"/>
      <c r="Q150" s="23"/>
      <c r="R150" s="23"/>
      <c r="S150" s="35">
        <f t="shared" si="64"/>
        <v>1</v>
      </c>
      <c r="T150" s="50" t="str">
        <f t="shared" si="67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22:20:38-700',mode:absolute,to:'2016-12-14 01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0" s="52" t="str">
        <f t="shared" si="69"/>
        <v>N</v>
      </c>
      <c r="X150" s="177">
        <f t="shared" si="62"/>
        <v>1</v>
      </c>
      <c r="Y150" s="67">
        <f t="shared" ref="Y150:Y181" si="78">RIGHT(D150,LEN(D150)-4)/10000</f>
        <v>23.2974</v>
      </c>
      <c r="Z150" s="67">
        <f t="shared" si="63"/>
        <v>1.47E-2</v>
      </c>
      <c r="AA150" s="67">
        <f t="shared" si="70"/>
        <v>23.282699999999998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71"/>
        <v>0236-13</v>
      </c>
      <c r="AE150" s="91" t="str">
        <f t="shared" si="72"/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AF150" s="88" t="str">
        <f t="shared" si="73"/>
        <v>"C:\Program Files (x86)\AstroGrep\AstroGrep.exe" /spath="%USERPROFILE%\AppData\Local\Temp\OnboardLogs" /stypes="app*4019*20161214*" /stext=" 07:.+((SYSTEM_STATE.+slice.+state.+changed )|(ment ac)|(multiple cpu faults)|(system.+state.+changed )|(\[timeout)|(PRM\|1\|D)|(kpr)|(kdp)|(\|lc)|(penalty))" /e /r /s</v>
      </c>
      <c r="AG150" s="1" t="str">
        <f t="shared" si="74"/>
        <v>EC</v>
      </c>
      <c r="AH150" s="92" t="str">
        <f t="shared" si="76"/>
        <v>"%USERPROFILE%\Documents\GitHub\eaglep3\Utilities\RefineRTDCRunTimes.py" --tripid 236-13 --locoid 4019 --swversion DE.1.0.8.0 --startMP 204:232974 --initTime 2016-12-13T23:20:38 --startdatetime 2016-12-13T23:26:25 --delay 1 --endMP 204:147 --enddatetime 2016-12-14T00:09:42 --enforcementcount 0 &gt;&gt;C:\Users\stu\Documents\GitHub\eaglep3-reporting\EC\2016-12-13-refined-times.txt</v>
      </c>
      <c r="AI150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{"issue":{"subject":"","project_id":79,"tracker_id":40,"status_id":1,"priority_id":2,"assigned_to_id":23,"start_date":"2016-12-14","description":"","custom_fields":[{"id":1,"name":"Subdivision","value":"EC"},{"id":4,"name":"Milepost","value":"0.0147"},{"id":17,"name":"Train ID","value":"236-13"},{"id":16,"name":"Locomotive ID","value":"4019"},{"id":130,"name":"Impact","value":""},{"id":150,"name":"Time of Event (Mountain Time)","value":"00:09:42"},{"id":151,"name":"Denver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623</v>
      </c>
      <c r="B151" s="7">
        <v>4016</v>
      </c>
      <c r="C151" s="22" t="s">
        <v>207</v>
      </c>
      <c r="D151" s="22" t="s">
        <v>709</v>
      </c>
      <c r="E151" s="13">
        <v>42717.952280092592</v>
      </c>
      <c r="F151" s="13">
        <v>42717.95853009259</v>
      </c>
      <c r="G151" s="7">
        <v>1</v>
      </c>
      <c r="H151" s="22" t="s">
        <v>319</v>
      </c>
      <c r="I151" s="13">
        <v>42717.9840625</v>
      </c>
      <c r="J151" s="7">
        <v>0</v>
      </c>
      <c r="K151" s="109" t="str">
        <f t="shared" si="65"/>
        <v>4015/4016</v>
      </c>
      <c r="L151" s="22" t="str">
        <f>VLOOKUP(A151,'Trips&amp;Operators'!$C$1:$G$99999,5,FALSE)</f>
        <v>LEVERE CRAIG</v>
      </c>
      <c r="M151" s="6">
        <f t="shared" si="66"/>
        <v>2.5532407409627922E-2</v>
      </c>
      <c r="N151" s="7">
        <f t="shared" si="75"/>
        <v>36.766666669864208</v>
      </c>
      <c r="O151" s="7"/>
      <c r="P151" s="7"/>
      <c r="Q151" s="23"/>
      <c r="R151" s="23"/>
      <c r="S151" s="35">
        <f t="shared" si="64"/>
        <v>1</v>
      </c>
      <c r="T151" s="50" t="str">
        <f t="shared" si="67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21:51:17-700',mode:absolute,to:'2016-12-14 00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1" s="52" t="str">
        <f t="shared" si="69"/>
        <v>N</v>
      </c>
      <c r="X151" s="177">
        <f t="shared" si="62"/>
        <v>1</v>
      </c>
      <c r="Y151" s="67">
        <f t="shared" si="78"/>
        <v>4.6899999999999997E-2</v>
      </c>
      <c r="Z151" s="67">
        <f t="shared" si="63"/>
        <v>23.330200000000001</v>
      </c>
      <c r="AA151" s="67">
        <f t="shared" si="70"/>
        <v>23.283300000000001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71"/>
        <v>0237-13</v>
      </c>
      <c r="AE151" s="91" t="str">
        <f t="shared" si="72"/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AF151" s="88" t="str">
        <f t="shared" si="73"/>
        <v>"C:\Program Files (x86)\AstroGrep\AstroGrep.exe" /spath="%USERPROFILE%\AppData\Local\Temp\OnboardLogs" /stypes="app*4016*20161214*" /stext=" 06:.+((SYSTEM_STATE.+slice.+state.+changed )|(ment ac)|(multiple cpu faults)|(system.+state.+changed )|(\[timeout)|(PRM\|1\|D)|(kpr)|(kdp)|(\|lc)|(penalty))" /e /r /s</v>
      </c>
      <c r="AG151" s="1" t="str">
        <f t="shared" si="74"/>
        <v>EC</v>
      </c>
      <c r="AH151" s="92" t="str">
        <f t="shared" si="76"/>
        <v>"%USERPROFILE%\Documents\GitHub\eaglep3\Utilities\RefineRTDCRunTimes.py" --tripid 237-13 --locoid 4016 --swversion DE.1.0.8.0 --startMP 204:469 --initTime 2016-12-13T22:51:17 --startdatetime 2016-12-13T23:00:17 --delay 1 --endMP 204:233302 --enddatetime 2016-12-13T23:37:03 --enforcementcount 0 &gt;&gt;C:\Users\stu\Documents\GitHub\eaglep3-reporting\EC\2016-12-13-refined-times.txt</v>
      </c>
      <c r="AI151" s="119" t="str">
        <f t="shared" si="77"/>
        <v>echo {"issue":{"subject":"","project_id":79,"tracker_id":40,"status_id":1,"priority_id":2,"assigned_to_id":23,"start_date":"2016-12-13","description":"","custom_fields":[{"id":1,"name":"Subdivision","value":"EC"},{"id":4,"name":"Milepost","value":"23.3302"},{"id":17,"name":"Train ID","value":"237-13"},{"id":16,"name":"Locomotive ID","value":"4016"},{"id":130,"name":"Impact","value":""},{"id":150,"name":"Time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626</v>
      </c>
      <c r="B152" s="7">
        <v>4015</v>
      </c>
      <c r="C152" s="22" t="s">
        <v>207</v>
      </c>
      <c r="D152" s="22" t="s">
        <v>308</v>
      </c>
      <c r="E152" s="13">
        <v>42717.991319444445</v>
      </c>
      <c r="F152" s="13">
        <v>42717.997442129628</v>
      </c>
      <c r="G152" s="7">
        <v>1</v>
      </c>
      <c r="H152" s="22" t="s">
        <v>331</v>
      </c>
      <c r="I152" s="13">
        <v>42718.025659722225</v>
      </c>
      <c r="J152" s="7">
        <v>0</v>
      </c>
      <c r="K152" s="109" t="str">
        <f t="shared" si="65"/>
        <v>4015/4016</v>
      </c>
      <c r="L152" s="22" t="str">
        <f>VLOOKUP(A152,'Trips&amp;Operators'!$C$1:$G$99999,5,FALSE)</f>
        <v>LEVERE CRAIG</v>
      </c>
      <c r="M152" s="6">
        <f t="shared" si="66"/>
        <v>2.8217592596774921E-2</v>
      </c>
      <c r="N152" s="7">
        <f t="shared" si="75"/>
        <v>40.633333339355886</v>
      </c>
      <c r="O152" s="7"/>
      <c r="P152" s="7"/>
      <c r="Q152" s="23"/>
      <c r="R152" s="23"/>
      <c r="S152" s="35">
        <f t="shared" si="64"/>
        <v>1</v>
      </c>
      <c r="T152" s="50" t="str">
        <f t="shared" si="67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22:47:30-700',mode:absolute,to:'2016-12-14 01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2" s="52" t="str">
        <f t="shared" si="69"/>
        <v>N</v>
      </c>
      <c r="X152" s="177">
        <f t="shared" si="62"/>
        <v>1</v>
      </c>
      <c r="Y152" s="67">
        <f t="shared" si="78"/>
        <v>23.2989</v>
      </c>
      <c r="Z152" s="67">
        <f t="shared" si="63"/>
        <v>1.5800000000000002E-2</v>
      </c>
      <c r="AA152" s="67">
        <f t="shared" si="70"/>
        <v>23.283100000000001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71"/>
        <v>0238-13</v>
      </c>
      <c r="AE152" s="91" t="str">
        <f t="shared" si="72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152" s="88" t="str">
        <f t="shared" si="73"/>
        <v>"C:\Program Files (x86)\AstroGrep\AstroGrep.exe" /spath="%USERPROFILE%\AppData\Local\Temp\OnboardLogs" /stypes="app*4015*20161214*" /stext=" 07:.+((SYSTEM_STATE.+slice.+state.+changed )|(ment ac)|(multiple cpu faults)|(system.+state.+changed )|(\[timeout)|(PRM\|1\|D)|(kpr)|(kdp)|(\|lc)|(penalty))" /e /r /s</v>
      </c>
      <c r="AG152" s="1" t="str">
        <f t="shared" si="74"/>
        <v>EC</v>
      </c>
      <c r="AH152" s="92" t="str">
        <f t="shared" si="76"/>
        <v>"%USERPROFILE%\Documents\GitHub\eaglep3\Utilities\RefineRTDCRunTimes.py" --tripid 238-13 --locoid 4015 --swversion DE.1.0.8.0 --startMP 204:232989 --initTime 2016-12-13T23:47:30 --startdatetime 2016-12-13T23:56:19 --delay 1 --endMP 204:158 --enddatetime 2016-12-14T00:36:57 --enforcementcount 0 &gt;&gt;C:\Users\stu\Documents\GitHub\eaglep3-reporting\EC\2016-12-13-refined-times.txt</v>
      </c>
      <c r="AI152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{"issue":{"subject":"","project_id":79,"tracker_id":40,"status_id":1,"priority_id":2,"assigned_to_id":23,"start_date":"2016-12-14","description":"","custom_fields":[{"id":1,"name":"Subdivision","value":"EC"},{"id":4,"name":"Milepost","value":"0.0158"},{"id":17,"name":"Train ID","value":"238-13"},{"id":16,"name":"Locomotive ID","value":"4015"},{"id":130,"name":"Impact","value":""},{"id":150,"name":"Time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625</v>
      </c>
      <c r="B153" s="7">
        <v>4011</v>
      </c>
      <c r="C153" s="22" t="s">
        <v>207</v>
      </c>
      <c r="D153" s="22" t="s">
        <v>337</v>
      </c>
      <c r="E153" s="13">
        <v>42717.973067129627</v>
      </c>
      <c r="F153" s="13">
        <v>42717.979490740741</v>
      </c>
      <c r="G153" s="7">
        <v>1</v>
      </c>
      <c r="H153" s="22" t="s">
        <v>381</v>
      </c>
      <c r="I153" s="13">
        <v>42718.004525462966</v>
      </c>
      <c r="J153" s="7">
        <v>0</v>
      </c>
      <c r="K153" s="109" t="str">
        <f t="shared" si="65"/>
        <v>4011/4012</v>
      </c>
      <c r="L153" s="22" t="str">
        <f>VLOOKUP(A153,'Trips&amp;Operators'!$C$1:$G$99999,5,FALSE)</f>
        <v>COOLAHAN JOHN</v>
      </c>
      <c r="M153" s="6">
        <f t="shared" si="66"/>
        <v>2.5034722224518191E-2</v>
      </c>
      <c r="N153" s="7">
        <f t="shared" si="75"/>
        <v>36.050000003306195</v>
      </c>
      <c r="O153" s="7"/>
      <c r="P153" s="7"/>
      <c r="Q153" s="23"/>
      <c r="R153" s="23"/>
      <c r="S153" s="35">
        <f t="shared" si="64"/>
        <v>1</v>
      </c>
      <c r="T153" s="50" t="str">
        <f t="shared" si="67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22:21:13-700',mode:absolute,to:'2016-12-14 01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3" s="52" t="str">
        <f t="shared" si="69"/>
        <v>N</v>
      </c>
      <c r="X153" s="177">
        <f t="shared" si="62"/>
        <v>1</v>
      </c>
      <c r="Y153" s="67">
        <f t="shared" si="78"/>
        <v>4.4900000000000002E-2</v>
      </c>
      <c r="Z153" s="67">
        <f t="shared" si="63"/>
        <v>23.3323</v>
      </c>
      <c r="AA153" s="67">
        <f t="shared" si="70"/>
        <v>23.287400000000002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71"/>
        <v>0239-13</v>
      </c>
      <c r="AE153" s="91" t="str">
        <f t="shared" si="72"/>
        <v>aws s3 cp s3://rtdc.mdm.uploadarchive.raw/RTDC4011/ "%USERPROFILE%\AppData\Local\Temp\OnboardLogs"\RTDC4011\2016-12-13 --exclude "*" --recursive --include "*20161213*" &amp; "%USERPROFILE%\Documents\GitHub\mrs-test-scripts\Headless Mode &amp; Sideloading\WalkAndUnGZ.bat" "%USERPROFILE%\AppData\Local\Temp\OnboardLogs"\RTDC4011\2016-12-13 &amp; 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</v>
      </c>
      <c r="AF153" s="88" t="str">
        <f t="shared" si="73"/>
        <v>"C:\Program Files (x86)\AstroGrep\AstroGrep.exe" /spath="%USERPROFILE%\AppData\Local\Temp\OnboardLogs" /stypes="app*4011*20161214*" /stext=" 07:.+((SYSTEM_STATE.+slice.+state.+changed )|(ment ac)|(multiple cpu faults)|(system.+state.+changed )|(\[timeout)|(PRM\|1\|D)|(kpr)|(kdp)|(\|lc)|(penalty))" /e /r /s</v>
      </c>
      <c r="AG153" s="1" t="str">
        <f t="shared" si="74"/>
        <v>EC</v>
      </c>
      <c r="AH153" s="92" t="str">
        <f t="shared" si="76"/>
        <v>"%USERPROFILE%\Documents\GitHub\eaglep3\Utilities\RefineRTDCRunTimes.py" --tripid 239-13 --locoid 4011 --swversion DE.1.0.8.0 --startMP 204:449 --initTime 2016-12-13T23:21:13 --startdatetime 2016-12-13T23:30:28 --delay 1 --endMP 204:233323 --enddatetime 2016-12-14T00:06:31 --enforcementcount 0 &gt;&gt;C:\Users\stu\Documents\GitHub\eaglep3-reporting\EC\2016-12-13-refined-times.txt</v>
      </c>
      <c r="AI153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{"issue":{"subject":"","project_id":79,"tracker_id":40,"status_id":1,"priority_id":2,"assigned_to_id":23,"start_date":"2016-12-14","description":"","custom_fields":[{"id":1,"name":"Subdivision","value":"EC"},{"id":4,"name":"Milepost","value":"23.3323"},{"id":17,"name":"Train ID","value":"239-13"},{"id":16,"name":"Locomotive ID","value":"4011"},{"id":130,"name":"Impact","value":""},{"id":150,"name":"Time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627</v>
      </c>
      <c r="B154" s="7">
        <v>4012</v>
      </c>
      <c r="C154" s="22" t="s">
        <v>207</v>
      </c>
      <c r="D154" s="22" t="s">
        <v>378</v>
      </c>
      <c r="E154" s="13">
        <v>42718.012766203705</v>
      </c>
      <c r="F154" s="13">
        <v>42718.018414351849</v>
      </c>
      <c r="G154" s="7">
        <v>1</v>
      </c>
      <c r="H154" s="22" t="s">
        <v>227</v>
      </c>
      <c r="I154" s="13">
        <v>42718.044618055559</v>
      </c>
      <c r="J154" s="7">
        <v>0</v>
      </c>
      <c r="K154" s="109" t="str">
        <f t="shared" si="65"/>
        <v>4011/4012</v>
      </c>
      <c r="L154" s="22" t="str">
        <f>VLOOKUP(A154,'Trips&amp;Operators'!$C$1:$G$99999,5,FALSE)</f>
        <v>COOLAHAN JOHN</v>
      </c>
      <c r="M154" s="6">
        <f t="shared" si="66"/>
        <v>2.620370371005265E-2</v>
      </c>
      <c r="N154" s="7">
        <f t="shared" si="75"/>
        <v>37.733333342475817</v>
      </c>
      <c r="O154" s="7"/>
      <c r="P154" s="7"/>
      <c r="Q154" s="23"/>
      <c r="R154" s="23"/>
      <c r="S154" s="35">
        <f t="shared" si="64"/>
        <v>1</v>
      </c>
      <c r="T154" s="50" t="str">
        <f t="shared" si="67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23:18:23-700',mode:absolute,to:'2016-12-14 02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4" s="52" t="str">
        <f t="shared" si="69"/>
        <v>N</v>
      </c>
      <c r="X154" s="177">
        <f t="shared" si="62"/>
        <v>1</v>
      </c>
      <c r="Y154" s="67">
        <f t="shared" si="78"/>
        <v>23.301100000000002</v>
      </c>
      <c r="Z154" s="67">
        <f t="shared" si="63"/>
        <v>1.41E-2</v>
      </c>
      <c r="AA154" s="67">
        <f t="shared" si="70"/>
        <v>23.287000000000003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71"/>
        <v>0240-13</v>
      </c>
      <c r="AE154" s="91" t="str">
        <f t="shared" si="72"/>
        <v>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 &amp; aws s3 cp s3://rtdc.mdm.uploadarchive.raw/RTDC4012/ "%USERPROFILE%\AppData\Local\Temp\OnboardLogs"\RTDC4012\2016-12-15 --exclude "*" --recursive --include "*20161215*" &amp; "%USERPROFILE%\Documents\GitHub\mrs-test-scripts\Headless Mode &amp; Sideloading\WalkAndUnGZ.bat" "%USERPROFILE%\AppData\Local\Temp\OnboardLogs"\RTDC4012\2016-12-15</v>
      </c>
      <c r="AF154" s="88" t="str">
        <f t="shared" si="73"/>
        <v>"C:\Program Files (x86)\AstroGrep\AstroGrep.exe" /spath="%USERPROFILE%\AppData\Local\Temp\OnboardLogs" /stypes="app*4012*20161214*" /stext=" 08:.+((SYSTEM_STATE.+slice.+state.+changed )|(ment ac)|(multiple cpu faults)|(system.+state.+changed )|(\[timeout)|(PRM\|1\|D)|(kpr)|(kdp)|(\|lc)|(penalty))" /e /r /s</v>
      </c>
      <c r="AG154" s="1" t="str">
        <f t="shared" si="74"/>
        <v>EC</v>
      </c>
      <c r="AH154" s="92" t="str">
        <f t="shared" si="76"/>
        <v>"%USERPROFILE%\Documents\GitHub\eaglep3\Utilities\RefineRTDCRunTimes.py" --tripid 240-13 --locoid 4012 --swversion DE.1.0.8.0 --startMP 204:233011 --initTime 2016-12-14T00:18:23 --startdatetime 2016-12-14T00:26:31 --delay 1 --endMP 204:141 --enddatetime 2016-12-14T01:04:15 --enforcementcount 0 &gt;&gt;C:\Users\stu\Documents\GitHub\eaglep3-reporting\EC\2016-12-13-refined-times.txt</v>
      </c>
      <c r="AI154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{"issue":{"subject":"","project_id":79,"tracker_id":40,"status_id":1,"priority_id":2,"assigned_to_id":23,"start_date":"2016-12-14","description":"","custom_fields":[{"id":1,"name":"Subdivision","value":"EC"},{"id":4,"name":"Milepost","value":"0.0141"},{"id":17,"name":"Train ID","value":"240-13"},{"id":16,"name":"Locomotive ID","value":"4012"},{"id":130,"name":"Impact","value":""},{"id":150,"name":"Time of Event (Mountain Time)","value":"01:04:15"},{"id":151,"name":"Denver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444</v>
      </c>
      <c r="B155" s="7">
        <v>4022</v>
      </c>
      <c r="C155" s="22" t="s">
        <v>207</v>
      </c>
      <c r="D155" s="22" t="s">
        <v>252</v>
      </c>
      <c r="E155" s="13">
        <v>42717.990868055553</v>
      </c>
      <c r="F155" s="13">
        <v>42718.000150462962</v>
      </c>
      <c r="G155" s="7">
        <v>1</v>
      </c>
      <c r="H155" s="22" t="s">
        <v>335</v>
      </c>
      <c r="I155" s="13">
        <v>42718.024722222224</v>
      </c>
      <c r="J155" s="7">
        <v>1</v>
      </c>
      <c r="K155" s="109" t="str">
        <f t="shared" si="65"/>
        <v>4021/4022</v>
      </c>
      <c r="L155" s="22" t="str">
        <f>VLOOKUP(A155,'Trips&amp;Operators'!$C$1:$G$99999,5,FALSE)</f>
        <v>YANAI IAN</v>
      </c>
      <c r="M155" s="6">
        <f t="shared" si="66"/>
        <v>2.457175926247146E-2</v>
      </c>
      <c r="N155" s="7">
        <f t="shared" si="75"/>
        <v>35.383333337958902</v>
      </c>
      <c r="O155" s="7"/>
      <c r="P155" s="7"/>
      <c r="Q155" s="23"/>
      <c r="R155" s="23"/>
      <c r="S155" s="35">
        <f t="shared" si="64"/>
        <v>1</v>
      </c>
      <c r="T155" s="50" t="str">
        <f t="shared" si="67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22:46:51-700',mode:absolute,to:'2016-12-14 01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5" s="52" t="str">
        <f t="shared" si="69"/>
        <v>N</v>
      </c>
      <c r="X155" s="177">
        <f t="shared" si="62"/>
        <v>1</v>
      </c>
      <c r="Y155" s="67">
        <f t="shared" si="78"/>
        <v>4.58E-2</v>
      </c>
      <c r="Z155" s="67">
        <f t="shared" si="63"/>
        <v>23.3293</v>
      </c>
      <c r="AA155" s="67">
        <f t="shared" si="70"/>
        <v>23.2835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71"/>
        <v>0241-13</v>
      </c>
      <c r="AE155" s="91" t="str">
        <f t="shared" si="72"/>
        <v>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 &amp; aws s3 cp s3://rtdc.mdm.uploadarchive.raw/RTDC4022/ "%USERPROFILE%\AppData\Local\Temp\OnboardLogs"\RTDC4022\2016-12-15 --exclude "*" --recursive --include "*20161215*" &amp; "%USERPROFILE%\Documents\GitHub\mrs-test-scripts\Headless Mode &amp; Sideloading\WalkAndUnGZ.bat" "%USERPROFILE%\AppData\Local\Temp\OnboardLogs"\RTDC4022\2016-12-15</v>
      </c>
      <c r="AF155" s="88" t="str">
        <f t="shared" si="73"/>
        <v>"C:\Program Files (x86)\AstroGrep\AstroGrep.exe" /spath="%USERPROFILE%\AppData\Local\Temp\OnboardLogs" /stypes="app*4022*20161214*" /stext=" 07:.+((SYSTEM_STATE.+slice.+state.+changed )|(ment ac)|(multiple cpu faults)|(system.+state.+changed )|(\[timeout)|(PRM\|1\|D)|(kpr)|(kdp)|(\|lc)|(penalty))" /e /r /s</v>
      </c>
      <c r="AG155" s="1" t="str">
        <f t="shared" si="74"/>
        <v>EC</v>
      </c>
      <c r="AH155" s="92" t="str">
        <f t="shared" si="76"/>
        <v>"%USERPROFILE%\Documents\GitHub\eaglep3\Utilities\RefineRTDCRunTimes.py" --tripid 241-13 --locoid 4022 --swversion DE.1.0.8.0 --startMP 204:458 --initTime 2016-12-13T23:46:51 --startdatetime 2016-12-14T00:00:13 --delay 1 --endMP 204:233293 --enddatetime 2016-12-14T00:35:36 --enforcementcount 1 &gt;&gt;C:\Users\stu\Documents\GitHub\eaglep3-reporting\EC\2016-12-13-refined-times.txt</v>
      </c>
      <c r="AI155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{"issue":{"subject":"","project_id":79,"tracker_id":40,"status_id":1,"priority_id":2,"assigned_to_id":23,"start_date":"2016-12-14","description":"","custom_fields":[{"id":1,"name":"Subdivision","value":"EC"},{"id":4,"name":"Milepost","value":"23.3293"},{"id":17,"name":"Train ID","value":"241-13"},{"id":16,"name":"Locomotive ID","value":"4022"},{"id":130,"name":"Impact","value":""},{"id":150,"name":"Time of Event (Mountain Time)","value":"00:35:36"},{"id":151,"name":"Denver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629</v>
      </c>
      <c r="B156" s="7">
        <v>4021</v>
      </c>
      <c r="C156" s="22" t="s">
        <v>207</v>
      </c>
      <c r="D156" s="22" t="s">
        <v>336</v>
      </c>
      <c r="E156" s="13">
        <v>42718.02820601852</v>
      </c>
      <c r="F156" s="13">
        <v>42718.039155092592</v>
      </c>
      <c r="G156" s="7">
        <v>2</v>
      </c>
      <c r="H156" s="22" t="s">
        <v>331</v>
      </c>
      <c r="I156" s="13">
        <v>42718.065636574072</v>
      </c>
      <c r="J156" s="7">
        <v>0</v>
      </c>
      <c r="K156" s="109" t="str">
        <f t="shared" si="65"/>
        <v>4021/4022</v>
      </c>
      <c r="L156" s="22" t="str">
        <f>VLOOKUP(A156,'Trips&amp;Operators'!$C$1:$G$99999,5,FALSE)</f>
        <v>YANAI IAN</v>
      </c>
      <c r="M156" s="6">
        <f t="shared" si="66"/>
        <v>2.6481481480004732E-2</v>
      </c>
      <c r="N156" s="7">
        <f t="shared" si="75"/>
        <v>38.133333331206813</v>
      </c>
      <c r="O156" s="7"/>
      <c r="P156" s="7"/>
      <c r="Q156" s="23"/>
      <c r="R156" s="23"/>
      <c r="S156" s="35">
        <f t="shared" si="64"/>
        <v>1</v>
      </c>
      <c r="T156" s="50" t="str">
        <f t="shared" si="67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23:40:37-700',mode:absolute,to:'2016-12-14 02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6" s="52" t="str">
        <f t="shared" si="69"/>
        <v>N</v>
      </c>
      <c r="X156" s="177">
        <f t="shared" si="62"/>
        <v>1</v>
      </c>
      <c r="Y156" s="67">
        <f t="shared" si="78"/>
        <v>23.299099999999999</v>
      </c>
      <c r="Z156" s="67">
        <f t="shared" si="63"/>
        <v>1.5800000000000002E-2</v>
      </c>
      <c r="AA156" s="67">
        <f t="shared" si="70"/>
        <v>23.283300000000001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71"/>
        <v>0242-13</v>
      </c>
      <c r="AE156" s="91" t="str">
        <f t="shared" si="72"/>
        <v>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 &amp; aws s3 cp s3://rtdc.mdm.uploadarchive.raw/RTDC4021/ "%USERPROFILE%\AppData\Local\Temp\OnboardLogs"\RTDC4021\2016-12-15 --exclude "*" --recursive --include "*20161215*" &amp; "%USERPROFILE%\Documents\GitHub\mrs-test-scripts\Headless Mode &amp; Sideloading\WalkAndUnGZ.bat" "%USERPROFILE%\AppData\Local\Temp\OnboardLogs"\RTDC4021\2016-12-15</v>
      </c>
      <c r="AF156" s="88" t="str">
        <f t="shared" si="73"/>
        <v>"C:\Program Files (x86)\AstroGrep\AstroGrep.exe" /spath="%USERPROFILE%\AppData\Local\Temp\OnboardLogs" /stypes="app*4021*20161214*" /stext=" 08:.+((SYSTEM_STATE.+slice.+state.+changed )|(ment ac)|(multiple cpu faults)|(system.+state.+changed )|(\[timeout)|(PRM\|1\|D)|(kpr)|(kdp)|(\|lc)|(penalty))" /e /r /s</v>
      </c>
      <c r="AG156" s="1" t="str">
        <f t="shared" si="74"/>
        <v>EC</v>
      </c>
      <c r="AH156" s="92" t="str">
        <f t="shared" si="76"/>
        <v>"%USERPROFILE%\Documents\GitHub\eaglep3\Utilities\RefineRTDCRunTimes.py" --tripid 242-13 --locoid 4021 --swversion DE.1.0.8.0 --startMP 204:232991 --initTime 2016-12-14T00:40:37 --startdatetime 2016-12-14T00:56:23 --delay 2 --endMP 204:158 --enddatetime 2016-12-14T01:34:31 --enforcementcount 0 &gt;&gt;C:\Users\stu\Documents\GitHub\eaglep3-reporting\EC\2016-12-13-refined-times.txt</v>
      </c>
      <c r="AI156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{"issue":{"subject":"","project_id":79,"tracker_id":40,"status_id":1,"priority_id":2,"assigned_to_id":23,"start_date":"2016-12-14","description":"","custom_fields":[{"id":1,"name":"Subdivision","value":"EC"},{"id":4,"name":"Milepost","value":"0.0158"},{"id":17,"name":"Train ID","value":"242-13"},{"id":16,"name":"Locomotive ID","value":"4021"},{"id":130,"name":"Impact","value":""},{"id":150,"name":"Time of Event (Mountain Time)","value":"01:34:31"},{"id":151,"name":"Denver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445</v>
      </c>
      <c r="B157" s="7">
        <v>4020</v>
      </c>
      <c r="C157" s="22" t="s">
        <v>207</v>
      </c>
      <c r="D157" s="22" t="s">
        <v>279</v>
      </c>
      <c r="E157" s="13">
        <v>42718.01761574074</v>
      </c>
      <c r="F157" s="13">
        <v>42718.021122685182</v>
      </c>
      <c r="G157" s="7">
        <v>1</v>
      </c>
      <c r="H157" s="22" t="s">
        <v>316</v>
      </c>
      <c r="I157" s="13">
        <v>42718.047824074078</v>
      </c>
      <c r="J157" s="7">
        <v>1</v>
      </c>
      <c r="K157" s="109" t="str">
        <f t="shared" si="65"/>
        <v>4019/4020</v>
      </c>
      <c r="L157" s="22" t="str">
        <f>VLOOKUP(A157,'Trips&amp;Operators'!$C$1:$G$99999,5,FALSE)</f>
        <v>CHANDLER KELVIN</v>
      </c>
      <c r="M157" s="6">
        <f t="shared" si="66"/>
        <v>2.6701388895162381E-2</v>
      </c>
      <c r="N157" s="7">
        <f t="shared" si="75"/>
        <v>38.450000009033829</v>
      </c>
      <c r="O157" s="7"/>
      <c r="P157" s="7"/>
      <c r="Q157" s="23"/>
      <c r="R157" s="23"/>
      <c r="S157" s="35">
        <f t="shared" si="64"/>
        <v>1</v>
      </c>
      <c r="T157" s="50" t="str">
        <f t="shared" si="67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23:25:22-700',mode:absolute,to:'2016-12-14 02:08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7" s="52" t="str">
        <f t="shared" si="69"/>
        <v>N</v>
      </c>
      <c r="X157" s="177">
        <f t="shared" si="62"/>
        <v>1</v>
      </c>
      <c r="Y157" s="67">
        <f t="shared" si="78"/>
        <v>4.6399999999999997E-2</v>
      </c>
      <c r="Z157" s="67">
        <f t="shared" si="63"/>
        <v>23.329499999999999</v>
      </c>
      <c r="AA157" s="67">
        <f t="shared" si="70"/>
        <v>23.283100000000001</v>
      </c>
      <c r="AB157" s="64" t="str">
        <f>VLOOKUP(A157,Enforcements!$C$7:$K$19,8,0)</f>
        <v>Speed (6)</v>
      </c>
      <c r="AC157" s="60" t="str">
        <f>VLOOKUP(A157,Enforcements!$C$7:$E$19,3,0)</f>
        <v>PERMANENT SPEED RESTRICTION</v>
      </c>
      <c r="AD157" s="61" t="str">
        <f t="shared" si="71"/>
        <v>0243-13</v>
      </c>
      <c r="AE157" s="91" t="str">
        <f t="shared" si="72"/>
        <v>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 &amp; aws s3 cp s3://rtdc.mdm.uploadarchive.raw/RTDC4020/ "%USERPROFILE%\AppData\Local\Temp\OnboardLogs"\RTDC4020\2016-12-15 --exclude "*" --recursive --include "*20161215*" &amp; "%USERPROFILE%\Documents\GitHub\mrs-test-scripts\Headless Mode &amp; Sideloading\WalkAndUnGZ.bat" "%USERPROFILE%\AppData\Local\Temp\OnboardLogs"\RTDC4020\2016-12-15</v>
      </c>
      <c r="AF157" s="88" t="str">
        <f t="shared" si="73"/>
        <v>"C:\Program Files (x86)\AstroGrep\AstroGrep.exe" /spath="%USERPROFILE%\AppData\Local\Temp\OnboardLogs" /stypes="app*4020*20161214*" /stext=" 08:.+((SYSTEM_STATE.+slice.+state.+changed )|(ment ac)|(multiple cpu faults)|(system.+state.+changed )|(\[timeout)|(PRM\|1\|D)|(kpr)|(kdp)|(\|lc)|(penalty))" /e /r /s</v>
      </c>
      <c r="AG157" s="1" t="str">
        <f t="shared" si="74"/>
        <v>EC</v>
      </c>
      <c r="AH157" s="92" t="str">
        <f t="shared" si="76"/>
        <v>"%USERPROFILE%\Documents\GitHub\eaglep3\Utilities\RefineRTDCRunTimes.py" --tripid 243-13 --locoid 4020 --swversion DE.1.0.8.0 --startMP 204:464 --initTime 2016-12-14T00:25:22 --startdatetime 2016-12-14T00:30:25 --delay 1 --endMP 204:233295 --enddatetime 2016-12-14T01:08:52 --enforcementcount 1 &gt;&gt;C:\Users\stu\Documents\GitHub\eaglep3-reporting\EC\2016-12-13-refined-times.txt</v>
      </c>
      <c r="AI157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{"issue":{"subject":"","project_id":79,"tracker_id":40,"status_id":1,"priority_id":2,"assigned_to_id":23,"start_date":"2016-12-14","description":"","custom_fields":[{"id":1,"name":"Subdivision","value":"EC"},{"id":4,"name":"Milepost","value":"23.3295"},{"id":17,"name":"Train ID","value":"243-13"},{"id":16,"name":"Locomotive ID","value":"4020"},{"id":130,"name":"Impact","value":""},{"id":150,"name":"Time of Event (Mountain Time)","value":"01:08:52"},{"id":151,"name":"Denver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631</v>
      </c>
      <c r="B158" s="7">
        <v>4019</v>
      </c>
      <c r="C158" s="22" t="s">
        <v>207</v>
      </c>
      <c r="D158" s="22" t="s">
        <v>314</v>
      </c>
      <c r="E158" s="13">
        <v>42718.055335648147</v>
      </c>
      <c r="F158" s="13">
        <v>42718.060289351852</v>
      </c>
      <c r="G158" s="7">
        <v>1</v>
      </c>
      <c r="H158" s="22" t="s">
        <v>706</v>
      </c>
      <c r="I158" s="13">
        <v>42718.088935185187</v>
      </c>
      <c r="J158" s="7">
        <v>0</v>
      </c>
      <c r="K158" s="109" t="str">
        <f t="shared" si="65"/>
        <v>4019/4020</v>
      </c>
      <c r="L158" s="22" t="str">
        <f>VLOOKUP(A158,'Trips&amp;Operators'!$C$1:$G$99999,5,FALSE)</f>
        <v>CHANDLER KELVIN</v>
      </c>
      <c r="M158" s="6">
        <f t="shared" si="66"/>
        <v>2.8645833335758653E-2</v>
      </c>
      <c r="N158" s="7">
        <f t="shared" si="75"/>
        <v>41.25000000349246</v>
      </c>
      <c r="O158" s="7"/>
      <c r="P158" s="7"/>
      <c r="Q158" s="23"/>
      <c r="R158" s="23"/>
      <c r="S158" s="35">
        <f t="shared" si="64"/>
        <v>1</v>
      </c>
      <c r="T158" s="50" t="str">
        <f t="shared" si="67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https://search-rtdc-monitor-bjffxe2xuh6vdkpspy63sjmuny.us-east-1.es.amazonaws.com/_plugin/kibana/#/discover/Steve-Slow-Train-Analysis-(2080s-and-2083s)?_g=(refreshInterval:(display:Off,section:0,value:0),time:(from:'2016-12-14 00:19:41-700',mode:absolute,to:'2016-12-14 03:08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8" s="52" t="str">
        <f t="shared" si="69"/>
        <v>N</v>
      </c>
      <c r="X158" s="177">
        <f t="shared" si="62"/>
        <v>1</v>
      </c>
      <c r="Y158" s="67">
        <f t="shared" si="78"/>
        <v>23.297699999999999</v>
      </c>
      <c r="Z158" s="67">
        <f t="shared" si="63"/>
        <v>1.7600000000000001E-2</v>
      </c>
      <c r="AA158" s="67">
        <f t="shared" si="70"/>
        <v>23.280099999999997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71"/>
        <v>0244-13</v>
      </c>
      <c r="AE158" s="91" t="str">
        <f t="shared" si="72"/>
        <v>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 &amp; aws s3 cp s3://rtdc.mdm.uploadarchive.raw/RTDC4019/ "%USERPROFILE%\AppData\Local\Temp\OnboardLogs"\RTDC4019\2016-12-15 --exclude "*" --recursive --include "*20161215*" &amp; "%USERPROFILE%\Documents\GitHub\mrs-test-scripts\Headless Mode &amp; Sideloading\WalkAndUnGZ.bat" "%USERPROFILE%\AppData\Local\Temp\OnboardLogs"\RTDC4019\2016-12-15</v>
      </c>
      <c r="AF158" s="88" t="str">
        <f t="shared" si="73"/>
        <v>"C:\Program Files (x86)\AstroGrep\AstroGrep.exe" /spath="%USERPROFILE%\AppData\Local\Temp\OnboardLogs" /stypes="app*4019*20161214*" /stext=" 09:.+((SYSTEM_STATE.+slice.+state.+changed )|(ment ac)|(multiple cpu faults)|(system.+state.+changed )|(\[timeout)|(PRM\|1\|D)|(kpr)|(kdp)|(\|lc)|(penalty))" /e /r /s</v>
      </c>
      <c r="AG158" s="1" t="str">
        <f t="shared" si="74"/>
        <v>EC</v>
      </c>
      <c r="AH158" s="92" t="str">
        <f t="shared" si="76"/>
        <v>"%USERPROFILE%\Documents\GitHub\eaglep3\Utilities\RefineRTDCRunTimes.py" --tripid 244-13 --locoid 4019 --swversion DE.1.0.8.0 --startMP 204:232977 --initTime 2016-12-14T01:19:41 --startdatetime 2016-12-14T01:26:49 --delay 1 --endMP 204:176 --enddatetime 2016-12-14T02:08:04 --enforcementcount 0 &gt;&gt;C:\Users\stu\Documents\GitHub\eaglep3-reporting\EC\2016-12-13-refined-times.txt</v>
      </c>
      <c r="AI158" s="119" t="str">
        <f t="shared" si="77"/>
        <v>echo {"issue":{"subject":"","project_id":79,"tracker_id":40,"status_id":1,"priority_id":2,"assigned_to_id":23,"start_date":"2016-12-14","description":"","custom_fields":[{"id":1,"name":"Subdivision","value":"EC"},{"id":4,"name":"Milepost","value":"0.0176"},{"id":17,"name":"Train ID","value":"244-13"},{"id":16,"name":"Locomotive ID","value":"4019"},{"id":130,"name":"Impact","value":""},{"id":150,"name":"Time of Event (Mountain Time)","value":"02:08:04"},{"id":151,"name":"Denver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459</v>
      </c>
      <c r="B159" s="7">
        <v>4045</v>
      </c>
      <c r="C159" s="22" t="s">
        <v>207</v>
      </c>
      <c r="D159" s="22" t="s">
        <v>296</v>
      </c>
      <c r="E159" s="13">
        <v>42717.215011574073</v>
      </c>
      <c r="F159" s="13">
        <v>42717.216805555552</v>
      </c>
      <c r="G159" s="7">
        <v>1</v>
      </c>
      <c r="H159" s="22" t="s">
        <v>756</v>
      </c>
      <c r="I159" s="13">
        <v>42717.226585648146</v>
      </c>
      <c r="J159" s="7">
        <v>0</v>
      </c>
      <c r="K159" s="109" t="str">
        <f t="shared" si="65"/>
        <v>4045/4046</v>
      </c>
      <c r="L159" s="22" t="str">
        <f>VLOOKUP(A159,'Trips&amp;Operators'!$C$1:$G$99999,5,FALSE)</f>
        <v>STARKS ANGELINA</v>
      </c>
      <c r="M159" s="6">
        <f t="shared" si="66"/>
        <v>9.7800925941555761E-3</v>
      </c>
      <c r="N159" s="7">
        <f t="shared" si="75"/>
        <v>14.08333333558403</v>
      </c>
      <c r="O159" s="7"/>
      <c r="P159" s="7"/>
      <c r="Q159" s="23"/>
      <c r="R159" s="23"/>
      <c r="S159" s="35">
        <f t="shared" si="64"/>
        <v>1</v>
      </c>
      <c r="T159" s="50" t="str">
        <f t="shared" si="67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04:09:37-700',mode:absolute,to:'2016-12-13 06:26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69"/>
        <v>N</v>
      </c>
      <c r="X159" s="177">
        <f t="shared" si="62"/>
        <v>556</v>
      </c>
      <c r="Y159" s="67">
        <f t="shared" si="78"/>
        <v>5.8632</v>
      </c>
      <c r="Z159" s="67">
        <f t="shared" si="63"/>
        <v>7.0499999999999993E-2</v>
      </c>
      <c r="AA159" s="67">
        <f t="shared" si="70"/>
        <v>5.7927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71"/>
        <v>0800-13</v>
      </c>
      <c r="AE159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59" s="88" t="str">
        <f t="shared" si="73"/>
        <v>"C:\Program Files (x86)\AstroGrep\AstroGrep.exe" /spath="%USERPROFILE%\AppData\Local\Temp\OnboardLogs" /stypes="app*4045*20161213*" /stext=" 12:.+((SYSTEM_STATE.+slice.+state.+changed )|(ment ac)|(multiple cpu faults)|(system.+state.+changed )|(\[timeout)|(PRM\|1\|D)|(kpr)|(kdp)|(\|lc)|(penalty))" /e /r /s</v>
      </c>
      <c r="AG159" s="1" t="str">
        <f t="shared" si="74"/>
        <v>NW</v>
      </c>
      <c r="AH159" s="92" t="str">
        <f t="shared" si="76"/>
        <v>"%USERPROFILE%\Documents\GitHub\eaglep3\Utilities\RefineRTDCRunTimes.py" --tripid 800-13 --locoid 4045 --swversion DE.1.0.8.0 --startMP 300:58632 --initTime 2016-12-13T05:09:37 --startdatetime 2016-12-13T05:12:12 --delay 1 --endMP 204:705 --enddatetime 2016-12-13T05:26:17 --enforcementcount 0 &gt;&gt;C:\Users\stu\Documents\GitHub\eaglep3-reporting\EC\2016-12-13-refined-times.txt</v>
      </c>
      <c r="AI159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{"issue":{"subject":"","project_id":79,"tracker_id":40,"status_id":1,"priority_id":2,"assigned_to_id":23,"start_date":"2016-12-13","description":"","custom_fields":[{"id":1,"name":"Subdivision","value":"NW"},{"id":4,"name":"Milepost","value":"0.0705"},{"id":17,"name":"Train ID","value":"800-13"},{"id":16,"name":"Locomotive ID","value":"4045"},{"id":130,"name":"Impact","value":""},{"id":150,"name":"Time of Event (Mountain Time)","value":"05:26:17"},{"id":151,"name":"Denver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463</v>
      </c>
      <c r="B160" s="7">
        <v>4046</v>
      </c>
      <c r="C160" s="22" t="s">
        <v>207</v>
      </c>
      <c r="D160" s="22" t="s">
        <v>757</v>
      </c>
      <c r="E160" s="13">
        <v>42717.241828703707</v>
      </c>
      <c r="F160" s="13">
        <v>42717.243935185186</v>
      </c>
      <c r="G160" s="7">
        <v>1</v>
      </c>
      <c r="H160" s="22" t="s">
        <v>758</v>
      </c>
      <c r="I160" s="13">
        <v>42717.253495370373</v>
      </c>
      <c r="J160" s="7">
        <v>0</v>
      </c>
      <c r="K160" s="109" t="str">
        <f t="shared" si="65"/>
        <v>4045/4046</v>
      </c>
      <c r="L160" s="22" t="str">
        <f>VLOOKUP(A160,'Trips&amp;Operators'!$C$1:$G$99999,5,FALSE)</f>
        <v>STARKS ANGELINA</v>
      </c>
      <c r="M160" s="6">
        <f t="shared" si="66"/>
        <v>9.560185186273884E-3</v>
      </c>
      <c r="N160" s="7">
        <f t="shared" si="75"/>
        <v>13.766666668234393</v>
      </c>
      <c r="O160" s="7"/>
      <c r="P160" s="7"/>
      <c r="Q160" s="23"/>
      <c r="R160" s="23"/>
      <c r="S160" s="35">
        <f t="shared" si="64"/>
        <v>1</v>
      </c>
      <c r="T160" s="50" t="str">
        <f t="shared" si="67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04:48:14-700',mode:absolute,to:'2016-12-13 07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0" s="52" t="str">
        <f t="shared" si="69"/>
        <v>N</v>
      </c>
      <c r="X160" s="177">
        <f t="shared" si="62"/>
        <v>1</v>
      </c>
      <c r="Y160" s="67">
        <f t="shared" si="78"/>
        <v>0.1</v>
      </c>
      <c r="Z160" s="67">
        <f t="shared" si="63"/>
        <v>5.8959999999999999</v>
      </c>
      <c r="AA160" s="67">
        <f t="shared" si="70"/>
        <v>5.7960000000000003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71"/>
        <v>0801-13</v>
      </c>
      <c r="AE160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60" s="88" t="str">
        <f t="shared" si="73"/>
        <v>"C:\Program Files (x86)\AstroGrep\AstroGrep.exe" /spath="%USERPROFILE%\AppData\Local\Temp\OnboardLogs" /stypes="app*4046*20161213*" /stext=" 13:.+((SYSTEM_STATE.+slice.+state.+changed )|(ment ac)|(multiple cpu faults)|(system.+state.+changed )|(\[timeout)|(PRM\|1\|D)|(kpr)|(kdp)|(\|lc)|(penalty))" /e /r /s</v>
      </c>
      <c r="AG160" s="1" t="str">
        <f t="shared" si="74"/>
        <v>NW</v>
      </c>
      <c r="AH160" s="92" t="str">
        <f t="shared" si="76"/>
        <v>"%USERPROFILE%\Documents\GitHub\eaglep3\Utilities\RefineRTDCRunTimes.py" --tripid 801-13 --locoid 4046 --swversion DE.1.0.8.0 --startMP 204:1000 --initTime 2016-12-13T05:48:14 --startdatetime 2016-12-13T05:51:16 --delay 1 --endMP 300:58960 --enddatetime 2016-12-13T06:05:02 --enforcementcount 0 &gt;&gt;C:\Users\stu\Documents\GitHub\eaglep3-reporting\EC\2016-12-13-refined-times.txt</v>
      </c>
      <c r="AI160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{"issue":{"subject":"","project_id":79,"tracker_id":40,"status_id":1,"priority_id":2,"assigned_to_id":23,"start_date":"2016-12-13","description":"","custom_fields":[{"id":1,"name":"Subdivision","value":"NW"},{"id":4,"name":"Milepost","value":"5.896"},{"id":17,"name":"Train ID","value":"801-13"},{"id":16,"name":"Locomotive ID","value":"4046"},{"id":130,"name":"Impact","value":""},{"id":150,"name":"Time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471</v>
      </c>
      <c r="B161" s="7">
        <v>4045</v>
      </c>
      <c r="C161" s="22" t="s">
        <v>207</v>
      </c>
      <c r="D161" s="22" t="s">
        <v>396</v>
      </c>
      <c r="E161" s="13">
        <v>42717.254988425928</v>
      </c>
      <c r="F161" s="13">
        <v>42717.256261574075</v>
      </c>
      <c r="G161" s="7">
        <v>1</v>
      </c>
      <c r="H161" s="22" t="s">
        <v>399</v>
      </c>
      <c r="I161" s="13">
        <v>42717.268125000002</v>
      </c>
      <c r="J161" s="7">
        <v>0</v>
      </c>
      <c r="K161" s="109" t="str">
        <f t="shared" si="65"/>
        <v>4045/4046</v>
      </c>
      <c r="L161" s="22" t="str">
        <f>VLOOKUP(A161,'Trips&amp;Operators'!$C$1:$G$99999,5,FALSE)</f>
        <v>STARKS ANGELINA</v>
      </c>
      <c r="M161" s="6">
        <f t="shared" si="66"/>
        <v>1.1863425927003846E-2</v>
      </c>
      <c r="N161" s="7">
        <f t="shared" si="75"/>
        <v>17.083333334885538</v>
      </c>
      <c r="O161" s="7"/>
      <c r="P161" s="7"/>
      <c r="Q161" s="23"/>
      <c r="R161" s="23"/>
      <c r="S161" s="35">
        <f t="shared" si="64"/>
        <v>1</v>
      </c>
      <c r="T161" s="50" t="str">
        <f t="shared" si="67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05:07:11-700',mode:absolute,to:'2016-12-13 07:26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1" s="52" t="str">
        <f t="shared" si="69"/>
        <v>N</v>
      </c>
      <c r="X161" s="177">
        <f t="shared" si="62"/>
        <v>1</v>
      </c>
      <c r="Y161" s="67">
        <f t="shared" si="78"/>
        <v>5.8638000000000003</v>
      </c>
      <c r="Z161" s="67">
        <f t="shared" si="63"/>
        <v>6.6299999999999998E-2</v>
      </c>
      <c r="AA161" s="67">
        <f t="shared" si="70"/>
        <v>5.7975000000000003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71"/>
        <v>0802-13</v>
      </c>
      <c r="AE161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61" s="88" t="str">
        <f t="shared" si="73"/>
        <v>"C:\Program Files (x86)\AstroGrep\AstroGrep.exe" /spath="%USERPROFILE%\AppData\Local\Temp\OnboardLogs" /stypes="app*4045*20161213*" /stext=" 13:.+((SYSTEM_STATE.+slice.+state.+changed )|(ment ac)|(multiple cpu faults)|(system.+state.+changed )|(\[timeout)|(PRM\|1\|D)|(kpr)|(kdp)|(\|lc)|(penalty))" /e /r /s</v>
      </c>
      <c r="AG161" s="1" t="str">
        <f t="shared" si="74"/>
        <v>NW</v>
      </c>
      <c r="AH161" s="92" t="str">
        <f t="shared" si="76"/>
        <v>"%USERPROFILE%\Documents\GitHub\eaglep3\Utilities\RefineRTDCRunTimes.py" --tripid 802-13 --locoid 4045 --swversion DE.1.0.8.0 --startMP 300:58638 --initTime 2016-12-13T06:07:11 --startdatetime 2016-12-13T06:09:01 --delay 1 --endMP 204:663 --enddatetime 2016-12-13T06:26:06 --enforcementcount 0 &gt;&gt;C:\Users\stu\Documents\GitHub\eaglep3-reporting\EC\2016-12-13-refined-times.txt</v>
      </c>
      <c r="AI161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{"issue":{"subject":"","project_id":79,"tracker_id":40,"status_id":1,"priority_id":2,"assigned_to_id":23,"start_date":"2016-12-13","description":"","custom_fields":[{"id":1,"name":"Subdivision","value":"NW"},{"id":4,"name":"Milepost","value":"0.0663"},{"id":17,"name":"Train ID","value":"802-13"},{"id":16,"name":"Locomotive ID","value":"4045"},{"id":130,"name":"Impact","value":""},{"id":150,"name":"Time of Event (Mountain Time)","value":"06:26:06"},{"id":151,"name":"Denver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472</v>
      </c>
      <c r="B162" s="7">
        <v>4040</v>
      </c>
      <c r="C162" s="22" t="s">
        <v>207</v>
      </c>
      <c r="D162" s="22" t="s">
        <v>342</v>
      </c>
      <c r="E162" s="13">
        <v>42717.258900462963</v>
      </c>
      <c r="F162" s="13">
        <v>42717.264768518522</v>
      </c>
      <c r="G162" s="7">
        <v>1</v>
      </c>
      <c r="H162" s="22" t="s">
        <v>759</v>
      </c>
      <c r="I162" s="13">
        <v>42717.274421296293</v>
      </c>
      <c r="J162" s="7">
        <v>0</v>
      </c>
      <c r="K162" s="109" t="str">
        <f t="shared" si="65"/>
        <v>4039/4040</v>
      </c>
      <c r="L162" s="22" t="str">
        <f>VLOOKUP(A162,'Trips&amp;Operators'!$C$1:$G$99999,5,FALSE)</f>
        <v>LEVIN SCOTT</v>
      </c>
      <c r="M162" s="6">
        <f t="shared" si="66"/>
        <v>9.6527777714072727E-3</v>
      </c>
      <c r="N162" s="7">
        <f t="shared" si="75"/>
        <v>13.899999990826473</v>
      </c>
      <c r="O162" s="7"/>
      <c r="P162" s="7"/>
      <c r="Q162" s="23"/>
      <c r="R162" s="23"/>
      <c r="S162" s="35">
        <f t="shared" si="64"/>
        <v>1</v>
      </c>
      <c r="T162" s="50" t="str">
        <f t="shared" si="67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05:12:49-700',mode:absolute,to:'2016-12-13 07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69"/>
        <v>N</v>
      </c>
      <c r="X162" s="177">
        <f t="shared" si="62"/>
        <v>1</v>
      </c>
      <c r="Y162" s="67">
        <f t="shared" si="78"/>
        <v>9.74E-2</v>
      </c>
      <c r="Z162" s="67">
        <f t="shared" si="63"/>
        <v>5.8924000000000003</v>
      </c>
      <c r="AA162" s="67">
        <f t="shared" si="70"/>
        <v>5.7949999999999999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71"/>
        <v>0803-13</v>
      </c>
      <c r="AE162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62" s="88" t="str">
        <f t="shared" si="73"/>
        <v>"C:\Program Files (x86)\AstroGrep\AstroGrep.exe" /spath="%USERPROFILE%\AppData\Local\Temp\OnboardLogs" /stypes="app*4040*20161213*" /stext=" 13:.+((SYSTEM_STATE.+slice.+state.+changed )|(ment ac)|(multiple cpu faults)|(system.+state.+changed )|(\[timeout)|(PRM\|1\|D)|(kpr)|(kdp)|(\|lc)|(penalty))" /e /r /s</v>
      </c>
      <c r="AG162" s="1" t="str">
        <f t="shared" si="74"/>
        <v>NW</v>
      </c>
      <c r="AH162" s="92" t="str">
        <f t="shared" si="76"/>
        <v>"%USERPROFILE%\Documents\GitHub\eaglep3\Utilities\RefineRTDCRunTimes.py" --tripid 803-13 --locoid 4040 --swversion DE.1.0.8.0 --startMP 204:974 --initTime 2016-12-13T06:12:49 --startdatetime 2016-12-13T06:21:16 --delay 1 --endMP 300:58924 --enddatetime 2016-12-13T06:35:10 --enforcementcount 0 &gt;&gt;C:\Users\stu\Documents\GitHub\eaglep3-reporting\EC\2016-12-13-refined-times.txt</v>
      </c>
      <c r="AI162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{"issue":{"subject":"","project_id":79,"tracker_id":40,"status_id":1,"priority_id":2,"assigned_to_id":23,"start_date":"2016-12-13","description":"","custom_fields":[{"id":1,"name":"Subdivision","value":"NW"},{"id":4,"name":"Milepost","value":"5.8924"},{"id":17,"name":"Train ID","value":"803-13"},{"id":16,"name":"Locomotive ID","value":"4040"},{"id":130,"name":"Impact","value":""},{"id":150,"name":"Time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476</v>
      </c>
      <c r="B163" s="7">
        <v>4039</v>
      </c>
      <c r="C163" s="22" t="s">
        <v>207</v>
      </c>
      <c r="D163" s="22" t="s">
        <v>388</v>
      </c>
      <c r="E163" s="13">
        <v>42717.27553240741</v>
      </c>
      <c r="F163" s="13">
        <v>42717.276886574073</v>
      </c>
      <c r="G163" s="7">
        <v>1</v>
      </c>
      <c r="H163" s="22" t="s">
        <v>402</v>
      </c>
      <c r="I163" s="13">
        <v>42717.289282407408</v>
      </c>
      <c r="J163" s="7">
        <v>0</v>
      </c>
      <c r="K163" s="109" t="str">
        <f t="shared" si="65"/>
        <v>4039/4040</v>
      </c>
      <c r="L163" s="22" t="str">
        <f>VLOOKUP(A163,'Trips&amp;Operators'!$C$1:$G$99999,5,FALSE)</f>
        <v>LEVIN SCOTT</v>
      </c>
      <c r="M163" s="6">
        <f t="shared" si="66"/>
        <v>1.2395833335176576E-2</v>
      </c>
      <c r="N163" s="7">
        <f t="shared" si="75"/>
        <v>17.850000002654269</v>
      </c>
      <c r="O163" s="7"/>
      <c r="P163" s="7"/>
      <c r="Q163" s="23"/>
      <c r="R163" s="23"/>
      <c r="S163" s="35">
        <f t="shared" si="64"/>
        <v>1</v>
      </c>
      <c r="T163" s="50" t="str">
        <f t="shared" si="67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05:36:46-700',mode:absolute,to:'2016-12-13 07:56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69"/>
        <v>N</v>
      </c>
      <c r="X163" s="177">
        <f t="shared" si="62"/>
        <v>1</v>
      </c>
      <c r="Y163" s="67">
        <f t="shared" si="78"/>
        <v>5.8616999999999999</v>
      </c>
      <c r="Z163" s="67">
        <f t="shared" si="63"/>
        <v>7.5700000000000003E-2</v>
      </c>
      <c r="AA163" s="67">
        <f t="shared" si="70"/>
        <v>5.7859999999999996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71"/>
        <v>0804-13</v>
      </c>
      <c r="AE163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63" s="88" t="str">
        <f t="shared" si="73"/>
        <v>"C:\Program Files (x86)\AstroGrep\AstroGrep.exe" /spath="%USERPROFILE%\AppData\Local\Temp\OnboardLogs" /stypes="app*4039*20161213*" /stext=" 13:.+((SYSTEM_STATE.+slice.+state.+changed )|(ment ac)|(multiple cpu faults)|(system.+state.+changed )|(\[timeout)|(PRM\|1\|D)|(kpr)|(kdp)|(\|lc)|(penalty))" /e /r /s</v>
      </c>
      <c r="AG163" s="1" t="str">
        <f t="shared" si="74"/>
        <v>NW</v>
      </c>
      <c r="AH163" s="92" t="str">
        <f t="shared" si="76"/>
        <v>"%USERPROFILE%\Documents\GitHub\eaglep3\Utilities\RefineRTDCRunTimes.py" --tripid 804-13 --locoid 4039 --swversion DE.1.0.8.0 --startMP 300:58617 --initTime 2016-12-13T06:36:46 --startdatetime 2016-12-13T06:38:43 --delay 1 --endMP 204:757 --enddatetime 2016-12-13T06:56:34 --enforcementcount 0 &gt;&gt;C:\Users\stu\Documents\GitHub\eaglep3-reporting\EC\2016-12-13-refined-times.txt</v>
      </c>
      <c r="AI163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{"issue":{"subject":"","project_id":79,"tracker_id":40,"status_id":1,"priority_id":2,"assigned_to_id":23,"start_date":"2016-12-13","description":"","custom_fields":[{"id":1,"name":"Subdivision","value":"NW"},{"id":4,"name":"Milepost","value":"0.0757"},{"id":17,"name":"Train ID","value":"804-13"},{"id":16,"name":"Locomotive ID","value":"4039"},{"id":130,"name":"Impact","value":""},{"id":150,"name":"Time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478</v>
      </c>
      <c r="B164" s="7">
        <v>4046</v>
      </c>
      <c r="C164" s="22" t="s">
        <v>207</v>
      </c>
      <c r="D164" s="22" t="s">
        <v>760</v>
      </c>
      <c r="E164" s="13">
        <v>42717.28334490741</v>
      </c>
      <c r="F164" s="13">
        <v>42717.285590277781</v>
      </c>
      <c r="G164" s="7">
        <v>1</v>
      </c>
      <c r="H164" s="22" t="s">
        <v>761</v>
      </c>
      <c r="I164" s="13">
        <v>42717.294687499998</v>
      </c>
      <c r="J164" s="7">
        <v>0</v>
      </c>
      <c r="K164" s="109" t="str">
        <f t="shared" si="65"/>
        <v>4045/4046</v>
      </c>
      <c r="L164" s="22" t="str">
        <f>VLOOKUP(A164,'Trips&amp;Operators'!$C$1:$G$99999,5,FALSE)</f>
        <v>STARKS ANGELINA</v>
      </c>
      <c r="M164" s="6">
        <f t="shared" si="66"/>
        <v>9.0972222169511952E-3</v>
      </c>
      <c r="N164" s="7">
        <f t="shared" si="75"/>
        <v>13.099999992409721</v>
      </c>
      <c r="O164" s="7"/>
      <c r="P164" s="7"/>
      <c r="Q164" s="23"/>
      <c r="R164" s="23"/>
      <c r="S164" s="35">
        <f t="shared" si="64"/>
        <v>1</v>
      </c>
      <c r="T164" s="50" t="str">
        <f t="shared" si="67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05:48:01-700',mode:absolute,to:'2016-12-13 08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4" s="52" t="str">
        <f t="shared" si="69"/>
        <v>N</v>
      </c>
      <c r="X164" s="177">
        <f t="shared" si="62"/>
        <v>1</v>
      </c>
      <c r="Y164" s="67">
        <f t="shared" si="78"/>
        <v>9.9199999999999997E-2</v>
      </c>
      <c r="Z164" s="67">
        <f t="shared" si="63"/>
        <v>5.8960999999999997</v>
      </c>
      <c r="AA164" s="67">
        <f t="shared" si="70"/>
        <v>5.7968999999999999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71"/>
        <v>0805-13</v>
      </c>
      <c r="AE164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64" s="88" t="str">
        <f t="shared" si="73"/>
        <v>"C:\Program Files (x86)\AstroGrep\AstroGrep.exe" /spath="%USERPROFILE%\AppData\Local\Temp\OnboardLogs" /stypes="app*4046*20161213*" /stext=" 14:.+((SYSTEM_STATE.+slice.+state.+changed )|(ment ac)|(multiple cpu faults)|(system.+state.+changed )|(\[timeout)|(PRM\|1\|D)|(kpr)|(kdp)|(\|lc)|(penalty))" /e /r /s</v>
      </c>
      <c r="AG164" s="1" t="str">
        <f t="shared" si="74"/>
        <v>NW</v>
      </c>
      <c r="AH164" s="92" t="str">
        <f t="shared" si="76"/>
        <v>"%USERPROFILE%\Documents\GitHub\eaglep3\Utilities\RefineRTDCRunTimes.py" --tripid 805-13 --locoid 4046 --swversion DE.1.0.8.0 --startMP 204:992 --initTime 2016-12-13T06:48:01 --startdatetime 2016-12-13T06:51:15 --delay 1 --endMP 300:58961 --enddatetime 2016-12-13T07:04:21 --enforcementcount 0 &gt;&gt;C:\Users\stu\Documents\GitHub\eaglep3-reporting\EC\2016-12-13-refined-times.txt</v>
      </c>
      <c r="AI164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{"issue":{"subject":"","project_id":79,"tracker_id":40,"status_id":1,"priority_id":2,"assigned_to_id":23,"start_date":"2016-12-13","description":"","custom_fields":[{"id":1,"name":"Subdivision","value":"NW"},{"id":4,"name":"Milepost","value":"5.8961"},{"id":17,"name":"Train ID","value":"805-13"},{"id":16,"name":"Locomotive ID","value":"4046"},{"id":130,"name":"Impact","value":""},{"id":150,"name":"Time of Event (Mountain Time)","value":"07:04:21"},{"id":151,"name":"Denver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482</v>
      </c>
      <c r="B165" s="7">
        <v>4045</v>
      </c>
      <c r="C165" s="22" t="s">
        <v>207</v>
      </c>
      <c r="D165" s="22" t="s">
        <v>762</v>
      </c>
      <c r="E165" s="13">
        <v>42717.295775462961</v>
      </c>
      <c r="F165" s="13">
        <v>42717.297418981485</v>
      </c>
      <c r="G165" s="7">
        <v>1</v>
      </c>
      <c r="H165" s="22" t="s">
        <v>763</v>
      </c>
      <c r="I165" s="13">
        <v>42717.30978009259</v>
      </c>
      <c r="J165" s="7">
        <v>0</v>
      </c>
      <c r="K165" s="109" t="str">
        <f t="shared" si="65"/>
        <v>4045/4046</v>
      </c>
      <c r="L165" s="22" t="str">
        <f>VLOOKUP(A165,'Trips&amp;Operators'!$C$1:$G$99999,5,FALSE)</f>
        <v>STARKS ANGELINA</v>
      </c>
      <c r="M165" s="6">
        <f t="shared" si="66"/>
        <v>1.2361111104837619E-2</v>
      </c>
      <c r="N165" s="7">
        <f t="shared" si="75"/>
        <v>17.799999990966171</v>
      </c>
      <c r="O165" s="7"/>
      <c r="P165" s="7"/>
      <c r="Q165" s="23"/>
      <c r="R165" s="23"/>
      <c r="S165" s="35">
        <f t="shared" si="64"/>
        <v>1</v>
      </c>
      <c r="T165" s="50" t="str">
        <f t="shared" si="67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06:05:55-700',mode:absolute,to:'2016-12-13 08:26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5" s="52" t="str">
        <f t="shared" si="69"/>
        <v>N</v>
      </c>
      <c r="X165" s="177">
        <f t="shared" si="62"/>
        <v>1</v>
      </c>
      <c r="Y165" s="67">
        <f t="shared" si="78"/>
        <v>5.8647</v>
      </c>
      <c r="Z165" s="67">
        <f t="shared" si="63"/>
        <v>7.0800000000000002E-2</v>
      </c>
      <c r="AA165" s="67">
        <f t="shared" si="70"/>
        <v>5.7938999999999998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71"/>
        <v>0806-13</v>
      </c>
      <c r="AE165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65" s="88" t="str">
        <f t="shared" si="73"/>
        <v>"C:\Program Files (x86)\AstroGrep\AstroGrep.exe" /spath="%USERPROFILE%\AppData\Local\Temp\OnboardLogs" /stypes="app*4045*20161213*" /stext=" 14:.+((SYSTEM_STATE.+slice.+state.+changed )|(ment ac)|(multiple cpu faults)|(system.+state.+changed )|(\[timeout)|(PRM\|1\|D)|(kpr)|(kdp)|(\|lc)|(penalty))" /e /r /s</v>
      </c>
      <c r="AG165" s="1" t="str">
        <f t="shared" si="74"/>
        <v>NW</v>
      </c>
      <c r="AH165" s="92" t="str">
        <f t="shared" si="76"/>
        <v>"%USERPROFILE%\Documents\GitHub\eaglep3\Utilities\RefineRTDCRunTimes.py" --tripid 806-13 --locoid 4045 --swversion DE.1.0.8.0 --startMP 300:58647 --initTime 2016-12-13T07:05:55 --startdatetime 2016-12-13T07:08:17 --delay 1 --endMP 204:708 --enddatetime 2016-12-13T07:26:05 --enforcementcount 0 &gt;&gt;C:\Users\stu\Documents\GitHub\eaglep3-reporting\EC\2016-12-13-refined-times.txt</v>
      </c>
      <c r="AI165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{"issue":{"subject":"","project_id":79,"tracker_id":40,"status_id":1,"priority_id":2,"assigned_to_id":23,"start_date":"2016-12-13","description":"","custom_fields":[{"id":1,"name":"Subdivision","value":"NW"},{"id":4,"name":"Milepost","value":"0.0708"},{"id":17,"name":"Train ID","value":"806-13"},{"id":16,"name":"Locomotive ID","value":"4045"},{"id":130,"name":"Impact","value":""},{"id":150,"name":"Time of Event (Mountain Time)","value":"07:26:05"},{"id":151,"name":"Denver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484</v>
      </c>
      <c r="B166" s="7">
        <v>4040</v>
      </c>
      <c r="C166" s="22" t="s">
        <v>207</v>
      </c>
      <c r="D166" s="22" t="s">
        <v>764</v>
      </c>
      <c r="E166" s="13">
        <v>42717.304502314815</v>
      </c>
      <c r="F166" s="13">
        <v>42717.306435185186</v>
      </c>
      <c r="G166" s="7">
        <v>1</v>
      </c>
      <c r="H166" s="22" t="s">
        <v>765</v>
      </c>
      <c r="I166" s="13">
        <v>42717.31554398148</v>
      </c>
      <c r="J166" s="7">
        <v>0</v>
      </c>
      <c r="K166" s="109" t="str">
        <f t="shared" si="65"/>
        <v>4039/4040</v>
      </c>
      <c r="L166" s="22" t="str">
        <f>VLOOKUP(A166,'Trips&amp;Operators'!$C$1:$G$99999,5,FALSE)</f>
        <v>LEVIN SCOTT</v>
      </c>
      <c r="M166" s="6">
        <f t="shared" si="66"/>
        <v>9.1087962937308475E-3</v>
      </c>
      <c r="N166" s="7">
        <f t="shared" si="75"/>
        <v>13.11666666297242</v>
      </c>
      <c r="O166" s="7"/>
      <c r="P166" s="7"/>
      <c r="Q166" s="23"/>
      <c r="R166" s="23"/>
      <c r="S166" s="35">
        <f t="shared" si="64"/>
        <v>1</v>
      </c>
      <c r="T166" s="50" t="str">
        <f t="shared" si="67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06:18:29-700',mode:absolute,to:'2016-12-13 08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69"/>
        <v>N</v>
      </c>
      <c r="X166" s="177">
        <f t="shared" si="62"/>
        <v>1</v>
      </c>
      <c r="Y166" s="67">
        <f t="shared" si="78"/>
        <v>0.1021</v>
      </c>
      <c r="Z166" s="67">
        <f t="shared" si="63"/>
        <v>5.8929</v>
      </c>
      <c r="AA166" s="67">
        <f t="shared" si="70"/>
        <v>5.7907999999999999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71"/>
        <v>0807-13</v>
      </c>
      <c r="AE166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66" s="88" t="str">
        <f t="shared" si="73"/>
        <v>"C:\Program Files (x86)\AstroGrep\AstroGrep.exe" /spath="%USERPROFILE%\AppData\Local\Temp\OnboardLogs" /stypes="app*4040*20161213*" /stext=" 14:.+((SYSTEM_STATE.+slice.+state.+changed )|(ment ac)|(multiple cpu faults)|(system.+state.+changed )|(\[timeout)|(PRM\|1\|D)|(kpr)|(kdp)|(\|lc)|(penalty))" /e /r /s</v>
      </c>
      <c r="AG166" s="1" t="str">
        <f t="shared" si="74"/>
        <v>NW</v>
      </c>
      <c r="AH166" s="92" t="str">
        <f t="shared" si="76"/>
        <v>"%USERPROFILE%\Documents\GitHub\eaglep3\Utilities\RefineRTDCRunTimes.py" --tripid 807-13 --locoid 4040 --swversion DE.1.0.8.0 --startMP 204:1021 --initTime 2016-12-13T07:18:29 --startdatetime 2016-12-13T07:21:16 --delay 1 --endMP 300:58929 --enddatetime 2016-12-13T07:34:23 --enforcementcount 0 &gt;&gt;C:\Users\stu\Documents\GitHub\eaglep3-reporting\EC\2016-12-13-refined-times.txt</v>
      </c>
      <c r="AI166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{"issue":{"subject":"","project_id":79,"tracker_id":40,"status_id":1,"priority_id":2,"assigned_to_id":23,"start_date":"2016-12-13","description":"","custom_fields":[{"id":1,"name":"Subdivision","value":"NW"},{"id":4,"name":"Milepost","value":"5.8929"},{"id":17,"name":"Train ID","value":"807-13"},{"id":16,"name":"Locomotive ID","value":"4040"},{"id":130,"name":"Impact","value":""},{"id":150,"name":"Time of Event (Mountain Time)","value":"07:34:23"},{"id":151,"name":"Denver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486</v>
      </c>
      <c r="B167" s="7">
        <v>4039</v>
      </c>
      <c r="C167" s="22" t="s">
        <v>207</v>
      </c>
      <c r="D167" s="22" t="s">
        <v>386</v>
      </c>
      <c r="E167" s="13">
        <v>42717.316574074073</v>
      </c>
      <c r="F167" s="13">
        <v>42717.317789351851</v>
      </c>
      <c r="G167" s="7">
        <v>1</v>
      </c>
      <c r="H167" s="22" t="s">
        <v>766</v>
      </c>
      <c r="I167" s="13">
        <v>42717.33021990741</v>
      </c>
      <c r="J167" s="7">
        <v>0</v>
      </c>
      <c r="K167" s="109" t="str">
        <f t="shared" si="65"/>
        <v>4039/4040</v>
      </c>
      <c r="L167" s="22" t="str">
        <f>VLOOKUP(A167,'Trips&amp;Operators'!$C$1:$G$99999,5,FALSE)</f>
        <v>LEVIN SCOTT</v>
      </c>
      <c r="M167" s="6">
        <f t="shared" si="66"/>
        <v>1.2430555558239575E-2</v>
      </c>
      <c r="N167" s="7">
        <f t="shared" si="75"/>
        <v>17.900000003864989</v>
      </c>
      <c r="O167" s="7"/>
      <c r="P167" s="7"/>
      <c r="Q167" s="23"/>
      <c r="R167" s="23"/>
      <c r="S167" s="35">
        <f t="shared" si="64"/>
        <v>1</v>
      </c>
      <c r="T167" s="50" t="str">
        <f t="shared" si="67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06:35:52-700',mode:absolute,to:'2016-12-13 08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69"/>
        <v>N</v>
      </c>
      <c r="X167" s="177">
        <f t="shared" ref="X167:X200" si="79">VALUE(LEFT(AD167,4))-VALUE(LEFT(AD166,4))</f>
        <v>1</v>
      </c>
      <c r="Y167" s="67">
        <f t="shared" si="78"/>
        <v>5.8611000000000004</v>
      </c>
      <c r="Z167" s="67">
        <f t="shared" si="63"/>
        <v>7.3300000000000004E-2</v>
      </c>
      <c r="AA167" s="67">
        <f t="shared" si="70"/>
        <v>5.7878000000000007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71"/>
        <v>0808-13</v>
      </c>
      <c r="AE167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67" s="88" t="str">
        <f t="shared" si="73"/>
        <v>"C:\Program Files (x86)\AstroGrep\AstroGrep.exe" /spath="%USERPROFILE%\AppData\Local\Temp\OnboardLogs" /stypes="app*4039*20161213*" /stext=" 14:.+((SYSTEM_STATE.+slice.+state.+changed )|(ment ac)|(multiple cpu faults)|(system.+state.+changed )|(\[timeout)|(PRM\|1\|D)|(kpr)|(kdp)|(\|lc)|(penalty))" /e /r /s</v>
      </c>
      <c r="AG167" s="1" t="str">
        <f t="shared" si="74"/>
        <v>NW</v>
      </c>
      <c r="AH167" s="92" t="str">
        <f t="shared" si="76"/>
        <v>"%USERPROFILE%\Documents\GitHub\eaglep3\Utilities\RefineRTDCRunTimes.py" --tripid 808-13 --locoid 4039 --swversion DE.1.0.8.0 --startMP 300:58611 --initTime 2016-12-13T07:35:52 --startdatetime 2016-12-13T07:37:37 --delay 1 --endMP 204:733 --enddatetime 2016-12-13T07:55:31 --enforcementcount 0 &gt;&gt;C:\Users\stu\Documents\GitHub\eaglep3-reporting\EC\2016-12-13-refined-times.txt</v>
      </c>
      <c r="AI167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{"issue":{"subject":"","project_id":79,"tracker_id":40,"status_id":1,"priority_id":2,"assigned_to_id":23,"start_date":"2016-12-13","description":"","custom_fields":[{"id":1,"name":"Subdivision","value":"NW"},{"id":4,"name":"Milepost","value":"0.0733"},{"id":17,"name":"Train ID","value":"808-13"},{"id":16,"name":"Locomotive ID","value":"4039"},{"id":130,"name":"Impact","value":""},{"id":150,"name":"Time of Event (Mountain Time)","value":"07:55:31"},{"id":151,"name":"Denver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489</v>
      </c>
      <c r="B168" s="7">
        <v>4046</v>
      </c>
      <c r="C168" s="22" t="s">
        <v>207</v>
      </c>
      <c r="D168" s="22" t="s">
        <v>767</v>
      </c>
      <c r="E168" s="13">
        <v>42717.325671296298</v>
      </c>
      <c r="F168" s="13">
        <v>42717.327268518522</v>
      </c>
      <c r="G168" s="7">
        <v>1</v>
      </c>
      <c r="H168" s="22" t="s">
        <v>768</v>
      </c>
      <c r="I168" s="13">
        <v>42717.336550925924</v>
      </c>
      <c r="J168" s="7">
        <v>0</v>
      </c>
      <c r="K168" s="109" t="str">
        <f t="shared" si="65"/>
        <v>4045/4046</v>
      </c>
      <c r="L168" s="22" t="str">
        <f>VLOOKUP(A168,'Trips&amp;Operators'!$C$1:$G$99999,5,FALSE)</f>
        <v>STARKS ANGELINA</v>
      </c>
      <c r="M168" s="6">
        <f t="shared" si="66"/>
        <v>9.2824074017698877E-3</v>
      </c>
      <c r="N168" s="7">
        <f t="shared" si="75"/>
        <v>13.366666658548638</v>
      </c>
      <c r="O168" s="7"/>
      <c r="P168" s="7"/>
      <c r="Q168" s="23"/>
      <c r="R168" s="23"/>
      <c r="S168" s="35">
        <f t="shared" si="64"/>
        <v>1</v>
      </c>
      <c r="T168" s="50" t="str">
        <f t="shared" si="67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06:48:58-700',mode:absolute,to:'2016-12-13 09:04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8" s="52" t="str">
        <f t="shared" si="69"/>
        <v>N</v>
      </c>
      <c r="X168" s="177">
        <f t="shared" si="79"/>
        <v>1</v>
      </c>
      <c r="Y168" s="67">
        <f t="shared" si="78"/>
        <v>0.1009</v>
      </c>
      <c r="Z168" s="67">
        <f t="shared" si="63"/>
        <v>5.8940999999999999</v>
      </c>
      <c r="AA168" s="67">
        <f t="shared" si="70"/>
        <v>5.7931999999999997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71"/>
        <v>0809-13</v>
      </c>
      <c r="AE168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68" s="88" t="str">
        <f t="shared" si="73"/>
        <v>"C:\Program Files (x86)\AstroGrep\AstroGrep.exe" /spath="%USERPROFILE%\AppData\Local\Temp\OnboardLogs" /stypes="app*4046*20161213*" /stext=" 15:.+((SYSTEM_STATE.+slice.+state.+changed )|(ment ac)|(multiple cpu faults)|(system.+state.+changed )|(\[timeout)|(PRM\|1\|D)|(kpr)|(kdp)|(\|lc)|(penalty))" /e /r /s</v>
      </c>
      <c r="AG168" s="1" t="str">
        <f t="shared" si="74"/>
        <v>NW</v>
      </c>
      <c r="AH168" s="92" t="str">
        <f t="shared" si="76"/>
        <v>"%USERPROFILE%\Documents\GitHub\eaglep3\Utilities\RefineRTDCRunTimes.py" --tripid 809-13 --locoid 4046 --swversion DE.1.0.8.0 --startMP 204:1009 --initTime 2016-12-13T07:48:58 --startdatetime 2016-12-13T07:51:16 --delay 1 --endMP 300:58941 --enddatetime 2016-12-13T08:04:38 --enforcementcount 0 &gt;&gt;C:\Users\stu\Documents\GitHub\eaglep3-reporting\EC\2016-12-13-refined-times.txt</v>
      </c>
      <c r="AI168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{"issue":{"subject":"","project_id":79,"tracker_id":40,"status_id":1,"priority_id":2,"assigned_to_id":23,"start_date":"2016-12-13","description":"","custom_fields":[{"id":1,"name":"Subdivision","value":"NW"},{"id":4,"name":"Milepost","value":"5.8941"},{"id":17,"name":"Train ID","value":"809-13"},{"id":16,"name":"Locomotive ID","value":"4046"},{"id":130,"name":"Impact","value":""},{"id":150,"name":"Time of Event (Mountain Time)","value":"08:04:38"},{"id":151,"name":"Denver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492</v>
      </c>
      <c r="B169" s="7">
        <v>4045</v>
      </c>
      <c r="C169" s="22" t="s">
        <v>207</v>
      </c>
      <c r="D169" s="22" t="s">
        <v>769</v>
      </c>
      <c r="E169" s="13">
        <v>42717.338599537034</v>
      </c>
      <c r="F169" s="13">
        <v>42717.339861111112</v>
      </c>
      <c r="G169" s="7">
        <v>1</v>
      </c>
      <c r="H169" s="22" t="s">
        <v>770</v>
      </c>
      <c r="I169" s="13">
        <v>42717.351527777777</v>
      </c>
      <c r="J169" s="7">
        <v>0</v>
      </c>
      <c r="K169" s="109" t="str">
        <f t="shared" si="65"/>
        <v>4045/4046</v>
      </c>
      <c r="L169" s="22" t="str">
        <f>VLOOKUP(A169,'Trips&amp;Operators'!$C$1:$G$99999,5,FALSE)</f>
        <v>STARKS ANGELINA</v>
      </c>
      <c r="M169" s="6">
        <f t="shared" si="66"/>
        <v>1.1666666665405501E-2</v>
      </c>
      <c r="N169" s="7">
        <f t="shared" si="75"/>
        <v>16.799999998183921</v>
      </c>
      <c r="O169" s="7"/>
      <c r="P169" s="7"/>
      <c r="Q169" s="23"/>
      <c r="R169" s="23"/>
      <c r="S169" s="35">
        <f t="shared" si="64"/>
        <v>1</v>
      </c>
      <c r="T169" s="50" t="str">
        <f t="shared" si="67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07:07:35-700',mode:absolute,to:'2016-12-13 09:26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9" s="52" t="str">
        <f t="shared" si="69"/>
        <v>N</v>
      </c>
      <c r="X169" s="177">
        <f t="shared" si="79"/>
        <v>1</v>
      </c>
      <c r="Y169" s="67">
        <f t="shared" si="78"/>
        <v>5.8630000000000004</v>
      </c>
      <c r="Z169" s="67">
        <f t="shared" ref="Z169:Z200" si="80">RIGHT(H169,LEN(H169)-4)/10000</f>
        <v>7.6399999999999996E-2</v>
      </c>
      <c r="AA169" s="67">
        <f t="shared" si="70"/>
        <v>5.7866000000000009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71"/>
        <v>0810-13</v>
      </c>
      <c r="AE169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69" s="88" t="str">
        <f t="shared" si="73"/>
        <v>"C:\Program Files (x86)\AstroGrep\AstroGrep.exe" /spath="%USERPROFILE%\AppData\Local\Temp\OnboardLogs" /stypes="app*4045*20161213*" /stext=" 15:.+((SYSTEM_STATE.+slice.+state.+changed )|(ment ac)|(multiple cpu faults)|(system.+state.+changed )|(\[timeout)|(PRM\|1\|D)|(kpr)|(kdp)|(\|lc)|(penalty))" /e /r /s</v>
      </c>
      <c r="AG169" s="1" t="str">
        <f t="shared" si="74"/>
        <v>NW</v>
      </c>
      <c r="AH169" s="92" t="str">
        <f t="shared" si="76"/>
        <v>"%USERPROFILE%\Documents\GitHub\eaglep3\Utilities\RefineRTDCRunTimes.py" --tripid 810-13 --locoid 4045 --swversion DE.1.0.8.0 --startMP 300:58630 --initTime 2016-12-13T08:07:35 --startdatetime 2016-12-13T08:09:24 --delay 1 --endMP 204:764 --enddatetime 2016-12-13T08:26:12 --enforcementcount 0 &gt;&gt;C:\Users\stu\Documents\GitHub\eaglep3-reporting\EC\2016-12-13-refined-times.txt</v>
      </c>
      <c r="AI169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{"issue":{"subject":"","project_id":79,"tracker_id":40,"status_id":1,"priority_id":2,"assigned_to_id":23,"start_date":"2016-12-13","description":"","custom_fields":[{"id":1,"name":"Subdivision","value":"NW"},{"id":4,"name":"Milepost","value":"0.0764"},{"id":17,"name":"Train ID","value":"810-13"},{"id":16,"name":"Locomotive ID","value":"4045"},{"id":130,"name":"Impact","value":""},{"id":150,"name":"Time of Event (Mountain Time)","value":"08:26:12"},{"id":151,"name":"Denver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412</v>
      </c>
      <c r="B170" s="7">
        <v>4040</v>
      </c>
      <c r="C170" s="22" t="s">
        <v>207</v>
      </c>
      <c r="D170" s="22" t="s">
        <v>771</v>
      </c>
      <c r="E170" s="13">
        <v>42717.345324074071</v>
      </c>
      <c r="F170" s="13">
        <v>42717.348101851851</v>
      </c>
      <c r="G170" s="7">
        <v>1</v>
      </c>
      <c r="H170" s="22" t="s">
        <v>387</v>
      </c>
      <c r="I170" s="13">
        <v>42717.357604166667</v>
      </c>
      <c r="J170" s="7">
        <v>1</v>
      </c>
      <c r="K170" s="109" t="str">
        <f t="shared" si="65"/>
        <v>4039/4040</v>
      </c>
      <c r="L170" s="22" t="str">
        <f>VLOOKUP(A170,'Trips&amp;Operators'!$C$1:$G$99999,5,FALSE)</f>
        <v>LEVIN SCOTT</v>
      </c>
      <c r="M170" s="6">
        <f t="shared" si="66"/>
        <v>9.5023148169275373E-3</v>
      </c>
      <c r="N170" s="7">
        <f t="shared" si="75"/>
        <v>13.683333336375654</v>
      </c>
      <c r="O170" s="7"/>
      <c r="P170" s="7"/>
      <c r="Q170" s="23"/>
      <c r="R170" s="23"/>
      <c r="S170" s="35">
        <f t="shared" ref="S170:S201" si="81">SUM(U170:U170)/IF(AG170="EC",12,1)</f>
        <v>1</v>
      </c>
      <c r="T170" s="50" t="str">
        <f t="shared" si="67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07:17:16-700',mode:absolute,to:'2016-12-13 09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0" s="52" t="str">
        <f t="shared" si="69"/>
        <v>N</v>
      </c>
      <c r="X170" s="177">
        <f t="shared" si="79"/>
        <v>1</v>
      </c>
      <c r="Y170" s="67">
        <f t="shared" si="78"/>
        <v>0.1028</v>
      </c>
      <c r="Z170" s="67">
        <f t="shared" si="80"/>
        <v>5.8930999999999996</v>
      </c>
      <c r="AA170" s="67">
        <f t="shared" si="70"/>
        <v>5.7902999999999993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71"/>
        <v>0811-13</v>
      </c>
      <c r="AE170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70" s="88" t="str">
        <f t="shared" si="73"/>
        <v>"C:\Program Files (x86)\AstroGrep\AstroGrep.exe" /spath="%USERPROFILE%\AppData\Local\Temp\OnboardLogs" /stypes="app*4040*20161213*" /stext=" 15:.+((SYSTEM_STATE.+slice.+state.+changed )|(ment ac)|(multiple cpu faults)|(system.+state.+changed )|(\[timeout)|(PRM\|1\|D)|(kpr)|(kdp)|(\|lc)|(penalty))" /e /r /s</v>
      </c>
      <c r="AG170" s="1" t="str">
        <f t="shared" si="74"/>
        <v>NW</v>
      </c>
      <c r="AH170" s="92" t="str">
        <f t="shared" si="76"/>
        <v>"%USERPROFILE%\Documents\GitHub\eaglep3\Utilities\RefineRTDCRunTimes.py" --tripid 811-13 --locoid 4040 --swversion DE.1.0.8.0 --startMP 204:1028 --initTime 2016-12-13T08:17:16 --startdatetime 2016-12-13T08:21:16 --delay 1 --endMP 300:58931 --enddatetime 2016-12-13T08:34:57 --enforcementcount 1 &gt;&gt;C:\Users\stu\Documents\GitHub\eaglep3-reporting\EC\2016-12-13-refined-times.txt</v>
      </c>
      <c r="AI170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{"issue":{"subject":"","project_id":79,"tracker_id":40,"status_id":1,"priority_id":2,"assigned_to_id":23,"start_date":"2016-12-13","description":"","custom_fields":[{"id":1,"name":"Subdivision","value":"NW"},{"id":4,"name":"Milepost","value":"5.8931"},{"id":17,"name":"Train ID","value":"811-13"},{"id":16,"name":"Locomotive ID","value":"4040"},{"id":130,"name":"Impact","value":""},{"id":150,"name":"Time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497</v>
      </c>
      <c r="B171" s="7">
        <v>4039</v>
      </c>
      <c r="C171" s="22" t="s">
        <v>207</v>
      </c>
      <c r="D171" s="22" t="s">
        <v>397</v>
      </c>
      <c r="E171" s="13">
        <v>42717.358425925922</v>
      </c>
      <c r="F171" s="13">
        <v>42717.360162037039</v>
      </c>
      <c r="G171" s="7">
        <v>1</v>
      </c>
      <c r="H171" s="22" t="s">
        <v>772</v>
      </c>
      <c r="I171" s="13">
        <v>42717.371446759258</v>
      </c>
      <c r="J171" s="7">
        <v>0</v>
      </c>
      <c r="K171" s="109" t="str">
        <f t="shared" si="65"/>
        <v>4039/4040</v>
      </c>
      <c r="L171" s="22" t="str">
        <f>VLOOKUP(A171,'Trips&amp;Operators'!$C$1:$G$99999,5,FALSE)</f>
        <v>LEVIN SCOTT</v>
      </c>
      <c r="M171" s="6">
        <f t="shared" si="66"/>
        <v>1.1284722218988463E-2</v>
      </c>
      <c r="N171" s="7">
        <f t="shared" si="75"/>
        <v>16.249999995343387</v>
      </c>
      <c r="O171" s="7"/>
      <c r="P171" s="7"/>
      <c r="Q171" s="23"/>
      <c r="R171" s="23"/>
      <c r="S171" s="35">
        <f t="shared" si="81"/>
        <v>1</v>
      </c>
      <c r="T171" s="50" t="str">
        <f t="shared" si="67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07:36:08-700',mode:absolute,to:'2016-12-13 09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1" s="52" t="str">
        <f t="shared" si="69"/>
        <v>N</v>
      </c>
      <c r="X171" s="177">
        <f t="shared" si="79"/>
        <v>1</v>
      </c>
      <c r="Y171" s="67">
        <f t="shared" si="78"/>
        <v>5.8609</v>
      </c>
      <c r="Z171" s="67">
        <f t="shared" si="80"/>
        <v>7.17E-2</v>
      </c>
      <c r="AA171" s="67">
        <f t="shared" si="70"/>
        <v>5.7892000000000001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71"/>
        <v>0812-13</v>
      </c>
      <c r="AE171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71" s="88" t="str">
        <f t="shared" si="73"/>
        <v>"C:\Program Files (x86)\AstroGrep\AstroGrep.exe" /spath="%USERPROFILE%\AppData\Local\Temp\OnboardLogs" /stypes="app*4039*20161213*" /stext=" 15:.+((SYSTEM_STATE.+slice.+state.+changed )|(ment ac)|(multiple cpu faults)|(system.+state.+changed )|(\[timeout)|(PRM\|1\|D)|(kpr)|(kdp)|(\|lc)|(penalty))" /e /r /s</v>
      </c>
      <c r="AG171" s="1" t="str">
        <f t="shared" si="74"/>
        <v>NW</v>
      </c>
      <c r="AH171" s="92" t="str">
        <f t="shared" si="76"/>
        <v>"%USERPROFILE%\Documents\GitHub\eaglep3\Utilities\RefineRTDCRunTimes.py" --tripid 812-13 --locoid 4039 --swversion DE.1.0.8.0 --startMP 300:58609 --initTime 2016-12-13T08:36:08 --startdatetime 2016-12-13T08:38:38 --delay 1 --endMP 204:717 --enddatetime 2016-12-13T08:54:53 --enforcementcount 0 &gt;&gt;C:\Users\stu\Documents\GitHub\eaglep3-reporting\EC\2016-12-13-refined-times.txt</v>
      </c>
      <c r="AI171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{"issue":{"subject":"","project_id":79,"tracker_id":40,"status_id":1,"priority_id":2,"assigned_to_id":23,"start_date":"2016-12-13","description":"","custom_fields":[{"id":1,"name":"Subdivision","value":"NW"},{"id":4,"name":"Milepost","value":"0.0717"},{"id":17,"name":"Train ID","value":"812-13"},{"id":16,"name":"Locomotive ID","value":"4039"},{"id":130,"name":"Impact","value":""},{"id":150,"name":"Time of Event (Mountain Time)","value":"08:54:53"},{"id":151,"name":"Denver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504</v>
      </c>
      <c r="B172" s="7">
        <v>4040</v>
      </c>
      <c r="C172" s="22" t="s">
        <v>207</v>
      </c>
      <c r="D172" s="22" t="s">
        <v>773</v>
      </c>
      <c r="E172" s="13">
        <v>42717.386701388888</v>
      </c>
      <c r="F172" s="13">
        <v>42717.389768518522</v>
      </c>
      <c r="G172" s="7">
        <v>1</v>
      </c>
      <c r="H172" s="22" t="s">
        <v>774</v>
      </c>
      <c r="I172" s="13">
        <v>42717.398796296293</v>
      </c>
      <c r="J172" s="7">
        <v>0</v>
      </c>
      <c r="K172" s="109" t="str">
        <f t="shared" si="65"/>
        <v>4039/4040</v>
      </c>
      <c r="L172" s="22" t="str">
        <f>VLOOKUP(A172,'Trips&amp;Operators'!$C$1:$G$99999,5,FALSE)</f>
        <v>LEVIN SCOTT</v>
      </c>
      <c r="M172" s="6">
        <f t="shared" si="66"/>
        <v>9.0277777708251961E-3</v>
      </c>
      <c r="N172" s="7">
        <f t="shared" si="75"/>
        <v>12.999999989988282</v>
      </c>
      <c r="O172" s="7"/>
      <c r="P172" s="7"/>
      <c r="Q172" s="23"/>
      <c r="R172" s="23"/>
      <c r="S172" s="35">
        <f t="shared" si="81"/>
        <v>1</v>
      </c>
      <c r="T172" s="50" t="str">
        <f t="shared" si="67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08:16:51-700',mode:absolute,to:'2016-12-13 10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69"/>
        <v>N</v>
      </c>
      <c r="X172" s="177">
        <f t="shared" si="79"/>
        <v>1</v>
      </c>
      <c r="Y172" s="67">
        <f t="shared" si="78"/>
        <v>9.9900000000000003E-2</v>
      </c>
      <c r="Z172" s="67">
        <f t="shared" si="80"/>
        <v>5.8917999999999999</v>
      </c>
      <c r="AA172" s="67">
        <f t="shared" si="70"/>
        <v>5.7919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71"/>
        <v>0813-13</v>
      </c>
      <c r="AE172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72" s="88" t="str">
        <f t="shared" si="73"/>
        <v>"C:\Program Files (x86)\AstroGrep\AstroGrep.exe" /spath="%USERPROFILE%\AppData\Local\Temp\OnboardLogs" /stypes="app*4040*20161213*" /stext=" 16:.+((SYSTEM_STATE.+slice.+state.+changed )|(ment ac)|(multiple cpu faults)|(system.+state.+changed )|(\[timeout)|(PRM\|1\|D)|(kpr)|(kdp)|(\|lc)|(penalty))" /e /r /s</v>
      </c>
      <c r="AG172" s="1" t="str">
        <f t="shared" si="74"/>
        <v>NW</v>
      </c>
      <c r="AH172" s="92" t="str">
        <f t="shared" si="76"/>
        <v>"%USERPROFILE%\Documents\GitHub\eaglep3\Utilities\RefineRTDCRunTimes.py" --tripid 813-13 --locoid 4040 --swversion DE.1.0.8.0 --startMP 204:999 --initTime 2016-12-13T09:16:51 --startdatetime 2016-12-13T09:21:16 --delay 1 --endMP 300:58918 --enddatetime 2016-12-13T09:34:16 --enforcementcount 0 &gt;&gt;C:\Users\stu\Documents\GitHub\eaglep3-reporting\EC\2016-12-13-refined-times.txt</v>
      </c>
      <c r="AI172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{"issue":{"subject":"","project_id":79,"tracker_id":40,"status_id":1,"priority_id":2,"assigned_to_id":23,"start_date":"2016-12-13","description":"","custom_fields":[{"id":1,"name":"Subdivision","value":"NW"},{"id":4,"name":"Milepost","value":"5.8918"},{"id":17,"name":"Train ID","value":"813-13"},{"id":16,"name":"Locomotive ID","value":"4040"},{"id":130,"name":"Impact","value":""},{"id":150,"name":"Time of Event (Mountain Time)","value":"09:34:16"},{"id":151,"name":"Denver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417</v>
      </c>
      <c r="B173" s="7">
        <v>4039</v>
      </c>
      <c r="C173" s="22" t="s">
        <v>207</v>
      </c>
      <c r="D173" s="22" t="s">
        <v>386</v>
      </c>
      <c r="E173" s="13">
        <v>42717.400023148148</v>
      </c>
      <c r="F173" s="13">
        <v>42717.401180555556</v>
      </c>
      <c r="G173" s="7">
        <v>0</v>
      </c>
      <c r="H173" s="22" t="s">
        <v>763</v>
      </c>
      <c r="I173" s="13">
        <v>42717.413240740738</v>
      </c>
      <c r="J173" s="7">
        <v>1</v>
      </c>
      <c r="K173" s="109" t="str">
        <f t="shared" si="65"/>
        <v>4039/4040</v>
      </c>
      <c r="L173" s="22" t="str">
        <f>VLOOKUP(A173,'Trips&amp;Operators'!$C$1:$G$99999,5,FALSE)</f>
        <v>LEVIN SCOTT</v>
      </c>
      <c r="M173" s="6">
        <f t="shared" si="66"/>
        <v>1.2060185181326233E-2</v>
      </c>
      <c r="N173" s="7">
        <f t="shared" si="75"/>
        <v>17.366666661109775</v>
      </c>
      <c r="O173" s="7"/>
      <c r="P173" s="7"/>
      <c r="Q173" s="23"/>
      <c r="R173" s="23"/>
      <c r="S173" s="35">
        <f t="shared" si="81"/>
        <v>1</v>
      </c>
      <c r="T173" s="50" t="str">
        <f t="shared" si="67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08:36:02-700',mode:absolute,to:'2016-12-13 10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69"/>
        <v>N</v>
      </c>
      <c r="X173" s="177">
        <f t="shared" si="79"/>
        <v>1</v>
      </c>
      <c r="Y173" s="67">
        <f t="shared" si="78"/>
        <v>5.8611000000000004</v>
      </c>
      <c r="Z173" s="67">
        <f t="shared" si="80"/>
        <v>7.0800000000000002E-2</v>
      </c>
      <c r="AA173" s="67">
        <f t="shared" si="70"/>
        <v>5.7903000000000002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71"/>
        <v>0814-13</v>
      </c>
      <c r="AE173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73" s="88" t="str">
        <f t="shared" si="73"/>
        <v>"C:\Program Files (x86)\AstroGrep\AstroGrep.exe" /spath="%USERPROFILE%\AppData\Local\Temp\OnboardLogs" /stypes="app*4039*20161213*" /stext=" 16:.+((SYSTEM_STATE.+slice.+state.+changed )|(ment ac)|(multiple cpu faults)|(system.+state.+changed )|(\[timeout)|(PRM\|1\|D)|(kpr)|(kdp)|(\|lc)|(penalty))" /e /r /s</v>
      </c>
      <c r="AG173" s="1" t="str">
        <f t="shared" si="74"/>
        <v>NW</v>
      </c>
      <c r="AH173" s="92" t="str">
        <f t="shared" si="76"/>
        <v>"%USERPROFILE%\Documents\GitHub\eaglep3\Utilities\RefineRTDCRunTimes.py" --tripid 814-13 --locoid 4039 --swversion DE.1.0.8.0 --startMP 300:58611 --initTime 2016-12-13T09:36:02 --startdatetime 2016-12-13T09:37:42 --delay 0 --endMP 204:708 --enddatetime 2016-12-13T09:55:04 --enforcementcount 1 &gt;&gt;C:\Users\stu\Documents\GitHub\eaglep3-reporting\EC\2016-12-13-refined-times.txt</v>
      </c>
      <c r="AI173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{"issue":{"subject":"","project_id":79,"tracker_id":40,"status_id":1,"priority_id":2,"assigned_to_id":23,"start_date":"2016-12-13","description":"","custom_fields":[{"id":1,"name":"Subdivision","value":"NW"},{"id":4,"name":"Milepost","value":"0.0708"},{"id":17,"name":"Train ID","value":"814-13"},{"id":16,"name":"Locomotive ID","value":"4039"},{"id":130,"name":"Impact","value":""},{"id":150,"name":"Time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507</v>
      </c>
      <c r="B174" s="7">
        <v>4040</v>
      </c>
      <c r="C174" s="22" t="s">
        <v>207</v>
      </c>
      <c r="D174" s="22" t="s">
        <v>775</v>
      </c>
      <c r="E174" s="13">
        <v>42717.428993055553</v>
      </c>
      <c r="F174" s="13">
        <v>42717.431423611109</v>
      </c>
      <c r="G174" s="7">
        <v>0</v>
      </c>
      <c r="H174" s="22" t="s">
        <v>776</v>
      </c>
      <c r="I174" s="13">
        <v>42717.442025462966</v>
      </c>
      <c r="J174" s="7">
        <v>0</v>
      </c>
      <c r="K174" s="109" t="str">
        <f t="shared" si="65"/>
        <v>4039/4040</v>
      </c>
      <c r="L174" s="22" t="str">
        <f>VLOOKUP(A174,'Trips&amp;Operators'!$C$1:$G$99999,5,FALSE)</f>
        <v>LEVIN SCOTT</v>
      </c>
      <c r="M174" s="6">
        <f t="shared" si="66"/>
        <v>1.0601851856335998E-2</v>
      </c>
      <c r="N174" s="7">
        <f t="shared" si="75"/>
        <v>15.266666673123837</v>
      </c>
      <c r="O174" s="7"/>
      <c r="P174" s="7"/>
      <c r="Q174" s="23"/>
      <c r="R174" s="23"/>
      <c r="S174" s="35">
        <f t="shared" si="81"/>
        <v>1</v>
      </c>
      <c r="T174" s="50" t="str">
        <f t="shared" si="67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09:17:45-700',mode:absolute,to:'2016-12-13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69"/>
        <v>N</v>
      </c>
      <c r="X174" s="177">
        <f t="shared" si="79"/>
        <v>1</v>
      </c>
      <c r="Y174" s="67">
        <f t="shared" si="78"/>
        <v>9.9500000000000005E-2</v>
      </c>
      <c r="Z174" s="67">
        <f t="shared" si="80"/>
        <v>5.8925999999999998</v>
      </c>
      <c r="AA174" s="67">
        <f t="shared" si="70"/>
        <v>5.7930999999999999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71"/>
        <v>0815-13</v>
      </c>
      <c r="AE174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74" s="88" t="str">
        <f t="shared" si="73"/>
        <v>"C:\Program Files (x86)\AstroGrep\AstroGrep.exe" /spath="%USERPROFILE%\AppData\Local\Temp\OnboardLogs" /stypes="app*4040*20161213*" /stext=" 17:.+((SYSTEM_STATE.+slice.+state.+changed )|(ment ac)|(multiple cpu faults)|(system.+state.+changed )|(\[timeout)|(PRM\|1\|D)|(kpr)|(kdp)|(\|lc)|(penalty))" /e /r /s</v>
      </c>
      <c r="AG174" s="1" t="str">
        <f t="shared" si="74"/>
        <v>NW</v>
      </c>
      <c r="AH174" s="92" t="str">
        <f t="shared" si="76"/>
        <v>"%USERPROFILE%\Documents\GitHub\eaglep3\Utilities\RefineRTDCRunTimes.py" --tripid 815-13 --locoid 4040 --swversion DE.1.0.8.0 --startMP 204:995 --initTime 2016-12-13T10:17:45 --startdatetime 2016-12-13T10:21:15 --delay 0 --endMP 300:58926 --enddatetime 2016-12-13T10:36:31 --enforcementcount 0 &gt;&gt;C:\Users\stu\Documents\GitHub\eaglep3-reporting\EC\2016-12-13-refined-times.txt</v>
      </c>
      <c r="AI174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{"issue":{"subject":"","project_id":79,"tracker_id":40,"status_id":1,"priority_id":2,"assigned_to_id":23,"start_date":"2016-12-13","description":"","custom_fields":[{"id":1,"name":"Subdivision","value":"NW"},{"id":4,"name":"Milepost","value":"5.8926"},{"id":17,"name":"Train ID","value":"815-13"},{"id":16,"name":"Locomotive ID","value":"4040"},{"id":130,"name":"Impact","value":""},{"id":150,"name":"Time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511</v>
      </c>
      <c r="B175" s="7">
        <v>4039</v>
      </c>
      <c r="C175" s="22" t="s">
        <v>207</v>
      </c>
      <c r="D175" s="22" t="s">
        <v>394</v>
      </c>
      <c r="E175" s="13">
        <v>42717.443009259259</v>
      </c>
      <c r="F175" s="13">
        <v>42717.444143518522</v>
      </c>
      <c r="G175" s="7">
        <v>1</v>
      </c>
      <c r="H175" s="22" t="s">
        <v>777</v>
      </c>
      <c r="I175" s="13">
        <v>42717.454456018517</v>
      </c>
      <c r="J175" s="7">
        <v>0</v>
      </c>
      <c r="K175" s="109" t="str">
        <f t="shared" si="65"/>
        <v>4039/4040</v>
      </c>
      <c r="L175" s="22" t="str">
        <f>VLOOKUP(A175,'Trips&amp;Operators'!$C$1:$G$99999,5,FALSE)</f>
        <v>LEVIN SCOTT</v>
      </c>
      <c r="M175" s="6">
        <f t="shared" si="66"/>
        <v>1.0312499995052349E-2</v>
      </c>
      <c r="N175" s="7">
        <f t="shared" si="75"/>
        <v>14.849999992875382</v>
      </c>
      <c r="O175" s="7"/>
      <c r="P175" s="7"/>
      <c r="Q175" s="23"/>
      <c r="R175" s="23"/>
      <c r="S175" s="35">
        <f t="shared" si="81"/>
        <v>1</v>
      </c>
      <c r="T175" s="50" t="str">
        <f t="shared" si="67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09:37:56-700',mode:absolute,to:'2016-12-13 11:54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69"/>
        <v>N</v>
      </c>
      <c r="X175" s="177">
        <f t="shared" si="79"/>
        <v>1</v>
      </c>
      <c r="Y175" s="67">
        <f t="shared" si="78"/>
        <v>5.8608000000000002</v>
      </c>
      <c r="Z175" s="67">
        <f t="shared" si="80"/>
        <v>7.0099999999999996E-2</v>
      </c>
      <c r="AA175" s="67">
        <f t="shared" si="70"/>
        <v>5.7907000000000002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71"/>
        <v>0816-13</v>
      </c>
      <c r="AE175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75" s="88" t="str">
        <f t="shared" si="73"/>
        <v>"C:\Program Files (x86)\AstroGrep\AstroGrep.exe" /spath="%USERPROFILE%\AppData\Local\Temp\OnboardLogs" /stypes="app*4039*20161213*" /stext=" 17:.+((SYSTEM_STATE.+slice.+state.+changed )|(ment ac)|(multiple cpu faults)|(system.+state.+changed )|(\[timeout)|(PRM\|1\|D)|(kpr)|(kdp)|(\|lc)|(penalty))" /e /r /s</v>
      </c>
      <c r="AG175" s="1" t="str">
        <f t="shared" si="74"/>
        <v>NW</v>
      </c>
      <c r="AH175" s="92" t="str">
        <f t="shared" si="76"/>
        <v>"%USERPROFILE%\Documents\GitHub\eaglep3\Utilities\RefineRTDCRunTimes.py" --tripid 816-13 --locoid 4039 --swversion DE.1.0.8.0 --startMP 300:58608 --initTime 2016-12-13T10:37:56 --startdatetime 2016-12-13T10:39:34 --delay 1 --endMP 204:701 --enddatetime 2016-12-13T10:54:25 --enforcementcount 0 &gt;&gt;C:\Users\stu\Documents\GitHub\eaglep3-reporting\EC\2016-12-13-refined-times.txt</v>
      </c>
      <c r="AI175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{"issue":{"subject":"","project_id":79,"tracker_id":40,"status_id":1,"priority_id":2,"assigned_to_id":23,"start_date":"2016-12-13","description":"","custom_fields":[{"id":1,"name":"Subdivision","value":"NW"},{"id":4,"name":"Milepost","value":"0.0701"},{"id":17,"name":"Train ID","value":"816-13"},{"id":16,"name":"Locomotive ID","value":"4039"},{"id":130,"name":"Impact","value":""},{"id":150,"name":"Time of Event (Mountain Time)","value":"10:54:25"},{"id":151,"name":"Denver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519</v>
      </c>
      <c r="B176" s="7">
        <v>4040</v>
      </c>
      <c r="C176" s="22" t="s">
        <v>207</v>
      </c>
      <c r="D176" s="22" t="s">
        <v>760</v>
      </c>
      <c r="E176" s="13">
        <v>42717.469826388886</v>
      </c>
      <c r="F176" s="13">
        <v>42717.473113425927</v>
      </c>
      <c r="G176" s="7">
        <v>1</v>
      </c>
      <c r="H176" s="22" t="s">
        <v>776</v>
      </c>
      <c r="I176" s="13">
        <v>42717.482025462959</v>
      </c>
      <c r="J176" s="7">
        <v>0</v>
      </c>
      <c r="K176" s="109" t="str">
        <f t="shared" si="65"/>
        <v>4039/4040</v>
      </c>
      <c r="L176" s="22" t="str">
        <f>VLOOKUP(A176,'Trips&amp;Operators'!$C$1:$G$99999,5,FALSE)</f>
        <v>LEVIN SCOTT</v>
      </c>
      <c r="M176" s="6">
        <f t="shared" si="66"/>
        <v>8.9120370321325026E-3</v>
      </c>
      <c r="N176" s="7">
        <f t="shared" si="75"/>
        <v>12.833333326270804</v>
      </c>
      <c r="O176" s="7"/>
      <c r="P176" s="7"/>
      <c r="Q176" s="23"/>
      <c r="R176" s="23"/>
      <c r="S176" s="35">
        <f t="shared" si="81"/>
        <v>1</v>
      </c>
      <c r="T176" s="50" t="str">
        <f t="shared" si="67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10:16:33-700',mode:absolute,to:'2016-12-13 12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69"/>
        <v>N</v>
      </c>
      <c r="X176" s="177">
        <f t="shared" si="79"/>
        <v>1</v>
      </c>
      <c r="Y176" s="67">
        <f t="shared" si="78"/>
        <v>9.9199999999999997E-2</v>
      </c>
      <c r="Z176" s="67">
        <f t="shared" si="80"/>
        <v>5.8925999999999998</v>
      </c>
      <c r="AA176" s="67">
        <f t="shared" si="70"/>
        <v>5.7934000000000001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71"/>
        <v>0817-13</v>
      </c>
      <c r="AE176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76" s="88" t="str">
        <f t="shared" si="73"/>
        <v>"C:\Program Files (x86)\AstroGrep\AstroGrep.exe" /spath="%USERPROFILE%\AppData\Local\Temp\OnboardLogs" /stypes="app*4040*20161213*" /stext=" 18:.+((SYSTEM_STATE.+slice.+state.+changed )|(ment ac)|(multiple cpu faults)|(system.+state.+changed )|(\[timeout)|(PRM\|1\|D)|(kpr)|(kdp)|(\|lc)|(penalty))" /e /r /s</v>
      </c>
      <c r="AG176" s="1" t="str">
        <f t="shared" si="74"/>
        <v>NW</v>
      </c>
      <c r="AH176" s="92" t="str">
        <f t="shared" si="76"/>
        <v>"%USERPROFILE%\Documents\GitHub\eaglep3\Utilities\RefineRTDCRunTimes.py" --tripid 817-13 --locoid 4040 --swversion DE.1.0.8.0 --startMP 204:992 --initTime 2016-12-13T11:16:33 --startdatetime 2016-12-13T11:21:17 --delay 1 --endMP 300:58926 --enddatetime 2016-12-13T11:34:07 --enforcementcount 0 &gt;&gt;C:\Users\stu\Documents\GitHub\eaglep3-reporting\EC\2016-12-13-refined-times.txt</v>
      </c>
      <c r="AI176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{"issue":{"subject":"","project_id":79,"tracker_id":40,"status_id":1,"priority_id":2,"assigned_to_id":23,"start_date":"2016-12-13","description":"","custom_fields":[{"id":1,"name":"Subdivision","value":"NW"},{"id":4,"name":"Milepost","value":"5.8926"},{"id":17,"name":"Train ID","value":"817-13"},{"id":16,"name":"Locomotive ID","value":"4040"},{"id":130,"name":"Impact","value":""},{"id":150,"name":"Time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425</v>
      </c>
      <c r="B177" s="7">
        <v>4039</v>
      </c>
      <c r="C177" s="22" t="s">
        <v>207</v>
      </c>
      <c r="D177" s="22" t="s">
        <v>394</v>
      </c>
      <c r="E177" s="13">
        <v>42717.482905092591</v>
      </c>
      <c r="F177" s="13">
        <v>42717.484803240739</v>
      </c>
      <c r="G177" s="7">
        <v>1</v>
      </c>
      <c r="H177" s="22" t="s">
        <v>778</v>
      </c>
      <c r="I177" s="13">
        <v>42717.485578703701</v>
      </c>
      <c r="J177" s="7">
        <v>1</v>
      </c>
      <c r="K177" s="109" t="str">
        <f t="shared" si="65"/>
        <v>4039/4040</v>
      </c>
      <c r="L177" s="22" t="str">
        <f>VLOOKUP(A177,'Trips&amp;Operators'!$C$1:$G$99999,5,FALSE)</f>
        <v>LEVIN SCOTT</v>
      </c>
      <c r="M177" s="6">
        <f t="shared" si="66"/>
        <v>7.7546296233776957E-4</v>
      </c>
      <c r="N177" s="7"/>
      <c r="O177" s="7"/>
      <c r="P177" s="7">
        <f>24*60*SUM($M177:$M177)</f>
        <v>1.1166666657663882</v>
      </c>
      <c r="Q177" s="23"/>
      <c r="R177" s="23" t="s">
        <v>828</v>
      </c>
      <c r="S177" s="35">
        <f t="shared" si="81"/>
        <v>0</v>
      </c>
      <c r="T177" s="50" t="str">
        <f t="shared" si="67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10:35:23-700',mode:absolute,to:'2016-12-13 12:39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69"/>
        <v>Y</v>
      </c>
      <c r="X177" s="177">
        <f t="shared" si="79"/>
        <v>1</v>
      </c>
      <c r="Y177" s="67">
        <f t="shared" si="78"/>
        <v>5.8608000000000002</v>
      </c>
      <c r="Z177" s="67">
        <f t="shared" si="80"/>
        <v>5.7340999999999998</v>
      </c>
      <c r="AA177" s="67">
        <f t="shared" si="70"/>
        <v>0.12670000000000048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71"/>
        <v>0818-13</v>
      </c>
      <c r="AE177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77" s="88" t="str">
        <f t="shared" si="73"/>
        <v>"C:\Program Files (x86)\AstroGrep\AstroGrep.exe" /spath="%USERPROFILE%\AppData\Local\Temp\OnboardLogs" /stypes="app*4039*20161213*" /stext=" 18:.+((SYSTEM_STATE.+slice.+state.+changed )|(ment ac)|(multiple cpu faults)|(system.+state.+changed )|(\[timeout)|(PRM\|1\|D)|(kpr)|(kdp)|(\|lc)|(penalty))" /e /r /s</v>
      </c>
      <c r="AG177" s="1" t="str">
        <f t="shared" si="74"/>
        <v>NW</v>
      </c>
      <c r="AH177" s="92" t="str">
        <f t="shared" si="76"/>
        <v>"%USERPROFILE%\Documents\GitHub\eaglep3\Utilities\RefineRTDCRunTimes.py" --tripid 818-13 --locoid 4039 --swversion DE.1.0.8.0 --startMP 300:58608 --initTime 2016-12-13T11:35:23 --startdatetime 2016-12-13T11:38:07 --delay 1 --endMP 300:57341 --enddatetime 2016-12-13T11:39:14 --enforcementcount 1 &gt;&gt;C:\Users\stu\Documents\GitHub\eaglep3-reporting\EC\2016-12-13-refined-times.txt</v>
      </c>
      <c r="AI177" s="119" t="str">
        <f t="shared" si="77"/>
        <v>echo {"issue":{"subject":"Went active too close to signal","project_id":79,"tracker_id":40,"status_id":1,"priority_id":2,"assigned_to_id":23,"start_date":"2016-12-13","description":"","custom_fields":[{"id":1,"name":"Subdivision","value":"NW"},{"id":4,"name":"Milepost","value":"5.7341"},{"id":17,"name":"Train ID","value":"818-13"},{"id":16,"name":"Locomotive ID","value":"4039"},{"id":130,"name":"Impact","value":""},{"id":150,"name":"Time of Event (Mountain Time)","value":"11:39:14"},{"id":151,"name":"Denver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530</v>
      </c>
      <c r="B178" s="7">
        <v>4040</v>
      </c>
      <c r="C178" s="22" t="s">
        <v>207</v>
      </c>
      <c r="D178" s="22" t="s">
        <v>779</v>
      </c>
      <c r="E178" s="13">
        <v>42717.511018518519</v>
      </c>
      <c r="F178" s="13">
        <v>42717.514861111114</v>
      </c>
      <c r="G178" s="7">
        <v>1</v>
      </c>
      <c r="H178" s="22" t="s">
        <v>389</v>
      </c>
      <c r="I178" s="13">
        <v>42717.524236111109</v>
      </c>
      <c r="J178" s="7">
        <v>0</v>
      </c>
      <c r="K178" s="109" t="str">
        <f t="shared" si="65"/>
        <v>4039/4040</v>
      </c>
      <c r="L178" s="22" t="str">
        <f>VLOOKUP(A178,'Trips&amp;Operators'!$C$1:$G$99999,5,FALSE)</f>
        <v>LEVIN SCOTT</v>
      </c>
      <c r="M178" s="6">
        <f t="shared" si="66"/>
        <v>9.3749999941792339E-3</v>
      </c>
      <c r="N178" s="7">
        <f t="shared" ref="N178:N186" si="82">24*60*SUM($M178:$M178)</f>
        <v>13.499999991618097</v>
      </c>
      <c r="O178" s="7"/>
      <c r="P178" s="7"/>
      <c r="Q178" s="23"/>
      <c r="R178" s="23"/>
      <c r="S178" s="35">
        <f t="shared" si="81"/>
        <v>1</v>
      </c>
      <c r="T178" s="50" t="str">
        <f t="shared" si="67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11:15:52-700',mode:absolute,to:'2016-12-13 13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69"/>
        <v>N</v>
      </c>
      <c r="X178" s="177">
        <f t="shared" si="79"/>
        <v>1</v>
      </c>
      <c r="Y178" s="67">
        <f t="shared" si="78"/>
        <v>0.1011</v>
      </c>
      <c r="Z178" s="67">
        <f t="shared" si="80"/>
        <v>5.8935000000000004</v>
      </c>
      <c r="AA178" s="67">
        <f t="shared" si="70"/>
        <v>5.7924000000000007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71"/>
        <v>0819-13</v>
      </c>
      <c r="AE178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78" s="88" t="str">
        <f t="shared" si="73"/>
        <v>"C:\Program Files (x86)\AstroGrep\AstroGrep.exe" /spath="%USERPROFILE%\AppData\Local\Temp\OnboardLogs" /stypes="app*4040*20161213*" /stext=" 19:.+((SYSTEM_STATE.+slice.+state.+changed )|(ment ac)|(multiple cpu faults)|(system.+state.+changed )|(\[timeout)|(PRM\|1\|D)|(kpr)|(kdp)|(\|lc)|(penalty))" /e /r /s</v>
      </c>
      <c r="AG178" s="1" t="str">
        <f t="shared" si="74"/>
        <v>NW</v>
      </c>
      <c r="AH178" s="92" t="str">
        <f t="shared" si="76"/>
        <v>"%USERPROFILE%\Documents\GitHub\eaglep3\Utilities\RefineRTDCRunTimes.py" --tripid 819-13 --locoid 4040 --swversion DE.1.0.8.0 --startMP 204:1011 --initTime 2016-12-13T12:15:52 --startdatetime 2016-12-13T12:21:24 --delay 1 --endMP 300:58935 --enddatetime 2016-12-13T12:34:54 --enforcementcount 0 &gt;&gt;C:\Users\stu\Documents\GitHub\eaglep3-reporting\EC\2016-12-13-refined-times.txt</v>
      </c>
      <c r="AI178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{"issue":{"subject":"","project_id":79,"tracker_id":40,"status_id":1,"priority_id":2,"assigned_to_id":23,"start_date":"2016-12-13","description":"","custom_fields":[{"id":1,"name":"Subdivision","value":"NW"},{"id":4,"name":"Milepost","value":"5.8935"},{"id":17,"name":"Train ID","value":"819-13"},{"id":16,"name":"Locomotive ID","value":"4040"},{"id":130,"name":"Impact","value":""},{"id":150,"name":"Time of Event (Mountain Time)","value":"12:34:54"},{"id":151,"name":"Denver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428</v>
      </c>
      <c r="B179" s="7">
        <v>4039</v>
      </c>
      <c r="C179" s="22" t="s">
        <v>207</v>
      </c>
      <c r="D179" s="22" t="s">
        <v>394</v>
      </c>
      <c r="E179" s="13">
        <v>42717.525324074071</v>
      </c>
      <c r="F179" s="13">
        <v>42717.526550925926</v>
      </c>
      <c r="G179" s="7">
        <v>1</v>
      </c>
      <c r="H179" s="22" t="s">
        <v>651</v>
      </c>
      <c r="I179" s="13">
        <v>42717.539351851854</v>
      </c>
      <c r="J179" s="7">
        <v>1</v>
      </c>
      <c r="K179" s="109" t="str">
        <f t="shared" si="65"/>
        <v>4039/4040</v>
      </c>
      <c r="L179" s="22" t="str">
        <f>VLOOKUP(A179,'Trips&amp;Operators'!$C$1:$G$99999,5,FALSE)</f>
        <v>LEVIN SCOTT</v>
      </c>
      <c r="M179" s="6">
        <f t="shared" si="66"/>
        <v>1.280092592787696E-2</v>
      </c>
      <c r="N179" s="7">
        <f t="shared" si="82"/>
        <v>18.433333336142823</v>
      </c>
      <c r="O179" s="7"/>
      <c r="P179" s="7"/>
      <c r="Q179" s="23"/>
      <c r="R179" s="23"/>
      <c r="S179" s="35">
        <f t="shared" si="81"/>
        <v>1</v>
      </c>
      <c r="T179" s="50" t="str">
        <f t="shared" si="67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11:36:28-700',mode:absolute,to:'2016-12-13 13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69"/>
        <v>N</v>
      </c>
      <c r="X179" s="177">
        <f t="shared" si="79"/>
        <v>1</v>
      </c>
      <c r="Y179" s="67">
        <f t="shared" si="78"/>
        <v>5.8608000000000002</v>
      </c>
      <c r="Z179" s="67">
        <f t="shared" si="80"/>
        <v>7.6100000000000001E-2</v>
      </c>
      <c r="AA179" s="67">
        <f t="shared" si="70"/>
        <v>5.7847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71"/>
        <v>0820-13</v>
      </c>
      <c r="AE179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79" s="88" t="str">
        <f t="shared" si="73"/>
        <v>"C:\Program Files (x86)\AstroGrep\AstroGrep.exe" /spath="%USERPROFILE%\AppData\Local\Temp\OnboardLogs" /stypes="app*4039*20161213*" /stext=" 19:.+((SYSTEM_STATE.+slice.+state.+changed )|(ment ac)|(multiple cpu faults)|(system.+state.+changed )|(\[timeout)|(PRM\|1\|D)|(kpr)|(kdp)|(\|lc)|(penalty))" /e /r /s</v>
      </c>
      <c r="AG179" s="1" t="str">
        <f t="shared" si="74"/>
        <v>NW</v>
      </c>
      <c r="AH179" s="92" t="str">
        <f t="shared" si="76"/>
        <v>"%USERPROFILE%\Documents\GitHub\eaglep3\Utilities\RefineRTDCRunTimes.py" --tripid 820-13 --locoid 4039 --swversion DE.1.0.8.0 --startMP 300:58608 --initTime 2016-12-13T12:36:28 --startdatetime 2016-12-13T12:38:14 --delay 1 --endMP 204:761 --enddatetime 2016-12-13T12:56:40 --enforcementcount 1 &gt;&gt;C:\Users\stu\Documents\GitHub\eaglep3-reporting\EC\2016-12-13-refined-times.txt</v>
      </c>
      <c r="AI179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{"issue":{"subject":"","project_id":79,"tracker_id":40,"status_id":1,"priority_id":2,"assigned_to_id":23,"start_date":"2016-12-13","description":"","custom_fields":[{"id":1,"name":"Subdivision","value":"NW"},{"id":4,"name":"Milepost","value":"0.0761"},{"id":17,"name":"Train ID","value":"820-13"},{"id":16,"name":"Locomotive ID","value":"4039"},{"id":130,"name":"Impact","value":""},{"id":150,"name":"Time of Event (Mountain Time)","value":"12:56:40"},{"id":151,"name":"Denver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541</v>
      </c>
      <c r="B180" s="7">
        <v>4040</v>
      </c>
      <c r="C180" s="22" t="s">
        <v>207</v>
      </c>
      <c r="D180" s="22" t="s">
        <v>780</v>
      </c>
      <c r="E180" s="13">
        <v>42717.548784722225</v>
      </c>
      <c r="F180" s="13">
        <v>42717.55667824074</v>
      </c>
      <c r="G180" s="7">
        <v>1</v>
      </c>
      <c r="H180" s="22" t="s">
        <v>761</v>
      </c>
      <c r="I180" s="13">
        <v>42717.566620370373</v>
      </c>
      <c r="J180" s="7">
        <v>0</v>
      </c>
      <c r="K180" s="109" t="str">
        <f t="shared" si="65"/>
        <v>4039/4040</v>
      </c>
      <c r="L180" s="22" t="str">
        <f>VLOOKUP(A180,'Trips&amp;Operators'!$C$1:$G$99999,5,FALSE)</f>
        <v>BRUDER RICHARD</v>
      </c>
      <c r="M180" s="6">
        <f t="shared" si="66"/>
        <v>9.9421296326909214E-3</v>
      </c>
      <c r="N180" s="7">
        <f t="shared" si="82"/>
        <v>14.316666671074927</v>
      </c>
      <c r="O180" s="7"/>
      <c r="P180" s="7"/>
      <c r="Q180" s="23"/>
      <c r="R180" s="23"/>
      <c r="S180" s="35">
        <f t="shared" si="81"/>
        <v>1</v>
      </c>
      <c r="T180" s="50" t="str">
        <f t="shared" si="67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12:10:15-700',mode:absolute,to:'2016-12-13 14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69"/>
        <v>N</v>
      </c>
      <c r="X180" s="177">
        <f t="shared" si="79"/>
        <v>1</v>
      </c>
      <c r="Y180" s="67">
        <f t="shared" si="78"/>
        <v>0.1037</v>
      </c>
      <c r="Z180" s="67">
        <f t="shared" si="80"/>
        <v>5.8960999999999997</v>
      </c>
      <c r="AA180" s="67">
        <f t="shared" si="70"/>
        <v>5.7923999999999998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71"/>
        <v>0821-13</v>
      </c>
      <c r="AE180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80" s="88" t="str">
        <f t="shared" si="73"/>
        <v>"C:\Program Files (x86)\AstroGrep\AstroGrep.exe" /spath="%USERPROFILE%\AppData\Local\Temp\OnboardLogs" /stypes="app*4040*20161213*" /stext=" 20:.+((SYSTEM_STATE.+slice.+state.+changed )|(ment ac)|(multiple cpu faults)|(system.+state.+changed )|(\[timeout)|(PRM\|1\|D)|(kpr)|(kdp)|(\|lc)|(penalty))" /e /r /s</v>
      </c>
      <c r="AG180" s="1" t="str">
        <f t="shared" si="74"/>
        <v>NW</v>
      </c>
      <c r="AH180" s="92" t="str">
        <f t="shared" si="76"/>
        <v>"%USERPROFILE%\Documents\GitHub\eaglep3\Utilities\RefineRTDCRunTimes.py" --tripid 821-13 --locoid 4040 --swversion DE.1.0.8.0 --startMP 204:1037 --initTime 2016-12-13T13:10:15 --startdatetime 2016-12-13T13:21:37 --delay 1 --endMP 300:58961 --enddatetime 2016-12-13T13:35:56 --enforcementcount 0 &gt;&gt;C:\Users\stu\Documents\GitHub\eaglep3-reporting\EC\2016-12-13-refined-times.txt</v>
      </c>
      <c r="AI180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{"issue":{"subject":"","project_id":79,"tracker_id":40,"status_id":1,"priority_id":2,"assigned_to_id":23,"start_date":"2016-12-13","description":"","custom_fields":[{"id":1,"name":"Subdivision","value":"NW"},{"id":4,"name":"Milepost","value":"5.8961"},{"id":17,"name":"Train ID","value":"821-13"},{"id":16,"name":"Locomotive ID","value":"4040"},{"id":130,"name":"Impact","value":""},{"id":150,"name":"Time of Event (Mountain Time)","value":"13:35:56"},{"id":151,"name":"Denver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544</v>
      </c>
      <c r="B181" s="7">
        <v>4039</v>
      </c>
      <c r="C181" s="22" t="s">
        <v>207</v>
      </c>
      <c r="D181" s="22" t="s">
        <v>781</v>
      </c>
      <c r="E181" s="13">
        <v>42717.567881944444</v>
      </c>
      <c r="F181" s="13">
        <v>42717.569733796299</v>
      </c>
      <c r="G181" s="7">
        <v>1</v>
      </c>
      <c r="H181" s="22" t="s">
        <v>401</v>
      </c>
      <c r="I181" s="13">
        <v>42717.580358796295</v>
      </c>
      <c r="J181" s="7">
        <v>0</v>
      </c>
      <c r="K181" s="109" t="str">
        <f t="shared" si="65"/>
        <v>4039/4040</v>
      </c>
      <c r="L181" s="22" t="str">
        <f>VLOOKUP(A181,'Trips&amp;Operators'!$C$1:$G$99999,5,FALSE)</f>
        <v>BRUDER RICHARD</v>
      </c>
      <c r="M181" s="6">
        <f t="shared" si="66"/>
        <v>1.0624999995343387E-2</v>
      </c>
      <c r="N181" s="7">
        <f t="shared" si="82"/>
        <v>15.299999993294477</v>
      </c>
      <c r="O181" s="7"/>
      <c r="P181" s="7"/>
      <c r="Q181" s="23"/>
      <c r="R181" s="23"/>
      <c r="S181" s="35">
        <f t="shared" si="81"/>
        <v>1</v>
      </c>
      <c r="T181" s="50" t="str">
        <f t="shared" si="67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12:37:45-700',mode:absolute,to:'2016-12-13 14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69"/>
        <v>N</v>
      </c>
      <c r="X181" s="177">
        <f t="shared" si="79"/>
        <v>1</v>
      </c>
      <c r="Y181" s="67">
        <f t="shared" si="78"/>
        <v>5.8642000000000003</v>
      </c>
      <c r="Z181" s="67">
        <f t="shared" si="80"/>
        <v>6.7699999999999996E-2</v>
      </c>
      <c r="AA181" s="67">
        <f t="shared" si="70"/>
        <v>5.7965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71"/>
        <v>0822-13</v>
      </c>
      <c r="AE181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81" s="88" t="str">
        <f t="shared" si="73"/>
        <v>"C:\Program Files (x86)\AstroGrep\AstroGrep.exe" /spath="%USERPROFILE%\AppData\Local\Temp\OnboardLogs" /stypes="app*4039*20161213*" /stext=" 20:.+((SYSTEM_STATE.+slice.+state.+changed )|(ment ac)|(multiple cpu faults)|(system.+state.+changed )|(\[timeout)|(PRM\|1\|D)|(kpr)|(kdp)|(\|lc)|(penalty))" /e /r /s</v>
      </c>
      <c r="AG181" s="1" t="str">
        <f t="shared" si="74"/>
        <v>NW</v>
      </c>
      <c r="AH181" s="92" t="str">
        <f t="shared" si="76"/>
        <v>"%USERPROFILE%\Documents\GitHub\eaglep3\Utilities\RefineRTDCRunTimes.py" --tripid 822-13 --locoid 4039 --swversion DE.1.0.8.0 --startMP 300:58642 --initTime 2016-12-13T13:37:45 --startdatetime 2016-12-13T13:40:25 --delay 1 --endMP 204:677 --enddatetime 2016-12-13T13:55:43 --enforcementcount 0 &gt;&gt;C:\Users\stu\Documents\GitHub\eaglep3-reporting\EC\2016-12-13-refined-times.txt</v>
      </c>
      <c r="AI181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{"issue":{"subject":"","project_id":79,"tracker_id":40,"status_id":1,"priority_id":2,"assigned_to_id":23,"start_date":"2016-12-13","description":"","custom_fields":[{"id":1,"name":"Subdivision","value":"NW"},{"id":4,"name":"Milepost","value":"0.0677"},{"id":17,"name":"Train ID","value":"822-13"},{"id":16,"name":"Locomotive ID","value":"4039"},{"id":130,"name":"Impact","value":""},{"id":150,"name":"Time of Event (Mountain Time)","value":"13:55:43"},{"id":151,"name":"Denver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550</v>
      </c>
      <c r="B182" s="7">
        <v>4040</v>
      </c>
      <c r="C182" s="22" t="s">
        <v>207</v>
      </c>
      <c r="D182" s="22" t="s">
        <v>782</v>
      </c>
      <c r="E182" s="13">
        <v>42717.594375000001</v>
      </c>
      <c r="F182" s="13">
        <v>42717.598101851851</v>
      </c>
      <c r="G182" s="7">
        <v>1</v>
      </c>
      <c r="H182" s="22" t="s">
        <v>389</v>
      </c>
      <c r="I182" s="13">
        <v>42717.608252314814</v>
      </c>
      <c r="J182" s="7">
        <v>0</v>
      </c>
      <c r="K182" s="109" t="str">
        <f t="shared" si="65"/>
        <v>4039/4040</v>
      </c>
      <c r="L182" s="22" t="str">
        <f>VLOOKUP(A182,'Trips&amp;Operators'!$C$1:$G$99999,5,FALSE)</f>
        <v>BRUDER RICHARD</v>
      </c>
      <c r="M182" s="6">
        <f t="shared" si="66"/>
        <v>1.0150462963792961E-2</v>
      </c>
      <c r="N182" s="7">
        <f t="shared" si="82"/>
        <v>14.616666667861864</v>
      </c>
      <c r="O182" s="7"/>
      <c r="P182" s="7"/>
      <c r="Q182" s="23"/>
      <c r="R182" s="23"/>
      <c r="S182" s="35">
        <f t="shared" si="81"/>
        <v>1</v>
      </c>
      <c r="T182" s="50" t="str">
        <f t="shared" si="67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13:15:54-700',mode:absolute,to:'2016-12-13 15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69"/>
        <v>N</v>
      </c>
      <c r="X182" s="177">
        <f t="shared" si="79"/>
        <v>1</v>
      </c>
      <c r="Y182" s="67">
        <f t="shared" ref="Y182:Y213" si="83">RIGHT(D182,LEN(D182)-4)/10000</f>
        <v>9.7799999999999998E-2</v>
      </c>
      <c r="Z182" s="67">
        <f t="shared" si="80"/>
        <v>5.8935000000000004</v>
      </c>
      <c r="AA182" s="67">
        <f t="shared" si="70"/>
        <v>5.7957000000000001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71"/>
        <v>0823-13</v>
      </c>
      <c r="AE182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82" s="88" t="str">
        <f t="shared" si="73"/>
        <v>"C:\Program Files (x86)\AstroGrep\AstroGrep.exe" /spath="%USERPROFILE%\AppData\Local\Temp\OnboardLogs" /stypes="app*4040*20161213*" /stext=" 21:.+((SYSTEM_STATE.+slice.+state.+changed )|(ment ac)|(multiple cpu faults)|(system.+state.+changed )|(\[timeout)|(PRM\|1\|D)|(kpr)|(kdp)|(\|lc)|(penalty))" /e /r /s</v>
      </c>
      <c r="AG182" s="1" t="str">
        <f t="shared" si="74"/>
        <v>NW</v>
      </c>
      <c r="AH182" s="92" t="str">
        <f t="shared" si="76"/>
        <v>"%USERPROFILE%\Documents\GitHub\eaglep3\Utilities\RefineRTDCRunTimes.py" --tripid 823-13 --locoid 4040 --swversion DE.1.0.8.0 --startMP 204:978 --initTime 2016-12-13T14:15:54 --startdatetime 2016-12-13T14:21:16 --delay 1 --endMP 300:58935 --enddatetime 2016-12-13T14:35:53 --enforcementcount 0 &gt;&gt;C:\Users\stu\Documents\GitHub\eaglep3-reporting\EC\2016-12-13-refined-times.txt</v>
      </c>
      <c r="AI182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{"issue":{"subject":"","project_id":79,"tracker_id":40,"status_id":1,"priority_id":2,"assigned_to_id":23,"start_date":"2016-12-13","description":"","custom_fields":[{"id":1,"name":"Subdivision","value":"NW"},{"id":4,"name":"Milepost","value":"5.8935"},{"id":17,"name":"Train ID","value":"823-13"},{"id":16,"name":"Locomotive ID","value":"4040"},{"id":130,"name":"Impact","value":""},{"id":150,"name":"Time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552</v>
      </c>
      <c r="B183" s="7">
        <v>4039</v>
      </c>
      <c r="C183" s="22" t="s">
        <v>207</v>
      </c>
      <c r="D183" s="22" t="s">
        <v>783</v>
      </c>
      <c r="E183" s="13">
        <v>42717.609178240738</v>
      </c>
      <c r="F183" s="13">
        <v>42717.610439814816</v>
      </c>
      <c r="G183" s="7">
        <v>2</v>
      </c>
      <c r="H183" s="22" t="s">
        <v>401</v>
      </c>
      <c r="I183" s="13">
        <v>42717.621921296297</v>
      </c>
      <c r="J183" s="7">
        <v>0</v>
      </c>
      <c r="K183" s="109" t="str">
        <f t="shared" si="65"/>
        <v>4039/4040</v>
      </c>
      <c r="L183" s="22" t="str">
        <f>VLOOKUP(A183,'Trips&amp;Operators'!$C$1:$G$99999,5,FALSE)</f>
        <v>BRUDER RICHARD</v>
      </c>
      <c r="M183" s="6">
        <f t="shared" si="66"/>
        <v>1.1481481480586808E-2</v>
      </c>
      <c r="N183" s="7">
        <f t="shared" si="82"/>
        <v>16.533333332045004</v>
      </c>
      <c r="O183" s="7"/>
      <c r="P183" s="7"/>
      <c r="Q183" s="23"/>
      <c r="R183" s="23"/>
      <c r="S183" s="35">
        <f t="shared" si="81"/>
        <v>1</v>
      </c>
      <c r="T183" s="50" t="str">
        <f t="shared" si="67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13:37:13-700',mode:absolute,to:'2016-12-13 15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69"/>
        <v>N</v>
      </c>
      <c r="X183" s="177">
        <f t="shared" si="79"/>
        <v>1</v>
      </c>
      <c r="Y183" s="67">
        <f t="shared" si="83"/>
        <v>5.7331000000000003</v>
      </c>
      <c r="Z183" s="67">
        <f t="shared" si="80"/>
        <v>6.7699999999999996E-2</v>
      </c>
      <c r="AA183" s="67">
        <f t="shared" si="70"/>
        <v>5.6654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71"/>
        <v>0824-13</v>
      </c>
      <c r="AE183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83" s="88" t="str">
        <f t="shared" si="73"/>
        <v>"C:\Program Files (x86)\AstroGrep\AstroGrep.exe" /spath="%USERPROFILE%\AppData\Local\Temp\OnboardLogs" /stypes="app*4039*20161213*" /stext=" 21:.+((SYSTEM_STATE.+slice.+state.+changed )|(ment ac)|(multiple cpu faults)|(system.+state.+changed )|(\[timeout)|(PRM\|1\|D)|(kpr)|(kdp)|(\|lc)|(penalty))" /e /r /s</v>
      </c>
      <c r="AG183" s="1" t="str">
        <f t="shared" si="74"/>
        <v>NW</v>
      </c>
      <c r="AH183" s="92" t="str">
        <f t="shared" si="76"/>
        <v>"%USERPROFILE%\Documents\GitHub\eaglep3\Utilities\RefineRTDCRunTimes.py" --tripid 824-13 --locoid 4039 --swversion DE.1.0.8.0 --startMP 300:57331 --initTime 2016-12-13T14:37:13 --startdatetime 2016-12-13T14:39:02 --delay 2 --endMP 204:677 --enddatetime 2016-12-13T14:55:34 --enforcementcount 0 &gt;&gt;C:\Users\stu\Documents\GitHub\eaglep3-reporting\EC\2016-12-13-refined-times.txt</v>
      </c>
      <c r="AI183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{"issue":{"subject":"","project_id":79,"tracker_id":40,"status_id":1,"priority_id":2,"assigned_to_id":23,"start_date":"2016-12-13","description":"","custom_fields":[{"id":1,"name":"Subdivision","value":"NW"},{"id":4,"name":"Milepost","value":"0.0677"},{"id":17,"name":"Train ID","value":"824-13"},{"id":16,"name":"Locomotive ID","value":"4039"},{"id":130,"name":"Impact","value":""},{"id":150,"name":"Time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557</v>
      </c>
      <c r="B184" s="7">
        <v>4040</v>
      </c>
      <c r="C184" s="22" t="s">
        <v>207</v>
      </c>
      <c r="D184" s="22" t="s">
        <v>342</v>
      </c>
      <c r="E184" s="13">
        <v>42717.636643518519</v>
      </c>
      <c r="F184" s="13">
        <v>42717.639780092592</v>
      </c>
      <c r="G184" s="7">
        <v>1</v>
      </c>
      <c r="H184" s="22" t="s">
        <v>387</v>
      </c>
      <c r="I184" s="13">
        <v>42717.649745370371</v>
      </c>
      <c r="J184" s="7">
        <v>0</v>
      </c>
      <c r="K184" s="109" t="str">
        <f t="shared" si="65"/>
        <v>4039/4040</v>
      </c>
      <c r="L184" s="22" t="str">
        <f>VLOOKUP(A184,'Trips&amp;Operators'!$C$1:$G$99999,5,FALSE)</f>
        <v>BRUDER RICHARD</v>
      </c>
      <c r="M184" s="6">
        <f t="shared" si="66"/>
        <v>9.9652777789742686E-3</v>
      </c>
      <c r="N184" s="7">
        <f t="shared" si="82"/>
        <v>14.350000001722947</v>
      </c>
      <c r="O184" s="7"/>
      <c r="P184" s="7"/>
      <c r="Q184" s="23"/>
      <c r="R184" s="23"/>
      <c r="S184" s="35">
        <f t="shared" si="81"/>
        <v>1</v>
      </c>
      <c r="T184" s="50" t="str">
        <f t="shared" si="67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14:16:46-700',mode:absolute,to:'2016-12-13 16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69"/>
        <v>N</v>
      </c>
      <c r="X184" s="177">
        <f t="shared" si="79"/>
        <v>1</v>
      </c>
      <c r="Y184" s="67">
        <f t="shared" si="83"/>
        <v>9.74E-2</v>
      </c>
      <c r="Z184" s="67">
        <f t="shared" si="80"/>
        <v>5.8930999999999996</v>
      </c>
      <c r="AA184" s="67">
        <f t="shared" si="70"/>
        <v>5.7956999999999992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71"/>
        <v>0825-13</v>
      </c>
      <c r="AE184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84" s="88" t="str">
        <f t="shared" si="73"/>
        <v>"C:\Program Files (x86)\AstroGrep\AstroGrep.exe" /spath="%USERPROFILE%\AppData\Local\Temp\OnboardLogs" /stypes="app*4040*20161213*" /stext=" 22:.+((SYSTEM_STATE.+slice.+state.+changed )|(ment ac)|(multiple cpu faults)|(system.+state.+changed )|(\[timeout)|(PRM\|1\|D)|(kpr)|(kdp)|(\|lc)|(penalty))" /e /r /s</v>
      </c>
      <c r="AG184" s="1" t="str">
        <f t="shared" si="74"/>
        <v>NW</v>
      </c>
      <c r="AH184" s="92" t="str">
        <f t="shared" si="76"/>
        <v>"%USERPROFILE%\Documents\GitHub\eaglep3\Utilities\RefineRTDCRunTimes.py" --tripid 825-13 --locoid 4040 --swversion DE.1.0.8.0 --startMP 204:974 --initTime 2016-12-13T15:16:46 --startdatetime 2016-12-13T15:21:17 --delay 1 --endMP 300:58931 --enddatetime 2016-12-13T15:35:38 --enforcementcount 0 &gt;&gt;C:\Users\stu\Documents\GitHub\eaglep3-reporting\EC\2016-12-13-refined-times.txt</v>
      </c>
      <c r="AI184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{"issue":{"subject":"","project_id":79,"tracker_id":40,"status_id":1,"priority_id":2,"assigned_to_id":23,"start_date":"2016-12-13","description":"","custom_fields":[{"id":1,"name":"Subdivision","value":"NW"},{"id":4,"name":"Milepost","value":"5.8931"},{"id":17,"name":"Train ID","value":"825-13"},{"id":16,"name":"Locomotive ID","value":"4040"},{"id":130,"name":"Impact","value":""},{"id":150,"name":"Time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559</v>
      </c>
      <c r="B185" s="7">
        <v>4039</v>
      </c>
      <c r="C185" s="22" t="s">
        <v>207</v>
      </c>
      <c r="D185" s="22" t="s">
        <v>295</v>
      </c>
      <c r="E185" s="13">
        <v>42717.650949074072</v>
      </c>
      <c r="F185" s="13">
        <v>42717.652372685188</v>
      </c>
      <c r="G185" s="7">
        <v>1</v>
      </c>
      <c r="H185" s="22" t="s">
        <v>784</v>
      </c>
      <c r="I185" s="13">
        <v>42717.663668981484</v>
      </c>
      <c r="J185" s="7">
        <v>0</v>
      </c>
      <c r="K185" s="109" t="str">
        <f t="shared" si="65"/>
        <v>4039/4040</v>
      </c>
      <c r="L185" s="22" t="str">
        <f>VLOOKUP(A185,'Trips&amp;Operators'!$C$1:$G$99999,5,FALSE)</f>
        <v>BRUDER RICHARD</v>
      </c>
      <c r="M185" s="6">
        <f t="shared" si="66"/>
        <v>1.1296296295768116E-2</v>
      </c>
      <c r="N185" s="7">
        <f t="shared" si="82"/>
        <v>16.266666665906087</v>
      </c>
      <c r="O185" s="7"/>
      <c r="P185" s="7"/>
      <c r="Q185" s="23"/>
      <c r="R185" s="23"/>
      <c r="S185" s="35">
        <f t="shared" si="81"/>
        <v>1</v>
      </c>
      <c r="T185" s="50" t="str">
        <f t="shared" si="67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14:37:22-700',mode:absolute,to:'2016-12-13 16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69"/>
        <v>N</v>
      </c>
      <c r="X185" s="177">
        <f t="shared" si="79"/>
        <v>1</v>
      </c>
      <c r="Y185" s="67">
        <f t="shared" si="83"/>
        <v>5.8623000000000003</v>
      </c>
      <c r="Z185" s="67">
        <f t="shared" si="80"/>
        <v>6.8000000000000005E-2</v>
      </c>
      <c r="AA185" s="67">
        <f t="shared" si="70"/>
        <v>5.7943000000000007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71"/>
        <v>0826-13</v>
      </c>
      <c r="AE185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85" s="88" t="str">
        <f t="shared" si="73"/>
        <v>"C:\Program Files (x86)\AstroGrep\AstroGrep.exe" /spath="%USERPROFILE%\AppData\Local\Temp\OnboardLogs" /stypes="app*4039*20161213*" /stext=" 22:.+((SYSTEM_STATE.+slice.+state.+changed )|(ment ac)|(multiple cpu faults)|(system.+state.+changed )|(\[timeout)|(PRM\|1\|D)|(kpr)|(kdp)|(\|lc)|(penalty))" /e /r /s</v>
      </c>
      <c r="AG185" s="1" t="str">
        <f t="shared" si="74"/>
        <v>NW</v>
      </c>
      <c r="AH185" s="92" t="str">
        <f t="shared" si="76"/>
        <v>"%USERPROFILE%\Documents\GitHub\eaglep3\Utilities\RefineRTDCRunTimes.py" --tripid 826-13 --locoid 4039 --swversion DE.1.0.8.0 --startMP 300:58623 --initTime 2016-12-13T15:37:22 --startdatetime 2016-12-13T15:39:25 --delay 1 --endMP 204:680 --enddatetime 2016-12-13T15:55:41 --enforcementcount 0 &gt;&gt;C:\Users\stu\Documents\GitHub\eaglep3-reporting\EC\2016-12-13-refined-times.txt</v>
      </c>
      <c r="AI185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{"issue":{"subject":"","project_id":79,"tracker_id":40,"status_id":1,"priority_id":2,"assigned_to_id":23,"start_date":"2016-12-13","description":"","custom_fields":[{"id":1,"name":"Subdivision","value":"NW"},{"id":4,"name":"Milepost","value":"0.068"},{"id":17,"name":"Train ID","value":"826-13"},{"id":16,"name":"Locomotive ID","value":"4039"},{"id":130,"name":"Impact","value":""},{"id":150,"name":"Time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561</v>
      </c>
      <c r="B186" s="7">
        <v>4046</v>
      </c>
      <c r="C186" s="22" t="s">
        <v>207</v>
      </c>
      <c r="D186" s="22" t="s">
        <v>395</v>
      </c>
      <c r="E186" s="13">
        <v>42717.655231481483</v>
      </c>
      <c r="F186" s="13">
        <v>42717.660821759258</v>
      </c>
      <c r="G186" s="7">
        <v>2</v>
      </c>
      <c r="H186" s="22" t="s">
        <v>389</v>
      </c>
      <c r="I186" s="13">
        <v>42717.670231481483</v>
      </c>
      <c r="J186" s="7">
        <v>0</v>
      </c>
      <c r="K186" s="109" t="str">
        <f t="shared" si="65"/>
        <v>4045/4046</v>
      </c>
      <c r="L186" s="22" t="str">
        <f>VLOOKUP(A186,'Trips&amp;Operators'!$C$1:$G$99999,5,FALSE)</f>
        <v>STAMBAUGH JAMES</v>
      </c>
      <c r="M186" s="6">
        <f t="shared" si="66"/>
        <v>9.4097222245181911E-3</v>
      </c>
      <c r="N186" s="7">
        <f t="shared" si="82"/>
        <v>13.550000003306195</v>
      </c>
      <c r="O186" s="7"/>
      <c r="P186" s="7"/>
      <c r="Q186" s="23"/>
      <c r="R186" s="23"/>
      <c r="S186" s="35">
        <f t="shared" si="81"/>
        <v>1</v>
      </c>
      <c r="T186" s="50" t="str">
        <f t="shared" si="67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14:43:32-700',mode:absolute,to:'2016-12-13 17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6" s="52" t="str">
        <f t="shared" si="69"/>
        <v>N</v>
      </c>
      <c r="X186" s="177">
        <f t="shared" si="79"/>
        <v>1</v>
      </c>
      <c r="Y186" s="67">
        <f t="shared" si="83"/>
        <v>9.64E-2</v>
      </c>
      <c r="Z186" s="67">
        <f t="shared" si="80"/>
        <v>5.8935000000000004</v>
      </c>
      <c r="AA186" s="67">
        <f t="shared" si="70"/>
        <v>5.7971000000000004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71"/>
        <v>0827-13</v>
      </c>
      <c r="AE186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86" s="88" t="str">
        <f t="shared" si="73"/>
        <v>"C:\Program Files (x86)\AstroGrep\AstroGrep.exe" /spath="%USERPROFILE%\AppData\Local\Temp\OnboardLogs" /stypes="app*4046*20161213*" /stext=" 23:.+((SYSTEM_STATE.+slice.+state.+changed )|(ment ac)|(multiple cpu faults)|(system.+state.+changed )|(\[timeout)|(PRM\|1\|D)|(kpr)|(kdp)|(\|lc)|(penalty))" /e /r /s</v>
      </c>
      <c r="AG186" s="1" t="str">
        <f t="shared" si="74"/>
        <v>NW</v>
      </c>
      <c r="AH186" s="92" t="str">
        <f t="shared" si="76"/>
        <v>"%USERPROFILE%\Documents\GitHub\eaglep3\Utilities\RefineRTDCRunTimes.py" --tripid 827-13 --locoid 4046 --swversion DE.1.0.8.0 --startMP 204:964 --initTime 2016-12-13T15:43:32 --startdatetime 2016-12-13T15:51:35 --delay 2 --endMP 300:58935 --enddatetime 2016-12-13T16:05:08 --enforcementcount 0 &gt;&gt;C:\Users\stu\Documents\GitHub\eaglep3-reporting\EC\2016-12-13-refined-times.txt</v>
      </c>
      <c r="AI186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{"issue":{"subject":"","project_id":79,"tracker_id":40,"status_id":1,"priority_id":2,"assigned_to_id":23,"start_date":"2016-12-13","description":"","custom_fields":[{"id":1,"name":"Subdivision","value":"NW"},{"id":4,"name":"Milepost","value":"5.8935"},{"id":17,"name":"Train ID","value":"827-13"},{"id":16,"name":"Locomotive ID","value":"4046"},{"id":130,"name":"Impact","value":""},{"id":150,"name":"Time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565</v>
      </c>
      <c r="B187" s="7">
        <v>4045</v>
      </c>
      <c r="C187" s="22" t="s">
        <v>207</v>
      </c>
      <c r="D187" s="22" t="s">
        <v>390</v>
      </c>
      <c r="E187" s="13">
        <v>42717.671493055554</v>
      </c>
      <c r="F187" s="13">
        <v>42717.674618055556</v>
      </c>
      <c r="G187" s="7">
        <v>1</v>
      </c>
      <c r="H187" s="22" t="s">
        <v>785</v>
      </c>
      <c r="I187" s="13">
        <v>42717.679537037038</v>
      </c>
      <c r="J187" s="7">
        <v>0</v>
      </c>
      <c r="K187" s="109" t="str">
        <f t="shared" si="65"/>
        <v>4045/4046</v>
      </c>
      <c r="L187" s="22" t="str">
        <f>VLOOKUP(A187,'Trips&amp;Operators'!$C$1:$G$99999,5,FALSE)</f>
        <v>STAMBAUGH JAMES</v>
      </c>
      <c r="M187" s="6">
        <f t="shared" si="66"/>
        <v>4.9189814817509614E-3</v>
      </c>
      <c r="N187" s="7"/>
      <c r="O187" s="7"/>
      <c r="P187" s="7">
        <f>24*60*SUM($M187:$M187)</f>
        <v>7.0833333337213844</v>
      </c>
      <c r="Q187" s="23"/>
      <c r="R187" s="23" t="s">
        <v>963</v>
      </c>
      <c r="S187" s="35">
        <f t="shared" si="81"/>
        <v>0</v>
      </c>
      <c r="T187" s="50" t="str">
        <f t="shared" si="67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15:06:57-700',mode:absolute,to:'2016-12-13 17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7" s="52" t="str">
        <f t="shared" si="69"/>
        <v>Y</v>
      </c>
      <c r="X187" s="177">
        <f t="shared" si="79"/>
        <v>1</v>
      </c>
      <c r="Y187" s="67">
        <f t="shared" si="83"/>
        <v>5.8613</v>
      </c>
      <c r="Z187" s="67">
        <f t="shared" si="80"/>
        <v>2.8304</v>
      </c>
      <c r="AA187" s="67">
        <f t="shared" si="70"/>
        <v>3.0308999999999999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71"/>
        <v>0828-13</v>
      </c>
      <c r="AE187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87" s="88" t="str">
        <f t="shared" si="73"/>
        <v>"C:\Program Files (x86)\AstroGrep\AstroGrep.exe" /spath="%USERPROFILE%\AppData\Local\Temp\OnboardLogs" /stypes="app*4045*20161213*" /stext=" 23:.+((SYSTEM_STATE.+slice.+state.+changed )|(ment ac)|(multiple cpu faults)|(system.+state.+changed )|(\[timeout)|(PRM\|1\|D)|(kpr)|(kdp)|(\|lc)|(penalty))" /e /r /s</v>
      </c>
      <c r="AG187" s="1" t="str">
        <f t="shared" si="74"/>
        <v>NW</v>
      </c>
      <c r="AH187" s="92" t="str">
        <f t="shared" si="76"/>
        <v>"%USERPROFILE%\Documents\GitHub\eaglep3\Utilities\RefineRTDCRunTimes.py" --tripid 828-13 --locoid 4045 --swversion DE.1.0.8.0 --startMP 300:58613 --initTime 2016-12-13T16:06:57 --startdatetime 2016-12-13T16:11:27 --delay 1 --endMP 300:28304 --enddatetime 2016-12-13T16:18:32 --enforcementcount 0 &gt;&gt;C:\Users\stu\Documents\GitHub\eaglep3-reporting\EC\2016-12-13-refined-times.txt</v>
      </c>
      <c r="AI187" s="119" t="str">
        <f t="shared" si="77"/>
        <v>echo {"issue":{"subject":"Network equipment failure (CRMF House RuggedComm Switch)","project_id":79,"tracker_id":40,"status_id":1,"priority_id":2,"assigned_to_id":23,"start_date":"2016-12-13","description":"","custom_fields":[{"id":1,"name":"Subdivision","value":"NW"},{"id":4,"name":"Milepost","value":"2.8304"},{"id":17,"name":"Train ID","value":"828-13"},{"id":16,"name":"Locomotive ID","value":"4045"},{"id":130,"name":"Impact","value":""},{"id":150,"name":"Time of Event (Mountain Time)","value":"16:18:32"},{"id":151,"name":"Denver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567</v>
      </c>
      <c r="B188" s="7">
        <v>4040</v>
      </c>
      <c r="C188" s="22" t="s">
        <v>207</v>
      </c>
      <c r="D188" s="22" t="s">
        <v>342</v>
      </c>
      <c r="E188" s="13">
        <v>42717.677627314813</v>
      </c>
      <c r="F188" s="13">
        <v>42717.681446759256</v>
      </c>
      <c r="G188" s="7">
        <v>1</v>
      </c>
      <c r="H188" s="22" t="s">
        <v>786</v>
      </c>
      <c r="I188" s="13">
        <v>42717.684305555558</v>
      </c>
      <c r="J188" s="7">
        <v>0</v>
      </c>
      <c r="K188" s="109" t="str">
        <f t="shared" si="65"/>
        <v>4039/4040</v>
      </c>
      <c r="L188" s="22" t="str">
        <f>VLOOKUP(A188,'Trips&amp;Operators'!$C$1:$G$99999,5,FALSE)</f>
        <v>BRUDER RICHARD</v>
      </c>
      <c r="M188" s="6">
        <f t="shared" si="66"/>
        <v>2.8587963024619967E-3</v>
      </c>
      <c r="N188" s="7"/>
      <c r="O188" s="7"/>
      <c r="P188" s="7">
        <f>24*60*SUM($M188:$M188)</f>
        <v>4.1166666755452752</v>
      </c>
      <c r="Q188" s="23"/>
      <c r="R188" s="23" t="s">
        <v>963</v>
      </c>
      <c r="S188" s="35">
        <f t="shared" si="81"/>
        <v>1</v>
      </c>
      <c r="T188" s="50" t="str">
        <f t="shared" si="67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15:15:47-700',mode:absolute,to:'2016-12-13 17:25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69"/>
        <v>Y</v>
      </c>
      <c r="X188" s="177">
        <f t="shared" si="79"/>
        <v>1</v>
      </c>
      <c r="Y188" s="67">
        <f t="shared" si="83"/>
        <v>9.74E-2</v>
      </c>
      <c r="Z188" s="67">
        <f t="shared" si="80"/>
        <v>1.3607</v>
      </c>
      <c r="AA188" s="67">
        <f t="shared" si="70"/>
        <v>1.2633000000000001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71"/>
        <v>0829-13</v>
      </c>
      <c r="AE188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88" s="88" t="str">
        <f t="shared" si="73"/>
        <v>"C:\Program Files (x86)\AstroGrep\AstroGrep.exe" /spath="%USERPROFILE%\AppData\Local\Temp\OnboardLogs" /stypes="app*4040*20161213*" /stext=" 23:.+((SYSTEM_STATE.+slice.+state.+changed )|(ment ac)|(multiple cpu faults)|(system.+state.+changed )|(\[timeout)|(PRM\|1\|D)|(kpr)|(kdp)|(\|lc)|(penalty))" /e /r /s</v>
      </c>
      <c r="AG188" s="1" t="str">
        <f t="shared" si="74"/>
        <v>NW</v>
      </c>
      <c r="AH188" s="92" t="str">
        <f t="shared" si="76"/>
        <v>"%USERPROFILE%\Documents\GitHub\eaglep3\Utilities\RefineRTDCRunTimes.py" --tripid 829-13 --locoid 4040 --swversion DE.1.0.8.0 --startMP 204:974 --initTime 2016-12-13T16:15:47 --startdatetime 2016-12-13T16:21:17 --delay 1 --endMP 300:13607 --enddatetime 2016-12-13T16:25:24 --enforcementcount 0 &gt;&gt;C:\Users\stu\Documents\GitHub\eaglep3-reporting\EC\2016-12-13-refined-times.txt</v>
      </c>
      <c r="AI188" s="119" t="str">
        <f t="shared" si="77"/>
        <v>echo {"issue":{"subject":"Network equipment failure (CRMF House RuggedComm Switch)","project_id":79,"tracker_id":40,"status_id":1,"priority_id":2,"assigned_to_id":23,"start_date":"2016-12-13","description":"","custom_fields":[{"id":1,"name":"Subdivision","value":"NW"},{"id":4,"name":"Milepost","value":"1.3607"},{"id":17,"name":"Train ID","value":"829-13"},{"id":16,"name":"Locomotive ID","value":"4040"},{"id":130,"name":"Impact","value":""},{"id":150,"name":"Time of Event (Mountain Time)","value":"16:25:24"},{"id":151,"name":"Denver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575</v>
      </c>
      <c r="B189" s="7">
        <v>4039</v>
      </c>
      <c r="C189" s="22" t="s">
        <v>207</v>
      </c>
      <c r="D189" s="22" t="s">
        <v>296</v>
      </c>
      <c r="E189" s="13">
        <v>42717.717650462961</v>
      </c>
      <c r="F189" s="13">
        <v>42717.719143518516</v>
      </c>
      <c r="G189" s="7">
        <v>1</v>
      </c>
      <c r="H189" s="22" t="s">
        <v>787</v>
      </c>
      <c r="I189" s="13">
        <v>42717.728449074071</v>
      </c>
      <c r="J189" s="7">
        <v>0</v>
      </c>
      <c r="K189" s="109" t="str">
        <f t="shared" si="65"/>
        <v>4039/4040</v>
      </c>
      <c r="L189" s="22" t="str">
        <f>VLOOKUP(A189,'Trips&amp;Operators'!$C$1:$G$99999,5,FALSE)</f>
        <v>BRUDER RICHARD</v>
      </c>
      <c r="M189" s="6">
        <f t="shared" si="66"/>
        <v>9.3055555553291924E-3</v>
      </c>
      <c r="N189" s="7">
        <f t="shared" ref="N189:N220" si="84">24*60*SUM($M189:$M189)</f>
        <v>13.399999999674037</v>
      </c>
      <c r="O189" s="7"/>
      <c r="P189" s="7"/>
      <c r="Q189" s="23"/>
      <c r="R189" s="23"/>
      <c r="S189" s="35">
        <f t="shared" si="81"/>
        <v>1</v>
      </c>
      <c r="T189" s="50" t="str">
        <f t="shared" si="67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16:13:25-700',mode:absolute,to:'2016-12-13 18:28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69"/>
        <v>N</v>
      </c>
      <c r="X189" s="177">
        <f t="shared" si="79"/>
        <v>3</v>
      </c>
      <c r="Y189" s="67">
        <f t="shared" si="83"/>
        <v>5.8632</v>
      </c>
      <c r="Z189" s="67">
        <f t="shared" si="80"/>
        <v>6.8400000000000002E-2</v>
      </c>
      <c r="AA189" s="67">
        <f t="shared" si="70"/>
        <v>5.7948000000000004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71"/>
        <v>0832-13</v>
      </c>
      <c r="AE189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89" s="88" t="str">
        <f t="shared" si="73"/>
        <v>"C:\Program Files (x86)\AstroGrep\AstroGrep.exe" /spath="%USERPROFILE%\AppData\Local\Temp\OnboardLogs" /stypes="app*4039*20161214*" /stext=" 00:.+((SYSTEM_STATE.+slice.+state.+changed )|(ment ac)|(multiple cpu faults)|(system.+state.+changed )|(\[timeout)|(PRM\|1\|D)|(kpr)|(kdp)|(\|lc)|(penalty))" /e /r /s</v>
      </c>
      <c r="AG189" s="1" t="str">
        <f t="shared" si="74"/>
        <v>NW</v>
      </c>
      <c r="AH189" s="92" t="str">
        <f t="shared" si="76"/>
        <v>"%USERPROFILE%\Documents\GitHub\eaglep3\Utilities\RefineRTDCRunTimes.py" --tripid 832-13 --locoid 4039 --swversion DE.1.0.8.0 --startMP 300:58632 --initTime 2016-12-13T17:13:25 --startdatetime 2016-12-13T17:15:34 --delay 1 --endMP 204:684 --enddatetime 2016-12-13T17:28:58 --enforcementcount 0 &gt;&gt;C:\Users\stu\Documents\GitHub\eaglep3-reporting\EC\2016-12-13-refined-times.txt</v>
      </c>
      <c r="AI189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{"issue":{"subject":"","project_id":79,"tracker_id":40,"status_id":1,"priority_id":2,"assigned_to_id":23,"start_date":"2016-12-13","description":"","custom_fields":[{"id":1,"name":"Subdivision","value":"NW"},{"id":4,"name":"Milepost","value":"0.0684"},{"id":17,"name":"Train ID","value":"832-13"},{"id":16,"name":"Locomotive ID","value":"4039"},{"id":130,"name":"Impact","value":""},{"id":150,"name":"Time of Event (Mountain Time)","value":"17:28:58"},{"id":151,"name":"Denver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574</v>
      </c>
      <c r="B190" s="7">
        <v>4046</v>
      </c>
      <c r="C190" s="22" t="s">
        <v>207</v>
      </c>
      <c r="D190" s="22" t="s">
        <v>788</v>
      </c>
      <c r="E190" s="13">
        <v>42717.714837962965</v>
      </c>
      <c r="F190" s="13">
        <v>42717.723391203705</v>
      </c>
      <c r="G190" s="7">
        <v>1</v>
      </c>
      <c r="H190" s="22" t="s">
        <v>759</v>
      </c>
      <c r="I190" s="13">
        <v>42717.733472222222</v>
      </c>
      <c r="J190" s="7">
        <v>0</v>
      </c>
      <c r="K190" s="109" t="str">
        <f t="shared" si="65"/>
        <v>4045/4046</v>
      </c>
      <c r="L190" s="22" t="str">
        <f>VLOOKUP(A190,'Trips&amp;Operators'!$C$1:$G$99999,5,FALSE)</f>
        <v>STAMBAUGH JAMES</v>
      </c>
      <c r="M190" s="6">
        <f t="shared" si="66"/>
        <v>1.0081018517666962E-2</v>
      </c>
      <c r="N190" s="7">
        <f t="shared" si="84"/>
        <v>14.516666665440425</v>
      </c>
      <c r="O190" s="7"/>
      <c r="P190" s="7"/>
      <c r="Q190" s="23"/>
      <c r="R190" s="23"/>
      <c r="S190" s="35">
        <f t="shared" si="81"/>
        <v>1</v>
      </c>
      <c r="T190" s="50" t="str">
        <f t="shared" si="67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16:09:22-700',mode:absolute,to:'2016-12-13 18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0" s="52" t="str">
        <f t="shared" si="69"/>
        <v>N</v>
      </c>
      <c r="X190" s="177">
        <f t="shared" si="79"/>
        <v>1</v>
      </c>
      <c r="Y190" s="67">
        <f t="shared" si="83"/>
        <v>9.2899999999999996E-2</v>
      </c>
      <c r="Z190" s="67">
        <f t="shared" si="80"/>
        <v>5.8924000000000003</v>
      </c>
      <c r="AA190" s="67">
        <f t="shared" si="70"/>
        <v>5.7995000000000001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71"/>
        <v>0833-13</v>
      </c>
      <c r="AE190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90" s="88" t="str">
        <f t="shared" si="73"/>
        <v>"C:\Program Files (x86)\AstroGrep\AstroGrep.exe" /spath="%USERPROFILE%\AppData\Local\Temp\OnboardLogs" /stypes="app*4046*20161214*" /stext=" 00:.+((SYSTEM_STATE.+slice.+state.+changed )|(ment ac)|(multiple cpu faults)|(system.+state.+changed )|(\[timeout)|(PRM\|1\|D)|(kpr)|(kdp)|(\|lc)|(penalty))" /e /r /s</v>
      </c>
      <c r="AG190" s="1" t="str">
        <f t="shared" si="74"/>
        <v>NW</v>
      </c>
      <c r="AH190" s="92" t="str">
        <f t="shared" si="76"/>
        <v>"%USERPROFILE%\Documents\GitHub\eaglep3\Utilities\RefineRTDCRunTimes.py" --tripid 833-13 --locoid 4046 --swversion DE.1.0.8.0 --startMP 204:929 --initTime 2016-12-13T17:09:22 --startdatetime 2016-12-13T17:21:41 --delay 1 --endMP 300:58924 --enddatetime 2016-12-13T17:36:12 --enforcementcount 0 &gt;&gt;C:\Users\stu\Documents\GitHub\eaglep3-reporting\EC\2016-12-13-refined-times.txt</v>
      </c>
      <c r="AI190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{"issue":{"subject":"","project_id":79,"tracker_id":40,"status_id":1,"priority_id":2,"assigned_to_id":23,"start_date":"2016-12-13","description":"","custom_fields":[{"id":1,"name":"Subdivision","value":"NW"},{"id":4,"name":"Milepost","value":"5.8924"},{"id":17,"name":"Train ID","value":"833-13"},{"id":16,"name":"Locomotive ID","value":"4046"},{"id":130,"name":"Impact","value":""},{"id":150,"name":"Time of Event (Mountain Time)","value":"17:36:12"},{"id":151,"name":"Denver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440</v>
      </c>
      <c r="B191" s="7">
        <v>4045</v>
      </c>
      <c r="C191" s="22" t="s">
        <v>207</v>
      </c>
      <c r="D191" s="22" t="s">
        <v>397</v>
      </c>
      <c r="E191" s="13">
        <v>42717.734652777777</v>
      </c>
      <c r="F191" s="13">
        <v>42717.73641203704</v>
      </c>
      <c r="G191" s="7">
        <v>1</v>
      </c>
      <c r="H191" s="22" t="s">
        <v>789</v>
      </c>
      <c r="I191" s="13">
        <v>42717.747407407405</v>
      </c>
      <c r="J191" s="7">
        <v>1</v>
      </c>
      <c r="K191" s="109" t="str">
        <f t="shared" si="65"/>
        <v>4045/4046</v>
      </c>
      <c r="L191" s="22" t="str">
        <f>VLOOKUP(A191,'Trips&amp;Operators'!$C$1:$G$99999,5,FALSE)</f>
        <v>STAMBAUGH JAMES</v>
      </c>
      <c r="M191" s="6">
        <f t="shared" si="66"/>
        <v>1.0995370364980772E-2</v>
      </c>
      <c r="N191" s="7">
        <f t="shared" si="84"/>
        <v>15.833333325572312</v>
      </c>
      <c r="O191" s="7"/>
      <c r="P191" s="7"/>
      <c r="Q191" s="23"/>
      <c r="R191" s="23"/>
      <c r="S191" s="35">
        <f t="shared" si="81"/>
        <v>1</v>
      </c>
      <c r="T191" s="50" t="str">
        <f t="shared" si="67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16:37:54-700',mode:absolute,to:'2016-12-13 18:56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1" s="52" t="str">
        <f t="shared" si="69"/>
        <v>N</v>
      </c>
      <c r="X191" s="177">
        <f t="shared" si="79"/>
        <v>1</v>
      </c>
      <c r="Y191" s="67">
        <f t="shared" si="83"/>
        <v>5.8609</v>
      </c>
      <c r="Z191" s="67">
        <f t="shared" si="80"/>
        <v>6.9199999999999998E-2</v>
      </c>
      <c r="AA191" s="67">
        <f t="shared" si="70"/>
        <v>5.7916999999999996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71"/>
        <v>0834-13</v>
      </c>
      <c r="AE191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91" s="88" t="str">
        <f t="shared" si="73"/>
        <v>"C:\Program Files (x86)\AstroGrep\AstroGrep.exe" /spath="%USERPROFILE%\AppData\Local\Temp\OnboardLogs" /stypes="app*4045*20161214*" /stext=" 00:.+((SYSTEM_STATE.+slice.+state.+changed )|(ment ac)|(multiple cpu faults)|(system.+state.+changed )|(\[timeout)|(PRM\|1\|D)|(kpr)|(kdp)|(\|lc)|(penalty))" /e /r /s</v>
      </c>
      <c r="AG191" s="1" t="str">
        <f t="shared" si="74"/>
        <v>NW</v>
      </c>
      <c r="AH191" s="92" t="str">
        <f t="shared" si="76"/>
        <v>"%USERPROFILE%\Documents\GitHub\eaglep3\Utilities\RefineRTDCRunTimes.py" --tripid 834-13 --locoid 4045 --swversion DE.1.0.8.0 --startMP 300:58609 --initTime 2016-12-13T17:37:54 --startdatetime 2016-12-13T17:40:26 --delay 1 --endMP 204:692 --enddatetime 2016-12-13T17:56:16 --enforcementcount 1 &gt;&gt;C:\Users\stu\Documents\GitHub\eaglep3-reporting\EC\2016-12-13-refined-times.txt</v>
      </c>
      <c r="AI191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{"issue":{"subject":"","project_id":79,"tracker_id":40,"status_id":1,"priority_id":2,"assigned_to_id":23,"start_date":"2016-12-13","description":"","custom_fields":[{"id":1,"name":"Subdivision","value":"NW"},{"id":4,"name":"Milepost","value":"0.0692"},{"id":17,"name":"Train ID","value":"834-13"},{"id":16,"name":"Locomotive ID","value":"4045"},{"id":130,"name":"Impact","value":""},{"id":150,"name":"Time of Event (Mountain Time)","value":"17:56:16"},{"id":151,"name":"Denver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580</v>
      </c>
      <c r="B192" s="7">
        <v>4040</v>
      </c>
      <c r="C192" s="22" t="s">
        <v>207</v>
      </c>
      <c r="D192" s="22" t="s">
        <v>391</v>
      </c>
      <c r="E192" s="13">
        <v>42717.736655092594</v>
      </c>
      <c r="F192" s="13">
        <v>42717.744016203702</v>
      </c>
      <c r="G192" s="7">
        <v>1</v>
      </c>
      <c r="H192" s="22" t="s">
        <v>398</v>
      </c>
      <c r="I192" s="13">
        <v>42717.754270833335</v>
      </c>
      <c r="J192" s="7">
        <v>0</v>
      </c>
      <c r="K192" s="109" t="str">
        <f t="shared" si="65"/>
        <v>4039/4040</v>
      </c>
      <c r="L192" s="22" t="str">
        <f>VLOOKUP(A192,'Trips&amp;Operators'!$C$1:$G$99999,5,FALSE)</f>
        <v>BRUDER RICHARD</v>
      </c>
      <c r="M192" s="6">
        <f t="shared" si="66"/>
        <v>1.025462963298196E-2</v>
      </c>
      <c r="N192" s="7">
        <f t="shared" si="84"/>
        <v>14.766666671494022</v>
      </c>
      <c r="O192" s="7"/>
      <c r="P192" s="7"/>
      <c r="Q192" s="23"/>
      <c r="R192" s="23"/>
      <c r="S192" s="35">
        <f t="shared" si="81"/>
        <v>1</v>
      </c>
      <c r="T192" s="50" t="str">
        <f t="shared" si="67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16:40:47-700',mode:absolute,to:'2016-12-13 19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69"/>
        <v>N</v>
      </c>
      <c r="X192" s="177">
        <f t="shared" si="79"/>
        <v>1</v>
      </c>
      <c r="Y192" s="67">
        <f t="shared" si="83"/>
        <v>9.8100000000000007E-2</v>
      </c>
      <c r="Z192" s="67">
        <f t="shared" si="80"/>
        <v>5.8936999999999999</v>
      </c>
      <c r="AA192" s="67">
        <f t="shared" si="70"/>
        <v>5.7956000000000003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71"/>
        <v>0835-13</v>
      </c>
      <c r="AE192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92" s="88" t="str">
        <f t="shared" si="73"/>
        <v>"C:\Program Files (x86)\AstroGrep\AstroGrep.exe" /spath="%USERPROFILE%\AppData\Local\Temp\OnboardLogs" /stypes="app*4040*20161214*" /stext=" 01:.+((SYSTEM_STATE.+slice.+state.+changed )|(ment ac)|(multiple cpu faults)|(system.+state.+changed )|(\[timeout)|(PRM\|1\|D)|(kpr)|(kdp)|(\|lc)|(penalty))" /e /r /s</v>
      </c>
      <c r="AG192" s="1" t="str">
        <f t="shared" si="74"/>
        <v>NW</v>
      </c>
      <c r="AH192" s="92" t="str">
        <f t="shared" si="76"/>
        <v>"%USERPROFILE%\Documents\GitHub\eaglep3\Utilities\RefineRTDCRunTimes.py" --tripid 835-13 --locoid 4040 --swversion DE.1.0.8.0 --startMP 204:981 --initTime 2016-12-13T17:40:47 --startdatetime 2016-12-13T17:51:23 --delay 1 --endMP 300:58937 --enddatetime 2016-12-13T18:06:09 --enforcementcount 0 &gt;&gt;C:\Users\stu\Documents\GitHub\eaglep3-reporting\EC\2016-12-13-refined-times.txt</v>
      </c>
      <c r="AI192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{"issue":{"subject":"","project_id":79,"tracker_id":40,"status_id":1,"priority_id":2,"assigned_to_id":23,"start_date":"2016-12-13","description":"","custom_fields":[{"id":1,"name":"Subdivision","value":"NW"},{"id":4,"name":"Milepost","value":"5.8937"},{"id":17,"name":"Train ID","value":"835-13"},{"id":16,"name":"Locomotive ID","value":"4040"},{"id":130,"name":"Impact","value":""},{"id":150,"name":"Time of Event (Mountain Time)","value":"18:06:09"},{"id":151,"name":"Denver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586</v>
      </c>
      <c r="B193" s="7">
        <v>4039</v>
      </c>
      <c r="C193" s="22" t="s">
        <v>207</v>
      </c>
      <c r="D193" s="22" t="s">
        <v>390</v>
      </c>
      <c r="E193" s="13">
        <v>42717.755810185183</v>
      </c>
      <c r="F193" s="13">
        <v>42717.757569444446</v>
      </c>
      <c r="G193" s="7">
        <v>1</v>
      </c>
      <c r="H193" s="22" t="s">
        <v>790</v>
      </c>
      <c r="I193" s="13">
        <v>42717.768136574072</v>
      </c>
      <c r="J193" s="7">
        <v>0</v>
      </c>
      <c r="K193" s="109" t="str">
        <f t="shared" si="65"/>
        <v>4039/4040</v>
      </c>
      <c r="L193" s="22" t="str">
        <f>VLOOKUP(A193,'Trips&amp;Operators'!$C$1:$G$99999,5,FALSE)</f>
        <v>BRUDER RICHARD</v>
      </c>
      <c r="M193" s="6">
        <f t="shared" si="66"/>
        <v>1.056712962599704E-2</v>
      </c>
      <c r="N193" s="7">
        <f t="shared" si="84"/>
        <v>15.216666661435738</v>
      </c>
      <c r="O193" s="7"/>
      <c r="P193" s="7"/>
      <c r="Q193" s="23"/>
      <c r="R193" s="23"/>
      <c r="S193" s="35">
        <f t="shared" si="81"/>
        <v>1</v>
      </c>
      <c r="T193" s="50" t="str">
        <f t="shared" si="67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17:08:22-700',mode:absolute,to:'2016-12-13 19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69"/>
        <v>N</v>
      </c>
      <c r="X193" s="177">
        <f t="shared" si="79"/>
        <v>1</v>
      </c>
      <c r="Y193" s="67">
        <f t="shared" si="83"/>
        <v>5.8613</v>
      </c>
      <c r="Z193" s="67">
        <f t="shared" si="80"/>
        <v>6.8199999999999997E-2</v>
      </c>
      <c r="AA193" s="67">
        <f t="shared" si="70"/>
        <v>5.7930999999999999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71"/>
        <v>0836-13</v>
      </c>
      <c r="AE193" s="91" t="str">
        <f t="shared" si="72"/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AF193" s="88" t="str">
        <f t="shared" si="73"/>
        <v>"C:\Program Files (x86)\AstroGrep\AstroGrep.exe" /spath="%USERPROFILE%\AppData\Local\Temp\OnboardLogs" /stypes="app*4039*20161214*" /stext=" 01:.+((SYSTEM_STATE.+slice.+state.+changed )|(ment ac)|(multiple cpu faults)|(system.+state.+changed )|(\[timeout)|(PRM\|1\|D)|(kpr)|(kdp)|(\|lc)|(penalty))" /e /r /s</v>
      </c>
      <c r="AG193" s="1" t="str">
        <f t="shared" si="74"/>
        <v>NW</v>
      </c>
      <c r="AH193" s="92" t="str">
        <f t="shared" si="76"/>
        <v>"%USERPROFILE%\Documents\GitHub\eaglep3\Utilities\RefineRTDCRunTimes.py" --tripid 836-13 --locoid 4039 --swversion DE.1.0.8.0 --startMP 300:58613 --initTime 2016-12-13T18:08:22 --startdatetime 2016-12-13T18:10:54 --delay 1 --endMP 204:682 --enddatetime 2016-12-13T18:26:07 --enforcementcount 0 &gt;&gt;C:\Users\stu\Documents\GitHub\eaglep3-reporting\EC\2016-12-13-refined-times.txt</v>
      </c>
      <c r="AI193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{"issue":{"subject":"","project_id":79,"tracker_id":40,"status_id":1,"priority_id":2,"assigned_to_id":23,"start_date":"2016-12-13","description":"","custom_fields":[{"id":1,"name":"Subdivision","value":"NW"},{"id":4,"name":"Milepost","value":"0.0682"},{"id":17,"name":"Train ID","value":"836-13"},{"id":16,"name":"Locomotive ID","value":"4039"},{"id":130,"name":"Impact","value":""},{"id":150,"name":"Time of Event (Mountain Time)","value":"18:26:07"},{"id":151,"name":"Denver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588</v>
      </c>
      <c r="B194" s="7">
        <v>4046</v>
      </c>
      <c r="C194" s="22" t="s">
        <v>207</v>
      </c>
      <c r="D194" s="22" t="s">
        <v>791</v>
      </c>
      <c r="E194" s="13">
        <v>42717.760000000002</v>
      </c>
      <c r="F194" s="13">
        <v>42717.764756944445</v>
      </c>
      <c r="G194" s="7">
        <v>1</v>
      </c>
      <c r="H194" s="22" t="s">
        <v>726</v>
      </c>
      <c r="I194" s="13">
        <v>42717.774583333332</v>
      </c>
      <c r="J194" s="7">
        <v>0</v>
      </c>
      <c r="K194" s="109" t="str">
        <f t="shared" si="65"/>
        <v>4045/4046</v>
      </c>
      <c r="L194" s="22" t="str">
        <f>VLOOKUP(A194,'Trips&amp;Operators'!$C$1:$G$99999,5,FALSE)</f>
        <v>LALONDE GREGORY</v>
      </c>
      <c r="M194" s="6">
        <f t="shared" si="66"/>
        <v>9.8263888867222704E-3</v>
      </c>
      <c r="N194" s="7">
        <f t="shared" si="84"/>
        <v>14.149999996880069</v>
      </c>
      <c r="O194" s="7"/>
      <c r="P194" s="7"/>
      <c r="Q194" s="23"/>
      <c r="R194" s="23"/>
      <c r="S194" s="35">
        <f t="shared" si="81"/>
        <v>1</v>
      </c>
      <c r="T194" s="50" t="str">
        <f t="shared" si="67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17:14:24-700',mode:absolute,to:'2016-12-13 19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4" s="52" t="str">
        <f t="shared" si="69"/>
        <v>N</v>
      </c>
      <c r="X194" s="177">
        <f t="shared" si="79"/>
        <v>1</v>
      </c>
      <c r="Y194" s="67">
        <f t="shared" si="83"/>
        <v>9.8599999999999993E-2</v>
      </c>
      <c r="Z194" s="67">
        <f t="shared" si="80"/>
        <v>5.8978000000000002</v>
      </c>
      <c r="AA194" s="67">
        <f t="shared" si="70"/>
        <v>5.7991999999999999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71"/>
        <v>0837-13</v>
      </c>
      <c r="AE194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94" s="88" t="str">
        <f t="shared" si="73"/>
        <v>"C:\Program Files (x86)\AstroGrep\AstroGrep.exe" /spath="%USERPROFILE%\AppData\Local\Temp\OnboardLogs" /stypes="app*4046*20161214*" /stext=" 01:.+((SYSTEM_STATE.+slice.+state.+changed )|(ment ac)|(multiple cpu faults)|(system.+state.+changed )|(\[timeout)|(PRM\|1\|D)|(kpr)|(kdp)|(\|lc)|(penalty))" /e /r /s</v>
      </c>
      <c r="AG194" s="1" t="str">
        <f t="shared" si="74"/>
        <v>NW</v>
      </c>
      <c r="AH194" s="92" t="str">
        <f t="shared" si="76"/>
        <v>"%USERPROFILE%\Documents\GitHub\eaglep3\Utilities\RefineRTDCRunTimes.py" --tripid 837-13 --locoid 4046 --swversion DE.1.0.8.0 --startMP 204:986 --initTime 2016-12-13T18:14:24 --startdatetime 2016-12-13T18:21:15 --delay 1 --endMP 300:58978 --enddatetime 2016-12-13T18:35:24 --enforcementcount 0 &gt;&gt;C:\Users\stu\Documents\GitHub\eaglep3-reporting\EC\2016-12-13-refined-times.txt</v>
      </c>
      <c r="AI194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{"issue":{"subject":"","project_id":79,"tracker_id":40,"status_id":1,"priority_id":2,"assigned_to_id":23,"start_date":"2016-12-13","description":"","custom_fields":[{"id":1,"name":"Subdivision","value":"NW"},{"id":4,"name":"Milepost","value":"5.8978"},{"id":17,"name":"Train ID","value":"837-13"},{"id":16,"name":"Locomotive ID","value":"4046"},{"id":130,"name":"Impact","value":""},{"id":150,"name":"Time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591</v>
      </c>
      <c r="B195" s="7">
        <v>4045</v>
      </c>
      <c r="C195" s="22" t="s">
        <v>207</v>
      </c>
      <c r="D195" s="22" t="s">
        <v>781</v>
      </c>
      <c r="E195" s="13">
        <v>42717.775648148148</v>
      </c>
      <c r="F195" s="13">
        <v>42717.777430555558</v>
      </c>
      <c r="G195" s="7">
        <v>1</v>
      </c>
      <c r="H195" s="22" t="s">
        <v>401</v>
      </c>
      <c r="I195" s="13">
        <v>42717.790856481479</v>
      </c>
      <c r="J195" s="7">
        <v>0</v>
      </c>
      <c r="K195" s="109" t="str">
        <f t="shared" si="65"/>
        <v>4045/4046</v>
      </c>
      <c r="L195" s="22" t="str">
        <f>VLOOKUP(A195,'Trips&amp;Operators'!$C$1:$G$99999,5,FALSE)</f>
        <v>LALONDE GREGORY</v>
      </c>
      <c r="M195" s="6">
        <f t="shared" si="66"/>
        <v>1.3425925921183079E-2</v>
      </c>
      <c r="N195" s="7">
        <f t="shared" si="84"/>
        <v>19.333333326503634</v>
      </c>
      <c r="O195" s="7"/>
      <c r="P195" s="7"/>
      <c r="Q195" s="23"/>
      <c r="R195" s="23"/>
      <c r="S195" s="35">
        <f t="shared" si="81"/>
        <v>1</v>
      </c>
      <c r="T195" s="50" t="str">
        <f t="shared" si="67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17:36:56-700',mode:absolute,to:'2016-12-13 19:58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5" s="52" t="str">
        <f t="shared" si="69"/>
        <v>N</v>
      </c>
      <c r="X195" s="177">
        <f t="shared" si="79"/>
        <v>1</v>
      </c>
      <c r="Y195" s="67">
        <f t="shared" si="83"/>
        <v>5.8642000000000003</v>
      </c>
      <c r="Z195" s="67">
        <f t="shared" si="80"/>
        <v>6.7699999999999996E-2</v>
      </c>
      <c r="AA195" s="67">
        <f t="shared" si="70"/>
        <v>5.7965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71"/>
        <v>0838-13</v>
      </c>
      <c r="AE195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95" s="88" t="str">
        <f t="shared" si="73"/>
        <v>"C:\Program Files (x86)\AstroGrep\AstroGrep.exe" /spath="%USERPROFILE%\AppData\Local\Temp\OnboardLogs" /stypes="app*4045*20161214*" /stext=" 01:.+((SYSTEM_STATE.+slice.+state.+changed )|(ment ac)|(multiple cpu faults)|(system.+state.+changed )|(\[timeout)|(PRM\|1\|D)|(kpr)|(kdp)|(\|lc)|(penalty))" /e /r /s</v>
      </c>
      <c r="AG195" s="1" t="str">
        <f t="shared" si="74"/>
        <v>NW</v>
      </c>
      <c r="AH195" s="92" t="str">
        <f t="shared" si="76"/>
        <v>"%USERPROFILE%\Documents\GitHub\eaglep3\Utilities\RefineRTDCRunTimes.py" --tripid 838-13 --locoid 4045 --swversion DE.1.0.8.0 --startMP 300:58642 --initTime 2016-12-13T18:36:56 --startdatetime 2016-12-13T18:39:30 --delay 1 --endMP 204:677 --enddatetime 2016-12-13T18:58:50 --enforcementcount 0 &gt;&gt;C:\Users\stu\Documents\GitHub\eaglep3-reporting\EC\2016-12-13-refined-times.txt</v>
      </c>
      <c r="AI195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{"issue":{"subject":"","project_id":79,"tracker_id":40,"status_id":1,"priority_id":2,"assigned_to_id":23,"start_date":"2016-12-13","description":"","custom_fields":[{"id":1,"name":"Subdivision","value":"NW"},{"id":4,"name":"Milepost","value":"0.0677"},{"id":17,"name":"Train ID","value":"838-13"},{"id":16,"name":"Locomotive ID","value":"4045"},{"id":130,"name":"Impact","value":""},{"id":150,"name":"Time of Event (Mountain Time)","value":"18:58:50"},{"id":151,"name":"Denver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594</v>
      </c>
      <c r="B196" s="7">
        <v>4040</v>
      </c>
      <c r="C196" s="22" t="s">
        <v>207</v>
      </c>
      <c r="D196" s="22" t="s">
        <v>342</v>
      </c>
      <c r="E196" s="13">
        <v>42717.783333333333</v>
      </c>
      <c r="F196" s="13">
        <v>42717.785810185182</v>
      </c>
      <c r="G196" s="7">
        <v>0</v>
      </c>
      <c r="H196" s="22" t="s">
        <v>765</v>
      </c>
      <c r="I196" s="13">
        <v>42717.794895833336</v>
      </c>
      <c r="J196" s="7">
        <v>0</v>
      </c>
      <c r="K196" s="109" t="str">
        <f t="shared" si="65"/>
        <v>4039/4040</v>
      </c>
      <c r="L196" s="22" t="str">
        <f>VLOOKUP(A196,'Trips&amp;Operators'!$C$1:$G$99999,5,FALSE)</f>
        <v>STAMBAUGH JAMES</v>
      </c>
      <c r="M196" s="6">
        <f t="shared" si="66"/>
        <v>9.085648154723458E-3</v>
      </c>
      <c r="N196" s="7">
        <f t="shared" si="84"/>
        <v>13.08333334280178</v>
      </c>
      <c r="O196" s="7"/>
      <c r="P196" s="7"/>
      <c r="Q196" s="23"/>
      <c r="R196" s="23"/>
      <c r="S196" s="35">
        <f t="shared" si="81"/>
        <v>1</v>
      </c>
      <c r="T196" s="50" t="str">
        <f t="shared" si="67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17:48:00-700',mode:absolute,to:'2016-12-13 20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69"/>
        <v>N</v>
      </c>
      <c r="X196" s="177">
        <f t="shared" si="79"/>
        <v>1</v>
      </c>
      <c r="Y196" s="67">
        <f t="shared" si="83"/>
        <v>9.74E-2</v>
      </c>
      <c r="Z196" s="67">
        <f t="shared" si="80"/>
        <v>5.8929</v>
      </c>
      <c r="AA196" s="67">
        <f t="shared" si="70"/>
        <v>5.7954999999999997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71"/>
        <v>0839-13</v>
      </c>
      <c r="AE196" s="91" t="str">
        <f t="shared" si="72"/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AF196" s="88" t="str">
        <f t="shared" si="73"/>
        <v>"C:\Program Files (x86)\AstroGrep\AstroGrep.exe" /spath="%USERPROFILE%\AppData\Local\Temp\OnboardLogs" /stypes="app*4040*20161214*" /stext=" 02:.+((SYSTEM_STATE.+slice.+state.+changed )|(ment ac)|(multiple cpu faults)|(system.+state.+changed )|(\[timeout)|(PRM\|1\|D)|(kpr)|(kdp)|(\|lc)|(penalty))" /e /r /s</v>
      </c>
      <c r="AG196" s="1" t="str">
        <f t="shared" si="74"/>
        <v>NW</v>
      </c>
      <c r="AH196" s="92" t="str">
        <f t="shared" si="76"/>
        <v>"%USERPROFILE%\Documents\GitHub\eaglep3\Utilities\RefineRTDCRunTimes.py" --tripid 839-13 --locoid 4040 --swversion DE.1.0.8.0 --startMP 204:974 --initTime 2016-12-13T18:48:00 --startdatetime 2016-12-13T18:51:34 --delay 0 --endMP 300:58929 --enddatetime 2016-12-13T19:04:39 --enforcementcount 0 &gt;&gt;C:\Users\stu\Documents\GitHub\eaglep3-reporting\EC\2016-12-13-refined-times.txt</v>
      </c>
      <c r="AI196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{"issue":{"subject":"","project_id":79,"tracker_id":40,"status_id":1,"priority_id":2,"assigned_to_id":23,"start_date":"2016-12-13","description":"","custom_fields":[{"id":1,"name":"Subdivision","value":"NW"},{"id":4,"name":"Milepost","value":"5.8929"},{"id":17,"name":"Train ID","value":"839-13"},{"id":16,"name":"Locomotive ID","value":"4040"},{"id":130,"name":"Impact","value":""},{"id":150,"name":"Time of Event (Mountain Time)","value":"19:04:39"},{"id":151,"name":"Denver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602</v>
      </c>
      <c r="B197" s="7">
        <v>4045</v>
      </c>
      <c r="C197" s="22" t="s">
        <v>207</v>
      </c>
      <c r="D197" s="22" t="s">
        <v>295</v>
      </c>
      <c r="E197" s="13">
        <v>42717.817974537036</v>
      </c>
      <c r="F197" s="13">
        <v>42717.8202662037</v>
      </c>
      <c r="G197" s="7">
        <v>1</v>
      </c>
      <c r="H197" s="22" t="s">
        <v>792</v>
      </c>
      <c r="I197" s="13">
        <v>42717.83221064815</v>
      </c>
      <c r="J197" s="7">
        <v>0</v>
      </c>
      <c r="K197" s="109" t="str">
        <f t="shared" si="65"/>
        <v>4045/4046</v>
      </c>
      <c r="L197" s="22" t="str">
        <f>VLOOKUP(A197,'Trips&amp;Operators'!$C$1:$G$99999,5,FALSE)</f>
        <v>BRUDER RICHARD</v>
      </c>
      <c r="M197" s="6">
        <f t="shared" si="66"/>
        <v>1.1944444449909497E-2</v>
      </c>
      <c r="N197" s="7">
        <f t="shared" si="84"/>
        <v>17.200000007869676</v>
      </c>
      <c r="O197" s="7"/>
      <c r="P197" s="7"/>
      <c r="Q197" s="23"/>
      <c r="R197" s="23"/>
      <c r="S197" s="35">
        <f t="shared" si="81"/>
        <v>1</v>
      </c>
      <c r="T197" s="50" t="str">
        <f t="shared" si="67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18:37:53-700',mode:absolute,to:'2016-12-13 20:58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7" s="52" t="str">
        <f t="shared" si="69"/>
        <v>N</v>
      </c>
      <c r="X197" s="177">
        <f t="shared" si="79"/>
        <v>1</v>
      </c>
      <c r="Y197" s="67">
        <f t="shared" si="83"/>
        <v>5.8623000000000003</v>
      </c>
      <c r="Z197" s="67">
        <f t="shared" si="80"/>
        <v>6.7299999999999999E-2</v>
      </c>
      <c r="AA197" s="67">
        <f t="shared" si="70"/>
        <v>5.7949999999999999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71"/>
        <v>0840-13</v>
      </c>
      <c r="AE197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97" s="88" t="str">
        <f t="shared" si="73"/>
        <v>"C:\Program Files (x86)\AstroGrep\AstroGrep.exe" /spath="%USERPROFILE%\AppData\Local\Temp\OnboardLogs" /stypes="app*4045*20161214*" /stext=" 02:.+((SYSTEM_STATE.+slice.+state.+changed )|(ment ac)|(multiple cpu faults)|(system.+state.+changed )|(\[timeout)|(PRM\|1\|D)|(kpr)|(kdp)|(\|lc)|(penalty))" /e /r /s</v>
      </c>
      <c r="AG197" s="1" t="str">
        <f t="shared" si="74"/>
        <v>NW</v>
      </c>
      <c r="AH197" s="92" t="str">
        <f t="shared" si="76"/>
        <v>"%USERPROFILE%\Documents\GitHub\eaglep3\Utilities\RefineRTDCRunTimes.py" --tripid 840-13 --locoid 4045 --swversion DE.1.0.8.0 --startMP 300:58623 --initTime 2016-12-13T19:37:53 --startdatetime 2016-12-13T19:41:11 --delay 1 --endMP 204:673 --enddatetime 2016-12-13T19:58:23 --enforcementcount 0 &gt;&gt;C:\Users\stu\Documents\GitHub\eaglep3-reporting\EC\2016-12-13-refined-times.txt</v>
      </c>
      <c r="AI197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{"issue":{"subject":"","project_id":79,"tracker_id":40,"status_id":1,"priority_id":2,"assigned_to_id":23,"start_date":"2016-12-13","description":"","custom_fields":[{"id":1,"name":"Subdivision","value":"NW"},{"id":4,"name":"Milepost","value":"0.0673"},{"id":17,"name":"Train ID","value":"840-13"},{"id":16,"name":"Locomotive ID","value":"4045"},{"id":130,"name":"Impact","value":""},{"id":150,"name":"Time of Event (Mountain Time)","value":"19:58:23"},{"id":151,"name":"Denver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598</v>
      </c>
      <c r="B198" s="7">
        <v>4046</v>
      </c>
      <c r="C198" s="22" t="s">
        <v>207</v>
      </c>
      <c r="D198" s="22" t="s">
        <v>342</v>
      </c>
      <c r="E198" s="13">
        <v>42717.7971875</v>
      </c>
      <c r="F198" s="13">
        <v>42717.806446759256</v>
      </c>
      <c r="G198" s="7">
        <v>1</v>
      </c>
      <c r="H198" s="22" t="s">
        <v>768</v>
      </c>
      <c r="I198" s="13">
        <v>42717.81690972222</v>
      </c>
      <c r="J198" s="7">
        <v>0</v>
      </c>
      <c r="K198" s="109" t="str">
        <f t="shared" si="65"/>
        <v>4045/4046</v>
      </c>
      <c r="L198" s="22" t="str">
        <f>VLOOKUP(A198,'Trips&amp;Operators'!$C$1:$G$99999,5,FALSE)</f>
        <v>BRUDER RICHARD</v>
      </c>
      <c r="M198" s="6">
        <f t="shared" si="66"/>
        <v>1.0462962964083999E-2</v>
      </c>
      <c r="N198" s="7">
        <f t="shared" si="84"/>
        <v>15.066666668280959</v>
      </c>
      <c r="O198" s="7"/>
      <c r="P198" s="7"/>
      <c r="Q198" s="23"/>
      <c r="R198" s="23"/>
      <c r="S198" s="35">
        <f t="shared" si="81"/>
        <v>1</v>
      </c>
      <c r="T198" s="50" t="str">
        <f t="shared" si="67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18:07:57-700',mode:absolute,to:'2016-12-13 20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8" s="52" t="str">
        <f t="shared" si="69"/>
        <v>N</v>
      </c>
      <c r="X198" s="177">
        <f t="shared" si="79"/>
        <v>1</v>
      </c>
      <c r="Y198" s="67">
        <f t="shared" si="83"/>
        <v>9.74E-2</v>
      </c>
      <c r="Z198" s="67">
        <f t="shared" si="80"/>
        <v>5.8940999999999999</v>
      </c>
      <c r="AA198" s="67">
        <f t="shared" si="70"/>
        <v>5.7966999999999995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71"/>
        <v>0841-13</v>
      </c>
      <c r="AE198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198" s="88" t="str">
        <f t="shared" si="73"/>
        <v>"C:\Program Files (x86)\AstroGrep\AstroGrep.exe" /spath="%USERPROFILE%\AppData\Local\Temp\OnboardLogs" /stypes="app*4046*20161214*" /stext=" 02:.+((SYSTEM_STATE.+slice.+state.+changed )|(ment ac)|(multiple cpu faults)|(system.+state.+changed )|(\[timeout)|(PRM\|1\|D)|(kpr)|(kdp)|(\|lc)|(penalty))" /e /r /s</v>
      </c>
      <c r="AG198" s="1" t="str">
        <f t="shared" si="74"/>
        <v>NW</v>
      </c>
      <c r="AH198" s="92" t="str">
        <f t="shared" si="76"/>
        <v>"%USERPROFILE%\Documents\GitHub\eaglep3\Utilities\RefineRTDCRunTimes.py" --tripid 841-13 --locoid 4046 --swversion DE.1.0.8.0 --startMP 204:974 --initTime 2016-12-13T19:07:57 --startdatetime 2016-12-13T19:21:17 --delay 1 --endMP 300:58941 --enddatetime 2016-12-13T19:36:21 --enforcementcount 0 &gt;&gt;C:\Users\stu\Documents\GitHub\eaglep3-reporting\EC\2016-12-13-refined-times.txt</v>
      </c>
      <c r="AI198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{"issue":{"subject":"","project_id":79,"tracker_id":40,"status_id":1,"priority_id":2,"assigned_to_id":23,"start_date":"2016-12-13","description":"","custom_fields":[{"id":1,"name":"Subdivision","value":"NW"},{"id":4,"name":"Milepost","value":"5.8941"},{"id":17,"name":"Train ID","value":"841-13"},{"id":16,"name":"Locomotive ID","value":"4046"},{"id":130,"name":"Impact","value":""},{"id":150,"name":"Time of Event (Mountain Time)","value":"19:36:21"},{"id":151,"name":"Denver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607</v>
      </c>
      <c r="B199" s="7">
        <v>4045</v>
      </c>
      <c r="C199" s="22" t="s">
        <v>207</v>
      </c>
      <c r="D199" s="22" t="s">
        <v>295</v>
      </c>
      <c r="E199" s="13">
        <v>42717.860196759262</v>
      </c>
      <c r="F199" s="13">
        <v>42717.861805555556</v>
      </c>
      <c r="G199" s="7">
        <v>1</v>
      </c>
      <c r="H199" s="22" t="s">
        <v>400</v>
      </c>
      <c r="I199" s="13">
        <v>42717.872719907406</v>
      </c>
      <c r="J199" s="7">
        <v>0</v>
      </c>
      <c r="K199" s="109" t="str">
        <f t="shared" si="65"/>
        <v>4045/4046</v>
      </c>
      <c r="L199" s="22" t="str">
        <f>VLOOKUP(A199,'Trips&amp;Operators'!$C$1:$G$99999,5,FALSE)</f>
        <v>BRUDER RICHARD</v>
      </c>
      <c r="M199" s="6">
        <f t="shared" si="66"/>
        <v>1.0914351849351078E-2</v>
      </c>
      <c r="N199" s="7">
        <f t="shared" si="84"/>
        <v>15.716666663065553</v>
      </c>
      <c r="O199" s="7"/>
      <c r="P199" s="7"/>
      <c r="Q199" s="23"/>
      <c r="R199" s="23"/>
      <c r="S199" s="35">
        <f t="shared" si="81"/>
        <v>1</v>
      </c>
      <c r="T199" s="50" t="str">
        <f t="shared" si="67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19:38:41-700',mode:absolute,to:'2016-12-13 21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9" s="52" t="str">
        <f t="shared" si="69"/>
        <v>N</v>
      </c>
      <c r="X199" s="177">
        <f t="shared" si="79"/>
        <v>1</v>
      </c>
      <c r="Y199" s="67">
        <f t="shared" si="83"/>
        <v>5.8623000000000003</v>
      </c>
      <c r="Z199" s="67">
        <f t="shared" si="80"/>
        <v>6.54E-2</v>
      </c>
      <c r="AA199" s="67">
        <f t="shared" si="70"/>
        <v>5.7968999999999999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71"/>
        <v>0842-13</v>
      </c>
      <c r="AE199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199" s="88" t="str">
        <f t="shared" si="73"/>
        <v>"C:\Program Files (x86)\AstroGrep\AstroGrep.exe" /spath="%USERPROFILE%\AppData\Local\Temp\OnboardLogs" /stypes="app*4045*20161214*" /stext=" 03:.+((SYSTEM_STATE.+slice.+state.+changed )|(ment ac)|(multiple cpu faults)|(system.+state.+changed )|(\[timeout)|(PRM\|1\|D)|(kpr)|(kdp)|(\|lc)|(penalty))" /e /r /s</v>
      </c>
      <c r="AG199" s="1" t="str">
        <f t="shared" si="74"/>
        <v>NW</v>
      </c>
      <c r="AH199" s="92" t="str">
        <f t="shared" si="76"/>
        <v>"%USERPROFILE%\Documents\GitHub\eaglep3\Utilities\RefineRTDCRunTimes.py" --tripid 842-13 --locoid 4045 --swversion DE.1.0.8.0 --startMP 300:58623 --initTime 2016-12-13T20:38:41 --startdatetime 2016-12-13T20:41:00 --delay 1 --endMP 204:654 --enddatetime 2016-12-13T20:56:43 --enforcementcount 0 &gt;&gt;C:\Users\stu\Documents\GitHub\eaglep3-reporting\EC\2016-12-13-refined-times.txt</v>
      </c>
      <c r="AI199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{"issue":{"subject":"","project_id":79,"tracker_id":40,"status_id":1,"priority_id":2,"assigned_to_id":23,"start_date":"2016-12-13","description":"","custom_fields":[{"id":1,"name":"Subdivision","value":"NW"},{"id":4,"name":"Milepost","value":"0.0654"},{"id":17,"name":"Train ID","value":"842-13"},{"id":16,"name":"Locomotive ID","value":"4045"},{"id":130,"name":"Impact","value":""},{"id":150,"name":"Time of Event (Mountain Time)","value":"20:56:43"},{"id":151,"name":"Denver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604</v>
      </c>
      <c r="B200" s="7">
        <v>4046</v>
      </c>
      <c r="C200" s="22" t="s">
        <v>207</v>
      </c>
      <c r="D200" s="22" t="s">
        <v>793</v>
      </c>
      <c r="E200" s="13">
        <v>42717.838310185187</v>
      </c>
      <c r="F200" s="13">
        <v>42717.84814814815</v>
      </c>
      <c r="G200" s="7">
        <v>1</v>
      </c>
      <c r="H200" s="22" t="s">
        <v>392</v>
      </c>
      <c r="I200" s="13">
        <v>42717.858495370368</v>
      </c>
      <c r="J200" s="7">
        <v>0</v>
      </c>
      <c r="K200" s="109" t="str">
        <f t="shared" si="65"/>
        <v>4045/4046</v>
      </c>
      <c r="L200" s="22" t="str">
        <f>VLOOKUP(A200,'Trips&amp;Operators'!$C$1:$G$99999,5,FALSE)</f>
        <v>BRUDER RICHARD</v>
      </c>
      <c r="M200" s="6">
        <f t="shared" si="66"/>
        <v>1.0347222218115348E-2</v>
      </c>
      <c r="N200" s="7">
        <f t="shared" si="84"/>
        <v>14.899999994086102</v>
      </c>
      <c r="O200" s="7"/>
      <c r="P200" s="7"/>
      <c r="Q200" s="23"/>
      <c r="R200" s="23"/>
      <c r="S200" s="35">
        <f t="shared" si="81"/>
        <v>1</v>
      </c>
      <c r="T200" s="50" t="str">
        <f t="shared" si="67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19:07:10-700',mode:absolute,to:'2016-12-13 21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0" s="52" t="str">
        <f t="shared" si="69"/>
        <v>N</v>
      </c>
      <c r="X200" s="177">
        <f t="shared" si="79"/>
        <v>1</v>
      </c>
      <c r="Y200" s="67">
        <f t="shared" si="83"/>
        <v>9.7199999999999995E-2</v>
      </c>
      <c r="Z200" s="67">
        <f t="shared" si="80"/>
        <v>5.8944000000000001</v>
      </c>
      <c r="AA200" s="67">
        <f t="shared" si="70"/>
        <v>5.7972000000000001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71"/>
        <v>0843-13</v>
      </c>
      <c r="AE200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200" s="88" t="str">
        <f t="shared" si="73"/>
        <v>"C:\Program Files (x86)\AstroGrep\AstroGrep.exe" /spath="%USERPROFILE%\AppData\Local\Temp\OnboardLogs" /stypes="app*4046*20161214*" /stext=" 03:.+((SYSTEM_STATE.+slice.+state.+changed )|(ment ac)|(multiple cpu faults)|(system.+state.+changed )|(\[timeout)|(PRM\|1\|D)|(kpr)|(kdp)|(\|lc)|(penalty))" /e /r /s</v>
      </c>
      <c r="AG200" s="1" t="str">
        <f t="shared" si="74"/>
        <v>NW</v>
      </c>
      <c r="AH200" s="92" t="str">
        <f t="shared" si="76"/>
        <v>"%USERPROFILE%\Documents\GitHub\eaglep3\Utilities\RefineRTDCRunTimes.py" --tripid 843-13 --locoid 4046 --swversion DE.1.0.8.0 --startMP 204:972 --initTime 2016-12-13T20:07:10 --startdatetime 2016-12-13T20:21:20 --delay 1 --endMP 300:58944 --enddatetime 2016-12-13T20:36:14 --enforcementcount 0 &gt;&gt;C:\Users\stu\Documents\GitHub\eaglep3-reporting\EC\2016-12-13-refined-times.txt</v>
      </c>
      <c r="AI200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{"issue":{"subject":"","project_id":79,"tracker_id":40,"status_id":1,"priority_id":2,"assigned_to_id":23,"start_date":"2016-12-13","description":"","custom_fields":[{"id":1,"name":"Subdivision","value":"NW"},{"id":4,"name":"Milepost","value":"5.8944"},{"id":17,"name":"Train ID","value":"843-13"},{"id":16,"name":"Locomotive ID","value":"4046"},{"id":130,"name":"Impact","value":""},{"id":150,"name":"Time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613</v>
      </c>
      <c r="B201" s="7">
        <v>4045</v>
      </c>
      <c r="C201" s="22" t="s">
        <v>207</v>
      </c>
      <c r="D201" s="22" t="s">
        <v>794</v>
      </c>
      <c r="E201" s="13">
        <v>42717.900763888887</v>
      </c>
      <c r="F201" s="13">
        <v>42717.902199074073</v>
      </c>
      <c r="G201" s="7">
        <v>1</v>
      </c>
      <c r="H201" s="22" t="s">
        <v>795</v>
      </c>
      <c r="I201" s="13">
        <v>42717.912916666668</v>
      </c>
      <c r="J201" s="7">
        <v>0</v>
      </c>
      <c r="K201" s="109" t="str">
        <f t="shared" si="65"/>
        <v>4045/4046</v>
      </c>
      <c r="L201" s="22" t="str">
        <f>VLOOKUP(A201,'Trips&amp;Operators'!$C$1:$G$99999,5,FALSE)</f>
        <v>STAMBAUGH JAMES</v>
      </c>
      <c r="M201" s="6">
        <f t="shared" si="66"/>
        <v>1.0717592595028691E-2</v>
      </c>
      <c r="N201" s="7">
        <f t="shared" si="84"/>
        <v>15.433333336841315</v>
      </c>
      <c r="O201" s="7"/>
      <c r="P201" s="7"/>
      <c r="Q201" s="23"/>
      <c r="R201" s="23"/>
      <c r="S201" s="35">
        <f t="shared" si="81"/>
        <v>1</v>
      </c>
      <c r="T201" s="50" t="str">
        <f t="shared" si="67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20:37:06-700',mode:absolute,to:'2016-12-13 22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1" s="52" t="str">
        <f t="shared" si="69"/>
        <v>N</v>
      </c>
      <c r="X201" s="177">
        <f t="shared" ref="X201:X206" si="85">VALUE(LEFT(AD201,4))-VALUE(LEFT(AD200,4))</f>
        <v>1</v>
      </c>
      <c r="Y201" s="67">
        <f t="shared" si="83"/>
        <v>5.8605999999999998</v>
      </c>
      <c r="Z201" s="67">
        <f t="shared" ref="Z201:Z232" si="86">RIGHT(H201,LEN(H201)-4)/10000</f>
        <v>7.1300000000000002E-2</v>
      </c>
      <c r="AA201" s="67">
        <f t="shared" si="70"/>
        <v>5.7892999999999999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71"/>
        <v>0844-13</v>
      </c>
      <c r="AE201" s="91" t="str">
        <f t="shared" si="72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201" s="88" t="str">
        <f t="shared" si="73"/>
        <v>"C:\Program Files (x86)\AstroGrep\AstroGrep.exe" /spath="%USERPROFILE%\AppData\Local\Temp\OnboardLogs" /stypes="app*4045*20161214*" /stext=" 04:.+((SYSTEM_STATE.+slice.+state.+changed )|(ment ac)|(multiple cpu faults)|(system.+state.+changed )|(\[timeout)|(PRM\|1\|D)|(kpr)|(kdp)|(\|lc)|(penalty))" /e /r /s</v>
      </c>
      <c r="AG201" s="1" t="str">
        <f t="shared" si="74"/>
        <v>NW</v>
      </c>
      <c r="AH201" s="92" t="str">
        <f t="shared" si="76"/>
        <v>"%USERPROFILE%\Documents\GitHub\eaglep3\Utilities\RefineRTDCRunTimes.py" --tripid 844-13 --locoid 4045 --swversion DE.1.0.8.0 --startMP 300:58606 --initTime 2016-12-13T21:37:06 --startdatetime 2016-12-13T21:39:10 --delay 1 --endMP 204:713 --enddatetime 2016-12-13T21:54:36 --enforcementcount 0 &gt;&gt;C:\Users\stu\Documents\GitHub\eaglep3-reporting\EC\2016-12-13-refined-times.txt</v>
      </c>
      <c r="AI201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{"issue":{"subject":"","project_id":79,"tracker_id":40,"status_id":1,"priority_id":2,"assigned_to_id":23,"start_date":"2016-12-13","description":"","custom_fields":[{"id":1,"name":"Subdivision","value":"NW"},{"id":4,"name":"Milepost","value":"0.0713"},{"id":17,"name":"Train ID","value":"844-13"},{"id":16,"name":"Locomotive ID","value":"4045"},{"id":130,"name":"Impact","value":""},{"id":150,"name":"Time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ht="16.5" customHeight="1" x14ac:dyDescent="0.25">
      <c r="A202" s="37" t="s">
        <v>610</v>
      </c>
      <c r="B202" s="7">
        <v>4046</v>
      </c>
      <c r="C202" s="22" t="s">
        <v>207</v>
      </c>
      <c r="D202" s="22" t="s">
        <v>395</v>
      </c>
      <c r="E202" s="13">
        <v>42717.876307870371</v>
      </c>
      <c r="F202" s="13">
        <v>42717.890486111108</v>
      </c>
      <c r="G202" s="7">
        <v>1</v>
      </c>
      <c r="H202" s="22" t="s">
        <v>393</v>
      </c>
      <c r="I202" s="13">
        <v>42717.899699074071</v>
      </c>
      <c r="J202" s="7">
        <v>0</v>
      </c>
      <c r="K202" s="109" t="str">
        <f t="shared" si="65"/>
        <v>4045/4046</v>
      </c>
      <c r="L202" s="22" t="str">
        <f>VLOOKUP(A202,'Trips&amp;Operators'!$C$1:$G$99999,5,FALSE)</f>
        <v>STAMBAUGH JAMES</v>
      </c>
      <c r="M202" s="6">
        <f t="shared" si="66"/>
        <v>9.2129629629198462E-3</v>
      </c>
      <c r="N202" s="7">
        <f t="shared" si="84"/>
        <v>13.266666666604578</v>
      </c>
      <c r="O202" s="7"/>
      <c r="P202" s="7"/>
      <c r="Q202" s="23"/>
      <c r="R202" s="23"/>
      <c r="S202" s="35">
        <f t="shared" ref="S202:S238" si="87">SUM(U202:U202)/IF(AG202="EC",12,1)</f>
        <v>1</v>
      </c>
      <c r="T202" s="50" t="str">
        <f t="shared" si="67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https://search-rtdc-monitor-bjffxe2xuh6vdkpspy63sjmuny.us-east-1.es.amazonaws.com/_plugin/kibana/#/discover/Steve-Slow-Train-Analysis-(2080s-and-2083s)?_g=(refreshInterval:(display:Off,section:0,value:0),time:(from:'2016-12-13 20:01:53-700',mode:absolute,to:'2016-12-13 22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2" s="52" t="str">
        <f t="shared" si="69"/>
        <v>N</v>
      </c>
      <c r="X202" s="177">
        <f t="shared" si="85"/>
        <v>1</v>
      </c>
      <c r="Y202" s="67">
        <f t="shared" si="83"/>
        <v>9.64E-2</v>
      </c>
      <c r="Z202" s="67">
        <f t="shared" si="86"/>
        <v>5.8928000000000003</v>
      </c>
      <c r="AA202" s="67">
        <f t="shared" si="70"/>
        <v>5.7964000000000002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71"/>
        <v>0845-13</v>
      </c>
      <c r="AE202" s="91" t="str">
        <f t="shared" si="72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202" s="88" t="str">
        <f t="shared" si="73"/>
        <v>"C:\Program Files (x86)\AstroGrep\AstroGrep.exe" /spath="%USERPROFILE%\AppData\Local\Temp\OnboardLogs" /stypes="app*4046*20161214*" /stext=" 04:.+((SYSTEM_STATE.+slice.+state.+changed )|(ment ac)|(multiple cpu faults)|(system.+state.+changed )|(\[timeout)|(PRM\|1\|D)|(kpr)|(kdp)|(\|lc)|(penalty))" /e /r /s</v>
      </c>
      <c r="AG202" s="1" t="str">
        <f t="shared" si="74"/>
        <v>NW</v>
      </c>
      <c r="AH202" s="92" t="str">
        <f t="shared" si="76"/>
        <v>"%USERPROFILE%\Documents\GitHub\eaglep3\Utilities\RefineRTDCRunTimes.py" --tripid 845-13 --locoid 4046 --swversion DE.1.0.8.0 --startMP 204:964 --initTime 2016-12-13T21:01:53 --startdatetime 2016-12-13T21:22:18 --delay 1 --endMP 300:58928 --enddatetime 2016-12-13T21:35:34 --enforcementcount 0 &gt;&gt;C:\Users\stu\Documents\GitHub\eaglep3-reporting\EC\2016-12-13-refined-times.txt</v>
      </c>
      <c r="AI202" s="119" t="str">
        <f t="shared" si="77"/>
        <v>echo {"issue":{"subject":"","project_id":79,"tracker_id":40,"status_id":1,"priority_id":2,"assigned_to_id":23,"start_date":"2016-12-13","description":"","custom_fields":[{"id":1,"name":"Subdivision","value":"NW"},{"id":4,"name":"Milepost","value":"5.8928"},{"id":17,"name":"Train ID","value":"845-13"},{"id":16,"name":"Locomotive ID","value":"4046"},{"id":130,"name":"Impact","value":""},{"id":150,"name":"Time of Event (Mountain Time)","value":"21:35:34"},{"id":151,"name":"Denver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618</v>
      </c>
      <c r="B203" s="7">
        <v>4046</v>
      </c>
      <c r="C203" s="22" t="s">
        <v>207</v>
      </c>
      <c r="D203" s="22" t="s">
        <v>395</v>
      </c>
      <c r="E203" s="13">
        <v>42717.876307870371</v>
      </c>
      <c r="F203" s="13">
        <v>42717.84814814815</v>
      </c>
      <c r="G203" s="7">
        <v>1</v>
      </c>
      <c r="H203" s="22" t="s">
        <v>393</v>
      </c>
      <c r="I203" s="13">
        <v>42717.858495370368</v>
      </c>
      <c r="J203" s="7">
        <v>0</v>
      </c>
      <c r="K203" s="109" t="str">
        <f t="shared" ref="K203:K238" si="88">IF(ISEVEN(B203),(B203-1)&amp;"/"&amp;B203,B203&amp;"/"&amp;(B203+1))</f>
        <v>4045/4046</v>
      </c>
      <c r="L203" s="22" t="str">
        <f>VLOOKUP(A203,'Trips&amp;Operators'!$C$1:$G$99999,5,FALSE)</f>
        <v>STAMBAUGH JAMES</v>
      </c>
      <c r="M203" s="6">
        <f t="shared" ref="M203:M238" si="89">I203-F203</f>
        <v>1.0347222218115348E-2</v>
      </c>
      <c r="N203" s="7">
        <f t="shared" si="84"/>
        <v>14.899999994086102</v>
      </c>
      <c r="O203" s="7"/>
      <c r="P203" s="7"/>
      <c r="Q203" s="23"/>
      <c r="R203" s="23"/>
      <c r="S203" s="35">
        <f t="shared" si="87"/>
        <v>1</v>
      </c>
      <c r="T203" s="50" t="str">
        <f t="shared" ref="T203:T238" si="90"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38" si="91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https://search-rtdc-monitor-bjffxe2xuh6vdkpspy63sjmuny.us-east-1.es.amazonaws.com/_plugin/kibana/#/discover/Steve-Slow-Train-Analysis-(2080s-and-2083s)?_g=(refreshInterval:(display:Off,section:0,value:0),time:(from:'2016-12-13 20:01:53-700',mode:absolute,to:'2016-12-13 21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3" s="52" t="str">
        <f t="shared" ref="W203:W238" si="92">IF(AA203&lt;IF(AG203="EC",23,5.65),"Y","N")</f>
        <v>N</v>
      </c>
      <c r="X203" s="177">
        <f t="shared" ref="X203" si="93">VALUE(LEFT(AD203,4))-VALUE(LEFT(AD202,4))</f>
        <v>2</v>
      </c>
      <c r="Y203" s="67">
        <f t="shared" si="83"/>
        <v>9.64E-2</v>
      </c>
      <c r="Z203" s="67">
        <f t="shared" si="86"/>
        <v>5.8928000000000003</v>
      </c>
      <c r="AA203" s="67">
        <f t="shared" ref="AA203:AA266" si="94">ABS(Z203-Y203)</f>
        <v>5.7964000000000002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ref="AD203:AD238" si="95">IF(LEN(A203)=6,"0"&amp;A203,A203)</f>
        <v>0847-13</v>
      </c>
      <c r="AE203" s="91" t="str">
        <f t="shared" ref="AE203:AE238" si="96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203" s="88" t="str">
        <f t="shared" ref="AF203:AF238" si="97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/stypes="app*4046*20161214*" /stext=" 03:.+((SYSTEM_STATE.+slice.+state.+changed )|(ment ac)|(multiple cpu faults)|(system.+state.+changed )|(\[timeout)|(PRM\|1\|D)|(kpr)|(kdp)|(\|lc)|(penalty))" /e /r /s</v>
      </c>
      <c r="AG203" s="1" t="str">
        <f t="shared" ref="AG203:AG238" si="98">IFERROR(IF(VALUE(LEFT(AD203,2))&lt;=2,"EC",IF(OR(VALUE(LEFT(AD203,2))=8,VALUE(LEFT(AD203,2))=18),"NW","Other")),"Other")</f>
        <v>NW</v>
      </c>
      <c r="AH203" s="92" t="str">
        <f t="shared" ref="AH203" si="9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847-13 --locoid 4046 --swversion DE.1.0.8.0 --startMP 204:964 --initTime 2016-12-13T21:01:53 --startdatetime 2016-12-13T20:21:20 --delay 1 --endMP 300:58928 --enddatetime 2016-12-13T20:36:14 --enforcementcount 0 &gt;&gt;C:\Users\stu\Documents\GitHub\eaglep3-reporting\EC\2016-12-13-refined-times.txt</v>
      </c>
      <c r="AI203" s="119" t="str">
        <f t="shared" ref="AI203" si="10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{"issue":{"subject":"","project_id":79,"tracker_id":40,"status_id":1,"priority_id":2,"assigned_to_id":23,"start_date":"2016-12-13","description":"","custom_fields":[{"id":1,"name":"Subdivision","value":"NW"},{"id":4,"name":"Milepost","value":"5.8928"},{"id":17,"name":"Train ID","value":"847-13"},{"id":16,"name":"Locomotive ID","value":"4046"},{"id":130,"name":"Impact","value":""},{"id":150,"name":"Time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446</v>
      </c>
      <c r="B204" s="7">
        <v>4052</v>
      </c>
      <c r="C204" s="22" t="s">
        <v>207</v>
      </c>
      <c r="D204" s="22" t="s">
        <v>712</v>
      </c>
      <c r="E204" s="13">
        <v>42717.117974537039</v>
      </c>
      <c r="F204" s="13">
        <v>42717.119120370371</v>
      </c>
      <c r="G204" s="7">
        <v>1</v>
      </c>
      <c r="H204" s="22" t="s">
        <v>226</v>
      </c>
      <c r="I204" s="13">
        <v>42717.126354166663</v>
      </c>
      <c r="J204" s="7">
        <v>1</v>
      </c>
      <c r="K204" s="109" t="str">
        <f t="shared" si="88"/>
        <v>4051/4052</v>
      </c>
      <c r="L204" s="22" t="str">
        <f>VLOOKUP(A204,'Trips&amp;Operators'!$C$1:$G$99999,5,FALSE)</f>
        <v>KILLION DAVID</v>
      </c>
      <c r="M204" s="6">
        <f t="shared" si="89"/>
        <v>7.2337962919846177E-3</v>
      </c>
      <c r="N204" s="7">
        <f t="shared" si="84"/>
        <v>10.41666666045785</v>
      </c>
      <c r="O204" s="7"/>
      <c r="P204" s="7"/>
      <c r="Q204" s="23"/>
      <c r="R204" s="23"/>
      <c r="S204" s="35">
        <f t="shared" si="87"/>
        <v>1</v>
      </c>
      <c r="T204" s="50" t="str">
        <f t="shared" si="90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01:49:53-700',mode:absolute,to:'2016-12-13 04:01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4" s="52" t="str">
        <f t="shared" si="92"/>
        <v>Y</v>
      </c>
      <c r="X204" s="177">
        <f>VALUE(LEFT(AD204,4))-VALUE(LEFT(AD202,4))</f>
        <v>-543</v>
      </c>
      <c r="Y204" s="67">
        <f t="shared" si="83"/>
        <v>2.3094999999999999</v>
      </c>
      <c r="Z204" s="67">
        <f t="shared" si="86"/>
        <v>1.54E-2</v>
      </c>
      <c r="AA204" s="67">
        <f t="shared" si="94"/>
        <v>2.2940999999999998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95"/>
        <v>0302-13</v>
      </c>
      <c r="AE204" s="91" t="str">
        <f t="shared" si="96"/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AF204" s="88" t="str">
        <f t="shared" si="97"/>
        <v>"C:\Program Files (x86)\AstroGrep\AstroGrep.exe" /spath="%USERPROFILE%\AppData\Local\Temp\OnboardLogs" /stypes="app*4052*20161213*" /stext=" 10:.+((SYSTEM_STATE.+slice.+state.+changed )|(ment ac)|(multiple cpu faults)|(system.+state.+changed )|(\[timeout)|(PRM\|1\|D)|(kpr)|(kdp)|(\|lc)|(penalty))" /e /r /s</v>
      </c>
      <c r="AG204" s="1" t="str">
        <f t="shared" si="98"/>
        <v>Other</v>
      </c>
      <c r="AH204" s="92" t="str">
        <f t="shared" si="76"/>
        <v>"%USERPROFILE%\Documents\GitHub\eaglep3\Utilities\RefineRTDCRunTimes.py" --tripid 302-13 --locoid 4052 --swversion DE.1.0.8.0 --startMP 300:23095 --initTime 2016-12-13T02:49:53 --startdatetime 2016-12-13T02:51:32 --delay 1 --endMP 204:154 --enddatetime 2016-12-13T03:01:57 --enforcementcount 1 &gt;&gt;C:\Users\stu\Documents\GitHub\eaglep3-reporting\EC\2016-12-13-refined-times.txt</v>
      </c>
      <c r="AI204" s="119" t="str">
        <f t="shared" si="77"/>
        <v>echo {"issue":{"subject":"","project_id":79,"tracker_id":40,"status_id":1,"priority_id":2,"assigned_to_id":23,"start_date":"2016-12-13","description":"","custom_fields":[{"id":1,"name":"Subdivision","value":"Other"},{"id":4,"name":"Milepost","value":"0.0154"},{"id":17,"name":"Train ID","value":"302-13"},{"id":16,"name":"Locomotive ID","value":"4052"},{"id":130,"name":"Impact","value":""},{"id":150,"name":"Time of Event (Mountain Time)","value":"03:01:57"},{"id":151,"name":"Denver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447</v>
      </c>
      <c r="B205" s="7">
        <v>4004</v>
      </c>
      <c r="C205" s="22" t="s">
        <v>207</v>
      </c>
      <c r="D205" s="22" t="s">
        <v>713</v>
      </c>
      <c r="E205" s="13">
        <v>42717.141863425924</v>
      </c>
      <c r="F205" s="13">
        <v>42717.142847222225</v>
      </c>
      <c r="G205" s="7">
        <v>1</v>
      </c>
      <c r="H205" s="22" t="s">
        <v>714</v>
      </c>
      <c r="I205" s="13">
        <v>42717.149212962962</v>
      </c>
      <c r="J205" s="7">
        <v>1</v>
      </c>
      <c r="K205" s="109" t="str">
        <f t="shared" si="88"/>
        <v>4003/4004</v>
      </c>
      <c r="L205" s="22" t="str">
        <f>VLOOKUP(A205,'Trips&amp;Operators'!$C$1:$G$99999,5,FALSE)</f>
        <v>ACKERMAN JARED</v>
      </c>
      <c r="M205" s="6">
        <f t="shared" si="89"/>
        <v>6.3657407372375019E-3</v>
      </c>
      <c r="N205" s="7">
        <f t="shared" si="84"/>
        <v>9.1666666616220027</v>
      </c>
      <c r="O205" s="7"/>
      <c r="P205" s="7"/>
      <c r="Q205" s="23"/>
      <c r="R205" s="23"/>
      <c r="S205" s="35">
        <f t="shared" si="87"/>
        <v>1</v>
      </c>
      <c r="T205" s="50" t="str">
        <f t="shared" si="90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02:24:17-700',mode:absolute,to:'2016-12-13 04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5" s="52" t="str">
        <f t="shared" si="92"/>
        <v>Y</v>
      </c>
      <c r="X205" s="177">
        <f t="shared" si="85"/>
        <v>2</v>
      </c>
      <c r="Y205" s="67">
        <f t="shared" si="83"/>
        <v>2.2334999999999998</v>
      </c>
      <c r="Z205" s="67">
        <f t="shared" si="86"/>
        <v>1.12E-2</v>
      </c>
      <c r="AA205" s="67">
        <f t="shared" si="94"/>
        <v>2.2222999999999997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95"/>
        <v>0304-13</v>
      </c>
      <c r="AE205" s="91" t="str">
        <f t="shared" si="96"/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AF205" s="88" t="str">
        <f t="shared" si="97"/>
        <v>"C:\Program Files (x86)\AstroGrep\AstroGrep.exe" /spath="%USERPROFILE%\AppData\Local\Temp\OnboardLogs" /stypes="app*4004*20161213*" /stext=" 10:.+((SYSTEM_STATE.+slice.+state.+changed )|(ment ac)|(multiple cpu faults)|(system.+state.+changed )|(\[timeout)|(PRM\|1\|D)|(kpr)|(kdp)|(\|lc)|(penalty))" /e /r /s</v>
      </c>
      <c r="AG205" s="1" t="str">
        <f t="shared" si="98"/>
        <v>Other</v>
      </c>
      <c r="AH205" s="92" t="str">
        <f t="shared" si="76"/>
        <v>"%USERPROFILE%\Documents\GitHub\eaglep3\Utilities\RefineRTDCRunTimes.py" --tripid 304-13 --locoid 4004 --swversion DE.1.0.8.0 --startMP 300:22335 --initTime 2016-12-13T03:24:17 --startdatetime 2016-12-13T03:25:42 --delay 1 --endMP 204:112 --enddatetime 2016-12-13T03:34:52 --enforcementcount 1 &gt;&gt;C:\Users\stu\Documents\GitHub\eaglep3-reporting\EC\2016-12-13-refined-times.txt</v>
      </c>
      <c r="AI205" s="119" t="str">
        <f t="shared" si="77"/>
        <v>echo {"issue":{"subject":"","project_id":79,"tracker_id":40,"status_id":1,"priority_id":2,"assigned_to_id":23,"start_date":"2016-12-13","description":"","custom_fields":[{"id":1,"name":"Subdivision","value":"Other"},{"id":4,"name":"Milepost","value":"0.0112"},{"id":17,"name":"Train ID","value":"304-13"},{"id":16,"name":"Locomotive ID","value":"4004"},{"id":130,"name":"Impact","value":""},{"id":150,"name":"Time of Event (Mountain Time)","value":"03:34:52"},{"id":151,"name":"Denver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599</v>
      </c>
      <c r="B206" s="7">
        <v>4042</v>
      </c>
      <c r="C206" s="22" t="s">
        <v>207</v>
      </c>
      <c r="D206" s="22" t="s">
        <v>715</v>
      </c>
      <c r="E206" s="13">
        <v>42717.806041666663</v>
      </c>
      <c r="F206" s="13">
        <v>42717.806944444441</v>
      </c>
      <c r="G206" s="7">
        <v>1</v>
      </c>
      <c r="H206" s="22" t="s">
        <v>716</v>
      </c>
      <c r="I206" s="13">
        <v>42717.814212962963</v>
      </c>
      <c r="J206" s="7">
        <v>1</v>
      </c>
      <c r="K206" s="109" t="str">
        <f t="shared" si="88"/>
        <v>4041/4042</v>
      </c>
      <c r="L206" s="22" t="str">
        <f>VLOOKUP(A206,'Trips&amp;Operators'!$C$1:$G$99999,5,FALSE)</f>
        <v>YOUNG ELIZABETH</v>
      </c>
      <c r="M206" s="6">
        <f t="shared" si="89"/>
        <v>7.2685185223235749E-3</v>
      </c>
      <c r="N206" s="7">
        <f t="shared" si="84"/>
        <v>10.466666672145948</v>
      </c>
      <c r="O206" s="7"/>
      <c r="P206" s="7"/>
      <c r="Q206" s="23"/>
      <c r="R206" s="23"/>
      <c r="S206" s="35">
        <f t="shared" si="87"/>
        <v>1</v>
      </c>
      <c r="T206" s="50" t="str">
        <f t="shared" si="90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18:20:42-700',mode:absolute,to:'2016-12-13 20:32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6" s="52" t="str">
        <f t="shared" si="92"/>
        <v>Y</v>
      </c>
      <c r="X206" s="177">
        <f t="shared" si="85"/>
        <v>1</v>
      </c>
      <c r="Y206" s="67">
        <f t="shared" si="83"/>
        <v>4.9799999999999997E-2</v>
      </c>
      <c r="Z206" s="67">
        <f t="shared" si="86"/>
        <v>2.2854000000000001</v>
      </c>
      <c r="AA206" s="67">
        <f t="shared" si="94"/>
        <v>2.2356000000000003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95"/>
        <v>0305-13</v>
      </c>
      <c r="AE206" s="91" t="str">
        <f t="shared" si="96"/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AF206" s="88" t="str">
        <f t="shared" si="97"/>
        <v>"C:\Program Files (x86)\AstroGrep\AstroGrep.exe" /spath="%USERPROFILE%\AppData\Local\Temp\OnboardLogs" /stypes="app*4042*20161214*" /stext=" 02:.+((SYSTEM_STATE.+slice.+state.+changed )|(ment ac)|(multiple cpu faults)|(system.+state.+changed )|(\[timeout)|(PRM\|1\|D)|(kpr)|(kdp)|(\|lc)|(penalty))" /e /r /s</v>
      </c>
      <c r="AG206" s="1" t="str">
        <f t="shared" si="98"/>
        <v>Other</v>
      </c>
      <c r="AH206" s="92" t="str">
        <f t="shared" ref="AH206:AH238" si="10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305-13 --locoid 4042 --swversion DE.1.0.8.0 --startMP 204:498 --initTime 2016-12-13T19:20:42 --startdatetime 2016-12-13T19:22:00 --delay 1 --endMP 300:22854 --enddatetime 2016-12-13T19:32:28 --enforcementcount 1 &gt;&gt;C:\Users\stu\Documents\GitHub\eaglep3-reporting\EC\2016-12-13-refined-times.txt</v>
      </c>
      <c r="AI206" s="119" t="str">
        <f t="shared" ref="AI206:AI238" si="10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{"issue":{"subject":"","project_id":79,"tracker_id":40,"status_id":1,"priority_id":2,"assigned_to_id":23,"start_date":"2016-12-13","description":"","custom_fields":[{"id":1,"name":"Subdivision","value":"Other"},{"id":4,"name":"Milepost","value":"2.2854"},{"id":17,"name":"Train ID","value":"305-13"},{"id":16,"name":"Locomotive ID","value":"4042"},{"id":130,"name":"Impact","value":""},{"id":150,"name":"Time of Event (Mountain Time)","value":"19:32:28"},{"id":151,"name":"Denver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449</v>
      </c>
      <c r="B207" s="7">
        <v>4015</v>
      </c>
      <c r="C207" s="22" t="s">
        <v>207</v>
      </c>
      <c r="D207" s="22" t="s">
        <v>717</v>
      </c>
      <c r="E207" s="13">
        <v>42717.162685185183</v>
      </c>
      <c r="F207" s="13">
        <v>42717.165162037039</v>
      </c>
      <c r="G207" s="7">
        <v>3</v>
      </c>
      <c r="H207" s="22" t="s">
        <v>213</v>
      </c>
      <c r="I207" s="13">
        <v>42717.170439814814</v>
      </c>
      <c r="J207" s="7">
        <v>1</v>
      </c>
      <c r="K207" s="109" t="str">
        <f t="shared" si="88"/>
        <v>4015/4016</v>
      </c>
      <c r="L207" s="22" t="str">
        <f>VLOOKUP(A207,'Trips&amp;Operators'!$C$1:$G$99999,5,FALSE)</f>
        <v>BEAM ROSS</v>
      </c>
      <c r="M207" s="6">
        <f t="shared" si="89"/>
        <v>5.277777774608694E-3</v>
      </c>
      <c r="N207" s="7">
        <f t="shared" si="84"/>
        <v>7.5999999954365194</v>
      </c>
      <c r="O207" s="7"/>
      <c r="P207" s="7"/>
      <c r="Q207" s="23"/>
      <c r="R207" s="23"/>
      <c r="S207" s="35">
        <f t="shared" si="87"/>
        <v>1</v>
      </c>
      <c r="T207" s="50" t="str">
        <f t="shared" si="90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02:54:16-700',mode:absolute,to:'2016-12-13 05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7" s="52" t="str">
        <f t="shared" si="92"/>
        <v>Y</v>
      </c>
      <c r="X207" s="177">
        <f t="shared" ref="X207:X238" si="103">VALUE(LEFT(AD207,4))-VALUE(LEFT(AD206,4))</f>
        <v>1</v>
      </c>
      <c r="Y207" s="67">
        <f t="shared" si="83"/>
        <v>1.9699</v>
      </c>
      <c r="Z207" s="67">
        <f t="shared" si="86"/>
        <v>1.4999999999999999E-2</v>
      </c>
      <c r="AA207" s="67">
        <f t="shared" si="94"/>
        <v>1.9549000000000001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95"/>
        <v>0306-13</v>
      </c>
      <c r="AE207" s="91" t="str">
        <f t="shared" si="96"/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AF207" s="88" t="str">
        <f t="shared" si="97"/>
        <v>"C:\Program Files (x86)\AstroGrep\AstroGrep.exe" /spath="%USERPROFILE%\AppData\Local\Temp\OnboardLogs" /stypes="app*4015*20161213*" /stext=" 11:.+((SYSTEM_STATE.+slice.+state.+changed )|(ment ac)|(multiple cpu faults)|(system.+state.+changed )|(\[timeout)|(PRM\|1\|D)|(kpr)|(kdp)|(\|lc)|(penalty))" /e /r /s</v>
      </c>
      <c r="AG207" s="1" t="str">
        <f t="shared" si="98"/>
        <v>Other</v>
      </c>
      <c r="AH207" s="92" t="str">
        <f t="shared" si="101"/>
        <v>"%USERPROFILE%\Documents\GitHub\eaglep3\Utilities\RefineRTDCRunTimes.py" --tripid 306-13 --locoid 4015 --swversion DE.1.0.8.0 --startMP 300:19699 --initTime 2016-12-13T03:54:16 --startdatetime 2016-12-13T03:57:50 --delay 3 --endMP 204:150 --enddatetime 2016-12-13T04:05:26 --enforcementcount 1 &gt;&gt;C:\Users\stu\Documents\GitHub\eaglep3-reporting\EC\2016-12-13-refined-times.txt</v>
      </c>
      <c r="AI207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{"issue":{"subject":"","project_id":79,"tracker_id":40,"status_id":1,"priority_id":2,"assigned_to_id":23,"start_date":"2016-12-13","description":"","custom_fields":[{"id":1,"name":"Subdivision","value":"Other"},{"id":4,"name":"Milepost","value":"0.015"},{"id":17,"name":"Train ID","value":"306-13"},{"id":16,"name":"Locomotive ID","value":"4015"},{"id":130,"name":"Impact","value":""},{"id":150,"name":"Time of Event (Mountain Time)","value":"04:05:26"},{"id":151,"name":"Denver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603</v>
      </c>
      <c r="B208" s="7">
        <v>4051</v>
      </c>
      <c r="C208" s="22" t="s">
        <v>207</v>
      </c>
      <c r="D208" s="22" t="s">
        <v>252</v>
      </c>
      <c r="E208" s="13">
        <v>42717.822511574072</v>
      </c>
      <c r="F208" s="13">
        <v>42717.823379629626</v>
      </c>
      <c r="G208" s="7">
        <v>1</v>
      </c>
      <c r="H208" s="22" t="s">
        <v>384</v>
      </c>
      <c r="I208" s="13">
        <v>42717.829837962963</v>
      </c>
      <c r="J208" s="7">
        <v>1</v>
      </c>
      <c r="K208" s="109" t="str">
        <f t="shared" si="88"/>
        <v>4051/4052</v>
      </c>
      <c r="L208" s="22" t="str">
        <f>VLOOKUP(A208,'Trips&amp;Operators'!$C$1:$G$99999,5,FALSE)</f>
        <v>STORY SAMANTHA</v>
      </c>
      <c r="M208" s="6">
        <f t="shared" si="89"/>
        <v>6.4583333369228058E-3</v>
      </c>
      <c r="N208" s="7">
        <f t="shared" si="84"/>
        <v>9.3000000051688403</v>
      </c>
      <c r="O208" s="7"/>
      <c r="P208" s="7"/>
      <c r="Q208" s="23"/>
      <c r="R208" s="23"/>
      <c r="S208" s="35">
        <f t="shared" si="87"/>
        <v>1</v>
      </c>
      <c r="T208" s="50" t="str">
        <f t="shared" si="90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18:44:25-700',mode:absolute,to:'2016-12-13 20:54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8" s="52" t="str">
        <f t="shared" si="92"/>
        <v>Y</v>
      </c>
      <c r="X208" s="177">
        <f t="shared" si="103"/>
        <v>1</v>
      </c>
      <c r="Y208" s="67">
        <f t="shared" si="83"/>
        <v>4.58E-2</v>
      </c>
      <c r="Z208" s="67">
        <f t="shared" si="86"/>
        <v>2.3308</v>
      </c>
      <c r="AA208" s="67">
        <f t="shared" si="94"/>
        <v>2.2850000000000001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95"/>
        <v>0307-13</v>
      </c>
      <c r="AE208" s="91" t="str">
        <f t="shared" si="96"/>
        <v>aws s3 cp s3://rtdc.mdm.uploadarchive.raw/RTDC4051/ "%USERPROFILE%\AppData\Local\Temp\OnboardLogs"\RTDC4051\2016-12-13 --exclude "*" --recursive --include "*20161213*" &amp; "%USERPROFILE%\Documents\GitHub\mrs-test-scripts\Headless Mode &amp; Sideloading\WalkAndUnGZ.bat" "%USERPROFILE%\AppData\Local\Temp\OnboardLogs"\RTDC4051\2016-12-13 &amp; aws s3 cp s3://rtdc.mdm.uploadarchive.raw/RTDC4051/ "%USERPROFILE%\AppData\Local\Temp\OnboardLogs"\RTDC4051\2016-12-14 --exclude "*" --recursive --include "*20161214*" &amp; "%USERPROFILE%\Documents\GitHub\mrs-test-scripts\Headless Mode &amp; Sideloading\WalkAndUnGZ.bat" "%USERPROFILE%\AppData\Local\Temp\OnboardLogs"\RTDC4051\2016-12-14</v>
      </c>
      <c r="AF208" s="88" t="str">
        <f t="shared" si="97"/>
        <v>"C:\Program Files (x86)\AstroGrep\AstroGrep.exe" /spath="%USERPROFILE%\AppData\Local\Temp\OnboardLogs" /stypes="app*4051*20161214*" /stext=" 02:.+((SYSTEM_STATE.+slice.+state.+changed )|(ment ac)|(multiple cpu faults)|(system.+state.+changed )|(\[timeout)|(PRM\|1\|D)|(kpr)|(kdp)|(\|lc)|(penalty))" /e /r /s</v>
      </c>
      <c r="AG208" s="1" t="str">
        <f t="shared" si="98"/>
        <v>Other</v>
      </c>
      <c r="AH208" s="92" t="str">
        <f t="shared" si="101"/>
        <v>"%USERPROFILE%\Documents\GitHub\eaglep3\Utilities\RefineRTDCRunTimes.py" --tripid 307-13 --locoid 4051 --swversion DE.1.0.8.0 --startMP 204:458 --initTime 2016-12-13T19:44:25 --startdatetime 2016-12-13T19:45:40 --delay 1 --endMP 300:23308 --enddatetime 2016-12-13T19:54:58 --enforcementcount 1 &gt;&gt;C:\Users\stu\Documents\GitHub\eaglep3-reporting\EC\2016-12-13-refined-times.txt</v>
      </c>
      <c r="AI208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{"issue":{"subject":"","project_id":79,"tracker_id":40,"status_id":1,"priority_id":2,"assigned_to_id":23,"start_date":"2016-12-13","description":"","custom_fields":[{"id":1,"name":"Subdivision","value":"Other"},{"id":4,"name":"Milepost","value":"2.3308"},{"id":17,"name":"Train ID","value":"307-13"},{"id":16,"name":"Locomotive ID","value":"4051"},{"id":130,"name":"Impact","value":""},{"id":150,"name":"Time of Event (Mountain Time)","value":"19:54:58"},{"id":151,"name":"Denver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454</v>
      </c>
      <c r="B209" s="7">
        <v>4032</v>
      </c>
      <c r="C209" s="22" t="s">
        <v>207</v>
      </c>
      <c r="D209" s="22" t="s">
        <v>718</v>
      </c>
      <c r="E209" s="13">
        <v>42717.173206018517</v>
      </c>
      <c r="F209" s="13">
        <v>42717.174108796295</v>
      </c>
      <c r="G209" s="7">
        <v>1</v>
      </c>
      <c r="H209" s="22" t="s">
        <v>305</v>
      </c>
      <c r="I209" s="13">
        <v>42717.181631944448</v>
      </c>
      <c r="J209" s="7">
        <v>1</v>
      </c>
      <c r="K209" s="109" t="str">
        <f t="shared" si="88"/>
        <v>4031/4032</v>
      </c>
      <c r="L209" s="22" t="str">
        <f>VLOOKUP(A209,'Trips&amp;Operators'!$C$1:$G$99999,5,FALSE)</f>
        <v>SPECTOR MICHAEL</v>
      </c>
      <c r="M209" s="6">
        <f t="shared" si="89"/>
        <v>7.5231481532682665E-3</v>
      </c>
      <c r="N209" s="7">
        <f t="shared" si="84"/>
        <v>10.833333340706304</v>
      </c>
      <c r="O209" s="7"/>
      <c r="P209" s="7"/>
      <c r="Q209" s="23"/>
      <c r="R209" s="23"/>
      <c r="S209" s="35">
        <f t="shared" si="87"/>
        <v>1</v>
      </c>
      <c r="T209" s="50" t="str">
        <f t="shared" si="90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03:09:25-700',mode:absolute,to:'2016-12-13 05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9" s="52" t="str">
        <f t="shared" si="92"/>
        <v>Y</v>
      </c>
      <c r="X209" s="177">
        <f t="shared" si="103"/>
        <v>1</v>
      </c>
      <c r="Y209" s="67">
        <f t="shared" si="83"/>
        <v>2.3302999999999998</v>
      </c>
      <c r="Z209" s="67">
        <f t="shared" si="86"/>
        <v>1.67E-2</v>
      </c>
      <c r="AA209" s="67">
        <f t="shared" si="94"/>
        <v>2.3135999999999997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95"/>
        <v>0308-13</v>
      </c>
      <c r="AE209" s="91" t="str">
        <f t="shared" si="96"/>
        <v>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 &amp; 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</v>
      </c>
      <c r="AF209" s="88" t="str">
        <f t="shared" si="97"/>
        <v>"C:\Program Files (x86)\AstroGrep\AstroGrep.exe" /spath="%USERPROFILE%\AppData\Local\Temp\OnboardLogs" /stypes="app*4032*20161213*" /stext=" 11:.+((SYSTEM_STATE.+slice.+state.+changed )|(ment ac)|(multiple cpu faults)|(system.+state.+changed )|(\[timeout)|(PRM\|1\|D)|(kpr)|(kdp)|(\|lc)|(penalty))" /e /r /s</v>
      </c>
      <c r="AG209" s="1" t="str">
        <f t="shared" si="98"/>
        <v>Other</v>
      </c>
      <c r="AH209" s="92" t="str">
        <f t="shared" si="101"/>
        <v>"%USERPROFILE%\Documents\GitHub\eaglep3\Utilities\RefineRTDCRunTimes.py" --tripid 308-13 --locoid 4032 --swversion DE.1.0.8.0 --startMP 300:23303 --initTime 2016-12-13T04:09:25 --startdatetime 2016-12-13T04:10:43 --delay 1 --endMP 204:167 --enddatetime 2016-12-13T04:21:33 --enforcementcount 1 &gt;&gt;C:\Users\stu\Documents\GitHub\eaglep3-reporting\EC\2016-12-13-refined-times.txt</v>
      </c>
      <c r="AI209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{"issue":{"subject":"","project_id":79,"tracker_id":40,"status_id":1,"priority_id":2,"assigned_to_id":23,"start_date":"2016-12-13","description":"","custom_fields":[{"id":1,"name":"Subdivision","value":"Other"},{"id":4,"name":"Milepost","value":"0.0167"},{"id":17,"name":"Train ID","value":"308-13"},{"id":16,"name":"Locomotive ID","value":"4032"},{"id":130,"name":"Impact","value":""},{"id":150,"name":"Time of Event (Mountain Time)","value":"04:21:33"},{"id":151,"name":"Denver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628</v>
      </c>
      <c r="B210" s="7">
        <v>4016</v>
      </c>
      <c r="C210" s="22" t="s">
        <v>207</v>
      </c>
      <c r="D210" s="22" t="s">
        <v>237</v>
      </c>
      <c r="E210" s="13">
        <v>42718.027615740742</v>
      </c>
      <c r="F210" s="13">
        <v>42718.028969907406</v>
      </c>
      <c r="G210" s="7">
        <v>1</v>
      </c>
      <c r="H210" s="22" t="s">
        <v>719</v>
      </c>
      <c r="I210" s="13">
        <v>42718.035821759258</v>
      </c>
      <c r="J210" s="7">
        <v>1</v>
      </c>
      <c r="K210" s="109" t="str">
        <f t="shared" si="88"/>
        <v>4015/4016</v>
      </c>
      <c r="L210" s="22" t="str">
        <f>VLOOKUP(A210,'Trips&amp;Operators'!$C$1:$G$99999,5,FALSE)</f>
        <v>LEVERE CRAIG</v>
      </c>
      <c r="M210" s="6">
        <f t="shared" si="89"/>
        <v>6.8518518528435379E-3</v>
      </c>
      <c r="N210" s="7">
        <f t="shared" si="84"/>
        <v>9.8666666680946946</v>
      </c>
      <c r="O210" s="7"/>
      <c r="P210" s="7"/>
      <c r="Q210" s="23"/>
      <c r="R210" s="23"/>
      <c r="S210" s="35">
        <f t="shared" si="87"/>
        <v>1</v>
      </c>
      <c r="T210" s="50" t="str">
        <f t="shared" si="90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23:39:46-700',mode:absolute,to:'2016-12-14 01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0" s="52" t="str">
        <f t="shared" si="92"/>
        <v>Y</v>
      </c>
      <c r="X210" s="177">
        <f t="shared" si="103"/>
        <v>1</v>
      </c>
      <c r="Y210" s="67">
        <f t="shared" si="83"/>
        <v>4.7100000000000003E-2</v>
      </c>
      <c r="Z210" s="67">
        <f t="shared" si="86"/>
        <v>2.2841</v>
      </c>
      <c r="AA210" s="67">
        <f t="shared" si="94"/>
        <v>2.2370000000000001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95"/>
        <v>0309-13</v>
      </c>
      <c r="AE210" s="91" t="str">
        <f t="shared" si="96"/>
        <v>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 &amp; aws s3 cp s3://rtdc.mdm.uploadarchive.raw/RTDC4016/ "%USERPROFILE%\AppData\Local\Temp\OnboardLogs"\RTDC4016\2016-12-15 --exclude "*" --recursive --include "*20161215*" &amp; "%USERPROFILE%\Documents\GitHub\mrs-test-scripts\Headless Mode &amp; Sideloading\WalkAndUnGZ.bat" "%USERPROFILE%\AppData\Local\Temp\OnboardLogs"\RTDC4016\2016-12-15</v>
      </c>
      <c r="AF210" s="88" t="str">
        <f t="shared" si="97"/>
        <v>"C:\Program Files (x86)\AstroGrep\AstroGrep.exe" /spath="%USERPROFILE%\AppData\Local\Temp\OnboardLogs" /stypes="app*4016*20161214*" /stext=" 07:.+((SYSTEM_STATE.+slice.+state.+changed )|(ment ac)|(multiple cpu faults)|(system.+state.+changed )|(\[timeout)|(PRM\|1\|D)|(kpr)|(kdp)|(\|lc)|(penalty))" /e /r /s</v>
      </c>
      <c r="AG210" s="1" t="str">
        <f t="shared" si="98"/>
        <v>Other</v>
      </c>
      <c r="AH210" s="92" t="str">
        <f t="shared" si="101"/>
        <v>"%USERPROFILE%\Documents\GitHub\eaglep3\Utilities\RefineRTDCRunTimes.py" --tripid 309-13 --locoid 4016 --swversion DE.1.0.8.0 --startMP 204:471 --initTime 2016-12-14T00:39:46 --startdatetime 2016-12-14T00:41:43 --delay 1 --endMP 300:22841 --enddatetime 2016-12-14T00:51:35 --enforcementcount 1 &gt;&gt;C:\Users\stu\Documents\GitHub\eaglep3-reporting\EC\2016-12-13-refined-times.txt</v>
      </c>
      <c r="AI210" s="119" t="str">
        <f t="shared" si="102"/>
        <v>echo {"issue":{"subject":"","project_id":79,"tracker_id":40,"status_id":1,"priority_id":2,"assigned_to_id":23,"start_date":"2016-12-14","description":"","custom_fields":[{"id":1,"name":"Subdivision","value":"Other"},{"id":4,"name":"Milepost","value":"2.2841"},{"id":17,"name":"Train ID","value":"309-13"},{"id":16,"name":"Locomotive ID","value":"4016"},{"id":130,"name":"Impact","value":""},{"id":150,"name":"Time of Event (Mountain Time)","value":"00:51:35"},{"id":151,"name":"Denver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404</v>
      </c>
      <c r="B211" s="7">
        <v>4012</v>
      </c>
      <c r="C211" s="22" t="s">
        <v>207</v>
      </c>
      <c r="D211" s="22" t="s">
        <v>720</v>
      </c>
      <c r="E211" s="13">
        <v>42717.182500000003</v>
      </c>
      <c r="F211" s="13">
        <v>42717.183530092596</v>
      </c>
      <c r="G211" s="7">
        <v>1</v>
      </c>
      <c r="H211" s="22" t="s">
        <v>721</v>
      </c>
      <c r="I211" s="13">
        <v>42717.19427083333</v>
      </c>
      <c r="J211" s="7">
        <v>1</v>
      </c>
      <c r="K211" s="109" t="str">
        <f t="shared" si="88"/>
        <v>4011/4012</v>
      </c>
      <c r="L211" s="22" t="str">
        <f>VLOOKUP(A211,'Trips&amp;Operators'!$C$1:$G$99999,5,FALSE)</f>
        <v>DE LA ROSA ALEX</v>
      </c>
      <c r="M211" s="6">
        <f t="shared" si="89"/>
        <v>1.0740740734036081E-2</v>
      </c>
      <c r="N211" s="7">
        <f t="shared" si="84"/>
        <v>15.466666657011956</v>
      </c>
      <c r="O211" s="7"/>
      <c r="P211" s="7"/>
      <c r="Q211" s="23"/>
      <c r="R211" s="23"/>
      <c r="S211" s="35">
        <f t="shared" si="87"/>
        <v>1</v>
      </c>
      <c r="T211" s="50" t="str">
        <f t="shared" si="90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03:22:48-700',mode:absolute,to:'2016-12-13 05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1" s="52" t="str">
        <f t="shared" si="92"/>
        <v>Y</v>
      </c>
      <c r="X211" s="177">
        <f t="shared" si="103"/>
        <v>1</v>
      </c>
      <c r="Y211" s="67">
        <f t="shared" si="83"/>
        <v>2.3220000000000001</v>
      </c>
      <c r="Z211" s="67">
        <f t="shared" si="86"/>
        <v>0.16220000000000001</v>
      </c>
      <c r="AA211" s="67">
        <f t="shared" si="94"/>
        <v>2.1598000000000002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95"/>
        <v>0310-13</v>
      </c>
      <c r="AE211" s="91" t="str">
        <f t="shared" si="96"/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AF211" s="88" t="str">
        <f t="shared" si="97"/>
        <v>"C:\Program Files (x86)\AstroGrep\AstroGrep.exe" /spath="%USERPROFILE%\AppData\Local\Temp\OnboardLogs" /stypes="app*4012*20161213*" /stext=" 11:.+((SYSTEM_STATE.+slice.+state.+changed )|(ment ac)|(multiple cpu faults)|(system.+state.+changed )|(\[timeout)|(PRM\|1\|D)|(kpr)|(kdp)|(\|lc)|(penalty))" /e /r /s</v>
      </c>
      <c r="AG211" s="1" t="str">
        <f t="shared" si="98"/>
        <v>Other</v>
      </c>
      <c r="AH211" s="92" t="str">
        <f t="shared" si="101"/>
        <v>"%USERPROFILE%\Documents\GitHub\eaglep3\Utilities\RefineRTDCRunTimes.py" --tripid 310-13 --locoid 4012 --swversion DE.1.0.8.0 --startMP 300:23220 --initTime 2016-12-13T04:22:48 --startdatetime 2016-12-13T04:24:17 --delay 1 --endMP 204:1622 --enddatetime 2016-12-13T04:39:45 --enforcementcount 1 &gt;&gt;C:\Users\stu\Documents\GitHub\eaglep3-reporting\EC\2016-12-13-refined-times.txt</v>
      </c>
      <c r="AI211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{"issue":{"subject":"","project_id":79,"tracker_id":40,"status_id":1,"priority_id":2,"assigned_to_id":23,"start_date":"2016-12-13","description":"","custom_fields":[{"id":1,"name":"Subdivision","value":"Other"},{"id":4,"name":"Milepost","value":"0.1622"},{"id":17,"name":"Train ID","value":"310-13"},{"id":16,"name":"Locomotive ID","value":"4012"},{"id":130,"name":"Impact","value":""},{"id":150,"name":"Time of Event (Mountain Time)","value":"04:39:45"},{"id":151,"name":"Denver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630</v>
      </c>
      <c r="B212" s="7">
        <v>4011</v>
      </c>
      <c r="C212" s="22" t="s">
        <v>207</v>
      </c>
      <c r="D212" s="22" t="s">
        <v>313</v>
      </c>
      <c r="E212" s="13">
        <v>42718.046759259261</v>
      </c>
      <c r="F212" s="13">
        <v>42718.047708333332</v>
      </c>
      <c r="G212" s="7">
        <v>1</v>
      </c>
      <c r="H212" s="22" t="s">
        <v>722</v>
      </c>
      <c r="I212" s="13">
        <v>42718.054884259262</v>
      </c>
      <c r="J212" s="7">
        <v>1</v>
      </c>
      <c r="K212" s="109" t="str">
        <f t="shared" si="88"/>
        <v>4011/4012</v>
      </c>
      <c r="L212" s="22" t="str">
        <f>VLOOKUP(A212,'Trips&amp;Operators'!$C$1:$G$99999,5,FALSE)</f>
        <v>COOLAHAN JOHN</v>
      </c>
      <c r="M212" s="6">
        <f t="shared" si="89"/>
        <v>7.1759259299142286E-3</v>
      </c>
      <c r="N212" s="7">
        <f t="shared" si="84"/>
        <v>10.333333339076489</v>
      </c>
      <c r="O212" s="7"/>
      <c r="P212" s="7"/>
      <c r="Q212" s="23"/>
      <c r="R212" s="23"/>
      <c r="S212" s="35">
        <f t="shared" si="87"/>
        <v>1</v>
      </c>
      <c r="T212" s="50" t="str">
        <f t="shared" si="90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https://search-rtdc-monitor-bjffxe2xuh6vdkpspy63sjmuny.us-east-1.es.amazonaws.com/_plugin/kibana/#/discover/Steve-Slow-Train-Analysis-(2080s-and-2083s)?_g=(refreshInterval:(display:Off,section:0,value:0),time:(from:'2016-12-14 00:07:20-700',mode:absolute,to:'2016-12-14 02:19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2" s="52" t="str">
        <f t="shared" si="92"/>
        <v>Y</v>
      </c>
      <c r="X212" s="177">
        <f t="shared" si="103"/>
        <v>1</v>
      </c>
      <c r="Y212" s="67">
        <f t="shared" si="83"/>
        <v>4.6699999999999998E-2</v>
      </c>
      <c r="Z212" s="67">
        <f t="shared" si="86"/>
        <v>2.3304</v>
      </c>
      <c r="AA212" s="67">
        <f t="shared" si="94"/>
        <v>2.2837000000000001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95"/>
        <v>0311-13</v>
      </c>
      <c r="AE212" s="91" t="str">
        <f t="shared" si="96"/>
        <v>aws s3 cp s3://rtdc.mdm.uploadarchive.raw/RTDC4011/ "%USERPROFILE%\AppData\Local\Temp\OnboardLogs"\RTDC4011\2016-12-14 --exclude "*" --recursive --include "*20161214*" &amp; "%USERPROFILE%\Documents\GitHub\mrs-test-scripts\Headless Mode &amp; Sideloading\WalkAndUnGZ.bat" "%USERPROFILE%\AppData\Local\Temp\OnboardLogs"\RTDC4011\2016-12-14 &amp; aws s3 cp s3://rtdc.mdm.uploadarchive.raw/RTDC4011/ "%USERPROFILE%\AppData\Local\Temp\OnboardLogs"\RTDC4011\2016-12-15 --exclude "*" --recursive --include "*20161215*" &amp; "%USERPROFILE%\Documents\GitHub\mrs-test-scripts\Headless Mode &amp; Sideloading\WalkAndUnGZ.bat" "%USERPROFILE%\AppData\Local\Temp\OnboardLogs"\RTDC4011\2016-12-15</v>
      </c>
      <c r="AF212" s="88" t="str">
        <f t="shared" si="97"/>
        <v>"C:\Program Files (x86)\AstroGrep\AstroGrep.exe" /spath="%USERPROFILE%\AppData\Local\Temp\OnboardLogs" /stypes="app*4011*20161214*" /stext=" 08:.+((SYSTEM_STATE.+slice.+state.+changed )|(ment ac)|(multiple cpu faults)|(system.+state.+changed )|(\[timeout)|(PRM\|1\|D)|(kpr)|(kdp)|(\|lc)|(penalty))" /e /r /s</v>
      </c>
      <c r="AG212" s="1" t="str">
        <f t="shared" si="98"/>
        <v>Other</v>
      </c>
      <c r="AH212" s="92" t="str">
        <f t="shared" si="101"/>
        <v>"%USERPROFILE%\Documents\GitHub\eaglep3\Utilities\RefineRTDCRunTimes.py" --tripid 311-13 --locoid 4011 --swversion DE.1.0.8.0 --startMP 204:467 --initTime 2016-12-14T01:07:20 --startdatetime 2016-12-14T01:08:42 --delay 1 --endMP 300:23304 --enddatetime 2016-12-14T01:19:02 --enforcementcount 1 &gt;&gt;C:\Users\stu\Documents\GitHub\eaglep3-reporting\EC\2016-12-13-refined-times.txt</v>
      </c>
      <c r="AI212" s="119" t="str">
        <f t="shared" si="102"/>
        <v>echo {"issue":{"subject":"","project_id":79,"tracker_id":40,"status_id":1,"priority_id":2,"assigned_to_id":23,"start_date":"2016-12-14","description":"","custom_fields":[{"id":1,"name":"Subdivision","value":"Other"},{"id":4,"name":"Milepost","value":"2.3304"},{"id":17,"name":"Train ID","value":"311-13"},{"id":16,"name":"Locomotive ID","value":"4011"},{"id":130,"name":"Impact","value":""},{"id":150,"name":"Time of Event (Mountain Time)","value":"01:19:02"},{"id":151,"name":"Denver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632</v>
      </c>
      <c r="B213" s="7">
        <v>4022</v>
      </c>
      <c r="C213" s="22" t="s">
        <v>207</v>
      </c>
      <c r="D213" s="22" t="s">
        <v>371</v>
      </c>
      <c r="E213" s="13">
        <v>42718.067013888889</v>
      </c>
      <c r="F213" s="13">
        <v>42718.06826388889</v>
      </c>
      <c r="G213" s="7">
        <v>1</v>
      </c>
      <c r="H213" s="22" t="s">
        <v>723</v>
      </c>
      <c r="I213" s="13">
        <v>42718.072766203702</v>
      </c>
      <c r="J213" s="7">
        <v>1</v>
      </c>
      <c r="K213" s="109" t="str">
        <f t="shared" si="88"/>
        <v>4021/4022</v>
      </c>
      <c r="L213" s="22" t="str">
        <f>VLOOKUP(A213,'Trips&amp;Operators'!$C$1:$G$99999,5,FALSE)</f>
        <v>YANAI IAN</v>
      </c>
      <c r="M213" s="6">
        <f t="shared" si="89"/>
        <v>4.5023148122709244E-3</v>
      </c>
      <c r="N213" s="7">
        <f t="shared" si="84"/>
        <v>6.4833333296701312</v>
      </c>
      <c r="O213" s="7"/>
      <c r="P213" s="7"/>
      <c r="Q213" s="23"/>
      <c r="R213" s="23"/>
      <c r="S213" s="35">
        <f t="shared" si="87"/>
        <v>1</v>
      </c>
      <c r="T213" s="50" t="str">
        <f t="shared" si="90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https://search-rtdc-monitor-bjffxe2xuh6vdkpspy63sjmuny.us-east-1.es.amazonaws.com/_plugin/kibana/#/discover/Steve-Slow-Train-Analysis-(2080s-and-2083s)?_g=(refreshInterval:(display:Off,section:0,value:0),time:(from:'2016-12-14 00:36:30-700',mode:absolute,to:'2016-12-14 02:44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52" t="str">
        <f t="shared" si="92"/>
        <v>Y</v>
      </c>
      <c r="X213" s="177">
        <f t="shared" si="103"/>
        <v>2</v>
      </c>
      <c r="Y213" s="67">
        <f t="shared" si="83"/>
        <v>4.6600000000000003E-2</v>
      </c>
      <c r="Z213" s="67">
        <f t="shared" si="86"/>
        <v>2.3115000000000001</v>
      </c>
      <c r="AA213" s="67">
        <f t="shared" si="94"/>
        <v>2.2648999999999999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95"/>
        <v>0313-13</v>
      </c>
      <c r="AE213" s="91" t="str">
        <f t="shared" si="96"/>
        <v>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 &amp; aws s3 cp s3://rtdc.mdm.uploadarchive.raw/RTDC4022/ "%USERPROFILE%\AppData\Local\Temp\OnboardLogs"\RTDC4022\2016-12-15 --exclude "*" --recursive --include "*20161215*" &amp; "%USERPROFILE%\Documents\GitHub\mrs-test-scripts\Headless Mode &amp; Sideloading\WalkAndUnGZ.bat" "%USERPROFILE%\AppData\Local\Temp\OnboardLogs"\RTDC4022\2016-12-15</v>
      </c>
      <c r="AF213" s="88" t="str">
        <f t="shared" si="97"/>
        <v>"C:\Program Files (x86)\AstroGrep\AstroGrep.exe" /spath="%USERPROFILE%\AppData\Local\Temp\OnboardLogs" /stypes="app*4022*20161214*" /stext=" 08:.+((SYSTEM_STATE.+slice.+state.+changed )|(ment ac)|(multiple cpu faults)|(system.+state.+changed )|(\[timeout)|(PRM\|1\|D)|(kpr)|(kdp)|(\|lc)|(penalty))" /e /r /s</v>
      </c>
      <c r="AG213" s="1" t="str">
        <f t="shared" si="98"/>
        <v>Other</v>
      </c>
      <c r="AH213" s="92" t="str">
        <f t="shared" si="101"/>
        <v>"%USERPROFILE%\Documents\GitHub\eaglep3\Utilities\RefineRTDCRunTimes.py" --tripid 313-13 --locoid 4022 --swversion DE.1.0.8.0 --startMP 204:466 --initTime 2016-12-14T01:36:30 --startdatetime 2016-12-14T01:38:18 --delay 1 --endMP 300:23115 --enddatetime 2016-12-14T01:44:47 --enforcementcount 1 &gt;&gt;C:\Users\stu\Documents\GitHub\eaglep3-reporting\EC\2016-12-13-refined-times.txt</v>
      </c>
      <c r="AI213" s="119" t="str">
        <f t="shared" si="102"/>
        <v>echo {"issue":{"subject":"","project_id":79,"tracker_id":40,"status_id":1,"priority_id":2,"assigned_to_id":23,"start_date":"2016-12-14","description":"","custom_fields":[{"id":1,"name":"Subdivision","value":"Other"},{"id":4,"name":"Milepost","value":"2.3115"},{"id":17,"name":"Train ID","value":"313-13"},{"id":16,"name":"Locomotive ID","value":"4022"},{"id":130,"name":"Impact","value":""},{"id":150,"name":"Time of Event (Mountain Time)","value":"01:44:47"},{"id":151,"name":"Denver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364</v>
      </c>
      <c r="B214" s="7">
        <v>4029</v>
      </c>
      <c r="C214" s="22" t="s">
        <v>207</v>
      </c>
      <c r="D214" s="22" t="s">
        <v>379</v>
      </c>
      <c r="E214" s="13">
        <v>42717.093043981484</v>
      </c>
      <c r="F214" s="13">
        <v>42717.094097222223</v>
      </c>
      <c r="G214" s="7">
        <v>1</v>
      </c>
      <c r="H214" s="22" t="s">
        <v>385</v>
      </c>
      <c r="I214" s="13">
        <v>42717.099143518521</v>
      </c>
      <c r="J214" s="7">
        <v>1</v>
      </c>
      <c r="K214" s="109" t="str">
        <f t="shared" si="88"/>
        <v>4029/4030</v>
      </c>
      <c r="L214" s="22" t="str">
        <f>VLOOKUP(A214,'Trips&amp;Operators'!$C$1:$G$99999,5,FALSE)</f>
        <v>YANAI IAN</v>
      </c>
      <c r="M214" s="6">
        <f t="shared" si="89"/>
        <v>5.0462962972233072E-3</v>
      </c>
      <c r="N214" s="7">
        <f t="shared" si="84"/>
        <v>7.2666666680015624</v>
      </c>
      <c r="O214" s="7"/>
      <c r="P214" s="7"/>
      <c r="Q214" s="23"/>
      <c r="R214" s="23"/>
      <c r="S214" s="35">
        <f t="shared" si="87"/>
        <v>1</v>
      </c>
      <c r="T214" s="50" t="str">
        <f t="shared" si="90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01:13:59-700',mode:absolute,to:'2016-12-13 03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2" t="str">
        <f t="shared" si="92"/>
        <v>Y</v>
      </c>
      <c r="X214" s="177">
        <f t="shared" si="103"/>
        <v>2</v>
      </c>
      <c r="Y214" s="67">
        <f t="shared" ref="Y214:Y238" si="104">RIGHT(D214,LEN(D214)-4)/10000</f>
        <v>4.8399999999999999E-2</v>
      </c>
      <c r="Z214" s="67">
        <f t="shared" si="86"/>
        <v>2.3108</v>
      </c>
      <c r="AA214" s="67">
        <f t="shared" si="94"/>
        <v>2.2624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95"/>
        <v>0315-12</v>
      </c>
      <c r="AE214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14" s="88" t="str">
        <f t="shared" si="97"/>
        <v>"C:\Program Files (x86)\AstroGrep\AstroGrep.exe" /spath="%USERPROFILE%\AppData\Local\Temp\OnboardLogs" /stypes="app*4029*20161213*" /stext=" 09:.+((SYSTEM_STATE.+slice.+state.+changed )|(ment ac)|(multiple cpu faults)|(system.+state.+changed )|(\[timeout)|(PRM\|1\|D)|(kpr)|(kdp)|(\|lc)|(penalty))" /e /r /s</v>
      </c>
      <c r="AG214" s="1" t="str">
        <f t="shared" si="98"/>
        <v>Other</v>
      </c>
      <c r="AH214" s="92" t="str">
        <f t="shared" si="101"/>
        <v>"%USERPROFILE%\Documents\GitHub\eaglep3\Utilities\RefineRTDCRunTimes.py" --tripid 315-12 --locoid 4029 --swversion DE.1.0.8.0 --startMP 204:484 --initTime 2016-12-13T02:13:59 --startdatetime 2016-12-13T02:15:30 --delay 1 --endMP 300:23108 --enddatetime 2016-12-13T02:22:46 --enforcementcount 1 &gt;&gt;C:\Users\stu\Documents\GitHub\eaglep3-reporting\EC\2016-12-13-refined-times.txt</v>
      </c>
      <c r="AI214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{"issue":{"subject":"","project_id":79,"tracker_id":40,"status_id":1,"priority_id":2,"assigned_to_id":23,"start_date":"2016-12-13","description":"","custom_fields":[{"id":1,"name":"Subdivision","value":"Other"},{"id":4,"name":"Milepost","value":"2.3108"},{"id":17,"name":"Train ID","value":"315-12"},{"id":16,"name":"Locomotive ID","value":"4029"},{"id":130,"name":"Impact","value":""},{"id":150,"name":"Time of Event (Mountain Time)","value":"02:22:46"},{"id":151,"name":"Denver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633</v>
      </c>
      <c r="B215" s="7">
        <v>4020</v>
      </c>
      <c r="C215" s="22" t="s">
        <v>207</v>
      </c>
      <c r="D215" s="22" t="s">
        <v>724</v>
      </c>
      <c r="E215" s="13">
        <v>42718.093946759262</v>
      </c>
      <c r="F215" s="13">
        <v>42718.097881944443</v>
      </c>
      <c r="G215" s="7">
        <v>5</v>
      </c>
      <c r="H215" s="22" t="s">
        <v>725</v>
      </c>
      <c r="I215" s="13">
        <v>42718.10765046296</v>
      </c>
      <c r="J215" s="7">
        <v>1</v>
      </c>
      <c r="K215" s="109" t="str">
        <f t="shared" si="88"/>
        <v>4019/4020</v>
      </c>
      <c r="L215" s="22" t="str">
        <f>VLOOKUP(A215,'Trips&amp;Operators'!$C$1:$G$99999,5,FALSE)</f>
        <v>CHANDLER KELVIN</v>
      </c>
      <c r="M215" s="6">
        <f t="shared" si="89"/>
        <v>9.7685185173759237E-3</v>
      </c>
      <c r="N215" s="7">
        <f t="shared" si="84"/>
        <v>14.06666666502133</v>
      </c>
      <c r="O215" s="7"/>
      <c r="P215" s="7"/>
      <c r="Q215" s="23"/>
      <c r="R215" s="23"/>
      <c r="S215" s="35">
        <f t="shared" si="87"/>
        <v>1</v>
      </c>
      <c r="T215" s="50" t="str">
        <f t="shared" si="90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https://search-rtdc-monitor-bjffxe2xuh6vdkpspy63sjmuny.us-east-1.es.amazonaws.com/_plugin/kibana/#/discover/Steve-Slow-Train-Analysis-(2080s-and-2083s)?_g=(refreshInterval:(display:Off,section:0,value:0),time:(from:'2016-12-14 01:15:17-700',mode:absolute,to:'2016-12-14 03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5" s="52" t="str">
        <f t="shared" si="92"/>
        <v>Y</v>
      </c>
      <c r="X215" s="177">
        <f t="shared" si="103"/>
        <v>0</v>
      </c>
      <c r="Y215" s="67">
        <f t="shared" si="104"/>
        <v>0.05</v>
      </c>
      <c r="Z215" s="67">
        <f t="shared" si="86"/>
        <v>2.2846000000000002</v>
      </c>
      <c r="AA215" s="67">
        <f t="shared" si="94"/>
        <v>2.2346000000000004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95"/>
        <v>0315-13</v>
      </c>
      <c r="AE215" s="91" t="str">
        <f t="shared" si="96"/>
        <v>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 &amp; aws s3 cp s3://rtdc.mdm.uploadarchive.raw/RTDC4020/ "%USERPROFILE%\AppData\Local\Temp\OnboardLogs"\RTDC4020\2016-12-15 --exclude "*" --recursive --include "*20161215*" &amp; "%USERPROFILE%\Documents\GitHub\mrs-test-scripts\Headless Mode &amp; Sideloading\WalkAndUnGZ.bat" "%USERPROFILE%\AppData\Local\Temp\OnboardLogs"\RTDC4020\2016-12-15</v>
      </c>
      <c r="AF215" s="88" t="str">
        <f t="shared" si="97"/>
        <v>"C:\Program Files (x86)\AstroGrep\AstroGrep.exe" /spath="%USERPROFILE%\AppData\Local\Temp\OnboardLogs" /stypes="app*4020*20161214*" /stext=" 09:.+((SYSTEM_STATE.+slice.+state.+changed )|(ment ac)|(multiple cpu faults)|(system.+state.+changed )|(\[timeout)|(PRM\|1\|D)|(kpr)|(kdp)|(\|lc)|(penalty))" /e /r /s</v>
      </c>
      <c r="AG215" s="1" t="str">
        <f t="shared" si="98"/>
        <v>Other</v>
      </c>
      <c r="AH215" s="92" t="str">
        <f t="shared" si="101"/>
        <v>"%USERPROFILE%\Documents\GitHub\eaglep3\Utilities\RefineRTDCRunTimes.py" --tripid 315-13 --locoid 4020 --swversion DE.1.0.8.0 --startMP 204:500 --initTime 2016-12-14T02:15:17 --startdatetime 2016-12-14T02:20:57 --delay 5 --endMP 300:22846 --enddatetime 2016-12-14T02:35:01 --enforcementcount 1 &gt;&gt;C:\Users\stu\Documents\GitHub\eaglep3-reporting\EC\2016-12-13-refined-times.txt</v>
      </c>
      <c r="AI215" s="119" t="str">
        <f t="shared" si="102"/>
        <v>echo {"issue":{"subject":"","project_id":79,"tracker_id":40,"status_id":1,"priority_id":2,"assigned_to_id":23,"start_date":"2016-12-14","description":"","custom_fields":[{"id":1,"name":"Subdivision","value":"Other"},{"id":4,"name":"Milepost","value":"2.2846"},{"id":17,"name":"Train ID","value":"315-13"},{"id":16,"name":"Locomotive ID","value":"4020"},{"id":130,"name":"Impact","value":""},{"id":150,"name":"Time of Event (Mountain Time)","value":"02:35:01"},{"id":151,"name":"Denver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495</v>
      </c>
      <c r="B216" s="7">
        <v>4046</v>
      </c>
      <c r="C216" s="22" t="s">
        <v>207</v>
      </c>
      <c r="D216" s="22" t="s">
        <v>796</v>
      </c>
      <c r="E216" s="13">
        <v>42717.355937499997</v>
      </c>
      <c r="F216" s="13">
        <v>42717.356979166667</v>
      </c>
      <c r="G216" s="7">
        <v>1</v>
      </c>
      <c r="H216" s="22" t="s">
        <v>797</v>
      </c>
      <c r="I216" s="13">
        <v>42717.363946759258</v>
      </c>
      <c r="J216" s="7">
        <v>1</v>
      </c>
      <c r="K216" s="109" t="str">
        <f t="shared" si="88"/>
        <v>4045/4046</v>
      </c>
      <c r="L216" s="22" t="str">
        <f>VLOOKUP(A216,'Trips&amp;Operators'!$C$1:$G$99999,5,FALSE)</f>
        <v>STARKS ANGELINA</v>
      </c>
      <c r="M216" s="6">
        <f t="shared" si="89"/>
        <v>6.9675925915362313E-3</v>
      </c>
      <c r="N216" s="7">
        <f t="shared" si="84"/>
        <v>10.033333331812173</v>
      </c>
      <c r="O216" s="7"/>
      <c r="P216" s="7"/>
      <c r="Q216" s="23"/>
      <c r="R216" s="23"/>
      <c r="S216" s="35">
        <f t="shared" si="87"/>
        <v>1</v>
      </c>
      <c r="T216" s="50" t="str">
        <f t="shared" si="9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07:32:33-700',mode:absolute,to:'2016-12-13 09:44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6" s="52" t="str">
        <f t="shared" si="92"/>
        <v>Y</v>
      </c>
      <c r="X216" s="177">
        <f t="shared" si="103"/>
        <v>588</v>
      </c>
      <c r="Y216" s="67">
        <f t="shared" si="104"/>
        <v>0.1067</v>
      </c>
      <c r="Z216" s="67">
        <f t="shared" si="86"/>
        <v>2.4243999999999999</v>
      </c>
      <c r="AA216" s="67">
        <f t="shared" si="94"/>
        <v>2.3176999999999999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95"/>
        <v>0903-13</v>
      </c>
      <c r="AE216" s="91" t="str">
        <f t="shared" si="96"/>
        <v>aws s3 cp s3://rtdc.mdm.uploadarchive.raw/RTDC4046/ "%USERPROFILE%\AppData\Local\Temp\OnboardLogs"\RTDC4046\2016-12-13 --exclude "*" --recursive --include "*20161213*" &amp; "%USERPROFILE%\Documents\GitHub\mrs-test-scripts\Headless Mode &amp; Sideloading\WalkAndUnGZ.bat" "%USERPROFILE%\AppData\Local\Temp\OnboardLogs"\RTDC4046\2016-12-13 &amp; aws s3 cp s3://rtdc.mdm.uploadarchive.raw/RTDC4046/ "%USERPROFILE%\AppData\Local\Temp\OnboardLogs"\RTDC4046\2016-12-14 --exclude "*" --recursive --include "*20161214*" &amp; "%USERPROFILE%\Documents\GitHub\mrs-test-scripts\Headless Mode &amp; Sideloading\WalkAndUnGZ.bat" "%USERPROFILE%\AppData\Local\Temp\OnboardLogs"\RTDC4046\2016-12-14</v>
      </c>
      <c r="AF216" s="88" t="str">
        <f t="shared" si="97"/>
        <v>"C:\Program Files (x86)\AstroGrep\AstroGrep.exe" /spath="%USERPROFILE%\AppData\Local\Temp\OnboardLogs" /stypes="app*4046*20161213*" /stext=" 15:.+((SYSTEM_STATE.+slice.+state.+changed )|(ment ac)|(multiple cpu faults)|(system.+state.+changed )|(\[timeout)|(PRM\|1\|D)|(kpr)|(kdp)|(\|lc)|(penalty))" /e /r /s</v>
      </c>
      <c r="AG216" s="1" t="str">
        <f t="shared" si="98"/>
        <v>Other</v>
      </c>
      <c r="AH216" s="92" t="str">
        <f t="shared" si="101"/>
        <v>"%USERPROFILE%\Documents\GitHub\eaglep3\Utilities\RefineRTDCRunTimes.py" --tripid 903-13 --locoid 4046 --swversion DE.1.0.8.0 --startMP 204:1067 --initTime 2016-12-13T08:32:33 --startdatetime 2016-12-13T08:34:03 --delay 1 --endMP 300:24244 --enddatetime 2016-12-13T08:44:05 --enforcementcount 1 &gt;&gt;C:\Users\stu\Documents\GitHub\eaglep3-reporting\EC\2016-12-13-refined-times.txt</v>
      </c>
      <c r="AI216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{"issue":{"subject":"","project_id":79,"tracker_id":40,"status_id":1,"priority_id":2,"assigned_to_id":23,"start_date":"2016-12-13","description":"","custom_fields":[{"id":1,"name":"Subdivision","value":"Other"},{"id":4,"name":"Milepost","value":"2.4244"},{"id":17,"name":"Train ID","value":"903-13"},{"id":16,"name":"Locomotive ID","value":"4046"},{"id":130,"name":"Impact","value":""},{"id":150,"name":"Time of Event (Mountain Time)","value":"08:44:05"},{"id":151,"name":"Denver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558</v>
      </c>
      <c r="B217" s="7">
        <v>4045</v>
      </c>
      <c r="C217" s="22" t="s">
        <v>207</v>
      </c>
      <c r="D217" s="22" t="s">
        <v>798</v>
      </c>
      <c r="E217" s="13">
        <v>42717.642430555556</v>
      </c>
      <c r="F217" s="13">
        <v>42717.643460648149</v>
      </c>
      <c r="G217" s="7">
        <v>1</v>
      </c>
      <c r="H217" s="22" t="s">
        <v>789</v>
      </c>
      <c r="I217" s="13">
        <v>42717.650879629633</v>
      </c>
      <c r="J217" s="7">
        <v>1</v>
      </c>
      <c r="K217" s="109" t="str">
        <f t="shared" si="88"/>
        <v>4045/4046</v>
      </c>
      <c r="L217" s="22" t="str">
        <f>VLOOKUP(A217,'Trips&amp;Operators'!$C$1:$G$99999,5,FALSE)</f>
        <v>STAMBAUGH JAMES</v>
      </c>
      <c r="M217" s="6">
        <f t="shared" si="89"/>
        <v>7.4189814840792678E-3</v>
      </c>
      <c r="N217" s="7">
        <f t="shared" si="84"/>
        <v>10.683333337074146</v>
      </c>
      <c r="O217" s="7"/>
      <c r="P217" s="7"/>
      <c r="Q217" s="23"/>
      <c r="R217" s="23"/>
      <c r="S217" s="35">
        <f t="shared" si="87"/>
        <v>1</v>
      </c>
      <c r="T217" s="50" t="str">
        <f t="shared" si="90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14:25:06-700',mode:absolute,to:'2016-12-13 16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7" s="52" t="str">
        <f t="shared" si="92"/>
        <v>Y</v>
      </c>
      <c r="X217" s="177">
        <f t="shared" si="103"/>
        <v>1</v>
      </c>
      <c r="Y217" s="67">
        <f t="shared" si="104"/>
        <v>2.3323999999999998</v>
      </c>
      <c r="Z217" s="67">
        <f t="shared" si="86"/>
        <v>6.9199999999999998E-2</v>
      </c>
      <c r="AA217" s="67">
        <f t="shared" si="94"/>
        <v>2.2631999999999999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95"/>
        <v>0904-13</v>
      </c>
      <c r="AE217" s="91" t="str">
        <f t="shared" si="96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217" s="88" t="str">
        <f t="shared" si="97"/>
        <v>"C:\Program Files (x86)\AstroGrep\AstroGrep.exe" /spath="%USERPROFILE%\AppData\Local\Temp\OnboardLogs" /stypes="app*4045*20161213*" /stext=" 22:.+((SYSTEM_STATE.+slice.+state.+changed )|(ment ac)|(multiple cpu faults)|(system.+state.+changed )|(\[timeout)|(PRM\|1\|D)|(kpr)|(kdp)|(\|lc)|(penalty))" /e /r /s</v>
      </c>
      <c r="AG217" s="1" t="str">
        <f t="shared" si="98"/>
        <v>Other</v>
      </c>
      <c r="AH217" s="92" t="str">
        <f t="shared" si="101"/>
        <v>"%USERPROFILE%\Documents\GitHub\eaglep3\Utilities\RefineRTDCRunTimes.py" --tripid 904-13 --locoid 4045 --swversion DE.1.0.8.0 --startMP 300:23324 --initTime 2016-12-13T15:25:06 --startdatetime 2016-12-13T15:26:35 --delay 1 --endMP 204:692 --enddatetime 2016-12-13T15:37:16 --enforcementcount 1 &gt;&gt;C:\Users\stu\Documents\GitHub\eaglep3-reporting\EC\2016-12-13-refined-times.txt</v>
      </c>
      <c r="AI217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{"issue":{"subject":"","project_id":79,"tracker_id":40,"status_id":1,"priority_id":2,"assigned_to_id":23,"start_date":"2016-12-13","description":"","custom_fields":[{"id":1,"name":"Subdivision","value":"Other"},{"id":4,"name":"Milepost","value":"0.0692"},{"id":17,"name":"Train ID","value":"904-13"},{"id":16,"name":"Locomotive ID","value":"4045"},{"id":130,"name":"Impact","value":""},{"id":150,"name":"Time of Event (Mountain Time)","value":"15:37:16"},{"id":151,"name":"Denver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621</v>
      </c>
      <c r="B218" s="7">
        <v>4045</v>
      </c>
      <c r="C218" s="22" t="s">
        <v>207</v>
      </c>
      <c r="D218" s="22" t="s">
        <v>799</v>
      </c>
      <c r="E218" s="13">
        <v>42717.941770833335</v>
      </c>
      <c r="F218" s="13">
        <v>42717.94258101852</v>
      </c>
      <c r="G218" s="7">
        <v>1</v>
      </c>
      <c r="H218" s="22" t="s">
        <v>800</v>
      </c>
      <c r="I218" s="13">
        <v>42717.948518518519</v>
      </c>
      <c r="J218" s="7">
        <v>1</v>
      </c>
      <c r="K218" s="109" t="str">
        <f t="shared" si="88"/>
        <v>4045/4046</v>
      </c>
      <c r="L218" s="22" t="str">
        <f>VLOOKUP(A218,'Trips&amp;Operators'!$C$1:$G$99999,5,FALSE)</f>
        <v>STAMBAUGH JAMES</v>
      </c>
      <c r="M218" s="6">
        <f t="shared" si="89"/>
        <v>5.9374999982537702E-3</v>
      </c>
      <c r="N218" s="7">
        <f t="shared" si="84"/>
        <v>8.549999997485429</v>
      </c>
      <c r="O218" s="7"/>
      <c r="P218" s="7"/>
      <c r="Q218" s="23"/>
      <c r="R218" s="23"/>
      <c r="S218" s="35">
        <f t="shared" si="87"/>
        <v>0</v>
      </c>
      <c r="T218" s="50" t="str">
        <f t="shared" si="90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21:36:09-700',mode:absolute,to:'2016-12-13 23:45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8" s="52" t="str">
        <f t="shared" si="92"/>
        <v>Y</v>
      </c>
      <c r="X218" s="177">
        <f t="shared" si="103"/>
        <v>4</v>
      </c>
      <c r="Y218" s="67">
        <f t="shared" si="104"/>
        <v>5.8625999999999996</v>
      </c>
      <c r="Z218" s="67">
        <f t="shared" si="86"/>
        <v>2.1610999999999998</v>
      </c>
      <c r="AA218" s="67">
        <f t="shared" si="94"/>
        <v>3.7014999999999998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95"/>
        <v>0908-13</v>
      </c>
      <c r="AE218" s="91" t="str">
        <f t="shared" si="96"/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AF218" s="88" t="str">
        <f t="shared" si="97"/>
        <v>"C:\Program Files (x86)\AstroGrep\AstroGrep.exe" /spath="%USERPROFILE%\AppData\Local\Temp\OnboardLogs" /stypes="app*4045*20161214*" /stext=" 05:.+((SYSTEM_STATE.+slice.+state.+changed )|(ment ac)|(multiple cpu faults)|(system.+state.+changed )|(\[timeout)|(PRM\|1\|D)|(kpr)|(kdp)|(\|lc)|(penalty))" /e /r /s</v>
      </c>
      <c r="AG218" s="1" t="str">
        <f t="shared" si="98"/>
        <v>Other</v>
      </c>
      <c r="AH218" s="92" t="str">
        <f t="shared" si="101"/>
        <v>"%USERPROFILE%\Documents\GitHub\eaglep3\Utilities\RefineRTDCRunTimes.py" --tripid 908-13 --locoid 4045 --swversion DE.1.0.8.0 --startMP 300:58626 --initTime 2016-12-13T22:36:09 --startdatetime 2016-12-13T22:37:19 --delay 1 --endMP 300:21611 --enddatetime 2016-12-13T22:45:52 --enforcementcount 1 &gt;&gt;C:\Users\stu\Documents\GitHub\eaglep3-reporting\EC\2016-12-13-refined-times.txt</v>
      </c>
      <c r="AI218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{"issue":{"subject":"","project_id":79,"tracker_id":40,"status_id":1,"priority_id":2,"assigned_to_id":23,"start_date":"2016-12-13","description":"","custom_fields":[{"id":1,"name":"Subdivision","value":"Other"},{"id":4,"name":"Milepost","value":"2.1611"},{"id":17,"name":"Train ID","value":"908-13"},{"id":16,"name":"Locomotive ID","value":"4045"},{"id":130,"name":"Impact","value":""},{"id":150,"name":"Time of Event (Mountain Time)","value":"22:45:52"},{"id":151,"name":"Denver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419</v>
      </c>
      <c r="B219" s="7">
        <v>4029</v>
      </c>
      <c r="C219" s="22" t="s">
        <v>207</v>
      </c>
      <c r="D219" s="22" t="s">
        <v>340</v>
      </c>
      <c r="E219" s="13">
        <v>42717.5862037037</v>
      </c>
      <c r="F219" s="13">
        <v>42717.587037037039</v>
      </c>
      <c r="G219" s="7">
        <v>1</v>
      </c>
      <c r="H219" s="22" t="s">
        <v>726</v>
      </c>
      <c r="I219" s="13">
        <v>42717.600277777776</v>
      </c>
      <c r="J219" s="7">
        <v>1</v>
      </c>
      <c r="K219" s="109" t="str">
        <f t="shared" si="88"/>
        <v>4029/4030</v>
      </c>
      <c r="L219" s="22" t="str">
        <f>VLOOKUP(A219,'Trips&amp;Operators'!$C$1:$G$99999,5,FALSE)</f>
        <v>SWANSON BRYCE</v>
      </c>
      <c r="M219" s="6">
        <f t="shared" si="89"/>
        <v>1.3240740736364387E-2</v>
      </c>
      <c r="N219" s="7">
        <f t="shared" si="84"/>
        <v>19.066666660364717</v>
      </c>
      <c r="O219" s="7"/>
      <c r="P219" s="7"/>
      <c r="Q219" s="23"/>
      <c r="R219" s="23"/>
      <c r="S219" s="35">
        <f t="shared" si="87"/>
        <v>0</v>
      </c>
      <c r="T219" s="50" t="e">
        <f t="shared" si="90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9" s="52" t="str">
        <f t="shared" si="92"/>
        <v>N</v>
      </c>
      <c r="X219" s="177" t="e">
        <f t="shared" si="103"/>
        <v>#VALUE!</v>
      </c>
      <c r="Y219" s="67">
        <f t="shared" si="104"/>
        <v>4.3499999999999997E-2</v>
      </c>
      <c r="Z219" s="67">
        <f t="shared" si="86"/>
        <v>5.8978000000000002</v>
      </c>
      <c r="AA219" s="67">
        <f t="shared" si="94"/>
        <v>5.8543000000000003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95"/>
        <v>50-13</v>
      </c>
      <c r="AE219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19" s="88" t="str">
        <f t="shared" si="97"/>
        <v>"C:\Program Files (x86)\AstroGrep\AstroGrep.exe" /spath="%USERPROFILE%\AppData\Local\Temp\OnboardLogs" /stypes="app*4029*20161213*" /stext=" 21:.+((SYSTEM_STATE.+slice.+state.+changed )|(ment ac)|(multiple cpu faults)|(system.+state.+changed )|(\[timeout)|(PRM\|1\|D)|(kpr)|(kdp)|(\|lc)|(penalty))" /e /r /s</v>
      </c>
      <c r="AG219" s="1" t="str">
        <f t="shared" si="98"/>
        <v>Other</v>
      </c>
      <c r="AH219" s="92" t="str">
        <f t="shared" si="101"/>
        <v>"%USERPROFILE%\Documents\GitHub\eaglep3\Utilities\RefineRTDCRunTimes.py" --tripid 50-13 --locoid 4029 --swversion DE.1.0.8.0 --startMP 204:435 --initTime 2016-12-13T14:04:08 --startdatetime 2016-12-13T14:05:20 --delay 1 --endMP 300:58978 --enddatetime 2016-12-13T14:24:24 --enforcementcount 1 &gt;&gt;C:\Users\stu\Documents\GitHub\eaglep3-reporting\EC\2016-12-13-refined-times.txt</v>
      </c>
      <c r="AI219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{"issue":{"subject":"","project_id":79,"tracker_id":40,"status_id":1,"priority_id":2,"assigned_to_id":23,"start_date":"2016-12-13","description":"","custom_fields":[{"id":1,"name":"Subdivision","value":"Other"},{"id":4,"name":"Milepost","value":"5.8978"},{"id":17,"name":"Train ID","value":"50-13"},{"id":16,"name":"Locomotive ID","value":"4029"},{"id":130,"name":"Impact","value":""},{"id":150,"name":"Time of Event (Mountain Time)","value":"14:24:24"},{"id":151,"name":"Denver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419</v>
      </c>
      <c r="B220" s="7">
        <v>4029</v>
      </c>
      <c r="C220" s="22" t="s">
        <v>207</v>
      </c>
      <c r="D220" s="22" t="s">
        <v>234</v>
      </c>
      <c r="E220" s="13">
        <v>42717.397951388892</v>
      </c>
      <c r="F220" s="13">
        <v>42717.399097222224</v>
      </c>
      <c r="G220" s="7">
        <v>1</v>
      </c>
      <c r="H220" s="22" t="s">
        <v>727</v>
      </c>
      <c r="I220" s="13">
        <v>42717.409062500003</v>
      </c>
      <c r="J220" s="7">
        <v>1</v>
      </c>
      <c r="K220" s="109" t="str">
        <f t="shared" si="88"/>
        <v>4029/4030</v>
      </c>
      <c r="L220" s="22" t="str">
        <f>VLOOKUP(A220,'Trips&amp;Operators'!$C$1:$G$99999,5,FALSE)</f>
        <v>SWANSON BRYCE</v>
      </c>
      <c r="M220" s="6">
        <f t="shared" si="89"/>
        <v>9.9652777789742686E-3</v>
      </c>
      <c r="N220" s="7">
        <f t="shared" si="84"/>
        <v>14.350000001722947</v>
      </c>
      <c r="O220" s="7"/>
      <c r="P220" s="7"/>
      <c r="Q220" s="23"/>
      <c r="R220" s="23"/>
      <c r="S220" s="35">
        <f t="shared" si="87"/>
        <v>0</v>
      </c>
      <c r="T220" s="50" t="e">
        <f t="shared" si="90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08:33:03-700',mode:absolute,to:'2016-12-13 10:49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0" s="52" t="str">
        <f t="shared" si="92"/>
        <v>Y</v>
      </c>
      <c r="X220" s="177" t="e">
        <f t="shared" si="103"/>
        <v>#VALUE!</v>
      </c>
      <c r="Y220" s="67">
        <f t="shared" si="104"/>
        <v>4.4200000000000003E-2</v>
      </c>
      <c r="Z220" s="67">
        <f t="shared" si="86"/>
        <v>4.2271000000000001</v>
      </c>
      <c r="AA220" s="67">
        <f t="shared" si="94"/>
        <v>4.1829000000000001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95"/>
        <v>50-13</v>
      </c>
      <c r="AE220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20" s="88" t="str">
        <f t="shared" si="97"/>
        <v>"C:\Program Files (x86)\AstroGrep\AstroGrep.exe" /spath="%USERPROFILE%\AppData\Local\Temp\OnboardLogs" /stypes="app*4029*20161213*" /stext=" 16:.+((SYSTEM_STATE.+slice.+state.+changed )|(ment ac)|(multiple cpu faults)|(system.+state.+changed )|(\[timeout)|(PRM\|1\|D)|(kpr)|(kdp)|(\|lc)|(penalty))" /e /r /s</v>
      </c>
      <c r="AG220" s="1" t="str">
        <f t="shared" si="98"/>
        <v>Other</v>
      </c>
      <c r="AH220" s="92" t="str">
        <f t="shared" si="101"/>
        <v>"%USERPROFILE%\Documents\GitHub\eaglep3\Utilities\RefineRTDCRunTimes.py" --tripid 50-13 --locoid 4029 --swversion DE.1.0.8.0 --startMP 204:442 --initTime 2016-12-13T09:33:03 --startdatetime 2016-12-13T09:34:42 --delay 1 --endMP 300:42271 --enddatetime 2016-12-13T09:49:03 --enforcementcount 1 &gt;&gt;C:\Users\stu\Documents\GitHub\eaglep3-reporting\EC\2016-12-13-refined-times.txt</v>
      </c>
      <c r="AI220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{"issue":{"subject":"","project_id":79,"tracker_id":40,"status_id":1,"priority_id":2,"assigned_to_id":23,"start_date":"2016-12-13","description":"","custom_fields":[{"id":1,"name":"Subdivision","value":"Other"},{"id":4,"name":"Milepost","value":"4.2271"},{"id":17,"name":"Train ID","value":"50-13"},{"id":16,"name":"Locomotive ID","value":"4029"},{"id":130,"name":"Impact","value":""},{"id":150,"name":"Time of Event (Mountain Time)","value":"09:49:03"},{"id":151,"name":"Denver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419</v>
      </c>
      <c r="B221" s="7">
        <v>4029</v>
      </c>
      <c r="C221" s="22" t="s">
        <v>207</v>
      </c>
      <c r="D221" s="22" t="s">
        <v>655</v>
      </c>
      <c r="E221" s="13">
        <v>42717.421932870369</v>
      </c>
      <c r="F221" s="13">
        <v>42717.422685185185</v>
      </c>
      <c r="G221" s="7">
        <v>1</v>
      </c>
      <c r="H221" s="22" t="s">
        <v>728</v>
      </c>
      <c r="I221" s="13">
        <v>42717.431331018517</v>
      </c>
      <c r="J221" s="7">
        <v>1</v>
      </c>
      <c r="K221" s="109" t="str">
        <f t="shared" si="88"/>
        <v>4029/4030</v>
      </c>
      <c r="L221" s="22" t="str">
        <f>VLOOKUP(A221,'Trips&amp;Operators'!$C$1:$G$99999,5,FALSE)</f>
        <v>SWANSON BRYCE</v>
      </c>
      <c r="M221" s="6">
        <f t="shared" si="89"/>
        <v>8.6458333316841163E-3</v>
      </c>
      <c r="N221" s="7">
        <f t="shared" ref="N221:N238" si="105">24*60*SUM($M221:$M221)</f>
        <v>12.449999997625127</v>
      </c>
      <c r="O221" s="7"/>
      <c r="P221" s="7"/>
      <c r="Q221" s="23"/>
      <c r="R221" s="23"/>
      <c r="S221" s="35">
        <f t="shared" si="87"/>
        <v>0</v>
      </c>
      <c r="T221" s="50" t="e">
        <f t="shared" si="90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09:07:35-700',mode:absolute,to:'2016-12-13 11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1" s="52" t="str">
        <f t="shared" si="92"/>
        <v>Y</v>
      </c>
      <c r="X221" s="177" t="e">
        <f t="shared" si="103"/>
        <v>#VALUE!</v>
      </c>
      <c r="Y221" s="67">
        <f t="shared" si="104"/>
        <v>4.4400000000000002E-2</v>
      </c>
      <c r="Z221" s="67">
        <f t="shared" si="86"/>
        <v>4.2388000000000003</v>
      </c>
      <c r="AA221" s="67">
        <f t="shared" si="94"/>
        <v>4.1943999999999999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95"/>
        <v>50-13</v>
      </c>
      <c r="AE221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21" s="88" t="str">
        <f t="shared" si="97"/>
        <v>"C:\Program Files (x86)\AstroGrep\AstroGrep.exe" /spath="%USERPROFILE%\AppData\Local\Temp\OnboardLogs" /stypes="app*4029*20161213*" /stext=" 17:.+((SYSTEM_STATE.+slice.+state.+changed )|(ment ac)|(multiple cpu faults)|(system.+state.+changed )|(\[timeout)|(PRM\|1\|D)|(kpr)|(kdp)|(\|lc)|(penalty))" /e /r /s</v>
      </c>
      <c r="AG221" s="1" t="str">
        <f t="shared" si="98"/>
        <v>Other</v>
      </c>
      <c r="AH221" s="92" t="str">
        <f t="shared" si="101"/>
        <v>"%USERPROFILE%\Documents\GitHub\eaglep3\Utilities\RefineRTDCRunTimes.py" --tripid 50-13 --locoid 4029 --swversion DE.1.0.8.0 --startMP 204:444 --initTime 2016-12-13T10:07:35 --startdatetime 2016-12-13T10:08:40 --delay 1 --endMP 300:42388 --enddatetime 2016-12-13T10:21:07 --enforcementcount 1 &gt;&gt;C:\Users\stu\Documents\GitHub\eaglep3-reporting\EC\2016-12-13-refined-times.txt</v>
      </c>
      <c r="AI221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{"issue":{"subject":"","project_id":79,"tracker_id":40,"status_id":1,"priority_id":2,"assigned_to_id":23,"start_date":"2016-12-13","description":"","custom_fields":[{"id":1,"name":"Subdivision","value":"Other"},{"id":4,"name":"Milepost","value":"4.2388"},{"id":17,"name":"Train ID","value":"50-13"},{"id":16,"name":"Locomotive ID","value":"4029"},{"id":130,"name":"Impact","value":""},{"id":150,"name":"Time of Event (Mountain Time)","value":"10:21:07"},{"id":151,"name":"Denver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419</v>
      </c>
      <c r="B222" s="7">
        <v>4029</v>
      </c>
      <c r="C222" s="22" t="s">
        <v>207</v>
      </c>
      <c r="D222" s="22" t="s">
        <v>265</v>
      </c>
      <c r="E222" s="13">
        <v>42717.455578703702</v>
      </c>
      <c r="F222" s="13">
        <v>42717.456736111111</v>
      </c>
      <c r="G222" s="7">
        <v>1</v>
      </c>
      <c r="H222" s="22" t="s">
        <v>729</v>
      </c>
      <c r="I222" s="13">
        <v>42717.465451388889</v>
      </c>
      <c r="J222" s="7">
        <v>1</v>
      </c>
      <c r="K222" s="109" t="str">
        <f t="shared" si="88"/>
        <v>4029/4030</v>
      </c>
      <c r="L222" s="22" t="str">
        <f>VLOOKUP(A222,'Trips&amp;Operators'!$C$1:$G$99999,5,FALSE)</f>
        <v>SWANSON BRYCE</v>
      </c>
      <c r="M222" s="6">
        <f t="shared" si="89"/>
        <v>8.7152777778101154E-3</v>
      </c>
      <c r="N222" s="7">
        <f t="shared" si="105"/>
        <v>12.550000000046566</v>
      </c>
      <c r="O222" s="7"/>
      <c r="P222" s="7"/>
      <c r="Q222" s="23"/>
      <c r="R222" s="23"/>
      <c r="S222" s="35">
        <f t="shared" si="87"/>
        <v>0</v>
      </c>
      <c r="T222" s="50" t="e">
        <f t="shared" si="90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09:56:02-700',mode:absolute,to:'2016-12-13 12:10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2" s="52" t="str">
        <f t="shared" si="92"/>
        <v>Y</v>
      </c>
      <c r="X222" s="177" t="e">
        <f t="shared" si="103"/>
        <v>#VALUE!</v>
      </c>
      <c r="Y222" s="67">
        <f t="shared" si="104"/>
        <v>4.4600000000000001E-2</v>
      </c>
      <c r="Z222" s="67">
        <f t="shared" si="86"/>
        <v>4.2256</v>
      </c>
      <c r="AA222" s="67">
        <f t="shared" si="94"/>
        <v>4.181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95"/>
        <v>50-13</v>
      </c>
      <c r="AE222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22" s="88" t="str">
        <f t="shared" si="97"/>
        <v>"C:\Program Files (x86)\AstroGrep\AstroGrep.exe" /spath="%USERPROFILE%\AppData\Local\Temp\OnboardLogs" /stypes="app*4029*20161213*" /stext=" 18:.+((SYSTEM_STATE.+slice.+state.+changed )|(ment ac)|(multiple cpu faults)|(system.+state.+changed )|(\[timeout)|(PRM\|1\|D)|(kpr)|(kdp)|(\|lc)|(penalty))" /e /r /s</v>
      </c>
      <c r="AG222" s="1" t="str">
        <f t="shared" si="98"/>
        <v>Other</v>
      </c>
      <c r="AH222" s="92" t="str">
        <f t="shared" si="101"/>
        <v>"%USERPROFILE%\Documents\GitHub\eaglep3\Utilities\RefineRTDCRunTimes.py" --tripid 50-13 --locoid 4029 --swversion DE.1.0.8.0 --startMP 204:446 --initTime 2016-12-13T10:56:02 --startdatetime 2016-12-13T10:57:42 --delay 1 --endMP 300:42256 --enddatetime 2016-12-13T11:10:15 --enforcementcount 1 &gt;&gt;C:\Users\stu\Documents\GitHub\eaglep3-reporting\EC\2016-12-13-refined-times.txt</v>
      </c>
      <c r="AI222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{"issue":{"subject":"","project_id":79,"tracker_id":40,"status_id":1,"priority_id":2,"assigned_to_id":23,"start_date":"2016-12-13","description":"","custom_fields":[{"id":1,"name":"Subdivision","value":"Other"},{"id":4,"name":"Milepost","value":"4.2256"},{"id":17,"name":"Train ID","value":"50-13"},{"id":16,"name":"Locomotive ID","value":"4029"},{"id":130,"name":"Impact","value":""},{"id":150,"name":"Time of Event (Mountain Time)","value":"11:10:15"},{"id":151,"name":"Denver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419</v>
      </c>
      <c r="B223" s="7">
        <v>4029</v>
      </c>
      <c r="C223" s="22" t="s">
        <v>207</v>
      </c>
      <c r="D223" s="22" t="s">
        <v>277</v>
      </c>
      <c r="E223" s="13">
        <v>42717.376296296294</v>
      </c>
      <c r="F223" s="13">
        <v>42717.377349537041</v>
      </c>
      <c r="G223" s="7">
        <v>1</v>
      </c>
      <c r="H223" s="22" t="s">
        <v>730</v>
      </c>
      <c r="I223" s="13">
        <v>42717.384652777779</v>
      </c>
      <c r="J223" s="7">
        <v>1</v>
      </c>
      <c r="K223" s="109" t="str">
        <f t="shared" si="88"/>
        <v>4029/4030</v>
      </c>
      <c r="L223" s="22" t="str">
        <f>VLOOKUP(A223,'Trips&amp;Operators'!$C$1:$G$99999,5,FALSE)</f>
        <v>SWANSON BRYCE</v>
      </c>
      <c r="M223" s="6">
        <f t="shared" si="89"/>
        <v>7.3032407381106168E-3</v>
      </c>
      <c r="N223" s="7">
        <f t="shared" si="105"/>
        <v>10.516666662879288</v>
      </c>
      <c r="O223" s="7"/>
      <c r="P223" s="7"/>
      <c r="Q223" s="23"/>
      <c r="R223" s="23"/>
      <c r="S223" s="35">
        <f t="shared" si="87"/>
        <v>0</v>
      </c>
      <c r="T223" s="50" t="e">
        <f t="shared" si="90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08:01:52-700',mode:absolute,to:'2016-12-13 10:13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3" s="52" t="str">
        <f t="shared" si="92"/>
        <v>Y</v>
      </c>
      <c r="X223" s="177" t="e">
        <f t="shared" si="103"/>
        <v>#VALUE!</v>
      </c>
      <c r="Y223" s="67">
        <f t="shared" si="104"/>
        <v>4.53E-2</v>
      </c>
      <c r="Z223" s="67">
        <f t="shared" si="86"/>
        <v>4.2550999999999997</v>
      </c>
      <c r="AA223" s="67">
        <f t="shared" si="94"/>
        <v>4.2097999999999995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95"/>
        <v>50-13</v>
      </c>
      <c r="AE223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23" s="88" t="str">
        <f t="shared" si="97"/>
        <v>"C:\Program Files (x86)\AstroGrep\AstroGrep.exe" /spath="%USERPROFILE%\AppData\Local\Temp\OnboardLogs" /stypes="app*4029*20161213*" /stext=" 16:.+((SYSTEM_STATE.+slice.+state.+changed )|(ment ac)|(multiple cpu faults)|(system.+state.+changed )|(\[timeout)|(PRM\|1\|D)|(kpr)|(kdp)|(\|lc)|(penalty))" /e /r /s</v>
      </c>
      <c r="AG223" s="1" t="str">
        <f t="shared" si="98"/>
        <v>Other</v>
      </c>
      <c r="AH223" s="92" t="str">
        <f t="shared" si="101"/>
        <v>"%USERPROFILE%\Documents\GitHub\eaglep3\Utilities\RefineRTDCRunTimes.py" --tripid 50-13 --locoid 4029 --swversion DE.1.0.8.0 --startMP 204:453 --initTime 2016-12-13T09:01:52 --startdatetime 2016-12-13T09:03:23 --delay 1 --endMP 300:42551 --enddatetime 2016-12-13T09:13:54 --enforcementcount 1 &gt;&gt;C:\Users\stu\Documents\GitHub\eaglep3-reporting\EC\2016-12-13-refined-times.txt</v>
      </c>
      <c r="AI223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{"issue":{"subject":"","project_id":79,"tracker_id":40,"status_id":1,"priority_id":2,"assigned_to_id":23,"start_date":"2016-12-13","description":"","custom_fields":[{"id":1,"name":"Subdivision","value":"Other"},{"id":4,"name":"Milepost","value":"4.2551"},{"id":17,"name":"Train ID","value":"50-13"},{"id":16,"name":"Locomotive ID","value":"4029"},{"id":130,"name":"Impact","value":""},{"id":150,"name":"Time of Event (Mountain Time)","value":"09:13:54"},{"id":151,"name":"Denver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419</v>
      </c>
      <c r="B224" s="7">
        <v>4029</v>
      </c>
      <c r="C224" s="22" t="s">
        <v>207</v>
      </c>
      <c r="D224" s="22" t="s">
        <v>731</v>
      </c>
      <c r="E224" s="13">
        <v>42717.548564814817</v>
      </c>
      <c r="F224" s="13">
        <v>42717.550266203703</v>
      </c>
      <c r="G224" s="7">
        <v>2</v>
      </c>
      <c r="H224" s="22" t="s">
        <v>732</v>
      </c>
      <c r="I224" s="13">
        <v>42717.560891203706</v>
      </c>
      <c r="J224" s="7">
        <v>1</v>
      </c>
      <c r="K224" s="109" t="str">
        <f t="shared" si="88"/>
        <v>4029/4030</v>
      </c>
      <c r="L224" s="22" t="str">
        <f>VLOOKUP(A224,'Trips&amp;Operators'!$C$1:$G$99999,5,FALSE)</f>
        <v>SWANSON BRYCE</v>
      </c>
      <c r="M224" s="6">
        <f t="shared" si="89"/>
        <v>1.0625000002619345E-2</v>
      </c>
      <c r="N224" s="7">
        <f t="shared" si="105"/>
        <v>15.300000003771856</v>
      </c>
      <c r="O224" s="7"/>
      <c r="P224" s="7"/>
      <c r="Q224" s="23"/>
      <c r="R224" s="23"/>
      <c r="S224" s="35">
        <f t="shared" si="87"/>
        <v>0</v>
      </c>
      <c r="T224" s="50" t="e">
        <f t="shared" si="90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12:09:56-700',mode:absolute,to:'2016-12-13 14:27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4" s="52" t="str">
        <f t="shared" si="92"/>
        <v>N</v>
      </c>
      <c r="X224" s="177" t="e">
        <f t="shared" si="103"/>
        <v>#VALUE!</v>
      </c>
      <c r="Y224" s="67">
        <f t="shared" si="104"/>
        <v>4.5900000000000003E-2</v>
      </c>
      <c r="Z224" s="67">
        <f t="shared" si="86"/>
        <v>5.8091999999999997</v>
      </c>
      <c r="AA224" s="67">
        <f t="shared" si="94"/>
        <v>5.7633000000000001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95"/>
        <v>50-13</v>
      </c>
      <c r="AE224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24" s="88" t="str">
        <f t="shared" si="97"/>
        <v>"C:\Program Files (x86)\AstroGrep\AstroGrep.exe" /spath="%USERPROFILE%\AppData\Local\Temp\OnboardLogs" /stypes="app*4029*20161213*" /stext=" 20:.+((SYSTEM_STATE.+slice.+state.+changed )|(ment ac)|(multiple cpu faults)|(system.+state.+changed )|(\[timeout)|(PRM\|1\|D)|(kpr)|(kdp)|(\|lc)|(penalty))" /e /r /s</v>
      </c>
      <c r="AG224" s="1" t="str">
        <f t="shared" si="98"/>
        <v>Other</v>
      </c>
      <c r="AH224" s="92" t="str">
        <f t="shared" si="101"/>
        <v>"%USERPROFILE%\Documents\GitHub\eaglep3\Utilities\RefineRTDCRunTimes.py" --tripid 50-13 --locoid 4029 --swversion DE.1.0.8.0 --startMP 204:459 --initTime 2016-12-13T13:09:56 --startdatetime 2016-12-13T13:12:23 --delay 2 --endMP 300:58092 --enddatetime 2016-12-13T13:27:41 --enforcementcount 1 &gt;&gt;C:\Users\stu\Documents\GitHub\eaglep3-reporting\EC\2016-12-13-refined-times.txt</v>
      </c>
      <c r="AI224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{"issue":{"subject":"","project_id":79,"tracker_id":40,"status_id":1,"priority_id":2,"assigned_to_id":23,"start_date":"2016-12-13","description":"","custom_fields":[{"id":1,"name":"Subdivision","value":"Other"},{"id":4,"name":"Milepost","value":"5.8092"},{"id":17,"name":"Train ID","value":"50-13"},{"id":16,"name":"Locomotive ID","value":"4029"},{"id":130,"name":"Impact","value":""},{"id":150,"name":"Time of Event (Mountain Time)","value":"13:27:41"},{"id":151,"name":"Denver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419</v>
      </c>
      <c r="B225" s="7">
        <v>4029</v>
      </c>
      <c r="C225" s="22" t="s">
        <v>207</v>
      </c>
      <c r="D225" s="22" t="s">
        <v>236</v>
      </c>
      <c r="E225" s="13">
        <v>42717.512106481481</v>
      </c>
      <c r="F225" s="13">
        <v>42717.513043981482</v>
      </c>
      <c r="G225" s="7">
        <v>1</v>
      </c>
      <c r="H225" s="22" t="s">
        <v>733</v>
      </c>
      <c r="I225" s="13">
        <v>42717.533854166664</v>
      </c>
      <c r="J225" s="7">
        <v>1</v>
      </c>
      <c r="K225" s="109" t="str">
        <f t="shared" si="88"/>
        <v>4029/4030</v>
      </c>
      <c r="L225" s="22" t="str">
        <f>VLOOKUP(A225,'Trips&amp;Operators'!$C$1:$G$99999,5,FALSE)</f>
        <v>SWANSON BRYCE</v>
      </c>
      <c r="M225" s="6">
        <f t="shared" si="89"/>
        <v>2.0810185182199348E-2</v>
      </c>
      <c r="N225" s="7">
        <f t="shared" si="105"/>
        <v>29.966666662367061</v>
      </c>
      <c r="O225" s="7"/>
      <c r="P225" s="7"/>
      <c r="Q225" s="23"/>
      <c r="R225" s="23"/>
      <c r="S225" s="35">
        <f t="shared" si="87"/>
        <v>0</v>
      </c>
      <c r="T225" s="50" t="e">
        <f t="shared" si="90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11:17:26-700',mode:absolute,to:'2016-12-13 13:48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5" s="52" t="str">
        <f t="shared" si="92"/>
        <v>Y</v>
      </c>
      <c r="X225" s="177" t="e">
        <f t="shared" si="103"/>
        <v>#VALUE!</v>
      </c>
      <c r="Y225" s="67">
        <f t="shared" si="104"/>
        <v>4.5999999999999999E-2</v>
      </c>
      <c r="Z225" s="67">
        <f t="shared" si="86"/>
        <v>4.2542</v>
      </c>
      <c r="AA225" s="67">
        <f t="shared" si="94"/>
        <v>4.2081999999999997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95"/>
        <v>50-13</v>
      </c>
      <c r="AE225" s="91" t="str">
        <f t="shared" si="96"/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AF225" s="88" t="str">
        <f t="shared" si="97"/>
        <v>"C:\Program Files (x86)\AstroGrep\AstroGrep.exe" /spath="%USERPROFILE%\AppData\Local\Temp\OnboardLogs" /stypes="app*4029*20161213*" /stext=" 19:.+((SYSTEM_STATE.+slice.+state.+changed )|(ment ac)|(multiple cpu faults)|(system.+state.+changed )|(\[timeout)|(PRM\|1\|D)|(kpr)|(kdp)|(\|lc)|(penalty))" /e /r /s</v>
      </c>
      <c r="AG225" s="1" t="str">
        <f t="shared" si="98"/>
        <v>Other</v>
      </c>
      <c r="AH225" s="92" t="str">
        <f t="shared" si="101"/>
        <v>"%USERPROFILE%\Documents\GitHub\eaglep3\Utilities\RefineRTDCRunTimes.py" --tripid 50-13 --locoid 4029 --swversion DE.1.0.8.0 --startMP 204:460 --initTime 2016-12-13T12:17:26 --startdatetime 2016-12-13T12:18:47 --delay 1 --endMP 300:42542 --enddatetime 2016-12-13T12:48:45 --enforcementcount 1 &gt;&gt;C:\Users\stu\Documents\GitHub\eaglep3-reporting\EC\2016-12-13-refined-times.txt</v>
      </c>
      <c r="AI225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{"issue":{"subject":"","project_id":79,"tracker_id":40,"status_id":1,"priority_id":2,"assigned_to_id":23,"start_date":"2016-12-13","description":"","custom_fields":[{"id":1,"name":"Subdivision","value":"Other"},{"id":4,"name":"Milepost","value":"4.2542"},{"id":17,"name":"Train ID","value":"50-13"},{"id":16,"name":"Locomotive ID","value":"4029"},{"id":130,"name":"Impact","value":""},{"id":150,"name":"Time of Event (Mountain Time)","value":"12:48:45"},{"id":151,"name":"Denver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419</v>
      </c>
      <c r="B226" s="7">
        <v>4030</v>
      </c>
      <c r="C226" s="22" t="s">
        <v>207</v>
      </c>
      <c r="D226" s="22" t="s">
        <v>734</v>
      </c>
      <c r="E226" s="13">
        <v>42717.363425925927</v>
      </c>
      <c r="F226" s="13">
        <v>42717.369664351849</v>
      </c>
      <c r="G226" s="7">
        <v>8</v>
      </c>
      <c r="H226" s="22" t="s">
        <v>735</v>
      </c>
      <c r="I226" s="13">
        <v>42717.374768518515</v>
      </c>
      <c r="J226" s="7">
        <v>1</v>
      </c>
      <c r="K226" s="109" t="str">
        <f t="shared" si="88"/>
        <v>4029/4030</v>
      </c>
      <c r="L226" s="22" t="str">
        <f>VLOOKUP(A226,'Trips&amp;Operators'!$C$1:$G$99999,5,FALSE)</f>
        <v>SWANSON BRYCE</v>
      </c>
      <c r="M226" s="6">
        <f t="shared" si="89"/>
        <v>5.1041666665696539E-3</v>
      </c>
      <c r="N226" s="7">
        <f t="shared" si="105"/>
        <v>7.3499999998603016</v>
      </c>
      <c r="O226" s="7"/>
      <c r="P226" s="7"/>
      <c r="Q226" s="23"/>
      <c r="R226" s="23"/>
      <c r="S226" s="35">
        <f t="shared" si="87"/>
        <v>0</v>
      </c>
      <c r="T226" s="50" t="e">
        <f t="shared" si="90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07:43:20-700',mode:absolute,to:'2016-12-13 09:59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6" s="52" t="str">
        <f t="shared" si="92"/>
        <v>Y</v>
      </c>
      <c r="X226" s="177" t="e">
        <f t="shared" si="103"/>
        <v>#VALUE!</v>
      </c>
      <c r="Y226" s="67">
        <f t="shared" si="104"/>
        <v>1.5672999999999999</v>
      </c>
      <c r="Z226" s="67">
        <f t="shared" si="86"/>
        <v>1.46E-2</v>
      </c>
      <c r="AA226" s="67">
        <f t="shared" si="94"/>
        <v>1.5527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95"/>
        <v>50-13</v>
      </c>
      <c r="AE226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26" s="88" t="str">
        <f t="shared" si="97"/>
        <v>"C:\Program Files (x86)\AstroGrep\AstroGrep.exe" /spath="%USERPROFILE%\AppData\Local\Temp\OnboardLogs" /stypes="app*4030*20161213*" /stext=" 15:.+((SYSTEM_STATE.+slice.+state.+changed )|(ment ac)|(multiple cpu faults)|(system.+state.+changed )|(\[timeout)|(PRM\|1\|D)|(kpr)|(kdp)|(\|lc)|(penalty))" /e /r /s</v>
      </c>
      <c r="AG226" s="1" t="str">
        <f t="shared" si="98"/>
        <v>Other</v>
      </c>
      <c r="AH226" s="92" t="str">
        <f t="shared" si="101"/>
        <v>"%USERPROFILE%\Documents\GitHub\eaglep3\Utilities\RefineRTDCRunTimes.py" --tripid 50-13 --locoid 4030 --swversion DE.1.0.8.0 --startMP 300:15673 --initTime 2016-12-13T08:43:20 --startdatetime 2016-12-13T08:52:19 --delay 8 --endMP 204:146 --enddatetime 2016-12-13T08:59:40 --enforcementcount 1 &gt;&gt;C:\Users\stu\Documents\GitHub\eaglep3-reporting\EC\2016-12-13-refined-times.txt</v>
      </c>
      <c r="AI226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{"issue":{"subject":"","project_id":79,"tracker_id":40,"status_id":1,"priority_id":2,"assigned_to_id":23,"start_date":"2016-12-13","description":"","custom_fields":[{"id":1,"name":"Subdivision","value":"Other"},{"id":4,"name":"Milepost","value":"0.0146"},{"id":17,"name":"Train ID","value":"50-13"},{"id":16,"name":"Locomotive ID","value":"4030"},{"id":130,"name":"Impact","value":""},{"id":150,"name":"Time of Event (Mountain Time)","value":"08:59:40"},{"id":151,"name":"Denver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419</v>
      </c>
      <c r="B227" s="7">
        <v>4030</v>
      </c>
      <c r="C227" s="22" t="s">
        <v>207</v>
      </c>
      <c r="D227" s="22" t="s">
        <v>736</v>
      </c>
      <c r="E227" s="13">
        <v>42717.466817129629</v>
      </c>
      <c r="F227" s="13">
        <v>42717.467939814815</v>
      </c>
      <c r="G227" s="7">
        <v>1</v>
      </c>
      <c r="H227" s="22" t="s">
        <v>737</v>
      </c>
      <c r="I227" s="13">
        <v>42717.476655092592</v>
      </c>
      <c r="J227" s="7">
        <v>1</v>
      </c>
      <c r="K227" s="109" t="str">
        <f t="shared" si="88"/>
        <v>4029/4030</v>
      </c>
      <c r="L227" s="22" t="str">
        <f>VLOOKUP(A227,'Trips&amp;Operators'!$C$1:$G$99999,5,FALSE)</f>
        <v>SWANSON BRYCE</v>
      </c>
      <c r="M227" s="6">
        <f t="shared" si="89"/>
        <v>8.7152777778101154E-3</v>
      </c>
      <c r="N227" s="7">
        <f t="shared" si="105"/>
        <v>12.550000000046566</v>
      </c>
      <c r="O227" s="7"/>
      <c r="P227" s="7"/>
      <c r="Q227" s="23"/>
      <c r="R227" s="23"/>
      <c r="S227" s="35">
        <f t="shared" si="87"/>
        <v>0</v>
      </c>
      <c r="T227" s="50" t="e">
        <f t="shared" si="90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10:12:13-700',mode:absolute,to:'2016-12-13 12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7" s="52" t="str">
        <f t="shared" si="92"/>
        <v>Y</v>
      </c>
      <c r="X227" s="177" t="e">
        <f t="shared" si="103"/>
        <v>#VALUE!</v>
      </c>
      <c r="Y227" s="67">
        <f t="shared" si="104"/>
        <v>4.1939000000000002</v>
      </c>
      <c r="Z227" s="67">
        <f t="shared" si="86"/>
        <v>1.6199999999999999E-2</v>
      </c>
      <c r="AA227" s="67">
        <f t="shared" si="94"/>
        <v>4.1776999999999997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95"/>
        <v>50-13</v>
      </c>
      <c r="AE227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27" s="88" t="str">
        <f t="shared" si="97"/>
        <v>"C:\Program Files (x86)\AstroGrep\AstroGrep.exe" /spath="%USERPROFILE%\AppData\Local\Temp\OnboardLogs" /stypes="app*4030*20161213*" /stext=" 18:.+((SYSTEM_STATE.+slice.+state.+changed )|(ment ac)|(multiple cpu faults)|(system.+state.+changed )|(\[timeout)|(PRM\|1\|D)|(kpr)|(kdp)|(\|lc)|(penalty))" /e /r /s</v>
      </c>
      <c r="AG227" s="1" t="str">
        <f t="shared" si="98"/>
        <v>Other</v>
      </c>
      <c r="AH227" s="92" t="str">
        <f t="shared" si="101"/>
        <v>"%USERPROFILE%\Documents\GitHub\eaglep3\Utilities\RefineRTDCRunTimes.py" --tripid 50-13 --locoid 4030 --swversion DE.1.0.8.0 --startMP 300:41939 --initTime 2016-12-13T11:12:13 --startdatetime 2016-12-13T11:13:50 --delay 1 --endMP 204:162 --enddatetime 2016-12-13T11:26:23 --enforcementcount 1 &gt;&gt;C:\Users\stu\Documents\GitHub\eaglep3-reporting\EC\2016-12-13-refined-times.txt</v>
      </c>
      <c r="AI227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{"issue":{"subject":"","project_id":79,"tracker_id":40,"status_id":1,"priority_id":2,"assigned_to_id":23,"start_date":"2016-12-13","description":"","custom_fields":[{"id":1,"name":"Subdivision","value":"Other"},{"id":4,"name":"Milepost","value":"0.0162"},{"id":17,"name":"Train ID","value":"50-13"},{"id":16,"name":"Locomotive ID","value":"4030"},{"id":130,"name":"Impact","value":""},{"id":150,"name":"Time of Event (Mountain Time)","value":"11:26:23"},{"id":151,"name":"Denver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419</v>
      </c>
      <c r="B228" s="7">
        <v>4030</v>
      </c>
      <c r="C228" s="22" t="s">
        <v>207</v>
      </c>
      <c r="D228" s="22" t="s">
        <v>738</v>
      </c>
      <c r="E228" s="13">
        <v>42717.410092592596</v>
      </c>
      <c r="F228" s="13">
        <v>42717.410960648151</v>
      </c>
      <c r="G228" s="7">
        <v>1</v>
      </c>
      <c r="H228" s="22" t="s">
        <v>739</v>
      </c>
      <c r="I228" s="13">
        <v>42717.419791666667</v>
      </c>
      <c r="J228" s="7">
        <v>1</v>
      </c>
      <c r="K228" s="109" t="str">
        <f t="shared" si="88"/>
        <v>4029/4030</v>
      </c>
      <c r="L228" s="22" t="str">
        <f>VLOOKUP(A228,'Trips&amp;Operators'!$C$1:$G$99999,5,FALSE)</f>
        <v>SWANSON BRYCE</v>
      </c>
      <c r="M228" s="6">
        <f t="shared" si="89"/>
        <v>8.8310185165028088E-3</v>
      </c>
      <c r="N228" s="7">
        <f t="shared" si="105"/>
        <v>12.716666663764045</v>
      </c>
      <c r="O228" s="7"/>
      <c r="P228" s="7"/>
      <c r="Q228" s="23"/>
      <c r="R228" s="23"/>
      <c r="S228" s="35">
        <f t="shared" si="87"/>
        <v>0</v>
      </c>
      <c r="T228" s="50" t="e">
        <f t="shared" si="90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08:50:32-700',mode:absolute,to:'2016-12-13 11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8" s="52" t="str">
        <f t="shared" si="92"/>
        <v>Y</v>
      </c>
      <c r="X228" s="177" t="e">
        <f t="shared" si="103"/>
        <v>#VALUE!</v>
      </c>
      <c r="Y228" s="67">
        <f t="shared" si="104"/>
        <v>4.1958000000000002</v>
      </c>
      <c r="Z228" s="67">
        <f t="shared" si="86"/>
        <v>1.5699999999999999E-2</v>
      </c>
      <c r="AA228" s="67">
        <f t="shared" si="94"/>
        <v>4.1801000000000004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95"/>
        <v>50-13</v>
      </c>
      <c r="AE228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28" s="88" t="str">
        <f t="shared" si="97"/>
        <v>"C:\Program Files (x86)\AstroGrep\AstroGrep.exe" /spath="%USERPROFILE%\AppData\Local\Temp\OnboardLogs" /stypes="app*4030*20161213*" /stext=" 17:.+((SYSTEM_STATE.+slice.+state.+changed )|(ment ac)|(multiple cpu faults)|(system.+state.+changed )|(\[timeout)|(PRM\|1\|D)|(kpr)|(kdp)|(\|lc)|(penalty))" /e /r /s</v>
      </c>
      <c r="AG228" s="1" t="str">
        <f t="shared" si="98"/>
        <v>Other</v>
      </c>
      <c r="AH228" s="92" t="str">
        <f t="shared" si="101"/>
        <v>"%USERPROFILE%\Documents\GitHub\eaglep3\Utilities\RefineRTDCRunTimes.py" --tripid 50-13 --locoid 4030 --swversion DE.1.0.8.0 --startMP 300:41958 --initTime 2016-12-13T09:50:32 --startdatetime 2016-12-13T09:51:47 --delay 1 --endMP 204:157 --enddatetime 2016-12-13T10:04:30 --enforcementcount 1 &gt;&gt;C:\Users\stu\Documents\GitHub\eaglep3-reporting\EC\2016-12-13-refined-times.txt</v>
      </c>
      <c r="AI228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{"issue":{"subject":"","project_id":79,"tracker_id":40,"status_id":1,"priority_id":2,"assigned_to_id":23,"start_date":"2016-12-13","description":"","custom_fields":[{"id":1,"name":"Subdivision","value":"Other"},{"id":4,"name":"Milepost","value":"0.0157"},{"id":17,"name":"Train ID","value":"50-13"},{"id":16,"name":"Locomotive ID","value":"4030"},{"id":130,"name":"Impact","value":""},{"id":150,"name":"Time of Event (Mountain Time)","value":"10:04:30"},{"id":151,"name":"Denver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419</v>
      </c>
      <c r="B229" s="7">
        <v>4030</v>
      </c>
      <c r="C229" s="22" t="s">
        <v>207</v>
      </c>
      <c r="D229" s="22" t="s">
        <v>740</v>
      </c>
      <c r="E229" s="13">
        <v>42717.43346064815</v>
      </c>
      <c r="F229" s="13">
        <v>42717.434293981481</v>
      </c>
      <c r="G229" s="7">
        <v>1</v>
      </c>
      <c r="H229" s="22" t="s">
        <v>331</v>
      </c>
      <c r="I229" s="13">
        <v>42717.44462962963</v>
      </c>
      <c r="J229" s="7">
        <v>1</v>
      </c>
      <c r="K229" s="109" t="str">
        <f t="shared" si="88"/>
        <v>4029/4030</v>
      </c>
      <c r="L229" s="22" t="str">
        <f>VLOOKUP(A229,'Trips&amp;Operators'!$C$1:$G$99999,5,FALSE)</f>
        <v>SWANSON BRYCE</v>
      </c>
      <c r="M229" s="6">
        <f t="shared" si="89"/>
        <v>1.0335648148611654E-2</v>
      </c>
      <c r="N229" s="7">
        <f t="shared" si="105"/>
        <v>14.883333334000781</v>
      </c>
      <c r="O229" s="7"/>
      <c r="P229" s="7"/>
      <c r="Q229" s="23"/>
      <c r="R229" s="23"/>
      <c r="S229" s="35">
        <f t="shared" si="87"/>
        <v>0</v>
      </c>
      <c r="T229" s="50" t="e">
        <f t="shared" si="90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09:24:11-700',mode:absolute,to:'2016-12-13 11:40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9" s="52" t="str">
        <f t="shared" si="92"/>
        <v>Y</v>
      </c>
      <c r="X229" s="177" t="e">
        <f t="shared" si="103"/>
        <v>#VALUE!</v>
      </c>
      <c r="Y229" s="67">
        <f t="shared" si="104"/>
        <v>4.2073999999999998</v>
      </c>
      <c r="Z229" s="67">
        <f t="shared" si="86"/>
        <v>1.5800000000000002E-2</v>
      </c>
      <c r="AA229" s="67">
        <f t="shared" si="94"/>
        <v>4.1916000000000002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95"/>
        <v>50-13</v>
      </c>
      <c r="AE229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29" s="88" t="str">
        <f t="shared" si="97"/>
        <v>"C:\Program Files (x86)\AstroGrep\AstroGrep.exe" /spath="%USERPROFILE%\AppData\Local\Temp\OnboardLogs" /stypes="app*4030*20161213*" /stext=" 17:.+((SYSTEM_STATE.+slice.+state.+changed )|(ment ac)|(multiple cpu faults)|(system.+state.+changed )|(\[timeout)|(PRM\|1\|D)|(kpr)|(kdp)|(\|lc)|(penalty))" /e /r /s</v>
      </c>
      <c r="AG229" s="1" t="str">
        <f t="shared" si="98"/>
        <v>Other</v>
      </c>
      <c r="AH229" s="92" t="str">
        <f t="shared" si="101"/>
        <v>"%USERPROFILE%\Documents\GitHub\eaglep3\Utilities\RefineRTDCRunTimes.py" --tripid 50-13 --locoid 4030 --swversion DE.1.0.8.0 --startMP 300:42074 --initTime 2016-12-13T10:24:11 --startdatetime 2016-12-13T10:25:23 --delay 1 --endMP 204:158 --enddatetime 2016-12-13T10:40:16 --enforcementcount 1 &gt;&gt;C:\Users\stu\Documents\GitHub\eaglep3-reporting\EC\2016-12-13-refined-times.txt</v>
      </c>
      <c r="AI229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{"issue":{"subject":"","project_id":79,"tracker_id":40,"status_id":1,"priority_id":2,"assigned_to_id":23,"start_date":"2016-12-13","description":"","custom_fields":[{"id":1,"name":"Subdivision","value":"Other"},{"id":4,"name":"Milepost","value":"0.0158"},{"id":17,"name":"Train ID","value":"50-13"},{"id":16,"name":"Locomotive ID","value":"4030"},{"id":130,"name":"Impact","value":""},{"id":150,"name":"Time of Event (Mountain Time)","value":"10:40:16"},{"id":151,"name":"Denver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419</v>
      </c>
      <c r="B230" s="7">
        <v>4030</v>
      </c>
      <c r="C230" s="22" t="s">
        <v>207</v>
      </c>
      <c r="D230" s="22" t="s">
        <v>741</v>
      </c>
      <c r="E230" s="13">
        <v>42717.53528935185</v>
      </c>
      <c r="F230" s="13">
        <v>42717.536145833335</v>
      </c>
      <c r="G230" s="7">
        <v>1</v>
      </c>
      <c r="H230" s="22" t="s">
        <v>706</v>
      </c>
      <c r="I230" s="13">
        <v>42717.54614583333</v>
      </c>
      <c r="J230" s="7">
        <v>1</v>
      </c>
      <c r="K230" s="109" t="str">
        <f t="shared" si="88"/>
        <v>4029/4030</v>
      </c>
      <c r="L230" s="22" t="str">
        <f>VLOOKUP(A230,'Trips&amp;Operators'!$C$1:$G$99999,5,FALSE)</f>
        <v>SWANSON BRYCE</v>
      </c>
      <c r="M230" s="6">
        <f t="shared" si="89"/>
        <v>9.9999999947613105E-3</v>
      </c>
      <c r="N230" s="7">
        <f t="shared" si="105"/>
        <v>14.399999992456287</v>
      </c>
      <c r="O230" s="7"/>
      <c r="P230" s="7"/>
      <c r="Q230" s="23"/>
      <c r="R230" s="23"/>
      <c r="S230" s="35">
        <f t="shared" si="87"/>
        <v>0</v>
      </c>
      <c r="T230" s="50" t="e">
        <f t="shared" si="90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11:50:49-700',mode:absolute,to:'2016-12-13 14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0" s="52" t="str">
        <f t="shared" si="92"/>
        <v>Y</v>
      </c>
      <c r="X230" s="177" t="e">
        <f t="shared" si="103"/>
        <v>#VALUE!</v>
      </c>
      <c r="Y230" s="67">
        <f t="shared" si="104"/>
        <v>4.2169999999999996</v>
      </c>
      <c r="Z230" s="67">
        <f t="shared" si="86"/>
        <v>1.7600000000000001E-2</v>
      </c>
      <c r="AA230" s="67">
        <f t="shared" si="94"/>
        <v>4.1993999999999998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95"/>
        <v>50-13</v>
      </c>
      <c r="AE230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30" s="88" t="str">
        <f t="shared" si="97"/>
        <v>"C:\Program Files (x86)\AstroGrep\AstroGrep.exe" /spath="%USERPROFILE%\AppData\Local\Temp\OnboardLogs" /stypes="app*4030*20161213*" /stext=" 20:.+((SYSTEM_STATE.+slice.+state.+changed )|(ment ac)|(multiple cpu faults)|(system.+state.+changed )|(\[timeout)|(PRM\|1\|D)|(kpr)|(kdp)|(\|lc)|(penalty))" /e /r /s</v>
      </c>
      <c r="AG230" s="1" t="str">
        <f t="shared" si="98"/>
        <v>Other</v>
      </c>
      <c r="AH230" s="92" t="str">
        <f t="shared" si="101"/>
        <v>"%USERPROFILE%\Documents\GitHub\eaglep3\Utilities\RefineRTDCRunTimes.py" --tripid 50-13 --locoid 4030 --swversion DE.1.0.8.0 --startMP 300:42170 --initTime 2016-12-13T12:50:49 --startdatetime 2016-12-13T12:52:03 --delay 1 --endMP 204:176 --enddatetime 2016-12-13T13:06:27 --enforcementcount 1 &gt;&gt;C:\Users\stu\Documents\GitHub\eaglep3-reporting\EC\2016-12-13-refined-times.txt</v>
      </c>
      <c r="AI230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{"issue":{"subject":"","project_id":79,"tracker_id":40,"status_id":1,"priority_id":2,"assigned_to_id":23,"start_date":"2016-12-13","description":"","custom_fields":[{"id":1,"name":"Subdivision","value":"Other"},{"id":4,"name":"Milepost","value":"0.0176"},{"id":17,"name":"Train ID","value":"50-13"},{"id":16,"name":"Locomotive ID","value":"4030"},{"id":130,"name":"Impact","value":""},{"id":150,"name":"Time of Event (Mountain Time)","value":"13:06:27"},{"id":151,"name":"Denver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419</v>
      </c>
      <c r="B231" s="7">
        <v>4030</v>
      </c>
      <c r="C231" s="22" t="s">
        <v>207</v>
      </c>
      <c r="D231" s="22" t="s">
        <v>742</v>
      </c>
      <c r="E231" s="13">
        <v>42717.38585648148</v>
      </c>
      <c r="F231" s="13">
        <v>42717.386643518519</v>
      </c>
      <c r="G231" s="7">
        <v>1</v>
      </c>
      <c r="H231" s="22" t="s">
        <v>743</v>
      </c>
      <c r="I231" s="13">
        <v>42717.395671296297</v>
      </c>
      <c r="J231" s="7">
        <v>1</v>
      </c>
      <c r="K231" s="109" t="str">
        <f t="shared" si="88"/>
        <v>4029/4030</v>
      </c>
      <c r="L231" s="22" t="str">
        <f>VLOOKUP(A231,'Trips&amp;Operators'!$C$1:$G$99999,5,FALSE)</f>
        <v>SWANSON BRYCE</v>
      </c>
      <c r="M231" s="6">
        <f t="shared" si="89"/>
        <v>9.0277777781011537E-3</v>
      </c>
      <c r="N231" s="7">
        <f t="shared" si="105"/>
        <v>13.000000000465661</v>
      </c>
      <c r="O231" s="7"/>
      <c r="P231" s="7"/>
      <c r="Q231" s="23"/>
      <c r="R231" s="23"/>
      <c r="S231" s="35">
        <f t="shared" si="87"/>
        <v>0</v>
      </c>
      <c r="T231" s="50" t="e">
        <f t="shared" si="90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08:15:38-700',mode:absolute,to:'2016-12-13 10:29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1" s="52" t="str">
        <f t="shared" si="92"/>
        <v>Y</v>
      </c>
      <c r="X231" s="177" t="e">
        <f t="shared" si="103"/>
        <v>#VALUE!</v>
      </c>
      <c r="Y231" s="67">
        <f t="shared" si="104"/>
        <v>4.2230999999999996</v>
      </c>
      <c r="Z231" s="67">
        <f t="shared" si="86"/>
        <v>1.44E-2</v>
      </c>
      <c r="AA231" s="67">
        <f t="shared" si="94"/>
        <v>4.2086999999999994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95"/>
        <v>50-13</v>
      </c>
      <c r="AE231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31" s="88" t="str">
        <f t="shared" si="97"/>
        <v>"C:\Program Files (x86)\AstroGrep\AstroGrep.exe" /spath="%USERPROFILE%\AppData\Local\Temp\OnboardLogs" /stypes="app*4030*20161213*" /stext=" 16:.+((SYSTEM_STATE.+slice.+state.+changed )|(ment ac)|(multiple cpu faults)|(system.+state.+changed )|(\[timeout)|(PRM\|1\|D)|(kpr)|(kdp)|(\|lc)|(penalty))" /e /r /s</v>
      </c>
      <c r="AG231" s="1" t="str">
        <f t="shared" si="98"/>
        <v>Other</v>
      </c>
      <c r="AH231" s="92" t="str">
        <f t="shared" si="101"/>
        <v>"%USERPROFILE%\Documents\GitHub\eaglep3\Utilities\RefineRTDCRunTimes.py" --tripid 50-13 --locoid 4030 --swversion DE.1.0.8.0 --startMP 300:42231 --initTime 2016-12-13T09:15:38 --startdatetime 2016-12-13T09:16:46 --delay 1 --endMP 204:144 --enddatetime 2016-12-13T09:29:46 --enforcementcount 1 &gt;&gt;C:\Users\stu\Documents\GitHub\eaglep3-reporting\EC\2016-12-13-refined-times.txt</v>
      </c>
      <c r="AI231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{"issue":{"subject":"","project_id":79,"tracker_id":40,"status_id":1,"priority_id":2,"assigned_to_id":23,"start_date":"2016-12-13","description":"","custom_fields":[{"id":1,"name":"Subdivision","value":"Other"},{"id":4,"name":"Milepost","value":"0.0144"},{"id":17,"name":"Train ID","value":"50-13"},{"id":16,"name":"Locomotive ID","value":"4030"},{"id":130,"name":"Impact","value":""},{"id":150,"name":"Time of Event (Mountain Time)","value":"09:29:46"},{"id":151,"name":"Denver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419</v>
      </c>
      <c r="B232" s="7">
        <v>4030</v>
      </c>
      <c r="C232" s="22" t="s">
        <v>207</v>
      </c>
      <c r="D232" s="22" t="s">
        <v>744</v>
      </c>
      <c r="E232" s="13">
        <v>42717.602233796293</v>
      </c>
      <c r="F232" s="13">
        <v>42717.602858796294</v>
      </c>
      <c r="G232" s="7">
        <v>0</v>
      </c>
      <c r="H232" s="22" t="s">
        <v>745</v>
      </c>
      <c r="I232" s="13">
        <v>42717.621574074074</v>
      </c>
      <c r="J232" s="7">
        <v>1</v>
      </c>
      <c r="K232" s="109" t="str">
        <f t="shared" si="88"/>
        <v>4029/4030</v>
      </c>
      <c r="L232" s="22" t="str">
        <f>VLOOKUP(A232,'Trips&amp;Operators'!$C$1:$G$99999,5,FALSE)</f>
        <v>SWANSON BRYCE</v>
      </c>
      <c r="M232" s="6">
        <f t="shared" si="89"/>
        <v>1.8715277779847383E-2</v>
      </c>
      <c r="N232" s="7">
        <f t="shared" si="105"/>
        <v>26.950000002980232</v>
      </c>
      <c r="O232" s="7"/>
      <c r="P232" s="7"/>
      <c r="Q232" s="23"/>
      <c r="R232" s="23"/>
      <c r="S232" s="35">
        <f t="shared" si="87"/>
        <v>0</v>
      </c>
      <c r="T232" s="50" t="e">
        <f t="shared" si="90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13:27:13-700',mode:absolute,to:'2016-12-13 15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2" s="52" t="str">
        <f t="shared" si="92"/>
        <v>Y</v>
      </c>
      <c r="X232" s="177" t="e">
        <f t="shared" si="103"/>
        <v>#VALUE!</v>
      </c>
      <c r="Y232" s="67">
        <f t="shared" si="104"/>
        <v>5.8657000000000004</v>
      </c>
      <c r="Z232" s="67">
        <f t="shared" si="86"/>
        <v>2.8761000000000001</v>
      </c>
      <c r="AA232" s="67">
        <f t="shared" si="94"/>
        <v>2.9896000000000003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95"/>
        <v>50-13</v>
      </c>
      <c r="AE232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32" s="88" t="str">
        <f t="shared" si="97"/>
        <v>"C:\Program Files (x86)\AstroGrep\AstroGrep.exe" /spath="%USERPROFILE%\AppData\Local\Temp\OnboardLogs" /stypes="app*4030*20161213*" /stext=" 21:.+((SYSTEM_STATE.+slice.+state.+changed )|(ment ac)|(multiple cpu faults)|(system.+state.+changed )|(\[timeout)|(PRM\|1\|D)|(kpr)|(kdp)|(\|lc)|(penalty))" /e /r /s</v>
      </c>
      <c r="AG232" s="1" t="str">
        <f t="shared" si="98"/>
        <v>Other</v>
      </c>
      <c r="AH232" s="92" t="str">
        <f t="shared" si="101"/>
        <v>"%USERPROFILE%\Documents\GitHub\eaglep3\Utilities\RefineRTDCRunTimes.py" --tripid 50-13 --locoid 4030 --swversion DE.1.0.8.0 --startMP 300:58657 --initTime 2016-12-13T14:27:13 --startdatetime 2016-12-13T14:28:07 --delay 0 --endMP 300:28761 --enddatetime 2016-12-13T14:55:04 --enforcementcount 1 &gt;&gt;C:\Users\stu\Documents\GitHub\eaglep3-reporting\EC\2016-12-13-refined-times.txt</v>
      </c>
      <c r="AI232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{"issue":{"subject":"","project_id":79,"tracker_id":40,"status_id":1,"priority_id":2,"assigned_to_id":23,"start_date":"2016-12-13","description":"","custom_fields":[{"id":1,"name":"Subdivision","value":"Other"},{"id":4,"name":"Milepost","value":"2.8761"},{"id":17,"name":"Train ID","value":"50-13"},{"id":16,"name":"Locomotive ID","value":"4030"},{"id":130,"name":"Impact","value":""},{"id":150,"name":"Time of Event (Mountain Time)","value":"14:55:04"},{"id":151,"name":"Denver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419</v>
      </c>
      <c r="B233" s="7">
        <v>4030</v>
      </c>
      <c r="C233" s="22" t="s">
        <v>207</v>
      </c>
      <c r="D233" s="22" t="s">
        <v>746</v>
      </c>
      <c r="E233" s="13">
        <v>42717.564479166664</v>
      </c>
      <c r="F233" s="13">
        <v>42717.565486111111</v>
      </c>
      <c r="G233" s="7">
        <v>1</v>
      </c>
      <c r="H233" s="22" t="s">
        <v>747</v>
      </c>
      <c r="I233" s="13">
        <v>42717.583807870367</v>
      </c>
      <c r="J233" s="7">
        <v>1</v>
      </c>
      <c r="K233" s="109" t="str">
        <f t="shared" si="88"/>
        <v>4029/4030</v>
      </c>
      <c r="L233" s="22" t="str">
        <f>VLOOKUP(A233,'Trips&amp;Operators'!$C$1:$G$99999,5,FALSE)</f>
        <v>SWANSON BRYCE</v>
      </c>
      <c r="M233" s="6">
        <f t="shared" si="89"/>
        <v>1.8321759256650694E-2</v>
      </c>
      <c r="N233" s="7">
        <f t="shared" si="105"/>
        <v>26.383333329576999</v>
      </c>
      <c r="O233" s="7"/>
      <c r="P233" s="7"/>
      <c r="Q233" s="23"/>
      <c r="R233" s="23"/>
      <c r="S233" s="35">
        <f t="shared" si="87"/>
        <v>0</v>
      </c>
      <c r="T233" s="50" t="e">
        <f t="shared" si="90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12:32:51-700',mode:absolute,to:'2016-12-13 15:00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3" s="52" t="str">
        <f t="shared" si="92"/>
        <v>N</v>
      </c>
      <c r="X233" s="177" t="e">
        <f t="shared" si="103"/>
        <v>#VALUE!</v>
      </c>
      <c r="Y233" s="67">
        <f t="shared" si="104"/>
        <v>5.8711000000000002</v>
      </c>
      <c r="Z233" s="67">
        <f t="shared" ref="Z233:Z238" si="106">RIGHT(H233,LEN(H233)-4)/10000</f>
        <v>1.4800000000000001E-2</v>
      </c>
      <c r="AA233" s="67">
        <f t="shared" si="94"/>
        <v>5.8563000000000001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95"/>
        <v>50-13</v>
      </c>
      <c r="AE233" s="91" t="str">
        <f t="shared" si="96"/>
        <v>aws s3 cp s3://rtdc.mdm.uploadarchive.raw/RTDC4030/ "%USERPROFILE%\AppData\Local\Temp\OnboardLogs"\RTDC4030\2016-12-13 --exclude "*" --recursive --include "*20161213*" &amp; "%USERPROFILE%\Documents\GitHub\mrs-test-scripts\Headless Mode &amp; Sideloading\WalkAndUnGZ.bat" "%USERPROFILE%\AppData\Local\Temp\OnboardLogs"\RTDC4030\2016-12-13 &amp; aws s3 cp s3://rtdc.mdm.uploadarchive.raw/RTDC4030/ "%USERPROFILE%\AppData\Local\Temp\OnboardLogs"\RTDC4030\2016-12-14 --exclude "*" --recursive --include "*20161214*" &amp; "%USERPROFILE%\Documents\GitHub\mrs-test-scripts\Headless Mode &amp; Sideloading\WalkAndUnGZ.bat" "%USERPROFILE%\AppData\Local\Temp\OnboardLogs"\RTDC4030\2016-12-14</v>
      </c>
      <c r="AF233" s="88" t="str">
        <f t="shared" si="97"/>
        <v>"C:\Program Files (x86)\AstroGrep\AstroGrep.exe" /spath="%USERPROFILE%\AppData\Local\Temp\OnboardLogs" /stypes="app*4030*20161213*" /stext=" 21:.+((SYSTEM_STATE.+slice.+state.+changed )|(ment ac)|(multiple cpu faults)|(system.+state.+changed )|(\[timeout)|(PRM\|1\|D)|(kpr)|(kdp)|(\|lc)|(penalty))" /e /r /s</v>
      </c>
      <c r="AG233" s="1" t="str">
        <f t="shared" si="98"/>
        <v>Other</v>
      </c>
      <c r="AH233" s="92" t="str">
        <f t="shared" si="101"/>
        <v>"%USERPROFILE%\Documents\GitHub\eaglep3\Utilities\RefineRTDCRunTimes.py" --tripid 50-13 --locoid 4030 --swversion DE.1.0.8.0 --startMP 300:58711 --initTime 2016-12-13T13:32:51 --startdatetime 2016-12-13T13:34:18 --delay 1 --endMP 204:148 --enddatetime 2016-12-13T14:00:41 --enforcementcount 1 &gt;&gt;C:\Users\stu\Documents\GitHub\eaglep3-reporting\EC\2016-12-13-refined-times.txt</v>
      </c>
      <c r="AI233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{"issue":{"subject":"","project_id":79,"tracker_id":40,"status_id":1,"priority_id":2,"assigned_to_id":23,"start_date":"2016-12-13","description":"","custom_fields":[{"id":1,"name":"Subdivision","value":"Other"},{"id":4,"name":"Milepost","value":"0.0148"},{"id":17,"name":"Train ID","value":"50-13"},{"id":16,"name":"Locomotive ID","value":"4030"},{"id":130,"name":"Impact","value":""},{"id":150,"name":"Time of Event (Mountain Time)","value":"14:00:41"},{"id":151,"name":"Denver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423</v>
      </c>
      <c r="B234" s="7">
        <v>4008</v>
      </c>
      <c r="C234" s="22" t="s">
        <v>207</v>
      </c>
      <c r="D234" s="22" t="s">
        <v>748</v>
      </c>
      <c r="E234" s="13">
        <v>42717.443287037036</v>
      </c>
      <c r="F234" s="13">
        <v>42717.44431712963</v>
      </c>
      <c r="G234" s="7">
        <v>1</v>
      </c>
      <c r="H234" s="22" t="s">
        <v>749</v>
      </c>
      <c r="I234" s="13">
        <v>42717.451180555552</v>
      </c>
      <c r="J234" s="7">
        <v>1</v>
      </c>
      <c r="K234" s="109" t="str">
        <f t="shared" si="88"/>
        <v>4007/4008</v>
      </c>
      <c r="L234" s="22" t="str">
        <f>VLOOKUP(A234,'Trips&amp;Operators'!$C$1:$G$99999,5,FALSE)</f>
        <v>HAITHCOX MICHAEL</v>
      </c>
      <c r="M234" s="6">
        <f t="shared" si="89"/>
        <v>6.8634259223472327E-3</v>
      </c>
      <c r="N234" s="7">
        <f t="shared" si="105"/>
        <v>9.8833333281800151</v>
      </c>
      <c r="O234" s="7"/>
      <c r="P234" s="7"/>
      <c r="Q234" s="23"/>
      <c r="R234" s="23"/>
      <c r="S234" s="35">
        <f t="shared" si="87"/>
        <v>0</v>
      </c>
      <c r="T234" s="50" t="e">
        <f t="shared" si="90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09:38:20-700',mode:absolute,to:'2016-12-13 11:49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34" s="52" t="str">
        <f t="shared" si="92"/>
        <v>Y</v>
      </c>
      <c r="X234" s="177" t="e">
        <f t="shared" si="103"/>
        <v>#VALUE!</v>
      </c>
      <c r="Y234" s="67">
        <f t="shared" si="104"/>
        <v>2.2088999999999999</v>
      </c>
      <c r="Z234" s="67">
        <f t="shared" si="106"/>
        <v>8.7999999999999995E-2</v>
      </c>
      <c r="AA234" s="67">
        <f t="shared" si="94"/>
        <v>2.1208999999999998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95"/>
        <v>52-13</v>
      </c>
      <c r="AE234" s="91" t="str">
        <f t="shared" si="96"/>
        <v>aws s3 cp s3://rtdc.mdm.uploadarchive.raw/RTDC4008/ "%USERPROFILE%\AppData\Local\Temp\OnboardLogs"\RTDC4008\2016-12-13 --exclude "*" --recursive --include "*20161213*" &amp; "%USERPROFILE%\Documents\GitHub\mrs-test-scripts\Headless Mode &amp; Sideloading\WalkAndUnGZ.bat" "%USERPROFILE%\AppData\Local\Temp\OnboardLogs"\RTDC4008\2016-12-13 &amp; aws s3 cp s3://rtdc.mdm.uploadarchive.raw/RTDC4008/ "%USERPROFILE%\AppData\Local\Temp\OnboardLogs"\RTDC4008\2016-12-14 --exclude "*" --recursive --include "*20161214*" &amp; "%USERPROFILE%\Documents\GitHub\mrs-test-scripts\Headless Mode &amp; Sideloading\WalkAndUnGZ.bat" "%USERPROFILE%\AppData\Local\Temp\OnboardLogs"\RTDC4008\2016-12-14</v>
      </c>
      <c r="AF234" s="88" t="str">
        <f t="shared" si="97"/>
        <v>"C:\Program Files (x86)\AstroGrep\AstroGrep.exe" /spath="%USERPROFILE%\AppData\Local\Temp\OnboardLogs" /stypes="app*4008*20161213*" /stext=" 17:.+((SYSTEM_STATE.+slice.+state.+changed )|(ment ac)|(multiple cpu faults)|(system.+state.+changed )|(\[timeout)|(PRM\|1\|D)|(kpr)|(kdp)|(\|lc)|(penalty))" /e /r /s</v>
      </c>
      <c r="AG234" s="1" t="str">
        <f t="shared" si="98"/>
        <v>Other</v>
      </c>
      <c r="AH234" s="92" t="str">
        <f t="shared" si="101"/>
        <v>"%USERPROFILE%\Documents\GitHub\eaglep3\Utilities\RefineRTDCRunTimes.py" --tripid 52-13 --locoid 4008 --swversion DE.1.0.8.0 --startMP 300:22089 --initTime 2016-12-13T10:38:20 --startdatetime 2016-12-13T10:39:49 --delay 1 --endMP 204:880 --enddatetime 2016-12-13T10:49:42 --enforcementcount 1 &gt;&gt;C:\Users\stu\Documents\GitHub\eaglep3-reporting\EC\2016-12-13-refined-times.txt</v>
      </c>
      <c r="AI234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{"issue":{"subject":"","project_id":79,"tracker_id":40,"status_id":1,"priority_id":2,"assigned_to_id":23,"start_date":"2016-12-13","description":"","custom_fields":[{"id":1,"name":"Subdivision","value":"Other"},{"id":4,"name":"Milepost","value":"0.088"},{"id":17,"name":"Train ID","value":"52-13"},{"id":16,"name":"Locomotive ID","value":"4008"},{"id":130,"name":"Impact","value":""},{"id":150,"name":"Time of Event (Mountain Time)","value":"10:49:42"},{"id":151,"name":"Denver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521</v>
      </c>
      <c r="B235" s="7">
        <v>4007</v>
      </c>
      <c r="C235" s="22" t="s">
        <v>207</v>
      </c>
      <c r="D235" s="22" t="s">
        <v>750</v>
      </c>
      <c r="E235" s="13">
        <v>42717.470520833333</v>
      </c>
      <c r="F235" s="13">
        <v>42717.47146990741</v>
      </c>
      <c r="G235" s="7">
        <v>1</v>
      </c>
      <c r="H235" s="22" t="s">
        <v>751</v>
      </c>
      <c r="I235" s="13">
        <v>42717.482407407406</v>
      </c>
      <c r="J235" s="7">
        <v>1</v>
      </c>
      <c r="K235" s="109" t="str">
        <f t="shared" si="88"/>
        <v>4007/4008</v>
      </c>
      <c r="L235" s="22" t="str">
        <f>VLOOKUP(A235,'Trips&amp;Operators'!$C$1:$G$99999,5,FALSE)</f>
        <v>BEAM ROSS</v>
      </c>
      <c r="M235" s="6">
        <f t="shared" si="89"/>
        <v>1.0937499995634425E-2</v>
      </c>
      <c r="N235" s="7">
        <f t="shared" si="105"/>
        <v>15.749999993713573</v>
      </c>
      <c r="O235" s="7"/>
      <c r="P235" s="7"/>
      <c r="Q235" s="23"/>
      <c r="R235" s="23"/>
      <c r="S235" s="35">
        <f t="shared" si="87"/>
        <v>0</v>
      </c>
      <c r="T235" s="50" t="e">
        <f t="shared" si="90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10:17:33-700',mode:absolute,to:'2016-12-13 12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5" s="52" t="str">
        <f t="shared" si="92"/>
        <v>Y</v>
      </c>
      <c r="X235" s="177" t="e">
        <f t="shared" si="103"/>
        <v>#VALUE!</v>
      </c>
      <c r="Y235" s="67">
        <f t="shared" si="104"/>
        <v>0.11940000000000001</v>
      </c>
      <c r="Z235" s="67">
        <f t="shared" si="106"/>
        <v>2.4209999999999998</v>
      </c>
      <c r="AA235" s="67">
        <f t="shared" si="94"/>
        <v>2.3015999999999996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95"/>
        <v>53-13</v>
      </c>
      <c r="AE235" s="91" t="str">
        <f t="shared" si="96"/>
        <v>aws s3 cp s3://rtdc.mdm.uploadarchive.raw/RTDC4007/ "%USERPROFILE%\AppData\Local\Temp\OnboardLogs"\RTDC4007\2016-12-13 --exclude "*" --recursive --include "*20161213*" &amp; "%USERPROFILE%\Documents\GitHub\mrs-test-scripts\Headless Mode &amp; Sideloading\WalkAndUnGZ.bat" "%USERPROFILE%\AppData\Local\Temp\OnboardLogs"\RTDC4007\2016-12-13 &amp; aws s3 cp s3://rtdc.mdm.uploadarchive.raw/RTDC4007/ "%USERPROFILE%\AppData\Local\Temp\OnboardLogs"\RTDC4007\2016-12-14 --exclude "*" --recursive --include "*20161214*" &amp; "%USERPROFILE%\Documents\GitHub\mrs-test-scripts\Headless Mode &amp; Sideloading\WalkAndUnGZ.bat" "%USERPROFILE%\AppData\Local\Temp\OnboardLogs"\RTDC4007\2016-12-14</v>
      </c>
      <c r="AF235" s="88" t="str">
        <f t="shared" si="97"/>
        <v>"C:\Program Files (x86)\AstroGrep\AstroGrep.exe" /spath="%USERPROFILE%\AppData\Local\Temp\OnboardLogs" /stypes="app*4007*20161213*" /stext=" 18:.+((SYSTEM_STATE.+slice.+state.+changed )|(ment ac)|(multiple cpu faults)|(system.+state.+changed )|(\[timeout)|(PRM\|1\|D)|(kpr)|(kdp)|(\|lc)|(penalty))" /e /r /s</v>
      </c>
      <c r="AG235" s="1" t="str">
        <f t="shared" si="98"/>
        <v>Other</v>
      </c>
      <c r="AH235" s="92" t="str">
        <f t="shared" si="101"/>
        <v>"%USERPROFILE%\Documents\GitHub\eaglep3\Utilities\RefineRTDCRunTimes.py" --tripid 53-13 --locoid 4007 --swversion DE.1.0.8.0 --startMP 204:1194 --initTime 2016-12-13T11:17:33 --startdatetime 2016-12-13T11:18:55 --delay 1 --endMP 300:24210 --enddatetime 2016-12-13T11:34:40 --enforcementcount 1 &gt;&gt;C:\Users\stu\Documents\GitHub\eaglep3-reporting\EC\2016-12-13-refined-times.txt</v>
      </c>
      <c r="AI235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{"issue":{"subject":"","project_id":79,"tracker_id":40,"status_id":1,"priority_id":2,"assigned_to_id":23,"start_date":"2016-12-13","description":"","custom_fields":[{"id":1,"name":"Subdivision","value":"Other"},{"id":4,"name":"Milepost","value":"2.421"},{"id":17,"name":"Train ID","value":"53-13"},{"id":16,"name":"Locomotive ID","value":"4007"},{"id":130,"name":"Impact","value":""},{"id":150,"name":"Time of Event (Mountain Time)","value":"11:34:40"},{"id":151,"name":"Denver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426</v>
      </c>
      <c r="B236" s="7">
        <v>4013</v>
      </c>
      <c r="C236" s="22" t="s">
        <v>207</v>
      </c>
      <c r="D236" s="22" t="s">
        <v>752</v>
      </c>
      <c r="E236" s="13">
        <v>42717.480532407404</v>
      </c>
      <c r="F236" s="13">
        <v>42717.481724537036</v>
      </c>
      <c r="G236" s="7">
        <v>1</v>
      </c>
      <c r="H236" s="22" t="s">
        <v>753</v>
      </c>
      <c r="I236" s="13">
        <v>42717.488252314812</v>
      </c>
      <c r="J236" s="7">
        <v>1</v>
      </c>
      <c r="K236" s="109" t="str">
        <f t="shared" si="88"/>
        <v>4013/4014</v>
      </c>
      <c r="L236" s="22" t="str">
        <f>VLOOKUP(A236,'Trips&amp;Operators'!$C$1:$G$99999,5,FALSE)</f>
        <v>YOUNG ELIZABETH</v>
      </c>
      <c r="M236" s="6">
        <f t="shared" si="89"/>
        <v>6.5277777757728472E-3</v>
      </c>
      <c r="N236" s="7">
        <f t="shared" si="105"/>
        <v>9.3999999971129</v>
      </c>
      <c r="O236" s="7"/>
      <c r="P236" s="7"/>
      <c r="Q236" s="23"/>
      <c r="R236" s="23"/>
      <c r="S236" s="35">
        <f t="shared" si="87"/>
        <v>0</v>
      </c>
      <c r="T236" s="50" t="e">
        <f t="shared" si="90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10:31:58-700',mode:absolute,to:'2016-12-13 12:43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6" s="52" t="str">
        <f t="shared" si="92"/>
        <v>Y</v>
      </c>
      <c r="X236" s="177" t="e">
        <f t="shared" si="103"/>
        <v>#VALUE!</v>
      </c>
      <c r="Y236" s="67">
        <f t="shared" si="104"/>
        <v>2.3329</v>
      </c>
      <c r="Z236" s="67">
        <f t="shared" si="106"/>
        <v>0.1144</v>
      </c>
      <c r="AA236" s="67">
        <f t="shared" si="94"/>
        <v>2.2185000000000001</v>
      </c>
      <c r="AB236" s="64" t="e">
        <f>VLOOKUP(A236,Enforcements!$C$7:$K$19,8,0)</f>
        <v>#N/A</v>
      </c>
      <c r="AC236" s="60" t="e">
        <f>VLOOKUP(A236,Enforcements!$C$7:$E$19,3,0)</f>
        <v>#N/A</v>
      </c>
      <c r="AD236" s="61" t="str">
        <f t="shared" si="95"/>
        <v>54-13</v>
      </c>
      <c r="AE236" s="91" t="str">
        <f t="shared" si="96"/>
        <v>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 &amp; 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</v>
      </c>
      <c r="AF236" s="88" t="str">
        <f t="shared" si="97"/>
        <v>"C:\Program Files (x86)\AstroGrep\AstroGrep.exe" /spath="%USERPROFILE%\AppData\Local\Temp\OnboardLogs" /stypes="app*4013*20161213*" /stext=" 18:.+((SYSTEM_STATE.+slice.+state.+changed )|(ment ac)|(multiple cpu faults)|(system.+state.+changed )|(\[timeout)|(PRM\|1\|D)|(kpr)|(kdp)|(\|lc)|(penalty))" /e /r /s</v>
      </c>
      <c r="AG236" s="1" t="str">
        <f t="shared" si="98"/>
        <v>Other</v>
      </c>
      <c r="AH236" s="92" t="str">
        <f t="shared" si="101"/>
        <v>"%USERPROFILE%\Documents\GitHub\eaglep3\Utilities\RefineRTDCRunTimes.py" --tripid 54-13 --locoid 4013 --swversion DE.1.0.8.0 --startMP 300:23329 --initTime 2016-12-13T11:31:58 --startdatetime 2016-12-13T11:33:41 --delay 1 --endMP 204:1144 --enddatetime 2016-12-13T11:43:05 --enforcementcount 1 &gt;&gt;C:\Users\stu\Documents\GitHub\eaglep3-reporting\EC\2016-12-13-refined-times.txt</v>
      </c>
      <c r="AI236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{"issue":{"subject":"","project_id":79,"tracker_id":40,"status_id":1,"priority_id":2,"assigned_to_id":23,"start_date":"2016-12-13","description":"","custom_fields":[{"id":1,"name":"Subdivision","value":"Other"},{"id":4,"name":"Milepost","value":"0.1144"},{"id":17,"name":"Train ID","value":"54-13"},{"id":16,"name":"Locomotive ID","value":"4013"},{"id":130,"name":"Impact","value":""},{"id":150,"name":"Time of Event (Mountain Time)","value":"11:43:05"},{"id":151,"name":"Denver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536</v>
      </c>
      <c r="B237" s="7">
        <v>4014</v>
      </c>
      <c r="C237" s="22" t="s">
        <v>207</v>
      </c>
      <c r="D237" s="22" t="s">
        <v>754</v>
      </c>
      <c r="E237" s="13">
        <v>42717.525358796294</v>
      </c>
      <c r="F237" s="13">
        <v>42717.526273148149</v>
      </c>
      <c r="G237" s="7">
        <v>1</v>
      </c>
      <c r="H237" s="22" t="s">
        <v>755</v>
      </c>
      <c r="I237" s="13">
        <v>42717.533182870371</v>
      </c>
      <c r="J237" s="7">
        <v>1</v>
      </c>
      <c r="K237" s="109" t="str">
        <f t="shared" si="88"/>
        <v>4013/4014</v>
      </c>
      <c r="L237" s="22" t="str">
        <f>VLOOKUP(A237,'Trips&amp;Operators'!$C$1:$G$99999,5,FALSE)</f>
        <v>SPECTOR MICHAEL</v>
      </c>
      <c r="M237" s="6">
        <f t="shared" si="89"/>
        <v>6.9097222221898846E-3</v>
      </c>
      <c r="N237" s="7">
        <f t="shared" si="105"/>
        <v>9.9499999999534339</v>
      </c>
      <c r="O237" s="7"/>
      <c r="P237" s="7"/>
      <c r="Q237" s="23"/>
      <c r="R237" s="23"/>
      <c r="S237" s="35">
        <f t="shared" si="87"/>
        <v>0</v>
      </c>
      <c r="T237" s="50" t="e">
        <f t="shared" si="90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11:36:31-700',mode:absolute,to:'2016-12-13 13:47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7" s="52" t="str">
        <f t="shared" si="92"/>
        <v>Y</v>
      </c>
      <c r="X237" s="177" t="e">
        <f t="shared" si="103"/>
        <v>#VALUE!</v>
      </c>
      <c r="Y237" s="67">
        <f t="shared" si="104"/>
        <v>0.14499999999999999</v>
      </c>
      <c r="Z237" s="67">
        <f t="shared" si="106"/>
        <v>2.4220000000000002</v>
      </c>
      <c r="AA237" s="67">
        <f t="shared" si="94"/>
        <v>2.2770000000000001</v>
      </c>
      <c r="AB237" s="64" t="e">
        <f>VLOOKUP(A237,Enforcements!$C$7:$K$19,8,0)</f>
        <v>#N/A</v>
      </c>
      <c r="AC237" s="60" t="e">
        <f>VLOOKUP(A237,Enforcements!$C$7:$E$19,3,0)</f>
        <v>#N/A</v>
      </c>
      <c r="AD237" s="61" t="str">
        <f t="shared" si="95"/>
        <v>55-13</v>
      </c>
      <c r="AE237" s="91" t="str">
        <f t="shared" si="96"/>
        <v>aws s3 cp s3://rtdc.mdm.uploadarchive.raw/RTDC4014/ "%USERPROFILE%\AppData\Local\Temp\OnboardLogs"\RTDC4014\2016-12-13 --exclude "*" --recursive --include "*20161213*" &amp; "%USERPROFILE%\Documents\GitHub\mrs-test-scripts\Headless Mode &amp; Sideloading\WalkAndUnGZ.bat" "%USERPROFILE%\AppData\Local\Temp\OnboardLogs"\RTDC4014\2016-12-13 &amp; aws s3 cp s3://rtdc.mdm.uploadarchive.raw/RTDC4014/ "%USERPROFILE%\AppData\Local\Temp\OnboardLogs"\RTDC4014\2016-12-14 --exclude "*" --recursive --include "*20161214*" &amp; "%USERPROFILE%\Documents\GitHub\mrs-test-scripts\Headless Mode &amp; Sideloading\WalkAndUnGZ.bat" "%USERPROFILE%\AppData\Local\Temp\OnboardLogs"\RTDC4014\2016-12-14</v>
      </c>
      <c r="AF237" s="88" t="str">
        <f t="shared" si="97"/>
        <v>"C:\Program Files (x86)\AstroGrep\AstroGrep.exe" /spath="%USERPROFILE%\AppData\Local\Temp\OnboardLogs" /stypes="app*4014*20161213*" /stext=" 19:.+((SYSTEM_STATE.+slice.+state.+changed )|(ment ac)|(multiple cpu faults)|(system.+state.+changed )|(\[timeout)|(PRM\|1\|D)|(kpr)|(kdp)|(\|lc)|(penalty))" /e /r /s</v>
      </c>
      <c r="AG237" s="1" t="str">
        <f t="shared" si="98"/>
        <v>Other</v>
      </c>
      <c r="AH237" s="92" t="str">
        <f t="shared" si="101"/>
        <v>"%USERPROFILE%\Documents\GitHub\eaglep3\Utilities\RefineRTDCRunTimes.py" --tripid 55-13 --locoid 4014 --swversion DE.1.0.8.0 --startMP 204:1450 --initTime 2016-12-13T12:36:31 --startdatetime 2016-12-13T12:37:50 --delay 1 --endMP 300:24220 --enddatetime 2016-12-13T12:47:47 --enforcementcount 1 &gt;&gt;C:\Users\stu\Documents\GitHub\eaglep3-reporting\EC\2016-12-13-refined-times.txt</v>
      </c>
      <c r="AI237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{"issue":{"subject":"","project_id":79,"tracker_id":40,"status_id":1,"priority_id":2,"assigned_to_id":23,"start_date":"2016-12-13","description":"","custom_fields":[{"id":1,"name":"Subdivision","value":"Other"},{"id":4,"name":"Milepost","value":"2.422"},{"id":17,"name":"Train ID","value":"55-13"},{"id":16,"name":"Locomotive ID","value":"4014"},{"id":130,"name":"Impact","value":""},{"id":150,"name":"Time of Event (Mountain Time)","value":"12:47:47"},{"id":151,"name":"Denver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583</v>
      </c>
      <c r="B238" s="7">
        <v>4044</v>
      </c>
      <c r="C238" s="22" t="s">
        <v>207</v>
      </c>
      <c r="D238" s="22" t="s">
        <v>365</v>
      </c>
      <c r="E238" s="13">
        <v>42717.743530092594</v>
      </c>
      <c r="F238" s="13">
        <v>42717.744722222225</v>
      </c>
      <c r="G238" s="7">
        <v>1</v>
      </c>
      <c r="H238" s="22" t="s">
        <v>384</v>
      </c>
      <c r="I238" s="13">
        <v>42717.758553240739</v>
      </c>
      <c r="J238" s="7">
        <v>1</v>
      </c>
      <c r="K238" s="109" t="str">
        <f t="shared" si="88"/>
        <v>4043/4044</v>
      </c>
      <c r="L238" s="22" t="str">
        <f>VLOOKUP(A238,'Trips&amp;Operators'!$C$1:$G$99999,5,FALSE)</f>
        <v>HAITHCOX MICHAEL</v>
      </c>
      <c r="M238" s="6">
        <f t="shared" si="89"/>
        <v>1.3831018513883464E-2</v>
      </c>
      <c r="N238" s="7">
        <f t="shared" si="105"/>
        <v>19.916666659992188</v>
      </c>
      <c r="O238" s="7"/>
      <c r="P238" s="7"/>
      <c r="Q238" s="23"/>
      <c r="R238" s="23"/>
      <c r="S238" s="35">
        <f t="shared" si="87"/>
        <v>0</v>
      </c>
      <c r="T238" s="50" t="e">
        <f t="shared" si="90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91"/>
        <v>https://search-rtdc-monitor-bjffxe2xuh6vdkpspy63sjmuny.us-east-1.es.amazonaws.com/_plugin/kibana/#/discover/Steve-Slow-Train-Analysis-(2080s-and-2083s)?_g=(refreshInterval:(display:Off,section:0,value:0),time:(from:'2016-12-13 16:50:41-700',mode:absolute,to:'2016-12-13 19:12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8" s="52" t="str">
        <f t="shared" si="92"/>
        <v>Y</v>
      </c>
      <c r="X238" s="177" t="e">
        <f t="shared" si="103"/>
        <v>#VALUE!</v>
      </c>
      <c r="Y238" s="67">
        <f t="shared" si="104"/>
        <v>0.15240000000000001</v>
      </c>
      <c r="Z238" s="67">
        <f t="shared" si="106"/>
        <v>2.3308</v>
      </c>
      <c r="AA238" s="67">
        <f t="shared" si="94"/>
        <v>2.1783999999999999</v>
      </c>
      <c r="AB238" s="64" t="e">
        <f>VLOOKUP(A238,Enforcements!$C$7:$K$19,8,0)</f>
        <v>#N/A</v>
      </c>
      <c r="AC238" s="60" t="e">
        <f>VLOOKUP(A238,Enforcements!$C$7:$E$19,3,0)</f>
        <v>#N/A</v>
      </c>
      <c r="AD238" s="61" t="str">
        <f t="shared" si="95"/>
        <v>67-13</v>
      </c>
      <c r="AE238" s="91" t="str">
        <f t="shared" si="96"/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AF238" s="88" t="str">
        <f t="shared" si="97"/>
        <v>"C:\Program Files (x86)\AstroGrep\AstroGrep.exe" /spath="%USERPROFILE%\AppData\Local\Temp\OnboardLogs" /stypes="app*4044*20161214*" /stext=" 01:.+((SYSTEM_STATE.+slice.+state.+changed )|(ment ac)|(multiple cpu faults)|(system.+state.+changed )|(\[timeout)|(PRM\|1\|D)|(kpr)|(kdp)|(\|lc)|(penalty))" /e /r /s</v>
      </c>
      <c r="AG238" s="1" t="str">
        <f t="shared" si="98"/>
        <v>Other</v>
      </c>
      <c r="AH238" s="92" t="str">
        <f t="shared" si="101"/>
        <v>"%USERPROFILE%\Documents\GitHub\eaglep3\Utilities\RefineRTDCRunTimes.py" --tripid 67-13 --locoid 4044 --swversion DE.1.0.8.0 --startMP 204:1524 --initTime 2016-12-13T17:50:41 --startdatetime 2016-12-13T17:52:24 --delay 1 --endMP 300:23308 --enddatetime 2016-12-13T18:12:19 --enforcementcount 1 &gt;&gt;C:\Users\stu\Documents\GitHub\eaglep3-reporting\EC\2016-12-13-refined-times.txt</v>
      </c>
      <c r="AI238" s="119" t="str">
        <f t="shared" si="102"/>
        <v>echo {"issue":{"subject":"","project_id":79,"tracker_id":40,"status_id":1,"priority_id":2,"assigned_to_id":23,"start_date":"2016-12-13","description":"","custom_fields":[{"id":1,"name":"Subdivision","value":"Other"},{"id":4,"name":"Milepost","value":"2.3308"},{"id":17,"name":"Train ID","value":"67-13"},{"id":16,"name":"Locomotive ID","value":"4044"},{"id":130,"name":"Impact","value":""},{"id":150,"name":"Time of Event (Mountain Time)","value":"18:12:19"},{"id":151,"name":"Denver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</sheetData>
  <autoFilter ref="A12:AG226">
    <sortState ref="A13:AG238">
      <sortCondition ref="AG13:AG238"/>
      <sortCondition ref="AD13:AD238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44" operator="equal">
      <formula>"Y"</formula>
    </cfRule>
  </conditionalFormatting>
  <conditionalFormatting sqref="X13:X1048576">
    <cfRule type="cellIs" dxfId="9" priority="327" operator="greaterThan">
      <formula>1</formula>
    </cfRule>
  </conditionalFormatting>
  <conditionalFormatting sqref="X12:X1048576">
    <cfRule type="cellIs" dxfId="8" priority="324" operator="equal">
      <formula>0</formula>
    </cfRule>
  </conditionalFormatting>
  <conditionalFormatting sqref="A13:S238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AK13:AK238</xm:sqref>
        </x14:dataValidation>
        <x14:dataValidation type="list" allowBlank="1" showInputMessage="1" showErrorMessage="1">
          <x14:formula1>
            <xm:f>'Redmine List Values'!$C$2:$C$15</xm:f>
          </x14:formula1>
          <xm:sqref>AL13:AL238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Normal="100" workbookViewId="0">
      <selection activeCell="A20" sqref="A2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COUNTIF($O$7:$O$332,"=Y")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COUNTA($O$7:$O$332)-O2</f>
        <v>42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- 2016-12-13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229</v>
      </c>
    </row>
    <row r="7" spans="1:30" s="1" customFormat="1" x14ac:dyDescent="0.25">
      <c r="A7" s="36">
        <v>42717.692465277774</v>
      </c>
      <c r="B7" s="31" t="s">
        <v>216</v>
      </c>
      <c r="C7" s="31" t="s">
        <v>439</v>
      </c>
      <c r="D7" s="31" t="s">
        <v>49</v>
      </c>
      <c r="E7" s="31" t="s">
        <v>261</v>
      </c>
      <c r="F7" s="47">
        <v>0</v>
      </c>
      <c r="G7" s="47">
        <v>215</v>
      </c>
      <c r="H7" s="47">
        <v>26937</v>
      </c>
      <c r="I7" s="47">
        <v>27279</v>
      </c>
      <c r="J7" s="31" t="s">
        <v>262</v>
      </c>
      <c r="K7" s="47">
        <v>27053</v>
      </c>
      <c r="L7" s="154" t="s">
        <v>50</v>
      </c>
      <c r="M7" s="155">
        <f t="shared" ref="M7:M38" si="0">CONVERT((I7-K7)/10000,"mi","ft")*IF(L7="Increasing Mileposts (1)",-1,1)</f>
        <v>-119.328</v>
      </c>
      <c r="N7" s="156" t="str">
        <f>VLOOKUP(C7,'Trips&amp;Operators'!$C$1:$G$99999,5,FALSE)</f>
        <v>HILLS DUSTIN</v>
      </c>
      <c r="O7" s="182" t="s">
        <v>196</v>
      </c>
      <c r="P7" s="157" t="s">
        <v>829</v>
      </c>
      <c r="Q7" s="31"/>
      <c r="R7" s="100" t="str">
        <f>VLOOKUP(C7,'Train Runs'!$A$13:$AE$9970,31,0)</f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S7" s="103" t="str">
        <f>VLOOKUP(C7,'Train Runs'!$A$13:$AE$9970,22,0)</f>
        <v>https://search-rtdc-monitor-bjffxe2xuh6vdkpspy63sjmuny.us-east-1.es.amazonaws.com/_plugin/kibana/#/discover/Steve-Slow-Train-Analysis-(2080s-and-2083s)?_g=(refreshInterval:(display:Off,section:0,value:0),time:(from:'2016-12-13 15:28:00-700',mode:absolute,to:'2016-12-13 18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/stypes="*4022*201612132*" /stext=" 23:.+((SYSTEM_STATE.+slice.+state.+changed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4022</v>
      </c>
      <c r="V7" s="36">
        <f t="shared" ref="V7:V38" si="3">A7-utc_offset/24</f>
        <v>42717.984131944439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arrival","project_id":79,"tracker_id":40,"status_id":1,"priority_id":2,"assigned_to_id":23,"start_date":"2016-12-13","description":"","custom_fields":[{"id":1,"name":"Subdivision","value":"EC"},{"id":4,"name":"Milepost","value":"2.7053"},{"id":17,"name":"Train ID","value":"203-13"},{"id":16,"name":"Locomotive ID","value":"4022"},{"id":130,"name":"Impact","value":""},{"id":150,"name":"Time of Event (Mountain Time)","value":"16:37:09"},{"id":151,"name":"Denver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"%USERPROFILE%\AppData\Local\Temp\OnboardLogs"\RTDC4022\*4022*201612132*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"%USERPROFILE%\AppData\Local\Temp\OnboardLogs"\RTDC4022\*4022*201612132* &gt;&gt; 42717-slicedisagreementcheck.txt</v>
      </c>
    </row>
    <row r="8" spans="1:30" s="1" customFormat="1" x14ac:dyDescent="0.25">
      <c r="A8" s="36">
        <v>42717.584861111114</v>
      </c>
      <c r="B8" s="31" t="s">
        <v>264</v>
      </c>
      <c r="C8" s="31" t="s">
        <v>430</v>
      </c>
      <c r="D8" s="31" t="s">
        <v>49</v>
      </c>
      <c r="E8" s="31" t="s">
        <v>261</v>
      </c>
      <c r="F8" s="47">
        <v>0</v>
      </c>
      <c r="G8" s="47">
        <v>135</v>
      </c>
      <c r="H8" s="47">
        <v>27361</v>
      </c>
      <c r="I8" s="47">
        <v>27204</v>
      </c>
      <c r="J8" s="31" t="s">
        <v>262</v>
      </c>
      <c r="K8" s="47">
        <v>27350</v>
      </c>
      <c r="L8" s="154" t="s">
        <v>51</v>
      </c>
      <c r="M8" s="155">
        <f t="shared" si="0"/>
        <v>-77.087999999999994</v>
      </c>
      <c r="N8" s="156" t="str">
        <f>VLOOKUP(C8,'Trips&amp;Operators'!$C$1:$G$99999,5,FALSE)</f>
        <v>STORY SAMANTHA</v>
      </c>
      <c r="O8" s="182" t="s">
        <v>196</v>
      </c>
      <c r="P8" s="157" t="s">
        <v>829</v>
      </c>
      <c r="Q8" s="31"/>
      <c r="R8" s="100" t="str">
        <f>VLOOKUP(C8,'Train Runs'!$A$13:$AE$9970,31,0)</f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S8" s="103" t="str">
        <f>VLOOKUP(C8,'Train Runs'!$A$13:$AE$9970,22,0)</f>
        <v>https://search-rtdc-monitor-bjffxe2xuh6vdkpspy63sjmuny.us-east-1.es.amazonaws.com/_plugin/kibana/#/discover/Steve-Slow-Train-Analysis-(2080s-and-2083s)?_g=(refreshInterval:(display:Off,section:0,value:0),time:(from:'2016-12-13 11:34:06-700',mode:absolute,to:'2016-12-13 15:10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8" s="105" t="str">
        <f t="shared" si="1"/>
        <v>"C:\Program Files (x86)\AstroGrep\AstroGrep.exe" /spath="%USERPROFILE%\AppData\Local\Temp\OnboardLogs" /stypes="*4043*201612132*" /stext=" 21:.+((SYSTEM_STATE.+slice.+state.+changed )|(ment ac)|(multiple cpu faults)|(system.+state.+changed )|(\[timeout)|(PRM\|1\|D)|(kpr)|(kdp)|(\|lc)|(penalty))" /e /r /s</v>
      </c>
      <c r="U8" s="9" t="str">
        <f t="shared" si="2"/>
        <v>4043</v>
      </c>
      <c r="V8" s="36">
        <f t="shared" si="3"/>
        <v>42717.876527777778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arrival","project_id":79,"tracker_id":40,"status_id":1,"priority_id":2,"assigned_to_id":23,"start_date":"2016-12-13","description":"","custom_fields":[{"id":1,"name":"Subdivision","value":"EC"},{"id":4,"name":"Milepost","value":"2.735"},{"id":17,"name":"Train ID","value":"172-13"},{"id":16,"name":"Locomotive ID","value":"4043"},{"id":130,"name":"Impact","value":""},{"id":150,"name":"Time of Event (Mountain Time)","value":"14:02:12"},{"id":151,"name":"Denver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"%USERPROFILE%\AppData\Local\Temp\OnboardLogs"\RTDC4043\*4043*201612132*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"%USERPROFILE%\AppData\Local\Temp\OnboardLogs"\RTDC4043\*4043*201612132* &gt;&gt; 42717-slicedisagreementcheck.txt</v>
      </c>
    </row>
    <row r="9" spans="1:30" s="1" customFormat="1" x14ac:dyDescent="0.25">
      <c r="A9" s="36">
        <v>42717.400347222225</v>
      </c>
      <c r="B9" s="31" t="s">
        <v>239</v>
      </c>
      <c r="C9" s="31" t="s">
        <v>415</v>
      </c>
      <c r="D9" s="31" t="s">
        <v>98</v>
      </c>
      <c r="E9" s="31" t="s">
        <v>197</v>
      </c>
      <c r="F9" s="47">
        <v>600</v>
      </c>
      <c r="G9" s="47">
        <v>654</v>
      </c>
      <c r="H9" s="47">
        <v>184294</v>
      </c>
      <c r="I9" s="47">
        <v>180998</v>
      </c>
      <c r="J9" s="31" t="s">
        <v>198</v>
      </c>
      <c r="K9" s="47">
        <v>190834</v>
      </c>
      <c r="L9" s="154" t="s">
        <v>51</v>
      </c>
      <c r="M9" s="155">
        <f t="shared" si="0"/>
        <v>-5193.4080000000004</v>
      </c>
      <c r="N9" s="156" t="str">
        <f>VLOOKUP(C9,'Trips&amp;Operators'!$C$1:$G$99999,5,FALSE)</f>
        <v>CUSHING HARRY</v>
      </c>
      <c r="O9" s="182" t="s">
        <v>196</v>
      </c>
      <c r="P9" s="157"/>
      <c r="Q9" s="31"/>
      <c r="R9" s="100" t="str">
        <f>VLOOKUP(C9,'Train Runs'!$A$13:$AE$9970,31,0)</f>
        <v>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 &amp; aws s3 cp s3://rtdc.mdm.uploadarchive.raw/RTDC4041/ "%USERPROFILE%\AppData\Local\Temp\OnboardLogs"\RTDC4041\2016-12-14 --exclude "*" --recursive --include "*20161214*" &amp; "%USERPROFILE%\Documents\GitHub\mrs-test-scripts\Headless Mode &amp; Sideloading\WalkAndUnGZ.bat" "%USERPROFILE%\AppData\Local\Temp\OnboardLogs"\RTDC4041\2016-12-14</v>
      </c>
      <c r="S9" s="103" t="str">
        <f>VLOOKUP(C9,'Train Runs'!$A$13:$AE$9970,22,0)</f>
        <v>https://search-rtdc-monitor-bjffxe2xuh6vdkpspy63sjmuny.us-east-1.es.amazonaws.com/_plugin/kibana/#/discover/Steve-Slow-Train-Analysis-(2080s-and-2083s)?_g=(refreshInterval:(display:Off,section:0,value:0),time:(from:'2016-12-13 08:23:38-700',mode:absolute,to:'2016-12-13 11:13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9" s="105" t="str">
        <f t="shared" si="1"/>
        <v>"C:\Program Files (x86)\AstroGrep\AstroGrep.exe" /spath="%USERPROFILE%\AppData\Local\Temp\OnboardLogs" /stypes="*4041*201612131*" /stext=" 16:.+((SYSTEM_STATE.+slice.+state.+changed )|(ment ac)|(multiple cpu faults)|(system.+state.+changed )|(\[timeout)|(PRM\|1\|D)|(kpr)|(kdp)|(\|lc)|(penalty))" /e /r /s</v>
      </c>
      <c r="U9" s="9" t="str">
        <f t="shared" si="2"/>
        <v>4041</v>
      </c>
      <c r="V9" s="36">
        <f t="shared" si="3"/>
        <v>42717.692013888889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{"issue":{"subject":"","project_id":79,"tracker_id":40,"status_id":1,"priority_id":2,"assigned_to_id":23,"start_date":"2016-12-13","description":"","custom_fields":[{"id":1,"name":"Subdivision","value":"EC"},{"id":4,"name":"Milepost","value":"19.0834"},{"id":17,"name":"Train ID","value":"140-13"},{"id":16,"name":"Locomotive ID","value":"4041"},{"id":130,"name":"Impact","value":""},{"id":150,"name":"Time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"%USERPROFILE%\AppData\Local\Temp\OnboardLogs"\RTDC4041\*4041*201612131*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"%USERPROFILE%\AppData\Local\Temp\OnboardLogs"\RTDC4041\*4041*201612131* &gt;&gt; 42717-slicedisagreementcheck.txt</v>
      </c>
    </row>
    <row r="10" spans="1:30" s="1" customFormat="1" x14ac:dyDescent="0.25">
      <c r="A10" s="36">
        <v>42718.042523148149</v>
      </c>
      <c r="B10" s="31" t="s">
        <v>274</v>
      </c>
      <c r="C10" s="31" t="s">
        <v>445</v>
      </c>
      <c r="D10" s="31" t="s">
        <v>49</v>
      </c>
      <c r="E10" s="31" t="s">
        <v>197</v>
      </c>
      <c r="F10" s="47">
        <v>450</v>
      </c>
      <c r="G10" s="47">
        <v>556</v>
      </c>
      <c r="H10" s="47">
        <v>189579</v>
      </c>
      <c r="I10" s="47">
        <v>191519</v>
      </c>
      <c r="J10" s="31" t="s">
        <v>198</v>
      </c>
      <c r="K10" s="47">
        <v>190834</v>
      </c>
      <c r="L10" s="154" t="s">
        <v>50</v>
      </c>
      <c r="M10" s="155">
        <f t="shared" si="0"/>
        <v>-361.68</v>
      </c>
      <c r="N10" s="156" t="str">
        <f>VLOOKUP(C10,'Trips&amp;Operators'!$C$1:$G$99999,5,FALSE)</f>
        <v>CHANDLER KELVIN</v>
      </c>
      <c r="O10" s="182" t="s">
        <v>196</v>
      </c>
      <c r="P10" s="157"/>
      <c r="Q10" s="31"/>
      <c r="R10" s="100" t="str">
        <f>VLOOKUP(C10,'Train Runs'!$A$13:$AE$9970,31,0)</f>
        <v>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 &amp; aws s3 cp s3://rtdc.mdm.uploadarchive.raw/RTDC4020/ "%USERPROFILE%\AppData\Local\Temp\OnboardLogs"\RTDC4020\2016-12-15 --exclude "*" --recursive --include "*20161215*" &amp; "%USERPROFILE%\Documents\GitHub\mrs-test-scripts\Headless Mode &amp; Sideloading\WalkAndUnGZ.bat" "%USERPROFILE%\AppData\Local\Temp\OnboardLogs"\RTDC4020\2016-12-15</v>
      </c>
      <c r="S10" s="103" t="str">
        <f>VLOOKUP(C10,'Train Runs'!$A$13:$AE$9970,22,0)</f>
        <v>https://search-rtdc-monitor-bjffxe2xuh6vdkpspy63sjmuny.us-east-1.es.amazonaws.com/_plugin/kibana/#/discover/Steve-Slow-Train-Analysis-(2080s-and-2083s)?_g=(refreshInterval:(display:Off,section:0,value:0),time:(from:'2016-12-13 23:25:22-700',mode:absolute,to:'2016-12-14 02:08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0" s="105" t="str">
        <f t="shared" si="1"/>
        <v>"C:\Program Files (x86)\AstroGrep\AstroGrep.exe" /spath="%USERPROFILE%\AppData\Local\Temp\OnboardLogs" /stypes="*4020*201612140*" /stext=" 08:.+((SYSTEM_STATE.+slice.+state.+changed )|(ment ac)|(multiple cpu faults)|(system.+state.+changed )|(\[timeout)|(PRM\|1\|D)|(kpr)|(kdp)|(\|lc)|(penalty))" /e /r /s</v>
      </c>
      <c r="U10" s="9" t="str">
        <f t="shared" si="2"/>
        <v>4020</v>
      </c>
      <c r="V10" s="36">
        <f t="shared" si="3"/>
        <v>42718.334189814814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{"issue":{"subject":"","project_id":79,"tracker_id":40,"status_id":1,"priority_id":2,"assigned_to_id":23,"start_date":"2016-12-14","description":"","custom_fields":[{"id":1,"name":"Subdivision","value":"EC"},{"id":4,"name":"Milepost","value":"19.0834"},{"id":17,"name":"Train ID","value":"243-13"},{"id":16,"name":"Locomotive ID","value":"4020"},{"id":130,"name":"Impact","value":""},{"id":150,"name":"Time of Event (Mountain Time)","value":"01:01:14"},{"id":151,"name":"Denver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"%USERPROFILE%\AppData\Local\Temp\OnboardLogs"\RTDC4020\*4020*201612140*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"%USERPROFILE%\AppData\Local\Temp\OnboardLogs"\RTDC4020\*4020*201612140* &gt;&gt; 42717-slicedisagreementcheck.txt</v>
      </c>
    </row>
    <row r="11" spans="1:30" s="1" customFormat="1" x14ac:dyDescent="0.25">
      <c r="A11" s="36">
        <v>42717.195960648147</v>
      </c>
      <c r="B11" s="31" t="s">
        <v>405</v>
      </c>
      <c r="C11" s="31" t="s">
        <v>406</v>
      </c>
      <c r="D11" s="31" t="s">
        <v>98</v>
      </c>
      <c r="E11" s="31" t="s">
        <v>197</v>
      </c>
      <c r="F11" s="47">
        <v>150</v>
      </c>
      <c r="G11" s="47">
        <v>207</v>
      </c>
      <c r="H11" s="47">
        <v>231244</v>
      </c>
      <c r="I11" s="47">
        <v>230737</v>
      </c>
      <c r="J11" s="31" t="s">
        <v>198</v>
      </c>
      <c r="K11" s="47">
        <v>231269</v>
      </c>
      <c r="L11" s="154" t="s">
        <v>51</v>
      </c>
      <c r="M11" s="155">
        <f t="shared" si="0"/>
        <v>-280.89600000000002</v>
      </c>
      <c r="N11" s="156" t="str">
        <f>VLOOKUP(C11,'Trips&amp;Operators'!$C$1:$G$99999,5,FALSE)</f>
        <v>ACKERMAN JARED</v>
      </c>
      <c r="O11" s="182" t="s">
        <v>196</v>
      </c>
      <c r="P11" s="157"/>
      <c r="Q11" s="31"/>
      <c r="R11" s="100" t="str">
        <f>VLOOKUP(C11,'Train Runs'!$A$13:$AE$9970,31,0)</f>
        <v>aws s3 cp s3://rtdc.mdm.uploadarchive.raw/RTDC4004/ "%USERPROFILE%\AppData\Local\Temp\OnboardLogs"\RTDC4004\2016-12-13 --exclude "*" --recursive --include "*20161213*" &amp; "%USERPROFILE%\Documents\GitHub\mrs-test-scripts\Headless Mode &amp; Sideloading\WalkAndUnGZ.bat" "%USERPROFILE%\AppData\Local\Temp\OnboardLogs"\RTDC4004\2016-12-13 &amp; aws s3 cp s3://rtdc.mdm.uploadarchive.raw/RTDC4004/ "%USERPROFILE%\AppData\Local\Temp\OnboardLogs"\RTDC4004\2016-12-14 --exclude "*" --recursive --include "*20161214*" &amp; "%USERPROFILE%\Documents\GitHub\mrs-test-scripts\Headless Mode &amp; Sideloading\WalkAndUnGZ.bat" "%USERPROFILE%\AppData\Local\Temp\OnboardLogs"\RTDC4004\2016-12-14</v>
      </c>
      <c r="S11" s="103" t="str">
        <f>VLOOKUP(C11,'Train Runs'!$A$13:$AE$9970,22,0)</f>
        <v>https://search-rtdc-monitor-bjffxe2xuh6vdkpspy63sjmuny.us-east-1.es.amazonaws.com/_plugin/kibana/#/discover/Steve-Slow-Train-Analysis-(2080s-and-2083s)?_g=(refreshInterval:(display:Off,section:0,value:0),time:(from:'2016-12-13 03:32:49-700',mode:absolute,to:'2016-12-13 06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 t="shared" si="1"/>
        <v>"C:\Program Files (x86)\AstroGrep\AstroGrep.exe" /spath="%USERPROFILE%\AppData\Local\Temp\OnboardLogs" /stypes="*4004*201612131*" /stext=" 11:.+((SYSTEM_STATE.+slice.+state.+changed )|(ment ac)|(multiple cpu faults)|(system.+state.+changed )|(\[timeout)|(PRM\|1\|D)|(kpr)|(kdp)|(\|lc)|(penalty))" /e /r /s</v>
      </c>
      <c r="U11" s="9" t="str">
        <f t="shared" si="2"/>
        <v>4004</v>
      </c>
      <c r="V11" s="36">
        <f t="shared" si="3"/>
        <v>42717.487627314811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{"issue":{"subject":"","project_id":79,"tracker_id":40,"status_id":1,"priority_id":2,"assigned_to_id":23,"start_date":"2016-12-13","description":"","custom_fields":[{"id":1,"name":"Subdivision","value":"EC"},{"id":4,"name":"Milepost","value":"23.1269"},{"id":17,"name":"Train ID","value":"104-13"},{"id":16,"name":"Locomotive ID","value":"4004"},{"id":130,"name":"Impact","value":""},{"id":150,"name":"Time of Event (Mountain Time)","value":"04:42:11"},{"id":151,"name":"Denver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"%USERPROFILE%\AppData\Local\Temp\OnboardLogs"\RTDC4004\*4004*201612131*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"%USERPROFILE%\AppData\Local\Temp\OnboardLogs"\RTDC4004\*4004*201612131* &gt;&gt; 42717-slicedisagreementcheck.txt</v>
      </c>
    </row>
    <row r="12" spans="1:30" s="1" customFormat="1" x14ac:dyDescent="0.25">
      <c r="A12" s="36">
        <v>42717.212361111109</v>
      </c>
      <c r="B12" s="31" t="s">
        <v>184</v>
      </c>
      <c r="C12" s="31" t="s">
        <v>408</v>
      </c>
      <c r="D12" s="31" t="s">
        <v>49</v>
      </c>
      <c r="E12" s="31" t="s">
        <v>199</v>
      </c>
      <c r="F12" s="47">
        <v>0</v>
      </c>
      <c r="G12" s="47">
        <v>95</v>
      </c>
      <c r="H12" s="47">
        <v>1213</v>
      </c>
      <c r="I12" s="47">
        <v>1333</v>
      </c>
      <c r="J12" s="31" t="s">
        <v>200</v>
      </c>
      <c r="K12" s="47">
        <v>1692</v>
      </c>
      <c r="L12" s="154" t="s">
        <v>50</v>
      </c>
      <c r="M12" s="155">
        <f t="shared" si="0"/>
        <v>189.55199999999999</v>
      </c>
      <c r="N12" s="156" t="str">
        <f>VLOOKUP(C12,'Trips&amp;Operators'!$C$1:$G$99999,5,FALSE)</f>
        <v>DAVIS MICHAEL</v>
      </c>
      <c r="O12" s="182" t="s">
        <v>196</v>
      </c>
      <c r="P12" s="157" t="s">
        <v>820</v>
      </c>
      <c r="Q12" s="31"/>
      <c r="R12" s="100" t="str">
        <f>VLOOKUP(C12,'Train Runs'!$A$13:$AE$9970,31,0)</f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S12" s="103" t="str">
        <f>VLOOKUP(C12,'Train Runs'!$A$13:$AE$9970,22,0)</f>
        <v>https://search-rtdc-monitor-bjffxe2xuh6vdkpspy63sjmuny.us-east-1.es.amazonaws.com/_plugin/kibana/#/discover/Steve-Slow-Train-Analysis-(2080s-and-2083s)?_g=(refreshInterval:(display:Off,section:0,value:0),time:(from:'2016-12-13 04:15:31-700',mode:absolute,to:'2016-12-13 06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 t="shared" si="1"/>
        <v>"C:\Program Files (x86)\AstroGrep\AstroGrep.exe" /spath="%USERPROFILE%\AppData\Local\Temp\OnboardLogs" /stypes="*4044*201612131*" /stext=" 12:.+((SYSTEM_STATE.+slice.+state.+changed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6">
        <f t="shared" si="3"/>
        <v>42717.504027777773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{"issue":{"subject":"DUS SW 9 was reversed, train didn't have route","project_id":79,"tracker_id":40,"status_id":1,"priority_id":2,"assigned_to_id":23,"start_date":"2016-12-13","description":"","custom_fields":[{"id":1,"name":"Subdivision","value":"EC"},{"id":4,"name":"Milepost","value":"0.1692"},{"id":17,"name":"Train ID","value":"111-13"},{"id":16,"name":"Locomotive ID","value":"4044"},{"id":130,"name":"Impact","value":""},{"id":150,"name":"Time of Event (Mountain Time)","value":"05:05:48"},{"id":151,"name":"Denver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"%USERPROFILE%\AppData\Local\Temp\OnboardLogs"\RTDC4044\*4044*201612131*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"%USERPROFILE%\AppData\Local\Temp\OnboardLogs"\RTDC4044\*4044*201612131* &gt;&gt; 42717-slicedisagreementcheck.txt</v>
      </c>
    </row>
    <row r="13" spans="1:30" s="1" customFormat="1" x14ac:dyDescent="0.25">
      <c r="A13" s="36">
        <v>42717.519201388888</v>
      </c>
      <c r="B13" s="31" t="s">
        <v>155</v>
      </c>
      <c r="C13" s="31" t="s">
        <v>427</v>
      </c>
      <c r="D13" s="31" t="s">
        <v>49</v>
      </c>
      <c r="E13" s="31" t="s">
        <v>199</v>
      </c>
      <c r="F13" s="47">
        <v>0</v>
      </c>
      <c r="G13" s="47">
        <v>649</v>
      </c>
      <c r="H13" s="47">
        <v>41468</v>
      </c>
      <c r="I13" s="47">
        <v>38957</v>
      </c>
      <c r="J13" s="31" t="s">
        <v>200</v>
      </c>
      <c r="K13" s="47">
        <v>38656</v>
      </c>
      <c r="L13" s="154" t="s">
        <v>51</v>
      </c>
      <c r="M13" s="155">
        <f t="shared" si="0"/>
        <v>158.928</v>
      </c>
      <c r="N13" s="156" t="str">
        <f>VLOOKUP(C13,'Trips&amp;Operators'!$C$1:$G$99999,5,FALSE)</f>
        <v>BARTLETT KIANDRA</v>
      </c>
      <c r="O13" s="182" t="s">
        <v>230</v>
      </c>
      <c r="P13" s="157" t="s">
        <v>823</v>
      </c>
      <c r="Q13" s="31"/>
      <c r="R13" s="100" t="str">
        <f>VLOOKUP(C13,'Train Runs'!$A$13:$AE$9970,31,0)</f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S13" s="103" t="str">
        <f>VLOOKUP(C13,'Train Runs'!$A$13:$AE$9970,22,0)</f>
        <v>https://search-rtdc-monitor-bjffxe2xuh6vdkpspy63sjmuny.us-east-1.es.amazonaws.com/_plugin/kibana/#/discover/Steve-Slow-Train-Analysis-(2080s-and-2083s)?_g=(refreshInterval:(display:Off,section:0,value:0),time:(from:'2016-12-13 10:42:23-700',mode:absolute,to:'2016-12-13 13:29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3" s="105" t="str">
        <f t="shared" si="1"/>
        <v>"C:\Program Files (x86)\AstroGrep\AstroGrep.exe" /spath="%USERPROFILE%\AppData\Local\Temp\OnboardLogs" /stypes="*4052*201612131*" /stext=" 19:.+((SYSTEM_STATE.+slice.+state.+changed )|(ment ac)|(multiple cpu faults)|(system.+state.+changed )|(\[timeout)|(PRM\|1\|D)|(kpr)|(kdp)|(\|lc)|(penalty))" /e /r /s</v>
      </c>
      <c r="U13" s="9" t="str">
        <f t="shared" si="2"/>
        <v>4052</v>
      </c>
      <c r="V13" s="36">
        <f t="shared" si="3"/>
        <v>42717.810868055552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{"issue":{"subject":"Wi-MAX data drop","project_id":79,"tracker_id":40,"status_id":1,"priority_id":2,"assigned_to_id":23,"start_date":"2016-12-13","description":"http://stevetu21.github.io/eaglep3/load_kml.html?kml=http://rtdc.gmaps-snips.s3.amazonaws.com/c8c401c3-209e-4063-a77f-222eaa2e00b8.kml","custom_fields":[{"id":1,"name":"Subdivision","value":"EC"},{"id":4,"name":"Milepost","value":"3.8656"},{"id":17,"name":"Train ID","value":"160-13"},{"id":16,"name":"Locomotive ID","value":"4052"},{"id":130,"name":"Impact","value":"Enforcement"},{"id":150,"name":"Time of Event (Mountain Time)","value":"12:27:39"},{"id":151,"name":"Denver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183" t="s">
        <v>831</v>
      </c>
      <c r="AA13" s="53" t="s">
        <v>125</v>
      </c>
      <c r="AB13" s="53" t="s">
        <v>138</v>
      </c>
      <c r="AC13" s="138" t="str">
        <f t="shared" si="7"/>
        <v>grep -hSE -A100 "Enforcement Action" "%USERPROFILE%\AppData\Local\Temp\OnboardLogs"\RTDC4052\*4052*201612131*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"%USERPROFILE%\AppData\Local\Temp\OnboardLogs"\RTDC4052\*4052*201612131* &gt;&gt; 42717-slicedisagreementcheck.txt</v>
      </c>
    </row>
    <row r="14" spans="1:30" s="1" customFormat="1" x14ac:dyDescent="0.25">
      <c r="A14" s="36">
        <v>42717.20171296296</v>
      </c>
      <c r="B14" s="31" t="s">
        <v>233</v>
      </c>
      <c r="C14" s="31" t="s">
        <v>407</v>
      </c>
      <c r="D14" s="31" t="s">
        <v>49</v>
      </c>
      <c r="E14" s="31" t="s">
        <v>199</v>
      </c>
      <c r="F14" s="47">
        <v>0</v>
      </c>
      <c r="G14" s="47">
        <v>632</v>
      </c>
      <c r="H14" s="47">
        <v>93626</v>
      </c>
      <c r="I14" s="47">
        <v>96381</v>
      </c>
      <c r="J14" s="31" t="s">
        <v>200</v>
      </c>
      <c r="K14" s="47">
        <v>95978</v>
      </c>
      <c r="L14" s="154" t="s">
        <v>50</v>
      </c>
      <c r="M14" s="155">
        <f t="shared" si="0"/>
        <v>-212.78399999999999</v>
      </c>
      <c r="N14" s="156" t="str">
        <f>VLOOKUP(C14,'Trips&amp;Operators'!$C$1:$G$99999,5,FALSE)</f>
        <v>SPECTOR MICHAEL</v>
      </c>
      <c r="O14" s="182" t="s">
        <v>230</v>
      </c>
      <c r="P14" s="157" t="s">
        <v>823</v>
      </c>
      <c r="Q14" s="31"/>
      <c r="R14" s="100" t="str">
        <f>VLOOKUP(C14,'Train Runs'!$A$13:$AE$9970,31,0)</f>
        <v>aws s3 cp s3://rtdc.mdm.uploadarchive.raw/RTDC4031/ "%USERPROFILE%\AppData\Local\Temp\OnboardLogs"\RTDC4031\2016-12-13 --exclude "*" --recursive --include "*20161213*" &amp; "%USERPROFILE%\Documents\GitHub\mrs-test-scripts\Headless Mode &amp; Sideloading\WalkAndUnGZ.bat" "%USERPROFILE%\AppData\Local\Temp\OnboardLogs"\RTDC4031\2016-12-13 &amp; aws s3 cp s3://rtdc.mdm.uploadarchive.raw/RTDC4031/ "%USERPROFILE%\AppData\Local\Temp\OnboardLogs"\RTDC4031\2016-12-14 --exclude "*" --recursive --include "*20161214*" &amp; "%USERPROFILE%\Documents\GitHub\mrs-test-scripts\Headless Mode &amp; Sideloading\WalkAndUnGZ.bat" "%USERPROFILE%\AppData\Local\Temp\OnboardLogs"\RTDC4031\2016-12-14</v>
      </c>
      <c r="S14" s="103" t="str">
        <f>VLOOKUP(C14,'Train Runs'!$A$13:$AE$9970,22,0)</f>
        <v>https://search-rtdc-monitor-bjffxe2xuh6vdkpspy63sjmuny.us-east-1.es.amazonaws.com/_plugin/kibana/#/discover/Steve-Slow-Train-Analysis-(2080s-and-2083s)?_g=(refreshInterval:(display:Off,section:0,value:0),time:(from:'2016-12-13 03:24:37-700',mode:absolute,to:'2016-12-13 06:10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/stypes="*4031*201612131*" /stext=" 11:.+((SYSTEM_STATE.+slice.+state.+changed )|(ment ac)|(multiple cpu faults)|(system.+state.+changed )|(\[timeout)|(PRM\|1\|D)|(kpr)|(kdp)|(\|lc)|(penalty))" /e /r /s</v>
      </c>
      <c r="U14" s="9" t="str">
        <f t="shared" si="2"/>
        <v>4031</v>
      </c>
      <c r="V14" s="36">
        <f t="shared" si="3"/>
        <v>42717.493379629625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{"issue":{"subject":"Wi-MAX data drop","project_id":79,"tracker_id":40,"status_id":1,"priority_id":2,"assigned_to_id":23,"start_date":"2016-12-13","description":"http://stevetu21.github.io/eaglep3/load_kml.html?kml=http://rtdc.gmaps-snips.s3.amazonaws.com/1ea63d55-5467-4deb-81ab-dcb7bed3fb5c.kml","custom_fields":[{"id":1,"name":"Subdivision","value":"EC"},{"id":4,"name":"Milepost","value":"9.5978"},{"id":17,"name":"Train ID","value":"107-13"},{"id":16,"name":"Locomotive ID","value":"4031"},{"id":130,"name":"Impact","value":"Enforcement"},{"id":150,"name":"Time of Event (Mountain Time)","value":"04:50:28"},{"id":151,"name":"Denver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4" s="183" t="s">
        <v>832</v>
      </c>
      <c r="AA14" s="53" t="s">
        <v>125</v>
      </c>
      <c r="AB14" s="53" t="s">
        <v>138</v>
      </c>
      <c r="AC14" s="138" t="str">
        <f t="shared" si="7"/>
        <v>grep -hSE -A100 "Enforcement Action" "%USERPROFILE%\AppData\Local\Temp\OnboardLogs"\RTDC4031\*4031*201612131*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"%USERPROFILE%\AppData\Local\Temp\OnboardLogs"\RTDC4031\*4031*201612131* &gt;&gt; 42717-slicedisagreementcheck.txt</v>
      </c>
    </row>
    <row r="15" spans="1:30" s="1" customFormat="1" x14ac:dyDescent="0.25">
      <c r="A15" s="36">
        <v>42717.44259259259</v>
      </c>
      <c r="B15" s="31" t="s">
        <v>253</v>
      </c>
      <c r="C15" s="31" t="s">
        <v>421</v>
      </c>
      <c r="D15" s="31" t="s">
        <v>49</v>
      </c>
      <c r="E15" s="31" t="s">
        <v>199</v>
      </c>
      <c r="F15" s="47">
        <v>0</v>
      </c>
      <c r="G15" s="47">
        <v>69</v>
      </c>
      <c r="H15" s="47">
        <v>103238</v>
      </c>
      <c r="I15" s="47">
        <v>103335</v>
      </c>
      <c r="J15" s="31" t="s">
        <v>200</v>
      </c>
      <c r="K15" s="47">
        <v>103445</v>
      </c>
      <c r="L15" s="154" t="s">
        <v>50</v>
      </c>
      <c r="M15" s="155">
        <f t="shared" si="0"/>
        <v>58.08</v>
      </c>
      <c r="N15" s="156" t="str">
        <f>VLOOKUP(C15,'Trips&amp;Operators'!$C$1:$G$99999,5,FALSE)</f>
        <v>SPECTOR MICHAEL</v>
      </c>
      <c r="O15" s="182" t="s">
        <v>196</v>
      </c>
      <c r="P15" s="157" t="s">
        <v>821</v>
      </c>
      <c r="Q15" s="31"/>
      <c r="R15" s="100" t="str">
        <f>VLOOKUP(C15,'Train Runs'!$A$13:$AE$9970,31,0)</f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S15" s="103" t="str">
        <f>VLOOKUP(C15,'Train Runs'!$A$13:$AE$9970,22,0)</f>
        <v>https://search-rtdc-monitor-bjffxe2xuh6vdkpspy63sjmuny.us-east-1.es.amazonaws.com/_plugin/kibana/#/discover/Steve-Slow-Train-Analysis-(2080s-and-2083s)?_g=(refreshInterval:(display:Off,section:0,value:0),time:(from:'2016-12-13 09:43:49-700',mode:absolute,to:'2016-12-13 12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5" s="105" t="str">
        <f t="shared" si="1"/>
        <v>"C:\Program Files (x86)\AstroGrep\AstroGrep.exe" /spath="%USERPROFILE%\AppData\Local\Temp\OnboardLogs" /stypes="*4016*201612131*" /stext=" 17:.+((SYSTEM_STATE.+slice.+state.+changed )|(ment ac)|(multiple cpu faults)|(system.+state.+changed )|(\[timeout)|(PRM\|1\|D)|(kpr)|(kdp)|(\|lc)|(penalty))" /e /r /s</v>
      </c>
      <c r="U15" s="9" t="str">
        <f t="shared" si="2"/>
        <v>4016</v>
      </c>
      <c r="V15" s="36">
        <f t="shared" si="3"/>
        <v>42717.734259259254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{"issue":{"subject":"Sable 2N stuck at STOP (XING dependency?)","project_id":79,"tracker_id":40,"status_id":1,"priority_id":2,"assigned_to_id":23,"start_date":"2016-12-13","description":"","custom_fields":[{"id":1,"name":"Subdivision","value":"EC"},{"id":4,"name":"Milepost","value":"10.3445"},{"id":17,"name":"Train ID","value":"151-13"},{"id":16,"name":"Locomotive ID","value":"4016"},{"id":130,"name":"Impact","value":""},{"id":150,"name":"Time of Event (Mountain Time)","value":"10:37:20"},{"id":151,"name":"Denver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"%USERPROFILE%\AppData\Local\Temp\OnboardLogs"\RTDC4016\*4016*201612131*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"%USERPROFILE%\AppData\Local\Temp\OnboardLogs"\RTDC4016\*4016*201612131* &gt;&gt; 42717-slicedisagreementcheck.txt</v>
      </c>
    </row>
    <row r="16" spans="1:30" s="1" customFormat="1" x14ac:dyDescent="0.25">
      <c r="A16" s="36">
        <v>42717.400706018518</v>
      </c>
      <c r="B16" s="31" t="s">
        <v>281</v>
      </c>
      <c r="C16" s="31" t="s">
        <v>416</v>
      </c>
      <c r="D16" s="31" t="s">
        <v>49</v>
      </c>
      <c r="E16" s="31" t="s">
        <v>199</v>
      </c>
      <c r="F16" s="47">
        <v>0</v>
      </c>
      <c r="G16" s="47">
        <v>510</v>
      </c>
      <c r="H16" s="47">
        <v>108833</v>
      </c>
      <c r="I16" s="47">
        <v>106866</v>
      </c>
      <c r="J16" s="31" t="s">
        <v>200</v>
      </c>
      <c r="K16" s="47">
        <v>104776</v>
      </c>
      <c r="L16" s="154" t="s">
        <v>51</v>
      </c>
      <c r="M16" s="155">
        <f t="shared" si="0"/>
        <v>1103.52</v>
      </c>
      <c r="N16" s="156" t="str">
        <f>VLOOKUP(C16,'Trips&amp;Operators'!$C$1:$G$99999,5,FALSE)</f>
        <v>SPECTOR MICHAEL</v>
      </c>
      <c r="O16" s="182" t="s">
        <v>230</v>
      </c>
      <c r="P16" s="157" t="s">
        <v>823</v>
      </c>
      <c r="Q16" s="31"/>
      <c r="R16" s="100" t="str">
        <f>VLOOKUP(C16,'Train Runs'!$A$13:$AE$9970,31,0)</f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S16" s="103" t="str">
        <f>VLOOKUP(C16,'Train Runs'!$A$13:$AE$9970,22,0)</f>
        <v>https://search-rtdc-monitor-bjffxe2xuh6vdkpspy63sjmuny.us-east-1.es.amazonaws.com/_plugin/kibana/#/discover/Steve-Slow-Train-Analysis-(2080s-and-2083s)?_g=(refreshInterval:(display:Off,section:0,value:0),time:(from:'2016-12-13 08:11:33-700',mode:absolute,to:'2016-12-13 11:00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6" s="105" t="str">
        <f t="shared" si="1"/>
        <v>"C:\Program Files (x86)\AstroGrep\AstroGrep.exe" /spath="%USERPROFILE%\AppData\Local\Temp\OnboardLogs" /stypes="*4015*201612131*" /stext=" 16:.+((SYSTEM_STATE.+slice.+state.+changed )|(ment ac)|(multiple cpu faults)|(system.+state.+changed )|(\[timeout)|(PRM\|1\|D)|(kpr)|(kdp)|(\|lc)|(penalty))" /e /r /s</v>
      </c>
      <c r="U16" s="9" t="str">
        <f t="shared" si="2"/>
        <v>4015</v>
      </c>
      <c r="V16" s="36">
        <f t="shared" si="3"/>
        <v>42717.692372685182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-13","description":"http://stevetu21.github.io/eaglep3/load_kml.html?kml=http://rtdc.gmaps-snips.s3.amazonaws.com/3a7a92b0-dfb8-45cb-9049-d0962f29e465.kml","custom_fields":[{"id":1,"name":"Subdivision","value":"EC"},{"id":4,"name":"Milepost","value":"10.4776"},{"id":17,"name":"Train ID","value":"138-13"},{"id":16,"name":"Locomotive ID","value":"4015"},{"id":130,"name":"Impact","value":"Enforcement"},{"id":150,"name":"Time of Event (Mountain Time)","value":"09:37:01"},{"id":151,"name":"Denver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3" t="s">
        <v>833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"%USERPROFILE%\AppData\Local\Temp\OnboardLogs"\RTDC4015\*4015*201612131*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"%USERPROFILE%\AppData\Local\Temp\OnboardLogs"\RTDC4015\*4015*201612131* &gt;&gt; 42717-slicedisagreementcheck.txt</v>
      </c>
    </row>
    <row r="17" spans="1:30" s="1" customFormat="1" x14ac:dyDescent="0.25">
      <c r="A17" s="36">
        <v>42717.786770833336</v>
      </c>
      <c r="B17" s="31" t="s">
        <v>274</v>
      </c>
      <c r="C17" s="31" t="s">
        <v>441</v>
      </c>
      <c r="D17" s="31" t="s">
        <v>49</v>
      </c>
      <c r="E17" s="31" t="s">
        <v>199</v>
      </c>
      <c r="F17" s="47">
        <v>0</v>
      </c>
      <c r="G17" s="47">
        <v>558</v>
      </c>
      <c r="H17" s="47">
        <v>121895</v>
      </c>
      <c r="I17" s="47">
        <v>123986</v>
      </c>
      <c r="J17" s="31" t="s">
        <v>200</v>
      </c>
      <c r="K17" s="47">
        <v>126585</v>
      </c>
      <c r="L17" s="154" t="s">
        <v>50</v>
      </c>
      <c r="M17" s="155">
        <f t="shared" si="0"/>
        <v>1372.2720000000002</v>
      </c>
      <c r="N17" s="156" t="str">
        <f>VLOOKUP(C17,'Trips&amp;Operators'!$C$1:$G$99999,5,FALSE)</f>
        <v>CHANDLER KELVIN</v>
      </c>
      <c r="O17" s="182" t="s">
        <v>196</v>
      </c>
      <c r="P17" s="157" t="s">
        <v>834</v>
      </c>
      <c r="Q17" s="31"/>
      <c r="R17" s="100" t="str">
        <f>VLOOKUP(C17,'Train Runs'!$A$13:$AE$9970,31,0)</f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S17" s="103" t="str">
        <f>VLOOKUP(C17,'Train Runs'!$A$13:$AE$9970,22,0)</f>
        <v>https://search-rtdc-monitor-bjffxe2xuh6vdkpspy63sjmuny.us-east-1.es.amazonaws.com/_plugin/kibana/#/discover/Steve-Slow-Train-Analysis-(2080s-and-2083s)?_g=(refreshInterval:(display:Off,section:0,value:0),time:(from:'2016-12-13 17:30:01-700',mode:absolute,to:'2016-12-13 20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7" s="105" t="str">
        <f t="shared" si="1"/>
        <v>"C:\Program Files (x86)\AstroGrep\AstroGrep.exe" /spath="%USERPROFILE%\AppData\Local\Temp\OnboardLogs" /stypes="*4020*201612140*" /stext=" 01:.+((SYSTEM_STATE.+slice.+state.+changed )|(ment ac)|(multiple cpu faults)|(system.+state.+changed )|(\[timeout)|(PRM\|1\|D)|(kpr)|(kdp)|(\|lc)|(penalty))" /e /r /s</v>
      </c>
      <c r="U17" s="9" t="str">
        <f t="shared" si="2"/>
        <v>4020</v>
      </c>
      <c r="V17" s="36">
        <f t="shared" si="3"/>
        <v>42718.0784375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{"issue":{"subject":"40th 2N RESTRICTED aspect","project_id":79,"tracker_id":40,"status_id":1,"priority_id":2,"assigned_to_id":23,"start_date":"2016-12-13","description":"","custom_fields":[{"id":1,"name":"Subdivision","value":"EC"},{"id":4,"name":"Milepost","value":"12.6585"},{"id":17,"name":"Train ID","value":"219-13"},{"id":16,"name":"Locomotive ID","value":"4020"},{"id":130,"name":"Impact","value":""},{"id":150,"name":"Time of Event (Mountain Time)","value":"18:52:57"},{"id":151,"name":"Denver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"%USERPROFILE%\AppData\Local\Temp\OnboardLogs"\RTDC4020\*4020*201612140*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"%USERPROFILE%\AppData\Local\Temp\OnboardLogs"\RTDC4020\*4020*201612140* &gt;&gt; 42717-slicedisagreementcheck.txt</v>
      </c>
    </row>
    <row r="18" spans="1:30" s="1" customFormat="1" x14ac:dyDescent="0.25">
      <c r="A18" s="36">
        <v>42717.654039351852</v>
      </c>
      <c r="B18" s="31" t="s">
        <v>155</v>
      </c>
      <c r="C18" s="31" t="s">
        <v>435</v>
      </c>
      <c r="D18" s="31" t="s">
        <v>49</v>
      </c>
      <c r="E18" s="31" t="s">
        <v>199</v>
      </c>
      <c r="F18" s="47">
        <v>0</v>
      </c>
      <c r="G18" s="47">
        <v>101</v>
      </c>
      <c r="H18" s="47">
        <v>128313</v>
      </c>
      <c r="I18" s="47">
        <v>128119</v>
      </c>
      <c r="J18" s="31" t="s">
        <v>200</v>
      </c>
      <c r="K18" s="47">
        <v>127587</v>
      </c>
      <c r="L18" s="154" t="s">
        <v>51</v>
      </c>
      <c r="M18" s="155">
        <f t="shared" si="0"/>
        <v>280.89600000000002</v>
      </c>
      <c r="N18" s="156" t="str">
        <f>VLOOKUP(C18,'Trips&amp;Operators'!$C$1:$G$99999,5,FALSE)</f>
        <v>BARTLETT KIANDRA</v>
      </c>
      <c r="O18" s="182" t="s">
        <v>196</v>
      </c>
      <c r="P18" s="157" t="s">
        <v>961</v>
      </c>
      <c r="Q18" s="31"/>
      <c r="R18" s="100" t="str">
        <f>VLOOKUP(C18,'Train Runs'!$A$13:$AE$9970,31,0)</f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S18" s="103" t="str">
        <f>VLOOKUP(C18,'Train Runs'!$A$13:$AE$9970,22,0)</f>
        <v>https://search-rtdc-monitor-bjffxe2xuh6vdkpspy63sjmuny.us-east-1.es.amazonaws.com/_plugin/kibana/#/discover/Steve-Slow-Train-Analysis-(2080s-and-2083s)?_g=(refreshInterval:(display:Off,section:0,value:0),time:(from:'2016-12-13 14:19:36-700',mode:absolute,to:'2016-12-13 17:08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8" s="105" t="str">
        <f t="shared" si="1"/>
        <v>"C:\Program Files (x86)\AstroGrep\AstroGrep.exe" /spath="%USERPROFILE%\AppData\Local\Temp\OnboardLogs" /stypes="*4052*201612132*" /stext=" 22:.+((SYSTEM_STATE.+slice.+state.+changed )|(ment ac)|(multiple cpu faults)|(system.+state.+changed )|(\[timeout)|(PRM\|1\|D)|(kpr)|(kdp)|(\|lc)|(penalty))" /e /r /s</v>
      </c>
      <c r="U18" s="9" t="str">
        <f t="shared" si="2"/>
        <v>4052</v>
      </c>
      <c r="V18" s="36">
        <f t="shared" si="3"/>
        <v>42717.945706018516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{"issue":{"subject":"40th 4S STOP, banner without braking","project_id":79,"tracker_id":40,"status_id":1,"priority_id":2,"assigned_to_id":23,"start_date":"2016-12-13","description":"","custom_fields":[{"id":1,"name":"Subdivision","value":"EC"},{"id":4,"name":"Milepost","value":"12.7587"},{"id":17,"name":"Train ID","value":"188-13"},{"id":16,"name":"Locomotive ID","value":"4052"},{"id":130,"name":"Impact","value":""},{"id":150,"name":"Time of Event (Mountain Time)","value":"15:41:49"},{"id":151,"name":"Denver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"%USERPROFILE%\AppData\Local\Temp\OnboardLogs"\RTDC4052\*4052*201612132*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"%USERPROFILE%\AppData\Local\Temp\OnboardLogs"\RTDC4052\*4052*201612132* &gt;&gt; 42717-slicedisagreementcheck.txt</v>
      </c>
    </row>
    <row r="19" spans="1:30" s="1" customFormat="1" x14ac:dyDescent="0.25">
      <c r="A19" s="36">
        <v>42717.710439814815</v>
      </c>
      <c r="B19" s="31" t="s">
        <v>216</v>
      </c>
      <c r="C19" s="31" t="s">
        <v>439</v>
      </c>
      <c r="D19" s="31" t="s">
        <v>49</v>
      </c>
      <c r="E19" s="31" t="s">
        <v>199</v>
      </c>
      <c r="F19" s="47">
        <v>0</v>
      </c>
      <c r="G19" s="47">
        <v>594</v>
      </c>
      <c r="H19" s="47">
        <v>190609</v>
      </c>
      <c r="I19" s="47">
        <v>193413</v>
      </c>
      <c r="J19" s="31" t="s">
        <v>200</v>
      </c>
      <c r="K19" s="47">
        <v>190738</v>
      </c>
      <c r="L19" s="154" t="s">
        <v>50</v>
      </c>
      <c r="M19" s="155">
        <f t="shared" si="0"/>
        <v>-1412.4</v>
      </c>
      <c r="N19" s="156" t="str">
        <f>VLOOKUP(C19,'Trips&amp;Operators'!$C$1:$G$99999,5,FALSE)</f>
        <v>HILLS DUSTIN</v>
      </c>
      <c r="O19" s="182" t="s">
        <v>230</v>
      </c>
      <c r="P19" s="157" t="s">
        <v>825</v>
      </c>
      <c r="Q19" s="31"/>
      <c r="R19" s="100" t="str">
        <f>VLOOKUP(C19,'Train Runs'!$A$13:$AE$9970,31,0)</f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S19" s="103" t="str">
        <f>VLOOKUP(C19,'Train Runs'!$A$13:$AE$9970,22,0)</f>
        <v>https://search-rtdc-monitor-bjffxe2xuh6vdkpspy63sjmuny.us-east-1.es.amazonaws.com/_plugin/kibana/#/discover/Steve-Slow-Train-Analysis-(2080s-and-2083s)?_g=(refreshInterval:(display:Off,section:0,value:0),time:(from:'2016-12-13 15:28:00-700',mode:absolute,to:'2016-12-13 18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9" s="105" t="str">
        <f t="shared" si="1"/>
        <v>"C:\Program Files (x86)\AstroGrep\AstroGrep.exe" /spath="%USERPROFILE%\AppData\Local\Temp\OnboardLogs" /stypes="*4022*201612140*" /stext=" 00:.+((SYSTEM_STATE.+slice.+state.+changed )|(ment ac)|(multiple cpu faults)|(system.+state.+changed )|(\[timeout)|(PRM\|1\|D)|(kpr)|(kdp)|(\|lc)|(penalty))" /e /r /s</v>
      </c>
      <c r="U19" s="9" t="str">
        <f t="shared" si="2"/>
        <v>4022</v>
      </c>
      <c r="V19" s="36">
        <f t="shared" si="3"/>
        <v>42718.002106481479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{"issue":{"subject":"Premature downgrade at Pena 2N","project_id":79,"tracker_id":40,"status_id":1,"priority_id":2,"assigned_to_id":23,"start_date":"2016-12-13","description":"","custom_fields":[{"id":1,"name":"Subdivision","value":"EC"},{"id":4,"name":"Milepost","value":"19.0738"},{"id":17,"name":"Train ID","value":"203-13"},{"id":16,"name":"Locomotive ID","value":"4022"},{"id":130,"name":"Impact","value":""},{"id":150,"name":"Time of Event (Mountain Time)","value":"17:03:02"},{"id":151,"name":"Denver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"%USERPROFILE%\AppData\Local\Temp\OnboardLogs"\RTDC4022\*4022*201612140*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"%USERPROFILE%\AppData\Local\Temp\OnboardLogs"\RTDC4022\*4022*201612140* &gt;&gt; 42717-slicedisagreementcheck.txt</v>
      </c>
    </row>
    <row r="20" spans="1:30" x14ac:dyDescent="0.25">
      <c r="A20" s="36">
        <v>42717.467928240738</v>
      </c>
      <c r="B20" s="31" t="s">
        <v>273</v>
      </c>
      <c r="C20" s="31" t="s">
        <v>424</v>
      </c>
      <c r="D20" s="31" t="s">
        <v>98</v>
      </c>
      <c r="E20" s="31" t="s">
        <v>282</v>
      </c>
      <c r="F20" s="47">
        <v>0</v>
      </c>
      <c r="G20" s="47">
        <v>428</v>
      </c>
      <c r="H20" s="47">
        <v>14649</v>
      </c>
      <c r="I20" s="47">
        <v>13201</v>
      </c>
      <c r="J20" s="31" t="s">
        <v>283</v>
      </c>
      <c r="K20" s="47">
        <v>17100</v>
      </c>
      <c r="L20" s="154" t="s">
        <v>51</v>
      </c>
      <c r="M20" s="155">
        <f t="shared" si="0"/>
        <v>-2058.672</v>
      </c>
      <c r="N20" s="156" t="str">
        <f>VLOOKUP(C20,'Trips&amp;Operators'!$C$1:$G$99999,5,FALSE)</f>
        <v>ACKERMAN JARED</v>
      </c>
      <c r="O20" s="182" t="s">
        <v>230</v>
      </c>
      <c r="P20" s="157" t="s">
        <v>823</v>
      </c>
      <c r="Q20" s="31"/>
      <c r="R20" s="100" t="str">
        <f>VLOOKUP(C20,'Train Runs'!$A$13:$AE$9970,31,0)</f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S20" s="103" t="str">
        <f>VLOOKUP(C20,'Train Runs'!$A$13:$AE$9970,22,0)</f>
        <v>https://search-rtdc-monitor-bjffxe2xuh6vdkpspy63sjmuny.us-east-1.es.amazonaws.com/_plugin/kibana/#/discover/Steve-Slow-Train-Analysis-(2080s-and-2083s)?_g=(refreshInterval:(display:Off,section:0,value:0),time:(from:'2016-12-13 09:32:41-700',mode:absolute,to:'2016-12-13 12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0" s="105" t="str">
        <f t="shared" si="1"/>
        <v>"C:\Program Files (x86)\AstroGrep\AstroGrep.exe" /spath="%USERPROFILE%\AppData\Local\Temp\OnboardLogs" /stypes="*4019*201612131*" /stext=" 18:.+((SYSTEM_STATE.+slice.+state.+changed )|(ment ac)|(multiple cpu faults)|(system.+state.+changed )|(\[timeout)|(PRM\|1\|D)|(kpr)|(kdp)|(\|lc)|(penalty))" /e /r /s</v>
      </c>
      <c r="U20" s="9" t="str">
        <f t="shared" si="2"/>
        <v>4019</v>
      </c>
      <c r="V20" s="36">
        <f t="shared" si="3"/>
        <v>42717.759594907402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-12-13","description":"http://stevetu21.github.io/eaglep3/load_kml.html?kml=http://rtdc.gmaps-snips.s3.amazonaws.com/6724e7d5-7b22-49b0-8fab-a1ea7f671538.kml","custom_fields":[{"id":1,"name":"Subdivision","value":"EC"},{"id":4,"name":"Milepost","value":"1.71"},{"id":17,"name":"Train ID","value":"148-13"},{"id":16,"name":"Locomotive ID","value":"4019"},{"id":130,"name":"Impact","value":"Enforcement"},{"id":150,"name":"Time of Event (Mountain Time)","value":"11:13:49"},{"id":151,"name":"Denver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s="53" t="s">
        <v>835</v>
      </c>
      <c r="AA20" s="53" t="s">
        <v>125</v>
      </c>
      <c r="AB20" s="53" t="s">
        <v>138</v>
      </c>
      <c r="AC20" s="138" t="str">
        <f t="shared" si="7"/>
        <v>grep -hSE -A100 "Enforcement Action" "%USERPROFILE%\AppData\Local\Temp\OnboardLogs"\RTDC4019\*4019*201612131*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"%USERPROFILE%\AppData\Local\Temp\OnboardLogs"\RTDC4019\*4019*201612131* &gt;&gt; 42717-slicedisagreementcheck.txt</v>
      </c>
    </row>
    <row r="21" spans="1:30" x14ac:dyDescent="0.25">
      <c r="A21" s="36">
        <v>42717.638437499998</v>
      </c>
      <c r="B21" s="31" t="s">
        <v>274</v>
      </c>
      <c r="C21" s="31" t="s">
        <v>434</v>
      </c>
      <c r="D21" s="31" t="s">
        <v>49</v>
      </c>
      <c r="E21" s="31" t="s">
        <v>282</v>
      </c>
      <c r="F21" s="47">
        <v>0</v>
      </c>
      <c r="G21" s="47">
        <v>754</v>
      </c>
      <c r="H21" s="47">
        <v>97618</v>
      </c>
      <c r="I21" s="47">
        <v>100780</v>
      </c>
      <c r="J21" s="31" t="s">
        <v>283</v>
      </c>
      <c r="K21" s="47">
        <v>103445</v>
      </c>
      <c r="L21" s="154" t="s">
        <v>50</v>
      </c>
      <c r="M21" s="155">
        <f t="shared" si="0"/>
        <v>1407.12</v>
      </c>
      <c r="N21" s="156" t="str">
        <f>VLOOKUP(C21,'Trips&amp;Operators'!$C$1:$G$99999,5,FALSE)</f>
        <v>HELVIE ADAM</v>
      </c>
      <c r="O21" s="182" t="s">
        <v>230</v>
      </c>
      <c r="P21" s="157" t="s">
        <v>823</v>
      </c>
      <c r="Q21" s="31"/>
      <c r="R21" s="100" t="str">
        <f>VLOOKUP(C21,'Train Runs'!$A$13:$AE$9970,31,0)</f>
        <v>aws s3 cp s3://rtdc.mdm.uploadarchive.raw/RTDC4020/ "%USERPROFILE%\AppData\Local\Temp\OnboardLogs"\RTDC4020\2016-12-13 --exclude "*" --recursive --include "*20161213*" &amp; "%USERPROFILE%\Documents\GitHub\mrs-test-scripts\Headless Mode &amp; Sideloading\WalkAndUnGZ.bat" "%USERPROFILE%\AppData\Local\Temp\OnboardLogs"\RTDC4020\2016-12-13 &amp; aws s3 cp s3://rtdc.mdm.uploadarchive.raw/RTDC4020/ "%USERPROFILE%\AppData\Local\Temp\OnboardLogs"\RTDC4020\2016-12-14 --exclude "*" --recursive --include "*20161214*" &amp; "%USERPROFILE%\Documents\GitHub\mrs-test-scripts\Headless Mode &amp; Sideloading\WalkAndUnGZ.bat" "%USERPROFILE%\AppData\Local\Temp\OnboardLogs"\RTDC4020\2016-12-14</v>
      </c>
      <c r="S21" s="103" t="str">
        <f>VLOOKUP(C21,'Train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13:58:09-700',mode:absolute,to:'2016-12-13 16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1" s="105" t="str">
        <f t="shared" si="1"/>
        <v>"C:\Program Files (x86)\AstroGrep\AstroGrep.exe" /spath="%USERPROFILE%\AppData\Local\Temp\OnboardLogs" /stypes="*4020*201612132*" /stext=" 22:.+((SYSTEM_STATE.+slice.+state.+changed )|(ment ac)|(multiple cpu faults)|(system.+state.+changed )|(\[timeout)|(PRM\|1\|D)|(kpr)|(kdp)|(\|lc)|(penalty))" /e /r /s</v>
      </c>
      <c r="U21" s="9" t="str">
        <f t="shared" si="2"/>
        <v>4020</v>
      </c>
      <c r="V21" s="36">
        <f t="shared" si="3"/>
        <v>42717.930104166662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{"issue":{"subject":"Wi-MAX data drop","project_id":79,"tracker_id":40,"status_id":1,"priority_id":2,"assigned_to_id":23,"start_date":"2016-12-13","description":"http://stevetu21.github.io/eaglep3/load_kml.html?kml=http://rtdc.gmaps-snips.s3.amazonaws.com/cb4080be-70bb-4ef4-9495-bf99725c2326.kml","custom_fields":[{"id":1,"name":"Subdivision","value":"EC"},{"id":4,"name":"Milepost","value":"10.3445"},{"id":17,"name":"Train ID","value":"191-13"},{"id":16,"name":"Locomotive ID","value":"4020"},{"id":130,"name":"Impact","value":"Enforcement"},{"id":150,"name":"Time of Event (Mountain Time)","value":"15:19:21"},{"id":151,"name":"Denver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83" t="s">
        <v>836</v>
      </c>
      <c r="AA21" s="53" t="s">
        <v>125</v>
      </c>
      <c r="AB21" s="53" t="s">
        <v>138</v>
      </c>
      <c r="AC21" s="138" t="str">
        <f t="shared" si="7"/>
        <v>grep -hSE -A100 "Enforcement Action" "%USERPROFILE%\AppData\Local\Temp\OnboardLogs"\RTDC4020\*4020*201612132*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"%USERPROFILE%\AppData\Local\Temp\OnboardLogs"\RTDC4020\*4020*201612132* &gt;&gt; 42717-slicedisagreementcheck.txt</v>
      </c>
    </row>
    <row r="22" spans="1:30" ht="15" customHeight="1" x14ac:dyDescent="0.25">
      <c r="A22" s="36">
        <v>42717.330578703702</v>
      </c>
      <c r="B22" s="31" t="s">
        <v>281</v>
      </c>
      <c r="C22" s="31" t="s">
        <v>411</v>
      </c>
      <c r="D22" s="31" t="s">
        <v>49</v>
      </c>
      <c r="E22" s="31" t="s">
        <v>284</v>
      </c>
      <c r="F22" s="47">
        <v>100</v>
      </c>
      <c r="G22" s="47">
        <v>274</v>
      </c>
      <c r="H22" s="47">
        <v>67239</v>
      </c>
      <c r="I22" s="47">
        <v>66643</v>
      </c>
      <c r="J22" s="31" t="s">
        <v>262</v>
      </c>
      <c r="K22" s="47">
        <v>66500</v>
      </c>
      <c r="L22" s="154" t="s">
        <v>51</v>
      </c>
      <c r="M22" s="155">
        <f t="shared" si="0"/>
        <v>75.504000000000005</v>
      </c>
      <c r="N22" s="156" t="str">
        <f>VLOOKUP(C22,'Trips&amp;Operators'!$C$1:$G$99999,5,FALSE)</f>
        <v>SPECTOR MICHAEL</v>
      </c>
      <c r="O22" s="182" t="s">
        <v>196</v>
      </c>
      <c r="P22" s="157"/>
      <c r="Q22" s="31"/>
      <c r="R22" s="100" t="str">
        <f>VLOOKUP(C22,'Train Runs'!$A$13:$AE$9970,31,0)</f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S22" s="103" t="str">
        <f>VLOOKUP(C22,'Train Runs'!$A$13:$AE$9970,22,0)</f>
        <v>https://search-rtdc-monitor-bjffxe2xuh6vdkpspy63sjmuny.us-east-1.es.amazonaws.com/_plugin/kibana/#/discover/Steve-Slow-Train-Analysis-(2080s-and-2083s)?_g=(refreshInterval:(display:Off,section:0,value:0),time:(from:'2016-12-13 06:19:31-700',mode:absolute,to:'2016-12-13 09:18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2" s="105" t="str">
        <f t="shared" si="1"/>
        <v>"C:\Program Files (x86)\AstroGrep\AstroGrep.exe" /spath="%USERPROFILE%\AppData\Local\Temp\OnboardLogs" /stypes="*4015*201612131*" /stext=" 14:.+((SYSTEM_STATE.+slice.+state.+changed )|(ment ac)|(multiple cpu faults)|(system.+state.+changed )|(\[timeout)|(PRM\|1\|D)|(kpr)|(kdp)|(\|lc)|(penalty))" /e /r /s</v>
      </c>
      <c r="U22" s="9" t="str">
        <f t="shared" si="2"/>
        <v>4015</v>
      </c>
      <c r="V22" s="36">
        <f t="shared" si="3"/>
        <v>42717.622245370367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{"issue":{"subject":"","project_id":79,"tracker_id":40,"status_id":1,"priority_id":2,"assigned_to_id":23,"start_date":"2016-12-13","description":"","custom_fields":[{"id":1,"name":"Subdivision","value":"EC"},{"id":4,"name":"Milepost","value":"6.65"},{"id":17,"name":"Train ID","value":"124-13"},{"id":16,"name":"Locomotive ID","value":"4015"},{"id":130,"name":"Impact","value":""},{"id":150,"name":"Time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"%USERPROFILE%\AppData\Local\Temp\OnboardLogs"\RTDC4015\*4015*201612131*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"%USERPROFILE%\AppData\Local\Temp\OnboardLogs"\RTDC4015\*4015*201612131* &gt;&gt; 42717-slicedisagreementcheck.txt</v>
      </c>
    </row>
    <row r="23" spans="1:30" x14ac:dyDescent="0.25">
      <c r="A23" s="36">
        <v>42717.439606481479</v>
      </c>
      <c r="B23" s="31" t="s">
        <v>155</v>
      </c>
      <c r="C23" s="31" t="s">
        <v>420</v>
      </c>
      <c r="D23" s="31" t="s">
        <v>49</v>
      </c>
      <c r="E23" s="31" t="s">
        <v>284</v>
      </c>
      <c r="F23" s="47">
        <v>100</v>
      </c>
      <c r="G23" s="47">
        <v>261</v>
      </c>
      <c r="H23" s="47">
        <v>67210</v>
      </c>
      <c r="I23" s="47">
        <v>66706</v>
      </c>
      <c r="J23" s="31" t="s">
        <v>262</v>
      </c>
      <c r="K23" s="47">
        <v>66500</v>
      </c>
      <c r="L23" s="154" t="s">
        <v>51</v>
      </c>
      <c r="M23" s="155">
        <f t="shared" si="0"/>
        <v>108.768</v>
      </c>
      <c r="N23" s="156" t="str">
        <f>VLOOKUP(C23,'Trips&amp;Operators'!$C$1:$G$99999,5,FALSE)</f>
        <v>KILLION DAVID</v>
      </c>
      <c r="O23" s="182" t="s">
        <v>196</v>
      </c>
      <c r="P23" s="157"/>
      <c r="Q23" s="31"/>
      <c r="R23" s="100" t="str">
        <f>VLOOKUP(C23,'Train Runs'!$A$13:$AE$9970,31,0)</f>
        <v>aws s3 cp s3://rtdc.mdm.uploadarchive.raw/RTDC4052/ "%USERPROFILE%\AppData\Local\Temp\OnboardLogs"\RTDC4052\2016-12-13 --exclude "*" --recursive --include "*20161213*" &amp; "%USERPROFILE%\Documents\GitHub\mrs-test-scripts\Headless Mode &amp; Sideloading\WalkAndUnGZ.bat" "%USERPROFILE%\AppData\Local\Temp\OnboardLogs"\RTDC4052\2016-12-13 &amp; aws s3 cp s3://rtdc.mdm.uploadarchive.raw/RTDC4052/ "%USERPROFILE%\AppData\Local\Temp\OnboardLogs"\RTDC4052\2016-12-14 --exclude "*" --recursive --include "*20161214*" &amp; "%USERPROFILE%\Documents\GitHub\mrs-test-scripts\Headless Mode &amp; Sideloading\WalkAndUnGZ.bat" "%USERPROFILE%\AppData\Local\Temp\OnboardLogs"\RTDC4052\2016-12-14</v>
      </c>
      <c r="S23" s="103" t="str">
        <f>VLOOKUP(C23,'Train Runs'!$A$13:$AE$9970,22,0)</f>
        <v>https://search-rtdc-monitor-bjffxe2xuh6vdkpspy63sjmuny.us-east-1.es.amazonaws.com/_plugin/kibana/#/discover/Steve-Slow-Train-Analysis-(2080s-and-2083s)?_g=(refreshInterval:(display:Off,section:0,value:0),time:(from:'2016-12-13 08:50:07-700',mode:absolute,to:'2016-12-13 11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3" s="105" t="str">
        <f t="shared" si="1"/>
        <v>"C:\Program Files (x86)\AstroGrep\AstroGrep.exe" /spath="%USERPROFILE%\AppData\Local\Temp\OnboardLogs" /stypes="*4052*201612131*" /stext=" 17:.+((SYSTEM_STATE.+slice.+state.+changed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6">
        <f t="shared" si="3"/>
        <v>42717.731273148143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{"issue":{"subject":"","project_id":79,"tracker_id":40,"status_id":1,"priority_id":2,"assigned_to_id":23,"start_date":"2016-12-13","description":"","custom_fields":[{"id":1,"name":"Subdivision","value":"EC"},{"id":4,"name":"Milepost","value":"6.65"},{"id":17,"name":"Train ID","value":"144-13"},{"id":16,"name":"Locomotive ID","value":"4052"},{"id":130,"name":"Impact","value":""},{"id":150,"name":"Time of Event (Mountain Time)","value":"10:33:02"},{"id":151,"name":"Denver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"%USERPROFILE%\AppData\Local\Temp\OnboardLogs"\RTDC4052\*4052*201612131*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"%USERPROFILE%\AppData\Local\Temp\OnboardLogs"\RTDC4052\*4052*201612131* &gt;&gt; 42717-slicedisagreementcheck.txt</v>
      </c>
    </row>
    <row r="24" spans="1:30" x14ac:dyDescent="0.25">
      <c r="A24" s="36">
        <v>42717.245706018519</v>
      </c>
      <c r="B24" s="31" t="s">
        <v>243</v>
      </c>
      <c r="C24" s="31" t="s">
        <v>410</v>
      </c>
      <c r="D24" s="31" t="s">
        <v>98</v>
      </c>
      <c r="E24" s="31" t="s">
        <v>284</v>
      </c>
      <c r="F24" s="47">
        <v>150</v>
      </c>
      <c r="G24" s="47">
        <v>206</v>
      </c>
      <c r="H24" s="47">
        <v>77858</v>
      </c>
      <c r="I24" s="47">
        <v>77290</v>
      </c>
      <c r="J24" s="31" t="s">
        <v>262</v>
      </c>
      <c r="K24" s="47">
        <v>78500</v>
      </c>
      <c r="L24" s="154" t="s">
        <v>51</v>
      </c>
      <c r="M24" s="155">
        <f t="shared" si="0"/>
        <v>-638.88</v>
      </c>
      <c r="N24" s="156" t="str">
        <f>VLOOKUP(C24,'Trips&amp;Operators'!$C$1:$G$99999,5,FALSE)</f>
        <v>SPECTOR MICHAEL</v>
      </c>
      <c r="O24" s="182" t="s">
        <v>196</v>
      </c>
      <c r="P24" s="157"/>
      <c r="Q24" s="31"/>
      <c r="R24" s="100" t="str">
        <f>VLOOKUP(C24,'Train Runs'!$A$13:$AE$9970,31,0)</f>
        <v>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 &amp; 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</v>
      </c>
      <c r="S24" s="103" t="str">
        <f>VLOOKUP(C24,'Train Runs'!$A$13:$AE$9970,22,0)</f>
        <v>https://search-rtdc-monitor-bjffxe2xuh6vdkpspy63sjmuny.us-east-1.es.amazonaws.com/_plugin/kibana/#/discover/Steve-Slow-Train-Analysis-(2080s-and-2083s)?_g=(refreshInterval:(display:Off,section:0,value:0),time:(from:'2016-12-13 04:21:50-700',mode:absolute,to:'2016-12-13 07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4" s="105" t="str">
        <f t="shared" si="1"/>
        <v>"C:\Program Files (x86)\AstroGrep\AstroGrep.exe" /spath="%USERPROFILE%\AppData\Local\Temp\OnboardLogs" /stypes="*4032*201612131*" /stext=" 12:.+((SYSTEM_STATE.+slice.+state.+changed )|(ment ac)|(multiple cpu faults)|(system.+state.+changed )|(\[timeout)|(PRM\|1\|D)|(kpr)|(kdp)|(\|lc)|(penalty))" /e /r /s</v>
      </c>
      <c r="U24" s="9" t="str">
        <f t="shared" si="2"/>
        <v>4032</v>
      </c>
      <c r="V24" s="36">
        <f t="shared" si="3"/>
        <v>42717.537372685183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{"issue":{"subject":"","project_id":79,"tracker_id":40,"status_id":1,"priority_id":2,"assigned_to_id":23,"start_date":"2016-12-13","description":"","custom_fields":[{"id":1,"name":"Subdivision","value":"EC"},{"id":4,"name":"Milepost","value":"7.85"},{"id":17,"name":"Train ID","value":"108-13"},{"id":16,"name":"Locomotive ID","value":"4032"},{"id":130,"name":"Impact","value":""},{"id":150,"name":"Time of Event (Mountain Time)","value":"05:53:49"},{"id":151,"name":"Denver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"%USERPROFILE%\AppData\Local\Temp\OnboardLogs"\RTDC4032\*4032*201612131*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"%USERPROFILE%\AppData\Local\Temp\OnboardLogs"\RTDC4032\*4032*201612131* &gt;&gt; 42717-slicedisagreementcheck.txt</v>
      </c>
    </row>
    <row r="25" spans="1:30" x14ac:dyDescent="0.25">
      <c r="A25" s="36">
        <v>42717.36922453704</v>
      </c>
      <c r="B25" s="31" t="s">
        <v>253</v>
      </c>
      <c r="C25" s="31" t="s">
        <v>414</v>
      </c>
      <c r="D25" s="31" t="s">
        <v>49</v>
      </c>
      <c r="E25" s="31" t="s">
        <v>284</v>
      </c>
      <c r="F25" s="47">
        <v>150</v>
      </c>
      <c r="G25" s="47">
        <v>360</v>
      </c>
      <c r="H25" s="47">
        <v>147976</v>
      </c>
      <c r="I25" s="47">
        <v>149044</v>
      </c>
      <c r="J25" s="31" t="s">
        <v>262</v>
      </c>
      <c r="K25" s="47">
        <v>149801</v>
      </c>
      <c r="L25" s="154" t="s">
        <v>50</v>
      </c>
      <c r="M25" s="155">
        <f t="shared" si="0"/>
        <v>399.69600000000003</v>
      </c>
      <c r="N25" s="156" t="str">
        <f>VLOOKUP(C25,'Trips&amp;Operators'!$C$1:$G$99999,5,FALSE)</f>
        <v>SPECTOR MICHAEL</v>
      </c>
      <c r="O25" s="182" t="s">
        <v>196</v>
      </c>
      <c r="P25" s="157"/>
      <c r="Q25" s="31"/>
      <c r="R25" s="100" t="str">
        <f>VLOOKUP(C25,'Train Runs'!$A$13:$AE$9970,31,0)</f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S25" s="103" t="str">
        <f>VLOOKUP(C25,'Train Runs'!$A$13:$AE$9970,22,0)</f>
        <v>https://search-rtdc-monitor-bjffxe2xuh6vdkpspy63sjmuny.us-east-1.es.amazonaws.com/_plugin/kibana/#/discover/Steve-Slow-Train-Analysis-(2080s-and-2083s)?_g=(refreshInterval:(display:Off,section:0,value:0),time:(from:'2016-12-13 07:23:00-700',mode:absolute,to:'2016-12-13 10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5" s="105" t="str">
        <f t="shared" si="1"/>
        <v>"C:\Program Files (x86)\AstroGrep\AstroGrep.exe" /spath="%USERPROFILE%\AppData\Local\Temp\OnboardLogs" /stypes="*4016*201612131*" /stext=" 15:.+((SYSTEM_STATE.+slice.+state.+changed )|(ment ac)|(multiple cpu faults)|(system.+state.+changed )|(\[timeout)|(PRM\|1\|D)|(kpr)|(kdp)|(\|lc)|(penalty))" /e /r /s</v>
      </c>
      <c r="U25" s="9" t="str">
        <f t="shared" si="2"/>
        <v>4016</v>
      </c>
      <c r="V25" s="36">
        <f t="shared" si="3"/>
        <v>42717.660891203705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{"issue":{"subject":"","project_id":79,"tracker_id":40,"status_id":1,"priority_id":2,"assigned_to_id":23,"start_date":"2016-12-13","description":"","custom_fields":[{"id":1,"name":"Subdivision","value":"EC"},{"id":4,"name":"Milepost","value":"14.9801"},{"id":17,"name":"Train ID","value":"137-13"},{"id":16,"name":"Locomotive ID","value":"4016"},{"id":130,"name":"Impact","value":""},{"id":150,"name":"Time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"%USERPROFILE%\AppData\Local\Temp\OnboardLogs"\RTDC4016\*4016*201612131*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"%USERPROFILE%\AppData\Local\Temp\OnboardLogs"\RTDC4016\*4016*201612131* &gt;&gt; 42717-slicedisagreementcheck.txt</v>
      </c>
    </row>
    <row r="26" spans="1:30" x14ac:dyDescent="0.25">
      <c r="A26" s="36">
        <v>42717.222256944442</v>
      </c>
      <c r="B26" s="31" t="s">
        <v>281</v>
      </c>
      <c r="C26" s="31" t="s">
        <v>409</v>
      </c>
      <c r="D26" s="31" t="s">
        <v>49</v>
      </c>
      <c r="E26" s="31" t="s">
        <v>284</v>
      </c>
      <c r="F26" s="47">
        <v>150</v>
      </c>
      <c r="G26" s="47">
        <v>439</v>
      </c>
      <c r="H26" s="47">
        <v>157729</v>
      </c>
      <c r="I26" s="47">
        <v>155919</v>
      </c>
      <c r="J26" s="31" t="s">
        <v>262</v>
      </c>
      <c r="K26" s="47">
        <v>154400</v>
      </c>
      <c r="L26" s="154" t="s">
        <v>51</v>
      </c>
      <c r="M26" s="155">
        <f t="shared" si="0"/>
        <v>802.03200000000004</v>
      </c>
      <c r="N26" s="156" t="str">
        <f>VLOOKUP(C26,'Trips&amp;Operators'!$C$1:$G$99999,5,FALSE)</f>
        <v>BEAM ROSS</v>
      </c>
      <c r="O26" s="182" t="s">
        <v>196</v>
      </c>
      <c r="P26" s="157"/>
      <c r="Q26" s="31"/>
      <c r="R26" s="100" t="str">
        <f>VLOOKUP(C26,'Train Runs'!$A$13:$AE$9970,31,0)</f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S26" s="103" t="str">
        <f>VLOOKUP(C26,'Train Runs'!$A$13:$AE$9970,22,0)</f>
        <v>https://search-rtdc-monitor-bjffxe2xuh6vdkpspy63sjmuny.us-east-1.es.amazonaws.com/_plugin/kibana/#/discover/Steve-Slow-Train-Analysis-(2080s-and-2083s)?_g=(refreshInterval:(display:Off,section:0,value:0),time:(from:'2016-12-13 04:01:44-700',mode:absolute,to:'2016-12-13 06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6" s="105" t="str">
        <f t="shared" si="1"/>
        <v>"C:\Program Files (x86)\AstroGrep\AstroGrep.exe" /spath="%USERPROFILE%\AppData\Local\Temp\OnboardLogs" /stypes="*4015*201612131*" /stext=" 12:.+((SYSTEM_STATE.+slice.+state.+changed )|(ment ac)|(multiple cpu faults)|(system.+state.+changed )|(\[timeout)|(PRM\|1\|D)|(kpr)|(kdp)|(\|lc)|(penalty))" /e /r /s</v>
      </c>
      <c r="U26" s="9" t="str">
        <f t="shared" si="2"/>
        <v>4015</v>
      </c>
      <c r="V26" s="36">
        <f t="shared" si="3"/>
        <v>42717.513923611106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{"issue":{"subject":"","project_id":79,"tracker_id":40,"status_id":1,"priority_id":2,"assigned_to_id":23,"start_date":"2016-12-13","description":"","custom_fields":[{"id":1,"name":"Subdivision","value":"EC"},{"id":4,"name":"Milepost","value":"15.44"},{"id":17,"name":"Train ID","value":"106-13"},{"id":16,"name":"Locomotive ID","value":"4015"},{"id":130,"name":"Impact","value":""},{"id":150,"name":"Time of Event (Mountain Time)","value":"05:20:03"},{"id":151,"name":"Denver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"%USERPROFILE%\AppData\Local\Temp\OnboardLogs"\RTDC4015\*4015*201612131*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"%USERPROFILE%\AppData\Local\Temp\OnboardLogs"\RTDC4015\*4015*201612131* &gt;&gt; 42717-slicedisagreementcheck.txt</v>
      </c>
    </row>
    <row r="27" spans="1:30" x14ac:dyDescent="0.25">
      <c r="A27" s="36">
        <v>42717.350057870368</v>
      </c>
      <c r="B27" s="31" t="s">
        <v>212</v>
      </c>
      <c r="C27" s="31" t="s">
        <v>413</v>
      </c>
      <c r="D27" s="31" t="s">
        <v>98</v>
      </c>
      <c r="E27" s="31" t="s">
        <v>284</v>
      </c>
      <c r="F27" s="47">
        <v>150</v>
      </c>
      <c r="G27" s="47">
        <v>213</v>
      </c>
      <c r="H27" s="47">
        <v>153564</v>
      </c>
      <c r="I27" s="47">
        <v>153052</v>
      </c>
      <c r="J27" s="31" t="s">
        <v>262</v>
      </c>
      <c r="K27" s="47">
        <v>154400</v>
      </c>
      <c r="L27" s="154" t="s">
        <v>51</v>
      </c>
      <c r="M27" s="155">
        <f t="shared" si="0"/>
        <v>-711.74400000000003</v>
      </c>
      <c r="N27" s="156" t="str">
        <f>VLOOKUP(C27,'Trips&amp;Operators'!$C$1:$G$99999,5,FALSE)</f>
        <v>DAVIDSON DAVID</v>
      </c>
      <c r="O27" s="182" t="s">
        <v>196</v>
      </c>
      <c r="P27" s="157"/>
      <c r="Q27" s="31"/>
      <c r="R27" s="100" t="str">
        <f>VLOOKUP(C27,'Train Runs'!$A$13:$AE$9970,31,0)</f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S27" s="103" t="str">
        <f>VLOOKUP(C27,'Train Runs'!$A$13:$AE$9970,22,0)</f>
        <v>https://search-rtdc-monitor-bjffxe2xuh6vdkpspy63sjmuny.us-east-1.es.amazonaws.com/_plugin/kibana/#/discover/Steve-Slow-Train-Analysis-(2080s-and-2083s)?_g=(refreshInterval:(display:Off,section:0,value:0),time:(from:'2016-12-13 07:03:25-700',mode:absolute,to:'2016-12-13 09:58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7" s="105" t="str">
        <f t="shared" si="1"/>
        <v>"C:\Program Files (x86)\AstroGrep\AstroGrep.exe" /spath="%USERPROFILE%\AppData\Local\Temp\OnboardLogs" /stypes="*4012*201612131*" /stext=" 15:.+((SYSTEM_STATE.+slice.+state.+changed )|(ment ac)|(multiple cpu faults)|(system.+state.+changed )|(\[timeout)|(PRM\|1\|D)|(kpr)|(kdp)|(\|lc)|(penalty))" /e /r /s</v>
      </c>
      <c r="U27" s="9" t="str">
        <f t="shared" si="2"/>
        <v>4012</v>
      </c>
      <c r="V27" s="36">
        <f t="shared" si="3"/>
        <v>42717.641724537032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{"issue":{"subject":"","project_id":79,"tracker_id":40,"status_id":1,"priority_id":2,"assigned_to_id":23,"start_date":"2016-12-13","description":"","custom_fields":[{"id":1,"name":"Subdivision","value":"EC"},{"id":4,"name":"Milepost","value":"15.44"},{"id":17,"name":"Train ID","value":"130-13"},{"id":16,"name":"Locomotive ID","value":"4012"},{"id":130,"name":"Impact","value":""},{"id":150,"name":"Time of Event (Mountain Time)","value":"08:24:05"},{"id":151,"name":"Denver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"%USERPROFILE%\AppData\Local\Temp\OnboardLogs"\RTDC4012\*4012*201612131*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"%USERPROFILE%\AppData\Local\Temp\OnboardLogs"\RTDC4012\*4012*201612131* &gt;&gt; 42717-slicedisagreementcheck.txt</v>
      </c>
    </row>
    <row r="28" spans="1:30" ht="15" customHeight="1" x14ac:dyDescent="0.25">
      <c r="A28" s="36">
        <v>42717.414699074077</v>
      </c>
      <c r="B28" s="31" t="s">
        <v>264</v>
      </c>
      <c r="C28" s="31" t="s">
        <v>418</v>
      </c>
      <c r="D28" s="31" t="s">
        <v>98</v>
      </c>
      <c r="E28" s="31" t="s">
        <v>284</v>
      </c>
      <c r="F28" s="47">
        <v>150</v>
      </c>
      <c r="G28" s="47">
        <v>206</v>
      </c>
      <c r="H28" s="47">
        <v>153661</v>
      </c>
      <c r="I28" s="47">
        <v>153123</v>
      </c>
      <c r="J28" s="31" t="s">
        <v>262</v>
      </c>
      <c r="K28" s="47">
        <v>154400</v>
      </c>
      <c r="L28" s="154" t="s">
        <v>51</v>
      </c>
      <c r="M28" s="155">
        <f t="shared" si="0"/>
        <v>-674.25600000000009</v>
      </c>
      <c r="N28" s="156" t="str">
        <f>VLOOKUP(C28,'Trips&amp;Operators'!$C$1:$G$99999,5,FALSE)</f>
        <v>DAVIS MICHAEL</v>
      </c>
      <c r="O28" s="182" t="s">
        <v>196</v>
      </c>
      <c r="P28" s="157"/>
      <c r="Q28" s="31"/>
      <c r="R28" s="100" t="str">
        <f>VLOOKUP(C28,'Train Runs'!$A$13:$AE$9970,31,0)</f>
        <v>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 &amp; aws s3 cp s3://rtdc.mdm.uploadarchive.raw/RTDC4043/ "%USERPROFILE%\AppData\Local\Temp\OnboardLogs"\RTDC4043\2016-12-14 --exclude "*" --recursive --include "*20161214*" &amp; "%USERPROFILE%\Documents\GitHub\mrs-test-scripts\Headless Mode &amp; Sideloading\WalkAndUnGZ.bat" "%USERPROFILE%\AppData\Local\Temp\OnboardLogs"\RTDC4043\2016-12-14</v>
      </c>
      <c r="S28" s="103" t="str">
        <f>VLOOKUP(C28,'Train Runs'!$A$13:$AE$9970,22,0)</f>
        <v>https://search-rtdc-monitor-bjffxe2xuh6vdkpspy63sjmuny.us-east-1.es.amazonaws.com/_plugin/kibana/#/discover/Steve-Slow-Train-Analysis-(2080s-and-2083s)?_g=(refreshInterval:(display:Off,section:0,value:0),time:(from:'2016-12-13 08:28:55-700',mode:absolute,to:'2016-12-13 11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8" s="105" t="str">
        <f t="shared" si="1"/>
        <v>"C:\Program Files (x86)\AstroGrep\AstroGrep.exe" /spath="%USERPROFILE%\AppData\Local\Temp\OnboardLogs" /stypes="*4043*201612131*" /stext=" 16:.+((SYSTEM_STATE.+slice.+state.+changed )|(ment ac)|(multiple cpu faults)|(system.+state.+changed )|(\[timeout)|(PRM\|1\|D)|(kpr)|(kdp)|(\|lc)|(penalty))" /e /r /s</v>
      </c>
      <c r="U28" s="9" t="str">
        <f t="shared" si="2"/>
        <v>4043</v>
      </c>
      <c r="V28" s="36">
        <f t="shared" si="3"/>
        <v>42717.706365740742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{"issue":{"subject":"","project_id":79,"tracker_id":40,"status_id":1,"priority_id":2,"assigned_to_id":23,"start_date":"2016-12-13","description":"","custom_fields":[{"id":1,"name":"Subdivision","value":"EC"},{"id":4,"name":"Milepost","value":"15.44"},{"id":17,"name":"Train ID","value":"142-13"},{"id":16,"name":"Locomotive ID","value":"4043"},{"id":130,"name":"Impact","value":""},{"id":150,"name":"Time of Event (Mountain Time)","value":"09:57:10"},{"id":151,"name":"Denver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"%USERPROFILE%\AppData\Local\Temp\OnboardLogs"\RTDC4043\*4043*201612131*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"%USERPROFILE%\AppData\Local\Temp\OnboardLogs"\RTDC4043\*4043*201612131* &gt;&gt; 42717-slicedisagreementcheck.txt</v>
      </c>
    </row>
    <row r="29" spans="1:30" ht="15" customHeight="1" x14ac:dyDescent="0.25">
      <c r="A29" s="36">
        <v>42717.600798611114</v>
      </c>
      <c r="B29" s="31" t="s">
        <v>273</v>
      </c>
      <c r="C29" s="31" t="s">
        <v>432</v>
      </c>
      <c r="D29" s="31" t="s">
        <v>98</v>
      </c>
      <c r="E29" s="31" t="s">
        <v>284</v>
      </c>
      <c r="F29" s="47">
        <v>150</v>
      </c>
      <c r="G29" s="47">
        <v>203</v>
      </c>
      <c r="H29" s="47">
        <v>153655</v>
      </c>
      <c r="I29" s="47">
        <v>153092</v>
      </c>
      <c r="J29" s="31" t="s">
        <v>262</v>
      </c>
      <c r="K29" s="47">
        <v>154400</v>
      </c>
      <c r="L29" s="154" t="s">
        <v>51</v>
      </c>
      <c r="M29" s="155">
        <f t="shared" si="0"/>
        <v>-690.62400000000002</v>
      </c>
      <c r="N29" s="156" t="str">
        <f>VLOOKUP(C29,'Trips&amp;Operators'!$C$1:$G$99999,5,FALSE)</f>
        <v>HELVIE ADAM</v>
      </c>
      <c r="O29" s="182" t="s">
        <v>196</v>
      </c>
      <c r="P29" s="157"/>
      <c r="Q29" s="31"/>
      <c r="R29" s="100" t="str">
        <f>VLOOKUP(C29,'Train Runs'!$A$13:$AE$9970,31,0)</f>
        <v>aws s3 cp s3://rtdc.mdm.uploadarchive.raw/RTDC4019/ "%USERPROFILE%\AppData\Local\Temp\OnboardLogs"\RTDC4019\2016-12-13 --exclude "*" --recursive --include "*20161213*" &amp; "%USERPROFILE%\Documents\GitHub\mrs-test-scripts\Headless Mode &amp; Sideloading\WalkAndUnGZ.bat" "%USERPROFILE%\AppData\Local\Temp\OnboardLogs"\RTDC4019\2016-12-13 &amp; aws s3 cp s3://rtdc.mdm.uploadarchive.raw/RTDC4019/ "%USERPROFILE%\AppData\Local\Temp\OnboardLogs"\RTDC4019\2016-12-14 --exclude "*" --recursive --include "*20161214*" &amp; "%USERPROFILE%\Documents\GitHub\mrs-test-scripts\Headless Mode &amp; Sideloading\WalkAndUnGZ.bat" "%USERPROFILE%\AppData\Local\Temp\OnboardLogs"\RTDC4019\2016-12-14</v>
      </c>
      <c r="S29" s="103" t="str">
        <f>VLOOKUP(C29,'Train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13:07:00-700',mode:absolute,to:'2016-12-13 15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9" s="105" t="str">
        <f t="shared" si="1"/>
        <v>"C:\Program Files (x86)\AstroGrep\AstroGrep.exe" /spath="%USERPROFILE%\AppData\Local\Temp\OnboardLogs" /stypes="*4019*201612132*" /stext=" 21:.+((SYSTEM_STATE.+slice.+state.+changed )|(ment ac)|(multiple cpu faults)|(system.+state.+changed )|(\[timeout)|(PRM\|1\|D)|(kpr)|(kdp)|(\|lc)|(penalty))" /e /r /s</v>
      </c>
      <c r="U29" s="9" t="str">
        <f t="shared" si="2"/>
        <v>4019</v>
      </c>
      <c r="V29" s="36">
        <f t="shared" si="3"/>
        <v>42717.892465277779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{"issue":{"subject":"","project_id":79,"tracker_id":40,"status_id":1,"priority_id":2,"assigned_to_id":23,"start_date":"2016-12-13","description":"","custom_fields":[{"id":1,"name":"Subdivision","value":"EC"},{"id":4,"name":"Milepost","value":"15.44"},{"id":17,"name":"Train ID","value":"178-13"},{"id":16,"name":"Locomotive ID","value":"4019"},{"id":130,"name":"Impact","value":""},{"id":150,"name":"Time of Event (Mountain Time)","value":"14:25:09"},{"id":151,"name":"Denver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"%USERPROFILE%\AppData\Local\Temp\OnboardLogs"\RTDC4019\*4019*201612132*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"%USERPROFILE%\AppData\Local\Temp\OnboardLogs"\RTDC4019\*4019*201612132* &gt;&gt; 42717-slicedisagreementcheck.txt</v>
      </c>
    </row>
    <row r="30" spans="1:30" x14ac:dyDescent="0.25">
      <c r="A30" s="36">
        <v>42717.620798611111</v>
      </c>
      <c r="B30" s="31" t="s">
        <v>281</v>
      </c>
      <c r="C30" s="31" t="s">
        <v>433</v>
      </c>
      <c r="D30" s="31" t="s">
        <v>98</v>
      </c>
      <c r="E30" s="31" t="s">
        <v>284</v>
      </c>
      <c r="F30" s="47">
        <v>150</v>
      </c>
      <c r="G30" s="47">
        <v>204</v>
      </c>
      <c r="H30" s="47">
        <v>153657</v>
      </c>
      <c r="I30" s="47">
        <v>153303</v>
      </c>
      <c r="J30" s="31" t="s">
        <v>262</v>
      </c>
      <c r="K30" s="47">
        <v>154400</v>
      </c>
      <c r="L30" s="154" t="s">
        <v>51</v>
      </c>
      <c r="M30" s="155">
        <f t="shared" si="0"/>
        <v>-579.21600000000001</v>
      </c>
      <c r="N30" s="156" t="str">
        <f>VLOOKUP(C30,'Trips&amp;Operators'!$C$1:$G$99999,5,FALSE)</f>
        <v>YOUNG ELIZABETH</v>
      </c>
      <c r="O30" s="182" t="s">
        <v>196</v>
      </c>
      <c r="P30" s="157"/>
      <c r="Q30" s="31"/>
      <c r="R30" s="100" t="str">
        <f>VLOOKUP(C30,'Train Runs'!$A$13:$AE$9970,31,0)</f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S30" s="103" t="str">
        <f>VLOOKUP(C30,'Train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13:30:43-700',mode:absolute,to:'2016-12-13 16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0" s="105" t="str">
        <f t="shared" si="1"/>
        <v>"C:\Program Files (x86)\AstroGrep\AstroGrep.exe" /spath="%USERPROFILE%\AppData\Local\Temp\OnboardLogs" /stypes="*4015*201612132*" /stext=" 21:.+((SYSTEM_STATE.+slice.+state.+changed )|(ment ac)|(multiple cpu faults)|(system.+state.+changed )|(\[timeout)|(PRM\|1\|D)|(kpr)|(kdp)|(\|lc)|(penalty))" /e /r /s</v>
      </c>
      <c r="U30" s="9" t="str">
        <f t="shared" si="2"/>
        <v>4015</v>
      </c>
      <c r="V30" s="36">
        <f t="shared" si="3"/>
        <v>42717.912465277775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{"issue":{"subject":"","project_id":79,"tracker_id":40,"status_id":1,"priority_id":2,"assigned_to_id":23,"start_date":"2016-12-13","description":"","custom_fields":[{"id":1,"name":"Subdivision","value":"EC"},{"id":4,"name":"Milepost","value":"15.44"},{"id":17,"name":"Train ID","value":"182-13"},{"id":16,"name":"Locomotive ID","value":"4015"},{"id":130,"name":"Impact","value":""},{"id":150,"name":"Time of Event (Mountain Time)","value":"14:53:57"},{"id":151,"name":"Denver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"%USERPROFILE%\AppData\Local\Temp\OnboardLogs"\RTDC4015\*4015*201612132*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"%USERPROFILE%\AppData\Local\Temp\OnboardLogs"\RTDC4015\*4015*201612132* &gt;&gt; 42717-slicedisagreementcheck.txt</v>
      </c>
    </row>
    <row r="31" spans="1:30" x14ac:dyDescent="0.25">
      <c r="A31" s="36">
        <v>42717.6640625</v>
      </c>
      <c r="B31" s="31" t="s">
        <v>436</v>
      </c>
      <c r="C31" s="31" t="s">
        <v>437</v>
      </c>
      <c r="D31" s="31" t="s">
        <v>98</v>
      </c>
      <c r="E31" s="31" t="s">
        <v>284</v>
      </c>
      <c r="F31" s="47">
        <v>150</v>
      </c>
      <c r="G31" s="47">
        <v>206</v>
      </c>
      <c r="H31" s="47">
        <v>153622</v>
      </c>
      <c r="I31" s="47">
        <v>153266</v>
      </c>
      <c r="J31" s="31" t="s">
        <v>262</v>
      </c>
      <c r="K31" s="47">
        <v>154400</v>
      </c>
      <c r="L31" s="154" t="s">
        <v>51</v>
      </c>
      <c r="M31" s="155">
        <f t="shared" si="0"/>
        <v>-598.75199999999995</v>
      </c>
      <c r="N31" s="156" t="str">
        <f>VLOOKUP(C31,'Trips&amp;Operators'!$C$1:$G$99999,5,FALSE)</f>
        <v>HILLS DUSTIN</v>
      </c>
      <c r="O31" s="182" t="s">
        <v>196</v>
      </c>
      <c r="P31" s="157"/>
      <c r="Q31" s="31"/>
      <c r="R31" s="100" t="str">
        <f>VLOOKUP(C31,'Train Runs'!$A$13:$AE$9970,31,0)</f>
        <v>aws s3 cp s3://rtdc.mdm.uploadarchive.raw/RTDC4021/ "%USERPROFILE%\AppData\Local\Temp\OnboardLogs"\RTDC4021\2016-12-13 --exclude "*" --recursive --include "*20161213*" &amp; "%USERPROFILE%\Documents\GitHub\mrs-test-scripts\Headless Mode &amp; Sideloading\WalkAndUnGZ.bat" "%USERPROFILE%\AppData\Local\Temp\OnboardLogs"\RTDC4021\2016-12-13 &amp; aws s3 cp s3://rtdc.mdm.uploadarchive.raw/RTDC4021/ "%USERPROFILE%\AppData\Local\Temp\OnboardLogs"\RTDC4021\2016-12-14 --exclude "*" --recursive --include "*20161214*" &amp; "%USERPROFILE%\Documents\GitHub\mrs-test-scripts\Headless Mode &amp; Sideloading\WalkAndUnGZ.bat" "%USERPROFILE%\AppData\Local\Temp\OnboardLogs"\RTDC4021\2016-12-14</v>
      </c>
      <c r="S31" s="103" t="str">
        <f>VLOOKUP(C31,'Train Runs'!$A$13:$AE$9970,22,0)</f>
        <v>https://search-rtdc-monitor-bjffxe2xuh6vdkpspy63sjmuny.us-east-1.es.amazonaws.com/_plugin/kibana/#/discover/Steve-Slow-Train-Analysis-(2080s-and-2083s)?_g=(refreshInterval:(display:Off,section:0,value:0),time:(from:'2016-12-13 14:22:16-700',mode:absolute,to:'2016-12-13 17:25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1" s="105" t="str">
        <f t="shared" si="1"/>
        <v>"C:\Program Files (x86)\AstroGrep\AstroGrep.exe" /spath="%USERPROFILE%\AppData\Local\Temp\OnboardLogs" /stypes="*4021*201612132*" /stext=" 22:.+((SYSTEM_STATE.+slice.+state.+changed )|(ment ac)|(multiple cpu faults)|(system.+state.+changed )|(\[timeout)|(PRM\|1\|D)|(kpr)|(kdp)|(\|lc)|(penalty))" /e /r /s</v>
      </c>
      <c r="U31" s="9" t="str">
        <f t="shared" si="2"/>
        <v>4021</v>
      </c>
      <c r="V31" s="36">
        <f t="shared" si="3"/>
        <v>42717.955729166664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{"issue":{"subject":"","project_id":79,"tracker_id":40,"status_id":1,"priority_id":2,"assigned_to_id":23,"start_date":"2016-12-13","description":"","custom_fields":[{"id":1,"name":"Subdivision","value":"EC"},{"id":4,"name":"Milepost","value":"15.44"},{"id":17,"name":"Train ID","value":"190-13"},{"id":16,"name":"Locomotive ID","value":"4021"},{"id":130,"name":"Impact","value":""},{"id":150,"name":"Time of Event (Mountain Time)","value":"15:56:15"},{"id":151,"name":"Denver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"%USERPROFILE%\AppData\Local\Temp\OnboardLogs"\RTDC4021\*4021*201612132*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"%USERPROFILE%\AppData\Local\Temp\OnboardLogs"\RTDC4021\*4021*201612132* &gt;&gt; 42717-slicedisagreementcheck.txt</v>
      </c>
    </row>
    <row r="32" spans="1:30" x14ac:dyDescent="0.25">
      <c r="A32" s="36">
        <v>42717.246967592589</v>
      </c>
      <c r="B32" s="31" t="s">
        <v>281</v>
      </c>
      <c r="C32" s="31" t="s">
        <v>409</v>
      </c>
      <c r="D32" s="31" t="s">
        <v>49</v>
      </c>
      <c r="E32" s="31" t="s">
        <v>201</v>
      </c>
      <c r="F32" s="47">
        <v>0</v>
      </c>
      <c r="G32" s="47">
        <v>45</v>
      </c>
      <c r="H32" s="47">
        <v>167</v>
      </c>
      <c r="I32" s="47">
        <v>127</v>
      </c>
      <c r="J32" s="31" t="s">
        <v>202</v>
      </c>
      <c r="K32" s="47">
        <v>1</v>
      </c>
      <c r="L32" s="154" t="s">
        <v>51</v>
      </c>
      <c r="M32" s="155">
        <f t="shared" si="0"/>
        <v>66.528000000000006</v>
      </c>
      <c r="N32" s="156" t="str">
        <f>VLOOKUP(C32,'Trips&amp;Operators'!$C$1:$G$99999,5,FALSE)</f>
        <v>BEAM ROSS</v>
      </c>
      <c r="O32" s="182" t="s">
        <v>196</v>
      </c>
      <c r="P32" s="157"/>
      <c r="Q32" s="31"/>
      <c r="R32" s="100" t="str">
        <f>VLOOKUP(C32,'Train Runs'!$A$13:$AE$9970,31,0)</f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S32" s="103" t="str">
        <f>VLOOKUP(C32,'Train Runs'!$A$13:$AE$9970,22,0)</f>
        <v>https://search-rtdc-monitor-bjffxe2xuh6vdkpspy63sjmuny.us-east-1.es.amazonaws.com/_plugin/kibana/#/discover/Steve-Slow-Train-Analysis-(2080s-and-2083s)?_g=(refreshInterval:(display:Off,section:0,value:0),time:(from:'2016-12-13 04:01:44-700',mode:absolute,to:'2016-12-13 06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2" s="105" t="str">
        <f t="shared" si="1"/>
        <v>"C:\Program Files (x86)\AstroGrep\AstroGrep.exe" /spath="%USERPROFILE%\AppData\Local\Temp\OnboardLogs" /stypes="*4015*201612131*" /stext=" 12:.+((SYSTEM_STATE.+slice.+state.+changed )|(ment ac)|(multiple cpu faults)|(system.+state.+changed )|(\[timeout)|(PRM\|1\|D)|(kpr)|(kdp)|(\|lc)|(penalty))" /e /r /s</v>
      </c>
      <c r="U32" s="9" t="str">
        <f t="shared" si="2"/>
        <v>4015</v>
      </c>
      <c r="V32" s="36">
        <f t="shared" si="3"/>
        <v>42717.538634259254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{"issue":{"subject":"","project_id":79,"tracker_id":40,"status_id":1,"priority_id":2,"assigned_to_id":23,"start_date":"2016-12-13","description":"","custom_fields":[{"id":1,"name":"Subdivision","value":"EC"},{"id":4,"name":"Milepost","value":"0.0001"},{"id":17,"name":"Train ID","value":"106-13"},{"id":16,"name":"Locomotive ID","value":"4015"},{"id":130,"name":"Impact","value":""},{"id":150,"name":"Time of Event (Mountain Time)","value":"05:55:38"},{"id":151,"name":"Denver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"%USERPROFILE%\AppData\Local\Temp\OnboardLogs"\RTDC4015\*4015*201612131*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"%USERPROFILE%\AppData\Local\Temp\OnboardLogs"\RTDC4015\*4015*201612131* &gt;&gt; 42717-slicedisagreementcheck.txt</v>
      </c>
    </row>
    <row r="33" spans="1:30" x14ac:dyDescent="0.25">
      <c r="A33" s="36">
        <v>42717.859479166669</v>
      </c>
      <c r="B33" s="31" t="s">
        <v>281</v>
      </c>
      <c r="C33" s="31" t="s">
        <v>442</v>
      </c>
      <c r="D33" s="31" t="s">
        <v>49</v>
      </c>
      <c r="E33" s="31" t="s">
        <v>201</v>
      </c>
      <c r="F33" s="47">
        <v>0</v>
      </c>
      <c r="G33" s="47">
        <v>71</v>
      </c>
      <c r="H33" s="47">
        <v>282</v>
      </c>
      <c r="I33" s="47">
        <v>227</v>
      </c>
      <c r="J33" s="31" t="s">
        <v>202</v>
      </c>
      <c r="K33" s="47">
        <v>1</v>
      </c>
      <c r="L33" s="154" t="s">
        <v>51</v>
      </c>
      <c r="M33" s="155">
        <f t="shared" si="0"/>
        <v>119.328</v>
      </c>
      <c r="N33" s="156" t="str">
        <f>VLOOKUP(C33,'Trips&amp;Operators'!$C$1:$G$99999,5,FALSE)</f>
        <v>LEVERE CRAIG</v>
      </c>
      <c r="O33" s="182" t="s">
        <v>196</v>
      </c>
      <c r="P33" s="157"/>
      <c r="Q33" s="31"/>
      <c r="R33" s="100" t="str">
        <f>VLOOKUP(C33,'Train Runs'!$A$13:$AE$9970,31,0)</f>
        <v>aws s3 cp s3://rtdc.mdm.uploadarchive.raw/RTDC4015/ "%USERPROFILE%\AppData\Local\Temp\OnboardLogs"\RTDC4015\2016-12-13 --exclude "*" --recursive --include "*20161213*" &amp; "%USERPROFILE%\Documents\GitHub\mrs-test-scripts\Headless Mode &amp; Sideloading\WalkAndUnGZ.bat" "%USERPROFILE%\AppData\Local\Temp\OnboardLogs"\RTDC4015\2016-12-13 &amp; aws s3 cp s3://rtdc.mdm.uploadarchive.raw/RTDC4015/ "%USERPROFILE%\AppData\Local\Temp\OnboardLogs"\RTDC4015\2016-12-14 --exclude "*" --recursive --include "*20161214*" &amp; "%USERPROFILE%\Documents\GitHub\mrs-test-scripts\Headless Mode &amp; Sideloading\WalkAndUnGZ.bat" "%USERPROFILE%\AppData\Local\Temp\OnboardLogs"\RTDC4015\2016-12-14</v>
      </c>
      <c r="S33" s="103" t="str">
        <f>VLOOKUP(C33,'Train Runs'!$A$13:$AE$9970,22,0)</f>
        <v>https://search-rtdc-monitor-bjffxe2xuh6vdkpspy63sjmuny.us-east-1.es.amazonaws.com/_plugin/kibana/#/discover/Steve-Slow-Train-Analysis-(2080s-and-2083s)?_g=(refreshInterval:(display:Off,section:0,value:0),time:(from:'2016-12-13 18:46:15-700',mode:absolute,to:'2016-12-13 21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3" s="105" t="str">
        <f t="shared" si="1"/>
        <v>"C:\Program Files (x86)\AstroGrep\AstroGrep.exe" /spath="%USERPROFILE%\AppData\Local\Temp\OnboardLogs" /stypes="*4015*201612140*" /stext=" 03:.+((SYSTEM_STATE.+slice.+state.+changed )|(ment ac)|(multiple cpu faults)|(system.+state.+changed )|(\[timeout)|(PRM\|1\|D)|(kpr)|(kdp)|(\|lc)|(penalty))" /e /r /s</v>
      </c>
      <c r="U33" s="9" t="str">
        <f t="shared" si="2"/>
        <v>4015</v>
      </c>
      <c r="V33" s="36">
        <f t="shared" si="3"/>
        <v>42718.151145833333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{"issue":{"subject":"","project_id":79,"tracker_id":40,"status_id":1,"priority_id":2,"assigned_to_id":23,"start_date":"2016-12-13","description":"","custom_fields":[{"id":1,"name":"Subdivision","value":"EC"},{"id":4,"name":"Milepost","value":"0.0001"},{"id":17,"name":"Train ID","value":"222-13"},{"id":16,"name":"Locomotive ID","value":"4015"},{"id":130,"name":"Impact","value":""},{"id":150,"name":"Time of Event (Mountain Time)","value":"20:37:39"},{"id":151,"name":"Denver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"%USERPROFILE%\AppData\Local\Temp\OnboardLogs"\RTDC4015\*4015*201612140*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"%USERPROFILE%\AppData\Local\Temp\OnboardLogs"\RTDC4015\*4015*201612140* &gt;&gt; 42717-slicedisagreementcheck.txt</v>
      </c>
    </row>
    <row r="34" spans="1:30" x14ac:dyDescent="0.25">
      <c r="A34" s="36">
        <v>42717.260277777779</v>
      </c>
      <c r="B34" s="31" t="s">
        <v>243</v>
      </c>
      <c r="C34" s="31" t="s">
        <v>410</v>
      </c>
      <c r="D34" s="31" t="s">
        <v>49</v>
      </c>
      <c r="E34" s="31" t="s">
        <v>201</v>
      </c>
      <c r="F34" s="47">
        <v>0</v>
      </c>
      <c r="G34" s="47">
        <v>14</v>
      </c>
      <c r="H34" s="47">
        <v>862</v>
      </c>
      <c r="I34" s="47">
        <v>845</v>
      </c>
      <c r="J34" s="31" t="s">
        <v>202</v>
      </c>
      <c r="K34" s="47">
        <v>839</v>
      </c>
      <c r="L34" s="154" t="s">
        <v>51</v>
      </c>
      <c r="M34" s="155">
        <f t="shared" si="0"/>
        <v>3.1680000000000001</v>
      </c>
      <c r="N34" s="156" t="str">
        <f>VLOOKUP(C34,'Trips&amp;Operators'!$C$1:$G$99999,5,FALSE)</f>
        <v>SPECTOR MICHAEL</v>
      </c>
      <c r="O34" s="182" t="s">
        <v>230</v>
      </c>
      <c r="P34" s="157" t="s">
        <v>960</v>
      </c>
      <c r="Q34" s="31"/>
      <c r="R34" s="100" t="str">
        <f>VLOOKUP(C34,'Train Runs'!$A$13:$AE$9970,31,0)</f>
        <v>aws s3 cp s3://rtdc.mdm.uploadarchive.raw/RTDC4032/ "%USERPROFILE%\AppData\Local\Temp\OnboardLogs"\RTDC4032\2016-12-13 --exclude "*" --recursive --include "*20161213*" &amp; "%USERPROFILE%\Documents\GitHub\mrs-test-scripts\Headless Mode &amp; Sideloading\WalkAndUnGZ.bat" "%USERPROFILE%\AppData\Local\Temp\OnboardLogs"\RTDC4032\2016-12-13 &amp; aws s3 cp s3://rtdc.mdm.uploadarchive.raw/RTDC4032/ "%USERPROFILE%\AppData\Local\Temp\OnboardLogs"\RTDC4032\2016-12-14 --exclude "*" --recursive --include "*20161214*" &amp; "%USERPROFILE%\Documents\GitHub\mrs-test-scripts\Headless Mode &amp; Sideloading\WalkAndUnGZ.bat" "%USERPROFILE%\AppData\Local\Temp\OnboardLogs"\RTDC4032\2016-12-14</v>
      </c>
      <c r="S34" s="103" t="str">
        <f>VLOOKUP(C34,'Train Runs'!$A$13:$AE$9970,22,0)</f>
        <v>https://search-rtdc-monitor-bjffxe2xuh6vdkpspy63sjmuny.us-east-1.es.amazonaws.com/_plugin/kibana/#/discover/Steve-Slow-Train-Analysis-(2080s-and-2083s)?_g=(refreshInterval:(display:Off,section:0,value:0),time:(from:'2016-12-13 04:21:50-700',mode:absolute,to:'2016-12-13 07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4" s="105" t="str">
        <f t="shared" si="1"/>
        <v>"C:\Program Files (x86)\AstroGrep\AstroGrep.exe" /spath="%USERPROFILE%\AppData\Local\Temp\OnboardLogs" /stypes="*4032*201612131*" /stext=" 13:.+((SYSTEM_STATE.+slice.+state.+changed )|(ment ac)|(multiple cpu faults)|(system.+state.+changed )|(\[timeout)|(PRM\|1\|D)|(kpr)|(kdp)|(\|lc)|(penalty))" /e /r /s</v>
      </c>
      <c r="U34" s="9" t="str">
        <f t="shared" si="2"/>
        <v>4032</v>
      </c>
      <c r="V34" s="36">
        <f t="shared" si="3"/>
        <v>42717.551944444444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{"issue":{"subject":"Banner without braking","project_id":79,"tracker_id":40,"status_id":1,"priority_id":2,"assigned_to_id":23,"start_date":"2016-12-13","description":"","custom_fields":[{"id":1,"name":"Subdivision","value":"EC"},{"id":4,"name":"Milepost","value":"0.0839"},{"id":17,"name":"Train ID","value":"108-13"},{"id":16,"name":"Locomotive ID","value":"4032"},{"id":130,"name":"Impact","value":""},{"id":150,"name":"Time of Event (Mountain Time)","value":"06:14:48"},{"id":151,"name":"Denver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"%USERPROFILE%\AppData\Local\Temp\OnboardLogs"\RTDC4032\*4032*201612131*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"%USERPROFILE%\AppData\Local\Temp\OnboardLogs"\RTDC4032\*4032*201612131* &gt;&gt; 42717-slicedisagreementcheck.txt</v>
      </c>
    </row>
    <row r="35" spans="1:30" x14ac:dyDescent="0.25">
      <c r="A35" s="36">
        <v>42717.162638888891</v>
      </c>
      <c r="B35" s="31" t="s">
        <v>184</v>
      </c>
      <c r="C35" s="31" t="s">
        <v>403</v>
      </c>
      <c r="D35" s="31" t="s">
        <v>49</v>
      </c>
      <c r="E35" s="31" t="s">
        <v>201</v>
      </c>
      <c r="F35" s="47">
        <v>0</v>
      </c>
      <c r="G35" s="47">
        <v>39</v>
      </c>
      <c r="H35" s="47">
        <v>233359</v>
      </c>
      <c r="I35" s="47">
        <v>233387</v>
      </c>
      <c r="J35" s="31" t="s">
        <v>202</v>
      </c>
      <c r="K35" s="47">
        <v>233491</v>
      </c>
      <c r="L35" s="154" t="s">
        <v>50</v>
      </c>
      <c r="M35" s="155">
        <f t="shared" si="0"/>
        <v>54.911999999999999</v>
      </c>
      <c r="N35" s="156" t="str">
        <f>VLOOKUP(C35,'Trips&amp;Operators'!$C$1:$G$99999,5,FALSE)</f>
        <v>KILLION DAVID</v>
      </c>
      <c r="O35" s="182" t="s">
        <v>196</v>
      </c>
      <c r="P35" s="157"/>
      <c r="Q35" s="31"/>
      <c r="R35" s="100" t="str">
        <f>VLOOKUP(C35,'Train Runs'!$A$13:$AE$9970,31,0)</f>
        <v>aws s3 cp s3://rtdc.mdm.uploadarchive.raw/RTDC4044/ "%USERPROFILE%\AppData\Local\Temp\OnboardLogs"\RTDC4044\2016-12-13 --exclude "*" --recursive --include "*20161213*" &amp; "%USERPROFILE%\Documents\GitHub\mrs-test-scripts\Headless Mode &amp; Sideloading\WalkAndUnGZ.bat" "%USERPROFILE%\AppData\Local\Temp\OnboardLogs"\RTDC4044\2016-12-13 &amp; aws s3 cp s3://rtdc.mdm.uploadarchive.raw/RTDC4044/ "%USERPROFILE%\AppData\Local\Temp\OnboardLogs"\RTDC4044\2016-12-14 --exclude "*" --recursive --include "*20161214*" &amp; "%USERPROFILE%\Documents\GitHub\mrs-test-scripts\Headless Mode &amp; Sideloading\WalkAndUnGZ.bat" "%USERPROFILE%\AppData\Local\Temp\OnboardLogs"\RTDC4044\2016-12-14</v>
      </c>
      <c r="S35" s="103" t="str">
        <f>VLOOKUP(C35,'Train Runs'!$A$13:$AE$9970,22,0)</f>
        <v>https://search-rtdc-monitor-bjffxe2xuh6vdkpspy63sjmuny.us-east-1.es.amazonaws.com/_plugin/kibana/#/discover/Steve-Slow-Train-Analysis-(2080s-and-2083s)?_g=(refreshInterval:(display:Off,section:0,value:0),time:(from:'2016-12-13 02:05:47-700',mode:absolute,to:'2016-12-13 04:54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5" s="105" t="str">
        <f t="shared" si="1"/>
        <v>"C:\Program Files (x86)\AstroGrep\AstroGrep.exe" /spath="%USERPROFILE%\AppData\Local\Temp\OnboardLogs" /stypes="*4044*201612131*" /stext=" 10:.+((SYSTEM_STATE.+slice.+state.+changed )|(ment ac)|(multiple cpu faults)|(system.+state.+changed )|(\[timeout)|(PRM\|1\|D)|(kpr)|(kdp)|(\|lc)|(penalty))" /e /r /s</v>
      </c>
      <c r="U35" s="9" t="str">
        <f t="shared" si="2"/>
        <v>4044</v>
      </c>
      <c r="V35" s="36">
        <f t="shared" si="3"/>
        <v>42717.454305555555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{"issue":{"subject":"","project_id":79,"tracker_id":40,"status_id":1,"priority_id":2,"assigned_to_id":23,"start_date":"2016-12-13","description":"","custom_fields":[{"id":1,"name":"Subdivision","value":"EC"},{"id":4,"name":"Milepost","value":"23.3491"},{"id":17,"name":"Train ID","value":"101-13"},{"id":16,"name":"Locomotive ID","value":"4044"},{"id":130,"name":"Impact","value":""},{"id":150,"name":"Time of Event (Mountain Time)","value":"03:54:12"},{"id":151,"name":"Denver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"%USERPROFILE%\AppData\Local\Temp\OnboardLogs"\RTDC4044\*4044*201612131*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"%USERPROFILE%\AppData\Local\Temp\OnboardLogs"\RTDC4044\*4044*201612131* &gt;&gt; 42717-slicedisagreementcheck.txt</v>
      </c>
    </row>
    <row r="36" spans="1:30" x14ac:dyDescent="0.25">
      <c r="A36" s="36">
        <v>42717.539988425924</v>
      </c>
      <c r="B36" s="31" t="s">
        <v>238</v>
      </c>
      <c r="C36" s="31" t="s">
        <v>429</v>
      </c>
      <c r="D36" s="31" t="s">
        <v>49</v>
      </c>
      <c r="E36" s="31" t="s">
        <v>201</v>
      </c>
      <c r="F36" s="47">
        <v>0</v>
      </c>
      <c r="G36" s="47">
        <v>85</v>
      </c>
      <c r="H36" s="47">
        <v>233159</v>
      </c>
      <c r="I36" s="47">
        <v>233253</v>
      </c>
      <c r="J36" s="31" t="s">
        <v>202</v>
      </c>
      <c r="K36" s="47">
        <v>233491</v>
      </c>
      <c r="L36" s="154" t="s">
        <v>50</v>
      </c>
      <c r="M36" s="155">
        <f t="shared" si="0"/>
        <v>125.664</v>
      </c>
      <c r="N36" s="156" t="str">
        <f>VLOOKUP(C36,'Trips&amp;Operators'!$C$1:$G$99999,5,FALSE)</f>
        <v>CLARK KATHLEEN</v>
      </c>
      <c r="O36" s="182" t="s">
        <v>196</v>
      </c>
      <c r="P36" s="157"/>
      <c r="Q36" s="31"/>
      <c r="R36" s="100" t="str">
        <f>VLOOKUP(C36,'Train Runs'!$A$13:$AE$9970,31,0)</f>
        <v>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 &amp; aws s3 cp s3://rtdc.mdm.uploadarchive.raw/RTDC4042/ "%USERPROFILE%\AppData\Local\Temp\OnboardLogs"\RTDC4042\2016-12-14 --exclude "*" --recursive --include "*20161214*" &amp; "%USERPROFILE%\Documents\GitHub\mrs-test-scripts\Headless Mode &amp; Sideloading\WalkAndUnGZ.bat" "%USERPROFILE%\AppData\Local\Temp\OnboardLogs"\RTDC4042\2016-12-14</v>
      </c>
      <c r="S36" s="103" t="str">
        <f>VLOOKUP(C36,'Train Runs'!$A$13:$AE$9970,22,0)</f>
        <v>https://search-rtdc-monitor-bjffxe2xuh6vdkpspy63sjmuny.us-east-1.es.amazonaws.com/_plugin/kibana/#/discover/Steve-Slow-Train-Analysis-(2080s-and-2083s)?_g=(refreshInterval:(display:Off,section:0,value:0),time:(from:'2016-12-13 11:13:31-700',mode:absolute,to:'2016-12-13 13:57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6" s="105" t="str">
        <f t="shared" si="1"/>
        <v>"C:\Program Files (x86)\AstroGrep\AstroGrep.exe" /spath="%USERPROFILE%\AppData\Local\Temp\OnboardLogs" /stypes="*4042*201612131*" /stext=" 19:.+((SYSTEM_STATE.+slice.+state.+changed )|(ment ac)|(multiple cpu faults)|(system.+state.+changed )|(\[timeout)|(PRM\|1\|D)|(kpr)|(kdp)|(\|lc)|(penalty))" /e /r /s</v>
      </c>
      <c r="U36" s="9" t="str">
        <f t="shared" si="2"/>
        <v>4042</v>
      </c>
      <c r="V36" s="36">
        <f t="shared" si="3"/>
        <v>42717.831655092588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{"issue":{"subject":"","project_id":79,"tracker_id":40,"status_id":1,"priority_id":2,"assigned_to_id":23,"start_date":"2016-12-13","description":"","custom_fields":[{"id":1,"name":"Subdivision","value":"EC"},{"id":4,"name":"Milepost","value":"23.3491"},{"id":17,"name":"Train ID","value":"169-13"},{"id":16,"name":"Locomotive ID","value":"4042"},{"id":130,"name":"Impact","value":""},{"id":150,"name":"Time of Event (Mountain Time)","value":"12:57:35"},{"id":151,"name":"Denver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"%USERPROFILE%\AppData\Local\Temp\OnboardLogs"\RTDC4042\*4042*201612131*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"%USERPROFILE%\AppData\Local\Temp\OnboardLogs"\RTDC4042\*4042*201612131* &gt;&gt; 42717-slicedisagreementcheck.txt</v>
      </c>
    </row>
    <row r="37" spans="1:30" x14ac:dyDescent="0.25">
      <c r="A37" s="36">
        <v>42717.600659722222</v>
      </c>
      <c r="B37" s="31" t="s">
        <v>253</v>
      </c>
      <c r="C37" s="31" t="s">
        <v>431</v>
      </c>
      <c r="D37" s="31" t="s">
        <v>49</v>
      </c>
      <c r="E37" s="31" t="s">
        <v>201</v>
      </c>
      <c r="F37" s="47">
        <v>0</v>
      </c>
      <c r="G37" s="47">
        <v>137</v>
      </c>
      <c r="H37" s="47">
        <v>232783</v>
      </c>
      <c r="I37" s="47">
        <v>232952</v>
      </c>
      <c r="J37" s="31" t="s">
        <v>202</v>
      </c>
      <c r="K37" s="47">
        <v>233491</v>
      </c>
      <c r="L37" s="154" t="s">
        <v>50</v>
      </c>
      <c r="M37" s="155">
        <f t="shared" si="0"/>
        <v>284.59199999999998</v>
      </c>
      <c r="N37" s="156" t="str">
        <f>VLOOKUP(C37,'Trips&amp;Operators'!$C$1:$G$99999,5,FALSE)</f>
        <v>YOUNG ELIZABETH</v>
      </c>
      <c r="O37" s="182" t="s">
        <v>196</v>
      </c>
      <c r="P37" s="157"/>
      <c r="Q37" s="31"/>
      <c r="R37" s="100" t="str">
        <f>VLOOKUP(C37,'Train Runs'!$A$13:$AE$9970,31,0)</f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S37" s="103" t="str">
        <f>VLOOKUP(C37,'Train Runs'!$A$13:$AE$9970,22,0)</f>
        <v>https://search-rtdc-monitor-bjffxe2xuh6vdkpspy63sjmuny.us-east-1.es.amazonaws.com/_plugin/kibana/#/discover/Steve-Slow-Train-Analysis-(2080s-and-2083s)?_g=(refreshInterval:(display:Off,section:0,value:0),time:(from:'2016-12-13 12:41:06-700',mode:absolute,to:'2016-12-13 15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7" s="105" t="str">
        <f t="shared" si="1"/>
        <v>"C:\Program Files (x86)\AstroGrep\AstroGrep.exe" /spath="%USERPROFILE%\AppData\Local\Temp\OnboardLogs" /stypes="*4016*201612132*" /stext=" 21:.+((SYSTEM_STATE.+slice.+state.+changed )|(ment ac)|(multiple cpu faults)|(system.+state.+changed )|(\[timeout)|(PRM\|1\|D)|(kpr)|(kdp)|(\|lc)|(penalty))" /e /r /s</v>
      </c>
      <c r="U37" s="9" t="str">
        <f t="shared" si="2"/>
        <v>4016</v>
      </c>
      <c r="V37" s="36">
        <f t="shared" si="3"/>
        <v>42717.892326388886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{"issue":{"subject":"","project_id":79,"tracker_id":40,"status_id":1,"priority_id":2,"assigned_to_id":23,"start_date":"2016-12-13","description":"","custom_fields":[{"id":1,"name":"Subdivision","value":"EC"},{"id":4,"name":"Milepost","value":"23.3491"},{"id":17,"name":"Train ID","value":"181-13"},{"id":16,"name":"Locomotive ID","value":"4016"},{"id":130,"name":"Impact","value":""},{"id":150,"name":"Time of Event (Mountain Time)","value":"14:24:57"},{"id":151,"name":"Denver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"%USERPROFILE%\AppData\Local\Temp\OnboardLogs"\RTDC4016\*4016*201612132*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"%USERPROFILE%\AppData\Local\Temp\OnboardLogs"\RTDC4016\*4016*201612132* &gt;&gt; 42717-slicedisagreementcheck.txt</v>
      </c>
    </row>
    <row r="38" spans="1:30" x14ac:dyDescent="0.25">
      <c r="A38" s="36">
        <v>42717.601261574076</v>
      </c>
      <c r="B38" s="31" t="s">
        <v>253</v>
      </c>
      <c r="C38" s="31" t="s">
        <v>431</v>
      </c>
      <c r="D38" s="31" t="s">
        <v>49</v>
      </c>
      <c r="E38" s="31" t="s">
        <v>201</v>
      </c>
      <c r="F38" s="47">
        <v>0</v>
      </c>
      <c r="G38" s="47">
        <v>45</v>
      </c>
      <c r="H38" s="47">
        <v>233266</v>
      </c>
      <c r="I38" s="47">
        <v>233334</v>
      </c>
      <c r="J38" s="31" t="s">
        <v>202</v>
      </c>
      <c r="K38" s="47">
        <v>233491</v>
      </c>
      <c r="L38" s="154" t="s">
        <v>50</v>
      </c>
      <c r="M38" s="155">
        <f t="shared" si="0"/>
        <v>82.895999999999987</v>
      </c>
      <c r="N38" s="156" t="str">
        <f>VLOOKUP(C38,'Trips&amp;Operators'!$C$1:$G$99999,5,FALSE)</f>
        <v>YOUNG ELIZABETH</v>
      </c>
      <c r="O38" s="182" t="s">
        <v>196</v>
      </c>
      <c r="P38" s="157"/>
      <c r="Q38" s="31"/>
      <c r="R38" s="100" t="str">
        <f>VLOOKUP(C38,'Train Runs'!$A$13:$AE$9970,31,0)</f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S38" s="103" t="str">
        <f>VLOOKUP(C38,'Train Runs'!$A$13:$AE$9970,22,0)</f>
        <v>https://search-rtdc-monitor-bjffxe2xuh6vdkpspy63sjmuny.us-east-1.es.amazonaws.com/_plugin/kibana/#/discover/Steve-Slow-Train-Analysis-(2080s-and-2083s)?_g=(refreshInterval:(display:Off,section:0,value:0),time:(from:'2016-12-13 12:41:06-700',mode:absolute,to:'2016-12-13 15:23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/stypes="*4016*201612132*" /stext=" 21:.+((SYSTEM_STATE.+slice.+state.+changed )|(ment ac)|(multiple cpu faults)|(system.+state.+changed )|(\[timeout)|(PRM\|1\|D)|(kpr)|(kdp)|(\|lc)|(penalty))" /e /r /s</v>
      </c>
      <c r="U38" s="9" t="str">
        <f t="shared" si="2"/>
        <v>4016</v>
      </c>
      <c r="V38" s="36">
        <f t="shared" si="3"/>
        <v>42717.892928240741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{"issue":{"subject":"","project_id":79,"tracker_id":40,"status_id":1,"priority_id":2,"assigned_to_id":23,"start_date":"2016-12-13","description":"","custom_fields":[{"id":1,"name":"Subdivision","value":"EC"},{"id":4,"name":"Milepost","value":"23.3491"},{"id":17,"name":"Train ID","value":"181-13"},{"id":16,"name":"Locomotive ID","value":"4016"},{"id":130,"name":"Impact","value":""},{"id":150,"name":"Time of Event (Mountain Time)","value":"14:25:49"},{"id":151,"name":"Denver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"%USERPROFILE%\AppData\Local\Temp\OnboardLogs"\RTDC4016\*4016*201612132*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"%USERPROFILE%\AppData\Local\Temp\OnboardLogs"\RTDC4016\*4016*201612132* &gt;&gt; 42717-slicedisagreementcheck.txt</v>
      </c>
    </row>
    <row r="39" spans="1:30" x14ac:dyDescent="0.25">
      <c r="A39" s="36">
        <v>42717.674467592595</v>
      </c>
      <c r="B39" s="31" t="s">
        <v>253</v>
      </c>
      <c r="C39" s="31" t="s">
        <v>438</v>
      </c>
      <c r="D39" s="31" t="s">
        <v>49</v>
      </c>
      <c r="E39" s="31" t="s">
        <v>201</v>
      </c>
      <c r="F39" s="47">
        <v>0</v>
      </c>
      <c r="G39" s="47">
        <v>51</v>
      </c>
      <c r="H39" s="47">
        <v>233344</v>
      </c>
      <c r="I39" s="47">
        <v>233366</v>
      </c>
      <c r="J39" s="31" t="s">
        <v>202</v>
      </c>
      <c r="K39" s="47">
        <v>233491</v>
      </c>
      <c r="L39" s="154" t="s">
        <v>50</v>
      </c>
      <c r="M39" s="155">
        <f t="shared" ref="M39:M70" si="8">CONVERT((I39-K39)/10000,"mi","ft")*IF(L39="Increasing Mileposts (1)",-1,1)</f>
        <v>66</v>
      </c>
      <c r="N39" s="156" t="str">
        <f>VLOOKUP(C39,'Trips&amp;Operators'!$C$1:$G$99999,5,FALSE)</f>
        <v>YOUNG ELIZABETH</v>
      </c>
      <c r="O39" s="182" t="s">
        <v>196</v>
      </c>
      <c r="P39" s="157"/>
      <c r="Q39" s="31"/>
      <c r="R39" s="100" t="str">
        <f>VLOOKUP(C39,'Train Runs'!$A$13:$AE$9970,31,0)</f>
        <v>aws s3 cp s3://rtdc.mdm.uploadarchive.raw/RTDC4016/ "%USERPROFILE%\AppData\Local\Temp\OnboardLogs"\RTDC4016\2016-12-13 --exclude "*" --recursive --include "*20161213*" &amp; "%USERPROFILE%\Documents\GitHub\mrs-test-scripts\Headless Mode &amp; Sideloading\WalkAndUnGZ.bat" "%USERPROFILE%\AppData\Local\Temp\OnboardLogs"\RTDC4016\2016-12-13 &amp; aws s3 cp s3://rtdc.mdm.uploadarchive.raw/RTDC4016/ "%USERPROFILE%\AppData\Local\Temp\OnboardLogs"\RTDC4016\2016-12-14 --exclude "*" --recursive --include "*20161214*" &amp; "%USERPROFILE%\Documents\GitHub\mrs-test-scripts\Headless Mode &amp; Sideloading\WalkAndUnGZ.bat" "%USERPROFILE%\AppData\Local\Temp\OnboardLogs"\RTDC4016\2016-12-14</v>
      </c>
      <c r="S39" s="103" t="str">
        <f>VLOOKUP(C39,'Train Runs'!$A$13:$AE$9970,22,0)</f>
        <v>https://search-rtdc-monitor-bjffxe2xuh6vdkpspy63sjmuny.us-east-1.es.amazonaws.com/_plugin/kibana/#/discover/Steve-Slow-Train-Analysis-(2080s-and-2083s)?_g=(refreshInterval:(display:Off,section:0,value:0),time:(from:'2016-12-13 14:27:21-700',mode:absolute,to:'2016-12-13 17:11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/stypes="*4016*201612132*" /stext=" 23:.+((SYSTEM_STATE.+slice.+state.+changed )|(ment ac)|(multiple cpu faults)|(system.+state.+changed )|(\[timeout)|(PRM\|1\|D)|(kpr)|(kdp)|(\|lc)|(penalty))" /e /r /s</v>
      </c>
      <c r="U39" s="9" t="str">
        <f t="shared" ref="U39:U56" si="10">MID(B39,13,4)</f>
        <v>4016</v>
      </c>
      <c r="V39" s="36">
        <f t="shared" ref="V39:V56" si="11">A39-utc_offset/24</f>
        <v>42717.966134259259</v>
      </c>
      <c r="W39" s="50" t="str">
        <f t="shared" ref="W39:W56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56" si="13">IF(AND(E39="TRACK WARRANT AUTHORITY",G39&lt;10),"OMIT","KEEP")</f>
        <v>KEEP</v>
      </c>
      <c r="Y39" s="11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{"issue":{"subject":"","project_id":79,"tracker_id":40,"status_id":1,"priority_id":2,"assigned_to_id":23,"start_date":"2016-12-13","description":"","custom_fields":[{"id":1,"name":"Subdivision","value":"EC"},{"id":4,"name":"Milepost","value":"23.3491"},{"id":17,"name":"Train ID","value":"195-13"},{"id":16,"name":"Locomotive ID","value":"4016"},{"id":130,"name":"Impact","value":""},{"id":150,"name":"Time of Event (Mountain Time)","value":"16:11:14"},{"id":151,"name":"Denver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56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"%USERPROFILE%\AppData\Local\Temp\OnboardLogs"\RTDC4016\*4016*201612132*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"%USERPROFILE%\AppData\Local\Temp\OnboardLogs"\RTDC4016\*4016*201612132* &gt;&gt; 42717-slicedisagreementcheck.txt</v>
      </c>
    </row>
    <row r="40" spans="1:30" x14ac:dyDescent="0.25">
      <c r="A40" s="36">
        <v>42717.860046296293</v>
      </c>
      <c r="B40" s="31" t="s">
        <v>216</v>
      </c>
      <c r="C40" s="31" t="s">
        <v>443</v>
      </c>
      <c r="D40" s="31" t="s">
        <v>49</v>
      </c>
      <c r="E40" s="31" t="s">
        <v>201</v>
      </c>
      <c r="F40" s="47">
        <v>0</v>
      </c>
      <c r="G40" s="47">
        <v>56</v>
      </c>
      <c r="H40" s="47">
        <v>233281</v>
      </c>
      <c r="I40" s="47">
        <v>233344</v>
      </c>
      <c r="J40" s="31" t="s">
        <v>202</v>
      </c>
      <c r="K40" s="47">
        <v>233491</v>
      </c>
      <c r="L40" s="154" t="s">
        <v>50</v>
      </c>
      <c r="M40" s="155">
        <f t="shared" si="8"/>
        <v>77.616</v>
      </c>
      <c r="N40" s="156" t="str">
        <f>VLOOKUP(C40,'Trips&amp;Operators'!$C$1:$G$99999,5,FALSE)</f>
        <v>YANAI IAN</v>
      </c>
      <c r="O40" s="182" t="s">
        <v>196</v>
      </c>
      <c r="P40" s="157"/>
      <c r="Q40" s="31"/>
      <c r="R40" s="100" t="str">
        <f>VLOOKUP(C40,'Train Runs'!$A$13:$AE$9970,31,0)</f>
        <v>aws s3 cp s3://rtdc.mdm.uploadarchive.raw/RTDC4022/ "%USERPROFILE%\AppData\Local\Temp\OnboardLogs"\RTDC4022\2016-12-13 --exclude "*" --recursive --include "*20161213*" &amp; "%USERPROFILE%\Documents\GitHub\mrs-test-scripts\Headless Mode &amp; Sideloading\WalkAndUnGZ.bat" "%USERPROFILE%\AppData\Local\Temp\OnboardLogs"\RTDC4022\2016-12-13 &amp; 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</v>
      </c>
      <c r="S40" s="103" t="str">
        <f>VLOOKUP(C40,'Train Runs'!$A$13:$AE$9970,22,0)</f>
        <v>https://search-rtdc-monitor-bjffxe2xuh6vdkpspy63sjmuny.us-east-1.es.amazonaws.com/_plugin/kibana/#/discover/Steve-Slow-Train-Analysis-(2080s-and-2083s)?_g=(refreshInterval:(display:Off,section:0,value:0),time:(from:'2016-12-13 19:07:22-700',mode:absolute,to:'2016-12-13 21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0" s="105" t="str">
        <f t="shared" si="9"/>
        <v>"C:\Program Files (x86)\AstroGrep\AstroGrep.exe" /spath="%USERPROFILE%\AppData\Local\Temp\OnboardLogs" /stypes="*4022*201612140*" /stext=" 03:.+((SYSTEM_STATE.+slice.+state.+changed )|(ment ac)|(multiple cpu faults)|(system.+state.+changed )|(\[timeout)|(PRM\|1\|D)|(kpr)|(kdp)|(\|lc)|(penalty))" /e /r /s</v>
      </c>
      <c r="U40" s="9" t="str">
        <f t="shared" si="10"/>
        <v>4022</v>
      </c>
      <c r="V40" s="36">
        <f t="shared" si="11"/>
        <v>42718.151712962957</v>
      </c>
      <c r="W40" s="50" t="str">
        <f t="shared" si="12"/>
        <v>EC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{"issue":{"subject":"","project_id":79,"tracker_id":40,"status_id":1,"priority_id":2,"assigned_to_id":23,"start_date":"2016-12-13","description":"","custom_fields":[{"id":1,"name":"Subdivision","value":"EC"},{"id":4,"name":"Milepost","value":"23.3491"},{"id":17,"name":"Train ID","value":"225-13"},{"id":16,"name":"Locomotive ID","value":"4022"},{"id":130,"name":"Impact","value":""},{"id":150,"name":"Time of Event (Mountain Time)","value":"20:38:28"},{"id":151,"name":"Denver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"%USERPROFILE%\AppData\Local\Temp\OnboardLogs"\RTDC4022\*4022*201612140*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"%USERPROFILE%\AppData\Local\Temp\OnboardLogs"\RTDC4022\*4022*201612140* &gt;&gt; 42717-slicedisagreementcheck.txt</v>
      </c>
    </row>
    <row r="41" spans="1:30" x14ac:dyDescent="0.25">
      <c r="A41" s="36">
        <v>42718.024722222224</v>
      </c>
      <c r="B41" s="31" t="s">
        <v>216</v>
      </c>
      <c r="C41" s="31" t="s">
        <v>444</v>
      </c>
      <c r="D41" s="31" t="s">
        <v>49</v>
      </c>
      <c r="E41" s="31" t="s">
        <v>201</v>
      </c>
      <c r="F41" s="47">
        <v>0</v>
      </c>
      <c r="G41" s="47">
        <v>64</v>
      </c>
      <c r="H41" s="47">
        <v>233266</v>
      </c>
      <c r="I41" s="47">
        <v>233323</v>
      </c>
      <c r="J41" s="31" t="s">
        <v>202</v>
      </c>
      <c r="K41" s="47">
        <v>233491</v>
      </c>
      <c r="L41" s="154" t="s">
        <v>50</v>
      </c>
      <c r="M41" s="155">
        <f t="shared" si="8"/>
        <v>88.703999999999994</v>
      </c>
      <c r="N41" s="156" t="str">
        <f>VLOOKUP(C41,'Trips&amp;Operators'!$C$1:$G$99999,5,FALSE)</f>
        <v>YANAI IAN</v>
      </c>
      <c r="O41" s="182" t="s">
        <v>196</v>
      </c>
      <c r="P41" s="157"/>
      <c r="Q41" s="31"/>
      <c r="R41" s="100" t="str">
        <f>VLOOKUP(C41,'Train Runs'!$A$13:$AE$9970,31,0)</f>
        <v>aws s3 cp s3://rtdc.mdm.uploadarchive.raw/RTDC4022/ "%USERPROFILE%\AppData\Local\Temp\OnboardLogs"\RTDC4022\2016-12-14 --exclude "*" --recursive --include "*20161214*" &amp; "%USERPROFILE%\Documents\GitHub\mrs-test-scripts\Headless Mode &amp; Sideloading\WalkAndUnGZ.bat" "%USERPROFILE%\AppData\Local\Temp\OnboardLogs"\RTDC4022\2016-12-14 &amp; aws s3 cp s3://rtdc.mdm.uploadarchive.raw/RTDC4022/ "%USERPROFILE%\AppData\Local\Temp\OnboardLogs"\RTDC4022\2016-12-15 --exclude "*" --recursive --include "*20161215*" &amp; "%USERPROFILE%\Documents\GitHub\mrs-test-scripts\Headless Mode &amp; Sideloading\WalkAndUnGZ.bat" "%USERPROFILE%\AppData\Local\Temp\OnboardLogs"\RTDC4022\2016-12-15</v>
      </c>
      <c r="S41" s="103" t="str">
        <f>VLOOKUP(C41,'Train Runs'!$A$13:$AE$9970,22,0)</f>
        <v>https://search-rtdc-monitor-bjffxe2xuh6vdkpspy63sjmuny.us-east-1.es.amazonaws.com/_plugin/kibana/#/discover/Steve-Slow-Train-Analysis-(2080s-and-2083s)?_g=(refreshInterval:(display:Off,section:0,value:0),time:(from:'2016-12-13 22:46:51-700',mode:absolute,to:'2016-12-14 01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41" s="105" t="str">
        <f t="shared" si="9"/>
        <v>"C:\Program Files (x86)\AstroGrep\AstroGrep.exe" /spath="%USERPROFILE%\AppData\Local\Temp\OnboardLogs" /stypes="*4022*201612140*" /stext=" 07:.+((SYSTEM_STATE.+slice.+state.+changed )|(ment ac)|(multiple cpu faults)|(system.+state.+changed )|(\[timeout)|(PRM\|1\|D)|(kpr)|(kdp)|(\|lc)|(penalty))" /e /r /s</v>
      </c>
      <c r="U41" s="9" t="str">
        <f t="shared" si="10"/>
        <v>4022</v>
      </c>
      <c r="V41" s="36">
        <f t="shared" si="11"/>
        <v>42718.316388888888</v>
      </c>
      <c r="W41" s="50" t="str">
        <f t="shared" si="12"/>
        <v>EC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{"issue":{"subject":"","project_id":79,"tracker_id":40,"status_id":1,"priority_id":2,"assigned_to_id":23,"start_date":"2016-12-14","description":"","custom_fields":[{"id":1,"name":"Subdivision","value":"EC"},{"id":4,"name":"Milepost","value":"23.3491"},{"id":17,"name":"Train ID","value":"241-13"},{"id":16,"name":"Locomotive ID","value":"4022"},{"id":130,"name":"Impact","value":""},{"id":150,"name":"Time of Event (Mountain Time)","value":"00:35:36"},{"id":151,"name":"Denver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"%USERPROFILE%\AppData\Local\Temp\OnboardLogs"\RTDC4022\*4022*201612140*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"%USERPROFILE%\AppData\Local\Temp\OnboardLogs"\RTDC4022\*4022*201612140* &gt;&gt; 42717-slicedisagreementcheck.txt</v>
      </c>
    </row>
    <row r="42" spans="1:30" x14ac:dyDescent="0.25">
      <c r="A42" s="36">
        <v>42717.740104166667</v>
      </c>
      <c r="B42" s="31" t="s">
        <v>285</v>
      </c>
      <c r="C42" s="31" t="s">
        <v>440</v>
      </c>
      <c r="D42" s="31" t="s">
        <v>49</v>
      </c>
      <c r="E42" s="31" t="s">
        <v>197</v>
      </c>
      <c r="F42" s="47">
        <v>300</v>
      </c>
      <c r="G42" s="47">
        <v>403</v>
      </c>
      <c r="H42" s="47">
        <v>43324</v>
      </c>
      <c r="I42" s="47">
        <v>42188</v>
      </c>
      <c r="J42" s="31" t="s">
        <v>198</v>
      </c>
      <c r="K42" s="47">
        <v>41797</v>
      </c>
      <c r="L42" s="154" t="s">
        <v>51</v>
      </c>
      <c r="M42" s="155">
        <f t="shared" si="8"/>
        <v>206.44800000000001</v>
      </c>
      <c r="N42" s="156" t="str">
        <f>VLOOKUP(C42,'Trips&amp;Operators'!$C$1:$G$99999,5,FALSE)</f>
        <v>STAMBAUGH JAMES</v>
      </c>
      <c r="O42" s="182" t="s">
        <v>196</v>
      </c>
      <c r="P42" s="157"/>
      <c r="Q42" s="31"/>
      <c r="R42" s="100" t="str">
        <f>VLOOKUP(C42,'Train Runs'!$A$13:$AE$9970,31,0)</f>
        <v>aws s3 cp s3://rtdc.mdm.uploadarchive.raw/RTDC4045/ "%USERPROFILE%\AppData\Local\Temp\OnboardLogs"\RTDC4045\2016-12-13 --exclude "*" --recursive --include "*20161213*" &amp; "%USERPROFILE%\Documents\GitHub\mrs-test-scripts\Headless Mode &amp; Sideloading\WalkAndUnGZ.bat" "%USERPROFILE%\AppData\Local\Temp\OnboardLogs"\RTDC4045\2016-12-13 &amp; aws s3 cp s3://rtdc.mdm.uploadarchive.raw/RTDC4045/ "%USERPROFILE%\AppData\Local\Temp\OnboardLogs"\RTDC4045\2016-12-14 --exclude "*" --recursive --include "*20161214*" &amp; "%USERPROFILE%\Documents\GitHub\mrs-test-scripts\Headless Mode &amp; Sideloading\WalkAndUnGZ.bat" "%USERPROFILE%\AppData\Local\Temp\OnboardLogs"\RTDC4045\2016-12-14</v>
      </c>
      <c r="S42" s="103" t="str">
        <f>VLOOKUP(C42,'Train Runs'!$A$13:$AE$9970,22,0)</f>
        <v>https://search-rtdc-monitor-bjffxe2xuh6vdkpspy63sjmuny.us-east-1.es.amazonaws.com/_plugin/kibana/#/discover/Steve-Slow-Train-Analysis-(2080s-and-2083s)?_g=(refreshInterval:(display:Off,section:0,value:0),time:(from:'2016-12-13 16:37:54-700',mode:absolute,to:'2016-12-13 18:56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9"/>
        <v>"C:\Program Files (x86)\AstroGrep\AstroGrep.exe" /spath="%USERPROFILE%\AppData\Local\Temp\OnboardLogs" /stypes="*4045*201612140*" /stext=" 00:.+((SYSTEM_STATE.+slice.+state.+changed )|(ment ac)|(multiple cpu faults)|(system.+state.+changed )|(\[timeout)|(PRM\|1\|D)|(kpr)|(kdp)|(\|lc)|(penalty))" /e /r /s</v>
      </c>
      <c r="U42" s="9" t="str">
        <f t="shared" si="10"/>
        <v>4045</v>
      </c>
      <c r="V42" s="36">
        <f t="shared" si="11"/>
        <v>42718.031770833331</v>
      </c>
      <c r="W42" s="50" t="str">
        <f t="shared" si="12"/>
        <v>NW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{"issue":{"subject":"","project_id":79,"tracker_id":40,"status_id":1,"priority_id":2,"assigned_to_id":23,"start_date":"2016-12-13","description":"","custom_fields":[{"id":1,"name":"Subdivision","value":"NW"},{"id":4,"name":"Milepost","value":"4.1797"},{"id":17,"name":"Train ID","value":"834-13"},{"id":16,"name":"Locomotive ID","value":"4045"},{"id":130,"name":"Impact","value":""},{"id":150,"name":"Time of Event (Mountain Time)","value":"17:45:45"},{"id":151,"name":"Denver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"%USERPROFILE%\AppData\Local\Temp\OnboardLogs"\RTDC4045\*4045*201612140*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"%USERPROFILE%\AppData\Local\Temp\OnboardLogs"\RTDC4045\*4045*201612140* &gt;&gt; 42717-slicedisagreementcheck.txt</v>
      </c>
    </row>
    <row r="43" spans="1:30" x14ac:dyDescent="0.25">
      <c r="A43" s="36">
        <v>42717.348263888889</v>
      </c>
      <c r="B43" s="31" t="s">
        <v>208</v>
      </c>
      <c r="C43" s="31" t="s">
        <v>412</v>
      </c>
      <c r="D43" s="31" t="s">
        <v>49</v>
      </c>
      <c r="E43" s="31" t="s">
        <v>199</v>
      </c>
      <c r="F43" s="47">
        <v>0</v>
      </c>
      <c r="G43" s="47">
        <v>141</v>
      </c>
      <c r="H43" s="47">
        <v>1448</v>
      </c>
      <c r="I43" s="47">
        <v>1641</v>
      </c>
      <c r="J43" s="31" t="s">
        <v>200</v>
      </c>
      <c r="K43" s="47">
        <v>1725</v>
      </c>
      <c r="L43" s="154" t="s">
        <v>50</v>
      </c>
      <c r="M43" s="155">
        <f t="shared" si="8"/>
        <v>44.351999999999997</v>
      </c>
      <c r="N43" s="156" t="str">
        <f>VLOOKUP(C43,'Trips&amp;Operators'!$C$1:$G$99999,5,FALSE)</f>
        <v>LEVIN SCOTT</v>
      </c>
      <c r="O43" s="182" t="s">
        <v>196</v>
      </c>
      <c r="P43" s="157" t="s">
        <v>830</v>
      </c>
      <c r="Q43" s="31"/>
      <c r="R43" s="100" t="str">
        <f>VLOOKUP(C43,'Train Runs'!$A$13:$AE$9970,31,0)</f>
        <v>aws s3 cp s3://rtdc.mdm.uploadarchive.raw/RTDC4040/ "%USERPROFILE%\AppData\Local\Temp\OnboardLogs"\RTDC4040\2016-12-13 --exclude "*" --recursive --include "*20161213*" &amp; "%USERPROFILE%\Documents\GitHub\mrs-test-scripts\Headless Mode &amp; Sideloading\WalkAndUnGZ.bat" "%USERPROFILE%\AppData\Local\Temp\OnboardLogs"\RTDC4040\2016-12-13 &amp; aws s3 cp s3://rtdc.mdm.uploadarchive.raw/RTDC4040/ "%USERPROFILE%\AppData\Local\Temp\OnboardLogs"\RTDC4040\2016-12-14 --exclude "*" --recursive --include "*20161214*" &amp; "%USERPROFILE%\Documents\GitHub\mrs-test-scripts\Headless Mode &amp; Sideloading\WalkAndUnGZ.bat" "%USERPROFILE%\AppData\Local\Temp\OnboardLogs"\RTDC4040\2016-12-14</v>
      </c>
      <c r="S43" s="103" t="str">
        <f>VLOOKUP(C43,'Train Runs'!$A$13:$AE$9970,22,0)</f>
        <v>https://search-rtdc-monitor-bjffxe2xuh6vdkpspy63sjmuny.us-east-1.es.amazonaws.com/_plugin/kibana/#/discover/Steve-Slow-Train-Analysis-(2080s-and-2083s)?_g=(refreshInterval:(display:Off,section:0,value:0),time:(from:'2016-12-13 07:17:16-700',mode:absolute,to:'2016-12-13 09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3" s="105" t="str">
        <f t="shared" si="9"/>
        <v>"C:\Program Files (x86)\AstroGrep\AstroGrep.exe" /spath="%USERPROFILE%\AppData\Local\Temp\OnboardLogs" /stypes="*4040*201612131*" /stext=" 15:.+((SYSTEM_STATE.+slice.+state.+changed )|(ment ac)|(multiple cpu faults)|(system.+state.+changed )|(\[timeout)|(PRM\|1\|D)|(kpr)|(kdp)|(\|lc)|(penalty))" /e /r /s</v>
      </c>
      <c r="U43" s="9" t="str">
        <f t="shared" si="10"/>
        <v>4040</v>
      </c>
      <c r="V43" s="36">
        <f t="shared" si="11"/>
        <v>42717.639930555553</v>
      </c>
      <c r="W43" s="50" t="str">
        <f t="shared" si="12"/>
        <v>NW</v>
      </c>
      <c r="X43" s="50" t="str">
        <f t="shared" si="13"/>
        <v>KEEP</v>
      </c>
      <c r="Y43" s="119" t="str">
        <f t="shared" si="14"/>
        <v>echo {"issue":{"subject":"DUS 16N STOP","project_id":79,"tracker_id":40,"status_id":1,"priority_id":2,"assigned_to_id":23,"start_date":"2016-12-13","description":"","custom_fields":[{"id":1,"name":"Subdivision","value":"NW"},{"id":4,"name":"Milepost","value":"0.1725"},{"id":17,"name":"Train ID","value":"811-13"},{"id":16,"name":"Locomotive ID","value":"4040"},{"id":130,"name":"Impact","value":""},{"id":150,"name":"Time of Event (Mountain Time)","value":"08:21:30"},{"id":151,"name":"Denver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"%USERPROFILE%\AppData\Local\Temp\OnboardLogs"\RTDC4040\*4040*201612131*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"%USERPROFILE%\AppData\Local\Temp\OnboardLogs"\RTDC4040\*4040*201612131* &gt;&gt; 42717-slicedisagreementcheck.txt</v>
      </c>
    </row>
    <row r="44" spans="1:30" x14ac:dyDescent="0.25">
      <c r="A44" s="36">
        <v>42717.484884259262</v>
      </c>
      <c r="B44" s="31" t="s">
        <v>209</v>
      </c>
      <c r="C44" s="31" t="s">
        <v>425</v>
      </c>
      <c r="D44" s="31" t="s">
        <v>98</v>
      </c>
      <c r="E44" s="31" t="s">
        <v>199</v>
      </c>
      <c r="F44" s="47">
        <v>0</v>
      </c>
      <c r="G44" s="47">
        <v>94</v>
      </c>
      <c r="H44" s="47">
        <v>57379</v>
      </c>
      <c r="I44" s="47">
        <v>57314</v>
      </c>
      <c r="J44" s="31" t="s">
        <v>200</v>
      </c>
      <c r="K44" s="47">
        <v>58472</v>
      </c>
      <c r="L44" s="154" t="s">
        <v>51</v>
      </c>
      <c r="M44" s="155">
        <f t="shared" si="8"/>
        <v>-611.42399999999998</v>
      </c>
      <c r="N44" s="156" t="str">
        <f>VLOOKUP(C44,'Trips&amp;Operators'!$C$1:$G$99999,5,FALSE)</f>
        <v>LEVIN SCOTT</v>
      </c>
      <c r="O44" s="182" t="s">
        <v>196</v>
      </c>
      <c r="P44" s="157" t="s">
        <v>828</v>
      </c>
      <c r="Q44" s="31"/>
      <c r="R44" s="100" t="str">
        <f>VLOOKUP(C44,'Train Runs'!$A$13:$AE$9970,31,0)</f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S44" s="103" t="str">
        <f>VLOOKUP(C44,'Train Runs'!$A$13:$AE$9970,22,0)</f>
        <v>https://search-rtdc-monitor-bjffxe2xuh6vdkpspy63sjmuny.us-east-1.es.amazonaws.com/_plugin/kibana/#/discover/Steve-Slow-Train-Analysis-(2080s-and-2083s)?_g=(refreshInterval:(display:Off,section:0,value:0),time:(from:'2016-12-13 10:35:23-700',mode:absolute,to:'2016-12-13 12:39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4" s="105" t="str">
        <f t="shared" si="9"/>
        <v>"C:\Program Files (x86)\AstroGrep\AstroGrep.exe" /spath="%USERPROFILE%\AppData\Local\Temp\OnboardLogs" /stypes="*4039*201612131*" /stext=" 18:.+((SYSTEM_STATE.+slice.+state.+changed )|(ment ac)|(multiple cpu faults)|(system.+state.+changed )|(\[timeout)|(PRM\|1\|D)|(kpr)|(kdp)|(\|lc)|(penalty))" /e /r /s</v>
      </c>
      <c r="U44" s="9" t="str">
        <f t="shared" si="10"/>
        <v>4039</v>
      </c>
      <c r="V44" s="36">
        <f t="shared" si="11"/>
        <v>42717.776550925926</v>
      </c>
      <c r="W44" s="50" t="str">
        <f t="shared" si="12"/>
        <v>NW</v>
      </c>
      <c r="X44" s="50" t="str">
        <f t="shared" si="13"/>
        <v>KEEP</v>
      </c>
      <c r="Y44" s="119" t="str">
        <f t="shared" si="14"/>
        <v>echo {"issue":{"subject":"Went active too close to signal","project_id":79,"tracker_id":40,"status_id":1,"priority_id":2,"assigned_to_id":23,"start_date":"2016-12-13","description":"","custom_fields":[{"id":1,"name":"Subdivision","value":"NW"},{"id":4,"name":"Milepost","value":"5.8472"},{"id":17,"name":"Train ID","value":"818-13"},{"id":16,"name":"Locomotive ID","value":"4039"},{"id":130,"name":"Impact","value":""},{"id":150,"name":"Time of Event (Mountain Time)","value":"11:38:14"},{"id":151,"name":"Denver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"%USERPROFILE%\AppData\Local\Temp\OnboardLogs"\RTDC4039\*4039*201612131*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"%USERPROFILE%\AppData\Local\Temp\OnboardLogs"\RTDC4039\*4039*201612131* &gt;&gt; 42717-slicedisagreementcheck.txt</v>
      </c>
    </row>
    <row r="45" spans="1:30" x14ac:dyDescent="0.25">
      <c r="A45" s="36">
        <v>42717.413240740738</v>
      </c>
      <c r="B45" s="31" t="s">
        <v>209</v>
      </c>
      <c r="C45" s="31" t="s">
        <v>417</v>
      </c>
      <c r="D45" s="31" t="s">
        <v>49</v>
      </c>
      <c r="E45" s="31" t="s">
        <v>201</v>
      </c>
      <c r="F45" s="47">
        <v>0</v>
      </c>
      <c r="G45" s="47">
        <v>37</v>
      </c>
      <c r="H45" s="47">
        <v>705</v>
      </c>
      <c r="I45" s="47">
        <v>678</v>
      </c>
      <c r="J45" s="31" t="s">
        <v>202</v>
      </c>
      <c r="K45" s="47">
        <v>575</v>
      </c>
      <c r="L45" s="154" t="s">
        <v>51</v>
      </c>
      <c r="M45" s="155">
        <f t="shared" si="8"/>
        <v>54.384</v>
      </c>
      <c r="N45" s="156" t="str">
        <f>VLOOKUP(C45,'Trips&amp;Operators'!$C$1:$G$99999,5,FALSE)</f>
        <v>LEVIN SCOTT</v>
      </c>
      <c r="O45" s="182" t="s">
        <v>230</v>
      </c>
      <c r="P45" s="157" t="s">
        <v>960</v>
      </c>
      <c r="Q45" s="31"/>
      <c r="R45" s="100" t="str">
        <f>VLOOKUP(C45,'Train Runs'!$A$13:$AE$9970,31,0)</f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S45" s="103" t="str">
        <f>VLOOKUP(C45,'Train Runs'!$A$13:$AE$9970,22,0)</f>
        <v>https://search-rtdc-monitor-bjffxe2xuh6vdkpspy63sjmuny.us-east-1.es.amazonaws.com/_plugin/kibana/#/discover/Steve-Slow-Train-Analysis-(2080s-and-2083s)?_g=(refreshInterval:(display:Off,section:0,value:0),time:(from:'2016-12-13 08:36:02-700',mode:absolute,to:'2016-12-13 10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5" s="105" t="str">
        <f t="shared" si="9"/>
        <v>"C:\Program Files (x86)\AstroGrep\AstroGrep.exe" /spath="%USERPROFILE%\AppData\Local\Temp\OnboardLogs" /stypes="*4039*201612131*" /stext=" 16:.+((SYSTEM_STATE.+slice.+state.+changed )|(ment ac)|(multiple cpu faults)|(system.+state.+changed )|(\[timeout)|(PRM\|1\|D)|(kpr)|(kdp)|(\|lc)|(penalty))" /e /r /s</v>
      </c>
      <c r="U45" s="9" t="str">
        <f t="shared" si="10"/>
        <v>4039</v>
      </c>
      <c r="V45" s="36">
        <f t="shared" si="11"/>
        <v>42717.704907407402</v>
      </c>
      <c r="W45" s="50" t="str">
        <f t="shared" si="12"/>
        <v>NW</v>
      </c>
      <c r="X45" s="50" t="str">
        <f t="shared" si="13"/>
        <v>KEEP</v>
      </c>
      <c r="Y45" s="119" t="str">
        <f t="shared" si="14"/>
        <v>echo {"issue":{"subject":"Banner without braking","project_id":79,"tracker_id":40,"status_id":1,"priority_id":2,"assigned_to_id":23,"start_date":"2016-12-13","description":"","custom_fields":[{"id":1,"name":"Subdivision","value":"NW"},{"id":4,"name":"Milepost","value":"0.0575"},{"id":17,"name":"Train ID","value":"814-13"},{"id":16,"name":"Locomotive ID","value":"4039"},{"id":130,"name":"Impact","value":""},{"id":150,"name":"Time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"%USERPROFILE%\AppData\Local\Temp\OnboardLogs"\RTDC4039\*4039*201612131*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"%USERPROFILE%\AppData\Local\Temp\OnboardLogs"\RTDC4039\*4039*201612131* &gt;&gt; 42717-slicedisagreementcheck.txt</v>
      </c>
    </row>
    <row r="46" spans="1:30" x14ac:dyDescent="0.25">
      <c r="A46" s="36">
        <v>42717.539351851854</v>
      </c>
      <c r="B46" s="31" t="s">
        <v>209</v>
      </c>
      <c r="C46" s="31" t="s">
        <v>428</v>
      </c>
      <c r="D46" s="31" t="s">
        <v>49</v>
      </c>
      <c r="E46" s="31" t="s">
        <v>201</v>
      </c>
      <c r="F46" s="47">
        <v>0</v>
      </c>
      <c r="G46" s="47">
        <v>56</v>
      </c>
      <c r="H46" s="47">
        <v>757</v>
      </c>
      <c r="I46" s="47">
        <v>731</v>
      </c>
      <c r="J46" s="31" t="s">
        <v>202</v>
      </c>
      <c r="K46" s="47">
        <v>575</v>
      </c>
      <c r="L46" s="154" t="s">
        <v>51</v>
      </c>
      <c r="M46" s="155">
        <f t="shared" si="8"/>
        <v>82.367999999999995</v>
      </c>
      <c r="N46" s="156" t="str">
        <f>VLOOKUP(C46,'Trips&amp;Operators'!$C$1:$G$99999,5,FALSE)</f>
        <v>LEVIN SCOTT</v>
      </c>
      <c r="O46" s="182" t="s">
        <v>196</v>
      </c>
      <c r="P46" s="157"/>
      <c r="Q46" s="31"/>
      <c r="R46" s="100" t="str">
        <f>VLOOKUP(C46,'Train Runs'!$A$13:$AE$9970,31,0)</f>
        <v>aws s3 cp s3://rtdc.mdm.uploadarchive.raw/RTDC4039/ "%USERPROFILE%\AppData\Local\Temp\OnboardLogs"\RTDC4039\2016-12-13 --exclude "*" --recursive --include "*20161213*" &amp; "%USERPROFILE%\Documents\GitHub\mrs-test-scripts\Headless Mode &amp; Sideloading\WalkAndUnGZ.bat" "%USERPROFILE%\AppData\Local\Temp\OnboardLogs"\RTDC4039\2016-12-13 &amp; aws s3 cp s3://rtdc.mdm.uploadarchive.raw/RTDC4039/ "%USERPROFILE%\AppData\Local\Temp\OnboardLogs"\RTDC4039\2016-12-14 --exclude "*" --recursive --include "*20161214*" &amp; "%USERPROFILE%\Documents\GitHub\mrs-test-scripts\Headless Mode &amp; Sideloading\WalkAndUnGZ.bat" "%USERPROFILE%\AppData\Local\Temp\OnboardLogs"\RTDC4039\2016-12-14</v>
      </c>
      <c r="S46" s="103" t="str">
        <f>VLOOKUP(C46,'Train Runs'!$A$13:$AE$9970,22,0)</f>
        <v>https://search-rtdc-monitor-bjffxe2xuh6vdkpspy63sjmuny.us-east-1.es.amazonaws.com/_plugin/kibana/#/discover/Steve-Slow-Train-Analysis-(2080s-and-2083s)?_g=(refreshInterval:(display:Off,section:0,value:0),time:(from:'2016-12-13 11:36:28-700',mode:absolute,to:'2016-12-13 13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5" t="str">
        <f t="shared" si="9"/>
        <v>"C:\Program Files (x86)\AstroGrep\AstroGrep.exe" /spath="%USERPROFILE%\AppData\Local\Temp\OnboardLogs" /stypes="*4039*201612131*" /stext=" 19:.+((SYSTEM_STATE.+slice.+state.+changed )|(ment ac)|(multiple cpu faults)|(system.+state.+changed )|(\[timeout)|(PRM\|1\|D)|(kpr)|(kdp)|(\|lc)|(penalty))" /e /r /s</v>
      </c>
      <c r="U46" s="9" t="str">
        <f t="shared" si="10"/>
        <v>4039</v>
      </c>
      <c r="V46" s="36">
        <f t="shared" si="11"/>
        <v>42717.831018518518</v>
      </c>
      <c r="W46" s="50" t="str">
        <f t="shared" si="12"/>
        <v>NW</v>
      </c>
      <c r="X46" s="50" t="str">
        <f t="shared" si="13"/>
        <v>KEEP</v>
      </c>
      <c r="Y46" s="119" t="str">
        <f t="shared" si="14"/>
        <v>echo {"issue":{"subject":"","project_id":79,"tracker_id":40,"status_id":1,"priority_id":2,"assigned_to_id":23,"start_date":"2016-12-13","description":"","custom_fields":[{"id":1,"name":"Subdivision","value":"NW"},{"id":4,"name":"Milepost","value":"0.0575"},{"id":17,"name":"Train ID","value":"820-13"},{"id":16,"name":"Locomotive ID","value":"4039"},{"id":130,"name":"Impact","value":""},{"id":150,"name":"Time of Event (Mountain Time)","value":"12:56:40"},{"id":151,"name":"Denver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"%USERPROFILE%\AppData\Local\Temp\OnboardLogs"\RTDC4039\*4039*201612131*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"%USERPROFILE%\AppData\Local\Temp\OnboardLogs"\RTDC4039\*4039*201612131* &gt;&gt; 42717-slicedisagreementcheck.txt</v>
      </c>
    </row>
    <row r="47" spans="1:30" x14ac:dyDescent="0.25">
      <c r="A47" s="36">
        <v>42717.438171296293</v>
      </c>
      <c r="B47" s="31" t="s">
        <v>260</v>
      </c>
      <c r="C47" s="31" t="s">
        <v>419</v>
      </c>
      <c r="D47" s="31" t="s">
        <v>49</v>
      </c>
      <c r="E47" s="31" t="s">
        <v>261</v>
      </c>
      <c r="F47" s="47">
        <v>0</v>
      </c>
      <c r="G47" s="47">
        <v>305</v>
      </c>
      <c r="H47" s="47">
        <v>16035</v>
      </c>
      <c r="I47" s="47">
        <v>15384</v>
      </c>
      <c r="J47" s="31" t="s">
        <v>262</v>
      </c>
      <c r="K47" s="47">
        <v>15777</v>
      </c>
      <c r="L47" s="154" t="s">
        <v>51</v>
      </c>
      <c r="M47" s="155">
        <f t="shared" si="8"/>
        <v>-207.50399999999999</v>
      </c>
      <c r="N47" s="156" t="str">
        <f>VLOOKUP(C47,'Trips&amp;Operators'!$C$1:$G$99999,5,FALSE)</f>
        <v>SWANSON BRYCE</v>
      </c>
      <c r="O47" s="182" t="s">
        <v>196</v>
      </c>
      <c r="P47" s="157"/>
      <c r="Q47" s="31"/>
      <c r="R47" s="100" t="str">
        <f>VLOOKUP(C47,'Train Runs'!$A$13:$AE$9970,31,0)</f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S47" s="103" t="str">
        <f>VLOOKUP(C47,'Train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7" s="105" t="str">
        <f t="shared" si="9"/>
        <v>"C:\Program Files (x86)\AstroGrep\AstroGrep.exe" /spath="%USERPROFILE%\AppData\Local\Temp\OnboardLogs" /stypes="*4030*201612131*" /stext=" 17:.+((SYSTEM_STATE.+slice.+state.+changed )|(ment ac)|(multiple cpu faults)|(system.+state.+changed )|(\[timeout)|(PRM\|1\|D)|(kpr)|(kdp)|(\|lc)|(penalty))" /e /r /s</v>
      </c>
      <c r="U47" s="9" t="str">
        <f t="shared" si="10"/>
        <v>4030</v>
      </c>
      <c r="V47" s="36">
        <f t="shared" si="11"/>
        <v>42717.729837962957</v>
      </c>
      <c r="W47" s="50" t="str">
        <f t="shared" si="12"/>
        <v>Other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{"issue":{"subject":"","project_id":79,"tracker_id":40,"status_id":1,"priority_id":2,"assigned_to_id":23,"start_date":"2016-12-13","description":"","custom_fields":[{"id":1,"name":"Subdivision","value":"Other"},{"id":4,"name":"Milepost","value":"1.5777"},{"id":17,"name":"Train ID","value":"50-13"},{"id":16,"name":"Locomotive ID","value":"4030"},{"id":130,"name":"Impact","value":""},{"id":150,"name":"Time of Event (Mountain Time)","value":"10:30:58"},{"id":151,"name":"Denver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"%USERPROFILE%\AppData\Local\Temp\OnboardLogs"\RTDC4030\*4030*201612131*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"%USERPROFILE%\AppData\Local\Temp\OnboardLogs"\RTDC4030\*4030*201612131* &gt;&gt; 42717-slicedisagreementcheck.txt</v>
      </c>
    </row>
    <row r="48" spans="1:30" x14ac:dyDescent="0.25">
      <c r="A48" s="36">
        <v>42717.540231481478</v>
      </c>
      <c r="B48" s="31" t="s">
        <v>260</v>
      </c>
      <c r="C48" s="31" t="s">
        <v>419</v>
      </c>
      <c r="D48" s="31" t="s">
        <v>49</v>
      </c>
      <c r="E48" s="31" t="s">
        <v>261</v>
      </c>
      <c r="F48" s="47">
        <v>0</v>
      </c>
      <c r="G48" s="47">
        <v>355</v>
      </c>
      <c r="H48" s="47">
        <v>16184</v>
      </c>
      <c r="I48" s="47">
        <v>15323</v>
      </c>
      <c r="J48" s="31" t="s">
        <v>262</v>
      </c>
      <c r="K48" s="47">
        <v>15777</v>
      </c>
      <c r="L48" s="154" t="s">
        <v>51</v>
      </c>
      <c r="M48" s="155">
        <f t="shared" si="8"/>
        <v>-239.71199999999999</v>
      </c>
      <c r="N48" s="156" t="str">
        <f>VLOOKUP(C48,'Trips&amp;Operators'!$C$1:$G$99999,5,FALSE)</f>
        <v>SWANSON BRYCE</v>
      </c>
      <c r="O48" s="182" t="s">
        <v>196</v>
      </c>
      <c r="P48" s="157"/>
      <c r="Q48" s="31"/>
      <c r="R48" s="100" t="str">
        <f>VLOOKUP(C48,'Train Runs'!$A$13:$AE$9970,31,0)</f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S48" s="103" t="str">
        <f>VLOOKUP(C48,'Train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8" s="105" t="str">
        <f t="shared" si="9"/>
        <v>"C:\Program Files (x86)\AstroGrep\AstroGrep.exe" /spath="%USERPROFILE%\AppData\Local\Temp\OnboardLogs" /stypes="*4030*201612131*" /stext=" 19:.+((SYSTEM_STATE.+slice.+state.+changed )|(ment ac)|(multiple cpu faults)|(system.+state.+changed )|(\[timeout)|(PRM\|1\|D)|(kpr)|(kdp)|(\|lc)|(penalty))" /e /r /s</v>
      </c>
      <c r="U48" s="9" t="str">
        <f t="shared" si="10"/>
        <v>4030</v>
      </c>
      <c r="V48" s="36">
        <f t="shared" si="11"/>
        <v>42717.831898148142</v>
      </c>
      <c r="W48" s="50" t="str">
        <f t="shared" si="12"/>
        <v>Other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{"issue":{"subject":"","project_id":79,"tracker_id":40,"status_id":1,"priority_id":2,"assigned_to_id":23,"start_date":"2016-12-13","description":"","custom_fields":[{"id":1,"name":"Subdivision","value":"Other"},{"id":4,"name":"Milepost","value":"1.5777"},{"id":17,"name":"Train ID","value":"50-13"},{"id":16,"name":"Locomotive ID","value":"4030"},{"id":130,"name":"Impact","value":""},{"id":150,"name":"Time of Event (Mountain Time)","value":"12:57:56"},{"id":151,"name":"Denver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"%USERPROFILE%\AppData\Local\Temp\OnboardLogs"\RTDC4030\*4030*201612131*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"%USERPROFILE%\AppData\Local\Temp\OnboardLogs"\RTDC4030\*4030*201612131* &gt;&gt; 42717-slicedisagreementcheck.txt</v>
      </c>
    </row>
    <row r="49" spans="1:30" x14ac:dyDescent="0.25">
      <c r="A49" s="36">
        <v>42717.59337962963</v>
      </c>
      <c r="B49" s="31" t="s">
        <v>263</v>
      </c>
      <c r="C49" s="31" t="s">
        <v>419</v>
      </c>
      <c r="D49" s="31" t="s">
        <v>49</v>
      </c>
      <c r="E49" s="31" t="s">
        <v>197</v>
      </c>
      <c r="F49" s="47">
        <v>300</v>
      </c>
      <c r="G49" s="47">
        <v>399</v>
      </c>
      <c r="H49" s="47">
        <v>19476</v>
      </c>
      <c r="I49" s="47">
        <v>20807</v>
      </c>
      <c r="J49" s="31" t="s">
        <v>198</v>
      </c>
      <c r="K49" s="47">
        <v>21314</v>
      </c>
      <c r="L49" s="154" t="s">
        <v>50</v>
      </c>
      <c r="M49" s="155">
        <f t="shared" si="8"/>
        <v>267.69600000000003</v>
      </c>
      <c r="N49" s="156" t="str">
        <f>VLOOKUP(C49,'Trips&amp;Operators'!$C$1:$G$99999,5,FALSE)</f>
        <v>SWANSON BRYCE</v>
      </c>
      <c r="O49" s="182" t="s">
        <v>196</v>
      </c>
      <c r="P49" s="157"/>
      <c r="Q49" s="31"/>
      <c r="R49" s="100" t="str">
        <f>VLOOKUP(C49,'Train Runs'!$A$13:$AE$9970,31,0)</f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S49" s="103" t="str">
        <f>VLOOKUP(C49,'Train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9" s="105" t="str">
        <f t="shared" si="9"/>
        <v>"C:\Program Files (x86)\AstroGrep\AstroGrep.exe" /spath="%USERPROFILE%\AppData\Local\Temp\OnboardLogs" /stypes="*4029*201612132*" /stext=" 21:.+((SYSTEM_STATE.+slice.+state.+changed )|(ment ac)|(multiple cpu faults)|(system.+state.+changed )|(\[timeout)|(PRM\|1\|D)|(kpr)|(kdp)|(\|lc)|(penalty))" /e /r /s</v>
      </c>
      <c r="U49" s="9" t="str">
        <f t="shared" si="10"/>
        <v>4029</v>
      </c>
      <c r="V49" s="36">
        <f t="shared" si="11"/>
        <v>42717.885046296295</v>
      </c>
      <c r="W49" s="50" t="str">
        <f t="shared" si="12"/>
        <v>Other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{"issue":{"subject":"","project_id":79,"tracker_id":40,"status_id":1,"priority_id":2,"assigned_to_id":23,"start_date":"2016-12-13","description":"","custom_fields":[{"id":1,"name":"Subdivision","value":"Other"},{"id":4,"name":"Milepost","value":"2.1314"},{"id":17,"name":"Train ID","value":"50-13"},{"id":16,"name":"Locomotive ID","value":"4029"},{"id":130,"name":"Impact","value":""},{"id":150,"name":"Time of Event (Mountain Time)","value":"14:14:28"},{"id":151,"name":"Denver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"%USERPROFILE%\AppData\Local\Temp\OnboardLogs"\RTDC4029\*4029*201612132*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"%USERPROFILE%\AppData\Local\Temp\OnboardLogs"\RTDC4029\*4029*201612132* &gt;&gt; 42717-slicedisagreementcheck.txt</v>
      </c>
    </row>
    <row r="50" spans="1:30" x14ac:dyDescent="0.25">
      <c r="A50" s="36">
        <v>42717.576365740744</v>
      </c>
      <c r="B50" s="31" t="s">
        <v>260</v>
      </c>
      <c r="C50" s="31" t="s">
        <v>419</v>
      </c>
      <c r="D50" s="31" t="s">
        <v>98</v>
      </c>
      <c r="E50" s="31" t="s">
        <v>197</v>
      </c>
      <c r="F50" s="47">
        <v>300</v>
      </c>
      <c r="G50" s="47">
        <v>352</v>
      </c>
      <c r="H50" s="47">
        <v>41196</v>
      </c>
      <c r="I50" s="47">
        <v>40152</v>
      </c>
      <c r="J50" s="31" t="s">
        <v>198</v>
      </c>
      <c r="K50" s="47">
        <v>41797</v>
      </c>
      <c r="L50" s="154" t="s">
        <v>51</v>
      </c>
      <c r="M50" s="155">
        <f t="shared" si="8"/>
        <v>-868.56</v>
      </c>
      <c r="N50" s="156" t="str">
        <f>VLOOKUP(C50,'Trips&amp;Operators'!$C$1:$G$99999,5,FALSE)</f>
        <v>SWANSON BRYCE</v>
      </c>
      <c r="O50" s="182" t="s">
        <v>196</v>
      </c>
      <c r="P50" s="157"/>
      <c r="Q50" s="31"/>
      <c r="R50" s="100" t="str">
        <f>VLOOKUP(C50,'Train Runs'!$A$13:$AE$9970,31,0)</f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S50" s="103" t="str">
        <f>VLOOKUP(C50,'Train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0" s="105" t="str">
        <f t="shared" si="9"/>
        <v>"C:\Program Files (x86)\AstroGrep\AstroGrep.exe" /spath="%USERPROFILE%\AppData\Local\Temp\OnboardLogs" /stypes="*4030*201612132*" /stext=" 20:.+((SYSTEM_STATE.+slice.+state.+changed )|(ment ac)|(multiple cpu faults)|(system.+state.+changed )|(\[timeout)|(PRM\|1\|D)|(kpr)|(kdp)|(\|lc)|(penalty))" /e /r /s</v>
      </c>
      <c r="U50" s="9" t="str">
        <f t="shared" si="10"/>
        <v>4030</v>
      </c>
      <c r="V50" s="36">
        <f t="shared" si="11"/>
        <v>42717.868032407408</v>
      </c>
      <c r="W50" s="50" t="str">
        <f t="shared" si="12"/>
        <v>Other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{"issue":{"subject":"","project_id":79,"tracker_id":40,"status_id":1,"priority_id":2,"assigned_to_id":23,"start_date":"2016-12-13","description":"","custom_fields":[{"id":1,"name":"Subdivision","value":"Other"},{"id":4,"name":"Milepost","value":"4.1797"},{"id":17,"name":"Train ID","value":"50-13"},{"id":16,"name":"Locomotive ID","value":"4030"},{"id":130,"name":"Impact","value":""},{"id":150,"name":"Time of Event (Mountain Time)","value":"13:49:58"},{"id":151,"name":"Denver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"%USERPROFILE%\AppData\Local\Temp\OnboardLogs"\RTDC4030\*4030*201612132*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"%USERPROFILE%\AppData\Local\Temp\OnboardLogs"\RTDC4030\*4030*201612132* &gt;&gt; 42717-slicedisagreementcheck.txt</v>
      </c>
    </row>
    <row r="51" spans="1:30" x14ac:dyDescent="0.25">
      <c r="A51" s="36">
        <v>42717.523981481485</v>
      </c>
      <c r="B51" s="31" t="s">
        <v>263</v>
      </c>
      <c r="C51" s="31" t="s">
        <v>419</v>
      </c>
      <c r="D51" s="31" t="s">
        <v>49</v>
      </c>
      <c r="E51" s="31" t="s">
        <v>199</v>
      </c>
      <c r="F51" s="47">
        <v>0</v>
      </c>
      <c r="G51" s="47">
        <v>288</v>
      </c>
      <c r="H51" s="47">
        <v>33164</v>
      </c>
      <c r="I51" s="47">
        <v>33855</v>
      </c>
      <c r="J51" s="31" t="s">
        <v>200</v>
      </c>
      <c r="K51" s="47">
        <v>34583</v>
      </c>
      <c r="L51" s="154" t="s">
        <v>50</v>
      </c>
      <c r="M51" s="155">
        <f t="shared" si="8"/>
        <v>384.38400000000001</v>
      </c>
      <c r="N51" s="156" t="str">
        <f>VLOOKUP(C51,'Trips&amp;Operators'!$C$1:$G$99999,5,FALSE)</f>
        <v>SWANSON BRYCE</v>
      </c>
      <c r="O51" s="182" t="s">
        <v>196</v>
      </c>
      <c r="P51" s="157"/>
      <c r="Q51" s="31"/>
      <c r="R51" s="100" t="str">
        <f>VLOOKUP(C51,'Train Runs'!$A$13:$AE$9970,31,0)</f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S51" s="103" t="str">
        <f>VLOOKUP(C51,'Train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1" s="105" t="str">
        <f t="shared" si="9"/>
        <v>"C:\Program Files (x86)\AstroGrep\AstroGrep.exe" /spath="%USERPROFILE%\AppData\Local\Temp\OnboardLogs" /stypes="*4029*201612131*" /stext=" 19:.+((SYSTEM_STATE.+slice.+state.+changed )|(ment ac)|(multiple cpu faults)|(system.+state.+changed )|(\[timeout)|(PRM\|1\|D)|(kpr)|(kdp)|(\|lc)|(penalty))" /e /r /s</v>
      </c>
      <c r="U51" s="9" t="str">
        <f t="shared" si="10"/>
        <v>4029</v>
      </c>
      <c r="V51" s="36">
        <f t="shared" si="11"/>
        <v>42717.815648148149</v>
      </c>
      <c r="W51" s="50" t="str">
        <f t="shared" si="12"/>
        <v>Other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{"issue":{"subject":"","project_id":79,"tracker_id":40,"status_id":1,"priority_id":2,"assigned_to_id":23,"start_date":"2016-12-13","description":"","custom_fields":[{"id":1,"name":"Subdivision","value":"Other"},{"id":4,"name":"Milepost","value":"3.4583"},{"id":17,"name":"Train ID","value":"50-13"},{"id":16,"name":"Locomotive ID","value":"4029"},{"id":130,"name":"Impact","value":""},{"id":150,"name":"Time of Event (Mountain Time)","value":"12:34:32"},{"id":151,"name":"Denver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"%USERPROFILE%\AppData\Local\Temp\OnboardLogs"\RTDC4029\*4029*201612131*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"%USERPROFILE%\AppData\Local\Temp\OnboardLogs"\RTDC4029\*4029*201612131* &gt;&gt; 42717-slicedisagreementcheck.txt</v>
      </c>
    </row>
    <row r="52" spans="1:30" x14ac:dyDescent="0.25">
      <c r="A52" s="36">
        <v>42717.450462962966</v>
      </c>
      <c r="B52" s="31" t="s">
        <v>422</v>
      </c>
      <c r="C52" s="31" t="s">
        <v>423</v>
      </c>
      <c r="D52" s="31" t="s">
        <v>49</v>
      </c>
      <c r="E52" s="31" t="s">
        <v>201</v>
      </c>
      <c r="F52" s="47">
        <v>0</v>
      </c>
      <c r="G52" s="47">
        <v>36</v>
      </c>
      <c r="H52" s="47">
        <v>967</v>
      </c>
      <c r="I52" s="47">
        <v>945</v>
      </c>
      <c r="J52" s="31" t="s">
        <v>202</v>
      </c>
      <c r="K52" s="47">
        <v>826</v>
      </c>
      <c r="L52" s="154" t="s">
        <v>51</v>
      </c>
      <c r="M52" s="155">
        <f t="shared" si="8"/>
        <v>62.832000000000001</v>
      </c>
      <c r="N52" s="156" t="str">
        <f>VLOOKUP(C52,'Trips&amp;Operators'!$C$1:$G$99999,5,FALSE)</f>
        <v>HAITHCOX MICHAEL</v>
      </c>
      <c r="O52" s="182" t="s">
        <v>196</v>
      </c>
      <c r="P52" s="157"/>
      <c r="Q52" s="31"/>
      <c r="R52" s="100" t="str">
        <f>VLOOKUP(C52,'Train Runs'!$A$13:$AE$9970,31,0)</f>
        <v>aws s3 cp s3://rtdc.mdm.uploadarchive.raw/RTDC4008/ "%USERPROFILE%\AppData\Local\Temp\OnboardLogs"\RTDC4008\2016-12-13 --exclude "*" --recursive --include "*20161213*" &amp; "%USERPROFILE%\Documents\GitHub\mrs-test-scripts\Headless Mode &amp; Sideloading\WalkAndUnGZ.bat" "%USERPROFILE%\AppData\Local\Temp\OnboardLogs"\RTDC4008\2016-12-13 &amp; aws s3 cp s3://rtdc.mdm.uploadarchive.raw/RTDC4008/ "%USERPROFILE%\AppData\Local\Temp\OnboardLogs"\RTDC4008\2016-12-14 --exclude "*" --recursive --include "*20161214*" &amp; "%USERPROFILE%\Documents\GitHub\mrs-test-scripts\Headless Mode &amp; Sideloading\WalkAndUnGZ.bat" "%USERPROFILE%\AppData\Local\Temp\OnboardLogs"\RTDC4008\2016-12-14</v>
      </c>
      <c r="S52" s="103" t="str">
        <f>VLOOKUP(C52,'Train Runs'!$A$13:$AE$9970,22,0)</f>
        <v>https://search-rtdc-monitor-bjffxe2xuh6vdkpspy63sjmuny.us-east-1.es.amazonaws.com/_plugin/kibana/#/discover/Steve-Slow-Train-Analysis-(2080s-and-2083s)?_g=(refreshInterval:(display:Off,section:0,value:0),time:(from:'2016-12-13 09:38:20-700',mode:absolute,to:'2016-12-13 11:49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2" s="105" t="str">
        <f t="shared" si="9"/>
        <v>"C:\Program Files (x86)\AstroGrep\AstroGrep.exe" /spath="%USERPROFILE%\AppData\Local\Temp\OnboardLogs" /stypes="*4008*201612131*" /stext=" 17:.+((SYSTEM_STATE.+slice.+state.+changed )|(ment ac)|(multiple cpu faults)|(system.+state.+changed )|(\[timeout)|(PRM\|1\|D)|(kpr)|(kdp)|(\|lc)|(penalty))" /e /r /s</v>
      </c>
      <c r="U52" s="9" t="str">
        <f t="shared" si="10"/>
        <v>4008</v>
      </c>
      <c r="V52" s="36">
        <f t="shared" si="11"/>
        <v>42717.742129629631</v>
      </c>
      <c r="W52" s="50" t="str">
        <f t="shared" si="12"/>
        <v>Other</v>
      </c>
      <c r="X52" s="50" t="str">
        <f t="shared" si="13"/>
        <v>KEEP</v>
      </c>
      <c r="Y52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{"issue":{"subject":"","project_id":79,"tracker_id":40,"status_id":1,"priority_id":2,"assigned_to_id":23,"start_date":"2016-12-13","description":"","custom_fields":[{"id":1,"name":"Subdivision","value":"Other"},{"id":4,"name":"Milepost","value":"0.0826"},{"id":17,"name":"Train ID","value":"52-13"},{"id":16,"name":"Locomotive ID","value":"4008"},{"id":130,"name":"Impact","value":""},{"id":150,"name":"Time of Event (Mountain Time)","value":"10:48:40"},{"id":151,"name":"Denver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"%USERPROFILE%\AppData\Local\Temp\OnboardLogs"\RTDC4008\*4008*201612131*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"%USERPROFILE%\AppData\Local\Temp\OnboardLogs"\RTDC4008\*4008*201612131* &gt;&gt; 42717-slicedisagreementcheck.txt</v>
      </c>
    </row>
    <row r="53" spans="1:30" x14ac:dyDescent="0.25">
      <c r="A53" s="36">
        <v>42717.451145833336</v>
      </c>
      <c r="B53" s="31" t="s">
        <v>422</v>
      </c>
      <c r="C53" s="31" t="s">
        <v>423</v>
      </c>
      <c r="D53" s="31" t="s">
        <v>49</v>
      </c>
      <c r="E53" s="31" t="s">
        <v>201</v>
      </c>
      <c r="F53" s="47">
        <v>0</v>
      </c>
      <c r="G53" s="47">
        <v>18</v>
      </c>
      <c r="H53" s="47">
        <v>867</v>
      </c>
      <c r="I53" s="47">
        <v>848</v>
      </c>
      <c r="J53" s="31" t="s">
        <v>202</v>
      </c>
      <c r="K53" s="47">
        <v>826</v>
      </c>
      <c r="L53" s="154" t="s">
        <v>51</v>
      </c>
      <c r="M53" s="155">
        <f t="shared" si="8"/>
        <v>11.616</v>
      </c>
      <c r="N53" s="156" t="str">
        <f>VLOOKUP(C53,'Trips&amp;Operators'!$C$1:$G$99999,5,FALSE)</f>
        <v>HAITHCOX MICHAEL</v>
      </c>
      <c r="O53" s="182" t="s">
        <v>196</v>
      </c>
      <c r="P53" s="157"/>
      <c r="Q53" s="31"/>
      <c r="R53" s="100" t="str">
        <f>VLOOKUP(C53,'Train Runs'!$A$13:$AE$9970,31,0)</f>
        <v>aws s3 cp s3://rtdc.mdm.uploadarchive.raw/RTDC4008/ "%USERPROFILE%\AppData\Local\Temp\OnboardLogs"\RTDC4008\2016-12-13 --exclude "*" --recursive --include "*20161213*" &amp; "%USERPROFILE%\Documents\GitHub\mrs-test-scripts\Headless Mode &amp; Sideloading\WalkAndUnGZ.bat" "%USERPROFILE%\AppData\Local\Temp\OnboardLogs"\RTDC4008\2016-12-13 &amp; aws s3 cp s3://rtdc.mdm.uploadarchive.raw/RTDC4008/ "%USERPROFILE%\AppData\Local\Temp\OnboardLogs"\RTDC4008\2016-12-14 --exclude "*" --recursive --include "*20161214*" &amp; "%USERPROFILE%\Documents\GitHub\mrs-test-scripts\Headless Mode &amp; Sideloading\WalkAndUnGZ.bat" "%USERPROFILE%\AppData\Local\Temp\OnboardLogs"\RTDC4008\2016-12-14</v>
      </c>
      <c r="S53" s="103" t="str">
        <f>VLOOKUP(C53,'Train Runs'!$A$13:$AE$9970,22,0)</f>
        <v>https://search-rtdc-monitor-bjffxe2xuh6vdkpspy63sjmuny.us-east-1.es.amazonaws.com/_plugin/kibana/#/discover/Steve-Slow-Train-Analysis-(2080s-and-2083s)?_g=(refreshInterval:(display:Off,section:0,value:0),time:(from:'2016-12-13 09:38:20-700',mode:absolute,to:'2016-12-13 11:49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53" s="105" t="str">
        <f t="shared" si="9"/>
        <v>"C:\Program Files (x86)\AstroGrep\AstroGrep.exe" /spath="%USERPROFILE%\AppData\Local\Temp\OnboardLogs" /stypes="*4008*201612131*" /stext=" 17:.+((SYSTEM_STATE.+slice.+state.+changed )|(ment ac)|(multiple cpu faults)|(system.+state.+changed )|(\[timeout)|(PRM\|1\|D)|(kpr)|(kdp)|(\|lc)|(penalty))" /e /r /s</v>
      </c>
      <c r="U53" s="9" t="str">
        <f t="shared" si="10"/>
        <v>4008</v>
      </c>
      <c r="V53" s="36">
        <f t="shared" si="11"/>
        <v>42717.742812500001</v>
      </c>
      <c r="W53" s="50" t="str">
        <f t="shared" si="12"/>
        <v>Other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{"issue":{"subject":"","project_id":79,"tracker_id":40,"status_id":1,"priority_id":2,"assigned_to_id":23,"start_date":"2016-12-13","description":"","custom_fields":[{"id":1,"name":"Subdivision","value":"Other"},{"id":4,"name":"Milepost","value":"0.0826"},{"id":17,"name":"Train ID","value":"52-13"},{"id":16,"name":"Locomotive ID","value":"4008"},{"id":130,"name":"Impact","value":""},{"id":150,"name":"Time of Event (Mountain Time)","value":"10:49:39"},{"id":151,"name":"Denver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"%USERPROFILE%\AppData\Local\Temp\OnboardLogs"\RTDC4008\*4008*201612131*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"%USERPROFILE%\AppData\Local\Temp\OnboardLogs"\RTDC4008\*4008*201612131* &gt;&gt; 42717-slicedisagreementcheck.txt</v>
      </c>
    </row>
    <row r="54" spans="1:30" x14ac:dyDescent="0.25">
      <c r="A54" s="36">
        <v>42717.488067129627</v>
      </c>
      <c r="B54" s="31" t="s">
        <v>347</v>
      </c>
      <c r="C54" s="31" t="s">
        <v>426</v>
      </c>
      <c r="D54" s="31" t="s">
        <v>49</v>
      </c>
      <c r="E54" s="31" t="s">
        <v>201</v>
      </c>
      <c r="F54" s="47">
        <v>0</v>
      </c>
      <c r="G54" s="47">
        <v>87</v>
      </c>
      <c r="H54" s="47">
        <v>1201</v>
      </c>
      <c r="I54" s="47">
        <v>1112</v>
      </c>
      <c r="J54" s="31" t="s">
        <v>202</v>
      </c>
      <c r="K54" s="47">
        <v>826</v>
      </c>
      <c r="L54" s="154" t="s">
        <v>51</v>
      </c>
      <c r="M54" s="155">
        <f t="shared" si="8"/>
        <v>151.00800000000001</v>
      </c>
      <c r="N54" s="156" t="str">
        <f>VLOOKUP(C54,'Trips&amp;Operators'!$C$1:$G$99999,5,FALSE)</f>
        <v>YOUNG ELIZABETH</v>
      </c>
      <c r="O54" s="182" t="s">
        <v>196</v>
      </c>
      <c r="P54" s="157"/>
      <c r="Q54" s="31"/>
      <c r="R54" s="100" t="str">
        <f>VLOOKUP(C54,'Train Runs'!$A$13:$AE$9970,31,0)</f>
        <v>aws s3 cp s3://rtdc.mdm.uploadarchive.raw/RTDC4013/ "%USERPROFILE%\AppData\Local\Temp\OnboardLogs"\RTDC4013\2016-12-13 --exclude "*" --recursive --include "*20161213*" &amp; "%USERPROFILE%\Documents\GitHub\mrs-test-scripts\Headless Mode &amp; Sideloading\WalkAndUnGZ.bat" "%USERPROFILE%\AppData\Local\Temp\OnboardLogs"\RTDC4013\2016-12-13 &amp; aws s3 cp s3://rtdc.mdm.uploadarchive.raw/RTDC4013/ "%USERPROFILE%\AppData\Local\Temp\OnboardLogs"\RTDC4013\2016-12-14 --exclude "*" --recursive --include "*20161214*" &amp; "%USERPROFILE%\Documents\GitHub\mrs-test-scripts\Headless Mode &amp; Sideloading\WalkAndUnGZ.bat" "%USERPROFILE%\AppData\Local\Temp\OnboardLogs"\RTDC4013\2016-12-14</v>
      </c>
      <c r="S54" s="103" t="str">
        <f>VLOOKUP(C54,'Train Runs'!$A$13:$AE$9970,22,0)</f>
        <v>https://search-rtdc-monitor-bjffxe2xuh6vdkpspy63sjmuny.us-east-1.es.amazonaws.com/_plugin/kibana/#/discover/Steve-Slow-Train-Analysis-(2080s-and-2083s)?_g=(refreshInterval:(display:Off,section:0,value:0),time:(from:'2016-12-13 10:31:58-700',mode:absolute,to:'2016-12-13 12:43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54" s="105" t="str">
        <f t="shared" si="9"/>
        <v>"C:\Program Files (x86)\AstroGrep\AstroGrep.exe" /spath="%USERPROFILE%\AppData\Local\Temp\OnboardLogs" /stypes="*4013*201612131*" /stext=" 18:.+((SYSTEM_STATE.+slice.+state.+changed )|(ment ac)|(multiple cpu faults)|(system.+state.+changed )|(\[timeout)|(PRM\|1\|D)|(kpr)|(kdp)|(\|lc)|(penalty))" /e /r /s</v>
      </c>
      <c r="U54" s="9" t="str">
        <f t="shared" si="10"/>
        <v>4013</v>
      </c>
      <c r="V54" s="36">
        <f t="shared" si="11"/>
        <v>42717.779733796291</v>
      </c>
      <c r="W54" s="50" t="str">
        <f t="shared" si="12"/>
        <v>Other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{"issue":{"subject":"","project_id":79,"tracker_id":40,"status_id":1,"priority_id":2,"assigned_to_id":23,"start_date":"2016-12-13","description":"","custom_fields":[{"id":1,"name":"Subdivision","value":"Other"},{"id":4,"name":"Milepost","value":"0.0826"},{"id":17,"name":"Train ID","value":"54-13"},{"id":16,"name":"Locomotive ID","value":"4013"},{"id":130,"name":"Impact","value":""},{"id":150,"name":"Time of Event (Mountain Time)","value":"11:42:49"},{"id":151,"name":"Denver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"%USERPROFILE%\AppData\Local\Temp\OnboardLogs"\RTDC4013\*4013*201612131*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"%USERPROFILE%\AppData\Local\Temp\OnboardLogs"\RTDC4013\*4013*201612131* &gt;&gt; 42717-slicedisagreementcheck.txt</v>
      </c>
    </row>
    <row r="55" spans="1:30" x14ac:dyDescent="0.25">
      <c r="A55" s="36">
        <v>42717.195231481484</v>
      </c>
      <c r="B55" s="31" t="s">
        <v>212</v>
      </c>
      <c r="C55" s="31" t="s">
        <v>404</v>
      </c>
      <c r="D55" s="31" t="s">
        <v>98</v>
      </c>
      <c r="E55" s="31" t="s">
        <v>201</v>
      </c>
      <c r="F55" s="47">
        <v>0</v>
      </c>
      <c r="G55" s="47">
        <v>9</v>
      </c>
      <c r="H55" s="47">
        <v>839</v>
      </c>
      <c r="I55" s="47">
        <v>0</v>
      </c>
      <c r="J55" s="31" t="s">
        <v>202</v>
      </c>
      <c r="K55" s="47">
        <v>839</v>
      </c>
      <c r="L55" s="154" t="s">
        <v>51</v>
      </c>
      <c r="M55" s="155">
        <f t="shared" si="8"/>
        <v>-442.99200000000002</v>
      </c>
      <c r="N55" s="156" t="str">
        <f>VLOOKUP(C55,'Trips&amp;Operators'!$C$1:$G$99999,5,FALSE)</f>
        <v>DE LA ROSA ALEX</v>
      </c>
      <c r="O55" s="182" t="s">
        <v>196</v>
      </c>
      <c r="P55" s="157"/>
      <c r="Q55" s="31"/>
      <c r="R55" s="100" t="str">
        <f>VLOOKUP(C55,'Train Runs'!$A$13:$AE$9970,31,0)</f>
        <v>aws s3 cp s3://rtdc.mdm.uploadarchive.raw/RTDC4012/ "%USERPROFILE%\AppData\Local\Temp\OnboardLogs"\RTDC4012\2016-12-13 --exclude "*" --recursive --include "*20161213*" &amp; "%USERPROFILE%\Documents\GitHub\mrs-test-scripts\Headless Mode &amp; Sideloading\WalkAndUnGZ.bat" "%USERPROFILE%\AppData\Local\Temp\OnboardLogs"\RTDC4012\2016-12-13 &amp; aws s3 cp s3://rtdc.mdm.uploadarchive.raw/RTDC4012/ "%USERPROFILE%\AppData\Local\Temp\OnboardLogs"\RTDC4012\2016-12-14 --exclude "*" --recursive --include "*20161214*" &amp; "%USERPROFILE%\Documents\GitHub\mrs-test-scripts\Headless Mode &amp; Sideloading\WalkAndUnGZ.bat" "%USERPROFILE%\AppData\Local\Temp\OnboardLogs"\RTDC4012\2016-12-14</v>
      </c>
      <c r="S55" s="103" t="str">
        <f>VLOOKUP(C55,'Train Runs'!$A$13:$AE$9970,22,0)</f>
        <v>https://search-rtdc-monitor-bjffxe2xuh6vdkpspy63sjmuny.us-east-1.es.amazonaws.com/_plugin/kibana/#/discover/Steve-Slow-Train-Analysis-(2080s-and-2083s)?_g=(refreshInterval:(display:Off,section:0,value:0),time:(from:'2016-12-13 03:22:48-700',mode:absolute,to:'2016-12-13 05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55" s="105" t="str">
        <f t="shared" si="9"/>
        <v>"C:\Program Files (x86)\AstroGrep\AstroGrep.exe" /spath="%USERPROFILE%\AppData\Local\Temp\OnboardLogs" /stypes="*4012*201612131*" /stext=" 11:.+((SYSTEM_STATE.+slice.+state.+changed )|(ment ac)|(multiple cpu faults)|(system.+state.+changed )|(\[timeout)|(PRM\|1\|D)|(kpr)|(kdp)|(\|lc)|(penalty))" /e /r /s</v>
      </c>
      <c r="U55" s="9" t="str">
        <f t="shared" si="10"/>
        <v>4012</v>
      </c>
      <c r="V55" s="36">
        <f t="shared" si="11"/>
        <v>42717.486898148149</v>
      </c>
      <c r="W55" s="50" t="str">
        <f t="shared" si="12"/>
        <v>Other</v>
      </c>
      <c r="X55" s="50" t="str">
        <f t="shared" si="13"/>
        <v>OMIT</v>
      </c>
      <c r="Y55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{"issue":{"subject":"","project_id":79,"tracker_id":40,"status_id":1,"priority_id":2,"assigned_to_id":23,"start_date":"2016-12-13","description":"","custom_fields":[{"id":1,"name":"Subdivision","value":"Other"},{"id":4,"name":"Milepost","value":"0.0839"},{"id":17,"name":"Train ID","value":"310-13"},{"id":16,"name":"Locomotive ID","value":"4012"},{"id":130,"name":"Impact","value":""},{"id":150,"name":"Time of Event (Mountain Time)","value":"04:41:08"},{"id":151,"name":"Denver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"%USERPROFILE%\AppData\Local\Temp\OnboardLogs"\RTDC4012\*4012*201612131*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"%USERPROFILE%\AppData\Local\Temp\OnboardLogs"\RTDC4012\*4012*201612131* &gt;&gt; 42717-slicedisagreementcheck.txt</v>
      </c>
    </row>
    <row r="56" spans="1:30" x14ac:dyDescent="0.25">
      <c r="A56" s="36">
        <v>42717.561851851853</v>
      </c>
      <c r="B56" s="31" t="s">
        <v>263</v>
      </c>
      <c r="C56" s="31" t="s">
        <v>419</v>
      </c>
      <c r="D56" s="31" t="s">
        <v>98</v>
      </c>
      <c r="E56" s="31" t="s">
        <v>201</v>
      </c>
      <c r="F56" s="47">
        <v>0</v>
      </c>
      <c r="G56" s="47">
        <v>8</v>
      </c>
      <c r="H56" s="47">
        <v>59049</v>
      </c>
      <c r="I56" s="47">
        <v>0</v>
      </c>
      <c r="J56" s="31" t="s">
        <v>202</v>
      </c>
      <c r="K56" s="47">
        <v>59048</v>
      </c>
      <c r="L56" s="154" t="s">
        <v>50</v>
      </c>
      <c r="M56" s="155">
        <f t="shared" si="8"/>
        <v>31177.344000000001</v>
      </c>
      <c r="N56" s="156" t="str">
        <f>VLOOKUP(C56,'Trips&amp;Operators'!$C$1:$G$99999,5,FALSE)</f>
        <v>SWANSON BRYCE</v>
      </c>
      <c r="O56" s="182" t="s">
        <v>196</v>
      </c>
      <c r="P56" s="157"/>
      <c r="Q56" s="31"/>
      <c r="R56" s="100" t="str">
        <f>VLOOKUP(C56,'Train Runs'!$A$13:$AE$9970,31,0)</f>
        <v>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 &amp; aws s3 cp s3://rtdc.mdm.uploadarchive.raw/RTDC4029/ "%USERPROFILE%\AppData\Local\Temp\OnboardLogs"\RTDC4029\2016-12-14 --exclude "*" --recursive --include "*20161214*" &amp; "%USERPROFILE%\Documents\GitHub\mrs-test-scripts\Headless Mode &amp; Sideloading\WalkAndUnGZ.bat" "%USERPROFILE%\AppData\Local\Temp\OnboardLogs"\RTDC4029\2016-12-14</v>
      </c>
      <c r="S56" s="103" t="str">
        <f>VLOOKUP(C56,'Train Runs'!$A$13:$AE$9970,22,0)</f>
        <v>https://search-rtdc-monitor-bjffxe2xuh6vdkpspy63sjmuny.us-east-1.es.amazonaws.com/_plugin/kibana/#/discover/Steve-Slow-Train-Analysis-(2080s-and-2083s)?_g=(refreshInterval:(display:Off,section:0,value:0),time:(from:'2016-12-13 13:04:08-700',mode:absolute,to:'2016-12-13 15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6" s="105" t="str">
        <f t="shared" si="9"/>
        <v>"C:\Program Files (x86)\AstroGrep\AstroGrep.exe" /spath="%USERPROFILE%\AppData\Local\Temp\OnboardLogs" /stypes="*4029*201612132*" /stext=" 20:.+((SYSTEM_STATE.+slice.+state.+changed )|(ment ac)|(multiple cpu faults)|(system.+state.+changed )|(\[timeout)|(PRM\|1\|D)|(kpr)|(kdp)|(\|lc)|(penalty))" /e /r /s</v>
      </c>
      <c r="U56" s="9" t="str">
        <f t="shared" si="10"/>
        <v>4029</v>
      </c>
      <c r="V56" s="36">
        <f t="shared" si="11"/>
        <v>42717.853518518517</v>
      </c>
      <c r="W56" s="50" t="str">
        <f t="shared" si="12"/>
        <v>Other</v>
      </c>
      <c r="X56" s="50" t="str">
        <f t="shared" si="13"/>
        <v>OMIT</v>
      </c>
      <c r="Y56" s="119" t="str">
        <f t="shared" si="14"/>
        <v>echo {"issue":{"subject":"","project_id":79,"tracker_id":40,"status_id":1,"priority_id":2,"assigned_to_id":23,"start_date":"2016-12-13","description":"","custom_fields":[{"id":1,"name":"Subdivision","value":"Other"},{"id":4,"name":"Milepost","value":"5.9048"},{"id":17,"name":"Train ID","value":"50-13"},{"id":16,"name":"Locomotive ID","value":"4029"},{"id":130,"name":"Impact","value":""},{"id":150,"name":"Time of Event (Mountain Time)","value":"13:29:04"},{"id":151,"name":"Denver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"%USERPROFILE%\AppData\Local\Temp\OnboardLogs"\RTDC4029\*4029*201612132*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"%USERPROFILE%\AppData\Local\Temp\OnboardLogs"\RTDC4029\*4029*201612132* &gt;&gt; 42717-slicedisagreementcheck.txt</v>
      </c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56">
      <sortCondition ref="V6:V44"/>
    </sortState>
  </autoFilter>
  <sortState ref="A7:AD56">
    <sortCondition ref="W7:W56"/>
    <sortCondition ref="E7:E56"/>
    <sortCondition ref="K7:K56"/>
    <sortCondition ref="C7:C56"/>
    <sortCondition ref="F7:F56"/>
  </sortState>
  <mergeCells count="1">
    <mergeCell ref="A5:O5"/>
  </mergeCells>
  <conditionalFormatting sqref="O6:P6 R6 O74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hyperlinks>
    <hyperlink ref="Z13" r:id="rId1"/>
    <hyperlink ref="Z14" r:id="rId2"/>
    <hyperlink ref="Z16" r:id="rId3"/>
    <hyperlink ref="Z21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0"/>
  <sheetViews>
    <sheetView tabSelected="1" workbookViewId="0">
      <selection activeCell="E6" sqref="E6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2016-12-13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830</v>
      </c>
      <c r="B3" s="47" t="str">
        <f>A3&amp;"-"&amp;IF(DAY(Variables!$A$2)&lt;10,0,"")&amp;DAY(Variables!$A$2)</f>
        <v>830-13</v>
      </c>
      <c r="C3" s="158"/>
      <c r="D3" s="163"/>
      <c r="E3" s="31" t="s">
        <v>837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22830-13%22)),sort:!(Time,asc))</v>
      </c>
      <c r="J3" s="31" t="e">
        <f>VLOOKUP(B3,'Train Runs'!$A$13:$A$99967,1,FALSE)</f>
        <v>#N/A</v>
      </c>
      <c r="K3" s="31" t="e">
        <f>IF(VLOOKUP(A3,$K$28:$K$51,1,FALSE),"Cancelled")</f>
        <v>#N/A</v>
      </c>
    </row>
    <row r="4" spans="1:11" x14ac:dyDescent="0.25">
      <c r="A4" s="171">
        <v>831</v>
      </c>
      <c r="B4" s="47" t="str">
        <f>A4&amp;"-"&amp;IF(DAY(Variables!$A$2)&lt;10,0,"")&amp;DAY(Variables!$A$2)</f>
        <v>831-13</v>
      </c>
      <c r="C4" s="158"/>
      <c r="D4" s="163"/>
      <c r="E4" s="31" t="s">
        <v>837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22831-13%22)),sort:!(Time,asc))</v>
      </c>
      <c r="J4" s="31" t="e">
        <f>VLOOKUP(B4,'Train Runs'!$A$13:$A$99967,1,FALSE)</f>
        <v>#N/A</v>
      </c>
      <c r="K4" s="31" t="e">
        <f>IF(VLOOKUP(A4,$K$28:$K$51,1,FALSE),"Cancelled")</f>
        <v>#N/A</v>
      </c>
    </row>
    <row r="5" spans="1:11" x14ac:dyDescent="0.25">
      <c r="A5" s="171">
        <v>152</v>
      </c>
      <c r="B5" s="47" t="str">
        <f>A5&amp;"-"&amp;IF(DAY(Variables!$A$2)&lt;10,0,"")&amp;DAY(Variables!$A$2)</f>
        <v>152-13</v>
      </c>
      <c r="C5" s="158"/>
      <c r="D5" s="163"/>
      <c r="E5" s="31" t="s">
        <v>965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22152-13%22)),sort:!(Time,asc))</v>
      </c>
      <c r="J5" s="31" t="e">
        <f>VLOOKUP(B5,'Train Runs'!$A$13:$A$99967,1,FALSE)</f>
        <v>#N/A</v>
      </c>
      <c r="K5" s="31" t="e">
        <f>IF(VLOOKUP(A5,$K$28:$K$51,1,FALSE),"Cancelled")</f>
        <v>#N/A</v>
      </c>
    </row>
    <row r="6" spans="1:11" x14ac:dyDescent="0.25">
      <c r="A6" s="171">
        <v>157</v>
      </c>
      <c r="B6" s="47" t="str">
        <f>A6&amp;"-"&amp;IF(DAY(Variables!$A$2)&lt;10,0,"")&amp;DAY(Variables!$A$2)</f>
        <v>157-13</v>
      </c>
      <c r="C6" s="158"/>
      <c r="D6" s="163"/>
      <c r="E6" s="31" t="s">
        <v>965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22157-13%22)),sort:!(Time,asc))</v>
      </c>
      <c r="J6" s="31" t="e">
        <f>VLOOKUP(B6,'Train Runs'!$A$13:$A$99967,1,FALSE)</f>
        <v>#N/A</v>
      </c>
      <c r="K6" s="31" t="e">
        <f>IF(VLOOKUP(A6,$K$28:$K$51,1,FALSE),"Cancelled")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-13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7" s="31" t="e">
        <f>VLOOKUP(B7,'Train Runs'!$A$13:$A$99967,1,FALSE)</f>
        <v>#N/A</v>
      </c>
      <c r="K7" s="31" t="e">
        <f>IF(VLOOKUP(A7,$K$28:$K$51,1,FALSE),"Cancelled")</f>
        <v>#N/A</v>
      </c>
    </row>
    <row r="8" spans="1:11" x14ac:dyDescent="0.25">
      <c r="A8" s="171"/>
      <c r="B8" s="47" t="str">
        <f>A8&amp;"-"&amp;IF(DAY(Variables!$A$2)&lt;10,0,"")&amp;DAY(Variables!$A$2)</f>
        <v>-13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ref="I8:I2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8" s="31" t="e">
        <f>VLOOKUP(B8,'Train Runs'!$A$13:$A$99967,1,FALSE)</f>
        <v>#N/A</v>
      </c>
      <c r="K8" s="31" t="e">
        <f t="shared" ref="K8:K20" si="2">IF(VLOOKUP(A8,$K$28:$K$51,1,FALSE),"Cancelled")</f>
        <v>#N/A</v>
      </c>
    </row>
    <row r="9" spans="1:11" x14ac:dyDescent="0.25">
      <c r="A9" s="171"/>
      <c r="B9" s="47" t="str">
        <f>A9&amp;"-"&amp;IF(DAY(Variables!$A$2)&lt;10,0,"")&amp;DAY(Variables!$A$2)</f>
        <v>-13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9" s="31" t="e">
        <f>VLOOKUP(B9,'Train Runs'!$A$13:$A$99967,1,FALSE)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-13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0" s="31" t="e">
        <f>VLOOKUP(B10,'Train Runs'!$A$13:$A$99967,1,FALSE)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-13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1" s="31" t="e">
        <f>VLOOKUP(B11,'Train Runs'!$A$13:$A$99967,1,FALSE)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-13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2" s="31" t="e">
        <f>VLOOKUP(B12,'Train Runs'!$A$13:$A$99967,1,FALSE)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-13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3" s="31" t="e">
        <f>VLOOKUP(B13,'Train Runs'!$A$13:$A$99967,1,FALSE)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-13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4" s="31" t="e">
        <f>VLOOKUP(B14,'Train Runs'!$A$13:$A$99967,1,FALSE)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-13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5" s="31" t="e">
        <f>VLOOKUP(B15,'Train Runs'!$A$13:$A$99967,1,FALSE)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-13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6" s="31" t="e">
        <f>VLOOKUP(B16,'Train Runs'!$A$13:$A$99967,1,FALSE)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-13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7" s="31" t="e">
        <f>VLOOKUP(B17,'Train Runs'!$A$13:$A$99967,1,FALSE)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-13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8" s="31" t="e">
        <f>VLOOKUP(B18,'Train Runs'!$A$13:$A$99967,1,FALSE)</f>
        <v>#N/A</v>
      </c>
      <c r="K18" s="31" t="e">
        <f t="shared" si="2"/>
        <v>#N/A</v>
      </c>
    </row>
    <row r="19" spans="1:11" x14ac:dyDescent="0.25">
      <c r="A19" s="171"/>
      <c r="B19" s="47" t="str">
        <f>A19&amp;"-"&amp;IF(DAY(Variables!$A$2)&lt;10,0,"")&amp;DAY(Variables!$A$2)</f>
        <v>-13</v>
      </c>
      <c r="C19" s="158"/>
      <c r="D19" s="163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9" s="31" t="e">
        <f>VLOOKUP(B19,'Train Runs'!$A$13:$A$99967,1,FALSE)</f>
        <v>#N/A</v>
      </c>
      <c r="K19" s="31" t="e">
        <f t="shared" si="2"/>
        <v>#N/A</v>
      </c>
    </row>
    <row r="20" spans="1:11" x14ac:dyDescent="0.25">
      <c r="A20" s="171"/>
      <c r="B20" s="47" t="str">
        <f>A20&amp;"-"&amp;IF(DAY(Variables!$A$2)&lt;10,0,"")&amp;DAY(Variables!$A$2)</f>
        <v>-13</v>
      </c>
      <c r="C20" s="158"/>
      <c r="D20" s="163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20" s="31" t="e">
        <f>VLOOKUP(B20,'Train Runs'!$A$13:$A$99967,1,FALSE)</f>
        <v>#N/A</v>
      </c>
      <c r="K2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272</v>
      </c>
      <c r="G1" s="8" t="s">
        <v>271</v>
      </c>
    </row>
    <row r="2" spans="1:7" x14ac:dyDescent="0.25">
      <c r="A2" s="8">
        <v>42717.033402777779</v>
      </c>
      <c r="B2" s="21" t="s">
        <v>206</v>
      </c>
      <c r="C2" s="21" t="s">
        <v>359</v>
      </c>
      <c r="D2" s="165">
        <v>1180000</v>
      </c>
      <c r="E2" s="21" t="s">
        <v>254</v>
      </c>
      <c r="F2" s="21" t="s">
        <v>269</v>
      </c>
      <c r="G2" s="8" t="str">
        <f>E2&amp;" "&amp;F2</f>
        <v>LEVERE CRAIG</v>
      </c>
    </row>
    <row r="3" spans="1:7" x14ac:dyDescent="0.25">
      <c r="A3" s="8">
        <v>42717.035277777781</v>
      </c>
      <c r="B3" s="21" t="s">
        <v>241</v>
      </c>
      <c r="C3" s="21" t="s">
        <v>360</v>
      </c>
      <c r="D3" s="165">
        <v>1800000</v>
      </c>
      <c r="E3" s="21" t="s">
        <v>244</v>
      </c>
      <c r="F3" s="21" t="s">
        <v>276</v>
      </c>
      <c r="G3" s="8" t="str">
        <f t="shared" ref="G3:G66" si="0">E3&amp;" "&amp;F3</f>
        <v>CHANDLER KELVIN</v>
      </c>
    </row>
    <row r="4" spans="1:7" x14ac:dyDescent="0.25">
      <c r="A4" s="8">
        <v>42717.054513888892</v>
      </c>
      <c r="B4" s="21" t="s">
        <v>228</v>
      </c>
      <c r="C4" s="21" t="s">
        <v>361</v>
      </c>
      <c r="D4" s="165">
        <v>2530000</v>
      </c>
      <c r="E4" s="21" t="s">
        <v>245</v>
      </c>
      <c r="F4" s="21" t="s">
        <v>358</v>
      </c>
      <c r="G4" s="8" t="str">
        <f t="shared" si="0"/>
        <v>LALONDE GREGORY</v>
      </c>
    </row>
    <row r="5" spans="1:7" x14ac:dyDescent="0.25">
      <c r="A5" s="8">
        <v>42717.058171296296</v>
      </c>
      <c r="B5" s="21" t="s">
        <v>260</v>
      </c>
      <c r="C5" s="21" t="s">
        <v>362</v>
      </c>
      <c r="D5" s="165">
        <v>1230000</v>
      </c>
      <c r="E5" s="21" t="s">
        <v>258</v>
      </c>
      <c r="F5" s="21" t="s">
        <v>267</v>
      </c>
      <c r="G5" s="8" t="str">
        <f t="shared" si="0"/>
        <v>YANAI IAN</v>
      </c>
    </row>
    <row r="6" spans="1:7" x14ac:dyDescent="0.25">
      <c r="A6" s="8">
        <v>42717.071377314816</v>
      </c>
      <c r="B6" s="21" t="s">
        <v>183</v>
      </c>
      <c r="C6" s="21" t="s">
        <v>363</v>
      </c>
      <c r="D6" s="165">
        <v>1800000</v>
      </c>
      <c r="E6" s="21" t="s">
        <v>244</v>
      </c>
      <c r="F6" s="21" t="s">
        <v>276</v>
      </c>
      <c r="G6" s="8" t="str">
        <f t="shared" si="0"/>
        <v>CHANDLER KELVIN</v>
      </c>
    </row>
    <row r="7" spans="1:7" x14ac:dyDescent="0.25">
      <c r="A7" s="8">
        <v>42717.093518518515</v>
      </c>
      <c r="B7" s="21" t="s">
        <v>263</v>
      </c>
      <c r="C7" s="21" t="s">
        <v>364</v>
      </c>
      <c r="D7" s="165">
        <v>1230000</v>
      </c>
      <c r="E7" s="21" t="s">
        <v>258</v>
      </c>
      <c r="F7" s="21" t="s">
        <v>267</v>
      </c>
      <c r="G7" s="8" t="str">
        <f t="shared" si="0"/>
        <v>YANAI IAN</v>
      </c>
    </row>
    <row r="8" spans="1:7" x14ac:dyDescent="0.25">
      <c r="A8" s="8">
        <v>42717.118611111109</v>
      </c>
      <c r="B8" s="21" t="s">
        <v>155</v>
      </c>
      <c r="C8" s="21" t="s">
        <v>446</v>
      </c>
      <c r="D8" s="165">
        <v>2030000</v>
      </c>
      <c r="E8" s="21" t="s">
        <v>299</v>
      </c>
      <c r="F8" s="21" t="s">
        <v>268</v>
      </c>
      <c r="G8" s="8" t="str">
        <f t="shared" si="0"/>
        <v>KILLION DAVID</v>
      </c>
    </row>
    <row r="9" spans="1:7" ht="15.75" thickBot="1" x14ac:dyDescent="0.3">
      <c r="A9" s="25">
        <v>42717.129594907405</v>
      </c>
      <c r="B9" s="21" t="s">
        <v>184</v>
      </c>
      <c r="C9" s="21" t="s">
        <v>403</v>
      </c>
      <c r="D9" s="165">
        <v>2030000</v>
      </c>
      <c r="E9" s="21" t="s">
        <v>299</v>
      </c>
      <c r="F9" s="21" t="s">
        <v>268</v>
      </c>
      <c r="G9" s="8" t="str">
        <f t="shared" si="0"/>
        <v>KILLION DAVID</v>
      </c>
    </row>
    <row r="10" spans="1:7" x14ac:dyDescent="0.25">
      <c r="A10" s="8">
        <v>42717.142361111109</v>
      </c>
      <c r="B10" s="21" t="s">
        <v>405</v>
      </c>
      <c r="C10" s="21" t="s">
        <v>447</v>
      </c>
      <c r="D10" s="165">
        <v>1260000</v>
      </c>
      <c r="E10" s="21" t="s">
        <v>325</v>
      </c>
      <c r="F10" s="21" t="s">
        <v>326</v>
      </c>
      <c r="G10" s="8" t="str">
        <f t="shared" si="0"/>
        <v>ACKERMAN JARED</v>
      </c>
    </row>
    <row r="11" spans="1:7" x14ac:dyDescent="0.25">
      <c r="A11" s="8">
        <v>42717.153101851851</v>
      </c>
      <c r="B11" s="21" t="s">
        <v>274</v>
      </c>
      <c r="C11" s="21" t="s">
        <v>448</v>
      </c>
      <c r="D11" s="165">
        <v>1260000</v>
      </c>
      <c r="E11" s="21" t="s">
        <v>325</v>
      </c>
      <c r="F11" s="21" t="s">
        <v>326</v>
      </c>
      <c r="G11" s="8" t="str">
        <f t="shared" si="0"/>
        <v>ACKERMAN JARED</v>
      </c>
    </row>
    <row r="12" spans="1:7" x14ac:dyDescent="0.25">
      <c r="A12" s="8">
        <v>42717.163171296299</v>
      </c>
      <c r="B12" s="21" t="s">
        <v>281</v>
      </c>
      <c r="C12" s="21" t="s">
        <v>449</v>
      </c>
      <c r="D12" s="165">
        <v>1340000</v>
      </c>
      <c r="E12" s="21" t="s">
        <v>450</v>
      </c>
      <c r="F12" s="21" t="s">
        <v>451</v>
      </c>
      <c r="G12" s="8" t="str">
        <f t="shared" si="0"/>
        <v>BEAM ROSS</v>
      </c>
    </row>
    <row r="13" spans="1:7" x14ac:dyDescent="0.25">
      <c r="A13" s="8">
        <v>42717.169687499998</v>
      </c>
      <c r="B13" s="21" t="s">
        <v>155</v>
      </c>
      <c r="C13" s="21" t="s">
        <v>452</v>
      </c>
      <c r="D13" s="165">
        <v>2030000</v>
      </c>
      <c r="E13" s="21" t="s">
        <v>299</v>
      </c>
      <c r="F13" s="21" t="s">
        <v>268</v>
      </c>
      <c r="G13" s="8" t="str">
        <f t="shared" si="0"/>
        <v>KILLION DAVID</v>
      </c>
    </row>
    <row r="14" spans="1:7" x14ac:dyDescent="0.25">
      <c r="A14" s="8">
        <v>42717.173379629632</v>
      </c>
      <c r="B14" s="21" t="s">
        <v>216</v>
      </c>
      <c r="C14" s="21" t="s">
        <v>453</v>
      </c>
      <c r="D14" s="165">
        <v>1340000</v>
      </c>
      <c r="E14" s="21" t="s">
        <v>450</v>
      </c>
      <c r="F14" s="21" t="s">
        <v>451</v>
      </c>
      <c r="G14" s="8" t="str">
        <f t="shared" si="0"/>
        <v>BEAM ROSS</v>
      </c>
    </row>
    <row r="15" spans="1:7" x14ac:dyDescent="0.25">
      <c r="A15" s="8">
        <v>42717.173668981479</v>
      </c>
      <c r="B15" s="21" t="s">
        <v>243</v>
      </c>
      <c r="C15" s="21" t="s">
        <v>454</v>
      </c>
      <c r="D15" s="165">
        <v>1090000</v>
      </c>
      <c r="E15" s="21" t="s">
        <v>455</v>
      </c>
      <c r="F15" s="21" t="s">
        <v>292</v>
      </c>
      <c r="G15" s="8" t="str">
        <f t="shared" si="0"/>
        <v>SPECTOR MICHAEL</v>
      </c>
    </row>
    <row r="16" spans="1:7" x14ac:dyDescent="0.25">
      <c r="A16" s="8">
        <v>42717.183032407411</v>
      </c>
      <c r="B16" s="21" t="s">
        <v>212</v>
      </c>
      <c r="C16" s="21" t="s">
        <v>404</v>
      </c>
      <c r="D16" s="165">
        <v>1780000</v>
      </c>
      <c r="E16" s="21" t="s">
        <v>297</v>
      </c>
      <c r="F16" s="21" t="s">
        <v>298</v>
      </c>
      <c r="G16" s="8" t="str">
        <f t="shared" si="0"/>
        <v>DE LA ROSA ALEX</v>
      </c>
    </row>
    <row r="17" spans="1:7" x14ac:dyDescent="0.25">
      <c r="A17" s="8">
        <v>42717.184201388889</v>
      </c>
      <c r="B17" s="21" t="s">
        <v>233</v>
      </c>
      <c r="C17" s="21" t="s">
        <v>407</v>
      </c>
      <c r="D17" s="165">
        <v>1090000</v>
      </c>
      <c r="E17" s="21" t="s">
        <v>455</v>
      </c>
      <c r="F17" s="21" t="s">
        <v>292</v>
      </c>
      <c r="G17" s="8" t="str">
        <f t="shared" si="0"/>
        <v>SPECTOR MICHAEL</v>
      </c>
    </row>
    <row r="18" spans="1:7" x14ac:dyDescent="0.25">
      <c r="A18" s="8">
        <v>42717.190312500003</v>
      </c>
      <c r="B18" s="21" t="s">
        <v>405</v>
      </c>
      <c r="C18" s="21" t="s">
        <v>406</v>
      </c>
      <c r="D18" s="165">
        <v>1260000</v>
      </c>
      <c r="E18" s="21" t="s">
        <v>325</v>
      </c>
      <c r="F18" s="21" t="s">
        <v>326</v>
      </c>
      <c r="G18" s="8" t="str">
        <f t="shared" si="0"/>
        <v>ACKERMAN JARED</v>
      </c>
    </row>
    <row r="19" spans="1:7" x14ac:dyDescent="0.25">
      <c r="A19" s="8">
        <v>42717.197662037041</v>
      </c>
      <c r="B19" s="21" t="s">
        <v>238</v>
      </c>
      <c r="C19" s="21" t="s">
        <v>456</v>
      </c>
      <c r="D19" s="165">
        <v>1200000</v>
      </c>
      <c r="E19" s="21" t="s">
        <v>348</v>
      </c>
      <c r="F19" s="21" t="s">
        <v>349</v>
      </c>
      <c r="G19" s="8" t="str">
        <f t="shared" si="0"/>
        <v>CUSHING HARRY</v>
      </c>
    </row>
    <row r="20" spans="1:7" x14ac:dyDescent="0.25">
      <c r="A20" s="8">
        <v>42717.204907407409</v>
      </c>
      <c r="B20" s="21" t="s">
        <v>235</v>
      </c>
      <c r="C20" s="21" t="s">
        <v>457</v>
      </c>
      <c r="D20" s="165">
        <v>1110000</v>
      </c>
      <c r="E20" s="21" t="s">
        <v>327</v>
      </c>
      <c r="F20" s="21" t="s">
        <v>328</v>
      </c>
      <c r="G20" s="8" t="str">
        <f t="shared" si="0"/>
        <v>STARKS ANGELINA</v>
      </c>
    </row>
    <row r="21" spans="1:7" x14ac:dyDescent="0.25">
      <c r="A21" s="8">
        <v>42717.209849537037</v>
      </c>
      <c r="B21" s="21" t="s">
        <v>281</v>
      </c>
      <c r="C21" s="21" t="s">
        <v>409</v>
      </c>
      <c r="D21" s="165">
        <v>1340000</v>
      </c>
      <c r="E21" s="21" t="s">
        <v>450</v>
      </c>
      <c r="F21" s="21" t="s">
        <v>451</v>
      </c>
      <c r="G21" s="8" t="str">
        <f t="shared" si="0"/>
        <v>BEAM ROSS</v>
      </c>
    </row>
    <row r="22" spans="1:7" x14ac:dyDescent="0.25">
      <c r="A22" s="27">
        <v>42717.211064814815</v>
      </c>
      <c r="B22" s="21" t="s">
        <v>184</v>
      </c>
      <c r="C22" s="21" t="s">
        <v>408</v>
      </c>
      <c r="D22" s="165">
        <v>920000</v>
      </c>
      <c r="E22" s="21" t="s">
        <v>293</v>
      </c>
      <c r="F22" s="21" t="s">
        <v>292</v>
      </c>
      <c r="G22" s="8" t="str">
        <f t="shared" si="0"/>
        <v>DAVIS MICHAEL</v>
      </c>
    </row>
    <row r="23" spans="1:7" x14ac:dyDescent="0.25">
      <c r="A23" s="8">
        <v>42717.212060185186</v>
      </c>
      <c r="B23" s="21" t="s">
        <v>154</v>
      </c>
      <c r="C23" s="21" t="s">
        <v>458</v>
      </c>
      <c r="D23" s="165">
        <v>2030000</v>
      </c>
      <c r="E23" s="21" t="s">
        <v>299</v>
      </c>
      <c r="F23" s="21" t="s">
        <v>268</v>
      </c>
      <c r="G23" s="8" t="str">
        <f t="shared" si="0"/>
        <v>KILLION DAVID</v>
      </c>
    </row>
    <row r="24" spans="1:7" x14ac:dyDescent="0.25">
      <c r="A24" s="8">
        <v>42717.215844907405</v>
      </c>
      <c r="B24" s="21" t="s">
        <v>285</v>
      </c>
      <c r="C24" s="21" t="s">
        <v>459</v>
      </c>
      <c r="D24" s="165">
        <v>1110000</v>
      </c>
      <c r="E24" s="21" t="s">
        <v>327</v>
      </c>
      <c r="F24" s="21" t="s">
        <v>328</v>
      </c>
      <c r="G24" s="8" t="str">
        <f t="shared" si="0"/>
        <v>STARKS ANGELINA</v>
      </c>
    </row>
    <row r="25" spans="1:7" x14ac:dyDescent="0.25">
      <c r="A25" s="8">
        <v>42717.217152777775</v>
      </c>
      <c r="B25" s="21" t="s">
        <v>154</v>
      </c>
      <c r="C25" s="21" t="s">
        <v>458</v>
      </c>
      <c r="D25" s="165">
        <v>2030000</v>
      </c>
      <c r="E25" s="21" t="s">
        <v>299</v>
      </c>
      <c r="F25" s="21" t="s">
        <v>268</v>
      </c>
      <c r="G25" s="8" t="str">
        <f t="shared" si="0"/>
        <v>KILLION DAVID</v>
      </c>
    </row>
    <row r="26" spans="1:7" x14ac:dyDescent="0.25">
      <c r="A26" s="8">
        <v>42717.219282407408</v>
      </c>
      <c r="B26" s="21" t="s">
        <v>184</v>
      </c>
      <c r="C26" s="21" t="s">
        <v>408</v>
      </c>
      <c r="D26" s="165">
        <v>920000</v>
      </c>
      <c r="E26" s="21" t="s">
        <v>293</v>
      </c>
      <c r="F26" s="21" t="s">
        <v>292</v>
      </c>
      <c r="G26" s="8" t="str">
        <f t="shared" si="0"/>
        <v>DAVIS MICHAEL</v>
      </c>
    </row>
    <row r="27" spans="1:7" x14ac:dyDescent="0.25">
      <c r="A27" s="8">
        <v>42717.224050925928</v>
      </c>
      <c r="B27" s="21" t="s">
        <v>243</v>
      </c>
      <c r="C27" s="21" t="s">
        <v>410</v>
      </c>
      <c r="D27" s="165">
        <v>1090000</v>
      </c>
      <c r="E27" s="21" t="s">
        <v>455</v>
      </c>
      <c r="F27" s="21" t="s">
        <v>292</v>
      </c>
      <c r="G27" s="8" t="str">
        <f t="shared" si="0"/>
        <v>SPECTOR MICHAEL</v>
      </c>
    </row>
    <row r="28" spans="1:7" x14ac:dyDescent="0.25">
      <c r="A28" s="8">
        <v>42717.228055555555</v>
      </c>
      <c r="B28" s="21" t="s">
        <v>206</v>
      </c>
      <c r="C28" s="21" t="s">
        <v>460</v>
      </c>
      <c r="D28" s="165">
        <v>2600000</v>
      </c>
      <c r="E28" s="21" t="s">
        <v>240</v>
      </c>
      <c r="F28" s="21" t="s">
        <v>268</v>
      </c>
      <c r="G28" s="8" t="str">
        <f t="shared" si="0"/>
        <v>DAVIDSON DAVID</v>
      </c>
    </row>
    <row r="29" spans="1:7" x14ac:dyDescent="0.25">
      <c r="A29" s="8">
        <v>42717.233356481483</v>
      </c>
      <c r="B29" s="21" t="s">
        <v>239</v>
      </c>
      <c r="C29" s="21" t="s">
        <v>461</v>
      </c>
      <c r="D29" s="165">
        <v>1200000</v>
      </c>
      <c r="E29" s="21" t="s">
        <v>348</v>
      </c>
      <c r="F29" s="21" t="s">
        <v>349</v>
      </c>
      <c r="G29" s="8" t="str">
        <f t="shared" si="0"/>
        <v>CUSHING HARRY</v>
      </c>
    </row>
    <row r="30" spans="1:7" x14ac:dyDescent="0.25">
      <c r="A30" s="8">
        <v>42717.239849537036</v>
      </c>
      <c r="B30" s="21" t="s">
        <v>274</v>
      </c>
      <c r="C30" s="21" t="s">
        <v>462</v>
      </c>
      <c r="D30" s="165">
        <v>1260000</v>
      </c>
      <c r="E30" s="21" t="s">
        <v>325</v>
      </c>
      <c r="F30" s="21" t="s">
        <v>326</v>
      </c>
      <c r="G30" s="8" t="str">
        <f t="shared" si="0"/>
        <v>ACKERMAN JARED</v>
      </c>
    </row>
    <row r="31" spans="1:7" x14ac:dyDescent="0.25">
      <c r="A31" s="8">
        <v>42717.242361111108</v>
      </c>
      <c r="B31" s="21" t="s">
        <v>235</v>
      </c>
      <c r="C31" s="21" t="s">
        <v>463</v>
      </c>
      <c r="D31" s="165">
        <v>1110000</v>
      </c>
      <c r="E31" s="21" t="s">
        <v>327</v>
      </c>
      <c r="F31" s="21" t="s">
        <v>328</v>
      </c>
      <c r="G31" s="8" t="str">
        <f t="shared" si="0"/>
        <v>STARKS ANGELINA</v>
      </c>
    </row>
    <row r="32" spans="1:7" x14ac:dyDescent="0.25">
      <c r="A32" s="8">
        <v>42717.242881944447</v>
      </c>
      <c r="B32" s="21" t="s">
        <v>209</v>
      </c>
      <c r="C32" s="21" t="s">
        <v>464</v>
      </c>
      <c r="D32" s="165">
        <v>1300000</v>
      </c>
      <c r="E32" s="21" t="s">
        <v>113</v>
      </c>
      <c r="F32" s="21" t="s">
        <v>465</v>
      </c>
      <c r="G32" s="8" t="str">
        <f t="shared" si="0"/>
        <v>LEVIN SCOTT</v>
      </c>
    </row>
    <row r="33" spans="1:7" x14ac:dyDescent="0.25">
      <c r="A33" s="8">
        <v>42717.243437500001</v>
      </c>
      <c r="B33" s="21" t="s">
        <v>209</v>
      </c>
      <c r="C33" s="21" t="s">
        <v>464</v>
      </c>
      <c r="D33" s="165">
        <v>1300000</v>
      </c>
      <c r="E33" s="21" t="s">
        <v>113</v>
      </c>
      <c r="F33" s="21" t="s">
        <v>465</v>
      </c>
      <c r="G33" s="8" t="str">
        <f t="shared" si="0"/>
        <v>LEVIN SCOTT</v>
      </c>
    </row>
    <row r="34" spans="1:7" x14ac:dyDescent="0.25">
      <c r="A34" s="8">
        <v>42717.246481481481</v>
      </c>
      <c r="B34" s="21" t="s">
        <v>264</v>
      </c>
      <c r="C34" s="21" t="s">
        <v>466</v>
      </c>
      <c r="D34" s="165">
        <v>920000</v>
      </c>
      <c r="E34" s="21" t="s">
        <v>293</v>
      </c>
      <c r="F34" s="21" t="s">
        <v>292</v>
      </c>
      <c r="G34" s="8" t="str">
        <f t="shared" si="0"/>
        <v>DAVIS MICHAEL</v>
      </c>
    </row>
    <row r="35" spans="1:7" x14ac:dyDescent="0.25">
      <c r="A35" s="8">
        <v>42717.250821759262</v>
      </c>
      <c r="B35" s="21" t="s">
        <v>216</v>
      </c>
      <c r="C35" s="21" t="s">
        <v>467</v>
      </c>
      <c r="D35" s="165">
        <v>1340000</v>
      </c>
      <c r="E35" s="21" t="s">
        <v>450</v>
      </c>
      <c r="F35" s="21" t="s">
        <v>451</v>
      </c>
      <c r="G35" s="8" t="str">
        <f t="shared" si="0"/>
        <v>BEAM ROSS</v>
      </c>
    </row>
    <row r="36" spans="1:7" x14ac:dyDescent="0.25">
      <c r="A36" s="8">
        <v>42717.253576388888</v>
      </c>
      <c r="B36" s="21" t="s">
        <v>468</v>
      </c>
      <c r="C36" s="21" t="s">
        <v>469</v>
      </c>
      <c r="D36" s="165">
        <v>1780000</v>
      </c>
      <c r="E36" s="21" t="s">
        <v>297</v>
      </c>
      <c r="F36" s="21" t="s">
        <v>298</v>
      </c>
      <c r="G36" s="8" t="str">
        <f t="shared" si="0"/>
        <v>DE LA ROSA ALEX</v>
      </c>
    </row>
    <row r="37" spans="1:7" x14ac:dyDescent="0.25">
      <c r="A37" s="8">
        <v>42717.253761574073</v>
      </c>
      <c r="B37" s="21" t="s">
        <v>155</v>
      </c>
      <c r="C37" s="21" t="s">
        <v>470</v>
      </c>
      <c r="D37" s="165">
        <v>2030000</v>
      </c>
      <c r="E37" s="21" t="s">
        <v>299</v>
      </c>
      <c r="F37" s="21" t="s">
        <v>268</v>
      </c>
      <c r="G37" s="8" t="str">
        <f t="shared" si="0"/>
        <v>KILLION DAVID</v>
      </c>
    </row>
    <row r="38" spans="1:7" x14ac:dyDescent="0.25">
      <c r="A38" s="8">
        <v>42717.254687499997</v>
      </c>
      <c r="B38" s="21" t="s">
        <v>468</v>
      </c>
      <c r="C38" s="21" t="s">
        <v>469</v>
      </c>
      <c r="D38" s="165">
        <v>1780000</v>
      </c>
      <c r="E38" s="21" t="s">
        <v>297</v>
      </c>
      <c r="F38" s="21" t="s">
        <v>298</v>
      </c>
      <c r="G38" s="8" t="str">
        <f t="shared" si="0"/>
        <v>DE LA ROSA ALEX</v>
      </c>
    </row>
    <row r="39" spans="1:7" x14ac:dyDescent="0.25">
      <c r="A39" s="8">
        <v>42717.255393518521</v>
      </c>
      <c r="B39" s="21" t="s">
        <v>285</v>
      </c>
      <c r="C39" s="21" t="s">
        <v>471</v>
      </c>
      <c r="D39" s="165">
        <v>1110000</v>
      </c>
      <c r="E39" s="21" t="s">
        <v>327</v>
      </c>
      <c r="F39" s="21" t="s">
        <v>328</v>
      </c>
      <c r="G39" s="8" t="str">
        <f t="shared" si="0"/>
        <v>STARKS ANGELINA</v>
      </c>
    </row>
    <row r="40" spans="1:7" x14ac:dyDescent="0.25">
      <c r="A40" s="8">
        <v>42717.25640046296</v>
      </c>
      <c r="B40" s="26" t="s">
        <v>155</v>
      </c>
      <c r="C40" s="21" t="s">
        <v>470</v>
      </c>
      <c r="D40" s="165">
        <v>2030000</v>
      </c>
      <c r="E40" s="21" t="s">
        <v>299</v>
      </c>
      <c r="F40" s="21" t="s">
        <v>268</v>
      </c>
      <c r="G40" s="8" t="str">
        <f t="shared" si="0"/>
        <v>KILLION DAVID</v>
      </c>
    </row>
    <row r="41" spans="1:7" x14ac:dyDescent="0.25">
      <c r="A41" s="8">
        <v>42717.258194444446</v>
      </c>
      <c r="B41" s="21" t="s">
        <v>208</v>
      </c>
      <c r="C41" s="21" t="s">
        <v>472</v>
      </c>
      <c r="D41" s="165">
        <v>1300000</v>
      </c>
      <c r="E41" s="21" t="s">
        <v>113</v>
      </c>
      <c r="F41" s="21" t="s">
        <v>465</v>
      </c>
      <c r="G41" s="8" t="str">
        <f t="shared" si="0"/>
        <v>LEVIN SCOTT</v>
      </c>
    </row>
    <row r="42" spans="1:7" x14ac:dyDescent="0.25">
      <c r="A42" s="8">
        <v>42717.259305555555</v>
      </c>
      <c r="B42" s="21" t="s">
        <v>208</v>
      </c>
      <c r="C42" s="21" t="s">
        <v>472</v>
      </c>
      <c r="D42" s="165">
        <v>1300000</v>
      </c>
      <c r="E42" s="21" t="s">
        <v>113</v>
      </c>
      <c r="F42" s="21" t="s">
        <v>465</v>
      </c>
      <c r="G42" s="8" t="str">
        <f t="shared" si="0"/>
        <v>LEVIN SCOTT</v>
      </c>
    </row>
    <row r="43" spans="1:7" x14ac:dyDescent="0.25">
      <c r="A43" s="8">
        <v>42717.267291666663</v>
      </c>
      <c r="B43" s="21" t="s">
        <v>212</v>
      </c>
      <c r="C43" s="21" t="s">
        <v>473</v>
      </c>
      <c r="D43" s="165">
        <v>2600000</v>
      </c>
      <c r="E43" s="21" t="s">
        <v>240</v>
      </c>
      <c r="F43" s="21" t="s">
        <v>268</v>
      </c>
      <c r="G43" s="8" t="str">
        <f t="shared" si="0"/>
        <v>DAVIDSON DAVID</v>
      </c>
    </row>
    <row r="44" spans="1:7" x14ac:dyDescent="0.25">
      <c r="A44" s="8">
        <v>42717.267928240741</v>
      </c>
      <c r="B44" s="21" t="s">
        <v>253</v>
      </c>
      <c r="C44" s="21" t="s">
        <v>474</v>
      </c>
      <c r="D44" s="165">
        <v>1090000</v>
      </c>
      <c r="E44" s="21" t="s">
        <v>455</v>
      </c>
      <c r="F44" s="21" t="s">
        <v>292</v>
      </c>
      <c r="G44" s="8" t="str">
        <f t="shared" si="0"/>
        <v>SPECTOR MICHAEL</v>
      </c>
    </row>
    <row r="45" spans="1:7" x14ac:dyDescent="0.25">
      <c r="A45" s="8">
        <v>42717.275868055556</v>
      </c>
      <c r="B45" s="21" t="s">
        <v>273</v>
      </c>
      <c r="C45" s="21" t="s">
        <v>475</v>
      </c>
      <c r="D45" s="165">
        <v>1260000</v>
      </c>
      <c r="E45" s="21" t="s">
        <v>325</v>
      </c>
      <c r="F45" s="21" t="s">
        <v>326</v>
      </c>
      <c r="G45" s="8" t="str">
        <f t="shared" si="0"/>
        <v>ACKERMAN JARED</v>
      </c>
    </row>
    <row r="46" spans="1:7" x14ac:dyDescent="0.25">
      <c r="A46" s="8">
        <v>42717.275937500002</v>
      </c>
      <c r="B46" s="21" t="s">
        <v>209</v>
      </c>
      <c r="C46" s="21" t="s">
        <v>476</v>
      </c>
      <c r="D46" s="165">
        <v>1300000</v>
      </c>
      <c r="E46" s="21" t="s">
        <v>113</v>
      </c>
      <c r="F46" s="21" t="s">
        <v>465</v>
      </c>
      <c r="G46" s="8" t="str">
        <f t="shared" si="0"/>
        <v>LEVIN SCOTT</v>
      </c>
    </row>
    <row r="47" spans="1:7" x14ac:dyDescent="0.25">
      <c r="A47" s="8">
        <v>42717.283310185187</v>
      </c>
      <c r="B47" s="21" t="s">
        <v>184</v>
      </c>
      <c r="C47" s="21" t="s">
        <v>477</v>
      </c>
      <c r="D47" s="165">
        <v>920000</v>
      </c>
      <c r="E47" s="21" t="s">
        <v>293</v>
      </c>
      <c r="F47" s="21" t="s">
        <v>292</v>
      </c>
      <c r="G47" s="8" t="str">
        <f t="shared" si="0"/>
        <v>DAVIS MICHAEL</v>
      </c>
    </row>
    <row r="48" spans="1:7" x14ac:dyDescent="0.25">
      <c r="A48" s="8">
        <v>42717.283888888887</v>
      </c>
      <c r="B48" s="21" t="s">
        <v>235</v>
      </c>
      <c r="C48" s="21" t="s">
        <v>478</v>
      </c>
      <c r="D48" s="165">
        <v>1110000</v>
      </c>
      <c r="E48" s="21" t="s">
        <v>327</v>
      </c>
      <c r="F48" s="21" t="s">
        <v>328</v>
      </c>
      <c r="G48" s="8" t="str">
        <f t="shared" si="0"/>
        <v>STARKS ANGELINA</v>
      </c>
    </row>
    <row r="49" spans="1:7" x14ac:dyDescent="0.25">
      <c r="A49" s="8">
        <v>42717.286203703705</v>
      </c>
      <c r="B49" s="21" t="s">
        <v>436</v>
      </c>
      <c r="C49" s="21" t="s">
        <v>479</v>
      </c>
      <c r="D49" s="165">
        <v>1340000</v>
      </c>
      <c r="E49" s="21" t="s">
        <v>450</v>
      </c>
      <c r="F49" s="21" t="s">
        <v>451</v>
      </c>
      <c r="G49" s="8" t="str">
        <f t="shared" si="0"/>
        <v>BEAM ROSS</v>
      </c>
    </row>
    <row r="50" spans="1:7" x14ac:dyDescent="0.25">
      <c r="A50" s="8">
        <v>42717.293449074074</v>
      </c>
      <c r="B50" s="21" t="s">
        <v>405</v>
      </c>
      <c r="C50" s="21" t="s">
        <v>480</v>
      </c>
      <c r="D50" s="165">
        <v>1780000</v>
      </c>
      <c r="E50" s="21" t="s">
        <v>297</v>
      </c>
      <c r="F50" s="21" t="s">
        <v>298</v>
      </c>
      <c r="G50" s="8" t="str">
        <f t="shared" si="0"/>
        <v>DE LA ROSA ALEX</v>
      </c>
    </row>
    <row r="51" spans="1:7" x14ac:dyDescent="0.25">
      <c r="A51" s="8">
        <v>42717.294189814813</v>
      </c>
      <c r="B51" s="21" t="s">
        <v>154</v>
      </c>
      <c r="C51" s="21" t="s">
        <v>481</v>
      </c>
      <c r="D51" s="165">
        <v>2030000</v>
      </c>
      <c r="E51" s="21" t="s">
        <v>299</v>
      </c>
      <c r="F51" s="21" t="s">
        <v>268</v>
      </c>
      <c r="G51" s="8" t="str">
        <f t="shared" si="0"/>
        <v>KILLION DAVID</v>
      </c>
    </row>
    <row r="52" spans="1:7" x14ac:dyDescent="0.25">
      <c r="A52" s="8">
        <v>42717.296203703707</v>
      </c>
      <c r="B52" s="21" t="s">
        <v>285</v>
      </c>
      <c r="C52" s="21" t="s">
        <v>482</v>
      </c>
      <c r="D52" s="165">
        <v>1110000</v>
      </c>
      <c r="E52" s="21" t="s">
        <v>327</v>
      </c>
      <c r="F52" s="21" t="s">
        <v>328</v>
      </c>
      <c r="G52" s="8" t="str">
        <f t="shared" si="0"/>
        <v>STARKS ANGELINA</v>
      </c>
    </row>
    <row r="53" spans="1:7" x14ac:dyDescent="0.25">
      <c r="A53" s="8">
        <v>42717.301574074074</v>
      </c>
      <c r="B53" s="21" t="s">
        <v>206</v>
      </c>
      <c r="C53" s="21" t="s">
        <v>483</v>
      </c>
      <c r="D53" s="165">
        <v>2600000</v>
      </c>
      <c r="E53" s="21" t="s">
        <v>240</v>
      </c>
      <c r="F53" s="21" t="s">
        <v>268</v>
      </c>
      <c r="G53" s="8" t="str">
        <f t="shared" si="0"/>
        <v>DAVIDSON DAVID</v>
      </c>
    </row>
    <row r="54" spans="1:7" x14ac:dyDescent="0.25">
      <c r="A54" s="8">
        <v>42717.304884259262</v>
      </c>
      <c r="B54" s="21" t="s">
        <v>208</v>
      </c>
      <c r="C54" s="21" t="s">
        <v>484</v>
      </c>
      <c r="D54" s="165">
        <v>1300000</v>
      </c>
      <c r="E54" s="21" t="s">
        <v>113</v>
      </c>
      <c r="F54" s="21" t="s">
        <v>465</v>
      </c>
      <c r="G54" s="8" t="str">
        <f t="shared" si="0"/>
        <v>LEVIN SCOTT</v>
      </c>
    </row>
    <row r="55" spans="1:7" x14ac:dyDescent="0.25">
      <c r="A55" s="8">
        <v>42717.305891203701</v>
      </c>
      <c r="B55" s="21" t="s">
        <v>281</v>
      </c>
      <c r="C55" s="21" t="s">
        <v>411</v>
      </c>
      <c r="D55" s="165">
        <v>1090000</v>
      </c>
      <c r="E55" s="21" t="s">
        <v>455</v>
      </c>
      <c r="F55" s="21" t="s">
        <v>292</v>
      </c>
      <c r="G55" s="8" t="str">
        <f t="shared" si="0"/>
        <v>SPECTOR MICHAEL</v>
      </c>
    </row>
    <row r="56" spans="1:7" x14ac:dyDescent="0.25">
      <c r="A56" s="8">
        <v>42717.313437500001</v>
      </c>
      <c r="B56" s="21" t="s">
        <v>274</v>
      </c>
      <c r="C56" s="21" t="s">
        <v>485</v>
      </c>
      <c r="D56" s="165">
        <v>1260000</v>
      </c>
      <c r="E56" s="21" t="s">
        <v>325</v>
      </c>
      <c r="F56" s="21" t="s">
        <v>326</v>
      </c>
      <c r="G56" s="8" t="str">
        <f t="shared" si="0"/>
        <v>ACKERMAN JARED</v>
      </c>
    </row>
    <row r="57" spans="1:7" x14ac:dyDescent="0.25">
      <c r="A57" s="8">
        <v>42717.316944444443</v>
      </c>
      <c r="B57" s="21" t="s">
        <v>209</v>
      </c>
      <c r="C57" s="21" t="s">
        <v>486</v>
      </c>
      <c r="D57" s="165">
        <v>1300000</v>
      </c>
      <c r="E57" s="21" t="s">
        <v>113</v>
      </c>
      <c r="F57" s="21" t="s">
        <v>465</v>
      </c>
      <c r="G57" s="8" t="str">
        <f t="shared" si="0"/>
        <v>LEVIN SCOTT</v>
      </c>
    </row>
    <row r="58" spans="1:7" x14ac:dyDescent="0.25">
      <c r="A58" s="8">
        <v>42717.323020833333</v>
      </c>
      <c r="B58" s="21" t="s">
        <v>264</v>
      </c>
      <c r="C58" s="21" t="s">
        <v>487</v>
      </c>
      <c r="D58" s="165">
        <v>920000</v>
      </c>
      <c r="E58" s="21" t="s">
        <v>293</v>
      </c>
      <c r="F58" s="21" t="s">
        <v>292</v>
      </c>
      <c r="G58" s="8" t="str">
        <f t="shared" si="0"/>
        <v>DAVIS MICHAEL</v>
      </c>
    </row>
    <row r="59" spans="1:7" x14ac:dyDescent="0.25">
      <c r="A59" s="8">
        <v>42717.323113425926</v>
      </c>
      <c r="B59" s="21" t="s">
        <v>216</v>
      </c>
      <c r="C59" s="21" t="s">
        <v>488</v>
      </c>
      <c r="D59" s="165">
        <v>1340000</v>
      </c>
      <c r="E59" s="21" t="s">
        <v>450</v>
      </c>
      <c r="F59" s="21" t="s">
        <v>451</v>
      </c>
      <c r="G59" s="8" t="str">
        <f t="shared" si="0"/>
        <v>BEAM ROSS</v>
      </c>
    </row>
    <row r="60" spans="1:7" x14ac:dyDescent="0.25">
      <c r="A60" s="8">
        <v>42717.326145833336</v>
      </c>
      <c r="B60" s="21" t="s">
        <v>235</v>
      </c>
      <c r="C60" s="21" t="s">
        <v>489</v>
      </c>
      <c r="D60" s="165">
        <v>1110000</v>
      </c>
      <c r="E60" s="21" t="s">
        <v>327</v>
      </c>
      <c r="F60" s="21" t="s">
        <v>328</v>
      </c>
      <c r="G60" s="8" t="str">
        <f t="shared" si="0"/>
        <v>STARKS ANGELINA</v>
      </c>
    </row>
    <row r="61" spans="1:7" x14ac:dyDescent="0.25">
      <c r="A61" s="8">
        <v>42717.332048611112</v>
      </c>
      <c r="B61" s="21" t="s">
        <v>468</v>
      </c>
      <c r="C61" s="21" t="s">
        <v>490</v>
      </c>
      <c r="D61" s="165">
        <v>1780000</v>
      </c>
      <c r="E61" s="21" t="s">
        <v>297</v>
      </c>
      <c r="F61" s="21" t="s">
        <v>298</v>
      </c>
      <c r="G61" s="8" t="str">
        <f t="shared" si="0"/>
        <v>DE LA ROSA ALEX</v>
      </c>
    </row>
    <row r="62" spans="1:7" x14ac:dyDescent="0.25">
      <c r="A62" s="8">
        <v>42717.335092592592</v>
      </c>
      <c r="B62" s="21" t="s">
        <v>155</v>
      </c>
      <c r="C62" s="21" t="s">
        <v>491</v>
      </c>
      <c r="D62" s="165">
        <v>2030000</v>
      </c>
      <c r="E62" s="21" t="s">
        <v>299</v>
      </c>
      <c r="F62" s="21" t="s">
        <v>268</v>
      </c>
      <c r="G62" s="8" t="str">
        <f t="shared" si="0"/>
        <v>KILLION DAVID</v>
      </c>
    </row>
    <row r="63" spans="1:7" x14ac:dyDescent="0.25">
      <c r="A63" s="8">
        <v>42717.336053240739</v>
      </c>
      <c r="B63" s="21" t="s">
        <v>212</v>
      </c>
      <c r="C63" s="21" t="s">
        <v>413</v>
      </c>
      <c r="D63" s="165">
        <v>2600000</v>
      </c>
      <c r="E63" s="21" t="s">
        <v>240</v>
      </c>
      <c r="F63" s="21" t="s">
        <v>268</v>
      </c>
      <c r="G63" s="8" t="str">
        <f t="shared" si="0"/>
        <v>DAVIDSON DAVID</v>
      </c>
    </row>
    <row r="64" spans="1:7" x14ac:dyDescent="0.25">
      <c r="A64" s="27">
        <v>42717.339004629626</v>
      </c>
      <c r="B64" s="21" t="s">
        <v>285</v>
      </c>
      <c r="C64" s="21" t="s">
        <v>492</v>
      </c>
      <c r="D64" s="165">
        <v>1110000</v>
      </c>
      <c r="E64" s="21" t="s">
        <v>327</v>
      </c>
      <c r="F64" s="21" t="s">
        <v>328</v>
      </c>
      <c r="G64" s="8" t="str">
        <f t="shared" si="0"/>
        <v>STARKS ANGELINA</v>
      </c>
    </row>
    <row r="65" spans="1:7" x14ac:dyDescent="0.25">
      <c r="A65" s="8">
        <v>42717.345821759256</v>
      </c>
      <c r="B65" s="21" t="s">
        <v>208</v>
      </c>
      <c r="C65" s="21" t="s">
        <v>412</v>
      </c>
      <c r="D65" s="165">
        <v>1300000</v>
      </c>
      <c r="E65" s="21" t="s">
        <v>113</v>
      </c>
      <c r="F65" s="21" t="s">
        <v>465</v>
      </c>
      <c r="G65" s="8" t="str">
        <f t="shared" si="0"/>
        <v>LEVIN SCOTT</v>
      </c>
    </row>
    <row r="66" spans="1:7" x14ac:dyDescent="0.25">
      <c r="A66" s="8">
        <v>42717.346956018519</v>
      </c>
      <c r="B66" s="21" t="s">
        <v>273</v>
      </c>
      <c r="C66" s="21" t="s">
        <v>493</v>
      </c>
      <c r="D66" s="165">
        <v>1260000</v>
      </c>
      <c r="E66" s="21" t="s">
        <v>325</v>
      </c>
      <c r="F66" s="21" t="s">
        <v>326</v>
      </c>
      <c r="G66" s="8" t="str">
        <f t="shared" si="0"/>
        <v>ACKERMAN JARED</v>
      </c>
    </row>
    <row r="67" spans="1:7" x14ac:dyDescent="0.25">
      <c r="A67" s="8">
        <v>42717.349942129629</v>
      </c>
      <c r="B67" s="21" t="s">
        <v>253</v>
      </c>
      <c r="C67" s="21" t="s">
        <v>414</v>
      </c>
      <c r="D67" s="165">
        <v>1090000</v>
      </c>
      <c r="E67" s="21" t="s">
        <v>455</v>
      </c>
      <c r="F67" s="21" t="s">
        <v>292</v>
      </c>
      <c r="G67" s="8" t="str">
        <f t="shared" ref="G67:G130" si="1">E67&amp;" "&amp;F67</f>
        <v>SPECTOR MICHAEL</v>
      </c>
    </row>
    <row r="68" spans="1:7" x14ac:dyDescent="0.25">
      <c r="A68" s="8">
        <v>42717.354895833334</v>
      </c>
      <c r="B68" s="21" t="s">
        <v>238</v>
      </c>
      <c r="C68" s="21" t="s">
        <v>494</v>
      </c>
      <c r="D68" s="165">
        <v>1200000</v>
      </c>
      <c r="E68" s="21" t="s">
        <v>348</v>
      </c>
      <c r="F68" s="21" t="s">
        <v>349</v>
      </c>
      <c r="G68" s="8" t="str">
        <f t="shared" si="1"/>
        <v>CUSHING HARRY</v>
      </c>
    </row>
    <row r="69" spans="1:7" x14ac:dyDescent="0.25">
      <c r="A69" s="8">
        <v>42717.356493055559</v>
      </c>
      <c r="B69" s="21" t="s">
        <v>235</v>
      </c>
      <c r="C69" s="21" t="s">
        <v>495</v>
      </c>
      <c r="D69" s="165">
        <v>1110000</v>
      </c>
      <c r="E69" s="21" t="s">
        <v>327</v>
      </c>
      <c r="F69" s="21" t="s">
        <v>328</v>
      </c>
      <c r="G69" s="8" t="str">
        <f t="shared" si="1"/>
        <v>STARKS ANGELINA</v>
      </c>
    </row>
    <row r="70" spans="1:7" x14ac:dyDescent="0.25">
      <c r="A70" s="8">
        <v>42717.358761574076</v>
      </c>
      <c r="B70" s="21" t="s">
        <v>436</v>
      </c>
      <c r="C70" s="21" t="s">
        <v>496</v>
      </c>
      <c r="D70" s="165">
        <v>1340000</v>
      </c>
      <c r="E70" s="21" t="s">
        <v>450</v>
      </c>
      <c r="F70" s="21" t="s">
        <v>451</v>
      </c>
      <c r="G70" s="8" t="str">
        <f t="shared" si="1"/>
        <v>BEAM ROSS</v>
      </c>
    </row>
    <row r="71" spans="1:7" x14ac:dyDescent="0.25">
      <c r="A71" s="8">
        <v>42717.358819444446</v>
      </c>
      <c r="B71" s="21" t="s">
        <v>209</v>
      </c>
      <c r="C71" s="21" t="s">
        <v>497</v>
      </c>
      <c r="D71" s="165">
        <v>1300000</v>
      </c>
      <c r="E71" s="21" t="s">
        <v>113</v>
      </c>
      <c r="F71" s="21" t="s">
        <v>465</v>
      </c>
      <c r="G71" s="8" t="str">
        <f t="shared" si="1"/>
        <v>LEVIN SCOTT</v>
      </c>
    </row>
    <row r="72" spans="1:7" x14ac:dyDescent="0.25">
      <c r="A72" s="8">
        <v>42717.363946759258</v>
      </c>
      <c r="B72" s="21" t="s">
        <v>260</v>
      </c>
      <c r="C72" s="21" t="s">
        <v>419</v>
      </c>
      <c r="D72" s="165">
        <v>2150000</v>
      </c>
      <c r="E72" s="21" t="s">
        <v>498</v>
      </c>
      <c r="F72" s="21" t="s">
        <v>499</v>
      </c>
      <c r="G72" s="8" t="str">
        <f t="shared" si="1"/>
        <v>SWANSON BRYCE</v>
      </c>
    </row>
    <row r="73" spans="1:7" x14ac:dyDescent="0.25">
      <c r="A73" s="8">
        <v>42717.364803240744</v>
      </c>
      <c r="B73" s="21" t="s">
        <v>184</v>
      </c>
      <c r="C73" s="21" t="s">
        <v>500</v>
      </c>
      <c r="D73" s="165">
        <v>920000</v>
      </c>
      <c r="E73" s="21" t="s">
        <v>293</v>
      </c>
      <c r="F73" s="21" t="s">
        <v>292</v>
      </c>
      <c r="G73" s="8" t="str">
        <f t="shared" si="1"/>
        <v>DAVIS MICHAEL</v>
      </c>
    </row>
    <row r="74" spans="1:7" x14ac:dyDescent="0.25">
      <c r="A74" s="8">
        <v>42717.366157407407</v>
      </c>
      <c r="B74" s="21" t="s">
        <v>184</v>
      </c>
      <c r="C74" s="21" t="s">
        <v>500</v>
      </c>
      <c r="D74" s="165">
        <v>920000</v>
      </c>
      <c r="E74" s="21" t="s">
        <v>293</v>
      </c>
      <c r="F74" s="21" t="s">
        <v>292</v>
      </c>
      <c r="G74" s="8" t="str">
        <f t="shared" si="1"/>
        <v>DAVIS MICHAEL</v>
      </c>
    </row>
    <row r="75" spans="1:7" x14ac:dyDescent="0.25">
      <c r="A75" s="8">
        <v>42717.368576388886</v>
      </c>
      <c r="B75" s="21" t="s">
        <v>405</v>
      </c>
      <c r="C75" s="21" t="s">
        <v>501</v>
      </c>
      <c r="D75" s="165">
        <v>1780000</v>
      </c>
      <c r="E75" s="21" t="s">
        <v>297</v>
      </c>
      <c r="F75" s="21" t="s">
        <v>298</v>
      </c>
      <c r="G75" s="8" t="str">
        <f t="shared" si="1"/>
        <v>DE LA ROSA ALEX</v>
      </c>
    </row>
    <row r="76" spans="1:7" x14ac:dyDescent="0.25">
      <c r="A76" s="8">
        <v>42717.372731481482</v>
      </c>
      <c r="B76" s="21" t="s">
        <v>154</v>
      </c>
      <c r="C76" s="21" t="s">
        <v>502</v>
      </c>
      <c r="D76" s="165">
        <v>2030000</v>
      </c>
      <c r="E76" s="21" t="s">
        <v>299</v>
      </c>
      <c r="F76" s="21" t="s">
        <v>268</v>
      </c>
      <c r="G76" s="8" t="str">
        <f t="shared" si="1"/>
        <v>KILLION DAVID</v>
      </c>
    </row>
    <row r="77" spans="1:7" x14ac:dyDescent="0.25">
      <c r="A77" s="8">
        <v>42717.376863425925</v>
      </c>
      <c r="B77" s="21" t="s">
        <v>263</v>
      </c>
      <c r="C77" s="21" t="s">
        <v>419</v>
      </c>
      <c r="D77" s="165">
        <v>2150000</v>
      </c>
      <c r="E77" s="21" t="s">
        <v>498</v>
      </c>
      <c r="F77" s="21" t="s">
        <v>499</v>
      </c>
      <c r="G77" s="8" t="str">
        <f t="shared" si="1"/>
        <v>SWANSON BRYCE</v>
      </c>
    </row>
    <row r="78" spans="1:7" x14ac:dyDescent="0.25">
      <c r="A78" s="8">
        <v>42717.383437500001</v>
      </c>
      <c r="B78" s="21" t="s">
        <v>281</v>
      </c>
      <c r="C78" s="21" t="s">
        <v>416</v>
      </c>
      <c r="D78" s="165">
        <v>1090000</v>
      </c>
      <c r="E78" s="21" t="s">
        <v>455</v>
      </c>
      <c r="F78" s="21" t="s">
        <v>292</v>
      </c>
      <c r="G78" s="8" t="str">
        <f t="shared" si="1"/>
        <v>SPECTOR MICHAEL</v>
      </c>
    </row>
    <row r="79" spans="1:7" x14ac:dyDescent="0.25">
      <c r="A79" s="8">
        <v>42717.383773148147</v>
      </c>
      <c r="B79" s="21" t="s">
        <v>206</v>
      </c>
      <c r="C79" s="21" t="s">
        <v>503</v>
      </c>
      <c r="D79" s="165">
        <v>2600000</v>
      </c>
      <c r="E79" s="21" t="s">
        <v>240</v>
      </c>
      <c r="F79" s="21" t="s">
        <v>268</v>
      </c>
      <c r="G79" s="8" t="str">
        <f t="shared" si="1"/>
        <v>DAVIDSON DAVID</v>
      </c>
    </row>
    <row r="80" spans="1:7" x14ac:dyDescent="0.25">
      <c r="A80" s="8">
        <v>42717.386018518519</v>
      </c>
      <c r="B80" s="21" t="s">
        <v>260</v>
      </c>
      <c r="C80" s="21" t="s">
        <v>419</v>
      </c>
      <c r="D80" s="165">
        <v>2150000</v>
      </c>
      <c r="E80" s="21" t="s">
        <v>498</v>
      </c>
      <c r="F80" s="21" t="s">
        <v>499</v>
      </c>
      <c r="G80" s="8" t="str">
        <f t="shared" si="1"/>
        <v>SWANSON BRYCE</v>
      </c>
    </row>
    <row r="81" spans="1:7" x14ac:dyDescent="0.25">
      <c r="A81" s="8">
        <v>42717.387152777781</v>
      </c>
      <c r="B81" s="21" t="s">
        <v>208</v>
      </c>
      <c r="C81" s="21" t="s">
        <v>504</v>
      </c>
      <c r="D81" s="165">
        <v>1300000</v>
      </c>
      <c r="E81" s="21" t="s">
        <v>113</v>
      </c>
      <c r="F81" s="21" t="s">
        <v>465</v>
      </c>
      <c r="G81" s="8" t="str">
        <f t="shared" si="1"/>
        <v>LEVIN SCOTT</v>
      </c>
    </row>
    <row r="82" spans="1:7" x14ac:dyDescent="0.25">
      <c r="A82" s="8">
        <v>42717.389687499999</v>
      </c>
      <c r="B82" s="21" t="s">
        <v>274</v>
      </c>
      <c r="C82" s="21" t="s">
        <v>505</v>
      </c>
      <c r="D82" s="165">
        <v>1260000</v>
      </c>
      <c r="E82" s="21" t="s">
        <v>325</v>
      </c>
      <c r="F82" s="21" t="s">
        <v>326</v>
      </c>
      <c r="G82" s="8" t="str">
        <f t="shared" si="1"/>
        <v>ACKERMAN JARED</v>
      </c>
    </row>
    <row r="83" spans="1:7" x14ac:dyDescent="0.25">
      <c r="A83" s="8">
        <v>42717.3906712963</v>
      </c>
      <c r="B83" s="21" t="s">
        <v>239</v>
      </c>
      <c r="C83" s="21" t="s">
        <v>415</v>
      </c>
      <c r="D83" s="165">
        <v>1200000</v>
      </c>
      <c r="E83" s="21" t="s">
        <v>348</v>
      </c>
      <c r="F83" s="21" t="s">
        <v>349</v>
      </c>
      <c r="G83" s="8" t="str">
        <f t="shared" si="1"/>
        <v>CUSHING HARRY</v>
      </c>
    </row>
    <row r="84" spans="1:7" x14ac:dyDescent="0.25">
      <c r="A84" s="8">
        <v>42717.391793981478</v>
      </c>
      <c r="B84" s="21" t="s">
        <v>239</v>
      </c>
      <c r="C84" s="21" t="s">
        <v>415</v>
      </c>
      <c r="D84" s="165">
        <v>1200000</v>
      </c>
      <c r="E84" s="21" t="s">
        <v>348</v>
      </c>
      <c r="F84" s="21" t="s">
        <v>349</v>
      </c>
      <c r="G84" s="8" t="str">
        <f t="shared" si="1"/>
        <v>CUSHING HARRY</v>
      </c>
    </row>
    <row r="85" spans="1:7" x14ac:dyDescent="0.25">
      <c r="A85" s="8">
        <v>42717.395416666666</v>
      </c>
      <c r="B85" s="21" t="s">
        <v>264</v>
      </c>
      <c r="C85" s="21" t="s">
        <v>418</v>
      </c>
      <c r="D85" s="165">
        <v>920000</v>
      </c>
      <c r="E85" s="21" t="s">
        <v>293</v>
      </c>
      <c r="F85" s="21" t="s">
        <v>292</v>
      </c>
      <c r="G85" s="8" t="str">
        <f t="shared" si="1"/>
        <v>DAVIS MICHAEL</v>
      </c>
    </row>
    <row r="86" spans="1:7" x14ac:dyDescent="0.25">
      <c r="A86" s="8">
        <v>42717.398125</v>
      </c>
      <c r="B86" s="21" t="s">
        <v>263</v>
      </c>
      <c r="C86" s="21" t="s">
        <v>419</v>
      </c>
      <c r="D86" s="165">
        <v>2150000</v>
      </c>
      <c r="E86" s="21" t="s">
        <v>498</v>
      </c>
      <c r="F86" s="21" t="s">
        <v>499</v>
      </c>
      <c r="G86" s="8" t="str">
        <f t="shared" si="1"/>
        <v>SWANSON BRYCE</v>
      </c>
    </row>
    <row r="87" spans="1:7" x14ac:dyDescent="0.25">
      <c r="A87" s="8">
        <v>42717.400335648148</v>
      </c>
      <c r="B87" s="21" t="s">
        <v>209</v>
      </c>
      <c r="C87" s="21" t="s">
        <v>417</v>
      </c>
      <c r="D87" s="165">
        <v>1300000</v>
      </c>
      <c r="E87" s="21" t="s">
        <v>113</v>
      </c>
      <c r="F87" s="21" t="s">
        <v>465</v>
      </c>
      <c r="G87" s="8" t="str">
        <f t="shared" si="1"/>
        <v>LEVIN SCOTT</v>
      </c>
    </row>
    <row r="88" spans="1:7" x14ac:dyDescent="0.25">
      <c r="A88" s="8">
        <v>42717.404398148145</v>
      </c>
      <c r="B88" s="21" t="s">
        <v>468</v>
      </c>
      <c r="C88" s="21" t="s">
        <v>506</v>
      </c>
      <c r="D88" s="165">
        <v>1780000</v>
      </c>
      <c r="E88" s="21" t="s">
        <v>297</v>
      </c>
      <c r="F88" s="21" t="s">
        <v>298</v>
      </c>
      <c r="G88" s="8" t="str">
        <f t="shared" si="1"/>
        <v>DE LA ROSA ALEX</v>
      </c>
    </row>
    <row r="89" spans="1:7" x14ac:dyDescent="0.25">
      <c r="A89" s="8">
        <v>42717.410243055558</v>
      </c>
      <c r="B89" s="21" t="s">
        <v>155</v>
      </c>
      <c r="C89" s="21" t="s">
        <v>420</v>
      </c>
      <c r="D89" s="165">
        <v>2030000</v>
      </c>
      <c r="E89" s="21" t="s">
        <v>299</v>
      </c>
      <c r="F89" s="21" t="s">
        <v>268</v>
      </c>
      <c r="G89" s="8" t="str">
        <f t="shared" si="1"/>
        <v>KILLION DAVID</v>
      </c>
    </row>
    <row r="90" spans="1:7" x14ac:dyDescent="0.25">
      <c r="A90" s="8">
        <v>42717.410266203704</v>
      </c>
      <c r="B90" s="21" t="s">
        <v>260</v>
      </c>
      <c r="C90" s="21" t="s">
        <v>419</v>
      </c>
      <c r="D90" s="165">
        <v>2150000</v>
      </c>
      <c r="E90" s="21" t="s">
        <v>498</v>
      </c>
      <c r="F90" s="21" t="s">
        <v>499</v>
      </c>
      <c r="G90" s="8" t="str">
        <f t="shared" si="1"/>
        <v>SWANSON BRYCE</v>
      </c>
    </row>
    <row r="91" spans="1:7" x14ac:dyDescent="0.25">
      <c r="A91" s="8">
        <v>42717.419537037036</v>
      </c>
      <c r="B91" s="21" t="s">
        <v>253</v>
      </c>
      <c r="C91" s="21" t="s">
        <v>421</v>
      </c>
      <c r="D91" s="165">
        <v>1090000</v>
      </c>
      <c r="E91" s="21" t="s">
        <v>455</v>
      </c>
      <c r="F91" s="21" t="s">
        <v>292</v>
      </c>
      <c r="G91" s="8" t="str">
        <f t="shared" si="1"/>
        <v>SPECTOR MICHAEL</v>
      </c>
    </row>
    <row r="92" spans="1:7" x14ac:dyDescent="0.25">
      <c r="A92" s="8">
        <v>42717.422106481485</v>
      </c>
      <c r="B92" s="21" t="s">
        <v>263</v>
      </c>
      <c r="C92" s="21" t="s">
        <v>419</v>
      </c>
      <c r="D92" s="165">
        <v>2150000</v>
      </c>
      <c r="E92" s="21" t="s">
        <v>498</v>
      </c>
      <c r="F92" s="21" t="s">
        <v>499</v>
      </c>
      <c r="G92" s="8" t="str">
        <f t="shared" si="1"/>
        <v>SWANSON BRYCE</v>
      </c>
    </row>
    <row r="93" spans="1:7" x14ac:dyDescent="0.25">
      <c r="A93" s="8">
        <v>42717.429282407407</v>
      </c>
      <c r="B93" s="21" t="s">
        <v>208</v>
      </c>
      <c r="C93" s="21" t="s">
        <v>507</v>
      </c>
      <c r="D93" s="165">
        <v>1300000</v>
      </c>
      <c r="E93" s="21" t="s">
        <v>113</v>
      </c>
      <c r="F93" s="21" t="s">
        <v>465</v>
      </c>
      <c r="G93" s="8" t="str">
        <f t="shared" si="1"/>
        <v>LEVIN SCOTT</v>
      </c>
    </row>
    <row r="94" spans="1:7" x14ac:dyDescent="0.25">
      <c r="A94" s="8">
        <v>42717.431134259263</v>
      </c>
      <c r="B94" s="21" t="s">
        <v>212</v>
      </c>
      <c r="C94" s="21" t="s">
        <v>508</v>
      </c>
      <c r="D94" s="165">
        <v>2600000</v>
      </c>
      <c r="E94" s="21" t="s">
        <v>240</v>
      </c>
      <c r="F94" s="21" t="s">
        <v>268</v>
      </c>
      <c r="G94" s="8" t="str">
        <f t="shared" si="1"/>
        <v>DAVIDSON DAVID</v>
      </c>
    </row>
    <row r="95" spans="1:7" x14ac:dyDescent="0.25">
      <c r="A95" s="8">
        <v>42717.432326388887</v>
      </c>
      <c r="B95" s="21" t="s">
        <v>238</v>
      </c>
      <c r="C95" s="21" t="s">
        <v>509</v>
      </c>
      <c r="D95" s="165">
        <v>1110000</v>
      </c>
      <c r="E95" s="21" t="s">
        <v>327</v>
      </c>
      <c r="F95" s="21" t="s">
        <v>328</v>
      </c>
      <c r="G95" s="8" t="str">
        <f t="shared" si="1"/>
        <v>STARKS ANGELINA</v>
      </c>
    </row>
    <row r="96" spans="1:7" x14ac:dyDescent="0.25">
      <c r="A96" s="8">
        <v>42717.432372685187</v>
      </c>
      <c r="B96" s="21" t="s">
        <v>260</v>
      </c>
      <c r="C96" s="21" t="s">
        <v>419</v>
      </c>
      <c r="D96" s="165">
        <v>2150000</v>
      </c>
      <c r="E96" s="21" t="s">
        <v>498</v>
      </c>
      <c r="F96" s="21" t="s">
        <v>499</v>
      </c>
      <c r="G96" s="8" t="str">
        <f t="shared" si="1"/>
        <v>SWANSON BRYCE</v>
      </c>
    </row>
    <row r="97" spans="1:7" x14ac:dyDescent="0.25">
      <c r="A97" s="8">
        <v>42717.432789351849</v>
      </c>
      <c r="B97" s="21" t="s">
        <v>260</v>
      </c>
      <c r="C97" s="21" t="s">
        <v>419</v>
      </c>
      <c r="D97" s="165">
        <v>2150000</v>
      </c>
      <c r="E97" s="21" t="s">
        <v>498</v>
      </c>
      <c r="F97" s="21" t="s">
        <v>499</v>
      </c>
      <c r="G97" s="8" t="str">
        <f t="shared" si="1"/>
        <v>SWANSON BRYCE</v>
      </c>
    </row>
    <row r="98" spans="1:7" x14ac:dyDescent="0.25">
      <c r="A98" s="8">
        <v>42717.433634259258</v>
      </c>
      <c r="B98" s="21" t="s">
        <v>260</v>
      </c>
      <c r="C98" s="21" t="s">
        <v>419</v>
      </c>
      <c r="D98" s="165">
        <v>2150000</v>
      </c>
      <c r="E98" s="21" t="s">
        <v>498</v>
      </c>
      <c r="F98" s="21" t="s">
        <v>499</v>
      </c>
      <c r="G98" s="8" t="str">
        <f t="shared" si="1"/>
        <v>SWANSON BRYCE</v>
      </c>
    </row>
    <row r="99" spans="1:7" x14ac:dyDescent="0.25">
      <c r="A99" s="8">
        <v>42717.439988425926</v>
      </c>
      <c r="B99" s="21" t="s">
        <v>273</v>
      </c>
      <c r="C99" s="21" t="s">
        <v>424</v>
      </c>
      <c r="D99" s="165">
        <v>1260000</v>
      </c>
      <c r="E99" s="21" t="s">
        <v>325</v>
      </c>
      <c r="F99" s="21" t="s">
        <v>326</v>
      </c>
      <c r="G99" s="8" t="str">
        <f t="shared" si="1"/>
        <v>ACKERMAN JARED</v>
      </c>
    </row>
    <row r="100" spans="1:7" x14ac:dyDescent="0.25">
      <c r="A100" s="8">
        <v>42717.441608796296</v>
      </c>
      <c r="B100" s="21" t="s">
        <v>405</v>
      </c>
      <c r="C100" s="21" t="s">
        <v>510</v>
      </c>
      <c r="D100" s="165">
        <v>1780000</v>
      </c>
      <c r="E100" s="21" t="s">
        <v>297</v>
      </c>
      <c r="F100" s="21" t="s">
        <v>298</v>
      </c>
      <c r="G100" s="8" t="str">
        <f t="shared" si="1"/>
        <v>DE LA ROSA ALEX</v>
      </c>
    </row>
    <row r="101" spans="1:7" x14ac:dyDescent="0.25">
      <c r="A101" s="8">
        <v>42717.443460648145</v>
      </c>
      <c r="B101" s="21" t="s">
        <v>209</v>
      </c>
      <c r="C101" s="21" t="s">
        <v>511</v>
      </c>
      <c r="D101" s="165">
        <v>1300000</v>
      </c>
      <c r="E101" s="21" t="s">
        <v>113</v>
      </c>
      <c r="F101" s="21" t="s">
        <v>465</v>
      </c>
      <c r="G101" s="8" t="str">
        <f t="shared" si="1"/>
        <v>LEVIN SCOTT</v>
      </c>
    </row>
    <row r="102" spans="1:7" x14ac:dyDescent="0.25">
      <c r="A102" s="8">
        <v>42717.443796296298</v>
      </c>
      <c r="B102" s="21" t="s">
        <v>422</v>
      </c>
      <c r="C102" s="21" t="s">
        <v>423</v>
      </c>
      <c r="D102" s="165">
        <v>2090000</v>
      </c>
      <c r="E102" s="21" t="s">
        <v>512</v>
      </c>
      <c r="F102" s="21" t="s">
        <v>292</v>
      </c>
      <c r="G102" s="8" t="str">
        <f t="shared" si="1"/>
        <v>HAITHCOX MICHAEL</v>
      </c>
    </row>
    <row r="103" spans="1:7" x14ac:dyDescent="0.25">
      <c r="A103" s="8">
        <v>42717.444027777776</v>
      </c>
      <c r="B103" s="21" t="s">
        <v>184</v>
      </c>
      <c r="C103" s="21" t="s">
        <v>513</v>
      </c>
      <c r="D103" s="165">
        <v>920000</v>
      </c>
      <c r="E103" s="21" t="s">
        <v>293</v>
      </c>
      <c r="F103" s="21" t="s">
        <v>292</v>
      </c>
      <c r="G103" s="8" t="str">
        <f t="shared" si="1"/>
        <v>DAVIS MICHAEL</v>
      </c>
    </row>
    <row r="104" spans="1:7" x14ac:dyDescent="0.25">
      <c r="A104" s="8">
        <v>42717.447268518517</v>
      </c>
      <c r="B104" s="21" t="s">
        <v>253</v>
      </c>
      <c r="C104" s="21" t="s">
        <v>421</v>
      </c>
      <c r="D104" s="165">
        <v>1090000</v>
      </c>
      <c r="E104" s="21" t="s">
        <v>455</v>
      </c>
      <c r="F104" s="21" t="s">
        <v>292</v>
      </c>
      <c r="G104" s="8" t="str">
        <f t="shared" si="1"/>
        <v>SPECTOR MICHAEL</v>
      </c>
    </row>
    <row r="105" spans="1:7" x14ac:dyDescent="0.25">
      <c r="A105" s="8">
        <v>42717.45516203704</v>
      </c>
      <c r="B105" s="21" t="s">
        <v>154</v>
      </c>
      <c r="C105" s="21" t="s">
        <v>514</v>
      </c>
      <c r="D105" s="165">
        <v>1280000</v>
      </c>
      <c r="E105" s="21" t="s">
        <v>300</v>
      </c>
      <c r="F105" s="21" t="s">
        <v>301</v>
      </c>
      <c r="G105" s="8" t="str">
        <f t="shared" si="1"/>
        <v>BARTLETT KIANDRA</v>
      </c>
    </row>
    <row r="106" spans="1:7" x14ac:dyDescent="0.25">
      <c r="A106" s="8">
        <v>42717.455775462964</v>
      </c>
      <c r="B106" s="21" t="s">
        <v>263</v>
      </c>
      <c r="C106" s="21" t="s">
        <v>419</v>
      </c>
      <c r="D106" s="165">
        <v>2150000</v>
      </c>
      <c r="E106" s="21" t="s">
        <v>498</v>
      </c>
      <c r="F106" s="21" t="s">
        <v>499</v>
      </c>
      <c r="G106" s="8" t="str">
        <f t="shared" si="1"/>
        <v>SWANSON BRYCE</v>
      </c>
    </row>
    <row r="107" spans="1:7" x14ac:dyDescent="0.25">
      <c r="A107" s="8">
        <v>42717.465277777781</v>
      </c>
      <c r="B107" s="21" t="s">
        <v>281</v>
      </c>
      <c r="C107" s="21" t="s">
        <v>515</v>
      </c>
      <c r="D107" s="165">
        <v>1090000</v>
      </c>
      <c r="E107" s="21" t="s">
        <v>455</v>
      </c>
      <c r="F107" s="21" t="s">
        <v>292</v>
      </c>
      <c r="G107" s="8" t="str">
        <f t="shared" si="1"/>
        <v>SPECTOR MICHAEL</v>
      </c>
    </row>
    <row r="108" spans="1:7" x14ac:dyDescent="0.25">
      <c r="A108" s="8">
        <v>42717.466990740744</v>
      </c>
      <c r="B108" s="21" t="s">
        <v>260</v>
      </c>
      <c r="C108" s="21" t="s">
        <v>419</v>
      </c>
      <c r="D108" s="165">
        <v>2150000</v>
      </c>
      <c r="E108" s="21" t="s">
        <v>498</v>
      </c>
      <c r="F108" s="21" t="s">
        <v>499</v>
      </c>
      <c r="G108" s="8" t="str">
        <f t="shared" si="1"/>
        <v>SWANSON BRYCE</v>
      </c>
    </row>
    <row r="109" spans="1:7" x14ac:dyDescent="0.25">
      <c r="A109" s="8">
        <v>42717.469953703701</v>
      </c>
      <c r="B109" s="21" t="s">
        <v>206</v>
      </c>
      <c r="C109" s="21" t="s">
        <v>516</v>
      </c>
      <c r="D109" s="165">
        <v>2220000</v>
      </c>
      <c r="E109" s="21" t="s">
        <v>517</v>
      </c>
      <c r="F109" s="21" t="s">
        <v>518</v>
      </c>
      <c r="G109" s="8" t="str">
        <f t="shared" si="1"/>
        <v>HILLS DUSTIN</v>
      </c>
    </row>
    <row r="110" spans="1:7" x14ac:dyDescent="0.25">
      <c r="A110" s="8">
        <v>42717.470370370371</v>
      </c>
      <c r="B110" s="21" t="s">
        <v>208</v>
      </c>
      <c r="C110" s="21" t="s">
        <v>519</v>
      </c>
      <c r="D110" s="165">
        <v>1300000</v>
      </c>
      <c r="E110" s="21" t="s">
        <v>113</v>
      </c>
      <c r="F110" s="21" t="s">
        <v>465</v>
      </c>
      <c r="G110" s="8" t="str">
        <f t="shared" si="1"/>
        <v>LEVIN SCOTT</v>
      </c>
    </row>
    <row r="111" spans="1:7" x14ac:dyDescent="0.25">
      <c r="A111" s="8">
        <v>42717.470960648148</v>
      </c>
      <c r="B111" s="21" t="s">
        <v>520</v>
      </c>
      <c r="C111" s="21" t="s">
        <v>521</v>
      </c>
      <c r="D111" s="165">
        <v>1340000</v>
      </c>
      <c r="E111" s="21" t="s">
        <v>450</v>
      </c>
      <c r="F111" s="21" t="s">
        <v>451</v>
      </c>
      <c r="G111" s="8" t="str">
        <f t="shared" si="1"/>
        <v>BEAM ROSS</v>
      </c>
    </row>
    <row r="112" spans="1:7" x14ac:dyDescent="0.25">
      <c r="A112" s="8">
        <v>42717.470960648148</v>
      </c>
      <c r="B112" s="21" t="s">
        <v>206</v>
      </c>
      <c r="C112" s="21" t="s">
        <v>516</v>
      </c>
      <c r="D112" s="165">
        <v>2220000</v>
      </c>
      <c r="E112" s="21" t="s">
        <v>517</v>
      </c>
      <c r="F112" s="21" t="s">
        <v>518</v>
      </c>
      <c r="G112" s="8" t="str">
        <f t="shared" si="1"/>
        <v>HILLS DUSTIN</v>
      </c>
    </row>
    <row r="113" spans="1:7" x14ac:dyDescent="0.25">
      <c r="A113" s="8">
        <v>42717.471585648149</v>
      </c>
      <c r="B113" s="21" t="s">
        <v>206</v>
      </c>
      <c r="C113" s="21" t="s">
        <v>516</v>
      </c>
      <c r="D113" s="165">
        <v>2220000</v>
      </c>
      <c r="E113" s="21" t="s">
        <v>517</v>
      </c>
      <c r="F113" s="21" t="s">
        <v>518</v>
      </c>
      <c r="G113" s="8" t="str">
        <f t="shared" si="1"/>
        <v>HILLS DUSTIN</v>
      </c>
    </row>
    <row r="114" spans="1:7" x14ac:dyDescent="0.25">
      <c r="A114" s="8">
        <v>42717.472569444442</v>
      </c>
      <c r="B114" s="21" t="s">
        <v>206</v>
      </c>
      <c r="C114" s="21" t="s">
        <v>516</v>
      </c>
      <c r="D114" s="165">
        <v>2220000</v>
      </c>
      <c r="E114" s="21" t="s">
        <v>517</v>
      </c>
      <c r="F114" s="21" t="s">
        <v>518</v>
      </c>
      <c r="G114" s="8" t="str">
        <f t="shared" si="1"/>
        <v>HILLS DUSTIN</v>
      </c>
    </row>
    <row r="115" spans="1:7" x14ac:dyDescent="0.25">
      <c r="A115" s="8">
        <v>42717.475381944445</v>
      </c>
      <c r="B115" s="21" t="s">
        <v>274</v>
      </c>
      <c r="C115" s="21" t="s">
        <v>522</v>
      </c>
      <c r="D115" s="165">
        <v>1540000</v>
      </c>
      <c r="E115" s="21" t="s">
        <v>523</v>
      </c>
      <c r="F115" s="21" t="s">
        <v>524</v>
      </c>
      <c r="G115" s="8" t="str">
        <f t="shared" si="1"/>
        <v>HELVIE ADAM</v>
      </c>
    </row>
    <row r="116" spans="1:7" x14ac:dyDescent="0.25">
      <c r="A116" s="8">
        <v>42717.475902777776</v>
      </c>
      <c r="B116" s="21" t="s">
        <v>239</v>
      </c>
      <c r="C116" s="21" t="s">
        <v>525</v>
      </c>
      <c r="D116" s="165">
        <v>1110000</v>
      </c>
      <c r="E116" s="21" t="s">
        <v>327</v>
      </c>
      <c r="F116" s="21" t="s">
        <v>328</v>
      </c>
      <c r="G116" s="8" t="str">
        <f t="shared" si="1"/>
        <v>STARKS ANGELINA</v>
      </c>
    </row>
    <row r="117" spans="1:7" x14ac:dyDescent="0.25">
      <c r="A117" s="8">
        <v>42717.476539351854</v>
      </c>
      <c r="B117" s="21" t="s">
        <v>274</v>
      </c>
      <c r="C117" s="21" t="s">
        <v>522</v>
      </c>
      <c r="D117" s="165">
        <v>1540000</v>
      </c>
      <c r="E117" s="21" t="s">
        <v>523</v>
      </c>
      <c r="F117" s="21" t="s">
        <v>524</v>
      </c>
      <c r="G117" s="8" t="str">
        <f t="shared" si="1"/>
        <v>HELVIE ADAM</v>
      </c>
    </row>
    <row r="118" spans="1:7" x14ac:dyDescent="0.25">
      <c r="A118" s="8">
        <v>42717.481238425928</v>
      </c>
      <c r="B118" s="21" t="s">
        <v>347</v>
      </c>
      <c r="C118" s="21" t="s">
        <v>426</v>
      </c>
      <c r="D118" s="165">
        <v>1140000</v>
      </c>
      <c r="E118" s="21" t="s">
        <v>354</v>
      </c>
      <c r="F118" s="21" t="s">
        <v>355</v>
      </c>
      <c r="G118" s="8" t="str">
        <f t="shared" si="1"/>
        <v>YOUNG ELIZABETH</v>
      </c>
    </row>
    <row r="119" spans="1:7" x14ac:dyDescent="0.25">
      <c r="A119" s="8">
        <v>42717.481365740743</v>
      </c>
      <c r="B119" s="21" t="s">
        <v>264</v>
      </c>
      <c r="C119" s="21" t="s">
        <v>526</v>
      </c>
      <c r="D119" s="165">
        <v>920000</v>
      </c>
      <c r="E119" s="21" t="s">
        <v>293</v>
      </c>
      <c r="F119" s="21" t="s">
        <v>292</v>
      </c>
      <c r="G119" s="8" t="str">
        <f t="shared" si="1"/>
        <v>DAVIS MICHAEL</v>
      </c>
    </row>
    <row r="120" spans="1:7" x14ac:dyDescent="0.25">
      <c r="A120" s="8">
        <v>42717.483518518522</v>
      </c>
      <c r="B120" s="21" t="s">
        <v>209</v>
      </c>
      <c r="C120" s="21" t="s">
        <v>425</v>
      </c>
      <c r="D120" s="165">
        <v>1300000</v>
      </c>
      <c r="E120" s="21" t="s">
        <v>113</v>
      </c>
      <c r="F120" s="21" t="s">
        <v>465</v>
      </c>
      <c r="G120" s="8" t="str">
        <f t="shared" si="1"/>
        <v>LEVIN SCOTT</v>
      </c>
    </row>
    <row r="121" spans="1:7" x14ac:dyDescent="0.25">
      <c r="A121" s="8">
        <v>42717.485694444447</v>
      </c>
      <c r="B121" s="21" t="s">
        <v>468</v>
      </c>
      <c r="C121" s="21" t="s">
        <v>527</v>
      </c>
      <c r="D121" s="165">
        <v>940000</v>
      </c>
      <c r="E121" s="21" t="s">
        <v>350</v>
      </c>
      <c r="F121" s="21" t="s">
        <v>351</v>
      </c>
      <c r="G121" s="8" t="str">
        <f t="shared" si="1"/>
        <v>BONDS REYNALDO</v>
      </c>
    </row>
    <row r="122" spans="1:7" x14ac:dyDescent="0.25">
      <c r="A122" s="8">
        <v>42717.488437499997</v>
      </c>
      <c r="B122" s="26" t="s">
        <v>155</v>
      </c>
      <c r="C122" s="21" t="s">
        <v>427</v>
      </c>
      <c r="D122" s="165">
        <v>1280000</v>
      </c>
      <c r="E122" s="21" t="s">
        <v>300</v>
      </c>
      <c r="F122" s="21" t="s">
        <v>301</v>
      </c>
      <c r="G122" s="8" t="str">
        <f t="shared" si="1"/>
        <v>BARTLETT KIANDRA</v>
      </c>
    </row>
    <row r="123" spans="1:7" x14ac:dyDescent="0.25">
      <c r="A123" s="8">
        <v>42717.500011574077</v>
      </c>
      <c r="B123" s="21" t="s">
        <v>253</v>
      </c>
      <c r="C123" s="21" t="s">
        <v>528</v>
      </c>
      <c r="D123" s="165">
        <v>1140000</v>
      </c>
      <c r="E123" s="21" t="s">
        <v>354</v>
      </c>
      <c r="F123" s="21" t="s">
        <v>355</v>
      </c>
      <c r="G123" s="8" t="str">
        <f t="shared" si="1"/>
        <v>YOUNG ELIZABETH</v>
      </c>
    </row>
    <row r="124" spans="1:7" x14ac:dyDescent="0.25">
      <c r="A124" s="8">
        <v>42717.506793981483</v>
      </c>
      <c r="B124" s="21" t="s">
        <v>212</v>
      </c>
      <c r="C124" s="21" t="s">
        <v>529</v>
      </c>
      <c r="D124" s="165">
        <v>2220000</v>
      </c>
      <c r="E124" s="21" t="s">
        <v>517</v>
      </c>
      <c r="F124" s="21" t="s">
        <v>518</v>
      </c>
      <c r="G124" s="8" t="str">
        <f t="shared" si="1"/>
        <v>HILLS DUSTIN</v>
      </c>
    </row>
    <row r="125" spans="1:7" x14ac:dyDescent="0.25">
      <c r="A125" s="8">
        <v>42717.509930555556</v>
      </c>
      <c r="B125" s="21" t="s">
        <v>238</v>
      </c>
      <c r="C125" s="21" t="s">
        <v>429</v>
      </c>
      <c r="D125" s="165">
        <v>930000</v>
      </c>
      <c r="E125" s="21" t="s">
        <v>352</v>
      </c>
      <c r="F125" s="21" t="s">
        <v>353</v>
      </c>
      <c r="G125" s="8" t="str">
        <f t="shared" si="1"/>
        <v>CLARK KATHLEEN</v>
      </c>
    </row>
    <row r="126" spans="1:7" x14ac:dyDescent="0.25">
      <c r="A126" s="8">
        <v>42717.511423611111</v>
      </c>
      <c r="B126" s="21" t="s">
        <v>208</v>
      </c>
      <c r="C126" s="21" t="s">
        <v>530</v>
      </c>
      <c r="D126" s="165">
        <v>1300000</v>
      </c>
      <c r="E126" s="21" t="s">
        <v>113</v>
      </c>
      <c r="F126" s="21" t="s">
        <v>465</v>
      </c>
      <c r="G126" s="8" t="str">
        <f t="shared" si="1"/>
        <v>LEVIN SCOTT</v>
      </c>
    </row>
    <row r="127" spans="1:7" x14ac:dyDescent="0.25">
      <c r="A127" s="8">
        <v>42717.512280092589</v>
      </c>
      <c r="B127" s="21" t="s">
        <v>263</v>
      </c>
      <c r="C127" s="21" t="s">
        <v>419</v>
      </c>
      <c r="D127" s="165">
        <v>2150000</v>
      </c>
      <c r="E127" s="21" t="s">
        <v>498</v>
      </c>
      <c r="F127" s="21" t="s">
        <v>499</v>
      </c>
      <c r="G127" s="8" t="str">
        <f t="shared" si="1"/>
        <v>SWANSON BRYCE</v>
      </c>
    </row>
    <row r="128" spans="1:7" x14ac:dyDescent="0.25">
      <c r="A128" s="8">
        <v>42717.515775462962</v>
      </c>
      <c r="B128" s="21" t="s">
        <v>273</v>
      </c>
      <c r="C128" s="21" t="s">
        <v>531</v>
      </c>
      <c r="D128" s="165">
        <v>1540000</v>
      </c>
      <c r="E128" s="21" t="s">
        <v>523</v>
      </c>
      <c r="F128" s="21" t="s">
        <v>524</v>
      </c>
      <c r="G128" s="8" t="str">
        <f t="shared" si="1"/>
        <v>HELVIE ADAM</v>
      </c>
    </row>
    <row r="129" spans="1:7" x14ac:dyDescent="0.25">
      <c r="A129" s="8">
        <v>42717.520543981482</v>
      </c>
      <c r="B129" s="21" t="s">
        <v>155</v>
      </c>
      <c r="C129" s="21" t="s">
        <v>427</v>
      </c>
      <c r="D129" s="165">
        <v>1280000</v>
      </c>
      <c r="E129" s="21" t="s">
        <v>300</v>
      </c>
      <c r="F129" s="21" t="s">
        <v>301</v>
      </c>
      <c r="G129" s="8" t="str">
        <f t="shared" si="1"/>
        <v>BARTLETT KIANDRA</v>
      </c>
    </row>
    <row r="130" spans="1:7" x14ac:dyDescent="0.25">
      <c r="A130" s="8">
        <v>42717.520949074074</v>
      </c>
      <c r="B130" s="21" t="s">
        <v>405</v>
      </c>
      <c r="C130" s="21" t="s">
        <v>532</v>
      </c>
      <c r="D130" s="165">
        <v>940000</v>
      </c>
      <c r="E130" s="21" t="s">
        <v>350</v>
      </c>
      <c r="F130" s="21" t="s">
        <v>351</v>
      </c>
      <c r="G130" s="8" t="str">
        <f t="shared" si="1"/>
        <v>BONDS REYNALDO</v>
      </c>
    </row>
    <row r="131" spans="1:7" x14ac:dyDescent="0.25">
      <c r="A131" s="8">
        <v>42717.521585648145</v>
      </c>
      <c r="B131" s="21" t="s">
        <v>155</v>
      </c>
      <c r="C131" s="21" t="s">
        <v>427</v>
      </c>
      <c r="D131" s="165">
        <v>1280000</v>
      </c>
      <c r="E131" s="21" t="s">
        <v>300</v>
      </c>
      <c r="F131" s="21" t="s">
        <v>301</v>
      </c>
      <c r="G131" s="8" t="str">
        <f t="shared" ref="G131:G194" si="2">E131&amp;" "&amp;F131</f>
        <v>BARTLETT KIANDRA</v>
      </c>
    </row>
    <row r="132" spans="1:7" x14ac:dyDescent="0.25">
      <c r="A132" s="8">
        <v>42717.524224537039</v>
      </c>
      <c r="B132" s="21" t="s">
        <v>184</v>
      </c>
      <c r="C132" s="21" t="s">
        <v>533</v>
      </c>
      <c r="D132" s="165">
        <v>1740000</v>
      </c>
      <c r="E132" s="21" t="s">
        <v>534</v>
      </c>
      <c r="F132" s="21" t="s">
        <v>535</v>
      </c>
      <c r="G132" s="8" t="str">
        <f t="shared" si="2"/>
        <v>STORY SAMANTHA</v>
      </c>
    </row>
    <row r="133" spans="1:7" x14ac:dyDescent="0.25">
      <c r="A133" s="8">
        <v>42717.525636574072</v>
      </c>
      <c r="B133" s="21" t="s">
        <v>209</v>
      </c>
      <c r="C133" s="21" t="s">
        <v>428</v>
      </c>
      <c r="D133" s="165">
        <v>1300000</v>
      </c>
      <c r="E133" s="21" t="s">
        <v>113</v>
      </c>
      <c r="F133" s="21" t="s">
        <v>465</v>
      </c>
      <c r="G133" s="8" t="str">
        <f t="shared" si="2"/>
        <v>LEVIN SCOTT</v>
      </c>
    </row>
    <row r="134" spans="1:7" x14ac:dyDescent="0.25">
      <c r="A134" s="8">
        <v>42717.52584490741</v>
      </c>
      <c r="B134" s="21" t="s">
        <v>228</v>
      </c>
      <c r="C134" s="21" t="s">
        <v>536</v>
      </c>
      <c r="D134" s="165">
        <v>1090000</v>
      </c>
      <c r="E134" s="21" t="s">
        <v>455</v>
      </c>
      <c r="F134" s="21" t="s">
        <v>292</v>
      </c>
      <c r="G134" s="8" t="str">
        <f t="shared" si="2"/>
        <v>SPECTOR MICHAEL</v>
      </c>
    </row>
    <row r="135" spans="1:7" x14ac:dyDescent="0.25">
      <c r="A135" s="8">
        <v>42717.533773148149</v>
      </c>
      <c r="B135" s="21" t="s">
        <v>154</v>
      </c>
      <c r="C135" s="21" t="s">
        <v>537</v>
      </c>
      <c r="D135" s="165">
        <v>1280000</v>
      </c>
      <c r="E135" s="21" t="s">
        <v>300</v>
      </c>
      <c r="F135" s="21" t="s">
        <v>301</v>
      </c>
      <c r="G135" s="8" t="str">
        <f t="shared" si="2"/>
        <v>BARTLETT KIANDRA</v>
      </c>
    </row>
    <row r="136" spans="1:7" x14ac:dyDescent="0.25">
      <c r="A136" s="8">
        <v>42717.535370370373</v>
      </c>
      <c r="B136" s="21" t="s">
        <v>281</v>
      </c>
      <c r="C136" s="21" t="s">
        <v>538</v>
      </c>
      <c r="D136" s="165">
        <v>1140000</v>
      </c>
      <c r="E136" s="21" t="s">
        <v>354</v>
      </c>
      <c r="F136" s="21" t="s">
        <v>355</v>
      </c>
      <c r="G136" s="8" t="str">
        <f t="shared" si="2"/>
        <v>YOUNG ELIZABETH</v>
      </c>
    </row>
    <row r="137" spans="1:7" x14ac:dyDescent="0.25">
      <c r="A137" s="8">
        <v>42717.535462962966</v>
      </c>
      <c r="B137" s="21" t="s">
        <v>260</v>
      </c>
      <c r="C137" s="21" t="s">
        <v>419</v>
      </c>
      <c r="D137" s="165">
        <v>2150000</v>
      </c>
      <c r="E137" s="21" t="s">
        <v>498</v>
      </c>
      <c r="F137" s="21" t="s">
        <v>499</v>
      </c>
      <c r="G137" s="8" t="str">
        <f t="shared" si="2"/>
        <v>SWANSON BRYCE</v>
      </c>
    </row>
    <row r="138" spans="1:7" x14ac:dyDescent="0.25">
      <c r="A138" s="8">
        <v>42717.540370370371</v>
      </c>
      <c r="B138" s="21" t="s">
        <v>216</v>
      </c>
      <c r="C138" s="21" t="s">
        <v>539</v>
      </c>
      <c r="D138" s="165">
        <v>2220000</v>
      </c>
      <c r="E138" s="21" t="s">
        <v>517</v>
      </c>
      <c r="F138" s="21" t="s">
        <v>518</v>
      </c>
      <c r="G138" s="8" t="str">
        <f t="shared" si="2"/>
        <v>HILLS DUSTIN</v>
      </c>
    </row>
    <row r="139" spans="1:7" x14ac:dyDescent="0.25">
      <c r="A139" s="8">
        <v>42717.545104166667</v>
      </c>
      <c r="B139" s="21" t="s">
        <v>239</v>
      </c>
      <c r="C139" s="21" t="s">
        <v>540</v>
      </c>
      <c r="D139" s="165">
        <v>930000</v>
      </c>
      <c r="E139" s="21" t="s">
        <v>352</v>
      </c>
      <c r="F139" s="21" t="s">
        <v>353</v>
      </c>
      <c r="G139" s="8" t="str">
        <f t="shared" si="2"/>
        <v>CLARK KATHLEEN</v>
      </c>
    </row>
    <row r="140" spans="1:7" x14ac:dyDescent="0.25">
      <c r="A140" s="8">
        <v>42717.548842592594</v>
      </c>
      <c r="B140" s="21" t="s">
        <v>263</v>
      </c>
      <c r="C140" s="21" t="s">
        <v>419</v>
      </c>
      <c r="D140" s="165">
        <v>2150000</v>
      </c>
      <c r="E140" s="21" t="s">
        <v>498</v>
      </c>
      <c r="F140" s="21" t="s">
        <v>499</v>
      </c>
      <c r="G140" s="8" t="str">
        <f t="shared" si="2"/>
        <v>SWANSON BRYCE</v>
      </c>
    </row>
    <row r="141" spans="1:7" x14ac:dyDescent="0.25">
      <c r="A141" s="8">
        <v>42717.549467592595</v>
      </c>
      <c r="B141" s="21" t="s">
        <v>208</v>
      </c>
      <c r="C141" s="21" t="s">
        <v>541</v>
      </c>
      <c r="D141" s="165">
        <v>1770000</v>
      </c>
      <c r="E141" s="21" t="s">
        <v>302</v>
      </c>
      <c r="F141" s="21" t="s">
        <v>303</v>
      </c>
      <c r="G141" s="8" t="str">
        <f t="shared" si="2"/>
        <v>BRUDER RICHARD</v>
      </c>
    </row>
    <row r="142" spans="1:7" x14ac:dyDescent="0.25">
      <c r="A142" s="8">
        <v>42717.550497685188</v>
      </c>
      <c r="B142" s="21" t="s">
        <v>274</v>
      </c>
      <c r="C142" s="21" t="s">
        <v>542</v>
      </c>
      <c r="D142" s="165">
        <v>1540000</v>
      </c>
      <c r="E142" s="21" t="s">
        <v>523</v>
      </c>
      <c r="F142" s="21" t="s">
        <v>524</v>
      </c>
      <c r="G142" s="8" t="str">
        <f t="shared" si="2"/>
        <v>HELVIE ADAM</v>
      </c>
    </row>
    <row r="143" spans="1:7" x14ac:dyDescent="0.25">
      <c r="A143" s="8">
        <v>42717.556076388886</v>
      </c>
      <c r="B143" s="21" t="s">
        <v>264</v>
      </c>
      <c r="C143" s="21" t="s">
        <v>430</v>
      </c>
      <c r="D143" s="165">
        <v>1740000</v>
      </c>
      <c r="E143" s="21" t="s">
        <v>534</v>
      </c>
      <c r="F143" s="21" t="s">
        <v>535</v>
      </c>
      <c r="G143" s="8" t="str">
        <f t="shared" si="2"/>
        <v>STORY SAMANTHA</v>
      </c>
    </row>
    <row r="144" spans="1:7" x14ac:dyDescent="0.25">
      <c r="A144" s="8">
        <v>42717.561527777776</v>
      </c>
      <c r="B144" s="21" t="s">
        <v>468</v>
      </c>
      <c r="C144" s="21" t="s">
        <v>543</v>
      </c>
      <c r="D144" s="165">
        <v>940000</v>
      </c>
      <c r="E144" s="21" t="s">
        <v>350</v>
      </c>
      <c r="F144" s="21" t="s">
        <v>351</v>
      </c>
      <c r="G144" s="8" t="str">
        <f t="shared" si="2"/>
        <v>BONDS REYNALDO</v>
      </c>
    </row>
    <row r="145" spans="1:7" x14ac:dyDescent="0.25">
      <c r="A145" s="8">
        <v>42717.564641203702</v>
      </c>
      <c r="B145" s="21" t="s">
        <v>260</v>
      </c>
      <c r="C145" s="21" t="s">
        <v>419</v>
      </c>
      <c r="D145" s="165">
        <v>2150000</v>
      </c>
      <c r="E145" s="21" t="s">
        <v>498</v>
      </c>
      <c r="F145" s="21" t="s">
        <v>499</v>
      </c>
      <c r="G145" s="8" t="str">
        <f t="shared" si="2"/>
        <v>SWANSON BRYCE</v>
      </c>
    </row>
    <row r="146" spans="1:7" x14ac:dyDescent="0.25">
      <c r="A146" s="8">
        <v>42717.568437499998</v>
      </c>
      <c r="B146" s="21" t="s">
        <v>209</v>
      </c>
      <c r="C146" s="21" t="s">
        <v>544</v>
      </c>
      <c r="D146" s="165">
        <v>1770000</v>
      </c>
      <c r="E146" s="21" t="s">
        <v>302</v>
      </c>
      <c r="F146" s="21" t="s">
        <v>303</v>
      </c>
      <c r="G146" s="8" t="str">
        <f t="shared" si="2"/>
        <v>BRUDER RICHARD</v>
      </c>
    </row>
    <row r="147" spans="1:7" x14ac:dyDescent="0.25">
      <c r="A147" s="8">
        <v>42717.568831018521</v>
      </c>
      <c r="B147" s="21" t="s">
        <v>155</v>
      </c>
      <c r="C147" s="21" t="s">
        <v>545</v>
      </c>
      <c r="D147" s="165">
        <v>1280000</v>
      </c>
      <c r="E147" s="21" t="s">
        <v>300</v>
      </c>
      <c r="F147" s="21" t="s">
        <v>301</v>
      </c>
      <c r="G147" s="8" t="str">
        <f t="shared" si="2"/>
        <v>BARTLETT KIANDRA</v>
      </c>
    </row>
    <row r="148" spans="1:7" x14ac:dyDescent="0.25">
      <c r="A148" s="8">
        <v>42717.570613425924</v>
      </c>
      <c r="B148" s="21" t="s">
        <v>253</v>
      </c>
      <c r="C148" s="21" t="s">
        <v>431</v>
      </c>
      <c r="D148" s="165">
        <v>1140000</v>
      </c>
      <c r="E148" s="21" t="s">
        <v>354</v>
      </c>
      <c r="F148" s="21" t="s">
        <v>355</v>
      </c>
      <c r="G148" s="8" t="str">
        <f t="shared" si="2"/>
        <v>YOUNG ELIZABETH</v>
      </c>
    </row>
    <row r="149" spans="1:7" x14ac:dyDescent="0.25">
      <c r="A149" s="8">
        <v>42717.572187500002</v>
      </c>
      <c r="B149" s="21" t="s">
        <v>436</v>
      </c>
      <c r="C149" s="21" t="s">
        <v>546</v>
      </c>
      <c r="D149" s="165">
        <v>2220000</v>
      </c>
      <c r="E149" s="21" t="s">
        <v>517</v>
      </c>
      <c r="F149" s="21" t="s">
        <v>518</v>
      </c>
      <c r="G149" s="8" t="str">
        <f t="shared" si="2"/>
        <v>HILLS DUSTIN</v>
      </c>
    </row>
    <row r="150" spans="1:7" x14ac:dyDescent="0.25">
      <c r="A150" s="8">
        <v>42717.580601851849</v>
      </c>
      <c r="B150" s="21" t="s">
        <v>238</v>
      </c>
      <c r="C150" s="21" t="s">
        <v>547</v>
      </c>
      <c r="D150" s="165">
        <v>930000</v>
      </c>
      <c r="E150" s="21" t="s">
        <v>352</v>
      </c>
      <c r="F150" s="21" t="s">
        <v>353</v>
      </c>
      <c r="G150" s="8" t="str">
        <f t="shared" si="2"/>
        <v>CLARK KATHLEEN</v>
      </c>
    </row>
    <row r="151" spans="1:7" x14ac:dyDescent="0.25">
      <c r="A151" s="8">
        <v>42717.585370370369</v>
      </c>
      <c r="B151" s="21" t="s">
        <v>263</v>
      </c>
      <c r="C151" s="21" t="s">
        <v>419</v>
      </c>
      <c r="D151" s="165">
        <v>2150000</v>
      </c>
      <c r="E151" s="21" t="s">
        <v>498</v>
      </c>
      <c r="F151" s="21" t="s">
        <v>499</v>
      </c>
      <c r="G151" s="8" t="str">
        <f t="shared" si="2"/>
        <v>SWANSON BRYCE</v>
      </c>
    </row>
    <row r="152" spans="1:7" x14ac:dyDescent="0.25">
      <c r="A152" s="8">
        <v>42717.586377314816</v>
      </c>
      <c r="B152" s="21" t="s">
        <v>263</v>
      </c>
      <c r="C152" s="21" t="s">
        <v>419</v>
      </c>
      <c r="D152" s="165">
        <v>2150000</v>
      </c>
      <c r="E152" s="21" t="s">
        <v>498</v>
      </c>
      <c r="F152" s="21" t="s">
        <v>499</v>
      </c>
      <c r="G152" s="8" t="str">
        <f t="shared" si="2"/>
        <v>SWANSON BRYCE</v>
      </c>
    </row>
    <row r="153" spans="1:7" x14ac:dyDescent="0.25">
      <c r="A153" s="8">
        <v>42717.588645833333</v>
      </c>
      <c r="B153" s="21" t="s">
        <v>273</v>
      </c>
      <c r="C153" s="21" t="s">
        <v>432</v>
      </c>
      <c r="D153" s="165">
        <v>1540000</v>
      </c>
      <c r="E153" s="21" t="s">
        <v>523</v>
      </c>
      <c r="F153" s="21" t="s">
        <v>524</v>
      </c>
      <c r="G153" s="8" t="str">
        <f t="shared" si="2"/>
        <v>HELVIE ADAM</v>
      </c>
    </row>
    <row r="154" spans="1:7" x14ac:dyDescent="0.25">
      <c r="A154" s="8">
        <v>42717.591805555552</v>
      </c>
      <c r="B154" s="21" t="s">
        <v>184</v>
      </c>
      <c r="C154" s="21" t="s">
        <v>548</v>
      </c>
      <c r="D154" s="165">
        <v>1740000</v>
      </c>
      <c r="E154" s="21" t="s">
        <v>534</v>
      </c>
      <c r="F154" s="21" t="s">
        <v>535</v>
      </c>
      <c r="G154" s="8" t="str">
        <f t="shared" si="2"/>
        <v>STORY SAMANTHA</v>
      </c>
    </row>
    <row r="155" spans="1:7" x14ac:dyDescent="0.25">
      <c r="A155" s="8">
        <v>42717.592418981483</v>
      </c>
      <c r="B155" s="21" t="s">
        <v>405</v>
      </c>
      <c r="C155" s="21" t="s">
        <v>549</v>
      </c>
      <c r="D155" s="165">
        <v>940000</v>
      </c>
      <c r="E155" s="21" t="s">
        <v>350</v>
      </c>
      <c r="F155" s="21" t="s">
        <v>351</v>
      </c>
      <c r="G155" s="8" t="str">
        <f t="shared" si="2"/>
        <v>BONDS REYNALDO</v>
      </c>
    </row>
    <row r="156" spans="1:7" x14ac:dyDescent="0.25">
      <c r="A156" s="8">
        <v>42717.594814814816</v>
      </c>
      <c r="B156" s="21" t="s">
        <v>208</v>
      </c>
      <c r="C156" s="21" t="s">
        <v>550</v>
      </c>
      <c r="D156" s="165">
        <v>1770000</v>
      </c>
      <c r="E156" s="21" t="s">
        <v>302</v>
      </c>
      <c r="F156" s="21" t="s">
        <v>303</v>
      </c>
      <c r="G156" s="8" t="str">
        <f t="shared" si="2"/>
        <v>BRUDER RICHARD</v>
      </c>
    </row>
    <row r="157" spans="1:7" x14ac:dyDescent="0.25">
      <c r="A157" s="8">
        <v>42717.599826388891</v>
      </c>
      <c r="B157" s="21" t="s">
        <v>154</v>
      </c>
      <c r="C157" s="21" t="s">
        <v>551</v>
      </c>
      <c r="D157" s="165">
        <v>1280000</v>
      </c>
      <c r="E157" s="21" t="s">
        <v>300</v>
      </c>
      <c r="F157" s="21" t="s">
        <v>301</v>
      </c>
      <c r="G157" s="8" t="str">
        <f t="shared" si="2"/>
        <v>BARTLETT KIANDRA</v>
      </c>
    </row>
    <row r="158" spans="1:7" x14ac:dyDescent="0.25">
      <c r="A158" s="8">
        <v>42717.601724537039</v>
      </c>
      <c r="B158" s="21" t="s">
        <v>260</v>
      </c>
      <c r="C158" s="21" t="s">
        <v>419</v>
      </c>
      <c r="D158" s="165">
        <v>2150000</v>
      </c>
      <c r="E158" s="21" t="s">
        <v>498</v>
      </c>
      <c r="F158" s="21" t="s">
        <v>499</v>
      </c>
      <c r="G158" s="8" t="str">
        <f t="shared" si="2"/>
        <v>SWANSON BRYCE</v>
      </c>
    </row>
    <row r="159" spans="1:7" x14ac:dyDescent="0.25">
      <c r="A159" s="8">
        <v>42717.602407407408</v>
      </c>
      <c r="B159" s="21" t="s">
        <v>260</v>
      </c>
      <c r="C159" s="21" t="s">
        <v>419</v>
      </c>
      <c r="D159" s="165">
        <v>2150000</v>
      </c>
      <c r="E159" s="21" t="s">
        <v>498</v>
      </c>
      <c r="F159" s="21" t="s">
        <v>499</v>
      </c>
      <c r="G159" s="8" t="str">
        <f t="shared" si="2"/>
        <v>SWANSON BRYCE</v>
      </c>
    </row>
    <row r="160" spans="1:7" x14ac:dyDescent="0.25">
      <c r="A160" s="8">
        <v>42717.604988425926</v>
      </c>
      <c r="B160" s="21" t="s">
        <v>281</v>
      </c>
      <c r="C160" s="21" t="s">
        <v>433</v>
      </c>
      <c r="D160" s="165">
        <v>1140000</v>
      </c>
      <c r="E160" s="21" t="s">
        <v>354</v>
      </c>
      <c r="F160" s="21" t="s">
        <v>355</v>
      </c>
      <c r="G160" s="8" t="str">
        <f t="shared" si="2"/>
        <v>YOUNG ELIZABETH</v>
      </c>
    </row>
    <row r="161" spans="1:7" x14ac:dyDescent="0.25">
      <c r="A161" s="8">
        <v>42717.609548611108</v>
      </c>
      <c r="B161" s="21" t="s">
        <v>209</v>
      </c>
      <c r="C161" s="21" t="s">
        <v>552</v>
      </c>
      <c r="D161" s="165">
        <v>1770000</v>
      </c>
      <c r="E161" s="21" t="s">
        <v>302</v>
      </c>
      <c r="F161" s="21" t="s">
        <v>303</v>
      </c>
      <c r="G161" s="8" t="str">
        <f t="shared" si="2"/>
        <v>BRUDER RICHARD</v>
      </c>
    </row>
    <row r="162" spans="1:7" x14ac:dyDescent="0.25">
      <c r="A162" s="8">
        <v>42717.609710648147</v>
      </c>
      <c r="B162" s="21" t="s">
        <v>216</v>
      </c>
      <c r="C162" s="21" t="s">
        <v>553</v>
      </c>
      <c r="D162" s="165">
        <v>2220000</v>
      </c>
      <c r="E162" s="21" t="s">
        <v>517</v>
      </c>
      <c r="F162" s="21" t="s">
        <v>518</v>
      </c>
      <c r="G162" s="8" t="str">
        <f t="shared" si="2"/>
        <v>HILLS DUSTIN</v>
      </c>
    </row>
    <row r="163" spans="1:7" x14ac:dyDescent="0.25">
      <c r="A163" s="8">
        <v>42717.6174537037</v>
      </c>
      <c r="B163" s="21" t="s">
        <v>239</v>
      </c>
      <c r="C163" s="21" t="s">
        <v>554</v>
      </c>
      <c r="D163" s="165">
        <v>930000</v>
      </c>
      <c r="E163" s="21" t="s">
        <v>352</v>
      </c>
      <c r="F163" s="21" t="s">
        <v>353</v>
      </c>
      <c r="G163" s="8" t="str">
        <f t="shared" si="2"/>
        <v>CLARK KATHLEEN</v>
      </c>
    </row>
    <row r="164" spans="1:7" x14ac:dyDescent="0.25">
      <c r="A164" s="8">
        <v>42717.623993055553</v>
      </c>
      <c r="B164" s="21" t="s">
        <v>274</v>
      </c>
      <c r="C164" s="21" t="s">
        <v>434</v>
      </c>
      <c r="D164" s="165">
        <v>1540000</v>
      </c>
      <c r="E164" s="21" t="s">
        <v>523</v>
      </c>
      <c r="F164" s="21" t="s">
        <v>524</v>
      </c>
      <c r="G164" s="8" t="str">
        <f t="shared" si="2"/>
        <v>HELVIE ADAM</v>
      </c>
    </row>
    <row r="165" spans="1:7" x14ac:dyDescent="0.25">
      <c r="A165" s="8">
        <v>42717.626342592594</v>
      </c>
      <c r="B165" s="21" t="s">
        <v>264</v>
      </c>
      <c r="C165" s="21" t="s">
        <v>555</v>
      </c>
      <c r="D165" s="165">
        <v>1740000</v>
      </c>
      <c r="E165" s="21" t="s">
        <v>534</v>
      </c>
      <c r="F165" s="21" t="s">
        <v>535</v>
      </c>
      <c r="G165" s="8" t="str">
        <f t="shared" si="2"/>
        <v>STORY SAMANTHA</v>
      </c>
    </row>
    <row r="166" spans="1:7" x14ac:dyDescent="0.25">
      <c r="A166" s="8">
        <v>42717.631597222222</v>
      </c>
      <c r="B166" s="21" t="s">
        <v>468</v>
      </c>
      <c r="C166" s="21" t="s">
        <v>556</v>
      </c>
      <c r="D166" s="165">
        <v>940000</v>
      </c>
      <c r="E166" s="21" t="s">
        <v>350</v>
      </c>
      <c r="F166" s="21" t="s">
        <v>351</v>
      </c>
      <c r="G166" s="8" t="str">
        <f t="shared" si="2"/>
        <v>BONDS REYNALDO</v>
      </c>
    </row>
    <row r="167" spans="1:7" x14ac:dyDescent="0.25">
      <c r="A167" s="8">
        <v>42717.632557870369</v>
      </c>
      <c r="B167" s="21" t="s">
        <v>264</v>
      </c>
      <c r="C167" s="21" t="s">
        <v>555</v>
      </c>
      <c r="D167" s="165">
        <v>1740000</v>
      </c>
      <c r="E167" s="21" t="s">
        <v>534</v>
      </c>
      <c r="F167" s="21" t="s">
        <v>535</v>
      </c>
      <c r="G167" s="8" t="str">
        <f t="shared" si="2"/>
        <v>STORY SAMANTHA</v>
      </c>
    </row>
    <row r="168" spans="1:7" x14ac:dyDescent="0.25">
      <c r="A168" s="8">
        <v>42717.637083333335</v>
      </c>
      <c r="B168" s="21" t="s">
        <v>208</v>
      </c>
      <c r="C168" s="21" t="s">
        <v>557</v>
      </c>
      <c r="D168" s="165">
        <v>1770000</v>
      </c>
      <c r="E168" s="21" t="s">
        <v>302</v>
      </c>
      <c r="F168" s="21" t="s">
        <v>303</v>
      </c>
      <c r="G168" s="8" t="str">
        <f t="shared" si="2"/>
        <v>BRUDER RICHARD</v>
      </c>
    </row>
    <row r="169" spans="1:7" x14ac:dyDescent="0.25">
      <c r="A169" s="8">
        <v>42717.639189814814</v>
      </c>
      <c r="B169" s="21" t="s">
        <v>155</v>
      </c>
      <c r="C169" s="21" t="s">
        <v>435</v>
      </c>
      <c r="D169" s="165">
        <v>1280000</v>
      </c>
      <c r="E169" s="21" t="s">
        <v>300</v>
      </c>
      <c r="F169" s="21" t="s">
        <v>301</v>
      </c>
      <c r="G169" s="8" t="str">
        <f t="shared" si="2"/>
        <v>BARTLETT KIANDRA</v>
      </c>
    </row>
    <row r="170" spans="1:7" x14ac:dyDescent="0.25">
      <c r="A170" s="8">
        <v>42717.640902777777</v>
      </c>
      <c r="B170" s="21" t="s">
        <v>436</v>
      </c>
      <c r="C170" s="21" t="s">
        <v>437</v>
      </c>
      <c r="D170" s="165">
        <v>2220000</v>
      </c>
      <c r="E170" s="21" t="s">
        <v>517</v>
      </c>
      <c r="F170" s="21" t="s">
        <v>518</v>
      </c>
      <c r="G170" s="8" t="str">
        <f t="shared" si="2"/>
        <v>HILLS DUSTIN</v>
      </c>
    </row>
    <row r="171" spans="1:7" x14ac:dyDescent="0.25">
      <c r="A171" s="8">
        <v>42717.642870370371</v>
      </c>
      <c r="B171" s="21" t="s">
        <v>285</v>
      </c>
      <c r="C171" s="21" t="s">
        <v>558</v>
      </c>
      <c r="D171" s="165">
        <v>2000000</v>
      </c>
      <c r="E171" s="21" t="s">
        <v>211</v>
      </c>
      <c r="F171" s="21" t="s">
        <v>270</v>
      </c>
      <c r="G171" s="8" t="str">
        <f t="shared" si="2"/>
        <v>STAMBAUGH JAMES</v>
      </c>
    </row>
    <row r="172" spans="1:7" x14ac:dyDescent="0.25">
      <c r="A172" s="8">
        <v>42717.643171296295</v>
      </c>
      <c r="B172" s="21" t="s">
        <v>264</v>
      </c>
      <c r="C172" s="21" t="s">
        <v>555</v>
      </c>
      <c r="D172" s="165">
        <v>1740000</v>
      </c>
      <c r="E172" s="21" t="s">
        <v>534</v>
      </c>
      <c r="F172" s="21" t="s">
        <v>535</v>
      </c>
      <c r="G172" s="8" t="str">
        <f t="shared" si="2"/>
        <v>STORY SAMANTHA</v>
      </c>
    </row>
    <row r="173" spans="1:7" x14ac:dyDescent="0.25">
      <c r="A173" s="8">
        <v>42717.644328703704</v>
      </c>
      <c r="B173" s="21" t="s">
        <v>253</v>
      </c>
      <c r="C173" s="21" t="s">
        <v>438</v>
      </c>
      <c r="D173" s="165">
        <v>1140000</v>
      </c>
      <c r="E173" s="21" t="s">
        <v>354</v>
      </c>
      <c r="F173" s="21" t="s">
        <v>355</v>
      </c>
      <c r="G173" s="8" t="str">
        <f t="shared" si="2"/>
        <v>YOUNG ELIZABETH</v>
      </c>
    </row>
    <row r="174" spans="1:7" x14ac:dyDescent="0.25">
      <c r="A174" s="8">
        <v>42717.651342592595</v>
      </c>
      <c r="B174" s="21" t="s">
        <v>209</v>
      </c>
      <c r="C174" s="21" t="s">
        <v>559</v>
      </c>
      <c r="D174" s="165">
        <v>1770000</v>
      </c>
      <c r="E174" s="21" t="s">
        <v>302</v>
      </c>
      <c r="F174" s="21" t="s">
        <v>303</v>
      </c>
      <c r="G174" s="8" t="str">
        <f t="shared" si="2"/>
        <v>BRUDER RICHARD</v>
      </c>
    </row>
    <row r="175" spans="1:7" x14ac:dyDescent="0.25">
      <c r="A175" s="8">
        <v>42717.654687499999</v>
      </c>
      <c r="B175" s="21" t="s">
        <v>238</v>
      </c>
      <c r="C175" s="21" t="s">
        <v>560</v>
      </c>
      <c r="D175" s="165">
        <v>930000</v>
      </c>
      <c r="E175" s="21" t="s">
        <v>352</v>
      </c>
      <c r="F175" s="21" t="s">
        <v>353</v>
      </c>
      <c r="G175" s="8" t="str">
        <f t="shared" si="2"/>
        <v>CLARK KATHLEEN</v>
      </c>
    </row>
    <row r="176" spans="1:7" x14ac:dyDescent="0.25">
      <c r="A176" s="8">
        <v>42717.656724537039</v>
      </c>
      <c r="B176" s="21" t="s">
        <v>235</v>
      </c>
      <c r="C176" s="21" t="s">
        <v>561</v>
      </c>
      <c r="D176" s="165">
        <v>2000000</v>
      </c>
      <c r="E176" s="21" t="s">
        <v>211</v>
      </c>
      <c r="F176" s="21" t="s">
        <v>270</v>
      </c>
      <c r="G176" s="8" t="str">
        <f t="shared" si="2"/>
        <v>STAMBAUGH JAMES</v>
      </c>
    </row>
    <row r="177" spans="1:7" x14ac:dyDescent="0.25">
      <c r="A177" s="8">
        <v>42717.659571759257</v>
      </c>
      <c r="B177" s="21" t="s">
        <v>206</v>
      </c>
      <c r="C177" s="21" t="s">
        <v>562</v>
      </c>
      <c r="D177" s="165">
        <v>2090000</v>
      </c>
      <c r="E177" s="21" t="s">
        <v>512</v>
      </c>
      <c r="F177" s="21" t="s">
        <v>292</v>
      </c>
      <c r="G177" s="8" t="str">
        <f t="shared" si="2"/>
        <v>HAITHCOX MICHAEL</v>
      </c>
    </row>
    <row r="178" spans="1:7" x14ac:dyDescent="0.25">
      <c r="A178" s="8">
        <v>42717.661608796298</v>
      </c>
      <c r="B178" s="21" t="s">
        <v>273</v>
      </c>
      <c r="C178" s="21" t="s">
        <v>563</v>
      </c>
      <c r="D178" s="165">
        <v>1540000</v>
      </c>
      <c r="E178" s="21" t="s">
        <v>523</v>
      </c>
      <c r="F178" s="21" t="s">
        <v>524</v>
      </c>
      <c r="G178" s="8" t="str">
        <f t="shared" si="2"/>
        <v>HELVIE ADAM</v>
      </c>
    </row>
    <row r="179" spans="1:7" x14ac:dyDescent="0.25">
      <c r="A179" s="8">
        <v>42717.666539351849</v>
      </c>
      <c r="B179" s="21" t="s">
        <v>206</v>
      </c>
      <c r="C179" s="21" t="s">
        <v>562</v>
      </c>
      <c r="D179" s="165">
        <v>2090000</v>
      </c>
      <c r="E179" s="21" t="s">
        <v>512</v>
      </c>
      <c r="F179" s="21" t="s">
        <v>292</v>
      </c>
      <c r="G179" s="8" t="str">
        <f t="shared" si="2"/>
        <v>HAITHCOX MICHAEL</v>
      </c>
    </row>
    <row r="180" spans="1:7" x14ac:dyDescent="0.25">
      <c r="A180" s="8">
        <v>42717.669675925928</v>
      </c>
      <c r="B180" s="21" t="s">
        <v>405</v>
      </c>
      <c r="C180" s="21" t="s">
        <v>564</v>
      </c>
      <c r="D180" s="165">
        <v>940000</v>
      </c>
      <c r="E180" s="21" t="s">
        <v>350</v>
      </c>
      <c r="F180" s="21" t="s">
        <v>351</v>
      </c>
      <c r="G180" s="8" t="str">
        <f t="shared" si="2"/>
        <v>BONDS REYNALDO</v>
      </c>
    </row>
    <row r="181" spans="1:7" x14ac:dyDescent="0.25">
      <c r="A181" s="8">
        <v>42717.672060185185</v>
      </c>
      <c r="B181" s="21" t="s">
        <v>285</v>
      </c>
      <c r="C181" s="21" t="s">
        <v>565</v>
      </c>
      <c r="D181" s="165">
        <v>2000000</v>
      </c>
      <c r="E181" s="21" t="s">
        <v>211</v>
      </c>
      <c r="F181" s="21" t="s">
        <v>270</v>
      </c>
      <c r="G181" s="8" t="str">
        <f t="shared" si="2"/>
        <v>STAMBAUGH JAMES</v>
      </c>
    </row>
    <row r="182" spans="1:7" x14ac:dyDescent="0.25">
      <c r="A182" s="8">
        <v>42717.675115740742</v>
      </c>
      <c r="B182" s="21" t="s">
        <v>154</v>
      </c>
      <c r="C182" s="21" t="s">
        <v>566</v>
      </c>
      <c r="D182" s="165">
        <v>1280000</v>
      </c>
      <c r="E182" s="21" t="s">
        <v>300</v>
      </c>
      <c r="F182" s="21" t="s">
        <v>301</v>
      </c>
      <c r="G182" s="8" t="str">
        <f t="shared" si="2"/>
        <v>BARTLETT KIANDRA</v>
      </c>
    </row>
    <row r="183" spans="1:7" x14ac:dyDescent="0.25">
      <c r="A183" s="8">
        <v>42717.678090277775</v>
      </c>
      <c r="B183" s="21" t="s">
        <v>208</v>
      </c>
      <c r="C183" s="21" t="s">
        <v>567</v>
      </c>
      <c r="D183" s="165">
        <v>1770000</v>
      </c>
      <c r="E183" s="21" t="s">
        <v>302</v>
      </c>
      <c r="F183" s="21" t="s">
        <v>303</v>
      </c>
      <c r="G183" s="8" t="str">
        <f t="shared" si="2"/>
        <v>BRUDER RICHARD</v>
      </c>
    </row>
    <row r="184" spans="1:7" x14ac:dyDescent="0.25">
      <c r="A184" s="8">
        <v>42717.67864583333</v>
      </c>
      <c r="B184" s="21" t="s">
        <v>281</v>
      </c>
      <c r="C184" s="21" t="s">
        <v>568</v>
      </c>
      <c r="D184" s="165">
        <v>1140000</v>
      </c>
      <c r="E184" s="21" t="s">
        <v>354</v>
      </c>
      <c r="F184" s="21" t="s">
        <v>355</v>
      </c>
      <c r="G184" s="8" t="str">
        <f t="shared" si="2"/>
        <v>YOUNG ELIZABETH</v>
      </c>
    </row>
    <row r="185" spans="1:7" x14ac:dyDescent="0.25">
      <c r="A185" s="8">
        <v>42717.68650462963</v>
      </c>
      <c r="B185" s="21" t="s">
        <v>216</v>
      </c>
      <c r="C185" s="21" t="s">
        <v>439</v>
      </c>
      <c r="D185" s="165">
        <v>2220000</v>
      </c>
      <c r="E185" s="21" t="s">
        <v>517</v>
      </c>
      <c r="F185" s="21" t="s">
        <v>518</v>
      </c>
      <c r="G185" s="8" t="str">
        <f t="shared" si="2"/>
        <v>HILLS DUSTIN</v>
      </c>
    </row>
    <row r="186" spans="1:7" x14ac:dyDescent="0.25">
      <c r="A186" s="8">
        <v>42717.68986111111</v>
      </c>
      <c r="B186" s="21" t="s">
        <v>239</v>
      </c>
      <c r="C186" s="21" t="s">
        <v>569</v>
      </c>
      <c r="D186" s="165">
        <v>930000</v>
      </c>
      <c r="E186" s="21" t="s">
        <v>352</v>
      </c>
      <c r="F186" s="21" t="s">
        <v>353</v>
      </c>
      <c r="G186" s="8" t="str">
        <f t="shared" si="2"/>
        <v>CLARK KATHLEEN</v>
      </c>
    </row>
    <row r="187" spans="1:7" x14ac:dyDescent="0.25">
      <c r="A187" s="8">
        <v>42717.69672453704</v>
      </c>
      <c r="B187" s="21" t="s">
        <v>274</v>
      </c>
      <c r="C187" s="21" t="s">
        <v>570</v>
      </c>
      <c r="D187" s="165">
        <v>1540000</v>
      </c>
      <c r="E187" s="21" t="s">
        <v>523</v>
      </c>
      <c r="F187" s="21" t="s">
        <v>524</v>
      </c>
      <c r="G187" s="8" t="str">
        <f t="shared" si="2"/>
        <v>HELVIE ADAM</v>
      </c>
    </row>
    <row r="188" spans="1:7" x14ac:dyDescent="0.25">
      <c r="A188" s="8">
        <v>42717.702847222223</v>
      </c>
      <c r="B188" s="21" t="s">
        <v>212</v>
      </c>
      <c r="C188" s="21" t="s">
        <v>571</v>
      </c>
      <c r="D188" s="165">
        <v>2090000</v>
      </c>
      <c r="E188" s="21" t="s">
        <v>512</v>
      </c>
      <c r="F188" s="21" t="s">
        <v>292</v>
      </c>
      <c r="G188" s="8" t="str">
        <f t="shared" si="2"/>
        <v>HAITHCOX MICHAEL</v>
      </c>
    </row>
    <row r="189" spans="1:7" x14ac:dyDescent="0.25">
      <c r="A189" s="8">
        <v>42717.70590277778</v>
      </c>
      <c r="B189" s="21" t="s">
        <v>155</v>
      </c>
      <c r="C189" s="21" t="s">
        <v>572</v>
      </c>
      <c r="D189" s="165">
        <v>1280000</v>
      </c>
      <c r="E189" s="21" t="s">
        <v>300</v>
      </c>
      <c r="F189" s="21" t="s">
        <v>301</v>
      </c>
      <c r="G189" s="8" t="str">
        <f t="shared" si="2"/>
        <v>BARTLETT KIANDRA</v>
      </c>
    </row>
    <row r="190" spans="1:7" x14ac:dyDescent="0.25">
      <c r="A190" s="8">
        <v>42717.706157407411</v>
      </c>
      <c r="B190" s="21" t="s">
        <v>468</v>
      </c>
      <c r="C190" s="21" t="s">
        <v>573</v>
      </c>
      <c r="D190" s="165">
        <v>2250000</v>
      </c>
      <c r="E190" s="21" t="s">
        <v>356</v>
      </c>
      <c r="F190" s="21" t="s">
        <v>357</v>
      </c>
      <c r="G190" s="8" t="str">
        <f t="shared" si="2"/>
        <v>CRAYTON QUNTRELL</v>
      </c>
    </row>
    <row r="191" spans="1:7" x14ac:dyDescent="0.25">
      <c r="A191" s="8">
        <v>42717.715462962966</v>
      </c>
      <c r="B191" s="21" t="s">
        <v>235</v>
      </c>
      <c r="C191" s="21" t="s">
        <v>574</v>
      </c>
      <c r="D191" s="165">
        <v>2000000</v>
      </c>
      <c r="E191" s="21" t="s">
        <v>211</v>
      </c>
      <c r="F191" s="21" t="s">
        <v>270</v>
      </c>
      <c r="G191" s="8" t="str">
        <f t="shared" si="2"/>
        <v>STAMBAUGH JAMES</v>
      </c>
    </row>
    <row r="192" spans="1:7" x14ac:dyDescent="0.25">
      <c r="A192" s="8">
        <v>42717.718240740738</v>
      </c>
      <c r="B192" s="21" t="s">
        <v>209</v>
      </c>
      <c r="C192" s="21" t="s">
        <v>575</v>
      </c>
      <c r="D192" s="165">
        <v>1770000</v>
      </c>
      <c r="E192" s="21" t="s">
        <v>302</v>
      </c>
      <c r="F192" s="21" t="s">
        <v>303</v>
      </c>
      <c r="G192" s="8" t="str">
        <f t="shared" si="2"/>
        <v>BRUDER RICHARD</v>
      </c>
    </row>
    <row r="193" spans="1:7" x14ac:dyDescent="0.25">
      <c r="A193" s="8">
        <v>42717.718298611115</v>
      </c>
      <c r="B193" s="21" t="s">
        <v>436</v>
      </c>
      <c r="C193" s="21" t="s">
        <v>576</v>
      </c>
      <c r="D193" s="165">
        <v>2220000</v>
      </c>
      <c r="E193" s="21" t="s">
        <v>517</v>
      </c>
      <c r="F193" s="21" t="s">
        <v>518</v>
      </c>
      <c r="G193" s="8" t="str">
        <f t="shared" si="2"/>
        <v>HILLS DUSTIN</v>
      </c>
    </row>
    <row r="194" spans="1:7" x14ac:dyDescent="0.25">
      <c r="A194" s="8">
        <v>42717.719444444447</v>
      </c>
      <c r="B194" s="21" t="s">
        <v>253</v>
      </c>
      <c r="C194" s="21" t="s">
        <v>577</v>
      </c>
      <c r="D194" s="165">
        <v>1180000</v>
      </c>
      <c r="E194" s="21" t="s">
        <v>254</v>
      </c>
      <c r="F194" s="21" t="s">
        <v>269</v>
      </c>
      <c r="G194" s="8" t="str">
        <f t="shared" si="2"/>
        <v>LEVERE CRAIG</v>
      </c>
    </row>
    <row r="195" spans="1:7" x14ac:dyDescent="0.25">
      <c r="A195" s="8">
        <v>42717.728298611109</v>
      </c>
      <c r="B195" s="21" t="s">
        <v>238</v>
      </c>
      <c r="C195" s="21" t="s">
        <v>578</v>
      </c>
      <c r="D195" s="165">
        <v>1140000</v>
      </c>
      <c r="E195" s="21" t="s">
        <v>354</v>
      </c>
      <c r="F195" s="21" t="s">
        <v>355</v>
      </c>
      <c r="G195" s="8" t="str">
        <f t="shared" ref="G195:G258" si="3">E195&amp;" "&amp;F195</f>
        <v>YOUNG ELIZABETH</v>
      </c>
    </row>
    <row r="196" spans="1:7" x14ac:dyDescent="0.25">
      <c r="A196" s="8">
        <v>42717.735208333332</v>
      </c>
      <c r="B196" s="21" t="s">
        <v>285</v>
      </c>
      <c r="C196" s="21" t="s">
        <v>440</v>
      </c>
      <c r="D196" s="165">
        <v>2000000</v>
      </c>
      <c r="E196" s="21" t="s">
        <v>211</v>
      </c>
      <c r="F196" s="21" t="s">
        <v>270</v>
      </c>
      <c r="G196" s="8" t="str">
        <f t="shared" si="3"/>
        <v>STAMBAUGH JAMES</v>
      </c>
    </row>
    <row r="197" spans="1:7" x14ac:dyDescent="0.25">
      <c r="A197" s="8">
        <v>42717.735451388886</v>
      </c>
      <c r="B197" s="21" t="s">
        <v>273</v>
      </c>
      <c r="C197" s="21" t="s">
        <v>570</v>
      </c>
      <c r="D197" s="165">
        <v>1540000</v>
      </c>
      <c r="E197" s="21" t="s">
        <v>523</v>
      </c>
      <c r="F197" s="21" t="s">
        <v>524</v>
      </c>
      <c r="G197" s="8" t="str">
        <f t="shared" si="3"/>
        <v>HELVIE ADAM</v>
      </c>
    </row>
    <row r="198" spans="1:7" x14ac:dyDescent="0.25">
      <c r="A198" s="8">
        <v>42717.735949074071</v>
      </c>
      <c r="B198" s="21" t="s">
        <v>273</v>
      </c>
      <c r="C198" s="21" t="s">
        <v>579</v>
      </c>
      <c r="D198" s="165">
        <v>1540000</v>
      </c>
      <c r="E198" s="21" t="s">
        <v>523</v>
      </c>
      <c r="F198" s="21" t="s">
        <v>524</v>
      </c>
      <c r="G198" s="8" t="str">
        <f t="shared" si="3"/>
        <v>HELVIE ADAM</v>
      </c>
    </row>
    <row r="199" spans="1:7" x14ac:dyDescent="0.25">
      <c r="A199" s="8">
        <v>42717.737222222226</v>
      </c>
      <c r="B199" s="21" t="s">
        <v>208</v>
      </c>
      <c r="C199" s="21" t="s">
        <v>580</v>
      </c>
      <c r="D199" s="165">
        <v>1770000</v>
      </c>
      <c r="E199" s="21" t="s">
        <v>302</v>
      </c>
      <c r="F199" s="21" t="s">
        <v>303</v>
      </c>
      <c r="G199" s="8" t="str">
        <f t="shared" si="3"/>
        <v>BRUDER RICHARD</v>
      </c>
    </row>
    <row r="200" spans="1:7" x14ac:dyDescent="0.25">
      <c r="A200" s="8">
        <v>42717.739085648151</v>
      </c>
      <c r="B200" s="21" t="s">
        <v>206</v>
      </c>
      <c r="C200" s="21" t="s">
        <v>581</v>
      </c>
      <c r="D200" s="165">
        <v>1290000</v>
      </c>
      <c r="E200" s="21" t="s">
        <v>255</v>
      </c>
      <c r="F200" s="21" t="s">
        <v>266</v>
      </c>
      <c r="G200" s="8" t="str">
        <f t="shared" si="3"/>
        <v>COOLAHAN JOHN</v>
      </c>
    </row>
    <row r="201" spans="1:7" x14ac:dyDescent="0.25">
      <c r="A201" s="8">
        <v>42717.739270833335</v>
      </c>
      <c r="B201" s="21" t="s">
        <v>405</v>
      </c>
      <c r="C201" s="21" t="s">
        <v>582</v>
      </c>
      <c r="D201" s="165">
        <v>2250000</v>
      </c>
      <c r="E201" s="21" t="s">
        <v>356</v>
      </c>
      <c r="F201" s="21" t="s">
        <v>357</v>
      </c>
      <c r="G201" s="8" t="str">
        <f t="shared" si="3"/>
        <v>CRAYTON QUNTRELL</v>
      </c>
    </row>
    <row r="202" spans="1:7" x14ac:dyDescent="0.25">
      <c r="A202" s="27">
        <v>42717.744131944448</v>
      </c>
      <c r="B202" s="21" t="s">
        <v>184</v>
      </c>
      <c r="C202" s="21" t="s">
        <v>583</v>
      </c>
      <c r="D202" s="165">
        <v>2090000</v>
      </c>
      <c r="E202" s="21" t="s">
        <v>512</v>
      </c>
      <c r="F202" s="21" t="s">
        <v>292</v>
      </c>
      <c r="G202" s="8" t="str">
        <f t="shared" si="3"/>
        <v>HAITHCOX MICHAEL</v>
      </c>
    </row>
    <row r="203" spans="1:7" x14ac:dyDescent="0.25">
      <c r="A203" s="8">
        <v>42717.748784722222</v>
      </c>
      <c r="B203" s="21" t="s">
        <v>154</v>
      </c>
      <c r="C203" s="21" t="s">
        <v>584</v>
      </c>
      <c r="D203" s="165">
        <v>1740000</v>
      </c>
      <c r="E203" s="21" t="s">
        <v>534</v>
      </c>
      <c r="F203" s="21" t="s">
        <v>535</v>
      </c>
      <c r="G203" s="8" t="str">
        <f t="shared" si="3"/>
        <v>STORY SAMANTHA</v>
      </c>
    </row>
    <row r="204" spans="1:7" x14ac:dyDescent="0.25">
      <c r="A204" s="8">
        <v>42717.752615740741</v>
      </c>
      <c r="B204" s="21" t="s">
        <v>281</v>
      </c>
      <c r="C204" s="21" t="s">
        <v>585</v>
      </c>
      <c r="D204" s="165">
        <v>1180000</v>
      </c>
      <c r="E204" s="21" t="s">
        <v>254</v>
      </c>
      <c r="F204" s="21" t="s">
        <v>269</v>
      </c>
      <c r="G204" s="8" t="str">
        <f t="shared" si="3"/>
        <v>LEVERE CRAIG</v>
      </c>
    </row>
    <row r="205" spans="1:7" x14ac:dyDescent="0.25">
      <c r="A205" s="8">
        <v>42717.756307870368</v>
      </c>
      <c r="B205" s="21" t="s">
        <v>209</v>
      </c>
      <c r="C205" s="21" t="s">
        <v>586</v>
      </c>
      <c r="D205" s="165">
        <v>1770000</v>
      </c>
      <c r="E205" s="21" t="s">
        <v>302</v>
      </c>
      <c r="F205" s="21" t="s">
        <v>303</v>
      </c>
      <c r="G205" s="8" t="str">
        <f t="shared" si="3"/>
        <v>BRUDER RICHARD</v>
      </c>
    </row>
    <row r="206" spans="1:7" x14ac:dyDescent="0.25">
      <c r="A206" s="8">
        <v>42717.758206018516</v>
      </c>
      <c r="B206" s="21" t="s">
        <v>216</v>
      </c>
      <c r="C206" s="21" t="s">
        <v>587</v>
      </c>
      <c r="D206" s="165">
        <v>1230000</v>
      </c>
      <c r="E206" s="21" t="s">
        <v>258</v>
      </c>
      <c r="F206" s="21" t="s">
        <v>267</v>
      </c>
      <c r="G206" s="8" t="str">
        <f t="shared" si="3"/>
        <v>YANAI IAN</v>
      </c>
    </row>
    <row r="207" spans="1:7" x14ac:dyDescent="0.25">
      <c r="A207" s="8">
        <v>42717.760659722226</v>
      </c>
      <c r="B207" s="21" t="s">
        <v>235</v>
      </c>
      <c r="C207" s="21" t="s">
        <v>588</v>
      </c>
      <c r="D207" s="165">
        <v>2530000</v>
      </c>
      <c r="E207" s="21" t="s">
        <v>245</v>
      </c>
      <c r="F207" s="21" t="s">
        <v>358</v>
      </c>
      <c r="G207" s="8" t="str">
        <f t="shared" si="3"/>
        <v>LALONDE GREGORY</v>
      </c>
    </row>
    <row r="208" spans="1:7" x14ac:dyDescent="0.25">
      <c r="A208" s="8">
        <v>42717.761469907404</v>
      </c>
      <c r="B208" s="21" t="s">
        <v>239</v>
      </c>
      <c r="C208" s="21" t="s">
        <v>589</v>
      </c>
      <c r="D208" s="165">
        <v>1140000</v>
      </c>
      <c r="E208" s="21" t="s">
        <v>354</v>
      </c>
      <c r="F208" s="21" t="s">
        <v>355</v>
      </c>
      <c r="G208" s="8" t="str">
        <f t="shared" si="3"/>
        <v>YOUNG ELIZABETH</v>
      </c>
    </row>
    <row r="209" spans="1:7" x14ac:dyDescent="0.25">
      <c r="A209" s="8">
        <v>42717.771273148152</v>
      </c>
      <c r="B209" s="21" t="s">
        <v>274</v>
      </c>
      <c r="C209" s="21" t="s">
        <v>441</v>
      </c>
      <c r="D209" s="165">
        <v>1800000</v>
      </c>
      <c r="E209" s="21" t="s">
        <v>244</v>
      </c>
      <c r="F209" s="21" t="s">
        <v>276</v>
      </c>
      <c r="G209" s="8" t="str">
        <f t="shared" si="3"/>
        <v>CHANDLER KELVIN</v>
      </c>
    </row>
    <row r="210" spans="1:7" x14ac:dyDescent="0.25">
      <c r="A210" s="8">
        <v>42717.774027777778</v>
      </c>
      <c r="B210" s="21" t="s">
        <v>212</v>
      </c>
      <c r="C210" s="21" t="s">
        <v>590</v>
      </c>
      <c r="D210" s="165">
        <v>1290000</v>
      </c>
      <c r="E210" s="21" t="s">
        <v>255</v>
      </c>
      <c r="F210" s="21" t="s">
        <v>266</v>
      </c>
      <c r="G210" s="8" t="str">
        <f t="shared" si="3"/>
        <v>COOLAHAN JOHN</v>
      </c>
    </row>
    <row r="211" spans="1:7" x14ac:dyDescent="0.25">
      <c r="A211" s="8">
        <v>42717.776296296295</v>
      </c>
      <c r="B211" s="21" t="s">
        <v>285</v>
      </c>
      <c r="C211" s="21" t="s">
        <v>591</v>
      </c>
      <c r="D211" s="165">
        <v>2530000</v>
      </c>
      <c r="E211" s="21" t="s">
        <v>245</v>
      </c>
      <c r="F211" s="21" t="s">
        <v>358</v>
      </c>
      <c r="G211" s="8" t="str">
        <f t="shared" si="3"/>
        <v>LALONDE GREGORY</v>
      </c>
    </row>
    <row r="212" spans="1:7" x14ac:dyDescent="0.25">
      <c r="A212" s="8">
        <v>42717.781747685185</v>
      </c>
      <c r="B212" s="21" t="s">
        <v>468</v>
      </c>
      <c r="C212" s="21" t="s">
        <v>592</v>
      </c>
      <c r="D212" s="165">
        <v>2250000</v>
      </c>
      <c r="E212" s="21" t="s">
        <v>356</v>
      </c>
      <c r="F212" s="21" t="s">
        <v>357</v>
      </c>
      <c r="G212" s="8" t="str">
        <f t="shared" si="3"/>
        <v>CRAYTON QUNTRELL</v>
      </c>
    </row>
    <row r="213" spans="1:7" x14ac:dyDescent="0.25">
      <c r="A213" s="8">
        <v>42717.782465277778</v>
      </c>
      <c r="B213" s="21" t="s">
        <v>208</v>
      </c>
      <c r="C213" s="21" t="s">
        <v>593</v>
      </c>
      <c r="D213" s="165">
        <v>2000000</v>
      </c>
      <c r="E213" s="21" t="s">
        <v>211</v>
      </c>
      <c r="F213" s="21" t="s">
        <v>270</v>
      </c>
      <c r="G213" s="8" t="str">
        <f t="shared" si="3"/>
        <v>STAMBAUGH JAMES</v>
      </c>
    </row>
    <row r="214" spans="1:7" x14ac:dyDescent="0.25">
      <c r="A214" s="8">
        <v>42717.783645833333</v>
      </c>
      <c r="B214" s="21" t="s">
        <v>208</v>
      </c>
      <c r="C214" s="21" t="s">
        <v>594</v>
      </c>
      <c r="D214" s="165">
        <v>2000000</v>
      </c>
      <c r="E214" s="21" t="s">
        <v>211</v>
      </c>
      <c r="F214" s="21" t="s">
        <v>270</v>
      </c>
      <c r="G214" s="8" t="str">
        <f t="shared" si="3"/>
        <v>STAMBAUGH JAMES</v>
      </c>
    </row>
    <row r="215" spans="1:7" x14ac:dyDescent="0.25">
      <c r="A215" s="8">
        <v>42717.785104166665</v>
      </c>
      <c r="B215" s="21" t="s">
        <v>155</v>
      </c>
      <c r="C215" s="21" t="s">
        <v>595</v>
      </c>
      <c r="D215" s="165">
        <v>1740000</v>
      </c>
      <c r="E215" s="21" t="s">
        <v>534</v>
      </c>
      <c r="F215" s="21" t="s">
        <v>535</v>
      </c>
      <c r="G215" s="8" t="str">
        <f t="shared" si="3"/>
        <v>STORY SAMANTHA</v>
      </c>
    </row>
    <row r="216" spans="1:7" x14ac:dyDescent="0.25">
      <c r="A216" s="8">
        <v>42717.789224537039</v>
      </c>
      <c r="B216" s="21" t="s">
        <v>253</v>
      </c>
      <c r="C216" s="21" t="s">
        <v>596</v>
      </c>
      <c r="D216" s="165">
        <v>1180000</v>
      </c>
      <c r="E216" s="21" t="s">
        <v>254</v>
      </c>
      <c r="F216" s="21" t="s">
        <v>269</v>
      </c>
      <c r="G216" s="8" t="str">
        <f t="shared" si="3"/>
        <v>LEVERE CRAIG</v>
      </c>
    </row>
    <row r="217" spans="1:7" x14ac:dyDescent="0.25">
      <c r="A217" s="8">
        <v>42717.78943287037</v>
      </c>
      <c r="B217" s="21" t="s">
        <v>436</v>
      </c>
      <c r="C217" s="21" t="s">
        <v>597</v>
      </c>
      <c r="D217" s="165">
        <v>1230000</v>
      </c>
      <c r="E217" s="21" t="s">
        <v>258</v>
      </c>
      <c r="F217" s="21" t="s">
        <v>267</v>
      </c>
      <c r="G217" s="8" t="str">
        <f t="shared" si="3"/>
        <v>YANAI IAN</v>
      </c>
    </row>
    <row r="218" spans="1:7" x14ac:dyDescent="0.25">
      <c r="A218" s="8">
        <v>42717.797476851854</v>
      </c>
      <c r="B218" s="21" t="s">
        <v>209</v>
      </c>
      <c r="C218" s="21" t="s">
        <v>593</v>
      </c>
      <c r="D218" s="165">
        <v>2000000</v>
      </c>
      <c r="E218" s="21" t="s">
        <v>211</v>
      </c>
      <c r="F218" s="21" t="s">
        <v>270</v>
      </c>
      <c r="G218" s="8" t="str">
        <f t="shared" si="3"/>
        <v>STAMBAUGH JAMES</v>
      </c>
    </row>
    <row r="219" spans="1:7" x14ac:dyDescent="0.25">
      <c r="A219" s="8">
        <v>42717.797766203701</v>
      </c>
      <c r="B219" s="21" t="s">
        <v>235</v>
      </c>
      <c r="C219" s="21" t="s">
        <v>598</v>
      </c>
      <c r="D219" s="165">
        <v>1770000</v>
      </c>
      <c r="E219" s="21" t="s">
        <v>302</v>
      </c>
      <c r="F219" s="21" t="s">
        <v>303</v>
      </c>
      <c r="G219" s="8" t="str">
        <f t="shared" si="3"/>
        <v>BRUDER RICHARD</v>
      </c>
    </row>
    <row r="220" spans="1:7" x14ac:dyDescent="0.25">
      <c r="A220" s="8">
        <v>42717.806342592594</v>
      </c>
      <c r="B220" s="21" t="s">
        <v>238</v>
      </c>
      <c r="C220" s="21" t="s">
        <v>599</v>
      </c>
      <c r="D220" s="165">
        <v>1140000</v>
      </c>
      <c r="E220" s="21" t="s">
        <v>354</v>
      </c>
      <c r="F220" s="21" t="s">
        <v>355</v>
      </c>
      <c r="G220" s="8" t="str">
        <f t="shared" si="3"/>
        <v>YOUNG ELIZABETH</v>
      </c>
    </row>
    <row r="221" spans="1:7" x14ac:dyDescent="0.25">
      <c r="A221" s="8">
        <v>42717.809050925927</v>
      </c>
      <c r="B221" s="21" t="s">
        <v>206</v>
      </c>
      <c r="C221" s="21" t="s">
        <v>600</v>
      </c>
      <c r="D221" s="165">
        <v>1290000</v>
      </c>
      <c r="E221" s="21" t="s">
        <v>255</v>
      </c>
      <c r="F221" s="21" t="s">
        <v>266</v>
      </c>
      <c r="G221" s="8" t="str">
        <f t="shared" si="3"/>
        <v>COOLAHAN JOHN</v>
      </c>
    </row>
    <row r="222" spans="1:7" x14ac:dyDescent="0.25">
      <c r="A222" s="8">
        <v>42717.809560185182</v>
      </c>
      <c r="B222" s="21" t="s">
        <v>273</v>
      </c>
      <c r="C222" s="21" t="s">
        <v>601</v>
      </c>
      <c r="D222" s="165">
        <v>1800000</v>
      </c>
      <c r="E222" s="21" t="s">
        <v>244</v>
      </c>
      <c r="F222" s="21" t="s">
        <v>276</v>
      </c>
      <c r="G222" s="8" t="str">
        <f t="shared" si="3"/>
        <v>CHANDLER KELVIN</v>
      </c>
    </row>
    <row r="223" spans="1:7" x14ac:dyDescent="0.25">
      <c r="A223" s="8">
        <v>42717.81863425926</v>
      </c>
      <c r="B223" s="21" t="s">
        <v>285</v>
      </c>
      <c r="C223" s="21" t="s">
        <v>602</v>
      </c>
      <c r="D223" s="165">
        <v>1770000</v>
      </c>
      <c r="E223" s="21" t="s">
        <v>302</v>
      </c>
      <c r="F223" s="21" t="s">
        <v>303</v>
      </c>
      <c r="G223" s="8" t="str">
        <f t="shared" si="3"/>
        <v>BRUDER RICHARD</v>
      </c>
    </row>
    <row r="224" spans="1:7" x14ac:dyDescent="0.25">
      <c r="A224" s="8">
        <v>42717.822777777779</v>
      </c>
      <c r="B224" t="s">
        <v>154</v>
      </c>
      <c r="C224" t="s">
        <v>603</v>
      </c>
      <c r="D224" s="165">
        <v>1740000</v>
      </c>
      <c r="E224" t="s">
        <v>534</v>
      </c>
      <c r="F224" s="21" t="s">
        <v>535</v>
      </c>
      <c r="G224" s="8" t="str">
        <f t="shared" si="3"/>
        <v>STORY SAMANTHA</v>
      </c>
    </row>
    <row r="225" spans="1:7" x14ac:dyDescent="0.25">
      <c r="A225" s="8">
        <v>42717.824166666665</v>
      </c>
      <c r="B225" t="s">
        <v>281</v>
      </c>
      <c r="C225" t="s">
        <v>442</v>
      </c>
      <c r="D225" s="165">
        <v>1180000</v>
      </c>
      <c r="E225" t="s">
        <v>254</v>
      </c>
      <c r="F225" s="21" t="s">
        <v>269</v>
      </c>
      <c r="G225" s="8" t="str">
        <f t="shared" si="3"/>
        <v>LEVERE CRAIG</v>
      </c>
    </row>
    <row r="226" spans="1:7" x14ac:dyDescent="0.25">
      <c r="A226" s="8">
        <v>42717.829363425924</v>
      </c>
      <c r="B226" t="s">
        <v>216</v>
      </c>
      <c r="C226" t="s">
        <v>443</v>
      </c>
      <c r="D226" s="165">
        <v>1230000</v>
      </c>
      <c r="E226" t="s">
        <v>258</v>
      </c>
      <c r="F226" s="21" t="s">
        <v>267</v>
      </c>
      <c r="G226" s="8" t="str">
        <f t="shared" si="3"/>
        <v>YANAI IAN</v>
      </c>
    </row>
    <row r="227" spans="1:7" x14ac:dyDescent="0.25">
      <c r="A227" s="8">
        <v>42717.838634259257</v>
      </c>
      <c r="B227" t="s">
        <v>216</v>
      </c>
      <c r="C227" t="s">
        <v>443</v>
      </c>
      <c r="D227" s="165">
        <v>1230000</v>
      </c>
      <c r="E227" t="s">
        <v>258</v>
      </c>
      <c r="F227" s="21" t="s">
        <v>267</v>
      </c>
      <c r="G227" s="8" t="str">
        <f t="shared" si="3"/>
        <v>YANAI IAN</v>
      </c>
    </row>
    <row r="228" spans="1:7" x14ac:dyDescent="0.25">
      <c r="A228" s="8">
        <v>42717.838761574072</v>
      </c>
      <c r="B228" t="s">
        <v>235</v>
      </c>
      <c r="C228" t="s">
        <v>604</v>
      </c>
      <c r="D228" s="165">
        <v>1770000</v>
      </c>
      <c r="E228" t="s">
        <v>302</v>
      </c>
      <c r="F228" s="21" t="s">
        <v>303</v>
      </c>
      <c r="G228" s="8" t="str">
        <f t="shared" si="3"/>
        <v>BRUDER RICHARD</v>
      </c>
    </row>
    <row r="229" spans="1:7" x14ac:dyDescent="0.25">
      <c r="A229" s="8">
        <v>42717.848287037035</v>
      </c>
      <c r="B229" t="s">
        <v>212</v>
      </c>
      <c r="C229" t="s">
        <v>605</v>
      </c>
      <c r="D229" s="165">
        <v>1290000</v>
      </c>
      <c r="E229" t="s">
        <v>255</v>
      </c>
      <c r="F229" s="21" t="s">
        <v>266</v>
      </c>
      <c r="G229" s="8" t="str">
        <f t="shared" si="3"/>
        <v>COOLAHAN JOHN</v>
      </c>
    </row>
    <row r="230" spans="1:7" x14ac:dyDescent="0.25">
      <c r="A230" s="8">
        <v>42717.854189814818</v>
      </c>
      <c r="B230" t="s">
        <v>274</v>
      </c>
      <c r="C230" t="s">
        <v>606</v>
      </c>
      <c r="D230" s="165">
        <v>1800000</v>
      </c>
      <c r="E230" t="s">
        <v>244</v>
      </c>
      <c r="F230" s="21" t="s">
        <v>276</v>
      </c>
      <c r="G230" s="8" t="str">
        <f t="shared" si="3"/>
        <v>CHANDLER KELVIN</v>
      </c>
    </row>
    <row r="231" spans="1:7" x14ac:dyDescent="0.25">
      <c r="A231" s="8">
        <v>42717.860625000001</v>
      </c>
      <c r="B231" t="s">
        <v>285</v>
      </c>
      <c r="C231" t="s">
        <v>607</v>
      </c>
      <c r="D231" s="165">
        <v>1770000</v>
      </c>
      <c r="E231" t="s">
        <v>302</v>
      </c>
      <c r="F231" s="21" t="s">
        <v>303</v>
      </c>
      <c r="G231" s="8" t="str">
        <f t="shared" si="3"/>
        <v>BRUDER RICHARD</v>
      </c>
    </row>
    <row r="232" spans="1:7" x14ac:dyDescent="0.25">
      <c r="A232" s="8">
        <v>42717.864999999998</v>
      </c>
      <c r="B232" t="s">
        <v>436</v>
      </c>
      <c r="C232" t="s">
        <v>608</v>
      </c>
      <c r="D232" s="165">
        <v>1230000</v>
      </c>
      <c r="E232" t="s">
        <v>258</v>
      </c>
      <c r="F232" s="21" t="s">
        <v>267</v>
      </c>
      <c r="G232" s="8" t="str">
        <f t="shared" si="3"/>
        <v>YANAI IAN</v>
      </c>
    </row>
    <row r="233" spans="1:7" x14ac:dyDescent="0.25">
      <c r="A233" s="8">
        <v>42717.870995370373</v>
      </c>
      <c r="B233" t="s">
        <v>253</v>
      </c>
      <c r="C233" t="s">
        <v>609</v>
      </c>
      <c r="D233" s="165">
        <v>1180000</v>
      </c>
      <c r="E233" t="s">
        <v>254</v>
      </c>
      <c r="F233" s="21" t="s">
        <v>269</v>
      </c>
      <c r="G233" s="8" t="str">
        <f t="shared" si="3"/>
        <v>LEVERE CRAIG</v>
      </c>
    </row>
    <row r="234" spans="1:7" x14ac:dyDescent="0.25">
      <c r="A234" s="8">
        <v>42717.876759259256</v>
      </c>
      <c r="B234" t="s">
        <v>235</v>
      </c>
      <c r="C234" t="s">
        <v>610</v>
      </c>
      <c r="D234" s="165">
        <v>2000000</v>
      </c>
      <c r="E234" t="s">
        <v>211</v>
      </c>
      <c r="F234" s="21" t="s">
        <v>270</v>
      </c>
      <c r="G234" s="8" t="str">
        <f t="shared" si="3"/>
        <v>STAMBAUGH JAMES</v>
      </c>
    </row>
    <row r="235" spans="1:7" x14ac:dyDescent="0.25">
      <c r="A235" s="8">
        <v>42717.888148148151</v>
      </c>
      <c r="B235" t="s">
        <v>235</v>
      </c>
      <c r="C235" t="s">
        <v>610</v>
      </c>
      <c r="D235" s="165">
        <v>2000000</v>
      </c>
      <c r="E235" t="s">
        <v>211</v>
      </c>
      <c r="F235" s="21" t="s">
        <v>270</v>
      </c>
      <c r="G235" s="8" t="str">
        <f t="shared" si="3"/>
        <v>STAMBAUGH JAMES</v>
      </c>
    </row>
    <row r="236" spans="1:7" x14ac:dyDescent="0.25">
      <c r="A236" s="8">
        <v>42717.891516203701</v>
      </c>
      <c r="B236" t="s">
        <v>273</v>
      </c>
      <c r="C236" t="s">
        <v>611</v>
      </c>
      <c r="D236" s="165">
        <v>1800000</v>
      </c>
      <c r="E236" t="s">
        <v>244</v>
      </c>
      <c r="F236" s="21" t="s">
        <v>276</v>
      </c>
      <c r="G236" s="8" t="str">
        <f t="shared" si="3"/>
        <v>CHANDLER KELVIN</v>
      </c>
    </row>
    <row r="237" spans="1:7" x14ac:dyDescent="0.25">
      <c r="A237" s="8">
        <v>42717.89334490741</v>
      </c>
      <c r="B237" t="s">
        <v>206</v>
      </c>
      <c r="C237" t="s">
        <v>612</v>
      </c>
      <c r="D237" s="165">
        <v>1290000</v>
      </c>
      <c r="E237" t="s">
        <v>255</v>
      </c>
      <c r="F237" s="21" t="s">
        <v>266</v>
      </c>
      <c r="G237" s="8" t="str">
        <f t="shared" si="3"/>
        <v>COOLAHAN JOHN</v>
      </c>
    </row>
    <row r="238" spans="1:7" x14ac:dyDescent="0.25">
      <c r="A238" s="8">
        <v>42717.901226851849</v>
      </c>
      <c r="B238" t="s">
        <v>285</v>
      </c>
      <c r="C238" t="s">
        <v>613</v>
      </c>
      <c r="D238" s="165">
        <v>2000000</v>
      </c>
      <c r="E238" t="s">
        <v>211</v>
      </c>
      <c r="F238" s="21" t="s">
        <v>270</v>
      </c>
      <c r="G238" s="8" t="str">
        <f t="shared" si="3"/>
        <v>STAMBAUGH JAMES</v>
      </c>
    </row>
    <row r="239" spans="1:7" x14ac:dyDescent="0.25">
      <c r="A239" s="8">
        <v>42717.906689814816</v>
      </c>
      <c r="B239" t="s">
        <v>216</v>
      </c>
      <c r="C239" t="s">
        <v>614</v>
      </c>
      <c r="D239" s="165">
        <v>2370000</v>
      </c>
      <c r="E239" t="s">
        <v>615</v>
      </c>
      <c r="F239" s="21" t="s">
        <v>616</v>
      </c>
      <c r="G239" s="8" t="str">
        <f t="shared" si="3"/>
        <v>DELGADO DIANAH</v>
      </c>
    </row>
    <row r="240" spans="1:7" x14ac:dyDescent="0.25">
      <c r="A240" s="8">
        <v>42717.907511574071</v>
      </c>
      <c r="B240" t="s">
        <v>281</v>
      </c>
      <c r="C240" t="s">
        <v>617</v>
      </c>
      <c r="D240" s="165">
        <v>1180000</v>
      </c>
      <c r="E240" t="s">
        <v>254</v>
      </c>
      <c r="F240" s="21" t="s">
        <v>269</v>
      </c>
      <c r="G240" s="8" t="str">
        <f t="shared" si="3"/>
        <v>LEVERE CRAIG</v>
      </c>
    </row>
    <row r="241" spans="1:7" x14ac:dyDescent="0.25">
      <c r="A241" s="8">
        <v>42717.915810185186</v>
      </c>
      <c r="B241" t="s">
        <v>235</v>
      </c>
      <c r="C241" t="s">
        <v>618</v>
      </c>
      <c r="D241" s="165">
        <v>2000000</v>
      </c>
      <c r="E241" t="s">
        <v>211</v>
      </c>
      <c r="F241" s="21" t="s">
        <v>270</v>
      </c>
      <c r="G241" s="8" t="str">
        <f t="shared" si="3"/>
        <v>STAMBAUGH JAMES</v>
      </c>
    </row>
    <row r="242" spans="1:7" x14ac:dyDescent="0.25">
      <c r="A242" s="8">
        <v>42717.932349537034</v>
      </c>
      <c r="B242" t="s">
        <v>212</v>
      </c>
      <c r="C242" t="s">
        <v>619</v>
      </c>
      <c r="D242" s="165">
        <v>1290000</v>
      </c>
      <c r="E242" t="s">
        <v>255</v>
      </c>
      <c r="F242" s="21" t="s">
        <v>266</v>
      </c>
      <c r="G242" s="8" t="str">
        <f t="shared" si="3"/>
        <v>COOLAHAN JOHN</v>
      </c>
    </row>
    <row r="243" spans="1:7" x14ac:dyDescent="0.25">
      <c r="A243" s="8">
        <v>42717.936319444445</v>
      </c>
      <c r="B243" t="s">
        <v>274</v>
      </c>
      <c r="C243" t="s">
        <v>620</v>
      </c>
      <c r="D243" s="165">
        <v>1800000</v>
      </c>
      <c r="E243" t="s">
        <v>244</v>
      </c>
      <c r="F243" s="21" t="s">
        <v>276</v>
      </c>
      <c r="G243" s="8" t="str">
        <f t="shared" si="3"/>
        <v>CHANDLER KELVIN</v>
      </c>
    </row>
    <row r="244" spans="1:7" x14ac:dyDescent="0.25">
      <c r="A244" s="8">
        <v>42717.942199074074</v>
      </c>
      <c r="B244" t="s">
        <v>285</v>
      </c>
      <c r="C244" t="s">
        <v>621</v>
      </c>
      <c r="D244" s="165">
        <v>2000000</v>
      </c>
      <c r="E244" t="s">
        <v>211</v>
      </c>
      <c r="F244" s="21" t="s">
        <v>270</v>
      </c>
      <c r="G244" s="8" t="str">
        <f t="shared" si="3"/>
        <v>STAMBAUGH JAMES</v>
      </c>
    </row>
    <row r="245" spans="1:7" x14ac:dyDescent="0.25">
      <c r="A245" s="8">
        <v>42717.949479166666</v>
      </c>
      <c r="B245" t="s">
        <v>436</v>
      </c>
      <c r="C245" t="s">
        <v>622</v>
      </c>
      <c r="D245" s="165">
        <v>2370000</v>
      </c>
      <c r="E245" t="s">
        <v>615</v>
      </c>
      <c r="F245" s="21" t="s">
        <v>616</v>
      </c>
      <c r="G245" s="8" t="str">
        <f t="shared" si="3"/>
        <v>DELGADO DIANAH</v>
      </c>
    </row>
    <row r="246" spans="1:7" x14ac:dyDescent="0.25">
      <c r="A246" s="8">
        <v>42717.952743055554</v>
      </c>
      <c r="B246" t="s">
        <v>253</v>
      </c>
      <c r="C246" t="s">
        <v>623</v>
      </c>
      <c r="D246" s="165">
        <v>1180000</v>
      </c>
      <c r="E246" t="s">
        <v>254</v>
      </c>
      <c r="F246" s="21" t="s">
        <v>269</v>
      </c>
      <c r="G246" s="8" t="str">
        <f t="shared" si="3"/>
        <v>LEVERE CRAIG</v>
      </c>
    </row>
    <row r="247" spans="1:7" x14ac:dyDescent="0.25">
      <c r="A247" s="8">
        <v>42717.972962962966</v>
      </c>
      <c r="B247" t="s">
        <v>273</v>
      </c>
      <c r="C247" t="s">
        <v>624</v>
      </c>
      <c r="D247" s="165">
        <v>1800000</v>
      </c>
      <c r="E247" t="s">
        <v>244</v>
      </c>
      <c r="F247" s="21" t="s">
        <v>276</v>
      </c>
      <c r="G247" s="8" t="str">
        <f t="shared" si="3"/>
        <v>CHANDLER KELVIN</v>
      </c>
    </row>
    <row r="248" spans="1:7" x14ac:dyDescent="0.25">
      <c r="A248" s="8">
        <v>42717.973576388889</v>
      </c>
      <c r="B248" t="s">
        <v>206</v>
      </c>
      <c r="C248" t="s">
        <v>625</v>
      </c>
      <c r="D248" s="165">
        <v>1290000</v>
      </c>
      <c r="E248" t="s">
        <v>255</v>
      </c>
      <c r="F248" s="21" t="s">
        <v>266</v>
      </c>
      <c r="G248" s="8" t="str">
        <f t="shared" si="3"/>
        <v>COOLAHAN JOHN</v>
      </c>
    </row>
    <row r="249" spans="1:7" x14ac:dyDescent="0.25">
      <c r="A249" s="8">
        <v>42717.991226851853</v>
      </c>
      <c r="B249" t="s">
        <v>216</v>
      </c>
      <c r="C249" t="s">
        <v>444</v>
      </c>
      <c r="D249" s="165">
        <v>1230000</v>
      </c>
      <c r="E249" t="s">
        <v>258</v>
      </c>
      <c r="F249" s="21" t="s">
        <v>267</v>
      </c>
      <c r="G249" s="8" t="str">
        <f t="shared" si="3"/>
        <v>YANAI IAN</v>
      </c>
    </row>
    <row r="250" spans="1:7" x14ac:dyDescent="0.25">
      <c r="A250" s="8">
        <v>42717.991875</v>
      </c>
      <c r="B250" t="s">
        <v>281</v>
      </c>
      <c r="C250" t="s">
        <v>626</v>
      </c>
      <c r="D250" s="165">
        <v>1180000</v>
      </c>
      <c r="E250" t="s">
        <v>254</v>
      </c>
      <c r="F250" s="21" t="s">
        <v>269</v>
      </c>
      <c r="G250" s="8" t="str">
        <f t="shared" si="3"/>
        <v>LEVERE CRAIG</v>
      </c>
    </row>
    <row r="251" spans="1:7" x14ac:dyDescent="0.25">
      <c r="A251" s="8">
        <v>42718.013136574074</v>
      </c>
      <c r="B251" t="s">
        <v>212</v>
      </c>
      <c r="C251" t="s">
        <v>627</v>
      </c>
      <c r="D251" s="165">
        <v>1290000</v>
      </c>
      <c r="E251" t="s">
        <v>255</v>
      </c>
      <c r="F251" s="21" t="s">
        <v>266</v>
      </c>
      <c r="G251" s="8" t="str">
        <f t="shared" si="3"/>
        <v>COOLAHAN JOHN</v>
      </c>
    </row>
    <row r="252" spans="1:7" x14ac:dyDescent="0.25">
      <c r="A252" s="8">
        <v>42718.017962962964</v>
      </c>
      <c r="B252" t="s">
        <v>274</v>
      </c>
      <c r="C252" t="s">
        <v>445</v>
      </c>
      <c r="D252" s="165">
        <v>1800000</v>
      </c>
      <c r="E252" t="s">
        <v>244</v>
      </c>
      <c r="F252" s="21" t="s">
        <v>276</v>
      </c>
      <c r="G252" s="8" t="str">
        <f t="shared" si="3"/>
        <v>CHANDLER KELVIN</v>
      </c>
    </row>
    <row r="253" spans="1:7" x14ac:dyDescent="0.25">
      <c r="A253" s="8">
        <v>42718.02820601852</v>
      </c>
      <c r="B253" t="s">
        <v>253</v>
      </c>
      <c r="C253" t="s">
        <v>628</v>
      </c>
      <c r="D253" s="165">
        <v>1180000</v>
      </c>
      <c r="E253" t="s">
        <v>254</v>
      </c>
      <c r="F253" s="21" t="s">
        <v>269</v>
      </c>
      <c r="G253" s="8" t="str">
        <f t="shared" si="3"/>
        <v>LEVERE CRAIG</v>
      </c>
    </row>
    <row r="254" spans="1:7" x14ac:dyDescent="0.25">
      <c r="A254" s="8">
        <v>42718.02925925926</v>
      </c>
      <c r="B254" t="s">
        <v>436</v>
      </c>
      <c r="C254" t="s">
        <v>629</v>
      </c>
      <c r="D254" s="165">
        <v>1230000</v>
      </c>
      <c r="E254" t="s">
        <v>258</v>
      </c>
      <c r="F254" s="21" t="s">
        <v>267</v>
      </c>
      <c r="G254" s="8" t="str">
        <f t="shared" si="3"/>
        <v>YANAI IAN</v>
      </c>
    </row>
    <row r="255" spans="1:7" x14ac:dyDescent="0.25">
      <c r="A255" s="8">
        <v>42718.047118055554</v>
      </c>
      <c r="B255" t="s">
        <v>206</v>
      </c>
      <c r="C255" t="s">
        <v>630</v>
      </c>
      <c r="D255" s="165">
        <v>1290000</v>
      </c>
      <c r="E255" t="s">
        <v>255</v>
      </c>
      <c r="F255" s="21" t="s">
        <v>266</v>
      </c>
      <c r="G255" s="8" t="str">
        <f t="shared" si="3"/>
        <v>COOLAHAN JOHN</v>
      </c>
    </row>
    <row r="256" spans="1:7" x14ac:dyDescent="0.25">
      <c r="A256" s="8">
        <v>42718.055821759262</v>
      </c>
      <c r="B256" t="s">
        <v>273</v>
      </c>
      <c r="C256" t="s">
        <v>631</v>
      </c>
      <c r="D256" s="165">
        <v>1800000</v>
      </c>
      <c r="E256" t="s">
        <v>244</v>
      </c>
      <c r="F256" s="21" t="s">
        <v>276</v>
      </c>
      <c r="G256" s="8" t="str">
        <f t="shared" si="3"/>
        <v>CHANDLER KELVIN</v>
      </c>
    </row>
    <row r="257" spans="1:7" x14ac:dyDescent="0.25">
      <c r="A257" s="8">
        <v>42718.067662037036</v>
      </c>
      <c r="B257" t="s">
        <v>216</v>
      </c>
      <c r="C257" t="s">
        <v>632</v>
      </c>
      <c r="D257" s="165">
        <v>1230000</v>
      </c>
      <c r="E257" t="s">
        <v>258</v>
      </c>
      <c r="F257" s="21" t="s">
        <v>267</v>
      </c>
      <c r="G257" s="8" t="str">
        <f t="shared" si="3"/>
        <v>YANAI IAN</v>
      </c>
    </row>
    <row r="258" spans="1:7" x14ac:dyDescent="0.25">
      <c r="A258" s="8">
        <v>42718.095694444448</v>
      </c>
      <c r="B258" t="s">
        <v>274</v>
      </c>
      <c r="C258" t="s">
        <v>633</v>
      </c>
      <c r="D258" s="165">
        <v>1800000</v>
      </c>
      <c r="E258" t="s">
        <v>244</v>
      </c>
      <c r="F258" s="21" t="s">
        <v>276</v>
      </c>
      <c r="G258" s="8" t="str">
        <f t="shared" si="3"/>
        <v>CHANDLER KELVIN</v>
      </c>
    </row>
    <row r="259" spans="1:7" x14ac:dyDescent="0.25">
      <c r="A259" s="8">
        <v>42700.083275462966</v>
      </c>
      <c r="B259" t="s">
        <v>155</v>
      </c>
      <c r="C259" t="s">
        <v>247</v>
      </c>
      <c r="D259" s="165">
        <v>2530000</v>
      </c>
      <c r="E259" t="s">
        <v>245</v>
      </c>
      <c r="F259" s="21" t="str">
        <f t="shared" ref="F259:F265" si="4">B259</f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238</v>
      </c>
      <c r="C260" t="s">
        <v>248</v>
      </c>
      <c r="D260" s="165">
        <v>2000000</v>
      </c>
      <c r="E260" t="s">
        <v>211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246</v>
      </c>
      <c r="D261" s="165">
        <v>2530000</v>
      </c>
      <c r="E261" t="s">
        <v>245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249</v>
      </c>
      <c r="D262" s="165">
        <v>2600000</v>
      </c>
      <c r="E262" t="s">
        <v>240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220</v>
      </c>
      <c r="D263" s="165">
        <v>2000000</v>
      </c>
      <c r="E263" t="s">
        <v>211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216</v>
      </c>
      <c r="C264" t="s">
        <v>221</v>
      </c>
      <c r="D264" s="165">
        <v>2550000</v>
      </c>
      <c r="E264" t="s">
        <v>215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219</v>
      </c>
      <c r="C265" t="s">
        <v>222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214</v>
      </c>
      <c r="C266" t="s">
        <v>223</v>
      </c>
      <c r="D266" s="165">
        <v>2420000</v>
      </c>
      <c r="E266" t="s">
        <v>217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212</v>
      </c>
      <c r="C267" t="s">
        <v>224</v>
      </c>
      <c r="D267" s="165">
        <v>2000000</v>
      </c>
      <c r="E267" t="s">
        <v>211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218</v>
      </c>
      <c r="C268" t="s">
        <v>225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I33" sqref="I33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29.12</v>
      </c>
      <c r="B2" s="165">
        <v>0.33</v>
      </c>
      <c r="C2" s="165">
        <v>19.100000000000001</v>
      </c>
      <c r="D2" s="8">
        <v>42717</v>
      </c>
      <c r="E2" s="165">
        <v>0.66</v>
      </c>
      <c r="F2" s="165" t="s">
        <v>250</v>
      </c>
      <c r="G2" s="165">
        <v>296.37</v>
      </c>
      <c r="H2" s="165">
        <v>0</v>
      </c>
      <c r="I2" s="165">
        <v>0</v>
      </c>
      <c r="J2" s="165">
        <v>1019.65</v>
      </c>
      <c r="K2" s="165" t="s">
        <v>259</v>
      </c>
      <c r="L2" s="165">
        <v>29.12</v>
      </c>
      <c r="M2" s="165">
        <v>1481612400</v>
      </c>
      <c r="N2" s="165">
        <v>7.52</v>
      </c>
      <c r="O2" s="165">
        <v>285</v>
      </c>
      <c r="P2" s="165">
        <v>1.22</v>
      </c>
      <c r="Q2"/>
      <c r="R2"/>
    </row>
    <row r="3" spans="1:18" x14ac:dyDescent="0.25">
      <c r="A3" s="165">
        <v>27.79</v>
      </c>
      <c r="B3" s="165">
        <v>0.38</v>
      </c>
      <c r="C3" s="165">
        <v>18.489999999999998</v>
      </c>
      <c r="D3" s="8">
        <v>42717.041666666664</v>
      </c>
      <c r="E3" s="165">
        <v>0.68</v>
      </c>
      <c r="F3" s="165" t="s">
        <v>250</v>
      </c>
      <c r="G3" s="165">
        <v>296.01</v>
      </c>
      <c r="H3" s="165">
        <v>0</v>
      </c>
      <c r="I3" s="165">
        <v>0</v>
      </c>
      <c r="J3" s="165">
        <v>1020.47</v>
      </c>
      <c r="K3" s="165" t="s">
        <v>259</v>
      </c>
      <c r="L3" s="165">
        <v>27.79</v>
      </c>
      <c r="M3" s="165">
        <v>1481616000</v>
      </c>
      <c r="N3" s="165">
        <v>7.51</v>
      </c>
      <c r="O3" s="165">
        <v>309</v>
      </c>
      <c r="P3" s="165">
        <v>2.15</v>
      </c>
      <c r="Q3"/>
      <c r="R3"/>
    </row>
    <row r="4" spans="1:18" x14ac:dyDescent="0.25">
      <c r="A4" s="165">
        <v>26.26</v>
      </c>
      <c r="B4" s="165">
        <v>0.4</v>
      </c>
      <c r="C4" s="165">
        <v>18.739999999999998</v>
      </c>
      <c r="D4" s="8">
        <v>42717.083333333336</v>
      </c>
      <c r="E4" s="165">
        <v>0.73</v>
      </c>
      <c r="F4" s="165" t="s">
        <v>250</v>
      </c>
      <c r="G4" s="165">
        <v>295.64</v>
      </c>
      <c r="H4" s="165">
        <v>0</v>
      </c>
      <c r="I4" s="165">
        <v>0</v>
      </c>
      <c r="J4" s="165">
        <v>1021.39</v>
      </c>
      <c r="K4" s="165" t="s">
        <v>259</v>
      </c>
      <c r="L4" s="165">
        <v>26.26</v>
      </c>
      <c r="M4" s="165">
        <v>1481619600</v>
      </c>
      <c r="N4" s="165">
        <v>6.52</v>
      </c>
      <c r="O4" s="165">
        <v>305</v>
      </c>
      <c r="P4" s="165">
        <v>1.44</v>
      </c>
      <c r="Q4"/>
      <c r="R4"/>
    </row>
    <row r="5" spans="1:18" x14ac:dyDescent="0.25">
      <c r="A5" s="165">
        <v>24.92</v>
      </c>
      <c r="B5" s="165">
        <v>0.45</v>
      </c>
      <c r="C5" s="165">
        <v>17.45</v>
      </c>
      <c r="D5" s="8">
        <v>42717.125</v>
      </c>
      <c r="E5" s="165">
        <v>0.73</v>
      </c>
      <c r="F5" s="165" t="s">
        <v>250</v>
      </c>
      <c r="G5" s="165">
        <v>295.3</v>
      </c>
      <c r="H5" s="165">
        <v>0</v>
      </c>
      <c r="I5" s="165">
        <v>0</v>
      </c>
      <c r="J5" s="165">
        <v>1021.99</v>
      </c>
      <c r="K5" s="165" t="s">
        <v>259</v>
      </c>
      <c r="L5" s="165">
        <v>24.92</v>
      </c>
      <c r="M5" s="165">
        <v>1481623200</v>
      </c>
      <c r="N5" s="165">
        <v>5.95</v>
      </c>
      <c r="O5" s="165">
        <v>338</v>
      </c>
      <c r="P5" s="165">
        <v>1.27</v>
      </c>
      <c r="Q5"/>
      <c r="R5"/>
    </row>
    <row r="6" spans="1:18" x14ac:dyDescent="0.25">
      <c r="A6" s="165">
        <v>23.77</v>
      </c>
      <c r="B6" s="165">
        <v>0.53</v>
      </c>
      <c r="C6" s="165">
        <v>16.55</v>
      </c>
      <c r="D6" s="8">
        <v>42717.166666666664</v>
      </c>
      <c r="E6" s="165">
        <v>0.73</v>
      </c>
      <c r="F6" s="165" t="s">
        <v>250</v>
      </c>
      <c r="G6" s="165">
        <v>295.02999999999997</v>
      </c>
      <c r="H6" s="165">
        <v>0</v>
      </c>
      <c r="I6" s="165">
        <v>0</v>
      </c>
      <c r="J6" s="165">
        <v>1022.44</v>
      </c>
      <c r="K6" s="165" t="s">
        <v>259</v>
      </c>
      <c r="L6" s="165">
        <v>23.77</v>
      </c>
      <c r="M6" s="165">
        <v>1481626800</v>
      </c>
      <c r="N6" s="165">
        <v>6.15</v>
      </c>
      <c r="O6" s="165">
        <v>229</v>
      </c>
      <c r="P6" s="165">
        <v>0.33</v>
      </c>
      <c r="Q6"/>
      <c r="R6"/>
    </row>
    <row r="7" spans="1:18" x14ac:dyDescent="0.25">
      <c r="A7" s="165">
        <v>23.11</v>
      </c>
      <c r="B7" s="165">
        <v>0.56999999999999995</v>
      </c>
      <c r="C7" s="165">
        <v>16.39</v>
      </c>
      <c r="D7" s="8">
        <v>42717.208333333336</v>
      </c>
      <c r="E7" s="165">
        <v>0.75</v>
      </c>
      <c r="F7" s="165" t="s">
        <v>250</v>
      </c>
      <c r="G7" s="165">
        <v>295.26</v>
      </c>
      <c r="H7" s="165">
        <v>0</v>
      </c>
      <c r="I7" s="165">
        <v>0</v>
      </c>
      <c r="J7" s="165">
        <v>1022.98</v>
      </c>
      <c r="K7" s="165" t="s">
        <v>259</v>
      </c>
      <c r="L7" s="165">
        <v>23.11</v>
      </c>
      <c r="M7" s="165">
        <v>1481630400</v>
      </c>
      <c r="N7" s="165">
        <v>7.34</v>
      </c>
      <c r="O7" s="165">
        <v>179</v>
      </c>
      <c r="P7" s="165">
        <v>1.1200000000000001</v>
      </c>
      <c r="Q7"/>
      <c r="R7"/>
    </row>
    <row r="8" spans="1:18" x14ac:dyDescent="0.25">
      <c r="A8" s="165">
        <v>22.63</v>
      </c>
      <c r="B8" s="165">
        <v>0.52</v>
      </c>
      <c r="C8" s="165">
        <v>15.57</v>
      </c>
      <c r="D8" s="8">
        <v>42717.25</v>
      </c>
      <c r="E8" s="165">
        <v>0.74</v>
      </c>
      <c r="F8" s="165" t="s">
        <v>250</v>
      </c>
      <c r="G8" s="165">
        <v>296.26</v>
      </c>
      <c r="H8" s="165">
        <v>0</v>
      </c>
      <c r="I8" s="165">
        <v>0</v>
      </c>
      <c r="J8" s="165">
        <v>1023.75</v>
      </c>
      <c r="K8" s="165" t="s">
        <v>259</v>
      </c>
      <c r="L8" s="165">
        <v>22.63</v>
      </c>
      <c r="M8" s="165">
        <v>1481634000</v>
      </c>
      <c r="N8" s="165">
        <v>6.33</v>
      </c>
      <c r="O8" s="165">
        <v>176</v>
      </c>
      <c r="P8" s="165">
        <v>2.16</v>
      </c>
      <c r="Q8"/>
      <c r="R8"/>
    </row>
    <row r="9" spans="1:18" x14ac:dyDescent="0.25">
      <c r="A9" s="165">
        <v>22.19</v>
      </c>
      <c r="B9" s="165">
        <v>0.43</v>
      </c>
      <c r="C9" s="165">
        <v>14.66</v>
      </c>
      <c r="D9" s="8">
        <v>42717.291666666664</v>
      </c>
      <c r="E9" s="165">
        <v>0.72</v>
      </c>
      <c r="F9" s="165" t="s">
        <v>250</v>
      </c>
      <c r="G9" s="165">
        <v>297.76</v>
      </c>
      <c r="H9" s="165">
        <v>0</v>
      </c>
      <c r="I9" s="165">
        <v>0</v>
      </c>
      <c r="J9" s="165">
        <v>1024.4000000000001</v>
      </c>
      <c r="K9" s="165" t="s">
        <v>259</v>
      </c>
      <c r="L9" s="165">
        <v>22.19</v>
      </c>
      <c r="M9" s="165">
        <v>1481637600</v>
      </c>
      <c r="N9" s="165">
        <v>5.49</v>
      </c>
      <c r="O9" s="165">
        <v>192</v>
      </c>
      <c r="P9" s="165">
        <v>2.68</v>
      </c>
      <c r="Q9"/>
      <c r="R9"/>
    </row>
    <row r="10" spans="1:18" x14ac:dyDescent="0.25">
      <c r="A10" s="165">
        <v>19.41</v>
      </c>
      <c r="B10" s="165">
        <v>0.4</v>
      </c>
      <c r="C10" s="165">
        <v>15.08</v>
      </c>
      <c r="D10" s="8">
        <v>42717.333333333336</v>
      </c>
      <c r="E10" s="165">
        <v>0.7</v>
      </c>
      <c r="F10" s="165" t="s">
        <v>251</v>
      </c>
      <c r="G10" s="165">
        <v>299.41000000000003</v>
      </c>
      <c r="H10" s="165">
        <v>0</v>
      </c>
      <c r="I10" s="165">
        <v>0</v>
      </c>
      <c r="J10" s="165">
        <v>1024.03</v>
      </c>
      <c r="K10" s="165" t="s">
        <v>259</v>
      </c>
      <c r="L10" s="165">
        <v>23.3</v>
      </c>
      <c r="M10" s="165">
        <v>1481641200</v>
      </c>
      <c r="N10" s="165">
        <v>4.9800000000000004</v>
      </c>
      <c r="O10" s="165">
        <v>207</v>
      </c>
      <c r="P10" s="165">
        <v>3.04</v>
      </c>
      <c r="Q10"/>
      <c r="R10"/>
    </row>
    <row r="11" spans="1:18" x14ac:dyDescent="0.25">
      <c r="A11" s="165">
        <v>26.01</v>
      </c>
      <c r="B11" s="165">
        <v>0.46</v>
      </c>
      <c r="C11" s="165">
        <v>16.010000000000002</v>
      </c>
      <c r="D11" s="8">
        <v>42717.375</v>
      </c>
      <c r="E11" s="165">
        <v>0.65</v>
      </c>
      <c r="F11" s="165" t="s">
        <v>251</v>
      </c>
      <c r="G11" s="165">
        <v>301.36</v>
      </c>
      <c r="H11" s="165">
        <v>0</v>
      </c>
      <c r="I11" s="165">
        <v>0</v>
      </c>
      <c r="J11" s="165">
        <v>1022.33</v>
      </c>
      <c r="K11" s="165" t="s">
        <v>259</v>
      </c>
      <c r="L11" s="165">
        <v>26.01</v>
      </c>
      <c r="M11" s="165">
        <v>1481644800</v>
      </c>
      <c r="N11" s="165">
        <v>4.83</v>
      </c>
      <c r="O11" s="165">
        <v>182</v>
      </c>
      <c r="P11" s="165">
        <v>2.81</v>
      </c>
      <c r="Q11"/>
      <c r="R11"/>
    </row>
    <row r="12" spans="1:18" x14ac:dyDescent="0.25">
      <c r="A12" s="165">
        <v>32.36</v>
      </c>
      <c r="B12" s="165">
        <v>0.56000000000000005</v>
      </c>
      <c r="C12" s="165">
        <v>16.43</v>
      </c>
      <c r="D12" s="8">
        <v>42717.416666666664</v>
      </c>
      <c r="E12" s="165">
        <v>0.51</v>
      </c>
      <c r="F12" s="165" t="s">
        <v>251</v>
      </c>
      <c r="G12" s="165">
        <v>303.45999999999998</v>
      </c>
      <c r="H12" s="165">
        <v>0</v>
      </c>
      <c r="I12" s="165">
        <v>0</v>
      </c>
      <c r="J12" s="165">
        <v>1019.98</v>
      </c>
      <c r="K12" s="165" t="s">
        <v>259</v>
      </c>
      <c r="L12" s="165">
        <v>32.36</v>
      </c>
      <c r="M12" s="165">
        <v>1481648400</v>
      </c>
      <c r="N12" s="165">
        <v>4.7699999999999996</v>
      </c>
      <c r="O12" s="165">
        <v>161</v>
      </c>
      <c r="P12" s="165">
        <v>2.77</v>
      </c>
      <c r="Q12"/>
      <c r="R12"/>
    </row>
    <row r="13" spans="1:18" x14ac:dyDescent="0.25">
      <c r="A13" s="165">
        <v>36.69</v>
      </c>
      <c r="B13" s="165">
        <v>0.61</v>
      </c>
      <c r="C13" s="165">
        <v>15</v>
      </c>
      <c r="D13" s="8">
        <v>42717.458333333336</v>
      </c>
      <c r="E13" s="165">
        <v>0.41</v>
      </c>
      <c r="F13" s="165" t="s">
        <v>251</v>
      </c>
      <c r="G13" s="165">
        <v>304.97000000000003</v>
      </c>
      <c r="H13" s="165">
        <v>0</v>
      </c>
      <c r="I13" s="165">
        <v>0</v>
      </c>
      <c r="J13" s="165">
        <v>1017.98</v>
      </c>
      <c r="K13" s="165" t="s">
        <v>634</v>
      </c>
      <c r="L13" s="165">
        <v>36.69</v>
      </c>
      <c r="M13" s="165">
        <v>1481652000</v>
      </c>
      <c r="N13" s="165">
        <v>4.75</v>
      </c>
      <c r="O13" s="165">
        <v>110</v>
      </c>
      <c r="P13" s="165">
        <v>1.05</v>
      </c>
      <c r="Q13"/>
      <c r="R13"/>
    </row>
    <row r="14" spans="1:18" x14ac:dyDescent="0.25">
      <c r="A14" s="165">
        <v>39.39</v>
      </c>
      <c r="B14" s="165">
        <v>0.55000000000000004</v>
      </c>
      <c r="C14" s="165">
        <v>14.49</v>
      </c>
      <c r="D14" s="8">
        <v>42717.5</v>
      </c>
      <c r="E14" s="165">
        <v>0.36</v>
      </c>
      <c r="F14" s="165" t="s">
        <v>251</v>
      </c>
      <c r="G14" s="165">
        <v>305.62</v>
      </c>
      <c r="H14" s="165">
        <v>0</v>
      </c>
      <c r="I14" s="165">
        <v>0</v>
      </c>
      <c r="J14" s="165">
        <v>1016.49</v>
      </c>
      <c r="K14" s="165" t="s">
        <v>259</v>
      </c>
      <c r="L14" s="165">
        <v>39.39</v>
      </c>
      <c r="M14" s="165">
        <v>1481655600</v>
      </c>
      <c r="N14" s="165">
        <v>4.75</v>
      </c>
      <c r="O14" s="165">
        <v>2</v>
      </c>
      <c r="P14" s="165">
        <v>1.1599999999999999</v>
      </c>
      <c r="Q14"/>
      <c r="R14"/>
    </row>
    <row r="15" spans="1:18" x14ac:dyDescent="0.25">
      <c r="A15" s="165">
        <v>40.94</v>
      </c>
      <c r="B15" s="165">
        <v>0.42</v>
      </c>
      <c r="C15" s="165">
        <v>14.04</v>
      </c>
      <c r="D15" s="8">
        <v>42717.541666666664</v>
      </c>
      <c r="E15" s="165">
        <v>0.33</v>
      </c>
      <c r="F15" s="165" t="s">
        <v>251</v>
      </c>
      <c r="G15" s="165">
        <v>305.69</v>
      </c>
      <c r="H15" s="165">
        <v>0</v>
      </c>
      <c r="I15" s="165">
        <v>0</v>
      </c>
      <c r="J15" s="165">
        <v>1015.38</v>
      </c>
      <c r="K15" s="165" t="s">
        <v>259</v>
      </c>
      <c r="L15" s="165">
        <v>40.94</v>
      </c>
      <c r="M15" s="165">
        <v>1481659200</v>
      </c>
      <c r="N15" s="165">
        <v>4.75</v>
      </c>
      <c r="O15" s="165">
        <v>330</v>
      </c>
      <c r="P15" s="165">
        <v>2.0499999999999998</v>
      </c>
      <c r="Q15"/>
      <c r="R15"/>
    </row>
    <row r="16" spans="1:18" x14ac:dyDescent="0.25">
      <c r="A16" s="165">
        <v>42.16</v>
      </c>
      <c r="B16" s="165">
        <v>0.36</v>
      </c>
      <c r="C16" s="165">
        <v>14.21</v>
      </c>
      <c r="D16" s="8">
        <v>42717.583333333336</v>
      </c>
      <c r="E16" s="165">
        <v>0.3</v>
      </c>
      <c r="F16" s="165" t="s">
        <v>251</v>
      </c>
      <c r="G16" s="165">
        <v>305.27999999999997</v>
      </c>
      <c r="H16" s="165">
        <v>0</v>
      </c>
      <c r="I16" s="165">
        <v>0</v>
      </c>
      <c r="J16" s="165">
        <v>1014.69</v>
      </c>
      <c r="K16" s="165" t="s">
        <v>259</v>
      </c>
      <c r="L16" s="165">
        <v>43.66</v>
      </c>
      <c r="M16" s="165">
        <v>1481662800</v>
      </c>
      <c r="N16" s="165">
        <v>4.78</v>
      </c>
      <c r="O16" s="165">
        <v>313</v>
      </c>
      <c r="P16" s="165">
        <v>3.34</v>
      </c>
      <c r="Q16"/>
      <c r="R16"/>
    </row>
    <row r="17" spans="1:18" x14ac:dyDescent="0.25">
      <c r="A17" s="165">
        <v>42.27</v>
      </c>
      <c r="B17" s="165">
        <v>0.4</v>
      </c>
      <c r="C17" s="165">
        <v>10.08</v>
      </c>
      <c r="D17" s="8">
        <v>42717.625</v>
      </c>
      <c r="E17" s="165">
        <v>0.24</v>
      </c>
      <c r="F17" s="165" t="s">
        <v>251</v>
      </c>
      <c r="G17" s="165">
        <v>303.97000000000003</v>
      </c>
      <c r="H17" s="165">
        <v>0</v>
      </c>
      <c r="I17" s="165">
        <v>0</v>
      </c>
      <c r="J17" s="165">
        <v>1014.56</v>
      </c>
      <c r="K17" s="165" t="s">
        <v>259</v>
      </c>
      <c r="L17" s="165">
        <v>44.19</v>
      </c>
      <c r="M17" s="165">
        <v>1481666400</v>
      </c>
      <c r="N17" s="165">
        <v>4.88</v>
      </c>
      <c r="O17" s="165">
        <v>308</v>
      </c>
      <c r="P17" s="165">
        <v>3.87</v>
      </c>
      <c r="Q17"/>
      <c r="R17"/>
    </row>
    <row r="18" spans="1:18" x14ac:dyDescent="0.25">
      <c r="A18" s="165">
        <v>40.909999999999997</v>
      </c>
      <c r="B18" s="165">
        <v>0.48</v>
      </c>
      <c r="C18" s="165">
        <v>8.2100000000000009</v>
      </c>
      <c r="D18" s="8">
        <v>42717.666666666664</v>
      </c>
      <c r="E18" s="165">
        <v>0.24</v>
      </c>
      <c r="F18" s="165" t="s">
        <v>251</v>
      </c>
      <c r="G18" s="165">
        <v>302.18</v>
      </c>
      <c r="H18" s="165">
        <v>0</v>
      </c>
      <c r="I18" s="165">
        <v>0</v>
      </c>
      <c r="J18" s="165">
        <v>1014.73</v>
      </c>
      <c r="K18" s="165" t="s">
        <v>259</v>
      </c>
      <c r="L18" s="165">
        <v>42.26</v>
      </c>
      <c r="M18" s="165">
        <v>1481670000</v>
      </c>
      <c r="N18" s="165">
        <v>5.0999999999999996</v>
      </c>
      <c r="O18" s="165">
        <v>321</v>
      </c>
      <c r="P18" s="165">
        <v>3.01</v>
      </c>
      <c r="Q18"/>
      <c r="R18"/>
    </row>
    <row r="19" spans="1:18" x14ac:dyDescent="0.25">
      <c r="A19" s="165">
        <v>39.24</v>
      </c>
      <c r="B19" s="165">
        <v>0.53</v>
      </c>
      <c r="C19" s="165">
        <v>6.76</v>
      </c>
      <c r="D19" s="8">
        <v>42717.708333333336</v>
      </c>
      <c r="E19" s="165">
        <v>0.24</v>
      </c>
      <c r="F19" s="165" t="s">
        <v>250</v>
      </c>
      <c r="G19" s="165">
        <v>301.32</v>
      </c>
      <c r="H19" s="165">
        <v>0</v>
      </c>
      <c r="I19" s="165">
        <v>0</v>
      </c>
      <c r="J19" s="165">
        <v>1014.9</v>
      </c>
      <c r="K19" s="165" t="s">
        <v>259</v>
      </c>
      <c r="L19" s="165">
        <v>40.950000000000003</v>
      </c>
      <c r="M19" s="165">
        <v>1481673600</v>
      </c>
      <c r="N19" s="165">
        <v>5.52</v>
      </c>
      <c r="O19" s="165">
        <v>304</v>
      </c>
      <c r="P19" s="165">
        <v>3.18</v>
      </c>
      <c r="Q19"/>
      <c r="R19"/>
    </row>
    <row r="20" spans="1:18" x14ac:dyDescent="0.25">
      <c r="A20" s="165">
        <v>40.229999999999997</v>
      </c>
      <c r="B20" s="165">
        <v>0.38</v>
      </c>
      <c r="C20" s="165">
        <v>8.5299999999999994</v>
      </c>
      <c r="D20" s="8">
        <v>42717.75</v>
      </c>
      <c r="E20" s="165">
        <v>0.26</v>
      </c>
      <c r="F20" s="165" t="s">
        <v>250</v>
      </c>
      <c r="G20" s="165">
        <v>302.17</v>
      </c>
      <c r="H20" s="165">
        <v>0</v>
      </c>
      <c r="I20" s="165">
        <v>0</v>
      </c>
      <c r="J20" s="165">
        <v>1014.77</v>
      </c>
      <c r="K20" s="165" t="s">
        <v>259</v>
      </c>
      <c r="L20" s="165">
        <v>40.229999999999997</v>
      </c>
      <c r="M20" s="165">
        <v>1481677200</v>
      </c>
      <c r="N20" s="165">
        <v>6.29</v>
      </c>
      <c r="O20" s="165">
        <v>312</v>
      </c>
      <c r="P20" s="165">
        <v>2.88</v>
      </c>
      <c r="Q20"/>
      <c r="R20"/>
    </row>
    <row r="21" spans="1:18" x14ac:dyDescent="0.25">
      <c r="A21" s="165">
        <v>37.520000000000003</v>
      </c>
      <c r="B21" s="165">
        <v>0.26</v>
      </c>
      <c r="C21" s="165">
        <v>10.93</v>
      </c>
      <c r="D21" s="8">
        <v>42717.791666666664</v>
      </c>
      <c r="E21" s="165">
        <v>0.33</v>
      </c>
      <c r="F21" s="165" t="s">
        <v>250</v>
      </c>
      <c r="G21" s="165">
        <v>303.95</v>
      </c>
      <c r="H21" s="165">
        <v>0</v>
      </c>
      <c r="I21" s="165">
        <v>0</v>
      </c>
      <c r="J21" s="165">
        <v>1015.13</v>
      </c>
      <c r="K21" s="165" t="s">
        <v>259</v>
      </c>
      <c r="L21" s="165">
        <v>37.520000000000003</v>
      </c>
      <c r="M21" s="165">
        <v>1481680800</v>
      </c>
      <c r="N21" s="165">
        <v>7.57</v>
      </c>
      <c r="O21" s="165">
        <v>295</v>
      </c>
      <c r="P21" s="165">
        <v>0.05</v>
      </c>
      <c r="Q21"/>
      <c r="R21"/>
    </row>
    <row r="22" spans="1:18" x14ac:dyDescent="0.25">
      <c r="A22" s="165">
        <v>35.04</v>
      </c>
      <c r="B22" s="165">
        <v>0.18</v>
      </c>
      <c r="C22" s="165">
        <v>12.28</v>
      </c>
      <c r="D22" s="8">
        <v>42717.833333333336</v>
      </c>
      <c r="E22" s="165">
        <v>0.38</v>
      </c>
      <c r="F22" s="165" t="s">
        <v>329</v>
      </c>
      <c r="G22" s="165">
        <v>305.64999999999998</v>
      </c>
      <c r="H22" s="165">
        <v>0</v>
      </c>
      <c r="I22" s="165">
        <v>0</v>
      </c>
      <c r="J22" s="165">
        <v>1015.73</v>
      </c>
      <c r="K22" s="165" t="s">
        <v>330</v>
      </c>
      <c r="L22" s="165">
        <v>35.04</v>
      </c>
      <c r="M22" s="165">
        <v>1481684400</v>
      </c>
      <c r="N22" s="165">
        <v>7.85</v>
      </c>
      <c r="O22" s="165">
        <v>255</v>
      </c>
      <c r="P22" s="165">
        <v>0.42</v>
      </c>
      <c r="Q22"/>
      <c r="R22"/>
    </row>
    <row r="23" spans="1:18" x14ac:dyDescent="0.25">
      <c r="A23" s="165">
        <v>33.380000000000003</v>
      </c>
      <c r="B23" s="165">
        <v>0.22</v>
      </c>
      <c r="C23" s="165">
        <v>12.32</v>
      </c>
      <c r="D23" s="8">
        <v>42717.875</v>
      </c>
      <c r="E23" s="165">
        <v>0.41</v>
      </c>
      <c r="F23" s="165" t="s">
        <v>329</v>
      </c>
      <c r="G23" s="165">
        <v>307.2</v>
      </c>
      <c r="H23" s="165">
        <v>0</v>
      </c>
      <c r="I23" s="165">
        <v>0</v>
      </c>
      <c r="J23" s="165">
        <v>1016.56</v>
      </c>
      <c r="K23" s="165" t="s">
        <v>330</v>
      </c>
      <c r="L23" s="165">
        <v>33.380000000000003</v>
      </c>
      <c r="M23" s="165">
        <v>1481688000</v>
      </c>
      <c r="N23" s="165">
        <v>5.7</v>
      </c>
      <c r="O23" s="165">
        <v>262</v>
      </c>
      <c r="P23" s="165">
        <v>0.66</v>
      </c>
      <c r="Q23"/>
      <c r="R23"/>
    </row>
    <row r="24" spans="1:18" x14ac:dyDescent="0.25">
      <c r="A24" s="165">
        <v>31.23</v>
      </c>
      <c r="B24" s="165">
        <v>0.31</v>
      </c>
      <c r="C24" s="165">
        <v>12.3</v>
      </c>
      <c r="D24" s="8">
        <v>42717.916666666664</v>
      </c>
      <c r="E24" s="165">
        <v>0.45</v>
      </c>
      <c r="F24" s="165" t="s">
        <v>250</v>
      </c>
      <c r="G24" s="165">
        <v>308.68</v>
      </c>
      <c r="H24" s="165">
        <v>0</v>
      </c>
      <c r="I24" s="165">
        <v>0</v>
      </c>
      <c r="J24" s="165">
        <v>1017.62</v>
      </c>
      <c r="K24" s="165" t="s">
        <v>259</v>
      </c>
      <c r="L24" s="165">
        <v>31.23</v>
      </c>
      <c r="M24" s="165">
        <v>1481691600</v>
      </c>
      <c r="N24" s="165">
        <v>5.83</v>
      </c>
      <c r="O24" s="165">
        <v>325</v>
      </c>
      <c r="P24" s="165">
        <v>1.35</v>
      </c>
      <c r="Q24"/>
      <c r="R24"/>
    </row>
    <row r="25" spans="1:18" x14ac:dyDescent="0.25">
      <c r="A25" s="165">
        <v>29.7</v>
      </c>
      <c r="B25" s="165">
        <v>0.42</v>
      </c>
      <c r="C25" s="165">
        <v>14.01</v>
      </c>
      <c r="D25" s="8">
        <v>42717.958333333336</v>
      </c>
      <c r="E25" s="165">
        <v>0.51</v>
      </c>
      <c r="F25" s="165" t="s">
        <v>250</v>
      </c>
      <c r="G25" s="165">
        <v>309.33</v>
      </c>
      <c r="H25" s="165">
        <v>0</v>
      </c>
      <c r="I25" s="165">
        <v>0</v>
      </c>
      <c r="J25" s="165">
        <v>1018.76</v>
      </c>
      <c r="K25" s="165" t="s">
        <v>259</v>
      </c>
      <c r="L25" s="165">
        <v>29.7</v>
      </c>
      <c r="M25" s="165">
        <v>1481695200</v>
      </c>
      <c r="N25" s="165">
        <v>6.42</v>
      </c>
      <c r="O25" s="165">
        <v>345</v>
      </c>
      <c r="P25" s="165">
        <v>1.63</v>
      </c>
      <c r="Q25"/>
      <c r="R25"/>
    </row>
    <row r="26" spans="1:18" x14ac:dyDescent="0.25">
      <c r="A26" s="165">
        <v>28.42</v>
      </c>
      <c r="B26" s="165">
        <v>0.28000000000000003</v>
      </c>
      <c r="C26" s="165">
        <v>12.42</v>
      </c>
      <c r="D26" s="8">
        <v>42718</v>
      </c>
      <c r="E26" s="165">
        <v>0.51</v>
      </c>
      <c r="F26" s="165" t="s">
        <v>250</v>
      </c>
      <c r="G26" s="165">
        <v>308.10000000000002</v>
      </c>
      <c r="H26" s="165">
        <v>0</v>
      </c>
      <c r="I26" s="165">
        <v>0</v>
      </c>
      <c r="J26" s="165">
        <v>1019.89</v>
      </c>
      <c r="K26" s="165" t="s">
        <v>259</v>
      </c>
      <c r="L26" s="165">
        <v>28.42</v>
      </c>
      <c r="M26" s="165">
        <v>1481698800</v>
      </c>
      <c r="N26" s="165">
        <v>6.93</v>
      </c>
      <c r="O26" s="165">
        <v>357</v>
      </c>
      <c r="P26" s="165">
        <v>2.14</v>
      </c>
      <c r="Q26"/>
      <c r="R26"/>
    </row>
    <row r="27" spans="1:18" x14ac:dyDescent="0.25">
      <c r="A27" s="165">
        <v>27.74</v>
      </c>
      <c r="B27" s="165">
        <v>0.33</v>
      </c>
      <c r="C27" s="165">
        <v>13.16</v>
      </c>
      <c r="D27" s="8">
        <v>42718.041666666664</v>
      </c>
      <c r="E27" s="165">
        <v>0.54</v>
      </c>
      <c r="F27" s="165" t="s">
        <v>250</v>
      </c>
      <c r="G27" s="165">
        <v>306.87</v>
      </c>
      <c r="H27" s="165">
        <v>0</v>
      </c>
      <c r="I27" s="165">
        <v>0</v>
      </c>
      <c r="J27" s="165">
        <v>1021.06</v>
      </c>
      <c r="K27" s="165" t="s">
        <v>259</v>
      </c>
      <c r="L27" s="165">
        <v>27.74</v>
      </c>
      <c r="M27" s="165">
        <v>1481702400</v>
      </c>
      <c r="N27" s="165">
        <v>6.79</v>
      </c>
      <c r="O27" s="165">
        <v>339</v>
      </c>
      <c r="P27" s="165">
        <v>1.84</v>
      </c>
      <c r="Q27"/>
      <c r="R27"/>
    </row>
    <row r="28" spans="1:18" x14ac:dyDescent="0.25">
      <c r="A28" s="165">
        <v>26.76</v>
      </c>
      <c r="B28" s="165">
        <v>0.46</v>
      </c>
      <c r="C28" s="165">
        <v>14.28</v>
      </c>
      <c r="D28" s="8">
        <v>42718.083333333336</v>
      </c>
      <c r="E28" s="165">
        <v>0.59</v>
      </c>
      <c r="F28" s="165" t="s">
        <v>250</v>
      </c>
      <c r="G28" s="165">
        <v>305.64</v>
      </c>
      <c r="H28" s="165">
        <v>0</v>
      </c>
      <c r="I28" s="165">
        <v>0</v>
      </c>
      <c r="J28" s="165">
        <v>1022.19</v>
      </c>
      <c r="K28" s="165" t="s">
        <v>259</v>
      </c>
      <c r="L28" s="165">
        <v>26.76</v>
      </c>
      <c r="M28" s="165">
        <v>1481706000</v>
      </c>
      <c r="N28" s="165">
        <v>4.34</v>
      </c>
      <c r="O28" s="165">
        <v>338</v>
      </c>
      <c r="P28" s="165">
        <v>1.93</v>
      </c>
      <c r="Q28"/>
      <c r="R28"/>
    </row>
    <row r="29" spans="1:18" x14ac:dyDescent="0.25">
      <c r="A29" s="165">
        <v>24.12</v>
      </c>
      <c r="B29" s="165">
        <v>0.25</v>
      </c>
      <c r="C29" s="165">
        <v>12.02</v>
      </c>
      <c r="D29" s="8">
        <v>42718.125</v>
      </c>
      <c r="E29" s="165">
        <v>0.59</v>
      </c>
      <c r="F29" s="165" t="s">
        <v>250</v>
      </c>
      <c r="G29" s="165">
        <v>304.23</v>
      </c>
      <c r="H29" s="165">
        <v>0</v>
      </c>
      <c r="I29" s="165">
        <v>0</v>
      </c>
      <c r="J29" s="165">
        <v>1022.86</v>
      </c>
      <c r="K29" s="165" t="s">
        <v>259</v>
      </c>
      <c r="L29" s="165">
        <v>24.12</v>
      </c>
      <c r="M29" s="165">
        <v>1481709600</v>
      </c>
      <c r="N29" s="165">
        <v>6.66</v>
      </c>
      <c r="O29" s="165">
        <v>290</v>
      </c>
      <c r="P29" s="165">
        <v>0.96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7"/>
  <sheetViews>
    <sheetView topLeftCell="A2" workbookViewId="0">
      <selection activeCell="C20" sqref="C2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42717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801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802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803</v>
      </c>
      <c r="J20" t="s">
        <v>87</v>
      </c>
      <c r="M20" s="165" t="s">
        <v>257</v>
      </c>
    </row>
    <row r="21" spans="3:13" x14ac:dyDescent="0.25">
      <c r="C21" t="s">
        <v>804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805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806</v>
      </c>
      <c r="J23" s="29" t="s">
        <v>95</v>
      </c>
      <c r="K23" s="21"/>
      <c r="M23" s="165">
        <v>-7</v>
      </c>
    </row>
    <row r="24" spans="3:13" x14ac:dyDescent="0.25">
      <c r="C24" t="s">
        <v>807</v>
      </c>
      <c r="J24" s="21" t="s">
        <v>108</v>
      </c>
      <c r="K24" s="21"/>
      <c r="M24" s="165" t="s">
        <v>110</v>
      </c>
    </row>
    <row r="25" spans="3:13" x14ac:dyDescent="0.25">
      <c r="C25" t="s">
        <v>808</v>
      </c>
      <c r="J25" t="s">
        <v>151</v>
      </c>
      <c r="M25" s="165" t="b">
        <v>1</v>
      </c>
    </row>
    <row r="26" spans="3:13" x14ac:dyDescent="0.25">
      <c r="C26" t="s">
        <v>809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C:\Users\stu\Documents\GitHub\eaglep3-reporting\EC\2016-12-13-refined-times.txt</v>
      </c>
    </row>
    <row r="27" spans="3:13" x14ac:dyDescent="0.25">
      <c r="C27" t="e">
        <v>#N/A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C:\Users\stu\Documents\GitHub\eaglep3-reporting\EC\2016-12-13-Enforcements.txt</v>
      </c>
    </row>
    <row r="28" spans="3:13" x14ac:dyDescent="0.25">
      <c r="C28" t="s">
        <v>810</v>
      </c>
      <c r="J28" t="s">
        <v>189</v>
      </c>
      <c r="M28" s="165" t="str">
        <f>"C:\Users\stu\Documents\GitHub\eaglep3-reporting\EC\"&amp;TEXT(A2,"YYYY-MM-DD")&amp;"-Runs.txt"</f>
        <v>C:\Users\stu\Documents\GitHub\eaglep3-reporting\EC\2016-12-13-Runs.txt</v>
      </c>
    </row>
    <row r="29" spans="3:13" x14ac:dyDescent="0.25">
      <c r="C29" t="s">
        <v>811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C:\Users\stu\Documents\GitHub\eaglep3-reporting\EC\2016-12-13-Trips.txt</v>
      </c>
    </row>
    <row r="30" spans="3:13" x14ac:dyDescent="0.25">
      <c r="C30" t="s">
        <v>812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C:\Users\stu\Documents\GitHub\eaglep3-reporting\EC\2016-12-13-Weather.txt</v>
      </c>
    </row>
    <row r="31" spans="3:13" x14ac:dyDescent="0.25">
      <c r="C31" t="s">
        <v>813</v>
      </c>
    </row>
    <row r="32" spans="3:13" x14ac:dyDescent="0.25">
      <c r="C32" t="s">
        <v>814</v>
      </c>
    </row>
    <row r="33" spans="3:3" x14ac:dyDescent="0.25">
      <c r="C33" t="s">
        <v>815</v>
      </c>
    </row>
    <row r="34" spans="3:3" x14ac:dyDescent="0.25">
      <c r="C34" t="s">
        <v>816</v>
      </c>
    </row>
    <row r="35" spans="3:3" x14ac:dyDescent="0.25">
      <c r="C35" t="s">
        <v>817</v>
      </c>
    </row>
    <row r="36" spans="3:3" x14ac:dyDescent="0.25">
      <c r="C36" t="s">
        <v>818</v>
      </c>
    </row>
    <row r="37" spans="3:3" x14ac:dyDescent="0.25">
      <c r="C37" t="s">
        <v>819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09" workbookViewId="0">
      <selection activeCell="B115" sqref="B115:C122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838</v>
      </c>
      <c r="B1" t="str">
        <f t="shared" ref="B1:B52" si="0">MID(A1,6,23)</f>
        <v>2016/12/13 10:54:07.648</v>
      </c>
      <c r="C1" t="e">
        <f>ABS(B1-#REF!)</f>
        <v>#REF!</v>
      </c>
    </row>
    <row r="2" spans="1:3" x14ac:dyDescent="0.25">
      <c r="A2" t="s">
        <v>839</v>
      </c>
      <c r="B2" s="21" t="str">
        <f t="shared" si="0"/>
        <v>2016/12/13 10:54:07.669</v>
      </c>
      <c r="C2">
        <f>ABS(B2-B1)</f>
        <v>2.4305336410179734E-7</v>
      </c>
    </row>
    <row r="3" spans="1:3" x14ac:dyDescent="0.25">
      <c r="A3" t="s">
        <v>840</v>
      </c>
      <c r="B3" s="21" t="str">
        <f t="shared" si="0"/>
        <v>2016/12/13 10:54:08.452</v>
      </c>
      <c r="C3" s="21">
        <f t="shared" ref="C3:C52" si="1">ABS(B3-B2)</f>
        <v>9.0625035227276385E-6</v>
      </c>
    </row>
    <row r="4" spans="1:3" x14ac:dyDescent="0.25">
      <c r="A4" t="s">
        <v>841</v>
      </c>
      <c r="B4" s="21" t="str">
        <f t="shared" si="0"/>
        <v>2016/12/13 11:21:19.863</v>
      </c>
      <c r="C4" s="21">
        <f t="shared" si="1"/>
        <v>1.8882071759435348E-2</v>
      </c>
    </row>
    <row r="5" spans="1:3" x14ac:dyDescent="0.25">
      <c r="A5" t="s">
        <v>842</v>
      </c>
      <c r="B5" s="21" t="str">
        <f t="shared" si="0"/>
        <v>2016/12/13 11:41:03.141</v>
      </c>
      <c r="C5" s="21">
        <f t="shared" si="1"/>
        <v>1.3695347224711441E-2</v>
      </c>
    </row>
    <row r="6" spans="1:3" x14ac:dyDescent="0.25">
      <c r="A6" t="s">
        <v>843</v>
      </c>
      <c r="B6" s="21" t="str">
        <f t="shared" si="0"/>
        <v>2016/12/13 11:41:03.327</v>
      </c>
      <c r="C6" s="21">
        <f t="shared" si="1"/>
        <v>2.1527739590965211E-6</v>
      </c>
    </row>
    <row r="7" spans="1:3" x14ac:dyDescent="0.25">
      <c r="A7" t="s">
        <v>844</v>
      </c>
      <c r="B7" s="21" t="str">
        <f t="shared" si="0"/>
        <v>2016/12/13 11:41:03.562</v>
      </c>
      <c r="C7" s="21">
        <f t="shared" si="1"/>
        <v>2.7199057512916625E-6</v>
      </c>
    </row>
    <row r="8" spans="1:3" x14ac:dyDescent="0.25">
      <c r="A8" t="s">
        <v>845</v>
      </c>
      <c r="B8" s="21" t="str">
        <f t="shared" si="0"/>
        <v>2016/12/13 11:41:57.023</v>
      </c>
      <c r="C8" s="21">
        <f t="shared" si="1"/>
        <v>6.187615726958029E-4</v>
      </c>
    </row>
    <row r="9" spans="1:3" x14ac:dyDescent="0.25">
      <c r="A9" t="s">
        <v>846</v>
      </c>
      <c r="B9" s="21" t="str">
        <f t="shared" si="0"/>
        <v>2016/12/13 11:41:57.337</v>
      </c>
      <c r="C9" s="21">
        <f t="shared" si="1"/>
        <v>3.6342607927508652E-6</v>
      </c>
    </row>
    <row r="10" spans="1:3" x14ac:dyDescent="0.25">
      <c r="A10" t="s">
        <v>847</v>
      </c>
      <c r="B10" s="21" t="str">
        <f t="shared" si="0"/>
        <v>2016/12/13 11:41:58.039</v>
      </c>
      <c r="C10" s="21">
        <f t="shared" si="1"/>
        <v>8.1250036600977182E-6</v>
      </c>
    </row>
    <row r="11" spans="1:3" x14ac:dyDescent="0.25">
      <c r="A11" t="s">
        <v>848</v>
      </c>
      <c r="B11" s="21" t="str">
        <f t="shared" si="0"/>
        <v>2016/12/13 11:49:59.914</v>
      </c>
      <c r="C11" s="21">
        <f t="shared" si="1"/>
        <v>5.5772569394321181E-3</v>
      </c>
    </row>
    <row r="12" spans="1:3" x14ac:dyDescent="0.25">
      <c r="A12" t="s">
        <v>849</v>
      </c>
      <c r="B12" s="21" t="str">
        <f t="shared" si="0"/>
        <v>2016/12/13 11:49:59.917</v>
      </c>
      <c r="C12" s="21">
        <f t="shared" si="1"/>
        <v>3.4728145692497492E-8</v>
      </c>
    </row>
    <row r="13" spans="1:3" x14ac:dyDescent="0.25">
      <c r="A13" t="s">
        <v>850</v>
      </c>
      <c r="B13" s="21" t="str">
        <f t="shared" si="0"/>
        <v>2016/12/13 12:05:40.458</v>
      </c>
      <c r="C13" s="21">
        <f t="shared" si="1"/>
        <v>1.0885891198995523E-2</v>
      </c>
    </row>
    <row r="14" spans="1:3" x14ac:dyDescent="0.25">
      <c r="A14" t="s">
        <v>851</v>
      </c>
      <c r="B14" s="21" t="str">
        <f t="shared" si="0"/>
        <v>2016/12/13 12:05:40.654</v>
      </c>
      <c r="C14" s="21">
        <f t="shared" si="1"/>
        <v>2.2685198928229511E-6</v>
      </c>
    </row>
    <row r="15" spans="1:3" x14ac:dyDescent="0.25">
      <c r="A15" t="s">
        <v>852</v>
      </c>
      <c r="B15" s="21" t="str">
        <f t="shared" si="0"/>
        <v>2016/12/13 12:05:40.669</v>
      </c>
      <c r="C15" s="21">
        <f t="shared" si="1"/>
        <v>1.7361162463203073E-7</v>
      </c>
    </row>
    <row r="16" spans="1:3" x14ac:dyDescent="0.25">
      <c r="A16" t="s">
        <v>853</v>
      </c>
      <c r="B16" s="21" t="str">
        <f t="shared" si="0"/>
        <v>2016/12/13 12:19:43.256</v>
      </c>
      <c r="C16" s="21">
        <f t="shared" si="1"/>
        <v>9.7521643547224812E-3</v>
      </c>
    </row>
    <row r="17" spans="1:3" x14ac:dyDescent="0.25">
      <c r="A17" t="s">
        <v>854</v>
      </c>
      <c r="B17" s="21" t="str">
        <f t="shared" si="0"/>
        <v>2016/12/13 12:19:43.475</v>
      </c>
      <c r="C17" s="21">
        <f t="shared" si="1"/>
        <v>2.5347180780954659E-6</v>
      </c>
    </row>
    <row r="18" spans="1:3" x14ac:dyDescent="0.25">
      <c r="A18" t="s">
        <v>855</v>
      </c>
      <c r="B18" s="21" t="str">
        <f t="shared" si="0"/>
        <v>2016/12/13 12:19:43.630</v>
      </c>
      <c r="C18" s="21">
        <f t="shared" si="1"/>
        <v>1.793981937225908E-6</v>
      </c>
    </row>
    <row r="19" spans="1:3" x14ac:dyDescent="0.25">
      <c r="A19" t="s">
        <v>856</v>
      </c>
      <c r="B19" s="21" t="str">
        <f t="shared" si="0"/>
        <v>2016/12/13 12:53:33.877</v>
      </c>
      <c r="C19" s="21">
        <f t="shared" si="1"/>
        <v>2.3498229165852536E-2</v>
      </c>
    </row>
    <row r="20" spans="1:3" x14ac:dyDescent="0.25">
      <c r="A20" t="s">
        <v>857</v>
      </c>
      <c r="B20" s="21" t="str">
        <f t="shared" si="0"/>
        <v>2016/12/13 12:53:34.595</v>
      </c>
      <c r="C20" s="21">
        <f t="shared" si="1"/>
        <v>8.3101840573363006E-6</v>
      </c>
    </row>
    <row r="21" spans="1:3" x14ac:dyDescent="0.25">
      <c r="A21" t="s">
        <v>858</v>
      </c>
      <c r="B21" s="21" t="str">
        <f t="shared" si="0"/>
        <v>2016/12/13 12:55:31.622</v>
      </c>
      <c r="C21" s="21">
        <f t="shared" si="1"/>
        <v>1.354479172732681E-3</v>
      </c>
    </row>
    <row r="22" spans="1:3" x14ac:dyDescent="0.25">
      <c r="A22" t="s">
        <v>859</v>
      </c>
      <c r="B22" s="21" t="str">
        <f t="shared" si="0"/>
        <v>2016/12/13 12:55:32.245</v>
      </c>
      <c r="C22" s="21">
        <f t="shared" si="1"/>
        <v>7.2106486186385155E-6</v>
      </c>
    </row>
    <row r="23" spans="1:3" x14ac:dyDescent="0.25">
      <c r="A23" t="s">
        <v>860</v>
      </c>
      <c r="B23" s="21" t="str">
        <f t="shared" si="0"/>
        <v>2016/12/13 12:55:32.462</v>
      </c>
      <c r="C23" s="21">
        <f t="shared" si="1"/>
        <v>2.5115732569247484E-6</v>
      </c>
    </row>
    <row r="24" spans="1:3" x14ac:dyDescent="0.25">
      <c r="A24" t="s">
        <v>861</v>
      </c>
      <c r="B24" s="21" t="str">
        <f t="shared" si="0"/>
        <v>2016/12/13 13:14:41.580</v>
      </c>
      <c r="C24" s="21">
        <f t="shared" si="1"/>
        <v>1.3299976846610662E-2</v>
      </c>
    </row>
    <row r="25" spans="1:3" x14ac:dyDescent="0.25">
      <c r="A25" t="s">
        <v>862</v>
      </c>
      <c r="B25" s="21" t="str">
        <f t="shared" si="0"/>
        <v>2016/12/13 14:01:45.539</v>
      </c>
      <c r="C25" s="21">
        <f t="shared" si="1"/>
        <v>3.2684710648027249E-2</v>
      </c>
    </row>
    <row r="26" spans="1:3" x14ac:dyDescent="0.25">
      <c r="A26" t="s">
        <v>863</v>
      </c>
      <c r="B26" s="21" t="str">
        <f t="shared" si="0"/>
        <v>2016/12/13 14:55:47.272</v>
      </c>
      <c r="C26" s="21">
        <f t="shared" si="1"/>
        <v>3.7520057871006429E-2</v>
      </c>
    </row>
    <row r="27" spans="1:3" x14ac:dyDescent="0.25">
      <c r="A27" t="s">
        <v>864</v>
      </c>
      <c r="B27" s="21" t="str">
        <f t="shared" si="0"/>
        <v>2016/12/13 14:55:47.485</v>
      </c>
      <c r="C27" s="21">
        <f t="shared" si="1"/>
        <v>2.4652763386256993E-6</v>
      </c>
    </row>
    <row r="28" spans="1:3" x14ac:dyDescent="0.25">
      <c r="A28" t="s">
        <v>865</v>
      </c>
      <c r="B28" s="21" t="str">
        <f t="shared" si="0"/>
        <v>2016/12/13 14:55:47.635</v>
      </c>
      <c r="C28" s="21">
        <f t="shared" si="1"/>
        <v>1.7361162463203073E-6</v>
      </c>
    </row>
    <row r="29" spans="1:3" x14ac:dyDescent="0.25">
      <c r="A29" t="s">
        <v>866</v>
      </c>
      <c r="B29" s="21" t="str">
        <f t="shared" si="0"/>
        <v>2016/12/13 15:18:11.616</v>
      </c>
      <c r="C29" s="21">
        <f t="shared" si="1"/>
        <v>1.555533564533107E-2</v>
      </c>
    </row>
    <row r="30" spans="1:3" x14ac:dyDescent="0.25">
      <c r="A30" t="s">
        <v>867</v>
      </c>
      <c r="B30" s="21" t="str">
        <f t="shared" si="0"/>
        <v>2016/12/13 15:21:19.672</v>
      </c>
      <c r="C30" s="21">
        <f t="shared" si="1"/>
        <v>2.1765740748378448E-3</v>
      </c>
    </row>
    <row r="31" spans="1:3" x14ac:dyDescent="0.25">
      <c r="A31" t="s">
        <v>868</v>
      </c>
      <c r="B31" s="21" t="str">
        <f t="shared" si="0"/>
        <v>2016/12/13 15:21:19.691</v>
      </c>
      <c r="C31" s="21">
        <f t="shared" si="1"/>
        <v>2.1990854293107986E-7</v>
      </c>
    </row>
    <row r="32" spans="1:3" x14ac:dyDescent="0.25">
      <c r="A32" t="s">
        <v>869</v>
      </c>
      <c r="B32" s="21" t="str">
        <f t="shared" si="0"/>
        <v>2016/12/13 15:21:19.713</v>
      </c>
      <c r="C32" s="21">
        <f t="shared" si="1"/>
        <v>2.5462941266596317E-7</v>
      </c>
    </row>
    <row r="33" spans="1:3" x14ac:dyDescent="0.25">
      <c r="A33" t="s">
        <v>870</v>
      </c>
      <c r="B33" s="21" t="str">
        <f t="shared" si="0"/>
        <v>2016/12/13 15:21:20.635</v>
      </c>
      <c r="C33" s="21">
        <f t="shared" si="1"/>
        <v>1.067129778675735E-5</v>
      </c>
    </row>
    <row r="34" spans="1:3" x14ac:dyDescent="0.25">
      <c r="A34" t="s">
        <v>871</v>
      </c>
      <c r="B34" s="21" t="str">
        <f t="shared" si="0"/>
        <v>2016/12/13 15:21:20.655</v>
      </c>
      <c r="C34" s="21">
        <f t="shared" si="1"/>
        <v>2.3147731553763151E-7</v>
      </c>
    </row>
    <row r="35" spans="1:3" x14ac:dyDescent="0.25">
      <c r="A35" t="s">
        <v>872</v>
      </c>
      <c r="B35" s="21" t="str">
        <f t="shared" si="0"/>
        <v>2016/12/13 15:21:20.675</v>
      </c>
      <c r="C35" s="21">
        <f t="shared" si="1"/>
        <v>2.314845914952457E-7</v>
      </c>
    </row>
    <row r="36" spans="1:3" x14ac:dyDescent="0.25">
      <c r="A36" t="s">
        <v>873</v>
      </c>
      <c r="B36" s="21" t="str">
        <f t="shared" si="0"/>
        <v>2016/12/13 15:21:20.681</v>
      </c>
      <c r="C36" s="21">
        <f t="shared" si="1"/>
        <v>6.9441739469766617E-8</v>
      </c>
    </row>
    <row r="37" spans="1:3" x14ac:dyDescent="0.25">
      <c r="A37" t="s">
        <v>874</v>
      </c>
      <c r="B37" s="21" t="str">
        <f t="shared" si="0"/>
        <v>2016/12/13 15:21:20.701</v>
      </c>
      <c r="C37" s="21">
        <f t="shared" si="1"/>
        <v>2.314845914952457E-7</v>
      </c>
    </row>
    <row r="38" spans="1:3" x14ac:dyDescent="0.25">
      <c r="A38" t="s">
        <v>875</v>
      </c>
      <c r="B38" s="21" t="str">
        <f t="shared" si="0"/>
        <v>2016/12/13 15:21:20.722</v>
      </c>
      <c r="C38" s="21">
        <f t="shared" si="1"/>
        <v>2.4305336410179734E-7</v>
      </c>
    </row>
    <row r="39" spans="1:3" x14ac:dyDescent="0.25">
      <c r="A39" t="s">
        <v>876</v>
      </c>
      <c r="B39" s="21" t="str">
        <f t="shared" si="0"/>
        <v>2016/12/13 15:23:50.333</v>
      </c>
      <c r="C39" s="21">
        <f t="shared" si="1"/>
        <v>1.7316087978542782E-3</v>
      </c>
    </row>
    <row r="40" spans="1:3" x14ac:dyDescent="0.25">
      <c r="A40" t="s">
        <v>877</v>
      </c>
      <c r="B40" s="21" t="str">
        <f t="shared" si="0"/>
        <v>2016/12/13 15:23:51.372</v>
      </c>
      <c r="C40" s="21">
        <f t="shared" si="1"/>
        <v>1.2025462638121098E-5</v>
      </c>
    </row>
    <row r="41" spans="1:3" x14ac:dyDescent="0.25">
      <c r="A41" t="s">
        <v>878</v>
      </c>
      <c r="B41" s="21" t="str">
        <f t="shared" si="0"/>
        <v>2016/12/13 15:23:51.575</v>
      </c>
      <c r="C41" s="21">
        <f t="shared" si="1"/>
        <v>2.3495376808568835E-6</v>
      </c>
    </row>
    <row r="42" spans="1:3" x14ac:dyDescent="0.25">
      <c r="A42" t="s">
        <v>879</v>
      </c>
      <c r="B42" s="21" t="str">
        <f t="shared" si="0"/>
        <v>2016/12/13 15:51:21.285</v>
      </c>
      <c r="C42" s="21">
        <f t="shared" si="1"/>
        <v>1.9093865739705507E-2</v>
      </c>
    </row>
    <row r="43" spans="1:3" x14ac:dyDescent="0.25">
      <c r="A43" t="s">
        <v>880</v>
      </c>
      <c r="B43" s="21" t="str">
        <f t="shared" si="0"/>
        <v>2016/12/13 15:51:22.110</v>
      </c>
      <c r="C43" s="21">
        <f t="shared" si="1"/>
        <v>9.5486102509312332E-6</v>
      </c>
    </row>
    <row r="44" spans="1:3" x14ac:dyDescent="0.25">
      <c r="A44" t="s">
        <v>881</v>
      </c>
      <c r="B44" s="21" t="str">
        <f t="shared" si="0"/>
        <v>2016/12/13 15:51:22.410</v>
      </c>
      <c r="C44" s="21">
        <f t="shared" si="1"/>
        <v>3.4722252166830003E-6</v>
      </c>
    </row>
    <row r="45" spans="1:3" x14ac:dyDescent="0.25">
      <c r="A45" t="s">
        <v>882</v>
      </c>
      <c r="B45" s="21" t="str">
        <f t="shared" si="0"/>
        <v>2016/12/13 16:35:56.923</v>
      </c>
      <c r="C45" s="21">
        <f t="shared" si="1"/>
        <v>3.0955011570767965E-2</v>
      </c>
    </row>
    <row r="46" spans="1:3" x14ac:dyDescent="0.25">
      <c r="A46" t="s">
        <v>883</v>
      </c>
      <c r="B46" s="21" t="str">
        <f t="shared" si="0"/>
        <v>2016/12/13 16:35:56.963</v>
      </c>
      <c r="C46" s="21">
        <f t="shared" si="1"/>
        <v>4.6296190703287721E-7</v>
      </c>
    </row>
    <row r="47" spans="1:3" x14ac:dyDescent="0.25">
      <c r="A47" t="s">
        <v>884</v>
      </c>
      <c r="B47" s="21" t="str">
        <f t="shared" si="0"/>
        <v>2016/12/13 16:35:57.425</v>
      </c>
      <c r="C47" s="21">
        <f t="shared" si="1"/>
        <v>5.3472249419428408E-6</v>
      </c>
    </row>
    <row r="48" spans="1:3" x14ac:dyDescent="0.25">
      <c r="A48" t="s">
        <v>885</v>
      </c>
      <c r="B48" s="21" t="str">
        <f t="shared" si="0"/>
        <v>2016/12/13 16:36:35.265</v>
      </c>
      <c r="C48" s="21">
        <f t="shared" si="1"/>
        <v>4.3796296085929498E-4</v>
      </c>
    </row>
    <row r="49" spans="1:3" x14ac:dyDescent="0.25">
      <c r="A49" t="s">
        <v>886</v>
      </c>
      <c r="B49" s="21" t="str">
        <f t="shared" si="0"/>
        <v>2016/12/13 16:36:35.482</v>
      </c>
      <c r="C49" s="21">
        <f t="shared" si="1"/>
        <v>2.5115732569247484E-6</v>
      </c>
    </row>
    <row r="50" spans="1:3" x14ac:dyDescent="0.25">
      <c r="A50" t="s">
        <v>887</v>
      </c>
      <c r="B50" s="21" t="str">
        <f t="shared" si="0"/>
        <v>2016/12/13 16:36:35.635</v>
      </c>
      <c r="C50" s="21">
        <f t="shared" si="1"/>
        <v>1.7708371160551906E-6</v>
      </c>
    </row>
    <row r="51" spans="1:3" x14ac:dyDescent="0.25">
      <c r="A51" t="s">
        <v>888</v>
      </c>
      <c r="B51" s="21" t="str">
        <f t="shared" si="0"/>
        <v>2016/12/13 16:36:36.261</v>
      </c>
      <c r="C51" s="21">
        <f t="shared" si="1"/>
        <v>7.2453694883733988E-6</v>
      </c>
    </row>
    <row r="52" spans="1:3" x14ac:dyDescent="0.25">
      <c r="A52" t="s">
        <v>889</v>
      </c>
      <c r="B52" s="21" t="str">
        <f t="shared" si="0"/>
        <v>2016/12/13 16:54:58.003</v>
      </c>
      <c r="C52" s="21">
        <f t="shared" si="1"/>
        <v>1.2751643516821787E-2</v>
      </c>
    </row>
    <row r="53" spans="1:3" x14ac:dyDescent="0.25">
      <c r="A53" t="s">
        <v>890</v>
      </c>
      <c r="B53" s="21" t="str">
        <f t="shared" ref="B53:B80" si="2">MID(A53,6,23)</f>
        <v>2016/12/13 16:56:56.676</v>
      </c>
      <c r="C53" s="21">
        <f t="shared" ref="C53:C80" si="3">ABS(B53-B52)</f>
        <v>1.3735300963162445E-3</v>
      </c>
    </row>
    <row r="54" spans="1:3" x14ac:dyDescent="0.25">
      <c r="A54" t="s">
        <v>891</v>
      </c>
      <c r="B54" s="21" t="str">
        <f t="shared" si="2"/>
        <v>2016/12/13 16:56:57.300</v>
      </c>
      <c r="C54" s="21">
        <f t="shared" si="3"/>
        <v>7.2222173912450671E-6</v>
      </c>
    </row>
    <row r="55" spans="1:3" x14ac:dyDescent="0.25">
      <c r="A55" t="s">
        <v>892</v>
      </c>
      <c r="B55" s="21" t="str">
        <f t="shared" si="2"/>
        <v>2016/12/13 17:32:48.506</v>
      </c>
      <c r="C55" s="21">
        <f t="shared" si="3"/>
        <v>2.4898217598092742E-2</v>
      </c>
    </row>
    <row r="56" spans="1:3" x14ac:dyDescent="0.25">
      <c r="A56" t="s">
        <v>893</v>
      </c>
      <c r="B56" s="21" t="str">
        <f t="shared" si="2"/>
        <v>2016/12/13 17:32:48.976</v>
      </c>
      <c r="C56" s="21">
        <f t="shared" si="3"/>
        <v>5.4398115025833249E-6</v>
      </c>
    </row>
    <row r="57" spans="1:3" x14ac:dyDescent="0.25">
      <c r="A57" t="s">
        <v>894</v>
      </c>
      <c r="B57" s="21" t="str">
        <f t="shared" si="2"/>
        <v>2016/12/13 17:32:49.143</v>
      </c>
      <c r="C57" s="21">
        <f t="shared" si="3"/>
        <v>1.9328726921230555E-6</v>
      </c>
    </row>
    <row r="58" spans="1:3" x14ac:dyDescent="0.25">
      <c r="A58" t="s">
        <v>895</v>
      </c>
      <c r="B58" s="21" t="str">
        <f t="shared" si="2"/>
        <v>2016/12/13 17:37:11.280</v>
      </c>
      <c r="C58" s="21">
        <f t="shared" si="3"/>
        <v>3.0339930526679382E-3</v>
      </c>
    </row>
    <row r="59" spans="1:3" x14ac:dyDescent="0.25">
      <c r="A59" t="s">
        <v>896</v>
      </c>
      <c r="B59" s="21" t="str">
        <f t="shared" si="2"/>
        <v>2016/12/13 17:37:12.094</v>
      </c>
      <c r="C59" s="21">
        <f t="shared" si="3"/>
        <v>9.4212955445982516E-6</v>
      </c>
    </row>
    <row r="60" spans="1:3" x14ac:dyDescent="0.25">
      <c r="A60" t="s">
        <v>897</v>
      </c>
      <c r="B60" s="21" t="str">
        <f t="shared" si="2"/>
        <v>2016/12/13 17:37:12.393</v>
      </c>
      <c r="C60" s="21">
        <f t="shared" si="3"/>
        <v>3.4606491681188345E-6</v>
      </c>
    </row>
    <row r="61" spans="1:3" x14ac:dyDescent="0.25">
      <c r="A61" t="s">
        <v>898</v>
      </c>
      <c r="B61" s="21" t="str">
        <f t="shared" si="2"/>
        <v>2016/12/13 18:13:26.746</v>
      </c>
      <c r="C61" s="21">
        <f t="shared" si="3"/>
        <v>2.5166122686641756E-2</v>
      </c>
    </row>
    <row r="62" spans="1:3" x14ac:dyDescent="0.25">
      <c r="A62" t="s">
        <v>899</v>
      </c>
      <c r="B62" s="21" t="str">
        <f t="shared" si="2"/>
        <v>2016/12/13 18:13:26.755</v>
      </c>
      <c r="C62" s="21">
        <f t="shared" si="3"/>
        <v>1.0416260920464993E-7</v>
      </c>
    </row>
    <row r="63" spans="1:3" x14ac:dyDescent="0.25">
      <c r="A63" t="s">
        <v>900</v>
      </c>
      <c r="B63" s="21" t="str">
        <f t="shared" si="2"/>
        <v>2016/12/13 18:13:27.351</v>
      </c>
      <c r="C63" s="21">
        <f t="shared" si="3"/>
        <v>6.8981535150669515E-6</v>
      </c>
    </row>
    <row r="64" spans="1:3" x14ac:dyDescent="0.25">
      <c r="A64" t="s">
        <v>901</v>
      </c>
      <c r="B64" s="21" t="str">
        <f t="shared" si="2"/>
        <v>2016/12/13 18:13:27.361</v>
      </c>
      <c r="C64" s="21">
        <f t="shared" si="3"/>
        <v>1.1573865776881576E-7</v>
      </c>
    </row>
    <row r="65" spans="1:3" x14ac:dyDescent="0.25">
      <c r="A65" t="s">
        <v>902</v>
      </c>
      <c r="B65" s="21" t="str">
        <f t="shared" si="2"/>
        <v>2016/12/13 18:13:28.252</v>
      </c>
      <c r="C65" s="21">
        <f t="shared" si="3"/>
        <v>1.0312498488929123E-5</v>
      </c>
    </row>
    <row r="66" spans="1:3" x14ac:dyDescent="0.25">
      <c r="A66" t="s">
        <v>903</v>
      </c>
      <c r="B66" s="21" t="str">
        <f t="shared" si="2"/>
        <v>2016/12/13 18:13:28.262</v>
      </c>
      <c r="C66" s="21">
        <f t="shared" si="3"/>
        <v>1.1573865776881576E-7</v>
      </c>
    </row>
    <row r="67" spans="1:3" x14ac:dyDescent="0.25">
      <c r="A67" t="s">
        <v>904</v>
      </c>
      <c r="B67" s="21" t="str">
        <f t="shared" si="2"/>
        <v>2016/12/13 18:19:00.735</v>
      </c>
      <c r="C67" s="21">
        <f t="shared" si="3"/>
        <v>3.8480671355500817E-3</v>
      </c>
    </row>
    <row r="68" spans="1:3" x14ac:dyDescent="0.25">
      <c r="A68" t="s">
        <v>905</v>
      </c>
      <c r="B68" s="21" t="str">
        <f t="shared" si="2"/>
        <v>2016/12/13 18:38:07.244</v>
      </c>
      <c r="C68" s="21">
        <f t="shared" si="3"/>
        <v>1.3269780087284744E-2</v>
      </c>
    </row>
    <row r="69" spans="1:3" x14ac:dyDescent="0.25">
      <c r="A69" t="s">
        <v>906</v>
      </c>
      <c r="B69" s="21" t="str">
        <f t="shared" si="2"/>
        <v>2016/12/13 18:38:08.386</v>
      </c>
      <c r="C69" s="21">
        <f t="shared" si="3"/>
        <v>1.3217591913416982E-5</v>
      </c>
    </row>
    <row r="70" spans="1:3" x14ac:dyDescent="0.25">
      <c r="A70" t="s">
        <v>907</v>
      </c>
      <c r="B70" s="21" t="str">
        <f t="shared" si="2"/>
        <v>2016/12/13 19:27:10.499</v>
      </c>
      <c r="C70" s="21">
        <f t="shared" si="3"/>
        <v>3.4052233801048715E-2</v>
      </c>
    </row>
    <row r="71" spans="1:3" x14ac:dyDescent="0.25">
      <c r="A71" t="s">
        <v>908</v>
      </c>
      <c r="B71" s="21" t="str">
        <f t="shared" si="2"/>
        <v>2016/12/13 19:27:11.012</v>
      </c>
      <c r="C71" s="21">
        <f t="shared" si="3"/>
        <v>5.9375015553086996E-6</v>
      </c>
    </row>
    <row r="72" spans="1:3" x14ac:dyDescent="0.25">
      <c r="A72" t="s">
        <v>909</v>
      </c>
      <c r="B72" s="21" t="str">
        <f t="shared" si="2"/>
        <v>2016/12/13 19:27:12.147</v>
      </c>
      <c r="C72" s="21">
        <f t="shared" si="3"/>
        <v>1.3136574125383049E-5</v>
      </c>
    </row>
    <row r="73" spans="1:3" x14ac:dyDescent="0.25">
      <c r="A73" t="s">
        <v>910</v>
      </c>
      <c r="B73" s="21" t="str">
        <f t="shared" si="2"/>
        <v>2016/12/13 21:14:10.299</v>
      </c>
      <c r="C73" s="21">
        <f t="shared" si="3"/>
        <v>7.4284166665165685E-2</v>
      </c>
    </row>
    <row r="74" spans="1:3" x14ac:dyDescent="0.25">
      <c r="A74" t="s">
        <v>911</v>
      </c>
      <c r="B74" s="21" t="str">
        <f t="shared" si="2"/>
        <v>2016/12/13 21:14:11.113</v>
      </c>
      <c r="C74" s="21">
        <f t="shared" si="3"/>
        <v>9.4212955445982516E-6</v>
      </c>
    </row>
    <row r="75" spans="1:3" x14ac:dyDescent="0.25">
      <c r="A75" t="s">
        <v>912</v>
      </c>
      <c r="B75" s="21" t="str">
        <f t="shared" si="2"/>
        <v>2016/12/13 21:24:48.276</v>
      </c>
      <c r="C75" s="21">
        <f t="shared" si="3"/>
        <v>7.3745717600104399E-3</v>
      </c>
    </row>
    <row r="76" spans="1:3" x14ac:dyDescent="0.25">
      <c r="A76" t="s">
        <v>913</v>
      </c>
      <c r="B76" s="21" t="str">
        <f t="shared" si="2"/>
        <v>2016/12/13 21:24:48.395</v>
      </c>
      <c r="C76" s="21">
        <f t="shared" si="3"/>
        <v>1.3773096725344658E-6</v>
      </c>
    </row>
    <row r="77" spans="1:3" x14ac:dyDescent="0.25">
      <c r="A77" t="s">
        <v>914</v>
      </c>
      <c r="B77" s="21" t="str">
        <f t="shared" si="2"/>
        <v>2016/12/13 21:24:54.767</v>
      </c>
      <c r="C77" s="21">
        <f t="shared" si="3"/>
        <v>7.375000132014975E-5</v>
      </c>
    </row>
    <row r="78" spans="1:3" x14ac:dyDescent="0.25">
      <c r="A78" t="s">
        <v>915</v>
      </c>
      <c r="B78" s="21" t="str">
        <f t="shared" si="2"/>
        <v>2016/12/13 21:24:55.262</v>
      </c>
      <c r="C78" s="21">
        <f t="shared" si="3"/>
        <v>5.7291690609417856E-6</v>
      </c>
    </row>
    <row r="79" spans="1:3" x14ac:dyDescent="0.25">
      <c r="A79" t="s">
        <v>916</v>
      </c>
      <c r="B79" s="21" t="str">
        <f t="shared" si="2"/>
        <v>2016/12/13 21:24:55.355</v>
      </c>
      <c r="C79" s="21">
        <f t="shared" si="3"/>
        <v>1.0763906175270677E-6</v>
      </c>
    </row>
    <row r="80" spans="1:3" x14ac:dyDescent="0.25">
      <c r="A80" t="s">
        <v>917</v>
      </c>
      <c r="B80" s="21" t="str">
        <f t="shared" si="2"/>
        <v>2016/12/13 21:25:41.097</v>
      </c>
      <c r="C80" s="21">
        <f t="shared" si="3"/>
        <v>5.2942129696020856E-4</v>
      </c>
    </row>
    <row r="81" spans="1:3" x14ac:dyDescent="0.25">
      <c r="A81" t="s">
        <v>918</v>
      </c>
      <c r="B81" s="21" t="str">
        <f t="shared" ref="B81:B85" si="4">MID(A81,6,23)</f>
        <v>2016/12/13 21:25:41.273</v>
      </c>
      <c r="C81" s="21">
        <f t="shared" ref="C81:C85" si="5">ABS(B81-B80)</f>
        <v>2.0370353013277054E-6</v>
      </c>
    </row>
    <row r="82" spans="1:3" x14ac:dyDescent="0.25">
      <c r="A82" t="s">
        <v>919</v>
      </c>
      <c r="B82" s="21" t="str">
        <f t="shared" si="4"/>
        <v>2016/12/13 21:25:41.395</v>
      </c>
      <c r="C82" s="21">
        <f t="shared" si="5"/>
        <v>1.4120378182269633E-6</v>
      </c>
    </row>
    <row r="83" spans="1:3" x14ac:dyDescent="0.25">
      <c r="A83" t="s">
        <v>920</v>
      </c>
      <c r="B83" s="21" t="str">
        <f t="shared" si="4"/>
        <v>2016/12/13 21:53:47.260</v>
      </c>
      <c r="C83" s="21">
        <f t="shared" si="5"/>
        <v>1.9512326383846812E-2</v>
      </c>
    </row>
    <row r="84" spans="1:3" x14ac:dyDescent="0.25">
      <c r="A84" t="s">
        <v>921</v>
      </c>
      <c r="B84" s="21" t="str">
        <f t="shared" si="4"/>
        <v>2016/12/13 21:53:47.469</v>
      </c>
      <c r="C84" s="21">
        <f t="shared" si="5"/>
        <v>2.4189866962842643E-6</v>
      </c>
    </row>
    <row r="85" spans="1:3" x14ac:dyDescent="0.25">
      <c r="A85" t="s">
        <v>922</v>
      </c>
      <c r="B85" s="21" t="str">
        <f t="shared" si="4"/>
        <v>2016/12/13 21:53:47.632</v>
      </c>
      <c r="C85" s="21">
        <f t="shared" si="5"/>
        <v>1.8865757738240063E-6</v>
      </c>
    </row>
    <row r="86" spans="1:3" x14ac:dyDescent="0.25">
      <c r="A86" t="s">
        <v>923</v>
      </c>
      <c r="B86" s="21" t="str">
        <f t="shared" ref="B86:B115" si="6">MID(A86,6,23)</f>
        <v>2016/12/13 22:18:49.298</v>
      </c>
      <c r="C86" s="21">
        <f t="shared" ref="C86:C115" si="7">ABS(B86-B85)</f>
        <v>1.738039351766929E-2</v>
      </c>
    </row>
    <row r="87" spans="1:3" x14ac:dyDescent="0.25">
      <c r="A87" t="s">
        <v>924</v>
      </c>
      <c r="B87" s="21" t="str">
        <f t="shared" si="6"/>
        <v>2016/12/13 22:18:49.763</v>
      </c>
      <c r="C87" s="21">
        <f t="shared" si="7"/>
        <v>5.3819385357201099E-6</v>
      </c>
    </row>
    <row r="88" spans="1:3" x14ac:dyDescent="0.25">
      <c r="A88" t="s">
        <v>925</v>
      </c>
      <c r="B88" s="21" t="str">
        <f t="shared" si="6"/>
        <v>2016/12/13 22:40:45.987</v>
      </c>
      <c r="C88" s="21">
        <f t="shared" si="7"/>
        <v>1.5234074075124227E-2</v>
      </c>
    </row>
    <row r="89" spans="1:3" x14ac:dyDescent="0.25">
      <c r="A89" t="s">
        <v>926</v>
      </c>
      <c r="B89" s="21" t="str">
        <f t="shared" si="6"/>
        <v>2016/12/13 22:41:38.137</v>
      </c>
      <c r="C89" s="21">
        <f t="shared" si="7"/>
        <v>6.0358796326909214E-4</v>
      </c>
    </row>
    <row r="90" spans="1:3" x14ac:dyDescent="0.25">
      <c r="A90" t="s">
        <v>927</v>
      </c>
      <c r="B90" s="21" t="str">
        <f t="shared" si="6"/>
        <v>2016/12/13 22:41:38.498</v>
      </c>
      <c r="C90" s="21">
        <f t="shared" si="7"/>
        <v>4.1782404878176749E-6</v>
      </c>
    </row>
    <row r="91" spans="1:3" x14ac:dyDescent="0.25">
      <c r="A91" t="s">
        <v>928</v>
      </c>
      <c r="B91" s="21" t="str">
        <f t="shared" si="6"/>
        <v>2016/12/13 22:41:38.975</v>
      </c>
      <c r="C91" s="21">
        <f t="shared" si="7"/>
        <v>5.5208365665748715E-6</v>
      </c>
    </row>
    <row r="92" spans="1:3" x14ac:dyDescent="0.25">
      <c r="A92" t="s">
        <v>929</v>
      </c>
      <c r="B92" s="21" t="str">
        <f t="shared" si="6"/>
        <v>2016/12/13 22:56:02.517</v>
      </c>
      <c r="C92" s="21">
        <f t="shared" si="7"/>
        <v>9.9946990740136243E-3</v>
      </c>
    </row>
    <row r="93" spans="1:3" x14ac:dyDescent="0.25">
      <c r="A93" t="s">
        <v>930</v>
      </c>
      <c r="B93" s="21" t="str">
        <f t="shared" si="6"/>
        <v>2016/12/13 22:56:03.572</v>
      </c>
      <c r="C93" s="21">
        <f t="shared" si="7"/>
        <v>1.2210650311317295E-5</v>
      </c>
    </row>
    <row r="94" spans="1:3" x14ac:dyDescent="0.25">
      <c r="A94" t="s">
        <v>931</v>
      </c>
      <c r="B94" s="21" t="str">
        <f t="shared" si="6"/>
        <v>2016/12/13 22:56:03.837</v>
      </c>
      <c r="C94" s="21">
        <f t="shared" si="7"/>
        <v>3.0671290005557239E-6</v>
      </c>
    </row>
    <row r="95" spans="1:3" x14ac:dyDescent="0.25">
      <c r="A95" t="s">
        <v>932</v>
      </c>
      <c r="B95" s="21" t="str">
        <f t="shared" si="6"/>
        <v>2016/12/13 23:11:08.080</v>
      </c>
      <c r="C95" s="21">
        <f t="shared" si="7"/>
        <v>1.0465775463671889E-2</v>
      </c>
    </row>
    <row r="96" spans="1:3" x14ac:dyDescent="0.25">
      <c r="A96" t="s">
        <v>933</v>
      </c>
      <c r="B96" s="21" t="str">
        <f t="shared" si="6"/>
        <v>2016/12/13 23:11:08.275</v>
      </c>
      <c r="C96" s="21">
        <f t="shared" si="7"/>
        <v>2.2569438442587852E-6</v>
      </c>
    </row>
    <row r="97" spans="1:3" x14ac:dyDescent="0.25">
      <c r="A97" t="s">
        <v>934</v>
      </c>
      <c r="B97" s="21" t="str">
        <f t="shared" si="6"/>
        <v>2016/12/13 23:11:08.396</v>
      </c>
      <c r="C97" s="21">
        <f t="shared" si="7"/>
        <v>1.4004617696627975E-6</v>
      </c>
    </row>
    <row r="98" spans="1:3" x14ac:dyDescent="0.25">
      <c r="A98" t="s">
        <v>935</v>
      </c>
      <c r="B98" s="21" t="str">
        <f t="shared" si="6"/>
        <v>2016/12/13 23:36:55.682</v>
      </c>
      <c r="C98" s="21">
        <f t="shared" si="7"/>
        <v>1.7908402776811272E-2</v>
      </c>
    </row>
    <row r="99" spans="1:3" x14ac:dyDescent="0.25">
      <c r="A99" t="s">
        <v>936</v>
      </c>
      <c r="B99" s="21" t="str">
        <f t="shared" si="6"/>
        <v>2016/12/13 23:36:56.001</v>
      </c>
      <c r="C99" s="21">
        <f t="shared" si="7"/>
        <v>3.692126483656466E-6</v>
      </c>
    </row>
    <row r="100" spans="1:3" x14ac:dyDescent="0.25">
      <c r="A100" t="s">
        <v>937</v>
      </c>
      <c r="B100" s="21" t="str">
        <f t="shared" si="6"/>
        <v>2016/12/13 23:36:56.800</v>
      </c>
      <c r="C100" s="21">
        <f t="shared" si="7"/>
        <v>9.247691195923835E-6</v>
      </c>
    </row>
    <row r="101" spans="1:3" x14ac:dyDescent="0.25">
      <c r="A101" t="s">
        <v>938</v>
      </c>
      <c r="B101" s="21" t="str">
        <f t="shared" si="6"/>
        <v>2016/12/13 23:38:55.003</v>
      </c>
      <c r="C101" s="21">
        <f t="shared" si="7"/>
        <v>1.3680902775377035E-3</v>
      </c>
    </row>
    <row r="102" spans="1:3" x14ac:dyDescent="0.25">
      <c r="A102" t="s">
        <v>939</v>
      </c>
      <c r="B102" s="21" t="str">
        <f t="shared" si="6"/>
        <v>2016/12/14 00:02:37.803</v>
      </c>
      <c r="C102" s="21">
        <f t="shared" si="7"/>
        <v>1.6467592591652647E-2</v>
      </c>
    </row>
    <row r="103" spans="1:3" x14ac:dyDescent="0.25">
      <c r="A103" t="s">
        <v>940</v>
      </c>
      <c r="B103" s="21" t="str">
        <f t="shared" si="6"/>
        <v>2016/12/14 00:02:37.993</v>
      </c>
      <c r="C103" s="21">
        <f t="shared" si="7"/>
        <v>2.1990708773955703E-6</v>
      </c>
    </row>
    <row r="104" spans="1:3" x14ac:dyDescent="0.25">
      <c r="A104" t="s">
        <v>941</v>
      </c>
      <c r="B104" s="21" t="str">
        <f t="shared" si="6"/>
        <v>2016/12/14 00:02:38.692</v>
      </c>
      <c r="C104" s="21">
        <f t="shared" si="7"/>
        <v>8.0902755144052207E-6</v>
      </c>
    </row>
    <row r="105" spans="1:3" x14ac:dyDescent="0.25">
      <c r="A105" t="s">
        <v>942</v>
      </c>
      <c r="B105" s="21" t="str">
        <f t="shared" si="6"/>
        <v>2016/12/14 00:03:24.951</v>
      </c>
      <c r="C105" s="21">
        <f t="shared" si="7"/>
        <v>5.3540509543381631E-4</v>
      </c>
    </row>
    <row r="106" spans="1:3" x14ac:dyDescent="0.25">
      <c r="A106" t="s">
        <v>943</v>
      </c>
      <c r="B106" s="21" t="str">
        <f t="shared" si="6"/>
        <v>2016/12/14 00:03:25.677</v>
      </c>
      <c r="C106" s="21">
        <f t="shared" si="7"/>
        <v>8.4027778939343989E-6</v>
      </c>
    </row>
    <row r="107" spans="1:3" x14ac:dyDescent="0.25">
      <c r="A107" t="s">
        <v>944</v>
      </c>
      <c r="B107" s="21" t="str">
        <f t="shared" si="6"/>
        <v>2016/12/14 00:03:25.793</v>
      </c>
      <c r="C107" s="21">
        <f t="shared" si="7"/>
        <v>1.3425960787571967E-6</v>
      </c>
    </row>
    <row r="108" spans="1:3" x14ac:dyDescent="0.25">
      <c r="A108" t="s">
        <v>945</v>
      </c>
      <c r="B108" s="21" t="str">
        <f t="shared" si="6"/>
        <v>2016/12/14 00:45:25.470</v>
      </c>
      <c r="C108" s="21">
        <f t="shared" si="7"/>
        <v>2.9162928236473817E-2</v>
      </c>
    </row>
    <row r="109" spans="1:3" x14ac:dyDescent="0.25">
      <c r="A109" t="s">
        <v>946</v>
      </c>
      <c r="B109" s="21" t="str">
        <f t="shared" si="6"/>
        <v>2016/12/14 00:45:25.965</v>
      </c>
      <c r="C109" s="21">
        <f t="shared" si="7"/>
        <v>5.7291690609417856E-6</v>
      </c>
    </row>
    <row r="110" spans="1:3" x14ac:dyDescent="0.25">
      <c r="A110" t="s">
        <v>947</v>
      </c>
      <c r="B110" s="21" t="str">
        <f t="shared" si="6"/>
        <v>2016/12/14 00:45:26.285</v>
      </c>
      <c r="C110" s="21">
        <f t="shared" si="7"/>
        <v>3.7037025322206318E-6</v>
      </c>
    </row>
    <row r="111" spans="1:3" x14ac:dyDescent="0.25">
      <c r="A111" t="s">
        <v>948</v>
      </c>
      <c r="B111" s="21" t="str">
        <f t="shared" si="6"/>
        <v>2016/12/14 00:55:42.444</v>
      </c>
      <c r="C111" s="21">
        <f t="shared" si="7"/>
        <v>7.1314699089271016E-3</v>
      </c>
    </row>
    <row r="112" spans="1:3" x14ac:dyDescent="0.25">
      <c r="A112" t="s">
        <v>949</v>
      </c>
      <c r="B112" s="21" t="str">
        <f t="shared" si="6"/>
        <v>2016/12/14 01:52:31.764</v>
      </c>
      <c r="C112" s="21">
        <f t="shared" si="7"/>
        <v>3.9459722218452953E-2</v>
      </c>
    </row>
    <row r="113" spans="1:3" x14ac:dyDescent="0.25">
      <c r="A113" t="s">
        <v>950</v>
      </c>
      <c r="B113" s="21" t="str">
        <f t="shared" si="6"/>
        <v>2016/12/14 01:52:32.307</v>
      </c>
      <c r="C113" s="21">
        <f t="shared" si="7"/>
        <v>6.2847248045727611E-6</v>
      </c>
    </row>
    <row r="114" spans="1:3" x14ac:dyDescent="0.25">
      <c r="A114" t="s">
        <v>951</v>
      </c>
      <c r="B114" s="21" t="str">
        <f t="shared" si="6"/>
        <v>2016/12/14 03:37:33.260</v>
      </c>
      <c r="C114" s="21">
        <f t="shared" si="7"/>
        <v>7.2927696761325933E-2</v>
      </c>
    </row>
    <row r="115" spans="1:3" x14ac:dyDescent="0.25">
      <c r="A115" t="s">
        <v>952</v>
      </c>
      <c r="B115" s="21" t="str">
        <f t="shared" si="6"/>
        <v>2016/12/14 03:37:33.468</v>
      </c>
      <c r="C115" s="21">
        <f t="shared" si="7"/>
        <v>2.4074033717624843E-6</v>
      </c>
    </row>
    <row r="116" spans="1:3" x14ac:dyDescent="0.25">
      <c r="A116" t="s">
        <v>953</v>
      </c>
      <c r="B116" s="21" t="str">
        <f t="shared" ref="B116:B122" si="8">MID(A116,6,23)</f>
        <v>2016/12/14 03:38:21.671</v>
      </c>
      <c r="C116" s="21">
        <f t="shared" ref="C116:C122" si="9">ABS(B116-B115)</f>
        <v>5.579050921369344E-4</v>
      </c>
    </row>
    <row r="117" spans="1:3" x14ac:dyDescent="0.25">
      <c r="A117" t="s">
        <v>954</v>
      </c>
      <c r="B117" s="21" t="str">
        <f t="shared" si="8"/>
        <v>2016/12/14 03:38:21.789</v>
      </c>
      <c r="C117" s="21">
        <f t="shared" si="9"/>
        <v>1.3657408999279141E-6</v>
      </c>
    </row>
    <row r="118" spans="1:3" x14ac:dyDescent="0.25">
      <c r="A118" t="s">
        <v>955</v>
      </c>
      <c r="B118" s="21" t="str">
        <f t="shared" si="8"/>
        <v>2016/12/14 03:38:21.983</v>
      </c>
      <c r="C118" s="21">
        <f t="shared" si="9"/>
        <v>2.2453750716522336E-6</v>
      </c>
    </row>
    <row r="119" spans="1:3" x14ac:dyDescent="0.25">
      <c r="A119" t="s">
        <v>956</v>
      </c>
      <c r="B119" s="21" t="str">
        <f t="shared" si="8"/>
        <v>2016/12/14 07:35:30.672</v>
      </c>
      <c r="C119" s="21">
        <f t="shared" si="9"/>
        <v>0.16468390046065906</v>
      </c>
    </row>
    <row r="120" spans="1:3" x14ac:dyDescent="0.25">
      <c r="A120" t="s">
        <v>957</v>
      </c>
      <c r="B120" s="21" t="str">
        <f t="shared" si="8"/>
        <v>2016/12/14 07:35:30.797</v>
      </c>
      <c r="C120" s="21">
        <f t="shared" si="9"/>
        <v>1.4467586879618466E-6</v>
      </c>
    </row>
    <row r="121" spans="1:3" x14ac:dyDescent="0.25">
      <c r="A121" t="s">
        <v>958</v>
      </c>
      <c r="B121" s="21" t="str">
        <f t="shared" si="8"/>
        <v>2016/12/14 07:35:30.991</v>
      </c>
      <c r="C121" s="21">
        <f t="shared" si="9"/>
        <v>2.2453677956946194E-6</v>
      </c>
    </row>
    <row r="122" spans="1:3" x14ac:dyDescent="0.25">
      <c r="A122" t="s">
        <v>959</v>
      </c>
      <c r="B122" s="21" t="str">
        <f t="shared" si="8"/>
        <v>2016/12/14 08:00:49.298</v>
      </c>
      <c r="C122" s="21">
        <f t="shared" si="9"/>
        <v>1.7572997690876946E-2</v>
      </c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2016-12-15T16:19:40Z</dcterms:modified>
</cp:coreProperties>
</file>