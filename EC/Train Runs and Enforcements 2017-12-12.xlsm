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Runs'!$A$12:$AG$536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X159" i="1"/>
  <c r="P73" i="1"/>
  <c r="K51" i="1"/>
  <c r="L51" i="1"/>
  <c r="M51" i="1"/>
  <c r="V51" i="1"/>
  <c r="AA51" i="1"/>
  <c r="AB51" i="1"/>
  <c r="AC51" i="1"/>
  <c r="AD51" i="1"/>
  <c r="T51" i="1" s="1"/>
  <c r="AE51" i="1"/>
  <c r="AF51" i="1"/>
  <c r="AH51" i="1"/>
  <c r="AM51" i="1"/>
  <c r="AN51" i="1"/>
  <c r="AO51" i="1"/>
  <c r="X37" i="1"/>
  <c r="K35" i="1"/>
  <c r="M35" i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AO35" i="1"/>
  <c r="X23" i="1"/>
  <c r="K21" i="1"/>
  <c r="L21" i="1"/>
  <c r="M21" i="1"/>
  <c r="P21" i="1" s="1"/>
  <c r="V21" i="1"/>
  <c r="AA21" i="1"/>
  <c r="AB21" i="1"/>
  <c r="AC21" i="1"/>
  <c r="AD21" i="1"/>
  <c r="T21" i="1" s="1"/>
  <c r="AE21" i="1"/>
  <c r="AF21" i="1"/>
  <c r="AH21" i="1"/>
  <c r="AM21" i="1"/>
  <c r="AN21" i="1"/>
  <c r="AO21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AO20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R11" i="3" s="1"/>
  <c r="AF27" i="1"/>
  <c r="AH27" i="1"/>
  <c r="AM27" i="1"/>
  <c r="AN27" i="1"/>
  <c r="AO27" i="1"/>
  <c r="K28" i="1"/>
  <c r="L28" i="1"/>
  <c r="M28" i="1"/>
  <c r="N28" i="1" s="1"/>
  <c r="V28" i="1"/>
  <c r="S9" i="3" s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6" i="1"/>
  <c r="L36" i="1"/>
  <c r="M36" i="1"/>
  <c r="N36" i="1"/>
  <c r="V36" i="1"/>
  <c r="Y36" i="1"/>
  <c r="Z36" i="1"/>
  <c r="AA36" i="1"/>
  <c r="AB36" i="1"/>
  <c r="AC36" i="1"/>
  <c r="AD36" i="1"/>
  <c r="X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AA42" i="1" s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P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P50" i="1" s="1"/>
  <c r="V50" i="1"/>
  <c r="S16" i="3" s="1"/>
  <c r="Y50" i="1"/>
  <c r="Z50" i="1"/>
  <c r="AB50" i="1"/>
  <c r="AC50" i="1"/>
  <c r="AD50" i="1"/>
  <c r="AE50" i="1"/>
  <c r="AF50" i="1"/>
  <c r="AH50" i="1"/>
  <c r="AM50" i="1"/>
  <c r="AN50" i="1"/>
  <c r="AO50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/>
  <c r="V79" i="1"/>
  <c r="Y79" i="1"/>
  <c r="Z79" i="1"/>
  <c r="AA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S15" i="3" s="1"/>
  <c r="Y81" i="1"/>
  <c r="Z81" i="1"/>
  <c r="AA81" i="1" s="1"/>
  <c r="AB81" i="1"/>
  <c r="AC81" i="1"/>
  <c r="AD81" i="1"/>
  <c r="AE81" i="1"/>
  <c r="R15" i="3" s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8" i="3" s="1"/>
  <c r="Y86" i="1"/>
  <c r="AA86" i="1" s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AA94" i="1" s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P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S19" i="3" s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R8" i="3" s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P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AA144" i="1" s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T149" i="1"/>
  <c r="V149" i="1"/>
  <c r="Y149" i="1"/>
  <c r="AA149" i="1" s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X150" i="1"/>
  <c r="Y150" i="1"/>
  <c r="Z150" i="1"/>
  <c r="AA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/>
  <c r="V151" i="1"/>
  <c r="Y151" i="1"/>
  <c r="Z151" i="1"/>
  <c r="AA151" i="1" s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/>
  <c r="AB152" i="1"/>
  <c r="AC152" i="1"/>
  <c r="AD152" i="1"/>
  <c r="X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T155" i="1"/>
  <c r="V155" i="1"/>
  <c r="Y155" i="1"/>
  <c r="Z155" i="1"/>
  <c r="AA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A159" i="1"/>
  <c r="AB159" i="1"/>
  <c r="AC159" i="1"/>
  <c r="AD159" i="1"/>
  <c r="AE159" i="1"/>
  <c r="AF159" i="1"/>
  <c r="AH159" i="1"/>
  <c r="AM159" i="1"/>
  <c r="AN159" i="1"/>
  <c r="AO159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/>
  <c r="V210" i="1"/>
  <c r="Y210" i="1"/>
  <c r="Z210" i="1"/>
  <c r="AA210" i="1" s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T211" i="1"/>
  <c r="V211" i="1"/>
  <c r="Y211" i="1"/>
  <c r="Z211" i="1"/>
  <c r="AA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X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/>
  <c r="V214" i="1"/>
  <c r="Y214" i="1"/>
  <c r="Z214" i="1"/>
  <c r="AA214" i="1" s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171" i="1"/>
  <c r="AM171" i="1"/>
  <c r="AN171" i="1"/>
  <c r="AO171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3" i="1"/>
  <c r="AM173" i="1"/>
  <c r="AN173" i="1"/>
  <c r="AO17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4" i="1"/>
  <c r="AM174" i="1"/>
  <c r="AN174" i="1"/>
  <c r="AO17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5" i="1"/>
  <c r="AM175" i="1"/>
  <c r="AN175" i="1"/>
  <c r="AO175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76" i="1"/>
  <c r="AM176" i="1"/>
  <c r="AN176" i="1"/>
  <c r="AO176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77" i="1"/>
  <c r="AM177" i="1"/>
  <c r="AN177" i="1"/>
  <c r="AO17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8" i="1"/>
  <c r="AM178" i="1"/>
  <c r="AN178" i="1"/>
  <c r="AO178" i="1"/>
  <c r="K165" i="1"/>
  <c r="L165" i="1"/>
  <c r="M165" i="1"/>
  <c r="N165" i="1"/>
  <c r="V165" i="1"/>
  <c r="Y165" i="1"/>
  <c r="AA165" i="1" s="1"/>
  <c r="Z165" i="1"/>
  <c r="AB165" i="1"/>
  <c r="AC165" i="1"/>
  <c r="AD165" i="1"/>
  <c r="T165" i="1" s="1"/>
  <c r="AE165" i="1"/>
  <c r="AF165" i="1"/>
  <c r="AH179" i="1"/>
  <c r="AM179" i="1"/>
  <c r="AN179" i="1"/>
  <c r="AO17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0" i="1"/>
  <c r="AM180" i="1"/>
  <c r="AN180" i="1"/>
  <c r="AO180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81" i="1"/>
  <c r="AM181" i="1"/>
  <c r="AN181" i="1"/>
  <c r="AO181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82" i="1"/>
  <c r="AM182" i="1"/>
  <c r="AN182" i="1"/>
  <c r="AO182" i="1"/>
  <c r="K169" i="1"/>
  <c r="L169" i="1"/>
  <c r="M169" i="1"/>
  <c r="N169" i="1"/>
  <c r="V169" i="1"/>
  <c r="Y169" i="1"/>
  <c r="Z169" i="1"/>
  <c r="AB169" i="1"/>
  <c r="AC169" i="1"/>
  <c r="AD169" i="1"/>
  <c r="T169" i="1" s="1"/>
  <c r="AE169" i="1"/>
  <c r="AF169" i="1"/>
  <c r="AH183" i="1"/>
  <c r="AM183" i="1"/>
  <c r="AN183" i="1"/>
  <c r="AO183" i="1"/>
  <c r="K170" i="1"/>
  <c r="L170" i="1"/>
  <c r="M170" i="1"/>
  <c r="N170" i="1"/>
  <c r="V170" i="1"/>
  <c r="Y170" i="1"/>
  <c r="Z170" i="1"/>
  <c r="AB170" i="1"/>
  <c r="AC170" i="1"/>
  <c r="AD170" i="1"/>
  <c r="T170" i="1" s="1"/>
  <c r="AE170" i="1"/>
  <c r="AF170" i="1"/>
  <c r="AH184" i="1"/>
  <c r="AM184" i="1"/>
  <c r="AN184" i="1"/>
  <c r="AO184" i="1"/>
  <c r="K171" i="1"/>
  <c r="L171" i="1"/>
  <c r="M171" i="1"/>
  <c r="N171" i="1"/>
  <c r="V171" i="1"/>
  <c r="Y171" i="1"/>
  <c r="Z171" i="1"/>
  <c r="AB171" i="1"/>
  <c r="AC171" i="1"/>
  <c r="AD171" i="1"/>
  <c r="T171" i="1" s="1"/>
  <c r="AE171" i="1"/>
  <c r="AF171" i="1"/>
  <c r="AH185" i="1"/>
  <c r="AM185" i="1"/>
  <c r="AN185" i="1"/>
  <c r="AO185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86" i="1"/>
  <c r="AM186" i="1"/>
  <c r="AN186" i="1"/>
  <c r="AO186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187" i="1"/>
  <c r="AM187" i="1"/>
  <c r="AN187" i="1"/>
  <c r="AO187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188" i="1"/>
  <c r="AM188" i="1"/>
  <c r="AN188" i="1"/>
  <c r="AO188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189" i="1"/>
  <c r="AM189" i="1"/>
  <c r="AN189" i="1"/>
  <c r="AO189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190" i="1"/>
  <c r="AM190" i="1"/>
  <c r="AN190" i="1"/>
  <c r="AO190" i="1"/>
  <c r="K177" i="1"/>
  <c r="L177" i="1"/>
  <c r="M177" i="1"/>
  <c r="N177" i="1"/>
  <c r="V177" i="1"/>
  <c r="Y177" i="1"/>
  <c r="Z177" i="1"/>
  <c r="AB177" i="1"/>
  <c r="AC177" i="1"/>
  <c r="AD177" i="1"/>
  <c r="T177" i="1" s="1"/>
  <c r="AE177" i="1"/>
  <c r="AF177" i="1"/>
  <c r="AH191" i="1"/>
  <c r="AM191" i="1"/>
  <c r="AN191" i="1"/>
  <c r="AO191" i="1"/>
  <c r="K178" i="1"/>
  <c r="L178" i="1"/>
  <c r="M178" i="1"/>
  <c r="N178" i="1"/>
  <c r="V178" i="1"/>
  <c r="Y178" i="1"/>
  <c r="Z178" i="1"/>
  <c r="AB178" i="1"/>
  <c r="AC178" i="1"/>
  <c r="AD178" i="1"/>
  <c r="T178" i="1" s="1"/>
  <c r="AE178" i="1"/>
  <c r="AF178" i="1"/>
  <c r="AH192" i="1"/>
  <c r="AM192" i="1"/>
  <c r="AN192" i="1"/>
  <c r="AO192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193" i="1"/>
  <c r="AM193" i="1"/>
  <c r="AN193" i="1"/>
  <c r="AO193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194" i="1"/>
  <c r="AM194" i="1"/>
  <c r="AN194" i="1"/>
  <c r="AO194" i="1"/>
  <c r="K181" i="1"/>
  <c r="L181" i="1"/>
  <c r="M181" i="1"/>
  <c r="N181" i="1" s="1"/>
  <c r="V181" i="1"/>
  <c r="S22" i="3" s="1"/>
  <c r="Y181" i="1"/>
  <c r="Z181" i="1"/>
  <c r="AB181" i="1"/>
  <c r="AC181" i="1"/>
  <c r="AD181" i="1"/>
  <c r="T181" i="1" s="1"/>
  <c r="AE181" i="1"/>
  <c r="R22" i="3" s="1"/>
  <c r="AF181" i="1"/>
  <c r="AH195" i="1"/>
  <c r="AM195" i="1"/>
  <c r="AN195" i="1"/>
  <c r="AO19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6" i="1"/>
  <c r="AM196" i="1"/>
  <c r="AN196" i="1"/>
  <c r="AO196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197" i="1"/>
  <c r="AM197" i="1"/>
  <c r="AN197" i="1"/>
  <c r="AO19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8" i="1"/>
  <c r="AM198" i="1"/>
  <c r="AN198" i="1"/>
  <c r="AO19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99" i="1"/>
  <c r="AM199" i="1"/>
  <c r="AN199" i="1"/>
  <c r="AO19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0" i="1"/>
  <c r="AM200" i="1"/>
  <c r="AN200" i="1"/>
  <c r="AO200" i="1"/>
  <c r="K187" i="1"/>
  <c r="L187" i="1"/>
  <c r="M187" i="1"/>
  <c r="N187" i="1" s="1"/>
  <c r="V187" i="1"/>
  <c r="S20" i="3" s="1"/>
  <c r="Y187" i="1"/>
  <c r="Z187" i="1"/>
  <c r="AA187" i="1" s="1"/>
  <c r="AB187" i="1"/>
  <c r="AC187" i="1"/>
  <c r="AD187" i="1"/>
  <c r="T187" i="1" s="1"/>
  <c r="AE187" i="1"/>
  <c r="R20" i="3" s="1"/>
  <c r="AF187" i="1"/>
  <c r="AH201" i="1"/>
  <c r="AM201" i="1"/>
  <c r="AN201" i="1"/>
  <c r="AO20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2" i="1"/>
  <c r="AM202" i="1"/>
  <c r="AN202" i="1"/>
  <c r="AO20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3" i="1"/>
  <c r="AM203" i="1"/>
  <c r="AN203" i="1"/>
  <c r="AO20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4" i="1"/>
  <c r="AM204" i="1"/>
  <c r="AN204" i="1"/>
  <c r="AO20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5" i="1"/>
  <c r="AM205" i="1"/>
  <c r="AN205" i="1"/>
  <c r="AO205" i="1"/>
  <c r="K192" i="1"/>
  <c r="L192" i="1"/>
  <c r="M192" i="1"/>
  <c r="N192" i="1" s="1"/>
  <c r="V192" i="1"/>
  <c r="S21" i="3" s="1"/>
  <c r="Y192" i="1"/>
  <c r="Z192" i="1"/>
  <c r="AB192" i="1"/>
  <c r="AC192" i="1"/>
  <c r="AD192" i="1"/>
  <c r="T192" i="1" s="1"/>
  <c r="AE192" i="1"/>
  <c r="R21" i="3" s="1"/>
  <c r="AF192" i="1"/>
  <c r="AH206" i="1"/>
  <c r="AM206" i="1"/>
  <c r="AN206" i="1"/>
  <c r="AO20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7" i="1"/>
  <c r="AM207" i="1"/>
  <c r="AN207" i="1"/>
  <c r="AO20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8" i="1"/>
  <c r="AM208" i="1"/>
  <c r="AN208" i="1"/>
  <c r="AO20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09" i="1"/>
  <c r="AM209" i="1"/>
  <c r="AN209" i="1"/>
  <c r="AO209" i="1"/>
  <c r="K196" i="1"/>
  <c r="L196" i="1"/>
  <c r="M196" i="1"/>
  <c r="N196" i="1" s="1"/>
  <c r="V196" i="1"/>
  <c r="Y196" i="1"/>
  <c r="Z196" i="1"/>
  <c r="AA196" i="1"/>
  <c r="AB196" i="1"/>
  <c r="AC196" i="1"/>
  <c r="AD196" i="1"/>
  <c r="T196" i="1" s="1"/>
  <c r="AE196" i="1"/>
  <c r="AF196" i="1"/>
  <c r="AH210" i="1"/>
  <c r="AM210" i="1"/>
  <c r="AN210" i="1"/>
  <c r="AO21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1" i="1"/>
  <c r="AM211" i="1"/>
  <c r="AN211" i="1"/>
  <c r="AO211" i="1"/>
  <c r="K198" i="1"/>
  <c r="L198" i="1"/>
  <c r="M198" i="1"/>
  <c r="N198" i="1"/>
  <c r="V198" i="1"/>
  <c r="Y198" i="1"/>
  <c r="AA198" i="1" s="1"/>
  <c r="Z198" i="1"/>
  <c r="AB198" i="1"/>
  <c r="AC198" i="1"/>
  <c r="AD198" i="1"/>
  <c r="T198" i="1" s="1"/>
  <c r="AE198" i="1"/>
  <c r="AF198" i="1"/>
  <c r="AH212" i="1"/>
  <c r="AM212" i="1"/>
  <c r="AN212" i="1"/>
  <c r="AO21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3" i="1"/>
  <c r="AM213" i="1"/>
  <c r="AN213" i="1"/>
  <c r="AO21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4" i="1"/>
  <c r="AM214" i="1"/>
  <c r="AN214" i="1"/>
  <c r="AO214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15" i="1"/>
  <c r="AM215" i="1"/>
  <c r="AN215" i="1"/>
  <c r="AO21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6" i="1"/>
  <c r="AM216" i="1"/>
  <c r="AN216" i="1"/>
  <c r="AO21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7" i="1"/>
  <c r="AM217" i="1"/>
  <c r="AN217" i="1"/>
  <c r="AO217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18" i="1"/>
  <c r="AM218" i="1"/>
  <c r="AN218" i="1"/>
  <c r="AO218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19" i="1"/>
  <c r="AM219" i="1"/>
  <c r="AN219" i="1"/>
  <c r="AO21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0" i="1"/>
  <c r="AM220" i="1"/>
  <c r="AN220" i="1"/>
  <c r="AO22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1" i="1"/>
  <c r="AM221" i="1"/>
  <c r="AN221" i="1"/>
  <c r="AO221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22" i="1"/>
  <c r="AM222" i="1"/>
  <c r="AN222" i="1"/>
  <c r="AO222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23" i="1"/>
  <c r="AM223" i="1"/>
  <c r="AN223" i="1"/>
  <c r="AO22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24" i="1"/>
  <c r="AM224" i="1"/>
  <c r="AN224" i="1"/>
  <c r="AO22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25" i="1"/>
  <c r="AM225" i="1"/>
  <c r="AN225" i="1"/>
  <c r="AO225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6" i="1"/>
  <c r="AM226" i="1"/>
  <c r="AN226" i="1"/>
  <c r="AO22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7" i="1"/>
  <c r="AM227" i="1"/>
  <c r="AN227" i="1"/>
  <c r="AO227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8" i="1"/>
  <c r="AM228" i="1"/>
  <c r="AN228" i="1"/>
  <c r="AO22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9" i="1"/>
  <c r="AM229" i="1"/>
  <c r="AN229" i="1"/>
  <c r="AO229" i="1"/>
  <c r="K225" i="1"/>
  <c r="L225" i="1"/>
  <c r="M225" i="1"/>
  <c r="N225" i="1"/>
  <c r="V225" i="1"/>
  <c r="Y225" i="1"/>
  <c r="Z225" i="1"/>
  <c r="AB225" i="1"/>
  <c r="AC225" i="1"/>
  <c r="AD225" i="1"/>
  <c r="AE225" i="1"/>
  <c r="AF225" i="1"/>
  <c r="AH230" i="1"/>
  <c r="AM230" i="1"/>
  <c r="AN230" i="1"/>
  <c r="AO230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1" i="1"/>
  <c r="AM231" i="1"/>
  <c r="AN231" i="1"/>
  <c r="AO231" i="1"/>
  <c r="M11" i="3"/>
  <c r="S11" i="3"/>
  <c r="U11" i="3"/>
  <c r="AD11" i="3" s="1"/>
  <c r="V11" i="3"/>
  <c r="X11" i="3"/>
  <c r="M9" i="3"/>
  <c r="R9" i="3"/>
  <c r="U9" i="3"/>
  <c r="AC9" i="3" s="1"/>
  <c r="V9" i="3"/>
  <c r="X9" i="3"/>
  <c r="M10" i="3"/>
  <c r="R10" i="3"/>
  <c r="S10" i="3"/>
  <c r="T10" i="3"/>
  <c r="U10" i="3"/>
  <c r="AC10" i="3" s="1"/>
  <c r="V10" i="3"/>
  <c r="X10" i="3"/>
  <c r="M17" i="3"/>
  <c r="R17" i="3"/>
  <c r="S17" i="3"/>
  <c r="U17" i="3"/>
  <c r="T17" i="3" s="1"/>
  <c r="V17" i="3"/>
  <c r="X17" i="3"/>
  <c r="M12" i="3"/>
  <c r="R12" i="3"/>
  <c r="S12" i="3"/>
  <c r="U12" i="3"/>
  <c r="AC12" i="3" s="1"/>
  <c r="V12" i="3"/>
  <c r="X12" i="3"/>
  <c r="M16" i="3"/>
  <c r="R16" i="3"/>
  <c r="U16" i="3"/>
  <c r="AC16" i="3" s="1"/>
  <c r="V16" i="3"/>
  <c r="X16" i="3"/>
  <c r="M7" i="3"/>
  <c r="R7" i="3"/>
  <c r="S7" i="3"/>
  <c r="U7" i="3"/>
  <c r="T7" i="3" s="1"/>
  <c r="V7" i="3"/>
  <c r="X7" i="3"/>
  <c r="M13" i="3"/>
  <c r="R13" i="3"/>
  <c r="S13" i="3"/>
  <c r="U13" i="3"/>
  <c r="AD17" i="3" s="1"/>
  <c r="V13" i="3"/>
  <c r="X13" i="3"/>
  <c r="M15" i="3"/>
  <c r="U15" i="3"/>
  <c r="AC15" i="3" s="1"/>
  <c r="V15" i="3"/>
  <c r="X15" i="3"/>
  <c r="M18" i="3"/>
  <c r="R18" i="3"/>
  <c r="U18" i="3"/>
  <c r="T18" i="3" s="1"/>
  <c r="V18" i="3"/>
  <c r="X18" i="3"/>
  <c r="M22" i="3"/>
  <c r="U22" i="3"/>
  <c r="AC22" i="3" s="1"/>
  <c r="V22" i="3"/>
  <c r="X22" i="3"/>
  <c r="M20" i="3"/>
  <c r="U20" i="3"/>
  <c r="AC20" i="3" s="1"/>
  <c r="V20" i="3"/>
  <c r="X20" i="3"/>
  <c r="M21" i="3"/>
  <c r="U21" i="3"/>
  <c r="AC21" i="3" s="1"/>
  <c r="V21" i="3"/>
  <c r="X21" i="3"/>
  <c r="M24" i="3"/>
  <c r="R24" i="3"/>
  <c r="S24" i="3"/>
  <c r="U24" i="3"/>
  <c r="T24" i="3" s="1"/>
  <c r="V24" i="3"/>
  <c r="X24" i="3"/>
  <c r="M19" i="3"/>
  <c r="R19" i="3"/>
  <c r="U19" i="3"/>
  <c r="V19" i="3"/>
  <c r="X19" i="3"/>
  <c r="M14" i="3"/>
  <c r="R14" i="3"/>
  <c r="S14" i="3"/>
  <c r="U14" i="3"/>
  <c r="AC14" i="3" s="1"/>
  <c r="V14" i="3"/>
  <c r="X14" i="3"/>
  <c r="M8" i="3"/>
  <c r="S8" i="3"/>
  <c r="U8" i="3"/>
  <c r="T8" i="3" s="1"/>
  <c r="V8" i="3"/>
  <c r="X8" i="3"/>
  <c r="AG51" i="1"/>
  <c r="AG35" i="1"/>
  <c r="AG21" i="1"/>
  <c r="AG14" i="1"/>
  <c r="AG18" i="1"/>
  <c r="AG23" i="1"/>
  <c r="AG27" i="1"/>
  <c r="AG31" i="1"/>
  <c r="AG36" i="1"/>
  <c r="AG40" i="1"/>
  <c r="AG44" i="1"/>
  <c r="AG48" i="1"/>
  <c r="AG53" i="1"/>
  <c r="AG57" i="1"/>
  <c r="AG61" i="1"/>
  <c r="AG65" i="1"/>
  <c r="AG77" i="1"/>
  <c r="AG85" i="1"/>
  <c r="AG93" i="1"/>
  <c r="AG101" i="1"/>
  <c r="AG67" i="1"/>
  <c r="AG72" i="1"/>
  <c r="AG82" i="1"/>
  <c r="AG90" i="1"/>
  <c r="AG98" i="1"/>
  <c r="AG106" i="1"/>
  <c r="AG114" i="1"/>
  <c r="AG116" i="1"/>
  <c r="AG120" i="1"/>
  <c r="AG124" i="1"/>
  <c r="AG78" i="1"/>
  <c r="AG130" i="1"/>
  <c r="AG142" i="1"/>
  <c r="AG154" i="1"/>
  <c r="AG111" i="1"/>
  <c r="AG164" i="1"/>
  <c r="AG176" i="1"/>
  <c r="AG188" i="1"/>
  <c r="AG200" i="1"/>
  <c r="AG221" i="1"/>
  <c r="AG15" i="1"/>
  <c r="AG20" i="1"/>
  <c r="AG26" i="1"/>
  <c r="AG32" i="1"/>
  <c r="AG38" i="1"/>
  <c r="AG43" i="1"/>
  <c r="AG49" i="1"/>
  <c r="AG55" i="1"/>
  <c r="AG60" i="1"/>
  <c r="AG66" i="1"/>
  <c r="AG81" i="1"/>
  <c r="AG91" i="1"/>
  <c r="AG103" i="1"/>
  <c r="AG75" i="1"/>
  <c r="AG80" i="1"/>
  <c r="AG92" i="1"/>
  <c r="AG102" i="1"/>
  <c r="AG110" i="1"/>
  <c r="AG117" i="1"/>
  <c r="AG122" i="1"/>
  <c r="AG127" i="1"/>
  <c r="AG131" i="1"/>
  <c r="AG135" i="1"/>
  <c r="AG139" i="1"/>
  <c r="AG143" i="1"/>
  <c r="AG147" i="1"/>
  <c r="AG151" i="1"/>
  <c r="AG155" i="1"/>
  <c r="AG158" i="1"/>
  <c r="AG211" i="1"/>
  <c r="AG212" i="1"/>
  <c r="AG216" i="1"/>
  <c r="AG220" i="1"/>
  <c r="AG161" i="1"/>
  <c r="AG165" i="1"/>
  <c r="AG169" i="1"/>
  <c r="AG173" i="1"/>
  <c r="AG177" i="1"/>
  <c r="AG181" i="1"/>
  <c r="AG185" i="1"/>
  <c r="AG189" i="1"/>
  <c r="AG193" i="1"/>
  <c r="AG197" i="1"/>
  <c r="AG201" i="1"/>
  <c r="AG205" i="1"/>
  <c r="AG229" i="1"/>
  <c r="AG222" i="1"/>
  <c r="AG226" i="1"/>
  <c r="AG79" i="1"/>
  <c r="AG100" i="1"/>
  <c r="AG121" i="1"/>
  <c r="AG138" i="1"/>
  <c r="AG150" i="1"/>
  <c r="AG210" i="1"/>
  <c r="AG219" i="1"/>
  <c r="AG168" i="1"/>
  <c r="AG180" i="1"/>
  <c r="AG196" i="1"/>
  <c r="AG208" i="1"/>
  <c r="AG16" i="1"/>
  <c r="AG22" i="1"/>
  <c r="AG28" i="1"/>
  <c r="AG33" i="1"/>
  <c r="AG39" i="1"/>
  <c r="AG45" i="1"/>
  <c r="AG50" i="1"/>
  <c r="AG56" i="1"/>
  <c r="AG62" i="1"/>
  <c r="AG70" i="1"/>
  <c r="AG83" i="1"/>
  <c r="AG95" i="1"/>
  <c r="AG105" i="1"/>
  <c r="AG68" i="1"/>
  <c r="AG84" i="1"/>
  <c r="AG94" i="1"/>
  <c r="AG104" i="1"/>
  <c r="AG109" i="1"/>
  <c r="AG118" i="1"/>
  <c r="AG123" i="1"/>
  <c r="AG128" i="1"/>
  <c r="AG132" i="1"/>
  <c r="AG136" i="1"/>
  <c r="AG140" i="1"/>
  <c r="AG144" i="1"/>
  <c r="AG148" i="1"/>
  <c r="AG152" i="1"/>
  <c r="AG156" i="1"/>
  <c r="AG159" i="1"/>
  <c r="AG108" i="1"/>
  <c r="AG213" i="1"/>
  <c r="AG217" i="1"/>
  <c r="AG227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30" i="1"/>
  <c r="AG223" i="1"/>
  <c r="AG19" i="1"/>
  <c r="AG25" i="1"/>
  <c r="AG30" i="1"/>
  <c r="AG37" i="1"/>
  <c r="AG42" i="1"/>
  <c r="AG47" i="1"/>
  <c r="AG54" i="1"/>
  <c r="AG59" i="1"/>
  <c r="AG64" i="1"/>
  <c r="AG89" i="1"/>
  <c r="AG99" i="1"/>
  <c r="AG71" i="1"/>
  <c r="AG88" i="1"/>
  <c r="AG73" i="1"/>
  <c r="AG115" i="1"/>
  <c r="AG126" i="1"/>
  <c r="AG134" i="1"/>
  <c r="AG146" i="1"/>
  <c r="AG157" i="1"/>
  <c r="AG215" i="1"/>
  <c r="AG160" i="1"/>
  <c r="AG172" i="1"/>
  <c r="AG184" i="1"/>
  <c r="AG192" i="1"/>
  <c r="AG204" i="1"/>
  <c r="AG225" i="1"/>
  <c r="AG17" i="1"/>
  <c r="AG24" i="1"/>
  <c r="AG29" i="1"/>
  <c r="AG34" i="1"/>
  <c r="AG41" i="1"/>
  <c r="AG46" i="1"/>
  <c r="AG52" i="1"/>
  <c r="AG58" i="1"/>
  <c r="AG63" i="1"/>
  <c r="AG74" i="1"/>
  <c r="AG87" i="1"/>
  <c r="AG97" i="1"/>
  <c r="AG107" i="1"/>
  <c r="AG76" i="1"/>
  <c r="AG86" i="1"/>
  <c r="AG96" i="1"/>
  <c r="AG69" i="1"/>
  <c r="AG113" i="1"/>
  <c r="AG119" i="1"/>
  <c r="AG125" i="1"/>
  <c r="AG129" i="1"/>
  <c r="AG133" i="1"/>
  <c r="AG137" i="1"/>
  <c r="AG141" i="1"/>
  <c r="AG145" i="1"/>
  <c r="AG149" i="1"/>
  <c r="AG153" i="1"/>
  <c r="AG209" i="1"/>
  <c r="AG112" i="1"/>
  <c r="AG214" i="1"/>
  <c r="AG218" i="1"/>
  <c r="AG228" i="1"/>
  <c r="AG163" i="1"/>
  <c r="AG167" i="1"/>
  <c r="AG171" i="1"/>
  <c r="AG175" i="1"/>
  <c r="AG179" i="1"/>
  <c r="AG183" i="1"/>
  <c r="AG187" i="1"/>
  <c r="AG191" i="1"/>
  <c r="AG195" i="1"/>
  <c r="AG199" i="1"/>
  <c r="AG203" i="1"/>
  <c r="AG207" i="1"/>
  <c r="AG231" i="1"/>
  <c r="AG224" i="1"/>
  <c r="W11" i="3"/>
  <c r="W19" i="3"/>
  <c r="W24" i="3"/>
  <c r="W18" i="3"/>
  <c r="W13" i="3"/>
  <c r="W9" i="3"/>
  <c r="W14" i="3"/>
  <c r="W10" i="3"/>
  <c r="W22" i="3"/>
  <c r="W12" i="3"/>
  <c r="W16" i="3"/>
  <c r="W7" i="3"/>
  <c r="W21" i="3"/>
  <c r="W20" i="3"/>
  <c r="W8" i="3"/>
  <c r="W17" i="3"/>
  <c r="W15" i="3"/>
  <c r="AA190" i="1" l="1"/>
  <c r="AA186" i="1"/>
  <c r="AA182" i="1"/>
  <c r="AA161" i="1"/>
  <c r="AA219" i="1"/>
  <c r="AA217" i="1"/>
  <c r="AA216" i="1"/>
  <c r="AA138" i="1"/>
  <c r="AA133" i="1"/>
  <c r="AA129" i="1"/>
  <c r="AA125" i="1"/>
  <c r="AA110" i="1"/>
  <c r="AA107" i="1"/>
  <c r="AA106" i="1"/>
  <c r="AA95" i="1"/>
  <c r="AA91" i="1"/>
  <c r="AA35" i="1"/>
  <c r="X51" i="1"/>
  <c r="AC13" i="3"/>
  <c r="AC17" i="3"/>
  <c r="AA223" i="1"/>
  <c r="AA200" i="1"/>
  <c r="AA140" i="1"/>
  <c r="AA116" i="1"/>
  <c r="AA112" i="1"/>
  <c r="AA71" i="1"/>
  <c r="AA57" i="1"/>
  <c r="X22" i="1"/>
  <c r="AA225" i="1"/>
  <c r="AA206" i="1"/>
  <c r="AA202" i="1"/>
  <c r="AA194" i="1"/>
  <c r="AA164" i="1"/>
  <c r="AA160" i="1"/>
  <c r="AA215" i="1"/>
  <c r="AA154" i="1"/>
  <c r="AA153" i="1"/>
  <c r="AA148" i="1"/>
  <c r="AA147" i="1"/>
  <c r="AA142" i="1"/>
  <c r="AA137" i="1"/>
  <c r="AA136" i="1"/>
  <c r="AA132" i="1"/>
  <c r="AA128" i="1"/>
  <c r="AA124" i="1"/>
  <c r="AA105" i="1"/>
  <c r="AA101" i="1"/>
  <c r="AA38" i="1"/>
  <c r="AA31" i="1"/>
  <c r="AA27" i="1"/>
  <c r="AA23" i="1"/>
  <c r="AA18" i="1"/>
  <c r="AI51" i="1"/>
  <c r="U51" i="1"/>
  <c r="W51" i="1"/>
  <c r="AI35" i="1"/>
  <c r="U35" i="1"/>
  <c r="S35" i="1" s="1"/>
  <c r="W35" i="1"/>
  <c r="X35" i="1"/>
  <c r="AI21" i="1"/>
  <c r="U21" i="1"/>
  <c r="S21" i="1" s="1"/>
  <c r="W21" i="1"/>
  <c r="X21" i="1"/>
  <c r="T16" i="3"/>
  <c r="AC11" i="3"/>
  <c r="AE11" i="3"/>
  <c r="AD16" i="3"/>
  <c r="AA115" i="1"/>
  <c r="AA103" i="1"/>
  <c r="AA102" i="1"/>
  <c r="AA99" i="1"/>
  <c r="AA98" i="1"/>
  <c r="AA93" i="1"/>
  <c r="AA77" i="1"/>
  <c r="AA72" i="1"/>
  <c r="AA64" i="1"/>
  <c r="AA54" i="1"/>
  <c r="AA52" i="1"/>
  <c r="AA50" i="1"/>
  <c r="AA37" i="1"/>
  <c r="AA34" i="1"/>
  <c r="AA30" i="1"/>
  <c r="AA26" i="1"/>
  <c r="AA22" i="1"/>
  <c r="AA17" i="1"/>
  <c r="AA230" i="1"/>
  <c r="X219" i="1"/>
  <c r="X156" i="1"/>
  <c r="X148" i="1"/>
  <c r="AA85" i="1"/>
  <c r="AA58" i="1"/>
  <c r="AA56" i="1"/>
  <c r="AA41" i="1"/>
  <c r="AA39" i="1"/>
  <c r="AA226" i="1"/>
  <c r="AA222" i="1"/>
  <c r="AA221" i="1"/>
  <c r="AA197" i="1"/>
  <c r="AA193" i="1"/>
  <c r="AA192" i="1"/>
  <c r="AA188" i="1"/>
  <c r="AA184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6" i="1"/>
  <c r="AA220" i="1"/>
  <c r="X213" i="1"/>
  <c r="X149" i="1"/>
  <c r="AA143" i="1"/>
  <c r="AA139" i="1"/>
  <c r="AA135" i="1"/>
  <c r="AA109" i="1"/>
  <c r="AA87" i="1"/>
  <c r="AA83" i="1"/>
  <c r="AA82" i="1"/>
  <c r="AA75" i="1"/>
  <c r="AA74" i="1"/>
  <c r="AA67" i="1"/>
  <c r="X64" i="1"/>
  <c r="X60" i="1"/>
  <c r="AA45" i="1"/>
  <c r="AA43" i="1"/>
  <c r="AA32" i="1"/>
  <c r="AA28" i="1"/>
  <c r="AA24" i="1"/>
  <c r="AA19" i="1"/>
  <c r="AA15" i="1"/>
  <c r="AA189" i="1"/>
  <c r="AA185" i="1"/>
  <c r="AA181" i="1"/>
  <c r="AA49" i="1"/>
  <c r="AA47" i="1"/>
  <c r="AA16" i="1"/>
  <c r="AA224" i="1"/>
  <c r="AA207" i="1"/>
  <c r="AA199" i="1"/>
  <c r="AA191" i="1"/>
  <c r="AA231" i="1"/>
  <c r="AA203" i="1"/>
  <c r="AA195" i="1"/>
  <c r="X227" i="1"/>
  <c r="T227" i="1"/>
  <c r="T159" i="1"/>
  <c r="T152" i="1"/>
  <c r="AA121" i="1"/>
  <c r="AA120" i="1"/>
  <c r="AA119" i="1"/>
  <c r="AA118" i="1"/>
  <c r="AA111" i="1"/>
  <c r="AA104" i="1"/>
  <c r="AA96" i="1"/>
  <c r="AA88" i="1"/>
  <c r="AA80" i="1"/>
  <c r="AA73" i="1"/>
  <c r="AA68" i="1"/>
  <c r="X65" i="1"/>
  <c r="AA63" i="1"/>
  <c r="AA62" i="1"/>
  <c r="AA61" i="1"/>
  <c r="X161" i="1"/>
  <c r="X160" i="1"/>
  <c r="X215" i="1"/>
  <c r="X214" i="1"/>
  <c r="AA213" i="1"/>
  <c r="X211" i="1"/>
  <c r="X210" i="1"/>
  <c r="X155" i="1"/>
  <c r="X154" i="1"/>
  <c r="X147" i="1"/>
  <c r="AA14" i="1"/>
  <c r="X228" i="1"/>
  <c r="T220" i="1"/>
  <c r="X217" i="1"/>
  <c r="T212" i="1"/>
  <c r="X209" i="1"/>
  <c r="T158" i="1"/>
  <c r="X153" i="1"/>
  <c r="T151" i="1"/>
  <c r="AA114" i="1"/>
  <c r="AA108" i="1"/>
  <c r="AA100" i="1"/>
  <c r="AA92" i="1"/>
  <c r="AA84" i="1"/>
  <c r="AA76" i="1"/>
  <c r="AA70" i="1"/>
  <c r="AA66" i="1"/>
  <c r="AA65" i="1"/>
  <c r="X61" i="1"/>
  <c r="AA59" i="1"/>
  <c r="AI231" i="1"/>
  <c r="AI230" i="1"/>
  <c r="U224" i="1"/>
  <c r="S224" i="1" s="1"/>
  <c r="AI229" i="1"/>
  <c r="U223" i="1"/>
  <c r="S223" i="1" s="1"/>
  <c r="AI228" i="1"/>
  <c r="U222" i="1"/>
  <c r="S222" i="1" s="1"/>
  <c r="AI227" i="1"/>
  <c r="U221" i="1"/>
  <c r="S221" i="1" s="1"/>
  <c r="AI226" i="1"/>
  <c r="U231" i="1"/>
  <c r="S231" i="1" s="1"/>
  <c r="AI225" i="1"/>
  <c r="U230" i="1"/>
  <c r="S230" i="1" s="1"/>
  <c r="AI224" i="1"/>
  <c r="U229" i="1"/>
  <c r="S229" i="1" s="1"/>
  <c r="AI223" i="1"/>
  <c r="U208" i="1"/>
  <c r="S208" i="1" s="1"/>
  <c r="AI222" i="1"/>
  <c r="U207" i="1"/>
  <c r="S207" i="1" s="1"/>
  <c r="W207" i="1"/>
  <c r="AI221" i="1"/>
  <c r="U206" i="1"/>
  <c r="S206" i="1" s="1"/>
  <c r="AI220" i="1"/>
  <c r="U205" i="1"/>
  <c r="S205" i="1" s="1"/>
  <c r="AI219" i="1"/>
  <c r="U204" i="1"/>
  <c r="S204" i="1" s="1"/>
  <c r="AI218" i="1"/>
  <c r="U203" i="1"/>
  <c r="S203" i="1" s="1"/>
  <c r="AI217" i="1"/>
  <c r="U202" i="1"/>
  <c r="S202" i="1" s="1"/>
  <c r="AI216" i="1"/>
  <c r="U201" i="1"/>
  <c r="S201" i="1" s="1"/>
  <c r="AI215" i="1"/>
  <c r="U200" i="1"/>
  <c r="S200" i="1" s="1"/>
  <c r="AI214" i="1"/>
  <c r="U199" i="1"/>
  <c r="S199" i="1" s="1"/>
  <c r="AI213" i="1"/>
  <c r="U198" i="1"/>
  <c r="S198" i="1" s="1"/>
  <c r="AI212" i="1"/>
  <c r="U197" i="1"/>
  <c r="S197" i="1" s="1"/>
  <c r="AI211" i="1"/>
  <c r="U196" i="1"/>
  <c r="S196" i="1" s="1"/>
  <c r="AI210" i="1"/>
  <c r="U195" i="1"/>
  <c r="S195" i="1" s="1"/>
  <c r="AI209" i="1"/>
  <c r="U194" i="1"/>
  <c r="S194" i="1" s="1"/>
  <c r="AI208" i="1"/>
  <c r="U193" i="1"/>
  <c r="S193" i="1" s="1"/>
  <c r="AI207" i="1"/>
  <c r="U192" i="1"/>
  <c r="S192" i="1" s="1"/>
  <c r="AI206" i="1"/>
  <c r="U191" i="1"/>
  <c r="S191" i="1" s="1"/>
  <c r="AI205" i="1"/>
  <c r="U190" i="1"/>
  <c r="S190" i="1" s="1"/>
  <c r="AI204" i="1"/>
  <c r="U189" i="1"/>
  <c r="S189" i="1" s="1"/>
  <c r="AI203" i="1"/>
  <c r="U188" i="1"/>
  <c r="S188" i="1" s="1"/>
  <c r="AI202" i="1"/>
  <c r="U187" i="1"/>
  <c r="S187" i="1" s="1"/>
  <c r="AI201" i="1"/>
  <c r="U186" i="1"/>
  <c r="S186" i="1" s="1"/>
  <c r="AI200" i="1"/>
  <c r="U185" i="1"/>
  <c r="S185" i="1" s="1"/>
  <c r="AI199" i="1"/>
  <c r="U184" i="1"/>
  <c r="S184" i="1" s="1"/>
  <c r="AI198" i="1"/>
  <c r="U183" i="1"/>
  <c r="S183" i="1" s="1"/>
  <c r="AI197" i="1"/>
  <c r="U182" i="1"/>
  <c r="S182" i="1" s="1"/>
  <c r="AI196" i="1"/>
  <c r="U181" i="1"/>
  <c r="S181" i="1" s="1"/>
  <c r="AI195" i="1"/>
  <c r="U180" i="1"/>
  <c r="S180" i="1" s="1"/>
  <c r="AI194" i="1"/>
  <c r="U179" i="1"/>
  <c r="S179" i="1" s="1"/>
  <c r="AI193" i="1"/>
  <c r="U178" i="1"/>
  <c r="S178" i="1" s="1"/>
  <c r="AI192" i="1"/>
  <c r="U177" i="1"/>
  <c r="S177" i="1" s="1"/>
  <c r="AI191" i="1"/>
  <c r="U176" i="1"/>
  <c r="S176" i="1" s="1"/>
  <c r="AI190" i="1"/>
  <c r="U175" i="1"/>
  <c r="S175" i="1" s="1"/>
  <c r="AI189" i="1"/>
  <c r="U174" i="1"/>
  <c r="S174" i="1" s="1"/>
  <c r="AI188" i="1"/>
  <c r="U173" i="1"/>
  <c r="S173" i="1" s="1"/>
  <c r="AI187" i="1"/>
  <c r="U172" i="1"/>
  <c r="S172" i="1" s="1"/>
  <c r="AI186" i="1"/>
  <c r="U171" i="1"/>
  <c r="S171" i="1" s="1"/>
  <c r="AI185" i="1"/>
  <c r="U170" i="1"/>
  <c r="S170" i="1" s="1"/>
  <c r="AI184" i="1"/>
  <c r="U169" i="1"/>
  <c r="S169" i="1" s="1"/>
  <c r="AI183" i="1"/>
  <c r="U168" i="1"/>
  <c r="S168" i="1" s="1"/>
  <c r="AI182" i="1"/>
  <c r="U167" i="1"/>
  <c r="S167" i="1" s="1"/>
  <c r="AI181" i="1"/>
  <c r="U166" i="1"/>
  <c r="S166" i="1" s="1"/>
  <c r="AI180" i="1"/>
  <c r="U165" i="1"/>
  <c r="S165" i="1" s="1"/>
  <c r="AI179" i="1"/>
  <c r="U164" i="1"/>
  <c r="S164" i="1" s="1"/>
  <c r="AI178" i="1"/>
  <c r="U163" i="1"/>
  <c r="S163" i="1" s="1"/>
  <c r="AI177" i="1"/>
  <c r="U162" i="1"/>
  <c r="S162" i="1" s="1"/>
  <c r="AI176" i="1"/>
  <c r="U161" i="1"/>
  <c r="S161" i="1" s="1"/>
  <c r="AI175" i="1"/>
  <c r="U160" i="1"/>
  <c r="S160" i="1" s="1"/>
  <c r="AI174" i="1"/>
  <c r="U228" i="1"/>
  <c r="S228" i="1" s="1"/>
  <c r="AI173" i="1"/>
  <c r="U227" i="1"/>
  <c r="S227" i="1" s="1"/>
  <c r="AI172" i="1"/>
  <c r="U220" i="1"/>
  <c r="S220" i="1" s="1"/>
  <c r="AI171" i="1"/>
  <c r="U219" i="1"/>
  <c r="S219" i="1" s="1"/>
  <c r="AI170" i="1"/>
  <c r="U218" i="1"/>
  <c r="S218" i="1" s="1"/>
  <c r="AI169" i="1"/>
  <c r="U217" i="1"/>
  <c r="S217" i="1" s="1"/>
  <c r="AI168" i="1"/>
  <c r="U216" i="1"/>
  <c r="S216" i="1" s="1"/>
  <c r="AI167" i="1"/>
  <c r="U215" i="1"/>
  <c r="S215" i="1" s="1"/>
  <c r="AI166" i="1"/>
  <c r="AI165" i="1"/>
  <c r="U214" i="1"/>
  <c r="S214" i="1" s="1"/>
  <c r="AI164" i="1"/>
  <c r="U213" i="1"/>
  <c r="S213" i="1" s="1"/>
  <c r="AI163" i="1"/>
  <c r="U212" i="1"/>
  <c r="S212" i="1" s="1"/>
  <c r="AI111" i="1"/>
  <c r="AI112" i="1"/>
  <c r="AI108" i="1"/>
  <c r="U211" i="1"/>
  <c r="S211" i="1" s="1"/>
  <c r="AI162" i="1"/>
  <c r="W211" i="1"/>
  <c r="U210" i="1"/>
  <c r="S210" i="1" s="1"/>
  <c r="AI161" i="1"/>
  <c r="U209" i="1"/>
  <c r="S209" i="1" s="1"/>
  <c r="AI160" i="1"/>
  <c r="W209" i="1"/>
  <c r="U159" i="1"/>
  <c r="S159" i="1" s="1"/>
  <c r="AI159" i="1"/>
  <c r="U158" i="1"/>
  <c r="S158" i="1" s="1"/>
  <c r="AI158" i="1"/>
  <c r="U157" i="1"/>
  <c r="S157" i="1" s="1"/>
  <c r="AI157" i="1"/>
  <c r="U156" i="1"/>
  <c r="S156" i="1" s="1"/>
  <c r="AI156" i="1"/>
  <c r="U155" i="1"/>
  <c r="S155" i="1" s="1"/>
  <c r="AI155" i="1"/>
  <c r="W155" i="1"/>
  <c r="U154" i="1"/>
  <c r="S154" i="1" s="1"/>
  <c r="AI154" i="1"/>
  <c r="U153" i="1"/>
  <c r="S153" i="1" s="1"/>
  <c r="AI153" i="1"/>
  <c r="W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W149" i="1"/>
  <c r="U148" i="1"/>
  <c r="S148" i="1" s="1"/>
  <c r="AI148" i="1"/>
  <c r="U147" i="1"/>
  <c r="S147" i="1" s="1"/>
  <c r="AI147" i="1"/>
  <c r="W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W134" i="1"/>
  <c r="AI134" i="1"/>
  <c r="W133" i="1"/>
  <c r="AI133" i="1"/>
  <c r="AI132" i="1"/>
  <c r="AI131" i="1"/>
  <c r="AI130" i="1"/>
  <c r="AI129" i="1"/>
  <c r="AI128" i="1"/>
  <c r="AI127" i="1"/>
  <c r="AI126" i="1"/>
  <c r="AI125" i="1"/>
  <c r="U124" i="1"/>
  <c r="S124" i="1" s="1"/>
  <c r="AI124" i="1"/>
  <c r="U123" i="1"/>
  <c r="S123" i="1" s="1"/>
  <c r="AI123" i="1"/>
  <c r="U122" i="1"/>
  <c r="S122" i="1" s="1"/>
  <c r="AI122" i="1"/>
  <c r="U121" i="1"/>
  <c r="S121" i="1" s="1"/>
  <c r="AI121" i="1"/>
  <c r="U120" i="1"/>
  <c r="S120" i="1" s="1"/>
  <c r="AI120" i="1"/>
  <c r="U119" i="1"/>
  <c r="S119" i="1" s="1"/>
  <c r="AI119" i="1"/>
  <c r="U118" i="1"/>
  <c r="S118" i="1" s="1"/>
  <c r="AI118" i="1"/>
  <c r="U117" i="1"/>
  <c r="S117" i="1" s="1"/>
  <c r="AI117" i="1"/>
  <c r="AI116" i="1"/>
  <c r="AI115" i="1"/>
  <c r="AI113" i="1"/>
  <c r="AI109" i="1"/>
  <c r="AI114" i="1"/>
  <c r="AI110" i="1"/>
  <c r="U73" i="1"/>
  <c r="S73" i="1" s="1"/>
  <c r="AI73" i="1"/>
  <c r="U69" i="1"/>
  <c r="S69" i="1" s="1"/>
  <c r="AI69" i="1"/>
  <c r="AI106" i="1"/>
  <c r="AI104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U76" i="1"/>
  <c r="S76" i="1" s="1"/>
  <c r="AI72" i="1"/>
  <c r="U72" i="1"/>
  <c r="S72" i="1" s="1"/>
  <c r="AI68" i="1"/>
  <c r="U68" i="1"/>
  <c r="S68" i="1" s="1"/>
  <c r="U75" i="1"/>
  <c r="S75" i="1" s="1"/>
  <c r="AI75" i="1"/>
  <c r="U71" i="1"/>
  <c r="S71" i="1" s="1"/>
  <c r="AI71" i="1"/>
  <c r="U67" i="1"/>
  <c r="S67" i="1" s="1"/>
  <c r="AI67" i="1"/>
  <c r="AI107" i="1"/>
  <c r="AI105" i="1"/>
  <c r="AI103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W77" i="1"/>
  <c r="U74" i="1"/>
  <c r="AI74" i="1"/>
  <c r="U70" i="1"/>
  <c r="S70" i="1" s="1"/>
  <c r="AI70" i="1"/>
  <c r="U66" i="1"/>
  <c r="S66" i="1" s="1"/>
  <c r="AI66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AI58" i="1"/>
  <c r="AI57" i="1"/>
  <c r="AI56" i="1"/>
  <c r="AI55" i="1"/>
  <c r="AI54" i="1"/>
  <c r="AI53" i="1"/>
  <c r="AI52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5" i="1"/>
  <c r="W221" i="1"/>
  <c r="W208" i="1"/>
  <c r="W230" i="1"/>
  <c r="W224" i="1"/>
  <c r="W231" i="1"/>
  <c r="W223" i="1"/>
  <c r="W226" i="1"/>
  <c r="W222" i="1"/>
  <c r="W229" i="1"/>
  <c r="T226" i="1"/>
  <c r="U226" i="1" s="1"/>
  <c r="S226" i="1" s="1"/>
  <c r="X226" i="1"/>
  <c r="T225" i="1"/>
  <c r="U225" i="1" s="1"/>
  <c r="S225" i="1" s="1"/>
  <c r="X225" i="1"/>
  <c r="W204" i="1"/>
  <c r="W200" i="1"/>
  <c r="W196" i="1"/>
  <c r="W192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4" i="1"/>
  <c r="W163" i="1"/>
  <c r="W162" i="1"/>
  <c r="W161" i="1"/>
  <c r="W219" i="1"/>
  <c r="W217" i="1"/>
  <c r="W157" i="1"/>
  <c r="W150" i="1"/>
  <c r="W203" i="1"/>
  <c r="W199" i="1"/>
  <c r="W195" i="1"/>
  <c r="W191" i="1"/>
  <c r="W167" i="1"/>
  <c r="W228" i="1"/>
  <c r="W156" i="1"/>
  <c r="W148" i="1"/>
  <c r="W206" i="1"/>
  <c r="W202" i="1"/>
  <c r="W198" i="1"/>
  <c r="W194" i="1"/>
  <c r="W190" i="1"/>
  <c r="W166" i="1"/>
  <c r="W160" i="1"/>
  <c r="W220" i="1"/>
  <c r="W216" i="1"/>
  <c r="W210" i="1"/>
  <c r="W158" i="1"/>
  <c r="W154" i="1"/>
  <c r="W151" i="1"/>
  <c r="W205" i="1"/>
  <c r="W201" i="1"/>
  <c r="W197" i="1"/>
  <c r="W193" i="1"/>
  <c r="W189" i="1"/>
  <c r="W165" i="1"/>
  <c r="W227" i="1"/>
  <c r="W218" i="1"/>
  <c r="W159" i="1"/>
  <c r="W152" i="1"/>
  <c r="X224" i="1"/>
  <c r="X223" i="1"/>
  <c r="X222" i="1"/>
  <c r="X221" i="1"/>
  <c r="X231" i="1"/>
  <c r="X230" i="1"/>
  <c r="X22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218" i="1"/>
  <c r="X216" i="1"/>
  <c r="W144" i="1"/>
  <c r="W140" i="1"/>
  <c r="W136" i="1"/>
  <c r="W214" i="1"/>
  <c r="W212" i="1"/>
  <c r="W143" i="1"/>
  <c r="W139" i="1"/>
  <c r="W135" i="1"/>
  <c r="W146" i="1"/>
  <c r="W142" i="1"/>
  <c r="W138" i="1"/>
  <c r="W215" i="1"/>
  <c r="W213" i="1"/>
  <c r="W145" i="1"/>
  <c r="W141" i="1"/>
  <c r="W137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1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W115" i="1"/>
  <c r="W112" i="1"/>
  <c r="W114" i="1"/>
  <c r="W110" i="1"/>
  <c r="W116" i="1"/>
  <c r="W113" i="1"/>
  <c r="W109" i="1"/>
  <c r="W108" i="1"/>
  <c r="W107" i="1"/>
  <c r="W104" i="1"/>
  <c r="W99" i="1"/>
  <c r="W96" i="1"/>
  <c r="W91" i="1"/>
  <c r="W88" i="1"/>
  <c r="W83" i="1"/>
  <c r="W80" i="1"/>
  <c r="W75" i="1"/>
  <c r="W73" i="1"/>
  <c r="W68" i="1"/>
  <c r="T116" i="1"/>
  <c r="U116" i="1" s="1"/>
  <c r="S116" i="1" s="1"/>
  <c r="X116" i="1"/>
  <c r="W106" i="1"/>
  <c r="W101" i="1"/>
  <c r="W98" i="1"/>
  <c r="W93" i="1"/>
  <c r="W90" i="1"/>
  <c r="W85" i="1"/>
  <c r="W82" i="1"/>
  <c r="W78" i="1"/>
  <c r="W74" i="1"/>
  <c r="W71" i="1"/>
  <c r="W69" i="1"/>
  <c r="W103" i="1"/>
  <c r="W100" i="1"/>
  <c r="W95" i="1"/>
  <c r="W92" i="1"/>
  <c r="W87" i="1"/>
  <c r="W84" i="1"/>
  <c r="W76" i="1"/>
  <c r="W70" i="1"/>
  <c r="W67" i="1"/>
  <c r="X124" i="1"/>
  <c r="X123" i="1"/>
  <c r="X122" i="1"/>
  <c r="X121" i="1"/>
  <c r="X120" i="1"/>
  <c r="X119" i="1"/>
  <c r="X118" i="1"/>
  <c r="X117" i="1"/>
  <c r="W105" i="1"/>
  <c r="W102" i="1"/>
  <c r="W97" i="1"/>
  <c r="W94" i="1"/>
  <c r="W89" i="1"/>
  <c r="W86" i="1"/>
  <c r="W81" i="1"/>
  <c r="W79" i="1"/>
  <c r="W72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W66" i="1"/>
  <c r="W62" i="1"/>
  <c r="W56" i="1"/>
  <c r="W52" i="1"/>
  <c r="W47" i="1"/>
  <c r="W43" i="1"/>
  <c r="W39" i="1"/>
  <c r="W63" i="1"/>
  <c r="W59" i="1"/>
  <c r="W55" i="1"/>
  <c r="W50" i="1"/>
  <c r="W46" i="1"/>
  <c r="W42" i="1"/>
  <c r="W38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X66" i="1"/>
  <c r="W64" i="1"/>
  <c r="X62" i="1"/>
  <c r="W60" i="1"/>
  <c r="W58" i="1"/>
  <c r="W54" i="1"/>
  <c r="W49" i="1"/>
  <c r="W45" i="1"/>
  <c r="W41" i="1"/>
  <c r="W65" i="1"/>
  <c r="X63" i="1"/>
  <c r="W61" i="1"/>
  <c r="X59" i="1"/>
  <c r="W57" i="1"/>
  <c r="W53" i="1"/>
  <c r="W48" i="1"/>
  <c r="W44" i="1"/>
  <c r="W40" i="1"/>
  <c r="W33" i="1"/>
  <c r="W32" i="1"/>
  <c r="W31" i="1"/>
  <c r="W30" i="1"/>
  <c r="W29" i="1"/>
  <c r="W28" i="1"/>
  <c r="W27" i="1"/>
  <c r="W26" i="1"/>
  <c r="W25" i="1"/>
  <c r="W24" i="1"/>
  <c r="W23" i="1"/>
  <c r="W22" i="1"/>
  <c r="W20" i="1"/>
  <c r="W19" i="1"/>
  <c r="W18" i="1"/>
  <c r="W17" i="1"/>
  <c r="W16" i="1"/>
  <c r="W15" i="1"/>
  <c r="W14" i="1"/>
  <c r="X76" i="1"/>
  <c r="X75" i="1"/>
  <c r="X74" i="1"/>
  <c r="X73" i="1"/>
  <c r="X72" i="1"/>
  <c r="X71" i="1"/>
  <c r="X70" i="1"/>
  <c r="X69" i="1"/>
  <c r="X68" i="1"/>
  <c r="X67" i="1"/>
  <c r="T58" i="1"/>
  <c r="U58" i="1" s="1"/>
  <c r="S58" i="1" s="1"/>
  <c r="X58" i="1"/>
  <c r="T57" i="1"/>
  <c r="U57" i="1" s="1"/>
  <c r="S57" i="1" s="1"/>
  <c r="X57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T36" i="1"/>
  <c r="U36" i="1" s="1"/>
  <c r="S36" i="1" s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0" i="1"/>
  <c r="X19" i="1"/>
  <c r="X18" i="1"/>
  <c r="X17" i="1"/>
  <c r="X16" i="1"/>
  <c r="X15" i="1"/>
  <c r="T21" i="3"/>
  <c r="AC18" i="3"/>
  <c r="AD22" i="3"/>
  <c r="AE19" i="3"/>
  <c r="AD13" i="3"/>
  <c r="AC19" i="3"/>
  <c r="AD19" i="3"/>
  <c r="T15" i="3"/>
  <c r="AD15" i="3"/>
  <c r="AD12" i="3"/>
  <c r="AD20" i="3"/>
  <c r="AD9" i="3"/>
  <c r="AE8" i="3"/>
  <c r="AE15" i="3"/>
  <c r="AD8" i="3"/>
  <c r="AC8" i="3"/>
  <c r="AC24" i="3"/>
  <c r="AC7" i="3"/>
  <c r="AD24" i="3"/>
  <c r="Y18" i="3"/>
  <c r="Y7" i="3"/>
  <c r="Y17" i="3"/>
  <c r="Y16" i="3"/>
  <c r="Y10" i="3"/>
  <c r="Y8" i="3"/>
  <c r="Y24" i="3"/>
  <c r="Y15" i="3"/>
  <c r="Y14" i="3"/>
  <c r="Y20" i="3"/>
  <c r="Y12" i="3"/>
  <c r="Y9" i="3"/>
  <c r="Y21" i="3"/>
  <c r="Y19" i="3"/>
  <c r="Y22" i="3"/>
  <c r="Y13" i="3"/>
  <c r="Y11" i="3"/>
  <c r="AE21" i="3"/>
  <c r="AE18" i="3"/>
  <c r="AE14" i="3"/>
  <c r="T12" i="3"/>
  <c r="AE10" i="3"/>
  <c r="T9" i="3"/>
  <c r="T14" i="3"/>
  <c r="AE22" i="3"/>
  <c r="T19" i="3"/>
  <c r="AD21" i="3"/>
  <c r="AE20" i="3"/>
  <c r="T22" i="3"/>
  <c r="AD18" i="3"/>
  <c r="AE17" i="3"/>
  <c r="T13" i="3"/>
  <c r="AD14" i="3"/>
  <c r="AE13" i="3"/>
  <c r="AD10" i="3"/>
  <c r="AE9" i="3"/>
  <c r="T11" i="3"/>
  <c r="T20" i="3"/>
  <c r="AE24" i="3"/>
  <c r="AE16" i="3"/>
  <c r="AE12" i="3"/>
  <c r="M23" i="3"/>
  <c r="R23" i="3"/>
  <c r="S23" i="3"/>
  <c r="U23" i="3"/>
  <c r="T23" i="3" s="1"/>
  <c r="V23" i="3"/>
  <c r="X23" i="3"/>
  <c r="W23" i="3"/>
  <c r="AD23" i="3" l="1"/>
  <c r="AE23" i="3"/>
  <c r="AC23" i="3"/>
  <c r="Y23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11" i="3" s="1"/>
  <c r="G30" i="4"/>
  <c r="G31" i="4"/>
  <c r="G32" i="4"/>
  <c r="G33" i="4"/>
  <c r="G34" i="4"/>
  <c r="G35" i="4"/>
  <c r="G36" i="4"/>
  <c r="G37" i="4"/>
  <c r="G38" i="4"/>
  <c r="G39" i="4"/>
  <c r="G40" i="4"/>
  <c r="N9" i="3" s="1"/>
  <c r="G41" i="4"/>
  <c r="G42" i="4"/>
  <c r="G43" i="4"/>
  <c r="G44" i="4"/>
  <c r="G45" i="4"/>
  <c r="G46" i="4"/>
  <c r="G47" i="4"/>
  <c r="N10" i="3" s="1"/>
  <c r="G48" i="4"/>
  <c r="G49" i="4"/>
  <c r="G50" i="4"/>
  <c r="G51" i="4"/>
  <c r="G52" i="4"/>
  <c r="G53" i="4"/>
  <c r="G54" i="4"/>
  <c r="N17" i="3" s="1"/>
  <c r="G55" i="4"/>
  <c r="G56" i="4"/>
  <c r="G57" i="4"/>
  <c r="G58" i="4"/>
  <c r="G59" i="4"/>
  <c r="G60" i="4"/>
  <c r="G61" i="4"/>
  <c r="G62" i="4"/>
  <c r="G63" i="4"/>
  <c r="N16" i="3" s="1"/>
  <c r="G64" i="4"/>
  <c r="N12" i="3" s="1"/>
  <c r="G65" i="4"/>
  <c r="G66" i="4"/>
  <c r="G67" i="4"/>
  <c r="G68" i="4"/>
  <c r="G69" i="4"/>
  <c r="G70" i="4"/>
  <c r="G71" i="4"/>
  <c r="G72" i="4"/>
  <c r="N7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13" i="3" s="1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5" i="3" s="1"/>
  <c r="G108" i="4"/>
  <c r="G109" i="4"/>
  <c r="G110" i="4"/>
  <c r="N18" i="3" s="1"/>
  <c r="G111" i="4"/>
  <c r="G112" i="4"/>
  <c r="G113" i="4"/>
  <c r="G114" i="4"/>
  <c r="N22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20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21" i="3" s="1"/>
  <c r="G160" i="4"/>
  <c r="G161" i="4"/>
  <c r="G162" i="4"/>
  <c r="G163" i="4"/>
  <c r="G164" i="4"/>
  <c r="G165" i="4"/>
  <c r="N24" i="3" s="1"/>
  <c r="G166" i="4"/>
  <c r="G167" i="4"/>
  <c r="G168" i="4"/>
  <c r="G169" i="4"/>
  <c r="G170" i="4"/>
  <c r="G171" i="4"/>
  <c r="N14" i="3" s="1"/>
  <c r="G172" i="4"/>
  <c r="G173" i="4"/>
  <c r="G174" i="4"/>
  <c r="G175" i="4"/>
  <c r="N19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8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3" i="3" l="1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<sst xmlns="http://schemas.openxmlformats.org/spreadsheetml/2006/main" count="2723" uniqueCount="1090">
  <si>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</si>
  <si>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</si>
  <si>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</si>
  <si>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</si>
  <si>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</si>
  <si>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</si>
  <si>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</si>
  <si>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</si>
  <si>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</si>
  <si>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</si>
  <si>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</si>
  <si>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</si>
  <si>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</si>
  <si>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</si>
  <si>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</si>
  <si>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</si>
  <si>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</si>
  <si>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</si>
  <si>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</si>
  <si>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</si>
  <si>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</si>
  <si>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</si>
  <si>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</si>
  <si>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</si>
  <si>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</si>
  <si>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</si>
  <si>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</si>
  <si>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</si>
  <si>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</si>
  <si>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</si>
  <si>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</si>
  <si>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</si>
  <si>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</si>
  <si>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</si>
  <si>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</si>
  <si>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</si>
  <si>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</si>
  <si>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</si>
  <si>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</si>
  <si>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</si>
  <si>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</si>
  <si>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</si>
  <si>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</si>
  <si>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</si>
  <si>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</si>
  <si>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</si>
  <si>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</si>
  <si>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</si>
  <si>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</si>
  <si>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</si>
  <si>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</si>
  <si>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</si>
  <si>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</si>
  <si>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</si>
  <si>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</si>
  <si>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</si>
  <si>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</si>
  <si>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</si>
  <si>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</si>
  <si>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</si>
  <si>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</si>
  <si>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</si>
  <si>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</si>
  <si>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</si>
  <si>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</si>
  <si>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</si>
  <si>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</si>
  <si>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</si>
  <si>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</si>
  <si>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</si>
  <si>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</si>
  <si>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</si>
  <si>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</si>
  <si>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</si>
  <si>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</si>
  <si>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</si>
  <si>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</si>
  <si>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</si>
  <si>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</si>
  <si>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</si>
  <si>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</si>
  <si>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</si>
  <si>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</si>
  <si>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</si>
  <si>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</si>
  <si>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</si>
  <si>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</si>
  <si>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</si>
  <si>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</si>
  <si>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</si>
  <si>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</si>
  <si>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</si>
  <si>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</si>
  <si>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</si>
  <si>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</si>
  <si>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</si>
  <si>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</si>
  <si>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</si>
  <si>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</si>
  <si>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</si>
  <si>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</si>
  <si>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</si>
  <si>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</si>
  <si>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</si>
  <si>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</si>
  <si>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</si>
  <si>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</si>
  <si>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</si>
  <si>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</si>
  <si>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</si>
  <si>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</si>
  <si>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</si>
  <si>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</si>
  <si>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</si>
  <si>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</si>
  <si>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</si>
  <si>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</si>
  <si>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</si>
  <si>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</si>
  <si>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</si>
  <si>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</si>
  <si>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</si>
  <si>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</si>
  <si>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</si>
  <si>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</si>
  <si>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</si>
  <si>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</si>
  <si>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</si>
  <si>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</si>
  <si>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</si>
  <si>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</si>
  <si>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</si>
  <si>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</si>
  <si>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</si>
  <si>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</si>
  <si>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</si>
  <si>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</si>
  <si>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</si>
  <si>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</si>
  <si>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</si>
  <si>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</si>
  <si>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</si>
  <si>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</si>
  <si>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</si>
  <si>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</si>
  <si>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</si>
  <si>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</si>
  <si>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</si>
  <si>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</si>
  <si>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</si>
  <si>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</si>
  <si>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</si>
  <si>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</si>
  <si>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</si>
  <si>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</si>
  <si>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</si>
  <si>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</si>
  <si>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</si>
  <si>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</si>
  <si>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</si>
  <si>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</si>
  <si>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</si>
  <si>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</si>
  <si>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</si>
  <si>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</si>
  <si>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</si>
  <si>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</si>
  <si>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</si>
  <si>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</si>
  <si>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</si>
  <si>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</si>
  <si>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</si>
  <si>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</si>
  <si>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</si>
  <si>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</si>
  <si>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</si>
  <si>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</si>
  <si>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</si>
  <si>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</si>
  <si>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</si>
  <si>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</si>
  <si>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</si>
  <si>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</si>
  <si>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</si>
  <si>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</si>
  <si>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</si>
  <si>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</si>
  <si>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</si>
  <si>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</si>
  <si>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</si>
  <si>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</si>
  <si>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</si>
  <si>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</si>
  <si>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</si>
  <si>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</si>
  <si>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</si>
  <si>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</si>
  <si>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</si>
  <si>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</si>
  <si>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</si>
  <si>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</si>
  <si>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</si>
  <si>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</si>
  <si>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</si>
  <si>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</si>
  <si>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</si>
  <si>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</si>
  <si>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</si>
  <si>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</si>
  <si>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</si>
  <si>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</si>
  <si>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</si>
  <si>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</si>
  <si>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</si>
  <si>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</si>
  <si>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</si>
  <si>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</si>
  <si>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</si>
  <si>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</si>
  <si>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</si>
  <si>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</si>
  <si>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</si>
  <si>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</si>
  <si>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</si>
  <si>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</si>
  <si>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</si>
  <si>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</si>
  <si>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</si>
  <si>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</si>
  <si>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</si>
  <si>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</si>
  <si>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</si>
  <si>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</si>
  <si>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</si>
  <si>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</si>
  <si>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</si>
  <si>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</si>
  <si>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</si>
  <si>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</si>
  <si>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</si>
  <si>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</si>
  <si>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</si>
  <si>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</si>
  <si>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</si>
  <si>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</si>
  <si>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</si>
  <si>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</si>
  <si>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</si>
  <si>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</si>
  <si>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</si>
  <si>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</si>
  <si>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</si>
  <si>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</si>
  <si>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</si>
  <si>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</si>
  <si>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</si>
  <si>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</si>
  <si>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</si>
  <si>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</si>
  <si>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</si>
  <si>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</si>
  <si>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</si>
  <si>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</si>
  <si>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</si>
  <si>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</si>
  <si>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</si>
  <si>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</si>
  <si>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</si>
  <si>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</si>
  <si>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</si>
  <si>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</si>
  <si>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</si>
  <si>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</si>
  <si>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</si>
  <si>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</si>
  <si>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</si>
  <si>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</si>
  <si>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</si>
  <si>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</si>
  <si>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</si>
  <si>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</si>
  <si>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</si>
  <si>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</si>
  <si>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</si>
  <si>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</si>
  <si>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</si>
  <si>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</si>
  <si>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</si>
  <si>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</si>
  <si>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</si>
  <si>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</si>
  <si>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</si>
  <si>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</si>
  <si>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</si>
  <si>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</si>
  <si>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</si>
  <si>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</si>
  <si>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</si>
  <si>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</si>
  <si>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</si>
  <si>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</si>
  <si>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</si>
  <si>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</si>
  <si>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</si>
  <si>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</si>
  <si>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</si>
  <si>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</si>
  <si>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</si>
  <si>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</si>
  <si>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</si>
  <si>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</si>
  <si>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</si>
  <si>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</si>
  <si>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</si>
  <si>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</si>
  <si>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</si>
  <si>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</si>
  <si>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</si>
  <si>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</si>
  <si>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</si>
  <si>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</si>
  <si>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</si>
  <si>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</si>
  <si>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</si>
  <si>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</si>
  <si>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</si>
  <si>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</si>
  <si>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</si>
  <si>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</si>
  <si>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</si>
  <si>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</si>
  <si>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</si>
  <si>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</si>
  <si>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</si>
  <si>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</si>
  <si>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</si>
  <si>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</si>
  <si>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</si>
  <si>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</si>
  <si>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</si>
  <si>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</si>
  <si>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</si>
  <si>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</si>
  <si>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</si>
  <si>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</si>
  <si>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</si>
  <si>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</si>
  <si>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</si>
  <si>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</si>
  <si>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</si>
  <si>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</si>
  <si>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</si>
  <si>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</si>
  <si>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</si>
  <si>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</si>
  <si>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</si>
  <si>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</si>
  <si>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</si>
  <si>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</si>
  <si>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</si>
  <si>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</si>
  <si>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</si>
  <si>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</si>
  <si>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</si>
  <si>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</si>
  <si>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</si>
  <si>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</si>
  <si>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</si>
  <si>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</si>
  <si>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</si>
  <si>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</si>
  <si>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</si>
  <si>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</si>
  <si>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</si>
  <si>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</si>
  <si>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</si>
  <si>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</si>
  <si>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</si>
  <si>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</si>
  <si>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</si>
  <si>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</si>
  <si>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</si>
  <si>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</si>
  <si>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</si>
  <si>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</si>
  <si>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</si>
  <si>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</si>
  <si>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</si>
  <si>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</si>
  <si>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</si>
  <si>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</si>
  <si>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</si>
  <si>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</si>
  <si>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</si>
  <si>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</si>
  <si>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</si>
  <si>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</si>
  <si>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</si>
  <si>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</si>
  <si>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</si>
  <si>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</si>
  <si>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</si>
  <si>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</si>
  <si>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</si>
  <si>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</si>
  <si>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</si>
  <si>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</si>
  <si>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</si>
  <si>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</si>
  <si>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</si>
  <si>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</si>
  <si>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</si>
  <si>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204:212</t>
  </si>
  <si>
    <t>rtdc.l.rtdc.4056:itc</t>
  </si>
  <si>
    <t>STEWART</t>
  </si>
  <si>
    <t>204:540</t>
  </si>
  <si>
    <t>rtdc.l.rtdc.4025:itc</t>
  </si>
  <si>
    <t>rtdc.l.rtdc.4026:itc</t>
  </si>
  <si>
    <t>DONTE</t>
  </si>
  <si>
    <t>clear-day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</si>
  <si>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</si>
  <si>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</si>
  <si>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</si>
  <si>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</si>
  <si>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</si>
  <si>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</si>
  <si>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</si>
  <si>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</si>
  <si>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</si>
  <si>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</si>
  <si>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</si>
  <si>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</si>
  <si>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</si>
  <si>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</si>
  <si>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</si>
  <si>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</si>
  <si>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</si>
  <si>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</si>
  <si>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</si>
  <si>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</si>
  <si>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</si>
  <si>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</si>
  <si>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</si>
  <si>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Wi-MAX data drop</t>
  </si>
  <si>
    <t>rtdc.l.rtdc.4058:itc</t>
  </si>
  <si>
    <t>ANDERS</t>
  </si>
  <si>
    <t>STEVEN</t>
  </si>
  <si>
    <t>204:216</t>
  </si>
  <si>
    <t>204:158</t>
  </si>
  <si>
    <t>204:520</t>
  </si>
  <si>
    <t>rtdc.l.rtdc.4031:itc</t>
  </si>
  <si>
    <t>rtdc.l.rtdc.4032:itc</t>
  </si>
  <si>
    <t>rtdc.l.rtdc.4006:itc</t>
  </si>
  <si>
    <t>311-29</t>
  </si>
  <si>
    <t>204:209</t>
  </si>
  <si>
    <t>204:519</t>
  </si>
  <si>
    <t>204:178</t>
  </si>
  <si>
    <t>204:457</t>
  </si>
  <si>
    <t>204:444</t>
  </si>
  <si>
    <t>204:506</t>
  </si>
  <si>
    <t>rtdc.l.rtdc.4009:itc</t>
  </si>
  <si>
    <t>rtdc.l.rtdc.4010:itc</t>
  </si>
  <si>
    <t>rtdc.l.rtdc.4063:itc</t>
  </si>
  <si>
    <t>204:233291</t>
  </si>
  <si>
    <t>204:233232</t>
  </si>
  <si>
    <t>204:524</t>
  </si>
  <si>
    <t>204:478</t>
  </si>
  <si>
    <t>204:150</t>
  </si>
  <si>
    <t>204:504</t>
  </si>
  <si>
    <t>300:58926</t>
  </si>
  <si>
    <t>204:466</t>
  </si>
  <si>
    <t>204:233264</t>
  </si>
  <si>
    <t>204:528</t>
  </si>
  <si>
    <t>SWITCH UNKNOWN</t>
  </si>
  <si>
    <t>Track device (7)</t>
  </si>
  <si>
    <t>SPECTOR</t>
  </si>
  <si>
    <t>HAMMOND</t>
  </si>
  <si>
    <t>JUSTYNN</t>
  </si>
  <si>
    <t>rtdc.l.rtdc.4057:itc</t>
  </si>
  <si>
    <t>DAVIDSON</t>
  </si>
  <si>
    <t>YANAI</t>
  </si>
  <si>
    <t>IAN</t>
  </si>
  <si>
    <t>rtdc.l.rtdc.4064:itc</t>
  </si>
  <si>
    <t>LONG</t>
  </si>
  <si>
    <t>FULLER</t>
  </si>
  <si>
    <t>LEVIN</t>
  </si>
  <si>
    <t>SCOTT</t>
  </si>
  <si>
    <t>204:435</t>
  </si>
  <si>
    <t>204:464</t>
  </si>
  <si>
    <t>204:551</t>
  </si>
  <si>
    <t>204:531</t>
  </si>
  <si>
    <t>204:450</t>
  </si>
  <si>
    <t>300:58941</t>
  </si>
  <si>
    <t>Early Arrival</t>
  </si>
  <si>
    <t>rtdc.l.rtdc.4015:itc</t>
  </si>
  <si>
    <t>rtdc.l.rtdc.4016:itc</t>
  </si>
  <si>
    <t>rtdc.l.rtdc.4060:itc</t>
  </si>
  <si>
    <t>204:187</t>
  </si>
  <si>
    <t>204:223</t>
  </si>
  <si>
    <t>204:149</t>
  </si>
  <si>
    <t>204:232957</t>
  </si>
  <si>
    <t>204:221</t>
  </si>
  <si>
    <t>204:533</t>
  </si>
  <si>
    <t>204:243</t>
  </si>
  <si>
    <t>204:233251</t>
  </si>
  <si>
    <t>rtdc.l.rtdc.4041:itc</t>
  </si>
  <si>
    <t>rtdc.l.rtdc.4050:itc</t>
  </si>
  <si>
    <t>845-06</t>
  </si>
  <si>
    <t>226-06</t>
  </si>
  <si>
    <t>228-06</t>
  </si>
  <si>
    <t>236-06</t>
  </si>
  <si>
    <t>rtdc.l.rtdc.4049:itc</t>
  </si>
  <si>
    <t>71-06</t>
  </si>
  <si>
    <t>LEVERE</t>
  </si>
  <si>
    <t>CRAIG</t>
  </si>
  <si>
    <t>70-06</t>
  </si>
  <si>
    <t>CUSHING</t>
  </si>
  <si>
    <t>HARRY</t>
  </si>
  <si>
    <t>227-06</t>
  </si>
  <si>
    <t>224-06</t>
  </si>
  <si>
    <t>842-06</t>
  </si>
  <si>
    <t>229-06</t>
  </si>
  <si>
    <t>231-06</t>
  </si>
  <si>
    <t>844-06</t>
  </si>
  <si>
    <t>230-06</t>
  </si>
  <si>
    <t>233-06</t>
  </si>
  <si>
    <t>847-06</t>
  </si>
  <si>
    <t>235-06</t>
  </si>
  <si>
    <t>232-06</t>
  </si>
  <si>
    <t>846-06</t>
  </si>
  <si>
    <t>234-06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</si>
  <si>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</si>
  <si>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</si>
  <si>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</si>
  <si>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</si>
  <si>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</si>
  <si>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</si>
  <si>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</si>
  <si>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</si>
  <si>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</si>
  <si>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</si>
  <si>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</si>
  <si>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</si>
  <si>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</si>
  <si>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</si>
  <si>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204:141</t>
  </si>
  <si>
    <t>204:233278</t>
  </si>
  <si>
    <t>204:205</t>
  </si>
  <si>
    <t>204:260</t>
  </si>
  <si>
    <t>204:442</t>
  </si>
  <si>
    <t>204:232940</t>
  </si>
  <si>
    <t>204:453</t>
  </si>
  <si>
    <t>204:203</t>
  </si>
  <si>
    <t>204:451</t>
  </si>
  <si>
    <t>204:462</t>
  </si>
  <si>
    <t>204:232892</t>
  </si>
  <si>
    <t>204:258</t>
  </si>
  <si>
    <t>204:232904</t>
  </si>
  <si>
    <t>204:232949</t>
  </si>
  <si>
    <t>204:156</t>
  </si>
  <si>
    <t>204:480</t>
  </si>
  <si>
    <t>300:58608</t>
  </si>
  <si>
    <t>300:58935</t>
  </si>
  <si>
    <t>300:58939</t>
  </si>
  <si>
    <t>204:148</t>
  </si>
  <si>
    <t>204:455</t>
  </si>
  <si>
    <t>rtdc.l.rtdc.4027:itc</t>
  </si>
  <si>
    <t>rtdc.l.rtdc.4028:itc</t>
  </si>
  <si>
    <t>rtdc.l.rtdc.4013:itc</t>
  </si>
  <si>
    <t>204:174</t>
  </si>
  <si>
    <t>204:233289</t>
  </si>
  <si>
    <t>204:232964</t>
  </si>
  <si>
    <t>204:511</t>
  </si>
  <si>
    <t>204:509</t>
  </si>
  <si>
    <t>204:181</t>
  </si>
  <si>
    <t>204:233270</t>
  </si>
  <si>
    <t>204:537</t>
  </si>
  <si>
    <t>204:232919</t>
  </si>
  <si>
    <t>204:491</t>
  </si>
  <si>
    <t>204:245</t>
  </si>
  <si>
    <t>204:234</t>
  </si>
  <si>
    <t>204:252</t>
  </si>
  <si>
    <t>204:233217</t>
  </si>
  <si>
    <t>204:232925</t>
  </si>
  <si>
    <t>204:201</t>
  </si>
  <si>
    <t>204:189</t>
  </si>
  <si>
    <t>204:500</t>
  </si>
  <si>
    <t>204:232926</t>
  </si>
  <si>
    <t>204:571</t>
  </si>
  <si>
    <t>204:232963</t>
  </si>
  <si>
    <t>204:138</t>
  </si>
  <si>
    <t>300:58647</t>
  </si>
  <si>
    <t>204:157</t>
  </si>
  <si>
    <t>300:58997</t>
  </si>
  <si>
    <t>300:58928</t>
  </si>
  <si>
    <t>300:58613</t>
  </si>
  <si>
    <t>rtdc.l.rtdc.4001:itc</t>
  </si>
  <si>
    <t>242-11</t>
  </si>
  <si>
    <t>THOMPSON</t>
  </si>
  <si>
    <t>LESTER</t>
  </si>
  <si>
    <t>STARKS</t>
  </si>
  <si>
    <t>ANGELINA</t>
  </si>
  <si>
    <t>rtdc.l.rtdc.4042:itc</t>
  </si>
  <si>
    <t>MACDONALD</t>
  </si>
  <si>
    <t>THOMAS</t>
  </si>
  <si>
    <t>LAMAR</t>
  </si>
  <si>
    <t>NEKESHA</t>
  </si>
  <si>
    <t>DAVIS</t>
  </si>
  <si>
    <t>GUZMAN</t>
  </si>
  <si>
    <t>DANNY</t>
  </si>
  <si>
    <t>SAFIEF</t>
  </si>
  <si>
    <t>AEIMEN</t>
  </si>
  <si>
    <t>244-11</t>
  </si>
  <si>
    <t>307-11</t>
  </si>
  <si>
    <t>309-11</t>
  </si>
  <si>
    <t>311-11</t>
  </si>
  <si>
    <t>204:232967</t>
  </si>
  <si>
    <t>204:143</t>
  </si>
  <si>
    <t>204:233280</t>
  </si>
  <si>
    <t>204:233299</t>
  </si>
  <si>
    <t>204:486</t>
  </si>
  <si>
    <t>204:233002</t>
  </si>
  <si>
    <t>204:192</t>
  </si>
  <si>
    <t>204:233314</t>
  </si>
  <si>
    <t>204:232971</t>
  </si>
  <si>
    <t>204:232978</t>
  </si>
  <si>
    <t>204:233272</t>
  </si>
  <si>
    <t>204:232987</t>
  </si>
  <si>
    <t>204:546</t>
  </si>
  <si>
    <t>204:233310</t>
  </si>
  <si>
    <t>204:172</t>
  </si>
  <si>
    <t>204:447</t>
  </si>
  <si>
    <t>204:233259</t>
  </si>
  <si>
    <t>204:232953</t>
  </si>
  <si>
    <t>204:251</t>
  </si>
  <si>
    <t>204:233195</t>
  </si>
  <si>
    <t>204:232943</t>
  </si>
  <si>
    <t>204:232965</t>
  </si>
  <si>
    <t>204:200</t>
  </si>
  <si>
    <t>204:233263</t>
  </si>
  <si>
    <t>204:529</t>
  </si>
  <si>
    <t>204:191</t>
  </si>
  <si>
    <t>204:233162</t>
  </si>
  <si>
    <t>204:502</t>
  </si>
  <si>
    <t>204:233219</t>
  </si>
  <si>
    <t>204:232945</t>
  </si>
  <si>
    <t>204:526</t>
  </si>
  <si>
    <t>204:254</t>
  </si>
  <si>
    <t>204:233200</t>
  </si>
  <si>
    <t>204:233298</t>
  </si>
  <si>
    <t>204:559</t>
  </si>
  <si>
    <t>204:185</t>
  </si>
  <si>
    <t>204:151</t>
  </si>
  <si>
    <t>300:58617</t>
  </si>
  <si>
    <t>204:426</t>
  </si>
  <si>
    <t>300:58937</t>
  </si>
  <si>
    <t>300:58624</t>
  </si>
  <si>
    <t>204:144</t>
  </si>
  <si>
    <t>204:137</t>
  </si>
  <si>
    <t>300:58621</t>
  </si>
  <si>
    <t>300:58961</t>
  </si>
  <si>
    <t>204:102</t>
  </si>
  <si>
    <t>204:430</t>
  </si>
  <si>
    <t>204:155</t>
  </si>
  <si>
    <t>204:126</t>
  </si>
  <si>
    <t>300:23203</t>
  </si>
  <si>
    <t>306-12</t>
  </si>
  <si>
    <t>103-12</t>
  </si>
  <si>
    <t>TRACK WARRANT AUTHORITY</t>
  </si>
  <si>
    <t>Form based authority (4)</t>
  </si>
  <si>
    <t>115-12</t>
  </si>
  <si>
    <t>116-12</t>
  </si>
  <si>
    <t>120-12</t>
  </si>
  <si>
    <t>131-12</t>
  </si>
  <si>
    <t>808-12</t>
  </si>
  <si>
    <t>139-12</t>
  </si>
  <si>
    <t>137-12</t>
  </si>
  <si>
    <t>143-12</t>
  </si>
  <si>
    <t>148-12</t>
  </si>
  <si>
    <t>819-12</t>
  </si>
  <si>
    <t>166-12</t>
  </si>
  <si>
    <t>171-12</t>
  </si>
  <si>
    <t>821-12</t>
  </si>
  <si>
    <t>827-12</t>
  </si>
  <si>
    <t>832-12</t>
  </si>
  <si>
    <t>79-12</t>
  </si>
  <si>
    <t>rtdc.l.rtdc.4005:itc</t>
  </si>
  <si>
    <t>210-12</t>
  </si>
  <si>
    <t>208-12</t>
  </si>
  <si>
    <t>839-12</t>
  </si>
  <si>
    <t>222-12</t>
  </si>
  <si>
    <t>300-12</t>
  </si>
  <si>
    <t>89-12</t>
  </si>
  <si>
    <t>101-12</t>
  </si>
  <si>
    <t>88-12</t>
  </si>
  <si>
    <t>302-12</t>
  </si>
  <si>
    <t>102-12</t>
  </si>
  <si>
    <t>304-12</t>
  </si>
  <si>
    <t>BEAM</t>
  </si>
  <si>
    <t>ROSS</t>
  </si>
  <si>
    <t>105-12</t>
  </si>
  <si>
    <t>308-12</t>
  </si>
  <si>
    <t>107-12</t>
  </si>
  <si>
    <t>104-12</t>
  </si>
  <si>
    <t>310-12</t>
  </si>
  <si>
    <t>109-12</t>
  </si>
  <si>
    <t>901-12</t>
  </si>
  <si>
    <t>111-12</t>
  </si>
  <si>
    <t>113-12</t>
  </si>
  <si>
    <t>800-12</t>
  </si>
  <si>
    <t>108-12</t>
  </si>
  <si>
    <t>106-12</t>
  </si>
  <si>
    <t>312-12</t>
  </si>
  <si>
    <t>801-12</t>
  </si>
  <si>
    <t>117-12</t>
  </si>
  <si>
    <t>MAINTENANCE</t>
  </si>
  <si>
    <t>VEHICLE</t>
  </si>
  <si>
    <t>112-12</t>
  </si>
  <si>
    <t>902-12</t>
  </si>
  <si>
    <t>FORTUNATO</t>
  </si>
  <si>
    <t>FRANK</t>
  </si>
  <si>
    <t>110-12</t>
  </si>
  <si>
    <t>114-12</t>
  </si>
  <si>
    <t>803-12</t>
  </si>
  <si>
    <t>802-12</t>
  </si>
  <si>
    <t>119-12</t>
  </si>
  <si>
    <t>121-12</t>
  </si>
  <si>
    <t>804-12</t>
  </si>
  <si>
    <t>805-12</t>
  </si>
  <si>
    <t>125-12</t>
  </si>
  <si>
    <t>118-12</t>
  </si>
  <si>
    <t>122-12</t>
  </si>
  <si>
    <t>127-12</t>
  </si>
  <si>
    <t>806-12</t>
  </si>
  <si>
    <t>807-12</t>
  </si>
  <si>
    <t>129-12</t>
  </si>
  <si>
    <t>126-12</t>
  </si>
  <si>
    <t>124-12</t>
  </si>
  <si>
    <t>809-12</t>
  </si>
  <si>
    <t>128-12</t>
  </si>
  <si>
    <t>133-12</t>
  </si>
  <si>
    <t>135-12</t>
  </si>
  <si>
    <t>810-12</t>
  </si>
  <si>
    <t>811-12</t>
  </si>
  <si>
    <t>130-12</t>
  </si>
  <si>
    <t>ROMERO</t>
  </si>
  <si>
    <t>CHAD</t>
  </si>
  <si>
    <t>132-12</t>
  </si>
  <si>
    <t>812-12</t>
  </si>
  <si>
    <t>903-12</t>
  </si>
  <si>
    <t>136-12</t>
  </si>
  <si>
    <t>141-12</t>
  </si>
  <si>
    <t>134-12</t>
  </si>
  <si>
    <t>813-12</t>
  </si>
  <si>
    <t>138-12</t>
  </si>
  <si>
    <t>140-12</t>
  </si>
  <si>
    <t>145-12</t>
  </si>
  <si>
    <t>142-12</t>
  </si>
  <si>
    <t>814-12</t>
  </si>
  <si>
    <t>147-12</t>
  </si>
  <si>
    <t>149-12</t>
  </si>
  <si>
    <t>151-12</t>
  </si>
  <si>
    <t>144-12</t>
  </si>
  <si>
    <t>815-12</t>
  </si>
  <si>
    <t>146-12</t>
  </si>
  <si>
    <t>153-12</t>
  </si>
  <si>
    <t>155-12</t>
  </si>
  <si>
    <t>150-12</t>
  </si>
  <si>
    <t>816-12</t>
  </si>
  <si>
    <t>157-12</t>
  </si>
  <si>
    <t>159-12</t>
  </si>
  <si>
    <t>154-12</t>
  </si>
  <si>
    <t>152-12</t>
  </si>
  <si>
    <t>817-12</t>
  </si>
  <si>
    <t>156-12</t>
  </si>
  <si>
    <t>161-12</t>
  </si>
  <si>
    <t>BRUDER</t>
  </si>
  <si>
    <t>RICHARD</t>
  </si>
  <si>
    <t>163-12</t>
  </si>
  <si>
    <t>818-12</t>
  </si>
  <si>
    <t>165-12</t>
  </si>
  <si>
    <t>158-12</t>
  </si>
  <si>
    <t>160-12</t>
  </si>
  <si>
    <t>167-12</t>
  </si>
  <si>
    <t>162-12</t>
  </si>
  <si>
    <t>169-12</t>
  </si>
  <si>
    <t>164-12</t>
  </si>
  <si>
    <t>820-12</t>
  </si>
  <si>
    <t>173-12</t>
  </si>
  <si>
    <t>168-12</t>
  </si>
  <si>
    <t>175-12</t>
  </si>
  <si>
    <t>170-12</t>
  </si>
  <si>
    <t>177-12</t>
  </si>
  <si>
    <t>172-12</t>
  </si>
  <si>
    <t>822-12</t>
  </si>
  <si>
    <t>179-12</t>
  </si>
  <si>
    <t>174-12</t>
  </si>
  <si>
    <t>181-12</t>
  </si>
  <si>
    <t>183-12</t>
  </si>
  <si>
    <t>176-12</t>
  </si>
  <si>
    <t>823-12</t>
  </si>
  <si>
    <t>178-12</t>
  </si>
  <si>
    <t>185-12</t>
  </si>
  <si>
    <t>180-12</t>
  </si>
  <si>
    <t>187-12</t>
  </si>
  <si>
    <t>824-12</t>
  </si>
  <si>
    <t>182-12</t>
  </si>
  <si>
    <t>189-12</t>
  </si>
  <si>
    <t>184-12</t>
  </si>
  <si>
    <t>191-12</t>
  </si>
  <si>
    <t>825-12</t>
  </si>
  <si>
    <t>186-12</t>
  </si>
  <si>
    <t>193-12</t>
  </si>
  <si>
    <t>904-12</t>
  </si>
  <si>
    <t>188-12</t>
  </si>
  <si>
    <t>826-12</t>
  </si>
  <si>
    <t>195-12</t>
  </si>
  <si>
    <t>190-12</t>
  </si>
  <si>
    <t>197-12</t>
  </si>
  <si>
    <t>192-12</t>
  </si>
  <si>
    <t>828-12</t>
  </si>
  <si>
    <t>199-12</t>
  </si>
  <si>
    <t>829-12</t>
  </si>
  <si>
    <t>194-12</t>
  </si>
  <si>
    <t>201-12</t>
  </si>
  <si>
    <t>SMITH</t>
  </si>
  <si>
    <t>196-12</t>
  </si>
  <si>
    <t>198-12</t>
  </si>
  <si>
    <t>86-12</t>
  </si>
  <si>
    <t>NEWELL</t>
  </si>
  <si>
    <t>830-12</t>
  </si>
  <si>
    <t>203-12</t>
  </si>
  <si>
    <t>831-12</t>
  </si>
  <si>
    <t>205-12</t>
  </si>
  <si>
    <t>200-12</t>
  </si>
  <si>
    <t>207-12</t>
  </si>
  <si>
    <t>202-12</t>
  </si>
  <si>
    <t>833-12</t>
  </si>
  <si>
    <t>209-12</t>
  </si>
  <si>
    <t>204-12</t>
  </si>
  <si>
    <t>834-12</t>
  </si>
  <si>
    <t>211-12</t>
  </si>
  <si>
    <t>835-12</t>
  </si>
  <si>
    <t>206-12</t>
  </si>
  <si>
    <t>76-12</t>
  </si>
  <si>
    <t>MAGEE</t>
  </si>
  <si>
    <t>KENYA</t>
  </si>
  <si>
    <t>213-12</t>
  </si>
  <si>
    <t>215-12</t>
  </si>
  <si>
    <t>836-12</t>
  </si>
  <si>
    <t>837-12</t>
  </si>
  <si>
    <t>217-12</t>
  </si>
  <si>
    <t>212-12</t>
  </si>
  <si>
    <t>219-12</t>
  </si>
  <si>
    <t>838-12</t>
  </si>
  <si>
    <t>214-12</t>
  </si>
  <si>
    <t>216-12</t>
  </si>
  <si>
    <t>221-12</t>
  </si>
  <si>
    <t>218-12</t>
  </si>
  <si>
    <t>906-12</t>
  </si>
  <si>
    <t>841-12</t>
  </si>
  <si>
    <t>303-12</t>
  </si>
  <si>
    <t>220-12</t>
  </si>
  <si>
    <t>840-12</t>
  </si>
  <si>
    <t>223-12</t>
  </si>
  <si>
    <t>305-12</t>
  </si>
  <si>
    <t>225-12</t>
  </si>
  <si>
    <t>843-12</t>
  </si>
  <si>
    <t>224-12</t>
  </si>
  <si>
    <t>842-12</t>
  </si>
  <si>
    <t>227-12</t>
  </si>
  <si>
    <t>226-12</t>
  </si>
  <si>
    <t>229-12</t>
  </si>
  <si>
    <t>ZEWDU</t>
  </si>
  <si>
    <t>DEREJE</t>
  </si>
  <si>
    <t>845-12</t>
  </si>
  <si>
    <t>228-12</t>
  </si>
  <si>
    <t>231-12</t>
  </si>
  <si>
    <t>844-12</t>
  </si>
  <si>
    <t>230-12</t>
  </si>
  <si>
    <t>233-12</t>
  </si>
  <si>
    <t>847-12</t>
  </si>
  <si>
    <t>232-12</t>
  </si>
  <si>
    <t>846-12</t>
  </si>
  <si>
    <t>235-12</t>
  </si>
  <si>
    <t>234-12</t>
  </si>
  <si>
    <t>237-12</t>
  </si>
  <si>
    <t>849-12</t>
  </si>
  <si>
    <t>908-12</t>
  </si>
  <si>
    <t>236-12</t>
  </si>
  <si>
    <t>239-12</t>
  </si>
  <si>
    <t>241-12</t>
  </si>
  <si>
    <t>238-12</t>
  </si>
  <si>
    <t>243-12</t>
  </si>
  <si>
    <t>240-12</t>
  </si>
  <si>
    <t>313-12</t>
  </si>
  <si>
    <t>242-12</t>
  </si>
  <si>
    <t>307-12</t>
  </si>
  <si>
    <t>244-12</t>
  </si>
  <si>
    <t>309-12</t>
  </si>
  <si>
    <t>311-12</t>
  </si>
  <si>
    <t>300-13</t>
  </si>
  <si>
    <t>precipAccumulation</t>
  </si>
  <si>
    <t>precipType</t>
  </si>
  <si>
    <t>snow</t>
  </si>
  <si>
    <t>204:801</t>
  </si>
  <si>
    <t>204:233282</t>
  </si>
  <si>
    <t>204:163</t>
  </si>
  <si>
    <t>204:233297</t>
  </si>
  <si>
    <t>204:232985</t>
  </si>
  <si>
    <t>204:232981</t>
  </si>
  <si>
    <t>204:449</t>
  </si>
  <si>
    <t>204:233295</t>
  </si>
  <si>
    <t>204:232973</t>
  </si>
  <si>
    <t>204:232976</t>
  </si>
  <si>
    <t>204:170</t>
  </si>
  <si>
    <t>204:477</t>
  </si>
  <si>
    <t>204:233288</t>
  </si>
  <si>
    <t>204:555</t>
  </si>
  <si>
    <t>204:233308</t>
  </si>
  <si>
    <t>204:232979</t>
  </si>
  <si>
    <t>204:116</t>
  </si>
  <si>
    <t>204:438</t>
  </si>
  <si>
    <t>204:232975</t>
  </si>
  <si>
    <t>204:539</t>
  </si>
  <si>
    <t>204:232906</t>
  </si>
  <si>
    <t>204:233276</t>
  </si>
  <si>
    <t>204:232959</t>
  </si>
  <si>
    <t>204:458</t>
  </si>
  <si>
    <t>204:154</t>
  </si>
  <si>
    <t>204:232980</t>
  </si>
  <si>
    <t>204:196</t>
  </si>
  <si>
    <t>204:233287</t>
  </si>
  <si>
    <t>204:232968</t>
  </si>
  <si>
    <t>204:229</t>
  </si>
  <si>
    <t>204:147</t>
  </si>
  <si>
    <t>204:2561</t>
  </si>
  <si>
    <t>204:19255</t>
  </si>
  <si>
    <t>204:233240</t>
  </si>
  <si>
    <t>204:232915</t>
  </si>
  <si>
    <t>204:233307</t>
  </si>
  <si>
    <t>204:19125</t>
  </si>
  <si>
    <t>204:522</t>
  </si>
  <si>
    <t>204:233293</t>
  </si>
  <si>
    <t>204:232847</t>
  </si>
  <si>
    <t>204:473</t>
  </si>
  <si>
    <t>204:233318</t>
  </si>
  <si>
    <t>204:232991</t>
  </si>
  <si>
    <t>204:508</t>
  </si>
  <si>
    <t>204:169</t>
  </si>
  <si>
    <t>204:233268</t>
  </si>
  <si>
    <t>204:232951</t>
  </si>
  <si>
    <t>204:233266</t>
  </si>
  <si>
    <t>204:233317</t>
  </si>
  <si>
    <t>204:19867</t>
  </si>
  <si>
    <t>204:19873</t>
  </si>
  <si>
    <t>204:232867</t>
  </si>
  <si>
    <t>204:240</t>
  </si>
  <si>
    <t>204:233221</t>
  </si>
  <si>
    <t>204:232</t>
  </si>
  <si>
    <t>204:194</t>
  </si>
  <si>
    <t>204:493</t>
  </si>
  <si>
    <t>204:233205</t>
  </si>
  <si>
    <t>204:232877</t>
  </si>
  <si>
    <t>204:233261</t>
  </si>
  <si>
    <t>204:232947</t>
  </si>
  <si>
    <t>204:211</t>
  </si>
  <si>
    <t>204:227</t>
  </si>
  <si>
    <t>204:232882</t>
  </si>
  <si>
    <t>204:233238</t>
  </si>
  <si>
    <t>204:127</t>
  </si>
  <si>
    <t>204:238</t>
  </si>
  <si>
    <t>204:232929</t>
  </si>
  <si>
    <t>204:233223</t>
  </si>
  <si>
    <t>204:233236</t>
  </si>
  <si>
    <t>204:232917</t>
  </si>
  <si>
    <t>204:564</t>
  </si>
  <si>
    <t>204:233180</t>
  </si>
  <si>
    <t>204:232873</t>
  </si>
  <si>
    <t>204:17833</t>
  </si>
  <si>
    <t>204:232984</t>
  </si>
  <si>
    <t>204:233227</t>
  </si>
  <si>
    <t>204:233203</t>
  </si>
  <si>
    <t>204:232881</t>
  </si>
  <si>
    <t>204:232992</t>
  </si>
  <si>
    <t>204:233212</t>
  </si>
  <si>
    <t>204:232889</t>
  </si>
  <si>
    <t>204:542</t>
  </si>
  <si>
    <t>204:232942</t>
  </si>
  <si>
    <t>204:233209</t>
  </si>
  <si>
    <t>204:513</t>
  </si>
  <si>
    <t>204:233185</t>
  </si>
  <si>
    <t>204:232874</t>
  </si>
  <si>
    <t>204:256</t>
  </si>
  <si>
    <t>204:566</t>
  </si>
  <si>
    <t>204:232870</t>
  </si>
  <si>
    <t>204:236</t>
  </si>
  <si>
    <t>204:233225</t>
  </si>
  <si>
    <t>204:560</t>
  </si>
  <si>
    <t>204:553</t>
  </si>
  <si>
    <t>204:233163</t>
  </si>
  <si>
    <t>204:232850</t>
  </si>
  <si>
    <t>204:233184</t>
  </si>
  <si>
    <t>204:232861</t>
  </si>
  <si>
    <t>300:19865</t>
  </si>
  <si>
    <t>300:21791</t>
  </si>
  <si>
    <t>204:152</t>
  </si>
  <si>
    <t>300:23295</t>
  </si>
  <si>
    <t>300:23540</t>
  </si>
  <si>
    <t>300:23310</t>
  </si>
  <si>
    <t>300:19716</t>
  </si>
  <si>
    <t>300:4911</t>
  </si>
  <si>
    <t>300:22210</t>
  </si>
  <si>
    <t>204:180</t>
  </si>
  <si>
    <t>300:23304</t>
  </si>
  <si>
    <t>300:23747</t>
  </si>
  <si>
    <t>204:562</t>
  </si>
  <si>
    <t>300:20129</t>
  </si>
  <si>
    <t>204:2219</t>
  </si>
  <si>
    <t>204:1148</t>
  </si>
  <si>
    <t>300:23314</t>
  </si>
  <si>
    <t>204:410</t>
  </si>
  <si>
    <t>300:58922</t>
  </si>
  <si>
    <t>204:119</t>
  </si>
  <si>
    <t>204:459</t>
  </si>
  <si>
    <t>300:58956</t>
  </si>
  <si>
    <t>300:58943</t>
  </si>
  <si>
    <t>300:58675</t>
  </si>
  <si>
    <t>204:441</t>
  </si>
  <si>
    <t>300:58602</t>
  </si>
  <si>
    <t>204:129</t>
  </si>
  <si>
    <t>300:58976</t>
  </si>
  <si>
    <t>300:58664</t>
  </si>
  <si>
    <t>300:58990</t>
  </si>
  <si>
    <t>300:58672</t>
  </si>
  <si>
    <t>300:58995</t>
  </si>
  <si>
    <t>300:58685</t>
  </si>
  <si>
    <t>204:146</t>
  </si>
  <si>
    <t>300:58092</t>
  </si>
  <si>
    <t>300:58653</t>
  </si>
  <si>
    <t>204:439</t>
  </si>
  <si>
    <t>300:58649</t>
  </si>
  <si>
    <t>300:58623</t>
  </si>
  <si>
    <t>204:133</t>
  </si>
  <si>
    <t>300:58931</t>
  </si>
  <si>
    <t>300:58615</t>
  </si>
  <si>
    <t>204:428</t>
  </si>
  <si>
    <t>300:58619</t>
  </si>
  <si>
    <t>204:124</t>
  </si>
  <si>
    <t>300:58948</t>
  </si>
  <si>
    <t>300:58638</t>
  </si>
  <si>
    <t>204:153</t>
  </si>
  <si>
    <t>300:58626</t>
  </si>
  <si>
    <t>204:167</t>
  </si>
  <si>
    <t>300:58660</t>
  </si>
  <si>
    <t>300:58606</t>
  </si>
  <si>
    <t>300:58933</t>
  </si>
  <si>
    <t>204:1496</t>
  </si>
  <si>
    <t>204:3243</t>
  </si>
  <si>
    <t>204:1179</t>
  </si>
  <si>
    <t>204:3562</t>
  </si>
  <si>
    <t>300:23820</t>
  </si>
  <si>
    <t>300:19303</t>
  </si>
  <si>
    <t>300:24203</t>
  </si>
  <si>
    <t>300:23550</t>
  </si>
  <si>
    <t>300:28774</t>
  </si>
  <si>
    <t>300:58609</t>
  </si>
  <si>
    <t>300:28778</t>
  </si>
  <si>
    <t>start /low /b %USERPROFILE%\Documents\GitHub\eaglep3\Utilities\DownloadLogsFromS3.py --loco 4010 --day 2017-12-12</t>
  </si>
  <si>
    <t>start /low /b %USERPROFILE%\Documents\GitHub\eaglep3\Utilities\DownloadLogsFromS3.py --loco 4058 --day 2017-12-12</t>
  </si>
  <si>
    <t>start /low /b %USERPROFILE%\Documents\GitHub\eaglep3\Utilities\DownloadLogsFromS3.py --loco 4021 --day 2017-12-12</t>
  </si>
  <si>
    <t>start /low /b %USERPROFILE%\Documents\GitHub\eaglep3\Utilities\DownloadLogsFromS3.py --loco 4016 --day 2017-12-12</t>
  </si>
  <si>
    <t>start /low /b %USERPROFILE%\Documents\GitHub\eaglep3\Utilities\DownloadLogsFromS3.py --loco 4029 --day 2017-12-13</t>
  </si>
  <si>
    <t>start /low /b %USERPROFILE%\Documents\GitHub\eaglep3\Utilities\DownloadLogsFromS3.py --loco 4012 --day 2017-12-12</t>
  </si>
  <si>
    <t>start /low /b %USERPROFILE%\Documents\GitHub\eaglep3\Utilities\DownloadLogsFromS3.py --loco 4005 --day 2017-12-13</t>
  </si>
  <si>
    <t>start /low /b %USERPROFILE%\Documents\GitHub\eaglep3\Utilities\DownloadLogsFromS3.py --loco 4011 --day 2017-12-12</t>
  </si>
  <si>
    <t>start /low /b %USERPROFILE%\Documents\GitHub\eaglep3\Utilities\DownloadLogsFromS3.py --loco 4029 --day 2017-12-12</t>
  </si>
  <si>
    <t>start /low /b %USERPROFILE%\Documents\GitHub\eaglep3\Utilities\DownloadLogsFromS3.py --loco 4006 --day 2017-12-12</t>
  </si>
  <si>
    <t>start /low /b %USERPROFILE%\Documents\GitHub\eaglep3\Utilities\DownloadLogsFromS3.py --loco 4057 --day 2017-12-13</t>
  </si>
  <si>
    <t>start /low /b %USERPROFILE%\Documents\GitHub\eaglep3\Utilities\DownloadLogsFromS3.py --loco 4057 --day 2017-12-12</t>
  </si>
  <si>
    <t>start /low /b %USERPROFILE%\Documents\GitHub\eaglep3\Utilities\DownloadLogsFromS3.py --loco 4056 --day 2017-12-12</t>
  </si>
  <si>
    <t>start /low /b %USERPROFILE%\Documents\GitHub\eaglep3\Utilities\DownloadLogsFromS3.py --loco 4055 --day 2017-12-13</t>
  </si>
  <si>
    <t>start /low /b %USERPROFILE%\Documents\GitHub\eaglep3\Utilities\DownloadLogsFromS3.py --loco 4032 --day 2017-12-12</t>
  </si>
  <si>
    <t>123-12</t>
  </si>
  <si>
    <t xml:space="preserve">Extended Onboard Wi-MAX data drop </t>
  </si>
  <si>
    <t>Did not init - extended onboard Wi-MAX data drop</t>
  </si>
  <si>
    <t>Minor Onboard in-route failure caused signal unknown banner</t>
  </si>
  <si>
    <t>BOS issue during bulletin transmission, cut out train</t>
  </si>
  <si>
    <t>Power outage @ DUS, caused Bright 4S to stay at STOP</t>
  </si>
  <si>
    <t>Selected wrong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</si>
</sst>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4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0" fillId="6" borderId="0" xfId="0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69" fontId="0" fillId="0" borderId="5" xfId="0" applyNumberFormat="1" applyFill="1" applyBorder="1" applyAlignment="1">
      <alignment horizontal="left"/>
    </xf>
    <xf numFmtId="169" fontId="0" fillId="0" borderId="5" xfId="0" applyNumberFormat="1" applyFill="1" applyBorder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0" fontId="5" fillId="0" borderId="0" xfId="0" applyNumberFormat="1" applyFont="1" applyAlignment="1">
      <alignment horizontal="left"/>
    </xf>
    <xf numFmtId="0" fontId="0" fillId="0" borderId="0" xfId="0" applyNumberFormat="1" applyFill="1"/>
    <xf numFmtId="0" fontId="9" fillId="0" borderId="0" xfId="0" applyNumberFormat="1" applyFont="1" applyBorder="1" applyAlignment="1">
      <alignment horizontal="left" vertical="center" wrapText="1"/>
    </xf>
    <xf numFmtId="0" fontId="9" fillId="6" borderId="0" xfId="0" applyNumberFormat="1" applyFont="1" applyFill="1" applyBorder="1" applyAlignment="1">
      <alignment horizontal="center" vertical="center" wrapText="1"/>
    </xf>
    <xf numFmtId="0" fontId="9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  <xf numFmtId="0" fontId="9" fillId="6" borderId="0" xfId="0" applyNumberFormat="1" applyFont="1" applyFill="1"/>
    <xf numFmtId="0" fontId="9" fillId="5" borderId="0" xfId="0" applyNumberFormat="1" applyFont="1" applyFill="1"/>
    <xf numFmtId="0" fontId="0" fillId="6" borderId="0" xfId="0" applyNumberFormat="1" applyFill="1"/>
    <xf numFmtId="0" fontId="0" fillId="5" borderId="0" xfId="0" applyNumberFormat="1" applyFill="1"/>
    <xf numFmtId="0" fontId="0" fillId="0" borderId="0" xfId="0" applyNumberFormat="1" applyBorder="1"/>
    <xf numFmtId="9" fontId="0" fillId="0" borderId="0" xfId="2" applyFont="1" applyAlignment="1">
      <alignment horizontal="left"/>
    </xf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1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5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0" customWidth="1"/>
    <col min="19" max="19" width="6" style="239" customWidth="1"/>
    <col min="20" max="20" width="3.85546875" style="200" customWidth="1"/>
    <col min="21" max="21" width="5" style="200" customWidth="1"/>
    <col min="22" max="22" width="5.7109375" style="223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225" hidden="1" customWidth="1"/>
    <col min="29" max="29" width="9.42578125" style="225" hidden="1" customWidth="1"/>
    <col min="30" max="30" width="7.85546875" style="200" customWidth="1"/>
    <col min="31" max="31" width="4.5703125" style="235" customWidth="1"/>
    <col min="32" max="32" width="6.28515625" style="236" customWidth="1"/>
    <col min="33" max="33" width="3.7109375" style="200" customWidth="1"/>
    <col min="34" max="34" width="5" style="68" customWidth="1"/>
    <col min="35" max="35" width="5.7109375" style="81" customWidth="1"/>
    <col min="36" max="36" width="9.85546875" customWidth="1"/>
    <col min="37" max="37" width="5" customWidth="1"/>
    <col min="38" max="38" width="4.140625" customWidth="1"/>
    <col min="39" max="39" width="9.140625" style="131"/>
    <col min="41" max="41" width="3.7109375" style="15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57"/>
      <c r="M1" s="35"/>
      <c r="N1" s="36"/>
      <c r="O1" s="2"/>
      <c r="P1" s="2"/>
      <c r="R1" s="149" t="s">
        <v>103</v>
      </c>
      <c r="S1" s="238"/>
      <c r="T1" s="198"/>
      <c r="U1" s="198"/>
      <c r="V1" s="199"/>
      <c r="W1" s="198"/>
      <c r="X1" s="200"/>
      <c r="Y1" s="201"/>
      <c r="Z1" s="201"/>
      <c r="AA1" s="201"/>
      <c r="AB1" s="225"/>
      <c r="AC1" s="225"/>
      <c r="AD1" s="200"/>
      <c r="AE1" s="226"/>
      <c r="AF1" s="226"/>
      <c r="AG1" s="226"/>
      <c r="AH1" s="47"/>
      <c r="AI1" s="1"/>
      <c r="AM1" s="131"/>
      <c r="AO1" s="15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1">
        <f>Variables!$A$2</f>
        <v>43081</v>
      </c>
      <c r="J2" s="52"/>
      <c r="K2" s="53"/>
      <c r="L2" s="158"/>
      <c r="M2" s="54" t="s">
        <v>8</v>
      </c>
      <c r="N2" s="55"/>
      <c r="O2" s="56"/>
      <c r="P2" s="2"/>
      <c r="R2" s="51">
        <f>Variables!$A$2</f>
        <v>43081</v>
      </c>
      <c r="S2" s="202"/>
      <c r="T2" s="203"/>
      <c r="U2" s="203"/>
      <c r="V2" s="204" t="s">
        <v>8</v>
      </c>
      <c r="W2" s="205"/>
      <c r="X2" s="206"/>
      <c r="Y2" s="201"/>
      <c r="Z2" s="201"/>
      <c r="AA2" s="201"/>
      <c r="AB2" s="225"/>
      <c r="AC2" s="225"/>
      <c r="AD2" s="200"/>
      <c r="AE2" s="226"/>
      <c r="AF2" s="226"/>
      <c r="AG2" s="226"/>
      <c r="AH2" s="47"/>
      <c r="AI2" s="1"/>
      <c r="AM2" s="131"/>
      <c r="AO2" s="15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57" t="s">
        <v>10</v>
      </c>
      <c r="J3" s="58"/>
      <c r="K3" s="59"/>
      <c r="L3" s="159"/>
      <c r="M3" s="37" t="s">
        <v>11</v>
      </c>
      <c r="N3" s="38" t="s">
        <v>12</v>
      </c>
      <c r="O3" s="3" t="s">
        <v>13</v>
      </c>
      <c r="P3" s="2"/>
      <c r="R3" s="151" t="s">
        <v>10</v>
      </c>
      <c r="S3" s="207"/>
      <c r="T3" s="208"/>
      <c r="U3" s="208"/>
      <c r="V3" s="209" t="s">
        <v>11</v>
      </c>
      <c r="W3" s="210" t="s">
        <v>12</v>
      </c>
      <c r="X3" s="211" t="s">
        <v>13</v>
      </c>
      <c r="Y3" s="201"/>
      <c r="Z3" s="201"/>
      <c r="AA3" s="201"/>
      <c r="AB3" s="225"/>
      <c r="AC3" s="225"/>
      <c r="AD3" s="200"/>
      <c r="AE3" s="226"/>
      <c r="AF3" s="226"/>
      <c r="AG3" s="226"/>
      <c r="AH3" s="47"/>
      <c r="AI3" s="1"/>
      <c r="AM3" s="131"/>
      <c r="AO3" s="156"/>
    </row>
    <row r="4" spans="1:91" s="20" customFormat="1" ht="15.75" thickBot="1" x14ac:dyDescent="0.3">
      <c r="A4" s="34"/>
      <c r="B4" s="36"/>
      <c r="C4" s="27"/>
      <c r="D4" s="27"/>
      <c r="E4" s="33"/>
      <c r="F4" s="149"/>
      <c r="G4" s="36"/>
      <c r="H4" s="33"/>
      <c r="I4" s="60" t="s">
        <v>14</v>
      </c>
      <c r="J4" s="48">
        <f>SUM(J5:J7)</f>
        <v>144</v>
      </c>
      <c r="K4" s="39"/>
      <c r="L4" s="160"/>
      <c r="M4" s="40" t="s">
        <v>15</v>
      </c>
      <c r="N4" s="38" t="s">
        <v>15</v>
      </c>
      <c r="O4" s="3" t="s">
        <v>15</v>
      </c>
      <c r="P4" s="2"/>
      <c r="R4" s="152" t="s">
        <v>14</v>
      </c>
      <c r="S4" s="212">
        <f>SUM(S5:S7)</f>
        <v>49</v>
      </c>
      <c r="T4" s="213"/>
      <c r="U4" s="213"/>
      <c r="V4" s="209" t="s">
        <v>15</v>
      </c>
      <c r="W4" s="210" t="s">
        <v>15</v>
      </c>
      <c r="X4" s="211" t="s">
        <v>15</v>
      </c>
      <c r="Y4" s="201"/>
      <c r="Z4" s="201"/>
      <c r="AA4" s="201"/>
      <c r="AB4" s="225"/>
      <c r="AC4" s="225"/>
      <c r="AD4" s="200"/>
      <c r="AE4" s="226"/>
      <c r="AF4" s="226"/>
      <c r="AG4" s="226"/>
      <c r="AH4" s="47"/>
      <c r="AI4" s="1"/>
      <c r="AM4" s="131"/>
      <c r="AO4" s="15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0" t="s">
        <v>17</v>
      </c>
      <c r="J5" s="48">
        <f>COUNTIFS($N$13:$N$9584,"&gt;0",$AG$13:$AG$9584,I1)</f>
        <v>137</v>
      </c>
      <c r="K5" s="39"/>
      <c r="L5" s="160"/>
      <c r="M5" s="40">
        <f>AVERAGEIFS($N$13:$N$9584,$AG$13:$AG$9584,I1)</f>
        <v>37.204866179683158</v>
      </c>
      <c r="N5" s="38">
        <f t="array" ref="N5">MIN(IF($AG$13:$AG$9584=I1,IF(ISNUMBER($N$13:$N$9584),IF($N$13:$N$9584&gt;0,$N$13:$N$9584))))</f>
        <v>33.516666664509103</v>
      </c>
      <c r="O5" s="3">
        <f t="array" ref="O5">MAX(IF($AG$13:$AG$9584=I1,IF(ISNUMBER($N$13:$N$9584),IF($N$13:$N$9584&gt;0,$N$13:$N$9584))))</f>
        <v>44.399999995948747</v>
      </c>
      <c r="P5" s="2"/>
      <c r="R5" s="152" t="s">
        <v>17</v>
      </c>
      <c r="S5" s="212">
        <f>COUNTIFS($N$13:$N$9584,"&gt;0",$AG$13:$AG$9584,R1)</f>
        <v>49</v>
      </c>
      <c r="T5" s="213"/>
      <c r="U5" s="213"/>
      <c r="V5" s="209">
        <f>AVERAGEIFS($N$13:$N$9584,$AG$13:$AG$9584,R1)</f>
        <v>14.075170067941999</v>
      </c>
      <c r="W5" s="210">
        <f t="array" ref="W5">MIN(IF($AG$13:$AG$9584=R1,IF(ISNUMBER($N$13:$N$9584),IF($N$13:$N$9584&gt;0,$N$13:$N$9584))))</f>
        <v>11.899999994784594</v>
      </c>
      <c r="X5" s="211">
        <f t="array" ref="X5">MAX(IF($AG$13:$AG$9584=R1,IF(ISNUMBER($N$13:$N$9584),IF($N$13:$N$9584&gt;0,$N$13:$N$9584))))</f>
        <v>18.333333333721384</v>
      </c>
      <c r="Y5" s="201"/>
      <c r="Z5" s="201"/>
      <c r="AA5" s="201"/>
      <c r="AB5" s="225"/>
      <c r="AC5" s="225"/>
      <c r="AD5" s="200"/>
      <c r="AE5" s="226"/>
      <c r="AF5" s="226"/>
      <c r="AG5" s="226"/>
      <c r="AH5" s="47"/>
      <c r="AI5" s="1"/>
      <c r="AM5" s="131"/>
      <c r="AO5" s="15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1" t="s">
        <v>43</v>
      </c>
      <c r="J6" s="48">
        <f>COUNT($O$13:$O$342)</f>
        <v>0</v>
      </c>
      <c r="K6" s="39"/>
      <c r="L6" s="160"/>
      <c r="M6" s="40">
        <f>IFERROR(AVERAGE($O$13:$O$342),0)</f>
        <v>0</v>
      </c>
      <c r="N6" s="38">
        <f>MIN($O$13:$O$342)</f>
        <v>0</v>
      </c>
      <c r="O6" s="3">
        <f>MAX($O$13:$O$342)</f>
        <v>0</v>
      </c>
      <c r="P6" s="2"/>
      <c r="R6" s="153" t="s">
        <v>43</v>
      </c>
      <c r="S6" s="212">
        <f>COUNT($O$13:$O$342)</f>
        <v>0</v>
      </c>
      <c r="T6" s="213"/>
      <c r="U6" s="213"/>
      <c r="V6" s="209">
        <f>IFERROR(AVERAGE($O$13:$O$342),0)</f>
        <v>0</v>
      </c>
      <c r="W6" s="210">
        <f>MIN($O$13:$O$342)</f>
        <v>0</v>
      </c>
      <c r="X6" s="211">
        <f>MAX($O$13:$O$342)</f>
        <v>0</v>
      </c>
      <c r="Y6" s="201"/>
      <c r="Z6" s="201"/>
      <c r="AA6" s="201"/>
      <c r="AB6" s="225"/>
      <c r="AC6" s="225"/>
      <c r="AD6" s="200"/>
      <c r="AE6" s="226"/>
      <c r="AF6" s="226"/>
      <c r="AG6" s="226"/>
      <c r="AH6" s="47"/>
      <c r="AI6" s="1"/>
      <c r="AM6" s="131"/>
      <c r="AO6" s="15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2" t="s">
        <v>9</v>
      </c>
      <c r="J7" s="48">
        <f>COUNTIFS($P$13:$P$9584,"&gt;0",$AG$13:$AG$9584,I1)</f>
        <v>7</v>
      </c>
      <c r="K7" s="39"/>
      <c r="L7" s="160"/>
      <c r="M7" s="38" t="s">
        <v>15</v>
      </c>
      <c r="N7" s="38" t="s">
        <v>15</v>
      </c>
      <c r="O7" s="3" t="s">
        <v>15</v>
      </c>
      <c r="P7" s="2"/>
      <c r="R7" s="154" t="s">
        <v>9</v>
      </c>
      <c r="S7" s="212">
        <f>COUNTIFS($P$13:$P$9584,"&gt;0",$AG$13:$AG$9584,R1)</f>
        <v>0</v>
      </c>
      <c r="T7" s="213"/>
      <c r="U7" s="213"/>
      <c r="V7" s="209" t="s">
        <v>15</v>
      </c>
      <c r="W7" s="210" t="s">
        <v>15</v>
      </c>
      <c r="X7" s="211" t="s">
        <v>15</v>
      </c>
      <c r="Y7" s="201"/>
      <c r="Z7" s="201"/>
      <c r="AA7" s="201"/>
      <c r="AB7" s="225"/>
      <c r="AC7" s="225"/>
      <c r="AD7" s="200"/>
      <c r="AE7" s="226"/>
      <c r="AF7" s="226"/>
      <c r="AG7" s="226"/>
      <c r="AH7" s="47"/>
      <c r="AI7" s="1"/>
      <c r="AM7" s="131"/>
      <c r="AO7" s="15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0" t="s">
        <v>16</v>
      </c>
      <c r="J8" s="48">
        <f>J5</f>
        <v>137</v>
      </c>
      <c r="K8" s="39"/>
      <c r="L8" s="160"/>
      <c r="M8" s="40">
        <f>M5</f>
        <v>37.204866179683158</v>
      </c>
      <c r="N8" s="38">
        <f>N5</f>
        <v>33.516666664509103</v>
      </c>
      <c r="O8" s="3">
        <f>O5</f>
        <v>44.399999995948747</v>
      </c>
      <c r="P8" s="2"/>
      <c r="R8" s="152" t="s">
        <v>16</v>
      </c>
      <c r="S8" s="212">
        <f>S5</f>
        <v>49</v>
      </c>
      <c r="T8" s="213"/>
      <c r="U8" s="213"/>
      <c r="V8" s="209">
        <f>V5</f>
        <v>14.075170067941999</v>
      </c>
      <c r="W8" s="210">
        <f>W5</f>
        <v>11.899999994784594</v>
      </c>
      <c r="X8" s="211">
        <f>X5</f>
        <v>18.333333333721384</v>
      </c>
      <c r="Y8" s="201"/>
      <c r="Z8" s="201"/>
      <c r="AA8" s="201"/>
      <c r="AB8" s="225"/>
      <c r="AC8" s="225"/>
      <c r="AD8" s="200"/>
      <c r="AE8" s="226"/>
      <c r="AF8" s="226"/>
      <c r="AG8" s="226"/>
      <c r="AH8" s="47"/>
      <c r="AI8" s="1"/>
      <c r="AM8" s="131"/>
      <c r="AO8" s="15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0" t="s">
        <v>19</v>
      </c>
      <c r="J9" s="113">
        <f>J8/J4</f>
        <v>0.95138888888888884</v>
      </c>
      <c r="K9" s="41"/>
      <c r="L9" s="157"/>
      <c r="M9" s="63"/>
      <c r="N9" s="36"/>
      <c r="O9" s="64"/>
      <c r="P9" s="2"/>
      <c r="R9" s="152" t="s">
        <v>19</v>
      </c>
      <c r="S9" s="238">
        <f>S8/S4</f>
        <v>1</v>
      </c>
      <c r="T9" s="198"/>
      <c r="U9" s="198"/>
      <c r="V9" s="214"/>
      <c r="W9" s="198"/>
      <c r="X9" s="215"/>
      <c r="Y9" s="201"/>
      <c r="Z9" s="201"/>
      <c r="AA9" s="201"/>
      <c r="AB9" s="225"/>
      <c r="AC9" s="225"/>
      <c r="AD9" s="200"/>
      <c r="AE9" s="226"/>
      <c r="AF9" s="226"/>
      <c r="AG9" s="226"/>
      <c r="AH9" s="47"/>
      <c r="AI9" s="1"/>
      <c r="AM9" s="131"/>
      <c r="AO9" s="15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57"/>
      <c r="M10" s="35"/>
      <c r="N10" s="36"/>
      <c r="O10" s="2"/>
      <c r="P10" s="2"/>
      <c r="R10" s="150"/>
      <c r="S10" s="239"/>
      <c r="T10" s="200"/>
      <c r="U10" s="200"/>
      <c r="V10" s="216"/>
      <c r="W10" s="201"/>
      <c r="X10" s="201"/>
      <c r="Y10" s="201"/>
      <c r="Z10" s="201"/>
      <c r="AA10" s="201"/>
      <c r="AB10" s="225"/>
      <c r="AC10" s="225"/>
      <c r="AD10" s="200"/>
      <c r="AE10" s="226"/>
      <c r="AF10" s="226"/>
      <c r="AG10" s="226"/>
      <c r="AH10" s="47"/>
      <c r="AI10" s="1"/>
      <c r="AM10" s="131"/>
      <c r="AO10" s="156"/>
    </row>
    <row r="11" spans="1:91" ht="16.5" thickBot="1" x14ac:dyDescent="0.3">
      <c r="A11" s="242" t="str">
        <f>"Eagle P3 System Performance - "&amp;TEXT(Variables!A2,"yyyy-mm-dd")</f>
        <v>Eagle P3 System Performance - 2017-12-12</v>
      </c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S11" s="239">
        <f>AVERAGE(S13:S142)</f>
        <v>0.98622047244094491</v>
      </c>
      <c r="V11" s="216"/>
      <c r="AE11" s="226"/>
      <c r="AF11" s="226"/>
      <c r="AG11" s="22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5" t="s">
        <v>54</v>
      </c>
      <c r="L12" s="168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55" t="s">
        <v>24</v>
      </c>
      <c r="S12" s="240" t="s">
        <v>63</v>
      </c>
      <c r="T12" s="217" t="s">
        <v>64</v>
      </c>
      <c r="U12" s="217" t="s">
        <v>65</v>
      </c>
      <c r="V12" s="218" t="s">
        <v>45</v>
      </c>
      <c r="W12" s="219" t="s">
        <v>23</v>
      </c>
      <c r="X12" s="219" t="s">
        <v>48</v>
      </c>
      <c r="Y12" s="219" t="s">
        <v>20</v>
      </c>
      <c r="Z12" s="219" t="s">
        <v>21</v>
      </c>
      <c r="AA12" s="219" t="s">
        <v>22</v>
      </c>
      <c r="AB12" s="227" t="s">
        <v>39</v>
      </c>
      <c r="AC12" s="227" t="s">
        <v>40</v>
      </c>
      <c r="AD12" s="219" t="s">
        <v>82</v>
      </c>
      <c r="AE12" s="228" t="s">
        <v>89</v>
      </c>
      <c r="AF12" s="229" t="s">
        <v>93</v>
      </c>
      <c r="AG12" s="230" t="s">
        <v>104</v>
      </c>
      <c r="AH12" s="69" t="s">
        <v>106</v>
      </c>
      <c r="AI12" s="85" t="s">
        <v>141</v>
      </c>
      <c r="AJ12" s="46" t="s">
        <v>142</v>
      </c>
      <c r="AK12" s="46" t="s">
        <v>115</v>
      </c>
      <c r="AL12" s="46" t="s">
        <v>143</v>
      </c>
      <c r="AM12" s="132" t="s">
        <v>187</v>
      </c>
      <c r="AN12" s="46" t="s">
        <v>329</v>
      </c>
      <c r="AO12" s="164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693</v>
      </c>
      <c r="B13" s="7">
        <v>4006</v>
      </c>
      <c r="C13" s="21" t="s">
        <v>192</v>
      </c>
      <c r="D13" s="21" t="s">
        <v>905</v>
      </c>
      <c r="E13" s="13">
        <v>43081.124398148146</v>
      </c>
      <c r="F13" s="13">
        <v>43081.13559027778</v>
      </c>
      <c r="G13" s="7">
        <v>67</v>
      </c>
      <c r="H13" s="21" t="s">
        <v>906</v>
      </c>
      <c r="I13" s="13">
        <v>43081.159178240741</v>
      </c>
      <c r="J13" s="7">
        <v>0</v>
      </c>
      <c r="K13" s="79" t="str">
        <f t="shared" ref="K13:K76" si="0">IF(ISEVEN(B13),(B13-1)&amp;"/"&amp;B13,B13&amp;"/"&amp;(B13+1))</f>
        <v>4005/4006</v>
      </c>
      <c r="L13" s="169" t="str">
        <f>VLOOKUP(A13,'Trips&amp;Operators'!$C$1:$G$99911,5,FALSE)</f>
        <v>YORK EDGAR</v>
      </c>
      <c r="M13" s="6">
        <f t="shared" ref="M13:M76" si="1">I13-F13</f>
        <v>2.3587962961755693E-2</v>
      </c>
      <c r="N13" s="7">
        <f t="shared" ref="N13:N20" si="2">24*60*SUM($M13:$M13)</f>
        <v>33.966666664928198</v>
      </c>
      <c r="O13" s="7"/>
      <c r="P13" s="182"/>
      <c r="Q13" s="22"/>
      <c r="R13" s="195"/>
      <c r="S13" s="241">
        <f t="shared" ref="S13:S42" si="3">1/IF(AG13="EC",12,1)*SUM(U13:U13)</f>
        <v>1</v>
      </c>
      <c r="T13" s="220" t="str">
        <f t="shared" ref="T13:T76" si="4">IF(ISEVEN(LEFT(AD13,4)),"Southbound","NorthBound")</f>
        <v>NorthBound</v>
      </c>
      <c r="U13" s="22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-12T01:59:08-0700',mode:absolute,to:'2017-12-12T04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222" t="str">
        <f>IF(AA13&lt;VLOOKUP(AG13,Variables!$AC$3:$AD$8,2,FALSE),"Y","N")</f>
        <v>N</v>
      </c>
      <c r="X13" s="222" t="e">
        <f t="shared" ref="X13:X21" si="6">VALUE(LEFT(AD13,4))-VALUE(LEFT(AD12,4))</f>
        <v>#VALUE!</v>
      </c>
      <c r="Y13" s="222">
        <f t="shared" ref="Y13:Y20" si="7">RIGHT(D13,LEN(D13)-4)/10000</f>
        <v>8.0100000000000005E-2</v>
      </c>
      <c r="Z13" s="222">
        <f t="shared" ref="Z13:Z20" si="8">RIGHT(H13,LEN(H13)-4)/10000</f>
        <v>23.328199999999999</v>
      </c>
      <c r="AA13" s="222">
        <f t="shared" ref="AA13:AA76" si="9">ABS(Z13-Y13)</f>
        <v>23.248099999999997</v>
      </c>
      <c r="AB13" s="231" t="e">
        <f>VLOOKUP(A13,Enforcements!$C$7:$K$9,8,0)</f>
        <v>#N/A</v>
      </c>
      <c r="AC13" s="231" t="e">
        <f>VLOOKUP(A13,Enforcements!$C$7:$E$9,3,0)</f>
        <v>#N/A</v>
      </c>
      <c r="AD13" s="232">
        <f t="shared" ref="AD13:AD76" si="10">VALUE(LEFT(A13,LEN(A13)-3))</f>
        <v>101</v>
      </c>
      <c r="AE13" s="233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13" s="23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/stypes="app*4006*20171212*" /stext=" 10:.+((SYSTEM_STATE.+slice.+state.+changed )|(ment ac)|(multiple cpu faults)|(system.+state.+changed )|(\[timeout)|(PRM\|1\|D)|(kpr)|(kdp)|(train st.+moving)|(\|lc)|(penalty))"</v>
      </c>
      <c r="AG13" s="226" t="str">
        <f t="shared" ref="AG13:AG76" si="13">DetSubdiv(A13)</f>
        <v>EC</v>
      </c>
      <c r="AH13" s="6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4006 --swversion DE.1.0.9.0 --startMP 204:801 --initTime 2017-12-12T02:59:08 --startdatetime 2017-12-12T03:15:15 --delay 67 --endMP 204:233282 --enddatetime 2017-12-12T03:49:13 --enforcementcount 0 &gt;&gt;%USERPROFILE%\Documents\GitHub\eaglep3-reporting\EC\2017-12-12-refined-times.txt</v>
      </c>
      <c r="AI13" s="8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{"issue":{"subject":"","project_id":79,"tracker_id":40,"status_id":1,"priority_id":2,"assigned_to_id":338,"start_date":"2017-12-12","description":"","custom_fields":[{"id":1,"name":"Subdivision","value":"EC"},{"id":4,"name":"Milepost","value":"23.3282"},{"id":17,"name":"Train ID","value":"101-12"},{"id":16,"name":"Locomotive ID","value":"4006"},{"id":130,"name":"Impact","value":""},{"id":150,"name":"Time of Event (Mountain Time)","value":"03:49:13"},{"id":151,"name":"Denver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31" t="str">
        <f t="shared" ref="AM13" si="16">"start /low /b "&amp;dls3logs&amp;" --loco "&amp;B13&amp;" --day "&amp;TEXT(F13,"YYYY-MM-DD")</f>
        <v>start /low /b %USERPROFILE%\Documents\GitHub\eaglep3\Utilities\DownloadLogsFromS3.py --loco 4006 --day 2017-12-12</v>
      </c>
      <c r="AN13" s="14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10:49:13"},{"id":29,"name":"Sharepoint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5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-12T01:59:08-0700',mode:absolute,to:'2017-12-12T04:49:13-0700'))&amp;_a=(columns:!('Message%20ID',Summary),filters:!(),index:'emp_*',interval:auto,query:(query_string:(analyze_wildcard:!t,query:'%22rtdc.l.rtdc.4006%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186" t="s">
        <v>696</v>
      </c>
      <c r="B14" s="182">
        <v>4005</v>
      </c>
      <c r="C14" s="184" t="s">
        <v>192</v>
      </c>
      <c r="D14" s="184" t="s">
        <v>637</v>
      </c>
      <c r="E14" s="183">
        <v>43081.160081018519</v>
      </c>
      <c r="F14" s="183">
        <v>43081.175173611111</v>
      </c>
      <c r="G14" s="182">
        <v>64</v>
      </c>
      <c r="H14" s="184" t="s">
        <v>907</v>
      </c>
      <c r="I14" s="183">
        <v>43081.200231481482</v>
      </c>
      <c r="J14" s="182">
        <v>0</v>
      </c>
      <c r="K14" s="190" t="str">
        <f t="shared" si="0"/>
        <v>4005/4006</v>
      </c>
      <c r="L14" s="196" t="str">
        <f>VLOOKUP(A14,'Trips&amp;Operators'!$C$1:$G$99911,5,FALSE)</f>
        <v>YORK EDGAR</v>
      </c>
      <c r="M14" s="181">
        <f t="shared" si="1"/>
        <v>2.5057870370801538E-2</v>
      </c>
      <c r="N14" s="182">
        <f t="shared" si="2"/>
        <v>36.083333333954215</v>
      </c>
      <c r="O14" s="182"/>
      <c r="P14" s="182"/>
      <c r="Q14" s="185"/>
      <c r="R14" s="197"/>
      <c r="S14" s="241">
        <f t="shared" si="3"/>
        <v>1</v>
      </c>
      <c r="T14" s="220" t="str">
        <f t="shared" si="4"/>
        <v>Southbound</v>
      </c>
      <c r="U14" s="22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1" t="str">
        <f t="shared" si="5"/>
        <v>https://d0f6bd738d7f1b3e5a7ca70fe4ff75f0.us-east-1.aws.found.io/app/kibana#/discover/Steve-Slow-Train-Analysis-(2080s-and-2083s)?_g=(refreshInterval:(display:Off,pause:!f,section:0,value:0),time:(from:'2017-12-12T02:50:31-0700',mode:absolute,to:'2017-12-12T05:48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222" t="str">
        <f>IF(AA14&lt;VLOOKUP(AG14,Variables!$AC$3:$AD$8,2,FALSE),"Y","N")</f>
        <v>N</v>
      </c>
      <c r="X14" s="222">
        <f t="shared" si="6"/>
        <v>1</v>
      </c>
      <c r="Y14" s="222">
        <f t="shared" si="7"/>
        <v>23.296500000000002</v>
      </c>
      <c r="Z14" s="222">
        <f t="shared" si="8"/>
        <v>1.6299999999999999E-2</v>
      </c>
      <c r="AA14" s="222">
        <f t="shared" si="9"/>
        <v>23.280200000000001</v>
      </c>
      <c r="AB14" s="231" t="e">
        <f>VLOOKUP(A14,Enforcements!$C$7:$K$9,8,0)</f>
        <v>#N/A</v>
      </c>
      <c r="AC14" s="231" t="e">
        <f>VLOOKUP(A14,Enforcements!$C$7:$E$9,3,0)</f>
        <v>#N/A</v>
      </c>
      <c r="AD14" s="232">
        <f t="shared" si="10"/>
        <v>102</v>
      </c>
      <c r="AE14" s="233" t="str">
        <f t="shared" si="11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14" s="234" t="str">
        <f t="shared" si="12"/>
        <v>"C:\Program Files (x86)\AstroGrep\AstroGrep.exe" /e /r /s /spath="%USERPROFILE%\AppData\Local\Temp\OnboardLogs" /stypes="app*4005*20171212*" /stext=" 11:.+((SYSTEM_STATE.+slice.+state.+changed )|(ment ac)|(multiple cpu faults)|(system.+state.+changed )|(\[timeout)|(PRM\|1\|D)|(kpr)|(kdp)|(train st.+moving)|(\|lc)|(penalty))"</v>
      </c>
      <c r="AG14" s="226" t="str">
        <f t="shared" si="13"/>
        <v>EC</v>
      </c>
      <c r="AH14" s="189" t="str">
        <f t="shared" ref="AH14:AH80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4005 --swversion DE.1.0.9.0 --startMP 204:232965 --initTime 2017-12-12T03:50:31 --startdatetime 2017-12-12T04:12:15 --delay 64 --endMP 204:163 --enddatetime 2017-12-12T04:48:20 --enforcementcount 0 &gt;&gt;%USERPROFILE%\Documents\GitHub\eaglep3-reporting\EC\2017-12-12-refined-times.txt</v>
      </c>
      <c r="AI14" s="191" t="str">
        <f t="shared" ref="AI14:AI80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{"issue":{"subject":"","project_id":79,"tracker_id":40,"status_id":1,"priority_id":2,"assigned_to_id":338,"start_date":"2017-12-12","description":"","custom_fields":[{"id":1,"name":"Subdivision","value":"EC"},{"id":4,"name":"Milepost","value":"0.0163"},{"id":17,"name":"Train ID","value":"102-12"},{"id":16,"name":"Locomotive ID","value":"4005"},{"id":130,"name":"Impact","value":""},{"id":150,"name":"Time of Event (Mountain Time)","value":"04:48:20"},{"id":151,"name":"Denver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180"/>
      <c r="AK14" s="188"/>
      <c r="AL14" s="188"/>
      <c r="AM14" s="193" t="str">
        <f t="shared" ref="AM14:AM80" si="21">"start /low /b "&amp;dls3logs&amp;" --loco "&amp;B14&amp;" --day "&amp;TEXT(F14,"YYYY-MM-DD")</f>
        <v>start /low /b %USERPROFILE%\Documents\GitHub\eaglep3\Utilities\DownloadLogsFromS3.py --loco 4005 --day 2017-12-12</v>
      </c>
      <c r="AN14" s="194" t="str">
        <f t="shared" ref="AN14:AN80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11:48:20"},{"id":29,"name":"Sharepoint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87" t="str">
        <f t="shared" ref="AO14:AO80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-12T02:50:31-0700',mode:absolute,to:'2017-12-12T05:48:20-0700'))&amp;_a=(columns:!('Message%20ID',Summary),filters:!(),index:'emp_*',interval:auto,query:(query_string:(analyze_wildcard:!t,query:'%22rtdc.l.rtdc.4005%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186" t="s">
        <v>667</v>
      </c>
      <c r="B15" s="182">
        <v>4012</v>
      </c>
      <c r="C15" s="184" t="s">
        <v>192</v>
      </c>
      <c r="D15" s="184" t="s">
        <v>631</v>
      </c>
      <c r="E15" s="183">
        <v>43081.152662037035</v>
      </c>
      <c r="F15" s="183">
        <v>43081.156412037039</v>
      </c>
      <c r="G15" s="182">
        <v>103</v>
      </c>
      <c r="H15" s="184" t="s">
        <v>908</v>
      </c>
      <c r="I15" s="183">
        <v>43081.181643518517</v>
      </c>
      <c r="J15" s="182">
        <v>0</v>
      </c>
      <c r="K15" s="190" t="str">
        <f t="shared" si="0"/>
        <v>4011/4012</v>
      </c>
      <c r="L15" s="196" t="str">
        <f>VLOOKUP(A15,'Trips&amp;Operators'!$C$1:$G$99911,5,FALSE)</f>
        <v>STARKS ANGELINA</v>
      </c>
      <c r="M15" s="181">
        <f t="shared" si="1"/>
        <v>2.5231481478840578E-2</v>
      </c>
      <c r="N15" s="182">
        <f t="shared" si="2"/>
        <v>36.333333329530433</v>
      </c>
      <c r="O15" s="182"/>
      <c r="P15" s="182"/>
      <c r="Q15" s="185"/>
      <c r="R15" s="197"/>
      <c r="S15" s="241">
        <f t="shared" si="3"/>
        <v>1</v>
      </c>
      <c r="T15" s="220" t="str">
        <f t="shared" si="4"/>
        <v>NorthBound</v>
      </c>
      <c r="U15" s="22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1" t="str">
        <f t="shared" si="5"/>
        <v>https://d0f6bd738d7f1b3e5a7ca70fe4ff75f0.us-east-1.aws.found.io/app/kibana#/discover/Steve-Slow-Train-Analysis-(2080s-and-2083s)?_g=(refreshInterval:(display:Off,pause:!f,section:0,value:0),time:(from:'2017-12-12T02:39:50-0700',mode:absolute,to:'2017-12-12T05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222" t="str">
        <f>IF(AA15&lt;VLOOKUP(AG15,Variables!$AC$3:$AD$8,2,FALSE),"Y","N")</f>
        <v>N</v>
      </c>
      <c r="X15" s="222">
        <f t="shared" si="6"/>
        <v>1</v>
      </c>
      <c r="Y15" s="222">
        <f t="shared" si="7"/>
        <v>4.4699999999999997E-2</v>
      </c>
      <c r="Z15" s="222">
        <f t="shared" si="8"/>
        <v>23.329699999999999</v>
      </c>
      <c r="AA15" s="222">
        <f t="shared" si="9"/>
        <v>23.285</v>
      </c>
      <c r="AB15" s="231" t="e">
        <f>VLOOKUP(A15,Enforcements!$C$7:$K$9,8,0)</f>
        <v>#N/A</v>
      </c>
      <c r="AC15" s="231" t="e">
        <f>VLOOKUP(A15,Enforcements!$C$7:$E$9,3,0)</f>
        <v>#N/A</v>
      </c>
      <c r="AD15" s="232">
        <f t="shared" si="10"/>
        <v>103</v>
      </c>
      <c r="AE15" s="233" t="str">
        <f t="shared" si="11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15" s="234" t="str">
        <f t="shared" si="12"/>
        <v>"C:\Program Files (x86)\AstroGrep\AstroGrep.exe" /e /r /s /spath="%USERPROFILE%\AppData\Local\Temp\OnboardLogs" /stypes="app*4012*20171212*" /stext=" 11:.+((SYSTEM_STATE.+slice.+state.+changed )|(ment ac)|(multiple cpu faults)|(system.+state.+changed )|(\[timeout)|(PRM\|1\|D)|(kpr)|(kdp)|(train st.+moving)|(\|lc)|(penalty))"</v>
      </c>
      <c r="AG15" s="226" t="str">
        <f t="shared" si="13"/>
        <v>EC</v>
      </c>
      <c r="AH15" s="189" t="str">
        <f t="shared" si="19"/>
        <v>"%USERPROFILE%\Documents\GitHub\eaglep3\Utilities\RefineRTDCRunTimes.py" --tripid 103-12 --locoid 4012 --swversion DE.1.0.9.0 --startMP 204:447 --initTime 2017-12-12T03:39:50 --startdatetime 2017-12-12T03:45:14 --delay 103 --endMP 204:233297 --enddatetime 2017-12-12T04:21:34 --enforcementcount 0 &gt;&gt;%USERPROFILE%\Documents\GitHub\eaglep3-reporting\EC\2017-12-12-refined-times.txt</v>
      </c>
      <c r="AI15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{"issue":{"subject":"","project_id":79,"tracker_id":40,"status_id":1,"priority_id":2,"assigned_to_id":338,"start_date":"2017-12-12","description":"","custom_fields":[{"id":1,"name":"Subdivision","value":"EC"},{"id":4,"name":"Milepost","value":"23.3297"},{"id":17,"name":"Train ID","value":"103-12"},{"id":16,"name":"Locomotive ID","value":"4012"},{"id":130,"name":"Impact","value":""},{"id":150,"name":"Time of Event (Mountain Time)","value":"04:21:34"},{"id":151,"name":"Denver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180"/>
      <c r="AK15" s="188"/>
      <c r="AL15" s="188"/>
      <c r="AM15" s="193" t="str">
        <f t="shared" si="21"/>
        <v>start /low /b %USERPROFILE%\Documents\GitHub\eaglep3\Utilities\DownloadLogsFromS3.py --loco 4012 --day 2017-12-12</v>
      </c>
      <c r="AN15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87" t="str">
        <f t="shared" si="23"/>
        <v>https://d0f6bd738d7f1b3e5a7ca70fe4ff75f0.us-east-1.aws.found.io/app/kibana#/discover/Steve-Slow-Train-Analysis-(2080s-and-2083s)?_g=(refreshInterval:(display:Off,pause:!f,section:0,value:0),time:(from:'2017-12-12T02:39:50-0700',mode:absolute,to:'2017-12-12T05:21:34-0700'))&amp;_a=(columns:!('Message%20ID',Summary),filters:!(),index:'emp_*',interval:auto,query:(query_string:(analyze_wildcard:!t,query:'%22rtdc.l.rtdc.4012%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186" t="s">
        <v>703</v>
      </c>
      <c r="B16" s="182">
        <v>4011</v>
      </c>
      <c r="C16" s="184" t="s">
        <v>192</v>
      </c>
      <c r="D16" s="184" t="s">
        <v>909</v>
      </c>
      <c r="E16" s="183">
        <v>43081.192962962959</v>
      </c>
      <c r="F16" s="183">
        <v>43081.196006944447</v>
      </c>
      <c r="G16" s="182">
        <v>68</v>
      </c>
      <c r="H16" s="184" t="s">
        <v>467</v>
      </c>
      <c r="I16" s="183">
        <v>43081.223379629628</v>
      </c>
      <c r="J16" s="182">
        <v>0</v>
      </c>
      <c r="K16" s="190" t="str">
        <f t="shared" si="0"/>
        <v>4011/4012</v>
      </c>
      <c r="L16" s="196" t="str">
        <f>VLOOKUP(A16,'Trips&amp;Operators'!$C$1:$G$99911,5,FALSE)</f>
        <v>STARKS ANGELINA</v>
      </c>
      <c r="M16" s="181">
        <f t="shared" si="1"/>
        <v>2.7372685181035195E-2</v>
      </c>
      <c r="N16" s="182">
        <f t="shared" si="2"/>
        <v>39.41666666069068</v>
      </c>
      <c r="O16" s="182"/>
      <c r="P16" s="182"/>
      <c r="Q16" s="185"/>
      <c r="R16" s="197"/>
      <c r="S16" s="241">
        <f t="shared" si="3"/>
        <v>1</v>
      </c>
      <c r="T16" s="220" t="str">
        <f t="shared" si="4"/>
        <v>Southbound</v>
      </c>
      <c r="U16" s="22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21" t="str">
        <f t="shared" si="5"/>
        <v>https://d0f6bd738d7f1b3e5a7ca70fe4ff75f0.us-east-1.aws.found.io/app/kibana#/discover/Steve-Slow-Train-Analysis-(2080s-and-2083s)?_g=(refreshInterval:(display:Off,pause:!f,section:0,value:0),time:(from:'2017-12-12T03:37:52-0700',mode:absolute,to:'2017-12-12T06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222" t="str">
        <f>IF(AA16&lt;VLOOKUP(AG16,Variables!$AC$3:$AD$8,2,FALSE),"Y","N")</f>
        <v>N</v>
      </c>
      <c r="X16" s="222">
        <f t="shared" si="6"/>
        <v>1</v>
      </c>
      <c r="Y16" s="222">
        <f t="shared" si="7"/>
        <v>23.298500000000001</v>
      </c>
      <c r="Z16" s="222">
        <f t="shared" si="8"/>
        <v>1.4999999999999999E-2</v>
      </c>
      <c r="AA16" s="222">
        <f t="shared" si="9"/>
        <v>23.2835</v>
      </c>
      <c r="AB16" s="231" t="e">
        <f>VLOOKUP(A16,Enforcements!$C$7:$K$9,8,0)</f>
        <v>#N/A</v>
      </c>
      <c r="AC16" s="231" t="e">
        <f>VLOOKUP(A16,Enforcements!$C$7:$E$9,3,0)</f>
        <v>#N/A</v>
      </c>
      <c r="AD16" s="232">
        <f t="shared" si="10"/>
        <v>104</v>
      </c>
      <c r="AE16" s="233" t="str">
        <f t="shared" si="11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16" s="234" t="str">
        <f t="shared" si="12"/>
        <v>"C:\Program Files (x86)\AstroGrep\AstroGrep.exe" /e /r /s /spath="%USERPROFILE%\AppData\Local\Temp\OnboardLogs" /stypes="app*4011*20171212*" /stext=" 12:.+((SYSTEM_STATE.+slice.+state.+changed )|(ment ac)|(multiple cpu faults)|(system.+state.+changed )|(\[timeout)|(PRM\|1\|D)|(kpr)|(kdp)|(train st.+moving)|(\|lc)|(penalty))"</v>
      </c>
      <c r="AG16" s="226" t="str">
        <f t="shared" si="13"/>
        <v>EC</v>
      </c>
      <c r="AH16" s="189" t="str">
        <f t="shared" si="19"/>
        <v>"%USERPROFILE%\Documents\GitHub\eaglep3\Utilities\RefineRTDCRunTimes.py" --tripid 104-12 --locoid 4011 --swversion DE.1.0.9.0 --startMP 204:232985 --initTime 2017-12-12T04:37:52 --startdatetime 2017-12-12T04:42:15 --delay 68 --endMP 204:150 --enddatetime 2017-12-12T05:21:40 --enforcementcount 0 &gt;&gt;%USERPROFILE%\Documents\GitHub\eaglep3-reporting\EC\2017-12-12-refined-times.txt</v>
      </c>
      <c r="AI16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{"issue":{"subject":"","project_id":79,"tracker_id":40,"status_id":1,"priority_id":2,"assigned_to_id":338,"start_date":"2017-12-12","description":"","custom_fields":[{"id":1,"name":"Subdivision","value":"EC"},{"id":4,"name":"Milepost","value":"0.015"},{"id":17,"name":"Train ID","value":"104-12"},{"id":16,"name":"Locomotive ID","value":"4011"},{"id":130,"name":"Impact","value":""},{"id":150,"name":"Time of Event (Mountain Time)","value":"05:21:40"},{"id":151,"name":"Denver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180"/>
      <c r="AK16" s="188"/>
      <c r="AL16" s="188"/>
      <c r="AM16" s="193" t="str">
        <f t="shared" si="21"/>
        <v>start /low /b %USERPROFILE%\Documents\GitHub\eaglep3\Utilities\DownloadLogsFromS3.py --loco 4011 --day 2017-12-12</v>
      </c>
      <c r="AN16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87" t="str">
        <f t="shared" si="23"/>
        <v>https://d0f6bd738d7f1b3e5a7ca70fe4ff75f0.us-east-1.aws.found.io/app/kibana#/discover/Steve-Slow-Train-Analysis-(2080s-and-2083s)?_g=(refreshInterval:(display:Off,pause:!f,section:0,value:0),time:(from:'2017-12-12T03:37:52-0700',mode:absolute,to:'2017-12-12T06:21:40-0700'))&amp;_a=(columns:!('Message%20ID',Summary),filters:!(),index:'emp_*',interval:auto,query:(query_string:(analyze_wildcard:!t,query:'%22rtdc.l.rtdc.4011%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186" t="s">
        <v>700</v>
      </c>
      <c r="B17" s="182">
        <v>4030</v>
      </c>
      <c r="C17" s="184" t="s">
        <v>192</v>
      </c>
      <c r="D17" s="184" t="s">
        <v>572</v>
      </c>
      <c r="E17" s="183">
        <v>43081.175937499997</v>
      </c>
      <c r="F17" s="183">
        <v>43081.177615740744</v>
      </c>
      <c r="G17" s="182">
        <v>83</v>
      </c>
      <c r="H17" s="184" t="s">
        <v>629</v>
      </c>
      <c r="I17" s="183">
        <v>43081.202905092592</v>
      </c>
      <c r="J17" s="182">
        <v>0</v>
      </c>
      <c r="K17" s="190" t="str">
        <f t="shared" si="0"/>
        <v>4029/4030</v>
      </c>
      <c r="L17" s="196" t="str">
        <f>VLOOKUP(A17,'Trips&amp;Operators'!$C$1:$G$99911,5,FALSE)</f>
        <v>THOMPSON LESTER</v>
      </c>
      <c r="M17" s="181">
        <f t="shared" si="1"/>
        <v>2.5289351848186925E-2</v>
      </c>
      <c r="N17" s="182">
        <f t="shared" si="2"/>
        <v>36.416666661389172</v>
      </c>
      <c r="O17" s="182"/>
      <c r="P17" s="182"/>
      <c r="Q17" s="185"/>
      <c r="R17" s="197"/>
      <c r="S17" s="241">
        <f t="shared" si="3"/>
        <v>1</v>
      </c>
      <c r="T17" s="220" t="str">
        <f t="shared" si="4"/>
        <v>NorthBound</v>
      </c>
      <c r="U17" s="22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21" t="str">
        <f t="shared" si="5"/>
        <v>https://d0f6bd738d7f1b3e5a7ca70fe4ff75f0.us-east-1.aws.found.io/app/kibana#/discover/Steve-Slow-Train-Analysis-(2080s-and-2083s)?_g=(refreshInterval:(display:Off,pause:!f,section:0,value:0),time:(from:'2017-12-12T03:13:21-0700',mode:absolute,to:'2017-12-12T05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22" t="str">
        <f>IF(AA17&lt;VLOOKUP(AG17,Variables!$AC$3:$AD$8,2,FALSE),"Y","N")</f>
        <v>N</v>
      </c>
      <c r="X17" s="222">
        <f t="shared" si="6"/>
        <v>1</v>
      </c>
      <c r="Y17" s="222">
        <f t="shared" si="7"/>
        <v>5.11E-2</v>
      </c>
      <c r="Z17" s="222">
        <f t="shared" si="8"/>
        <v>23.331</v>
      </c>
      <c r="AA17" s="222">
        <f t="shared" si="9"/>
        <v>23.279899999999998</v>
      </c>
      <c r="AB17" s="231" t="e">
        <f>VLOOKUP(A17,Enforcements!$C$7:$K$9,8,0)</f>
        <v>#N/A</v>
      </c>
      <c r="AC17" s="231" t="e">
        <f>VLOOKUP(A17,Enforcements!$C$7:$E$9,3,0)</f>
        <v>#N/A</v>
      </c>
      <c r="AD17" s="232">
        <f t="shared" si="10"/>
        <v>105</v>
      </c>
      <c r="AE17" s="233" t="str">
        <f t="shared" si="11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17" s="234" t="str">
        <f t="shared" si="12"/>
        <v>"C:\Program Files (x86)\AstroGrep\AstroGrep.exe" /e /r /s /spath="%USERPROFILE%\AppData\Local\Temp\OnboardLogs" /stypes="app*4030*20171212*" /stext=" 11:.+((SYSTEM_STATE.+slice.+state.+changed )|(ment ac)|(multiple cpu faults)|(system.+state.+changed )|(\[timeout)|(PRM\|1\|D)|(kpr)|(kdp)|(train st.+moving)|(\|lc)|(penalty))"</v>
      </c>
      <c r="AG17" s="226" t="str">
        <f t="shared" si="13"/>
        <v>EC</v>
      </c>
      <c r="AH17" s="189" t="str">
        <f t="shared" si="19"/>
        <v>"%USERPROFILE%\Documents\GitHub\eaglep3\Utilities\RefineRTDCRunTimes.py" --tripid 105-12 --locoid 4030 --swversion DE.1.0.9.0 --startMP 204:511 --initTime 2017-12-12T04:13:21 --startdatetime 2017-12-12T04:15:46 --delay 83 --endMP 204:233310 --enddatetime 2017-12-12T04:52:11 --enforcementcount 0 &gt;&gt;%USERPROFILE%\Documents\GitHub\eaglep3-reporting\EC\2017-12-12-refined-times.txt</v>
      </c>
      <c r="AI17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{"issue":{"subject":"","project_id":79,"tracker_id":40,"status_id":1,"priority_id":2,"assigned_to_id":338,"start_date":"2017-12-12","description":"","custom_fields":[{"id":1,"name":"Subdivision","value":"EC"},{"id":4,"name":"Milepost","value":"23.331"},{"id":17,"name":"Train ID","value":"105-12"},{"id":16,"name":"Locomotive ID","value":"4030"},{"id":130,"name":"Impact","value":""},{"id":150,"name":"Time of Event (Mountain Time)","value":"04:52:11"},{"id":151,"name":"Denver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180"/>
      <c r="AK17" s="188"/>
      <c r="AL17" s="188"/>
      <c r="AM17" s="193" t="str">
        <f t="shared" si="21"/>
        <v>start /low /b %USERPROFILE%\Documents\GitHub\eaglep3\Utilities\DownloadLogsFromS3.py --loco 4030 --day 2017-12-12</v>
      </c>
      <c r="AN17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87" t="str">
        <f t="shared" si="23"/>
        <v>https://d0f6bd738d7f1b3e5a7ca70fe4ff75f0.us-east-1.aws.found.io/app/kibana#/discover/Steve-Slow-Train-Analysis-(2080s-and-2083s)?_g=(refreshInterval:(display:Off,pause:!f,section:0,value:0),time:(from:'2017-12-12T03:13:21-0700',mode:absolute,to:'2017-12-12T05:52:11-0700'))&amp;_a=(columns:!('Message%20ID',Summary),filters:!(),index:'emp_*',interval:auto,query:(query_string:(analyze_wildcard:!t,query:'%22rtdc.l.rtdc.4030%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186" t="s">
        <v>711</v>
      </c>
      <c r="B18" s="182">
        <v>4029</v>
      </c>
      <c r="C18" s="184" t="s">
        <v>192</v>
      </c>
      <c r="D18" s="184" t="s">
        <v>910</v>
      </c>
      <c r="E18" s="183">
        <v>43081.214525462965</v>
      </c>
      <c r="F18" s="183">
        <v>43081.216921296298</v>
      </c>
      <c r="G18" s="182">
        <v>56</v>
      </c>
      <c r="H18" s="184" t="s">
        <v>456</v>
      </c>
      <c r="I18" s="183">
        <v>43081.243263888886</v>
      </c>
      <c r="J18" s="182">
        <v>0</v>
      </c>
      <c r="K18" s="190" t="str">
        <f t="shared" si="0"/>
        <v>4029/4030</v>
      </c>
      <c r="L18" s="196" t="str">
        <f>VLOOKUP(A18,'Trips&amp;Operators'!$C$1:$G$99911,5,FALSE)</f>
        <v>THOMPSON LESTER</v>
      </c>
      <c r="M18" s="181">
        <f t="shared" si="1"/>
        <v>2.6342592587752733E-2</v>
      </c>
      <c r="N18" s="182">
        <f t="shared" si="2"/>
        <v>37.933333326363936</v>
      </c>
      <c r="O18" s="182"/>
      <c r="P18" s="182"/>
      <c r="Q18" s="185"/>
      <c r="R18" s="197"/>
      <c r="S18" s="241">
        <f t="shared" si="3"/>
        <v>1</v>
      </c>
      <c r="T18" s="220" t="str">
        <f t="shared" si="4"/>
        <v>Southbound</v>
      </c>
      <c r="U18" s="22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1" t="str">
        <f t="shared" si="5"/>
        <v>https://d0f6bd738d7f1b3e5a7ca70fe4ff75f0.us-east-1.aws.found.io/app/kibana#/discover/Steve-Slow-Train-Analysis-(2080s-and-2083s)?_g=(refreshInterval:(display:Off,pause:!f,section:0,value:0),time:(from:'2017-12-12T04:08:55-0700',mode:absolute,to:'2017-12-12T06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22" t="str">
        <f>IF(AA18&lt;VLOOKUP(AG18,Variables!$AC$3:$AD$8,2,FALSE),"Y","N")</f>
        <v>N</v>
      </c>
      <c r="X18" s="222">
        <f t="shared" si="6"/>
        <v>1</v>
      </c>
      <c r="Y18" s="222">
        <f t="shared" si="7"/>
        <v>23.298100000000002</v>
      </c>
      <c r="Z18" s="222">
        <f t="shared" si="8"/>
        <v>1.78E-2</v>
      </c>
      <c r="AA18" s="222">
        <f t="shared" si="9"/>
        <v>23.2803</v>
      </c>
      <c r="AB18" s="231" t="e">
        <f>VLOOKUP(A18,Enforcements!$C$7:$K$9,8,0)</f>
        <v>#N/A</v>
      </c>
      <c r="AC18" s="231" t="e">
        <f>VLOOKUP(A18,Enforcements!$C$7:$E$9,3,0)</f>
        <v>#N/A</v>
      </c>
      <c r="AD18" s="232">
        <f t="shared" si="10"/>
        <v>106</v>
      </c>
      <c r="AE18" s="233" t="str">
        <f t="shared" si="11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18" s="234" t="str">
        <f t="shared" si="12"/>
        <v>"C:\Program Files (x86)\AstroGrep\AstroGrep.exe" /e /r /s /spath="%USERPROFILE%\AppData\Local\Temp\OnboardLogs" /stypes="app*4029*20171212*" /stext=" 12:.+((SYSTEM_STATE.+slice.+state.+changed )|(ment ac)|(multiple cpu faults)|(system.+state.+changed )|(\[timeout)|(PRM\|1\|D)|(kpr)|(kdp)|(train st.+moving)|(\|lc)|(penalty))"</v>
      </c>
      <c r="AG18" s="226" t="str">
        <f t="shared" si="13"/>
        <v>EC</v>
      </c>
      <c r="AH18" s="189" t="str">
        <f t="shared" si="19"/>
        <v>"%USERPROFILE%\Documents\GitHub\eaglep3\Utilities\RefineRTDCRunTimes.py" --tripid 106-12 --locoid 4029 --swversion DE.1.0.9.0 --startMP 204:232981 --initTime 2017-12-12T05:08:55 --startdatetime 2017-12-12T05:12:22 --delay 56 --endMP 204:178 --enddatetime 2017-12-12T05:50:18 --enforcementcount 0 &gt;&gt;%USERPROFILE%\Documents\GitHub\eaglep3-reporting\EC\2017-12-12-refined-times.txt</v>
      </c>
      <c r="AI18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{"issue":{"subject":"","project_id":79,"tracker_id":40,"status_id":1,"priority_id":2,"assigned_to_id":338,"start_date":"2017-12-12","description":"","custom_fields":[{"id":1,"name":"Subdivision","value":"EC"},{"id":4,"name":"Milepost","value":"0.0178"},{"id":17,"name":"Train ID","value":"106-12"},{"id":16,"name":"Locomotive ID","value":"4029"},{"id":130,"name":"Impact","value":""},{"id":150,"name":"Time of Event (Mountain Time)","value":"05:50:18"},{"id":151,"name":"Denver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180"/>
      <c r="AK18" s="188"/>
      <c r="AL18" s="188"/>
      <c r="AM18" s="193" t="str">
        <f t="shared" si="21"/>
        <v>start /low /b %USERPROFILE%\Documents\GitHub\eaglep3\Utilities\DownloadLogsFromS3.py --loco 4029 --day 2017-12-12</v>
      </c>
      <c r="AN18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87" t="str">
        <f t="shared" si="23"/>
        <v>https://d0f6bd738d7f1b3e5a7ca70fe4ff75f0.us-east-1.aws.found.io/app/kibana#/discover/Steve-Slow-Train-Analysis-(2080s-and-2083s)?_g=(refreshInterval:(display:Off,pause:!f,section:0,value:0),time:(from:'2017-12-12T04:08:55-0700',mode:absolute,to:'2017-12-12T06:50:18-0700'))&amp;_a=(columns:!('Message%20ID',Summary),filters:!(),index:'emp_*',interval:auto,query:(query_string:(analyze_wildcard:!t,query:'%22rtdc.l.rtdc.4029%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186" t="s">
        <v>702</v>
      </c>
      <c r="B19" s="182">
        <v>4016</v>
      </c>
      <c r="C19" s="184" t="s">
        <v>192</v>
      </c>
      <c r="D19" s="184" t="s">
        <v>911</v>
      </c>
      <c r="E19" s="183">
        <v>43081.184965277775</v>
      </c>
      <c r="F19" s="183">
        <v>43081.187835648147</v>
      </c>
      <c r="G19" s="182">
        <v>83</v>
      </c>
      <c r="H19" s="184" t="s">
        <v>912</v>
      </c>
      <c r="I19" s="183">
        <v>43081.212071759262</v>
      </c>
      <c r="J19" s="182">
        <v>0</v>
      </c>
      <c r="K19" s="190" t="str">
        <f t="shared" si="0"/>
        <v>4015/4016</v>
      </c>
      <c r="L19" s="196" t="str">
        <f>VLOOKUP(A19,'Trips&amp;Operators'!$C$1:$G$99911,5,FALSE)</f>
        <v>BEAM ROSS</v>
      </c>
      <c r="M19" s="181">
        <f t="shared" si="1"/>
        <v>2.4236111115897074E-2</v>
      </c>
      <c r="N19" s="182">
        <f t="shared" si="2"/>
        <v>34.900000006891787</v>
      </c>
      <c r="O19" s="182"/>
      <c r="P19" s="182"/>
      <c r="Q19" s="185"/>
      <c r="R19" s="197"/>
      <c r="S19" s="241">
        <f t="shared" si="3"/>
        <v>1</v>
      </c>
      <c r="T19" s="220" t="str">
        <f t="shared" si="4"/>
        <v>NorthBound</v>
      </c>
      <c r="U19" s="22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1" t="str">
        <f t="shared" si="5"/>
        <v>https://d0f6bd738d7f1b3e5a7ca70fe4ff75f0.us-east-1.aws.found.io/app/kibana#/discover/Steve-Slow-Train-Analysis-(2080s-and-2083s)?_g=(refreshInterval:(display:Off,pause:!f,section:0,value:0),time:(from:'2017-12-12T03:26:21-0700',mode:absolute,to:'2017-12-12T06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22" t="str">
        <f>IF(AA19&lt;VLOOKUP(AG19,Variables!$AC$3:$AD$8,2,FALSE),"Y","N")</f>
        <v>N</v>
      </c>
      <c r="X19" s="222">
        <f t="shared" si="6"/>
        <v>1</v>
      </c>
      <c r="Y19" s="222">
        <f t="shared" si="7"/>
        <v>4.4900000000000002E-2</v>
      </c>
      <c r="Z19" s="222">
        <f t="shared" si="8"/>
        <v>23.329499999999999</v>
      </c>
      <c r="AA19" s="222">
        <f t="shared" si="9"/>
        <v>23.284600000000001</v>
      </c>
      <c r="AB19" s="231" t="e">
        <f>VLOOKUP(A19,Enforcements!$C$7:$K$9,8,0)</f>
        <v>#N/A</v>
      </c>
      <c r="AC19" s="231" t="e">
        <f>VLOOKUP(A19,Enforcements!$C$7:$E$9,3,0)</f>
        <v>#N/A</v>
      </c>
      <c r="AD19" s="232">
        <f t="shared" si="10"/>
        <v>107</v>
      </c>
      <c r="AE19" s="233" t="str">
        <f t="shared" si="11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19" s="234" t="str">
        <f t="shared" si="12"/>
        <v>"C:\Program Files (x86)\AstroGrep\AstroGrep.exe" /e /r /s /spath="%USERPROFILE%\AppData\Local\Temp\OnboardLogs" /stypes="app*4016*20171212*" /stext=" 12:.+((SYSTEM_STATE.+slice.+state.+changed )|(ment ac)|(multiple cpu faults)|(system.+state.+changed )|(\[timeout)|(PRM\|1\|D)|(kpr)|(kdp)|(train st.+moving)|(\|lc)|(penalty))"</v>
      </c>
      <c r="AG19" s="226" t="str">
        <f t="shared" si="13"/>
        <v>EC</v>
      </c>
      <c r="AH19" s="189" t="str">
        <f t="shared" si="19"/>
        <v>"%USERPROFILE%\Documents\GitHub\eaglep3\Utilities\RefineRTDCRunTimes.py" --tripid 107-12 --locoid 4016 --swversion DE.1.0.9.0 --startMP 204:449 --initTime 2017-12-12T04:26:21 --startdatetime 2017-12-12T04:30:29 --delay 83 --endMP 204:233295 --enddatetime 2017-12-12T05:05:23 --enforcementcount 0 &gt;&gt;%USERPROFILE%\Documents\GitHub\eaglep3-reporting\EC\2017-12-12-refined-times.txt</v>
      </c>
      <c r="AI19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{"issue":{"subject":"","project_id":79,"tracker_id":40,"status_id":1,"priority_id":2,"assigned_to_id":338,"start_date":"2017-12-12","description":"","custom_fields":[{"id":1,"name":"Subdivision","value":"EC"},{"id":4,"name":"Milepost","value":"23.3295"},{"id":17,"name":"Train ID","value":"107-12"},{"id":16,"name":"Locomotive ID","value":"4016"},{"id":130,"name":"Impact","value":""},{"id":150,"name":"Time of Event (Mountain Time)","value":"05:05:23"},{"id":151,"name":"Denver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180"/>
      <c r="AK19" s="188"/>
      <c r="AL19" s="188"/>
      <c r="AM19" s="193" t="str">
        <f t="shared" si="21"/>
        <v>start /low /b %USERPROFILE%\Documents\GitHub\eaglep3\Utilities\DownloadLogsFromS3.py --loco 4016 --day 2017-12-12</v>
      </c>
      <c r="AN19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87" t="str">
        <f t="shared" si="23"/>
        <v>https://d0f6bd738d7f1b3e5a7ca70fe4ff75f0.us-east-1.aws.found.io/app/kibana#/discover/Steve-Slow-Train-Analysis-(2080s-and-2083s)?_g=(refreshInterval:(display:Off,pause:!f,section:0,value:0),time:(from:'2017-12-12T03:26:21-0700',mode:absolute,to:'2017-12-12T06:05:23-0700'))&amp;_a=(columns:!('Message%20ID',Summary),filters:!(),index:'emp_*',interval:auto,query:(query_string:(analyze_wildcard:!t,query:'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186" t="s">
        <v>710</v>
      </c>
      <c r="B20" s="182">
        <v>4015</v>
      </c>
      <c r="C20" s="184" t="s">
        <v>192</v>
      </c>
      <c r="D20" s="184" t="s">
        <v>913</v>
      </c>
      <c r="E20" s="183">
        <v>43081.213495370372</v>
      </c>
      <c r="F20" s="183">
        <v>43081.22729166667</v>
      </c>
      <c r="G20" s="182">
        <v>53</v>
      </c>
      <c r="H20" s="184" t="s">
        <v>907</v>
      </c>
      <c r="I20" s="183">
        <v>43081.252326388887</v>
      </c>
      <c r="J20" s="182">
        <v>0</v>
      </c>
      <c r="K20" s="190" t="str">
        <f t="shared" si="0"/>
        <v>4015/4016</v>
      </c>
      <c r="L20" s="196" t="str">
        <f>VLOOKUP(A20,'Trips&amp;Operators'!$C$1:$G$99911,5,FALSE)</f>
        <v>BEAM ROSS</v>
      </c>
      <c r="M20" s="181">
        <f t="shared" si="1"/>
        <v>2.5034722217242233E-2</v>
      </c>
      <c r="N20" s="182">
        <f t="shared" si="2"/>
        <v>36.049999992828816</v>
      </c>
      <c r="O20" s="182"/>
      <c r="P20" s="182"/>
      <c r="Q20" s="185"/>
      <c r="R20" s="197"/>
      <c r="S20" s="241">
        <f t="shared" si="3"/>
        <v>1</v>
      </c>
      <c r="T20" s="220" t="str">
        <f t="shared" si="4"/>
        <v>Southbound</v>
      </c>
      <c r="U20" s="22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1" t="str">
        <f t="shared" si="5"/>
        <v>https://d0f6bd738d7f1b3e5a7ca70fe4ff75f0.us-east-1.aws.found.io/app/kibana#/discover/Steve-Slow-Train-Analysis-(2080s-and-2083s)?_g=(refreshInterval:(display:Off,pause:!f,section:0,value:0),time:(from:'2017-12-12T04:07:26-0700',mode:absolute,to:'2017-12-12T07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22" t="str">
        <f>IF(AA20&lt;VLOOKUP(AG20,Variables!$AC$3:$AD$8,2,FALSE),"Y","N")</f>
        <v>N</v>
      </c>
      <c r="X20" s="222">
        <f t="shared" si="6"/>
        <v>1</v>
      </c>
      <c r="Y20" s="222">
        <f t="shared" si="7"/>
        <v>23.2973</v>
      </c>
      <c r="Z20" s="222">
        <f t="shared" si="8"/>
        <v>1.6299999999999999E-2</v>
      </c>
      <c r="AA20" s="222">
        <f t="shared" si="9"/>
        <v>23.280999999999999</v>
      </c>
      <c r="AB20" s="231" t="e">
        <f>VLOOKUP(A20,Enforcements!$C$7:$K$9,8,0)</f>
        <v>#N/A</v>
      </c>
      <c r="AC20" s="231" t="e">
        <f>VLOOKUP(A20,Enforcements!$C$7:$E$9,3,0)</f>
        <v>#N/A</v>
      </c>
      <c r="AD20" s="232">
        <f t="shared" si="10"/>
        <v>108</v>
      </c>
      <c r="AE20" s="233" t="str">
        <f t="shared" si="11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20" s="234" t="str">
        <f t="shared" si="12"/>
        <v>"C:\Program Files (x86)\AstroGrep\AstroGrep.exe" /e /r /s /spath="%USERPROFILE%\AppData\Local\Temp\OnboardLogs" /stypes="app*4015*20171212*" /stext=" 13:.+((SYSTEM_STATE.+slice.+state.+changed )|(ment ac)|(multiple cpu faults)|(system.+state.+changed )|(\[timeout)|(PRM\|1\|D)|(kpr)|(kdp)|(train st.+moving)|(\|lc)|(penalty))"</v>
      </c>
      <c r="AG20" s="226" t="str">
        <f t="shared" si="13"/>
        <v>EC</v>
      </c>
      <c r="AH20" s="189" t="str">
        <f t="shared" si="19"/>
        <v>"%USERPROFILE%\Documents\GitHub\eaglep3\Utilities\RefineRTDCRunTimes.py" --tripid 108-12 --locoid 4015 --swversion DE.1.0.9.0 --startMP 204:232973 --initTime 2017-12-12T05:07:26 --startdatetime 2017-12-12T05:27:18 --delay 53 --endMP 204:163 --enddatetime 2017-12-12T06:03:21 --enforcementcount 0 &gt;&gt;%USERPROFILE%\Documents\GitHub\eaglep3-reporting\EC\2017-12-12-refined-times.txt</v>
      </c>
      <c r="AI20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{"issue":{"subject":"","project_id":79,"tracker_id":40,"status_id":1,"priority_id":2,"assigned_to_id":338,"start_date":"2017-12-12","description":"","custom_fields":[{"id":1,"name":"Subdivision","value":"EC"},{"id":4,"name":"Milepost","value":"0.0163"},{"id":17,"name":"Train ID","value":"108-12"},{"id":16,"name":"Locomotive ID","value":"4015"},{"id":130,"name":"Impact","value":""},{"id":150,"name":"Time of Event (Mountain Time)","value":"06:03:21"},{"id":151,"name":"Denver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180"/>
      <c r="AK20" s="188"/>
      <c r="AL20" s="188"/>
      <c r="AM20" s="193" t="str">
        <f t="shared" si="21"/>
        <v>start /low /b %USERPROFILE%\Documents\GitHub\eaglep3\Utilities\DownloadLogsFromS3.py --loco 4015 --day 2017-12-12</v>
      </c>
      <c r="AN20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87" t="str">
        <f t="shared" si="23"/>
        <v>https://d0f6bd738d7f1b3e5a7ca70fe4ff75f0.us-east-1.aws.found.io/app/kibana#/discover/Steve-Slow-Train-Analysis-(2080s-and-2083s)?_g=(refreshInterval:(display:Off,pause:!f,section:0,value:0),time:(from:'2017-12-12T04:07:26-0700',mode:absolute,to:'2017-12-12T07:03:21-0700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186" t="s">
        <v>705</v>
      </c>
      <c r="B21" s="182">
        <v>4058</v>
      </c>
      <c r="C21" s="184" t="s">
        <v>192</v>
      </c>
      <c r="D21" s="184" t="s">
        <v>913</v>
      </c>
      <c r="E21" s="183">
        <v>43081.213495370372</v>
      </c>
      <c r="F21" s="183">
        <v>43081.197222222225</v>
      </c>
      <c r="G21" s="182">
        <v>53</v>
      </c>
      <c r="H21" s="184" t="s">
        <v>907</v>
      </c>
      <c r="I21" s="183">
        <v>43081.197916666664</v>
      </c>
      <c r="J21" s="182">
        <v>0</v>
      </c>
      <c r="K21" s="190" t="str">
        <f t="shared" si="0"/>
        <v>4057/4058</v>
      </c>
      <c r="L21" s="196" t="str">
        <f>VLOOKUP(A21,'Trips&amp;Operators'!$C$1:$G$99911,5,FALSE)</f>
        <v>LAMAR NEKESHA</v>
      </c>
      <c r="M21" s="181">
        <f t="shared" si="1"/>
        <v>6.9444443943211809E-4</v>
      </c>
      <c r="N21" s="182"/>
      <c r="O21" s="182"/>
      <c r="P21" s="182">
        <f>24*60*SUM($M21:$M21)</f>
        <v>0.99999999278225005</v>
      </c>
      <c r="Q21" s="185"/>
      <c r="R21" s="197" t="s">
        <v>1084</v>
      </c>
      <c r="S21" s="241">
        <f t="shared" si="3"/>
        <v>1</v>
      </c>
      <c r="T21" s="220" t="str">
        <f t="shared" si="4"/>
        <v>NorthBound</v>
      </c>
      <c r="U21" s="22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1" t="str">
        <f t="shared" si="5"/>
        <v>https://d0f6bd738d7f1b3e5a7ca70fe4ff75f0.us-east-1.aws.found.io/app/kibana#/discover/Steve-Slow-Train-Analysis-(2080s-and-2083s)?_g=(refreshInterval:(display:Off,pause:!f,section:0,value:0),time:(from:'2017-12-12T04:07:26-0700',mode:absolute,to:'2017-12-12T05:45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222" t="str">
        <f>IF(AA21&lt;VLOOKUP(AG21,Variables!$AC$3:$AD$8,2,FALSE),"Y","N")</f>
        <v>N</v>
      </c>
      <c r="X21" s="222">
        <f t="shared" si="6"/>
        <v>1</v>
      </c>
      <c r="Y21" s="222">
        <v>4.4900000000000002E-2</v>
      </c>
      <c r="Z21" s="222">
        <v>23.329499999999999</v>
      </c>
      <c r="AA21" s="222">
        <f t="shared" si="9"/>
        <v>23.284600000000001</v>
      </c>
      <c r="AB21" s="231" t="e">
        <f>VLOOKUP(A21,Enforcements!$C$7:$K$9,8,0)</f>
        <v>#N/A</v>
      </c>
      <c r="AC21" s="231" t="e">
        <f>VLOOKUP(A21,Enforcements!$C$7:$E$9,3,0)</f>
        <v>#N/A</v>
      </c>
      <c r="AD21" s="232">
        <f t="shared" si="10"/>
        <v>109</v>
      </c>
      <c r="AE21" s="233" t="str">
        <f t="shared" si="11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21" s="234" t="str">
        <f t="shared" si="12"/>
        <v>"C:\Program Files (x86)\AstroGrep\AstroGrep.exe" /e /r /s /spath="%USERPROFILE%\AppData\Local\Temp\OnboardLogs" /stypes="app*4058*20171212*" /stext=" 11:.+((SYSTEM_STATE.+slice.+state.+changed )|(ment ac)|(multiple cpu faults)|(system.+state.+changed )|(\[timeout)|(PRM\|1\|D)|(kpr)|(kdp)|(train st.+moving)|(\|lc)|(penalty))"</v>
      </c>
      <c r="AG21" s="226" t="str">
        <f t="shared" si="13"/>
        <v>EC</v>
      </c>
      <c r="AH21" s="189" t="str">
        <f t="shared" ref="AH21" si="24"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"&amp;J21&amp;IF(outputrefinedruntimes," &gt;&gt;"&amp;RefinedRTDCRunTimesOutputFile,"")</f>
        <v>"%USERPROFILE%\Documents\GitHub\eaglep3\Utilities\RefineRTDCRunTimes.py" --tripid 109-12 --locoid 4058 --swversion DE.1.0.9.0 --startMP 204:232973 --initTime 2017-12-12T05:07:26 --startdatetime 2017-12-12T04:44:00 --delay 53 --endMP 204:163 --enddatetime 2017-12-12T04:45:00 --enforcementcount 0 &gt;&gt;%USERPROFILE%\Documents\GitHub\eaglep3-reporting\EC\2017-12-12-refined-times.txt</v>
      </c>
      <c r="AI21" s="191" t="str">
        <f t="shared" ref="AI21" si="25">"echo {""issue"":{""subject"":"""&amp;R21&amp;""",""project_id"":79,""tracker_id"":40,""status_id"":"&amp;redmine_status&amp;",""priority_id"":"&amp;redmine_priority&amp;",""assigned_to_id"":"&amp;redmine_assignee&amp;",""start_date"":"""&amp;TEXT(I21,"YYYY-mm-dd")&amp;""",""description"":"""&amp;AJ21&amp;""",""custom_fields"":[{""id"":1,""name"":""Subdivision"",""value"":"""&amp;AG21&amp;"""},{""id"":4,""name"":""Milepost"",""value"":"""&amp;Z21&amp;"""},{""id"":17,""name"":""Train ID"",""value"":"""&amp;A21&amp;"""},{""id"":16,""name"":""Locomotive ID"",""value"":"""&amp;B21&amp;"""},{""id"":130,""name"":""Impact"",""value"":"""&amp;AK21&amp;"""},{""id"":150,""name"":""Time of Event (Mountain Time)"",""value"":"""&amp;TEXT(I21,"hh:mm:ss")&amp;"""},{""id"":151,""name"":""Denver Issue ID"",""value"":"""&amp;"""},{""id"":178,""name"":""Operational Impact"",""value"":"""&amp;redmine_op_impact&amp;"""},{""id"":179,""name"":""Denver Segment Assigned"",""value"":"""&amp;AL21&amp;"""}]}}"&amp;" | curl --insecure -X POST -H ""Content-Type: application/json"" -H ""X-Redmine-API-Key: "&amp;redm_api_key&amp;""" "&amp;redm_url&amp;" --data @-"</f>
        <v>echo {"issue":{"subject":"Extended Onboard Wi-MAX data drop ","project_id":79,"tracker_id":40,"status_id":1,"priority_id":2,"assigned_to_id":338,"start_date":"2017-12-12","description":"","custom_fields":[{"id":1,"name":"Subdivision","value":"EC"},{"id":4,"name":"Milepost","value":"23.3295"},{"id":17,"name":"Train ID","value":"109-12"},{"id":16,"name":"Locomotive ID","value":"4058"},{"id":130,"name":"Impact","value":""},{"id":150,"name":"Time of Event (Mountain Time)","value":"04:45:00"},{"id":151,"name":"Denver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180"/>
      <c r="AK21" s="188"/>
      <c r="AL21" s="188"/>
      <c r="AM21" s="193" t="str">
        <f t="shared" ref="AM21" si="26">"start /low /b "&amp;dls3logs&amp;" --loco "&amp;B21&amp;" --day "&amp;TEXT(F21,"YYYY-MM-DD")</f>
        <v>start /low /b %USERPROFILE%\Documents\GitHub\eaglep3\Utilities\DownloadLogsFromS3.py --loco 4058 --day 2017-12-12</v>
      </c>
      <c r="AN21" s="194" t="str">
        <f t="shared" ref="AN21" si="27">"echo {""issue"":{""subject"":"""&amp;R21&amp;""",""project_id"":30,""tracker_id"":4,""status_id"":"&amp;redmine_status_wcr&amp;",""priority_id"":"&amp;redmine_priority_wcr&amp;",""assigned_to_id"":"&amp;redmine_assignee_wcr&amp;",""start_date"":"""&amp;TEXT(I21-utc_offset/24,"YYYY-mm-dd")&amp;""",""description"":"""&amp;AJ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data drop 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11:45:00"},{"id":29,"name":"Sharepoint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87" t="str">
        <f t="shared" ref="AO21" si="28"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Message%20ID',Summary),filters:!(),index:'emp_*',interval:auto,query:"&amp;"(query_string:(analyze_wildcard:!t,query:'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-12T04:07:26-0700',mode:absolute,to:'2017-12-12T05:45:00-0700'))&amp;_a=(columns:!('Message%20ID',Summary),filters:!(),index:'emp_*',interval:auto,query:(query_string:(analyze_wildcard:!t,query:'%22rtdc.l.rtdc.4058%22')),sort:!(Time.ISO8601,asc))</v>
      </c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L21" s="180"/>
      <c r="BM21" s="180"/>
      <c r="BN21" s="180"/>
      <c r="BO21" s="180"/>
      <c r="BP21" s="180"/>
      <c r="BQ21" s="180"/>
      <c r="BR21" s="180"/>
      <c r="BS21" s="180"/>
      <c r="BT21" s="180"/>
      <c r="BU21" s="180"/>
      <c r="BV21" s="180"/>
      <c r="BW21" s="180"/>
      <c r="BX21" s="180"/>
      <c r="BY21" s="180"/>
      <c r="BZ21" s="180"/>
      <c r="CA21" s="180"/>
      <c r="CB21" s="180"/>
      <c r="CC21" s="180"/>
      <c r="CD21" s="180"/>
      <c r="CE21" s="180"/>
      <c r="CF21" s="180"/>
      <c r="CG21" s="180"/>
      <c r="CH21" s="180"/>
      <c r="CI21" s="180"/>
      <c r="CJ21" s="180"/>
      <c r="CK21" s="180"/>
      <c r="CL21" s="180"/>
      <c r="CM21" s="180"/>
    </row>
    <row r="22" spans="1:91" s="1" customFormat="1" x14ac:dyDescent="0.25">
      <c r="A22" s="186" t="s">
        <v>721</v>
      </c>
      <c r="B22" s="182">
        <v>4057</v>
      </c>
      <c r="C22" s="184" t="s">
        <v>192</v>
      </c>
      <c r="D22" s="184" t="s">
        <v>914</v>
      </c>
      <c r="E22" s="183">
        <v>43081.234664351854</v>
      </c>
      <c r="F22" s="183">
        <v>43081.237673611111</v>
      </c>
      <c r="G22" s="182">
        <v>56</v>
      </c>
      <c r="H22" s="184" t="s">
        <v>915</v>
      </c>
      <c r="I22" s="183">
        <v>43081.263449074075</v>
      </c>
      <c r="J22" s="182">
        <v>0</v>
      </c>
      <c r="K22" s="190" t="str">
        <f t="shared" si="0"/>
        <v>4057/4058</v>
      </c>
      <c r="L22" s="196" t="str">
        <f>VLOOKUP(A22,'Trips&amp;Operators'!$C$1:$G$99911,5,FALSE)</f>
        <v>LAMAR NEKESHA</v>
      </c>
      <c r="M22" s="181">
        <f t="shared" si="1"/>
        <v>2.5775462963792961E-2</v>
      </c>
      <c r="N22" s="182">
        <f t="shared" ref="N22:N34" si="29">24*60*SUM($M22:$M22)</f>
        <v>37.116666667861864</v>
      </c>
      <c r="O22" s="182"/>
      <c r="P22" s="182"/>
      <c r="Q22" s="185"/>
      <c r="R22" s="197"/>
      <c r="S22" s="241">
        <f t="shared" si="3"/>
        <v>1</v>
      </c>
      <c r="T22" s="220" t="str">
        <f t="shared" si="4"/>
        <v>Southbound</v>
      </c>
      <c r="U22" s="22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21" t="str">
        <f t="shared" si="5"/>
        <v>https://d0f6bd738d7f1b3e5a7ca70fe4ff75f0.us-east-1.aws.found.io/app/kibana#/discover/Steve-Slow-Train-Analysis-(2080s-and-2083s)?_g=(refreshInterval:(display:Off,pause:!f,section:0,value:0),time:(from:'2017-12-12T04:37:55-0700',mode:absolute,to:'2017-12-12T07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222" t="str">
        <f>IF(AA22&lt;VLOOKUP(AG22,Variables!$AC$3:$AD$8,2,FALSE),"Y","N")</f>
        <v>N</v>
      </c>
      <c r="X22" s="222">
        <f t="shared" ref="X22:X24" si="30">VALUE(LEFT(AD22,4))-VALUE(LEFT(AD21,4))</f>
        <v>1</v>
      </c>
      <c r="Y22" s="222">
        <f t="shared" ref="Y22:Y50" si="31">RIGHT(D22,LEN(D22)-4)/10000</f>
        <v>23.297599999999999</v>
      </c>
      <c r="Z22" s="222">
        <f t="shared" ref="Z22:Z50" si="32">RIGHT(H22,LEN(H22)-4)/10000</f>
        <v>1.7000000000000001E-2</v>
      </c>
      <c r="AA22" s="222">
        <f t="shared" si="9"/>
        <v>23.2806</v>
      </c>
      <c r="AB22" s="231" t="e">
        <f>VLOOKUP(A22,Enforcements!$C$7:$K$9,8,0)</f>
        <v>#N/A</v>
      </c>
      <c r="AC22" s="231" t="e">
        <f>VLOOKUP(A22,Enforcements!$C$7:$E$9,3,0)</f>
        <v>#N/A</v>
      </c>
      <c r="AD22" s="232">
        <f t="shared" si="10"/>
        <v>110</v>
      </c>
      <c r="AE22" s="233" t="str">
        <f t="shared" si="11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22" s="234" t="str">
        <f t="shared" si="12"/>
        <v>"C:\Program Files (x86)\AstroGrep\AstroGrep.exe" /e /r /s /spath="%USERPROFILE%\AppData\Local\Temp\OnboardLogs" /stypes="app*4057*20171212*" /stext=" 13:.+((SYSTEM_STATE.+slice.+state.+changed )|(ment ac)|(multiple cpu faults)|(system.+state.+changed )|(\[timeout)|(PRM\|1\|D)|(kpr)|(kdp)|(train st.+moving)|(\|lc)|(penalty))"</v>
      </c>
      <c r="AG22" s="226" t="str">
        <f t="shared" si="13"/>
        <v>EC</v>
      </c>
      <c r="AH22" s="189" t="str">
        <f t="shared" si="19"/>
        <v>"%USERPROFILE%\Documents\GitHub\eaglep3\Utilities\RefineRTDCRunTimes.py" --tripid 110-12 --locoid 4057 --swversion DE.1.0.9.0 --startMP 204:232976 --initTime 2017-12-12T05:37:55 --startdatetime 2017-12-12T05:42:15 --delay 56 --endMP 204:170 --enddatetime 2017-12-12T06:19:22 --enforcementcount 0 &gt;&gt;%USERPROFILE%\Documents\GitHub\eaglep3-reporting\EC\2017-12-12-refined-times.txt</v>
      </c>
      <c r="AI22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{"issue":{"subject":"","project_id":79,"tracker_id":40,"status_id":1,"priority_id":2,"assigned_to_id":338,"start_date":"2017-12-12","description":"","custom_fields":[{"id":1,"name":"Subdivision","value":"EC"},{"id":4,"name":"Milepost","value":"0.017"},{"id":17,"name":"Train ID","value":"110-12"},{"id":16,"name":"Locomotive ID","value":"4057"},{"id":130,"name":"Impact","value":""},{"id":150,"name":"Time of Event (Mountain Time)","value":"06:19:22"},{"id":151,"name":"Denver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180"/>
      <c r="AK22" s="188"/>
      <c r="AL22" s="188"/>
      <c r="AM22" s="193" t="str">
        <f t="shared" si="21"/>
        <v>start /low /b %USERPROFILE%\Documents\GitHub\eaglep3\Utilities\DownloadLogsFromS3.py --loco 4057 --day 2017-12-12</v>
      </c>
      <c r="AN22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87" t="str">
        <f t="shared" si="23"/>
        <v>https://d0f6bd738d7f1b3e5a7ca70fe4ff75f0.us-east-1.aws.found.io/app/kibana#/discover/Steve-Slow-Train-Analysis-(2080s-and-2083s)?_g=(refreshInterval:(display:Off,pause:!f,section:0,value:0),time:(from:'2017-12-12T04:37:55-0700',mode:absolute,to:'2017-12-12T07:19:22-0700'))&amp;_a=(columns:!('Message%20ID',Summary),filters:!(),index:'emp_*',interval:auto,query:(query_string:(analyze_wildcard:!t,query:'%22rtdc.l.rtdc.4057%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186" t="s">
        <v>707</v>
      </c>
      <c r="B23" s="182">
        <v>4006</v>
      </c>
      <c r="C23" s="184" t="s">
        <v>192</v>
      </c>
      <c r="D23" s="184" t="s">
        <v>916</v>
      </c>
      <c r="E23" s="183">
        <v>43081.201331018521</v>
      </c>
      <c r="F23" s="183">
        <v>43081.208518518521</v>
      </c>
      <c r="G23" s="182">
        <v>46</v>
      </c>
      <c r="H23" s="184" t="s">
        <v>917</v>
      </c>
      <c r="I23" s="183">
        <v>43081.233530092592</v>
      </c>
      <c r="J23" s="182">
        <v>0</v>
      </c>
      <c r="K23" s="190" t="str">
        <f t="shared" si="0"/>
        <v>4005/4006</v>
      </c>
      <c r="L23" s="196" t="str">
        <f>VLOOKUP(A23,'Trips&amp;Operators'!$C$1:$G$99911,5,FALSE)</f>
        <v>YORK EDGAR</v>
      </c>
      <c r="M23" s="181">
        <f t="shared" si="1"/>
        <v>2.5011574070958886E-2</v>
      </c>
      <c r="N23" s="182">
        <f t="shared" si="29"/>
        <v>36.016666662180796</v>
      </c>
      <c r="O23" s="182"/>
      <c r="P23" s="182"/>
      <c r="Q23" s="185"/>
      <c r="R23" s="197"/>
      <c r="S23" s="241">
        <f t="shared" si="3"/>
        <v>1</v>
      </c>
      <c r="T23" s="220" t="str">
        <f t="shared" si="4"/>
        <v>NorthBound</v>
      </c>
      <c r="U23" s="22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21" t="str">
        <f t="shared" si="5"/>
        <v>https://d0f6bd738d7f1b3e5a7ca70fe4ff75f0.us-east-1.aws.found.io/app/kibana#/discover/Steve-Slow-Train-Analysis-(2080s-and-2083s)?_g=(refreshInterval:(display:Off,pause:!f,section:0,value:0),time:(from:'2017-12-12T03:49:55-0700',mode:absolute,to:'2017-12-12T06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222" t="str">
        <f>IF(AA23&lt;VLOOKUP(AG23,Variables!$AC$3:$AD$8,2,FALSE),"Y","N")</f>
        <v>N</v>
      </c>
      <c r="X23" s="222">
        <f t="shared" si="30"/>
        <v>1</v>
      </c>
      <c r="Y23" s="222">
        <f t="shared" si="31"/>
        <v>4.7699999999999999E-2</v>
      </c>
      <c r="Z23" s="222">
        <f t="shared" si="32"/>
        <v>23.328800000000001</v>
      </c>
      <c r="AA23" s="222">
        <f t="shared" si="9"/>
        <v>23.281100000000002</v>
      </c>
      <c r="AB23" s="231" t="e">
        <f>VLOOKUP(A23,Enforcements!$C$7:$K$9,8,0)</f>
        <v>#N/A</v>
      </c>
      <c r="AC23" s="231" t="e">
        <f>VLOOKUP(A23,Enforcements!$C$7:$E$9,3,0)</f>
        <v>#N/A</v>
      </c>
      <c r="AD23" s="232">
        <f t="shared" si="10"/>
        <v>111</v>
      </c>
      <c r="AE23" s="233" t="str">
        <f t="shared" si="11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23" s="234" t="str">
        <f t="shared" si="12"/>
        <v>"C:\Program Files (x86)\AstroGrep\AstroGrep.exe" /e /r /s /spath="%USERPROFILE%\AppData\Local\Temp\OnboardLogs" /stypes="app*4006*20171212*" /stext=" 12:.+((SYSTEM_STATE.+slice.+state.+changed )|(ment ac)|(multiple cpu faults)|(system.+state.+changed )|(\[timeout)|(PRM\|1\|D)|(kpr)|(kdp)|(train st.+moving)|(\|lc)|(penalty))"</v>
      </c>
      <c r="AG23" s="226" t="str">
        <f t="shared" si="13"/>
        <v>EC</v>
      </c>
      <c r="AH23" s="189" t="str">
        <f t="shared" si="19"/>
        <v>"%USERPROFILE%\Documents\GitHub\eaglep3\Utilities\RefineRTDCRunTimes.py" --tripid 111-12 --locoid 4006 --swversion DE.1.0.9.0 --startMP 204:477 --initTime 2017-12-12T04:49:55 --startdatetime 2017-12-12T05:00:16 --delay 46 --endMP 204:233288 --enddatetime 2017-12-12T05:36:17 --enforcementcount 0 &gt;&gt;%USERPROFILE%\Documents\GitHub\eaglep3-reporting\EC\2017-12-12-refined-times.txt</v>
      </c>
      <c r="AI23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{"issue":{"subject":"","project_id":79,"tracker_id":40,"status_id":1,"priority_id":2,"assigned_to_id":338,"start_date":"2017-12-12","description":"","custom_fields":[{"id":1,"name":"Subdivision","value":"EC"},{"id":4,"name":"Milepost","value":"23.3288"},{"id":17,"name":"Train ID","value":"111-12"},{"id":16,"name":"Locomotive ID","value":"4006"},{"id":130,"name":"Impact","value":""},{"id":150,"name":"Time of Event (Mountain Time)","value":"05:36:17"},{"id":151,"name":"Denver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180"/>
      <c r="AK23" s="188"/>
      <c r="AL23" s="188"/>
      <c r="AM23" s="193" t="str">
        <f t="shared" si="21"/>
        <v>start /low /b %USERPROFILE%\Documents\GitHub\eaglep3\Utilities\DownloadLogsFromS3.py --loco 4006 --day 2017-12-12</v>
      </c>
      <c r="AN23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87" t="str">
        <f t="shared" si="23"/>
        <v>https://d0f6bd738d7f1b3e5a7ca70fe4ff75f0.us-east-1.aws.found.io/app/kibana#/discover/Steve-Slow-Train-Analysis-(2080s-and-2083s)?_g=(refreshInterval:(display:Off,pause:!f,section:0,value:0),time:(from:'2017-12-12T03:49:55-0700',mode:absolute,to:'2017-12-12T06:36:17-0700'))&amp;_a=(columns:!('Message%20ID',Summary),filters:!(),index:'emp_*',interval:auto,query:(query_string:(analyze_wildcard:!t,query:'%22rtdc.l.rtdc.4006%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186" t="s">
        <v>717</v>
      </c>
      <c r="B24" s="182">
        <v>4005</v>
      </c>
      <c r="C24" s="184" t="s">
        <v>192</v>
      </c>
      <c r="D24" s="184" t="s">
        <v>624</v>
      </c>
      <c r="E24" s="183">
        <v>43081.234548611108</v>
      </c>
      <c r="F24" s="183">
        <v>43081.248159722221</v>
      </c>
      <c r="G24" s="182">
        <v>59</v>
      </c>
      <c r="H24" s="184" t="s">
        <v>559</v>
      </c>
      <c r="I24" s="183">
        <v>43081.273935185185</v>
      </c>
      <c r="J24" s="182">
        <v>0</v>
      </c>
      <c r="K24" s="190" t="str">
        <f t="shared" si="0"/>
        <v>4005/4006</v>
      </c>
      <c r="L24" s="196" t="str">
        <f>VLOOKUP(A24,'Trips&amp;Operators'!$C$1:$G$99911,5,FALSE)</f>
        <v>YORK EDGAR</v>
      </c>
      <c r="M24" s="181">
        <f t="shared" si="1"/>
        <v>2.5775462963792961E-2</v>
      </c>
      <c r="N24" s="182">
        <f t="shared" si="29"/>
        <v>37.116666667861864</v>
      </c>
      <c r="O24" s="182"/>
      <c r="P24" s="182"/>
      <c r="Q24" s="185"/>
      <c r="R24" s="197"/>
      <c r="S24" s="241">
        <f t="shared" si="3"/>
        <v>1</v>
      </c>
      <c r="T24" s="220" t="str">
        <f t="shared" si="4"/>
        <v>Southbound</v>
      </c>
      <c r="U24" s="22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1" t="str">
        <f t="shared" si="5"/>
        <v>https://d0f6bd738d7f1b3e5a7ca70fe4ff75f0.us-east-1.aws.found.io/app/kibana#/discover/Steve-Slow-Train-Analysis-(2080s-and-2083s)?_g=(refreshInterval:(display:Off,pause:!f,section:0,value:0),time:(from:'2017-12-12T04:37:45-0700',mode:absolute,to:'2017-12-12T07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222" t="str">
        <f>IF(AA24&lt;VLOOKUP(AG24,Variables!$AC$3:$AD$8,2,FALSE),"Y","N")</f>
        <v>N</v>
      </c>
      <c r="X24" s="222">
        <f t="shared" si="30"/>
        <v>1</v>
      </c>
      <c r="Y24" s="222">
        <f t="shared" si="31"/>
        <v>23.2971</v>
      </c>
      <c r="Z24" s="222">
        <f t="shared" si="32"/>
        <v>1.5599999999999999E-2</v>
      </c>
      <c r="AA24" s="222">
        <f t="shared" si="9"/>
        <v>23.281500000000001</v>
      </c>
      <c r="AB24" s="231" t="e">
        <f>VLOOKUP(A24,Enforcements!$C$7:$K$9,8,0)</f>
        <v>#N/A</v>
      </c>
      <c r="AC24" s="231" t="e">
        <f>VLOOKUP(A24,Enforcements!$C$7:$E$9,3,0)</f>
        <v>#N/A</v>
      </c>
      <c r="AD24" s="232">
        <f t="shared" si="10"/>
        <v>112</v>
      </c>
      <c r="AE24" s="233" t="str">
        <f t="shared" si="11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24" s="234" t="str">
        <f t="shared" si="12"/>
        <v>"C:\Program Files (x86)\AstroGrep\AstroGrep.exe" /e /r /s /spath="%USERPROFILE%\AppData\Local\Temp\OnboardLogs" /stypes="app*4005*20171212*" /stext=" 13:.+((SYSTEM_STATE.+slice.+state.+changed )|(ment ac)|(multiple cpu faults)|(system.+state.+changed )|(\[timeout)|(PRM\|1\|D)|(kpr)|(kdp)|(train st.+moving)|(\|lc)|(penalty))"</v>
      </c>
      <c r="AG24" s="226" t="str">
        <f t="shared" si="13"/>
        <v>EC</v>
      </c>
      <c r="AH24" s="189" t="str">
        <f t="shared" si="19"/>
        <v>"%USERPROFILE%\Documents\GitHub\eaglep3\Utilities\RefineRTDCRunTimes.py" --tripid 112-12 --locoid 4005 --swversion DE.1.0.9.0 --startMP 204:232971 --initTime 2017-12-12T05:37:45 --startdatetime 2017-12-12T05:57:21 --delay 59 --endMP 204:156 --enddatetime 2017-12-12T06:34:28 --enforcementcount 0 &gt;&gt;%USERPROFILE%\Documents\GitHub\eaglep3-reporting\EC\2017-12-12-refined-times.txt</v>
      </c>
      <c r="AI24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{"issue":{"subject":"","project_id":79,"tracker_id":40,"status_id":1,"priority_id":2,"assigned_to_id":338,"start_date":"2017-12-12","description":"","custom_fields":[{"id":1,"name":"Subdivision","value":"EC"},{"id":4,"name":"Milepost","value":"0.0156"},{"id":17,"name":"Train ID","value":"112-12"},{"id":16,"name":"Locomotive ID","value":"4005"},{"id":130,"name":"Impact","value":""},{"id":150,"name":"Time of Event (Mountain Time)","value":"06:34:28"},{"id":151,"name":"Denver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180"/>
      <c r="AK24" s="188"/>
      <c r="AL24" s="188"/>
      <c r="AM24" s="193" t="str">
        <f t="shared" si="21"/>
        <v>start /low /b %USERPROFILE%\Documents\GitHub\eaglep3\Utilities\DownloadLogsFromS3.py --loco 4005 --day 2017-12-12</v>
      </c>
      <c r="AN24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87" t="str">
        <f t="shared" si="23"/>
        <v>https://d0f6bd738d7f1b3e5a7ca70fe4ff75f0.us-east-1.aws.found.io/app/kibana#/discover/Steve-Slow-Train-Analysis-(2080s-and-2083s)?_g=(refreshInterval:(display:Off,pause:!f,section:0,value:0),time:(from:'2017-12-12T04:37:45-0700',mode:absolute,to:'2017-12-12T07:34:28-0700'))&amp;_a=(columns:!('Message%20ID',Summary),filters:!(),index:'emp_*',interval:auto,query:(query_string:(analyze_wildcard:!t,query:'%22rtdc.l.rtdc.4005%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186" t="s">
        <v>708</v>
      </c>
      <c r="B25" s="182">
        <v>4022</v>
      </c>
      <c r="C25" s="184" t="s">
        <v>192</v>
      </c>
      <c r="D25" s="184" t="s">
        <v>918</v>
      </c>
      <c r="E25" s="183">
        <v>43081.205439814818</v>
      </c>
      <c r="F25" s="183">
        <v>43081.218912037039</v>
      </c>
      <c r="G25" s="182">
        <v>59</v>
      </c>
      <c r="H25" s="184" t="s">
        <v>919</v>
      </c>
      <c r="I25" s="183">
        <v>43081.243668981479</v>
      </c>
      <c r="J25" s="182">
        <v>0</v>
      </c>
      <c r="K25" s="190" t="str">
        <f t="shared" si="0"/>
        <v>4021/4022</v>
      </c>
      <c r="L25" s="196" t="str">
        <f>VLOOKUP(A25,'Trips&amp;Operators'!$C$1:$G$99911,5,FALSE)</f>
        <v>YANAI IAN</v>
      </c>
      <c r="M25" s="181">
        <f t="shared" si="1"/>
        <v>2.4756944440014195E-2</v>
      </c>
      <c r="N25" s="182">
        <f t="shared" si="29"/>
        <v>35.64999999362044</v>
      </c>
      <c r="O25" s="182"/>
      <c r="P25" s="182"/>
      <c r="Q25" s="185"/>
      <c r="R25" s="197"/>
      <c r="S25" s="241">
        <f t="shared" si="3"/>
        <v>1</v>
      </c>
      <c r="T25" s="220" t="str">
        <f t="shared" si="4"/>
        <v>NorthBound</v>
      </c>
      <c r="U25" s="22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1" t="str">
        <f t="shared" si="5"/>
        <v>https://d0f6bd738d7f1b3e5a7ca70fe4ff75f0.us-east-1.aws.found.io/app/kibana#/discover/Steve-Slow-Train-Analysis-(2080s-and-2083s)?_g=(refreshInterval:(display:Off,pause:!f,section:0,value:0),time:(from:'2017-12-12T03:55:50-0700',mode:absolute,to:'2017-12-12T06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222" t="str">
        <f>IF(AA25&lt;VLOOKUP(AG25,Variables!$AC$3:$AD$8,2,FALSE),"Y","N")</f>
        <v>N</v>
      </c>
      <c r="X25" s="222">
        <f t="shared" ref="X25:X35" si="33">VALUE(LEFT(AD25,4))-VALUE(LEFT(AD24,4))</f>
        <v>1</v>
      </c>
      <c r="Y25" s="222">
        <f t="shared" si="31"/>
        <v>5.5500000000000001E-2</v>
      </c>
      <c r="Z25" s="222">
        <f t="shared" si="32"/>
        <v>23.3308</v>
      </c>
      <c r="AA25" s="222">
        <f t="shared" si="9"/>
        <v>23.275300000000001</v>
      </c>
      <c r="AB25" s="231" t="e">
        <f>VLOOKUP(A25,Enforcements!$C$7:$K$9,8,0)</f>
        <v>#N/A</v>
      </c>
      <c r="AC25" s="231" t="e">
        <f>VLOOKUP(A25,Enforcements!$C$7:$E$9,3,0)</f>
        <v>#N/A</v>
      </c>
      <c r="AD25" s="232">
        <f t="shared" si="10"/>
        <v>113</v>
      </c>
      <c r="AE25" s="233" t="str">
        <f t="shared" si="11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25" s="234" t="str">
        <f t="shared" si="12"/>
        <v>"C:\Program Files (x86)\AstroGrep\AstroGrep.exe" /e /r /s /spath="%USERPROFILE%\AppData\Local\Temp\OnboardLogs" /stypes="app*4022*20171212*" /stext=" 12:.+((SYSTEM_STATE.+slice.+state.+changed )|(ment ac)|(multiple cpu faults)|(system.+state.+changed )|(\[timeout)|(PRM\|1\|D)|(kpr)|(kdp)|(train st.+moving)|(\|lc)|(penalty))"</v>
      </c>
      <c r="AG25" s="226" t="str">
        <f t="shared" si="13"/>
        <v>EC</v>
      </c>
      <c r="AH25" s="189" t="str">
        <f t="shared" si="19"/>
        <v>"%USERPROFILE%\Documents\GitHub\eaglep3\Utilities\RefineRTDCRunTimes.py" --tripid 113-12 --locoid 4022 --swversion DE.1.0.9.0 --startMP 204:555 --initTime 2017-12-12T04:55:50 --startdatetime 2017-12-12T05:15:14 --delay 59 --endMP 204:233308 --enddatetime 2017-12-12T05:50:53 --enforcementcount 0 &gt;&gt;%USERPROFILE%\Documents\GitHub\eaglep3-reporting\EC\2017-12-12-refined-times.txt</v>
      </c>
      <c r="AI25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{"issue":{"subject":"","project_id":79,"tracker_id":40,"status_id":1,"priority_id":2,"assigned_to_id":338,"start_date":"2017-12-12","description":"","custom_fields":[{"id":1,"name":"Subdivision","value":"EC"},{"id":4,"name":"Milepost","value":"23.3308"},{"id":17,"name":"Train ID","value":"113-12"},{"id":16,"name":"Locomotive ID","value":"4022"},{"id":130,"name":"Impact","value":""},{"id":150,"name":"Time of Event (Mountain Time)","value":"05:50:53"},{"id":151,"name":"Denver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180"/>
      <c r="AK25" s="188"/>
      <c r="AL25" s="188"/>
      <c r="AM25" s="193" t="str">
        <f t="shared" si="21"/>
        <v>start /low /b %USERPROFILE%\Documents\GitHub\eaglep3\Utilities\DownloadLogsFromS3.py --loco 4022 --day 2017-12-12</v>
      </c>
      <c r="AN25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87" t="str">
        <f t="shared" si="23"/>
        <v>https://d0f6bd738d7f1b3e5a7ca70fe4ff75f0.us-east-1.aws.found.io/app/kibana#/discover/Steve-Slow-Train-Analysis-(2080s-and-2083s)?_g=(refreshInterval:(display:Off,pause:!f,section:0,value:0),time:(from:'2017-12-12T03:55:50-0700',mode:absolute,to:'2017-12-12T06:50:53-0700'))&amp;_a=(columns:!('Message%20ID',Summary),filters:!(),index:'emp_*',interval:auto,query:(query_string:(analyze_wildcard:!t,query:'%22rtdc.l.rtdc.4022%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186" t="s">
        <v>722</v>
      </c>
      <c r="B26" s="182">
        <v>4021</v>
      </c>
      <c r="C26" s="184" t="s">
        <v>192</v>
      </c>
      <c r="D26" s="184" t="s">
        <v>920</v>
      </c>
      <c r="E26" s="183">
        <v>43081.244988425926</v>
      </c>
      <c r="F26" s="183">
        <v>43081.258518518516</v>
      </c>
      <c r="G26" s="182">
        <v>47</v>
      </c>
      <c r="H26" s="184" t="s">
        <v>921</v>
      </c>
      <c r="I26" s="183">
        <v>43081.285081018519</v>
      </c>
      <c r="J26" s="182">
        <v>0</v>
      </c>
      <c r="K26" s="190" t="str">
        <f t="shared" si="0"/>
        <v>4021/4022</v>
      </c>
      <c r="L26" s="196" t="str">
        <f>VLOOKUP(A26,'Trips&amp;Operators'!$C$1:$G$99911,5,FALSE)</f>
        <v>YANAI IAN</v>
      </c>
      <c r="M26" s="181">
        <f t="shared" si="1"/>
        <v>2.6562500002910383E-2</v>
      </c>
      <c r="N26" s="182">
        <f t="shared" si="29"/>
        <v>38.250000004190952</v>
      </c>
      <c r="O26" s="182"/>
      <c r="P26" s="182"/>
      <c r="Q26" s="185"/>
      <c r="R26" s="197"/>
      <c r="S26" s="241">
        <f t="shared" si="3"/>
        <v>1</v>
      </c>
      <c r="T26" s="220" t="str">
        <f t="shared" si="4"/>
        <v>Southbound</v>
      </c>
      <c r="U26" s="22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1" t="str">
        <f t="shared" si="5"/>
        <v>https://d0f6bd738d7f1b3e5a7ca70fe4ff75f0.us-east-1.aws.found.io/app/kibana#/discover/Steve-Slow-Train-Analysis-(2080s-and-2083s)?_g=(refreshInterval:(display:Off,pause:!f,section:0,value:0),time:(from:'2017-12-12T04:52:47-0700',mode:absolute,to:'2017-12-12T07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222" t="str">
        <f>IF(AA26&lt;VLOOKUP(AG26,Variables!$AC$3:$AD$8,2,FALSE),"Y","N")</f>
        <v>N</v>
      </c>
      <c r="X26" s="222">
        <f t="shared" si="33"/>
        <v>1</v>
      </c>
      <c r="Y26" s="222">
        <f t="shared" si="31"/>
        <v>23.297899999999998</v>
      </c>
      <c r="Z26" s="222">
        <f t="shared" si="32"/>
        <v>1.1599999999999999E-2</v>
      </c>
      <c r="AA26" s="222">
        <f t="shared" si="9"/>
        <v>23.286299999999997</v>
      </c>
      <c r="AB26" s="231" t="e">
        <f>VLOOKUP(A26,Enforcements!$C$7:$K$9,8,0)</f>
        <v>#N/A</v>
      </c>
      <c r="AC26" s="231" t="e">
        <f>VLOOKUP(A26,Enforcements!$C$7:$E$9,3,0)</f>
        <v>#N/A</v>
      </c>
      <c r="AD26" s="232">
        <f t="shared" si="10"/>
        <v>114</v>
      </c>
      <c r="AE26" s="233" t="str">
        <f t="shared" si="11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26" s="234" t="str">
        <f t="shared" si="12"/>
        <v>"C:\Program Files (x86)\AstroGrep\AstroGrep.exe" /e /r /s /spath="%USERPROFILE%\AppData\Local\Temp\OnboardLogs" /stypes="app*4021*20171212*" /stext=" 13:.+((SYSTEM_STATE.+slice.+state.+changed )|(ment ac)|(multiple cpu faults)|(system.+state.+changed )|(\[timeout)|(PRM\|1\|D)|(kpr)|(kdp)|(train st.+moving)|(\|lc)|(penalty))"</v>
      </c>
      <c r="AG26" s="226" t="str">
        <f t="shared" si="13"/>
        <v>EC</v>
      </c>
      <c r="AH26" s="189" t="str">
        <f t="shared" si="19"/>
        <v>"%USERPROFILE%\Documents\GitHub\eaglep3\Utilities\RefineRTDCRunTimes.py" --tripid 114-12 --locoid 4021 --swversion DE.1.0.9.0 --startMP 204:232979 --initTime 2017-12-12T05:52:47 --startdatetime 2017-12-12T06:12:16 --delay 47 --endMP 204:116 --enddatetime 2017-12-12T06:50:31 --enforcementcount 0 &gt;&gt;%USERPROFILE%\Documents\GitHub\eaglep3-reporting\EC\2017-12-12-refined-times.txt</v>
      </c>
      <c r="AI26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{"issue":{"subject":"","project_id":79,"tracker_id":40,"status_id":1,"priority_id":2,"assigned_to_id":338,"start_date":"2017-12-12","description":"","custom_fields":[{"id":1,"name":"Subdivision","value":"EC"},{"id":4,"name":"Milepost","value":"0.0116"},{"id":17,"name":"Train ID","value":"114-12"},{"id":16,"name":"Locomotive ID","value":"4021"},{"id":130,"name":"Impact","value":""},{"id":150,"name":"Time of Event (Mountain Time)","value":"06:50:31"},{"id":151,"name":"Denver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180"/>
      <c r="AK26" s="188"/>
      <c r="AL26" s="188"/>
      <c r="AM26" s="193" t="str">
        <f t="shared" si="21"/>
        <v>start /low /b %USERPROFILE%\Documents\GitHub\eaglep3\Utilities\DownloadLogsFromS3.py --loco 4021 --day 2017-12-12</v>
      </c>
      <c r="AN26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87" t="str">
        <f t="shared" si="23"/>
        <v>https://d0f6bd738d7f1b3e5a7ca70fe4ff75f0.us-east-1.aws.found.io/app/kibana#/discover/Steve-Slow-Train-Analysis-(2080s-and-2083s)?_g=(refreshInterval:(display:Off,pause:!f,section:0,value:0),time:(from:'2017-12-12T04:52:47-0700',mode:absolute,to:'2017-12-12T07:50:31-0700'))&amp;_a=(columns:!('Message%20ID',Summary),filters:!(),index:'emp_*',interval:auto,query:(query_string:(analyze_wildcard:!t,query:'%22rtdc.l.rtdc.4021%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186" t="s">
        <v>670</v>
      </c>
      <c r="B27" s="182">
        <v>4012</v>
      </c>
      <c r="C27" s="184" t="s">
        <v>192</v>
      </c>
      <c r="D27" s="184" t="s">
        <v>922</v>
      </c>
      <c r="E27" s="183">
        <v>43081.226631944446</v>
      </c>
      <c r="F27" s="183">
        <v>43081.229328703703</v>
      </c>
      <c r="G27" s="182">
        <v>76</v>
      </c>
      <c r="H27" s="184" t="s">
        <v>463</v>
      </c>
      <c r="I27" s="183">
        <v>43081.254988425928</v>
      </c>
      <c r="J27" s="182">
        <v>0</v>
      </c>
      <c r="K27" s="190" t="str">
        <f t="shared" si="0"/>
        <v>4011/4012</v>
      </c>
      <c r="L27" s="196" t="str">
        <f>VLOOKUP(A27,'Trips&amp;Operators'!$C$1:$G$99911,5,FALSE)</f>
        <v>STARKS ANGELINA</v>
      </c>
      <c r="M27" s="181">
        <f t="shared" si="1"/>
        <v>2.5659722225100268E-2</v>
      </c>
      <c r="N27" s="182">
        <f t="shared" si="29"/>
        <v>36.950000004144385</v>
      </c>
      <c r="O27" s="182"/>
      <c r="P27" s="182"/>
      <c r="Q27" s="185"/>
      <c r="R27" s="197"/>
      <c r="S27" s="241">
        <f t="shared" si="3"/>
        <v>1</v>
      </c>
      <c r="T27" s="220" t="str">
        <f t="shared" si="4"/>
        <v>NorthBound</v>
      </c>
      <c r="U27" s="22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1" t="str">
        <f t="shared" si="5"/>
        <v>https://d0f6bd738d7f1b3e5a7ca70fe4ff75f0.us-east-1.aws.found.io/app/kibana#/discover/Steve-Slow-Train-Analysis-(2080s-and-2083s)?_g=(refreshInterval:(display:Off,pause:!f,section:0,value:0),time:(from:'2017-12-12T04:26:21-0700',mode:absolute,to:'2017-12-12T07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22" t="str">
        <f>IF(AA27&lt;VLOOKUP(AG27,Variables!$AC$3:$AD$8,2,FALSE),"Y","N")</f>
        <v>N</v>
      </c>
      <c r="X27" s="222">
        <f t="shared" si="33"/>
        <v>1</v>
      </c>
      <c r="Y27" s="222">
        <f t="shared" si="31"/>
        <v>4.3799999999999999E-2</v>
      </c>
      <c r="Z27" s="222">
        <f t="shared" si="32"/>
        <v>23.3291</v>
      </c>
      <c r="AA27" s="222">
        <f t="shared" si="9"/>
        <v>23.285299999999999</v>
      </c>
      <c r="AB27" s="231" t="e">
        <f>VLOOKUP(A27,Enforcements!$C$7:$K$9,8,0)</f>
        <v>#N/A</v>
      </c>
      <c r="AC27" s="231" t="e">
        <f>VLOOKUP(A27,Enforcements!$C$7:$E$9,3,0)</f>
        <v>#N/A</v>
      </c>
      <c r="AD27" s="232">
        <f t="shared" si="10"/>
        <v>115</v>
      </c>
      <c r="AE27" s="233" t="str">
        <f t="shared" si="11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27" s="234" t="str">
        <f t="shared" si="12"/>
        <v>"C:\Program Files (x86)\AstroGrep\AstroGrep.exe" /e /r /s /spath="%USERPROFILE%\AppData\Local\Temp\OnboardLogs" /stypes="app*4012*20171212*" /stext=" 13:.+((SYSTEM_STATE.+slice.+state.+changed )|(ment ac)|(multiple cpu faults)|(system.+state.+changed )|(\[timeout)|(PRM\|1\|D)|(kpr)|(kdp)|(train st.+moving)|(\|lc)|(penalty))"</v>
      </c>
      <c r="AG27" s="226" t="str">
        <f t="shared" si="13"/>
        <v>EC</v>
      </c>
      <c r="AH27" s="189" t="str">
        <f t="shared" si="19"/>
        <v>"%USERPROFILE%\Documents\GitHub\eaglep3\Utilities\RefineRTDCRunTimes.py" --tripid 115-12 --locoid 4012 --swversion DE.1.0.9.0 --startMP 204:438 --initTime 2017-12-12T05:26:21 --startdatetime 2017-12-12T05:30:14 --delay 76 --endMP 204:233291 --enddatetime 2017-12-12T06:07:11 --enforcementcount 0 &gt;&gt;%USERPROFILE%\Documents\GitHub\eaglep3-reporting\EC\2017-12-12-refined-times.txt</v>
      </c>
      <c r="AI27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{"issue":{"subject":"","project_id":79,"tracker_id":40,"status_id":1,"priority_id":2,"assigned_to_id":338,"start_date":"2017-12-12","description":"","custom_fields":[{"id":1,"name":"Subdivision","value":"EC"},{"id":4,"name":"Milepost","value":"23.3291"},{"id":17,"name":"Train ID","value":"115-12"},{"id":16,"name":"Locomotive ID","value":"4012"},{"id":130,"name":"Impact","value":""},{"id":150,"name":"Time of Event (Mountain Time)","value":"06:07:11"},{"id":151,"name":"Denver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180"/>
      <c r="AK27" s="188"/>
      <c r="AL27" s="188"/>
      <c r="AM27" s="193" t="str">
        <f t="shared" si="21"/>
        <v>start /low /b %USERPROFILE%\Documents\GitHub\eaglep3\Utilities\DownloadLogsFromS3.py --loco 4012 --day 2017-12-12</v>
      </c>
      <c r="AN27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87" t="str">
        <f t="shared" si="23"/>
        <v>https://d0f6bd738d7f1b3e5a7ca70fe4ff75f0.us-east-1.aws.found.io/app/kibana#/discover/Steve-Slow-Train-Analysis-(2080s-and-2083s)?_g=(refreshInterval:(display:Off,pause:!f,section:0,value:0),time:(from:'2017-12-12T04:26:21-0700',mode:absolute,to:'2017-12-12T07:07:11-0700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186" t="s">
        <v>671</v>
      </c>
      <c r="B28" s="182">
        <v>4011</v>
      </c>
      <c r="C28" s="184" t="s">
        <v>192</v>
      </c>
      <c r="D28" s="184" t="s">
        <v>923</v>
      </c>
      <c r="E28" s="183">
        <v>43081.267442129632</v>
      </c>
      <c r="F28" s="183">
        <v>43081.268923611111</v>
      </c>
      <c r="G28" s="182">
        <v>60</v>
      </c>
      <c r="H28" s="184" t="s">
        <v>559</v>
      </c>
      <c r="I28" s="183">
        <v>43081.298541666663</v>
      </c>
      <c r="J28" s="182">
        <v>0</v>
      </c>
      <c r="K28" s="190" t="str">
        <f t="shared" si="0"/>
        <v>4011/4012</v>
      </c>
      <c r="L28" s="196" t="str">
        <f>VLOOKUP(A28,'Trips&amp;Operators'!$C$1:$G$99911,5,FALSE)</f>
        <v>STARKS ANGELINA</v>
      </c>
      <c r="M28" s="181">
        <f t="shared" si="1"/>
        <v>2.9618055552418809E-2</v>
      </c>
      <c r="N28" s="182">
        <f t="shared" si="29"/>
        <v>42.649999995483086</v>
      </c>
      <c r="O28" s="182"/>
      <c r="P28" s="182"/>
      <c r="Q28" s="185"/>
      <c r="R28" s="197"/>
      <c r="S28" s="241">
        <f t="shared" si="3"/>
        <v>1</v>
      </c>
      <c r="T28" s="220" t="str">
        <f t="shared" si="4"/>
        <v>Southbound</v>
      </c>
      <c r="U28" s="22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1" t="str">
        <f t="shared" si="5"/>
        <v>https://d0f6bd738d7f1b3e5a7ca70fe4ff75f0.us-east-1.aws.found.io/app/kibana#/discover/Steve-Slow-Train-Analysis-(2080s-and-2083s)?_g=(refreshInterval:(display:Off,pause:!f,section:0,value:0),time:(from:'2017-12-12T05:25:07-0700',mode:absolute,to:'2017-12-12T08:09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22" t="str">
        <f>IF(AA28&lt;VLOOKUP(AG28,Variables!$AC$3:$AD$8,2,FALSE),"Y","N")</f>
        <v>N</v>
      </c>
      <c r="X28" s="222">
        <f t="shared" si="33"/>
        <v>1</v>
      </c>
      <c r="Y28" s="222">
        <f t="shared" si="31"/>
        <v>23.297499999999999</v>
      </c>
      <c r="Z28" s="222">
        <f t="shared" si="32"/>
        <v>1.5599999999999999E-2</v>
      </c>
      <c r="AA28" s="222">
        <f t="shared" si="9"/>
        <v>23.2819</v>
      </c>
      <c r="AB28" s="231" t="str">
        <f>VLOOKUP(A28,Enforcements!$C$7:$K$9,8,0)</f>
        <v>Bulletin (2)</v>
      </c>
      <c r="AC28" s="231" t="str">
        <f>VLOOKUP(A28,Enforcements!$C$7:$E$9,3,0)</f>
        <v>GRADE CROSSING</v>
      </c>
      <c r="AD28" s="232">
        <f t="shared" si="10"/>
        <v>116</v>
      </c>
      <c r="AE28" s="233" t="str">
        <f t="shared" si="11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28" s="234" t="str">
        <f t="shared" si="12"/>
        <v>"C:\Program Files (x86)\AstroGrep\AstroGrep.exe" /e /r /s /spath="%USERPROFILE%\AppData\Local\Temp\OnboardLogs" /stypes="app*4011*20171212*" /stext=" 14:.+((SYSTEM_STATE.+slice.+state.+changed )|(ment ac)|(multiple cpu faults)|(system.+state.+changed )|(\[timeout)|(PRM\|1\|D)|(kpr)|(kdp)|(train st.+moving)|(\|lc)|(penalty))"</v>
      </c>
      <c r="AG28" s="226" t="str">
        <f t="shared" si="13"/>
        <v>EC</v>
      </c>
      <c r="AH28" s="189" t="str">
        <f t="shared" si="19"/>
        <v>"%USERPROFILE%\Documents\GitHub\eaglep3\Utilities\RefineRTDCRunTimes.py" --tripid 116-12 --locoid 4011 --swversion DE.1.0.9.0 --startMP 204:232975 --initTime 2017-12-12T06:25:07 --startdatetime 2017-12-12T06:27:15 --delay 60 --endMP 204:156 --enddatetime 2017-12-12T07:09:54 --enforcementcount 0 &gt;&gt;%USERPROFILE%\Documents\GitHub\eaglep3-reporting\EC\2017-12-12-refined-times.txt</v>
      </c>
      <c r="AI28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{"issue":{"subject":"","project_id":79,"tracker_id":40,"status_id":1,"priority_id":2,"assigned_to_id":338,"start_date":"2017-12-12","description":"","custom_fields":[{"id":1,"name":"Subdivision","value":"EC"},{"id":4,"name":"Milepost","value":"0.0156"},{"id":17,"name":"Train ID","value":"116-12"},{"id":16,"name":"Locomotive ID","value":"4011"},{"id":130,"name":"Impact","value":""},{"id":150,"name":"Time of Event (Mountain Time)","value":"07:09:54"},{"id":151,"name":"Denver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180"/>
      <c r="AK28" s="188"/>
      <c r="AL28" s="188"/>
      <c r="AM28" s="193" t="str">
        <f t="shared" si="21"/>
        <v>start /low /b %USERPROFILE%\Documents\GitHub\eaglep3\Utilities\DownloadLogsFromS3.py --loco 4011 --day 2017-12-12</v>
      </c>
      <c r="AN28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87" t="str">
        <f t="shared" si="23"/>
        <v>https://d0f6bd738d7f1b3e5a7ca70fe4ff75f0.us-east-1.aws.found.io/app/kibana#/discover/Steve-Slow-Train-Analysis-(2080s-and-2083s)?_g=(refreshInterval:(display:Off,pause:!f,section:0,value:0),time:(from:'2017-12-12T05:25:07-0700',mode:absolute,to:'2017-12-12T08:09:54-0700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186" t="s">
        <v>714</v>
      </c>
      <c r="B29" s="182">
        <v>4010</v>
      </c>
      <c r="C29" s="184" t="s">
        <v>192</v>
      </c>
      <c r="D29" s="184" t="s">
        <v>924</v>
      </c>
      <c r="E29" s="183">
        <v>43081.231504629628</v>
      </c>
      <c r="F29" s="183">
        <v>43081.240219907406</v>
      </c>
      <c r="G29" s="182">
        <v>174</v>
      </c>
      <c r="H29" s="184" t="s">
        <v>582</v>
      </c>
      <c r="I29" s="183">
        <v>43081.264710648145</v>
      </c>
      <c r="J29" s="182">
        <v>0</v>
      </c>
      <c r="K29" s="190" t="str">
        <f t="shared" si="0"/>
        <v>4009/4010</v>
      </c>
      <c r="L29" s="196" t="str">
        <f>VLOOKUP(A29,'Trips&amp;Operators'!$C$1:$G$99911,5,FALSE)</f>
        <v>MAINTENANCE VEHICLE</v>
      </c>
      <c r="M29" s="181">
        <f t="shared" si="1"/>
        <v>2.4490740739565808E-2</v>
      </c>
      <c r="N29" s="182">
        <f t="shared" si="29"/>
        <v>35.266666664974764</v>
      </c>
      <c r="O29" s="182"/>
      <c r="P29" s="182"/>
      <c r="Q29" s="185"/>
      <c r="R29" s="197"/>
      <c r="S29" s="241">
        <f t="shared" si="3"/>
        <v>1</v>
      </c>
      <c r="T29" s="220" t="str">
        <f t="shared" si="4"/>
        <v>NorthBound</v>
      </c>
      <c r="U29" s="22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1" t="str">
        <f t="shared" si="5"/>
        <v>https://d0f6bd738d7f1b3e5a7ca70fe4ff75f0.us-east-1.aws.found.io/app/kibana#/discover/Steve-Slow-Train-Analysis-(2080s-and-2083s)?_g=(refreshInterval:(display:Off,pause:!f,section:0,value:0),time:(from:'2017-12-12T04:33:22-0700',mode:absolute,to:'2017-12-12T07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222" t="str">
        <f>IF(AA29&lt;VLOOKUP(AG29,Variables!$AC$3:$AD$8,2,FALSE),"Y","N")</f>
        <v>N</v>
      </c>
      <c r="X29" s="222">
        <f t="shared" si="33"/>
        <v>1</v>
      </c>
      <c r="Y29" s="222">
        <f t="shared" si="31"/>
        <v>5.3900000000000003E-2</v>
      </c>
      <c r="Z29" s="222">
        <f t="shared" si="32"/>
        <v>23.3217</v>
      </c>
      <c r="AA29" s="222">
        <f t="shared" si="9"/>
        <v>23.267800000000001</v>
      </c>
      <c r="AB29" s="231" t="e">
        <f>VLOOKUP(A29,Enforcements!$C$7:$K$9,8,0)</f>
        <v>#N/A</v>
      </c>
      <c r="AC29" s="231" t="e">
        <f>VLOOKUP(A29,Enforcements!$C$7:$E$9,3,0)</f>
        <v>#N/A</v>
      </c>
      <c r="AD29" s="232">
        <f t="shared" si="10"/>
        <v>117</v>
      </c>
      <c r="AE29" s="233" t="str">
        <f t="shared" si="11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29" s="234" t="str">
        <f t="shared" si="12"/>
        <v>"C:\Program Files (x86)\AstroGrep\AstroGrep.exe" /e /r /s /spath="%USERPROFILE%\AppData\Local\Temp\OnboardLogs" /stypes="app*4010*20171212*" /stext=" 13:.+((SYSTEM_STATE.+slice.+state.+changed )|(ment ac)|(multiple cpu faults)|(system.+state.+changed )|(\[timeout)|(PRM\|1\|D)|(kpr)|(kdp)|(train st.+moving)|(\|lc)|(penalty))"</v>
      </c>
      <c r="AG29" s="226" t="str">
        <f t="shared" si="13"/>
        <v>EC</v>
      </c>
      <c r="AH29" s="189" t="str">
        <f t="shared" si="19"/>
        <v>"%USERPROFILE%\Documents\GitHub\eaglep3\Utilities\RefineRTDCRunTimes.py" --tripid 117-12 --locoid 4010 --swversion DE.1.0.9.0 --startMP 204:539 --initTime 2017-12-12T05:33:22 --startdatetime 2017-12-12T05:45:55 --delay 174 --endMP 204:233217 --enddatetime 2017-12-12T06:21:11 --enforcementcount 0 &gt;&gt;%USERPROFILE%\Documents\GitHub\eaglep3-reporting\EC\2017-12-12-refined-times.txt</v>
      </c>
      <c r="AI29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{"issue":{"subject":"","project_id":79,"tracker_id":40,"status_id":1,"priority_id":2,"assigned_to_id":338,"start_date":"2017-12-12","description":"","custom_fields":[{"id":1,"name":"Subdivision","value":"EC"},{"id":4,"name":"Milepost","value":"23.3217"},{"id":17,"name":"Train ID","value":"117-12"},{"id":16,"name":"Locomotive ID","value":"4010"},{"id":130,"name":"Impact","value":""},{"id":150,"name":"Time of Event (Mountain Time)","value":"06:21:11"},{"id":151,"name":"Denver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180"/>
      <c r="AK29" s="188"/>
      <c r="AL29" s="188"/>
      <c r="AM29" s="193" t="str">
        <f t="shared" si="21"/>
        <v>start /low /b %USERPROFILE%\Documents\GitHub\eaglep3\Utilities\DownloadLogsFromS3.py --loco 4010 --day 2017-12-12</v>
      </c>
      <c r="AN29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87" t="str">
        <f t="shared" si="23"/>
        <v>https://d0f6bd738d7f1b3e5a7ca70fe4ff75f0.us-east-1.aws.found.io/app/kibana#/discover/Steve-Slow-Train-Analysis-(2080s-and-2083s)?_g=(refreshInterval:(display:Off,pause:!f,section:0,value:0),time:(from:'2017-12-12T04:33:22-0700',mode:absolute,to:'2017-12-12T07:21:11-0700'))&amp;_a=(columns:!('Message%20ID',Summary),filters:!(),index:'emp_*',interval:auto,query:(query_string:(analyze_wildcard:!t,query:'%22rtdc.l.rtdc.4010%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186" t="s">
        <v>730</v>
      </c>
      <c r="B30" s="182">
        <v>4009</v>
      </c>
      <c r="C30" s="184" t="s">
        <v>192</v>
      </c>
      <c r="D30" s="184" t="s">
        <v>925</v>
      </c>
      <c r="E30" s="183">
        <v>43081.276296296295</v>
      </c>
      <c r="F30" s="183">
        <v>43081.279594907406</v>
      </c>
      <c r="G30" s="182">
        <v>92</v>
      </c>
      <c r="H30" s="184" t="s">
        <v>501</v>
      </c>
      <c r="I30" s="183">
        <v>43081.305717592593</v>
      </c>
      <c r="J30" s="182">
        <v>0</v>
      </c>
      <c r="K30" s="190" t="str">
        <f t="shared" si="0"/>
        <v>4009/4010</v>
      </c>
      <c r="L30" s="196" t="str">
        <f>VLOOKUP(A30,'Trips&amp;Operators'!$C$1:$G$99911,5,FALSE)</f>
        <v>MACDONALD THOMAS</v>
      </c>
      <c r="M30" s="181">
        <f t="shared" si="1"/>
        <v>2.6122685187146999E-2</v>
      </c>
      <c r="N30" s="182">
        <f t="shared" si="29"/>
        <v>37.616666669491678</v>
      </c>
      <c r="O30" s="182"/>
      <c r="P30" s="182"/>
      <c r="Q30" s="185"/>
      <c r="R30" s="197"/>
      <c r="S30" s="241">
        <f t="shared" si="3"/>
        <v>1</v>
      </c>
      <c r="T30" s="220" t="str">
        <f t="shared" si="4"/>
        <v>Southbound</v>
      </c>
      <c r="U30" s="22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21" t="str">
        <f t="shared" si="5"/>
        <v>https://d0f6bd738d7f1b3e5a7ca70fe4ff75f0.us-east-1.aws.found.io/app/kibana#/discover/Steve-Slow-Train-Analysis-(2080s-and-2083s)?_g=(refreshInterval:(display:Off,pause:!f,section:0,value:0),time:(from:'2017-12-12T05:37:52-0700',mode:absolute,to:'2017-12-12T08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222" t="str">
        <f>IF(AA30&lt;VLOOKUP(AG30,Variables!$AC$3:$AD$8,2,FALSE),"Y","N")</f>
        <v>N</v>
      </c>
      <c r="X30" s="222">
        <f t="shared" si="33"/>
        <v>1</v>
      </c>
      <c r="Y30" s="222">
        <f t="shared" si="31"/>
        <v>23.290600000000001</v>
      </c>
      <c r="Z30" s="222">
        <f t="shared" si="32"/>
        <v>2.2100000000000002E-2</v>
      </c>
      <c r="AA30" s="222">
        <f t="shared" si="9"/>
        <v>23.268500000000003</v>
      </c>
      <c r="AB30" s="231" t="e">
        <f>VLOOKUP(A30,Enforcements!$C$7:$K$9,8,0)</f>
        <v>#N/A</v>
      </c>
      <c r="AC30" s="231" t="e">
        <f>VLOOKUP(A30,Enforcements!$C$7:$E$9,3,0)</f>
        <v>#N/A</v>
      </c>
      <c r="AD30" s="232">
        <f t="shared" si="10"/>
        <v>118</v>
      </c>
      <c r="AE30" s="233" t="str">
        <f t="shared" si="11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30" s="234" t="str">
        <f t="shared" si="12"/>
        <v>"C:\Program Files (x86)\AstroGrep\AstroGrep.exe" /e /r /s /spath="%USERPROFILE%\AppData\Local\Temp\OnboardLogs" /stypes="app*4009*20171212*" /stext=" 14:.+((SYSTEM_STATE.+slice.+state.+changed )|(ment ac)|(multiple cpu faults)|(system.+state.+changed )|(\[timeout)|(PRM\|1\|D)|(kpr)|(kdp)|(train st.+moving)|(\|lc)|(penalty))"</v>
      </c>
      <c r="AG30" s="226" t="str">
        <f t="shared" si="13"/>
        <v>EC</v>
      </c>
      <c r="AH30" s="189" t="str">
        <f t="shared" si="19"/>
        <v>"%USERPROFILE%\Documents\GitHub\eaglep3\Utilities\RefineRTDCRunTimes.py" --tripid 118-12 --locoid 4009 --swversion DE.1.0.9.0 --startMP 204:232906 --initTime 2017-12-12T06:37:52 --startdatetime 2017-12-12T06:42:37 --delay 92 --endMP 204:221 --enddatetime 2017-12-12T07:20:14 --enforcementcount 0 &gt;&gt;%USERPROFILE%\Documents\GitHub\eaglep3-reporting\EC\2017-12-12-refined-times.txt</v>
      </c>
      <c r="AI30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{"issue":{"subject":"","project_id":79,"tracker_id":40,"status_id":1,"priority_id":2,"assigned_to_id":338,"start_date":"2017-12-12","description":"","custom_fields":[{"id":1,"name":"Subdivision","value":"EC"},{"id":4,"name":"Milepost","value":"0.0221"},{"id":17,"name":"Train ID","value":"118-12"},{"id":16,"name":"Locomotive ID","value":"4009"},{"id":130,"name":"Impact","value":""},{"id":150,"name":"Time of Event (Mountain Time)","value":"07:20:14"},{"id":151,"name":"Denver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180"/>
      <c r="AK30" s="188"/>
      <c r="AL30" s="188"/>
      <c r="AM30" s="193" t="str">
        <f t="shared" si="21"/>
        <v>start /low /b %USERPROFILE%\Documents\GitHub\eaglep3\Utilities\DownloadLogsFromS3.py --loco 4009 --day 2017-12-12</v>
      </c>
      <c r="AN30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87" t="str">
        <f t="shared" si="23"/>
        <v>https://d0f6bd738d7f1b3e5a7ca70fe4ff75f0.us-east-1.aws.found.io/app/kibana#/discover/Steve-Slow-Train-Analysis-(2080s-and-2083s)?_g=(refreshInterval:(display:Off,pause:!f,section:0,value:0),time:(from:'2017-12-12T05:37:52-0700',mode:absolute,to:'2017-12-12T08:20:14-0700'))&amp;_a=(columns:!('Message%20ID',Summary),filters:!(),index:'emp_*',interval:auto,query:(query_string:(analyze_wildcard:!t,query:'%22rtdc.l.rtdc.4009%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186" t="s">
        <v>725</v>
      </c>
      <c r="B31" s="182">
        <v>4030</v>
      </c>
      <c r="C31" s="184" t="s">
        <v>192</v>
      </c>
      <c r="D31" s="184" t="s">
        <v>466</v>
      </c>
      <c r="E31" s="183">
        <v>43081.247974537036</v>
      </c>
      <c r="F31" s="183">
        <v>43081.252233796295</v>
      </c>
      <c r="G31" s="182">
        <v>63</v>
      </c>
      <c r="H31" s="184" t="s">
        <v>926</v>
      </c>
      <c r="I31" s="183">
        <v>43081.277511574073</v>
      </c>
      <c r="J31" s="182">
        <v>0</v>
      </c>
      <c r="K31" s="190" t="str">
        <f t="shared" si="0"/>
        <v>4029/4030</v>
      </c>
      <c r="L31" s="196" t="str">
        <f>VLOOKUP(A31,'Trips&amp;Operators'!$C$1:$G$99911,5,FALSE)</f>
        <v>THOMPSON LESTER</v>
      </c>
      <c r="M31" s="181">
        <f t="shared" si="1"/>
        <v>2.527777777868323E-2</v>
      </c>
      <c r="N31" s="182">
        <f t="shared" si="29"/>
        <v>36.400000001303852</v>
      </c>
      <c r="O31" s="182"/>
      <c r="P31" s="182"/>
      <c r="Q31" s="185"/>
      <c r="R31" s="197"/>
      <c r="S31" s="241">
        <f t="shared" si="3"/>
        <v>1</v>
      </c>
      <c r="T31" s="220" t="str">
        <f t="shared" si="4"/>
        <v>NorthBound</v>
      </c>
      <c r="U31" s="22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21" t="str">
        <f t="shared" si="5"/>
        <v>https://d0f6bd738d7f1b3e5a7ca70fe4ff75f0.us-east-1.aws.found.io/app/kibana#/discover/Steve-Slow-Train-Analysis-(2080s-and-2083s)?_g=(refreshInterval:(display:Off,pause:!f,section:0,value:0),time:(from:'2017-12-12T04:57:05-0700',mode:absolute,to:'2017-12-12T07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222" t="str">
        <f>IF(AA31&lt;VLOOKUP(AG31,Variables!$AC$3:$AD$8,2,FALSE),"Y","N")</f>
        <v>N</v>
      </c>
      <c r="X31" s="222">
        <f t="shared" si="33"/>
        <v>1</v>
      </c>
      <c r="Y31" s="222">
        <f t="shared" si="31"/>
        <v>4.7800000000000002E-2</v>
      </c>
      <c r="Z31" s="222">
        <f t="shared" si="32"/>
        <v>23.3276</v>
      </c>
      <c r="AA31" s="222">
        <f t="shared" si="9"/>
        <v>23.279800000000002</v>
      </c>
      <c r="AB31" s="231" t="e">
        <f>VLOOKUP(A31,Enforcements!$C$7:$K$9,8,0)</f>
        <v>#N/A</v>
      </c>
      <c r="AC31" s="231" t="e">
        <f>VLOOKUP(A31,Enforcements!$C$7:$E$9,3,0)</f>
        <v>#N/A</v>
      </c>
      <c r="AD31" s="232">
        <f t="shared" si="10"/>
        <v>119</v>
      </c>
      <c r="AE31" s="233" t="str">
        <f t="shared" si="11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31" s="234" t="str">
        <f t="shared" si="12"/>
        <v>"C:\Program Files (x86)\AstroGrep\AstroGrep.exe" /e /r /s /spath="%USERPROFILE%\AppData\Local\Temp\OnboardLogs" /stypes="app*4030*20171212*" /stext=" 13:.+((SYSTEM_STATE.+slice.+state.+changed )|(ment ac)|(multiple cpu faults)|(system.+state.+changed )|(\[timeout)|(PRM\|1\|D)|(kpr)|(kdp)|(train st.+moving)|(\|lc)|(penalty))"</v>
      </c>
      <c r="AG31" s="226" t="str">
        <f t="shared" si="13"/>
        <v>EC</v>
      </c>
      <c r="AH31" s="189" t="str">
        <f t="shared" si="19"/>
        <v>"%USERPROFILE%\Documents\GitHub\eaglep3\Utilities\RefineRTDCRunTimes.py" --tripid 119-12 --locoid 4030 --swversion DE.1.0.9.0 --startMP 204:478 --initTime 2017-12-12T05:57:05 --startdatetime 2017-12-12T06:03:13 --delay 63 --endMP 204:233276 --enddatetime 2017-12-12T06:39:37 --enforcementcount 0 &gt;&gt;%USERPROFILE%\Documents\GitHub\eaglep3-reporting\EC\2017-12-12-refined-times.txt</v>
      </c>
      <c r="AI31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{"issue":{"subject":"","project_id":79,"tracker_id":40,"status_id":1,"priority_id":2,"assigned_to_id":338,"start_date":"2017-12-12","description":"","custom_fields":[{"id":1,"name":"Subdivision","value":"EC"},{"id":4,"name":"Milepost","value":"23.3276"},{"id":17,"name":"Train ID","value":"119-12"},{"id":16,"name":"Locomotive ID","value":"4030"},{"id":130,"name":"Impact","value":""},{"id":150,"name":"Time of Event (Mountain Time)","value":"06:39:37"},{"id":151,"name":"Denver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180"/>
      <c r="AK31" s="188"/>
      <c r="AL31" s="188"/>
      <c r="AM31" s="193" t="str">
        <f t="shared" si="21"/>
        <v>start /low /b %USERPROFILE%\Documents\GitHub\eaglep3\Utilities\DownloadLogsFromS3.py --loco 4030 --day 2017-12-12</v>
      </c>
      <c r="AN31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87" t="str">
        <f t="shared" si="23"/>
        <v>https://d0f6bd738d7f1b3e5a7ca70fe4ff75f0.us-east-1.aws.found.io/app/kibana#/discover/Steve-Slow-Train-Analysis-(2080s-and-2083s)?_g=(refreshInterval:(display:Off,pause:!f,section:0,value:0),time:(from:'2017-12-12T04:57:05-0700',mode:absolute,to:'2017-12-12T07:39:37-0700'))&amp;_a=(columns:!('Message%20ID',Summary),filters:!(),index:'emp_*',interval:auto,query:(query_string:(analyze_wildcard:!t,query:'%22rtdc.l.rtdc.4030%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186" t="s">
        <v>672</v>
      </c>
      <c r="B32" s="182">
        <v>4029</v>
      </c>
      <c r="C32" s="184" t="s">
        <v>192</v>
      </c>
      <c r="D32" s="184" t="s">
        <v>927</v>
      </c>
      <c r="E32" s="183">
        <v>43081.288726851853</v>
      </c>
      <c r="F32" s="183">
        <v>43081.290243055555</v>
      </c>
      <c r="G32" s="182">
        <v>56</v>
      </c>
      <c r="H32" s="184" t="s">
        <v>497</v>
      </c>
      <c r="I32" s="183">
        <v>43081.318344907406</v>
      </c>
      <c r="J32" s="182">
        <v>0</v>
      </c>
      <c r="K32" s="190" t="str">
        <f t="shared" si="0"/>
        <v>4029/4030</v>
      </c>
      <c r="L32" s="196" t="str">
        <f>VLOOKUP(A32,'Trips&amp;Operators'!$C$1:$G$99911,5,FALSE)</f>
        <v>THOMPSON LESTER</v>
      </c>
      <c r="M32" s="181">
        <f t="shared" si="1"/>
        <v>2.810185185080627E-2</v>
      </c>
      <c r="N32" s="182">
        <f t="shared" si="29"/>
        <v>40.466666665161029</v>
      </c>
      <c r="O32" s="182"/>
      <c r="P32" s="182"/>
      <c r="Q32" s="185"/>
      <c r="R32" s="197"/>
      <c r="S32" s="241">
        <f t="shared" si="3"/>
        <v>1</v>
      </c>
      <c r="T32" s="220" t="str">
        <f t="shared" si="4"/>
        <v>Southbound</v>
      </c>
      <c r="U32" s="22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1" t="str">
        <f t="shared" si="5"/>
        <v>https://d0f6bd738d7f1b3e5a7ca70fe4ff75f0.us-east-1.aws.found.io/app/kibana#/discover/Steve-Slow-Train-Analysis-(2080s-and-2083s)?_g=(refreshInterval:(display:Off,pause:!f,section:0,value:0),time:(from:'2017-12-12T05:55:46-0700',mode:absolute,to:'2017-12-12T08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222" t="str">
        <f>IF(AA32&lt;VLOOKUP(AG32,Variables!$AC$3:$AD$8,2,FALSE),"Y","N")</f>
        <v>N</v>
      </c>
      <c r="X32" s="222">
        <f t="shared" si="33"/>
        <v>1</v>
      </c>
      <c r="Y32" s="222">
        <f t="shared" si="31"/>
        <v>23.2959</v>
      </c>
      <c r="Z32" s="222">
        <f t="shared" si="32"/>
        <v>1.8700000000000001E-2</v>
      </c>
      <c r="AA32" s="222">
        <f t="shared" si="9"/>
        <v>23.277200000000001</v>
      </c>
      <c r="AB32" s="231" t="e">
        <f>VLOOKUP(A32,Enforcements!$C$7:$K$9,8,0)</f>
        <v>#N/A</v>
      </c>
      <c r="AC32" s="231" t="e">
        <f>VLOOKUP(A32,Enforcements!$C$7:$E$9,3,0)</f>
        <v>#N/A</v>
      </c>
      <c r="AD32" s="232">
        <f t="shared" si="10"/>
        <v>120</v>
      </c>
      <c r="AE32" s="233" t="str">
        <f t="shared" si="11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32" s="234" t="str">
        <f t="shared" si="12"/>
        <v>"C:\Program Files (x86)\AstroGrep\AstroGrep.exe" /e /r /s /spath="%USERPROFILE%\AppData\Local\Temp\OnboardLogs" /stypes="app*4029*20171212*" /stext=" 14:.+((SYSTEM_STATE.+slice.+state.+changed )|(ment ac)|(multiple cpu faults)|(system.+state.+changed )|(\[timeout)|(PRM\|1\|D)|(kpr)|(kdp)|(train st.+moving)|(\|lc)|(penalty))"</v>
      </c>
      <c r="AG32" s="226" t="str">
        <f t="shared" si="13"/>
        <v>EC</v>
      </c>
      <c r="AH32" s="189" t="str">
        <f t="shared" si="19"/>
        <v>"%USERPROFILE%\Documents\GitHub\eaglep3\Utilities\RefineRTDCRunTimes.py" --tripid 120-12 --locoid 4029 --swversion DE.1.0.9.0 --startMP 204:232959 --initTime 2017-12-12T06:55:46 --startdatetime 2017-12-12T06:57:57 --delay 56 --endMP 204:187 --enddatetime 2017-12-12T07:38:25 --enforcementcount 0 &gt;&gt;%USERPROFILE%\Documents\GitHub\eaglep3-reporting\EC\2017-12-12-refined-times.txt</v>
      </c>
      <c r="AI32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{"issue":{"subject":"","project_id":79,"tracker_id":40,"status_id":1,"priority_id":2,"assigned_to_id":338,"start_date":"2017-12-12","description":"","custom_fields":[{"id":1,"name":"Subdivision","value":"EC"},{"id":4,"name":"Milepost","value":"0.0187"},{"id":17,"name":"Train ID","value":"120-12"},{"id":16,"name":"Locomotive ID","value":"4029"},{"id":130,"name":"Impact","value":""},{"id":150,"name":"Time of Event (Mountain Time)","value":"07:38:25"},{"id":151,"name":"Denver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180"/>
      <c r="AK32" s="188"/>
      <c r="AL32" s="188"/>
      <c r="AM32" s="193" t="str">
        <f t="shared" si="21"/>
        <v>start /low /b %USERPROFILE%\Documents\GitHub\eaglep3\Utilities\DownloadLogsFromS3.py --loco 4029 --day 2017-12-12</v>
      </c>
      <c r="AN32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87" t="str">
        <f t="shared" si="23"/>
        <v>https://d0f6bd738d7f1b3e5a7ca70fe4ff75f0.us-east-1.aws.found.io/app/kibana#/discover/Steve-Slow-Train-Analysis-(2080s-and-2083s)?_g=(refreshInterval:(display:Off,pause:!f,section:0,value:0),time:(from:'2017-12-12T05:55:46-0700',mode:absolute,to:'2017-12-12T08:38:25-0700'))&amp;_a=(columns:!('Message%20ID',Summary),filters:!(),index:'emp_*',interval:auto,query:(query_string:(analyze_wildcard:!t,query:'%22rtdc.l.rtdc.4029%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186" t="s">
        <v>726</v>
      </c>
      <c r="B33" s="182">
        <v>4016</v>
      </c>
      <c r="C33" s="184" t="s">
        <v>192</v>
      </c>
      <c r="D33" s="184" t="s">
        <v>928</v>
      </c>
      <c r="E33" s="183">
        <v>43081.253541666665</v>
      </c>
      <c r="F33" s="183">
        <v>43081.261770833335</v>
      </c>
      <c r="G33" s="182">
        <v>51</v>
      </c>
      <c r="H33" s="184" t="s">
        <v>629</v>
      </c>
      <c r="I33" s="183">
        <v>43081.285671296297</v>
      </c>
      <c r="J33" s="182">
        <v>0</v>
      </c>
      <c r="K33" s="190" t="str">
        <f t="shared" si="0"/>
        <v>4015/4016</v>
      </c>
      <c r="L33" s="196" t="str">
        <f>VLOOKUP(A33,'Trips&amp;Operators'!$C$1:$G$99911,5,FALSE)</f>
        <v>BEAM ROSS</v>
      </c>
      <c r="M33" s="181">
        <f t="shared" si="1"/>
        <v>2.3900462962046731E-2</v>
      </c>
      <c r="N33" s="182">
        <f t="shared" si="29"/>
        <v>34.416666665347293</v>
      </c>
      <c r="O33" s="182"/>
      <c r="P33" s="182"/>
      <c r="Q33" s="185"/>
      <c r="R33" s="197"/>
      <c r="S33" s="241">
        <f t="shared" si="3"/>
        <v>1</v>
      </c>
      <c r="T33" s="220" t="str">
        <f t="shared" si="4"/>
        <v>NorthBound</v>
      </c>
      <c r="U33" s="22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1" t="str">
        <f t="shared" si="5"/>
        <v>https://d0f6bd738d7f1b3e5a7ca70fe4ff75f0.us-east-1.aws.found.io/app/kibana#/discover/Steve-Slow-Train-Analysis-(2080s-and-2083s)?_g=(refreshInterval:(display:Off,pause:!f,section:0,value:0),time:(from:'2017-12-12T05:05:06-0700',mode:absolute,to:'2017-12-12T07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22" t="str">
        <f>IF(AA33&lt;VLOOKUP(AG33,Variables!$AC$3:$AD$8,2,FALSE),"Y","N")</f>
        <v>N</v>
      </c>
      <c r="X33" s="222">
        <f t="shared" si="33"/>
        <v>1</v>
      </c>
      <c r="Y33" s="222">
        <f t="shared" si="31"/>
        <v>4.58E-2</v>
      </c>
      <c r="Z33" s="222">
        <f t="shared" si="32"/>
        <v>23.331</v>
      </c>
      <c r="AA33" s="222">
        <f t="shared" si="9"/>
        <v>23.2852</v>
      </c>
      <c r="AB33" s="231" t="e">
        <f>VLOOKUP(A33,Enforcements!$C$7:$K$9,8,0)</f>
        <v>#N/A</v>
      </c>
      <c r="AC33" s="231" t="e">
        <f>VLOOKUP(A33,Enforcements!$C$7:$E$9,3,0)</f>
        <v>#N/A</v>
      </c>
      <c r="AD33" s="232">
        <f t="shared" si="10"/>
        <v>121</v>
      </c>
      <c r="AE33" s="233" t="str">
        <f t="shared" si="11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33" s="234" t="str">
        <f t="shared" si="12"/>
        <v>"C:\Program Files (x86)\AstroGrep\AstroGrep.exe" /e /r /s /spath="%USERPROFILE%\AppData\Local\Temp\OnboardLogs" /stypes="app*4016*20171212*" /stext=" 13:.+((SYSTEM_STATE.+slice.+state.+changed )|(ment ac)|(multiple cpu faults)|(system.+state.+changed )|(\[timeout)|(PRM\|1\|D)|(kpr)|(kdp)|(train st.+moving)|(\|lc)|(penalty))"</v>
      </c>
      <c r="AG33" s="226" t="str">
        <f t="shared" si="13"/>
        <v>EC</v>
      </c>
      <c r="AH33" s="189" t="str">
        <f t="shared" si="19"/>
        <v>"%USERPROFILE%\Documents\GitHub\eaglep3\Utilities\RefineRTDCRunTimes.py" --tripid 121-12 --locoid 4016 --swversion DE.1.0.9.0 --startMP 204:458 --initTime 2017-12-12T06:05:06 --startdatetime 2017-12-12T06:16:57 --delay 51 --endMP 204:233310 --enddatetime 2017-12-12T06:51:22 --enforcementcount 0 &gt;&gt;%USERPROFILE%\Documents\GitHub\eaglep3-reporting\EC\2017-12-12-refined-times.txt</v>
      </c>
      <c r="AI33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{"issue":{"subject":"","project_id":79,"tracker_id":40,"status_id":1,"priority_id":2,"assigned_to_id":338,"start_date":"2017-12-12","description":"","custom_fields":[{"id":1,"name":"Subdivision","value":"EC"},{"id":4,"name":"Milepost","value":"23.331"},{"id":17,"name":"Train ID","value":"121-12"},{"id":16,"name":"Locomotive ID","value":"4016"},{"id":130,"name":"Impact","value":""},{"id":150,"name":"Time of Event (Mountain Time)","value":"06:51:22"},{"id":151,"name":"Denver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180"/>
      <c r="AK33" s="188"/>
      <c r="AL33" s="188"/>
      <c r="AM33" s="193" t="str">
        <f t="shared" si="21"/>
        <v>start /low /b %USERPROFILE%\Documents\GitHub\eaglep3\Utilities\DownloadLogsFromS3.py --loco 4016 --day 2017-12-12</v>
      </c>
      <c r="AN33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87" t="str">
        <f t="shared" si="23"/>
        <v>https://d0f6bd738d7f1b3e5a7ca70fe4ff75f0.us-east-1.aws.found.io/app/kibana#/discover/Steve-Slow-Train-Analysis-(2080s-and-2083s)?_g=(refreshInterval:(display:Off,pause:!f,section:0,value:0),time:(from:'2017-12-12T05:05:06-0700',mode:absolute,to:'2017-12-12T07:51:22-0700'))&amp;_a=(columns:!('Message%20ID',Summary),filters:!(),index:'emp_*',interval:auto,query:(query_string:(analyze_wildcard:!t,query:'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186" t="s">
        <v>731</v>
      </c>
      <c r="B34" s="182">
        <v>4015</v>
      </c>
      <c r="C34" s="184" t="s">
        <v>192</v>
      </c>
      <c r="D34" s="184" t="s">
        <v>621</v>
      </c>
      <c r="E34" s="183">
        <v>43081.286631944444</v>
      </c>
      <c r="F34" s="183">
        <v>43081.300312500003</v>
      </c>
      <c r="G34" s="182">
        <v>51</v>
      </c>
      <c r="H34" s="184" t="s">
        <v>929</v>
      </c>
      <c r="I34" s="183">
        <v>43081.325740740744</v>
      </c>
      <c r="J34" s="182">
        <v>0</v>
      </c>
      <c r="K34" s="190" t="str">
        <f t="shared" si="0"/>
        <v>4015/4016</v>
      </c>
      <c r="L34" s="196" t="str">
        <f>VLOOKUP(A34,'Trips&amp;Operators'!$C$1:$G$99911,5,FALSE)</f>
        <v>BEAM ROSS</v>
      </c>
      <c r="M34" s="181">
        <f t="shared" si="1"/>
        <v>2.5428240740438923E-2</v>
      </c>
      <c r="N34" s="182">
        <f t="shared" si="29"/>
        <v>36.616666666232049</v>
      </c>
      <c r="O34" s="182"/>
      <c r="P34" s="182"/>
      <c r="Q34" s="185"/>
      <c r="R34" s="197"/>
      <c r="S34" s="241">
        <f t="shared" si="3"/>
        <v>1</v>
      </c>
      <c r="T34" s="220" t="str">
        <f t="shared" si="4"/>
        <v>Southbound</v>
      </c>
      <c r="U34" s="22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1" t="str">
        <f t="shared" si="5"/>
        <v>https://d0f6bd738d7f1b3e5a7ca70fe4ff75f0.us-east-1.aws.found.io/app/kibana#/discover/Steve-Slow-Train-Analysis-(2080s-and-2083s)?_g=(refreshInterval:(display:Off,pause:!f,section:0,value:0),time:(from:'2017-12-12T05:52:45-0700',mode:absolute,to:'2017-12-12T08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22" t="str">
        <f>IF(AA34&lt;VLOOKUP(AG34,Variables!$AC$3:$AD$8,2,FALSE),"Y","N")</f>
        <v>N</v>
      </c>
      <c r="X34" s="222">
        <f t="shared" si="33"/>
        <v>1</v>
      </c>
      <c r="Y34" s="222">
        <f t="shared" si="31"/>
        <v>23.3002</v>
      </c>
      <c r="Z34" s="222">
        <f t="shared" si="32"/>
        <v>1.54E-2</v>
      </c>
      <c r="AA34" s="222">
        <f t="shared" si="9"/>
        <v>23.284800000000001</v>
      </c>
      <c r="AB34" s="231" t="e">
        <f>VLOOKUP(A34,Enforcements!$C$7:$K$9,8,0)</f>
        <v>#N/A</v>
      </c>
      <c r="AC34" s="231" t="e">
        <f>VLOOKUP(A34,Enforcements!$C$7:$E$9,3,0)</f>
        <v>#N/A</v>
      </c>
      <c r="AD34" s="232">
        <f t="shared" si="10"/>
        <v>122</v>
      </c>
      <c r="AE34" s="233" t="str">
        <f t="shared" si="11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34" s="234" t="str">
        <f t="shared" si="12"/>
        <v>"C:\Program Files (x86)\AstroGrep\AstroGrep.exe" /e /r /s /spath="%USERPROFILE%\AppData\Local\Temp\OnboardLogs" /stypes="app*4015*20171212*" /stext=" 14:.+((SYSTEM_STATE.+slice.+state.+changed )|(ment ac)|(multiple cpu faults)|(system.+state.+changed )|(\[timeout)|(PRM\|1\|D)|(kpr)|(kdp)|(train st.+moving)|(\|lc)|(penalty))"</v>
      </c>
      <c r="AG34" s="226" t="str">
        <f t="shared" si="13"/>
        <v>EC</v>
      </c>
      <c r="AH34" s="189" t="str">
        <f t="shared" si="19"/>
        <v>"%USERPROFILE%\Documents\GitHub\eaglep3\Utilities\RefineRTDCRunTimes.py" --tripid 122-12 --locoid 4015 --swversion DE.1.0.9.0 --startMP 204:233002 --initTime 2017-12-12T06:52:45 --startdatetime 2017-12-12T07:12:27 --delay 51 --endMP 204:154 --enddatetime 2017-12-12T07:49:04 --enforcementcount 0 &gt;&gt;%USERPROFILE%\Documents\GitHub\eaglep3-reporting\EC\2017-12-12-refined-times.txt</v>
      </c>
      <c r="AI34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{"issue":{"subject":"","project_id":79,"tracker_id":40,"status_id":1,"priority_id":2,"assigned_to_id":338,"start_date":"2017-12-12","description":"","custom_fields":[{"id":1,"name":"Subdivision","value":"EC"},{"id":4,"name":"Milepost","value":"0.0154"},{"id":17,"name":"Train ID","value":"122-12"},{"id":16,"name":"Locomotive ID","value":"4015"},{"id":130,"name":"Impact","value":""},{"id":150,"name":"Time of Event (Mountain Time)","value":"07:49:04"},{"id":151,"name":"Denver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180"/>
      <c r="AK34" s="188"/>
      <c r="AL34" s="188"/>
      <c r="AM34" s="193" t="str">
        <f t="shared" si="21"/>
        <v>start /low /b %USERPROFILE%\Documents\GitHub\eaglep3\Utilities\DownloadLogsFromS3.py --loco 4015 --day 2017-12-12</v>
      </c>
      <c r="AN34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87" t="str">
        <f t="shared" si="23"/>
        <v>https://d0f6bd738d7f1b3e5a7ca70fe4ff75f0.us-east-1.aws.found.io/app/kibana#/discover/Steve-Slow-Train-Analysis-(2080s-and-2083s)?_g=(refreshInterval:(display:Off,pause:!f,section:0,value:0),time:(from:'2017-12-12T05:52:45-0700',mode:absolute,to:'2017-12-12T08:49:04-0700'))&amp;_a=(columns:!('Message%20ID',Summary),filters:!(),index:'emp_*',interval:auto,query:(query_string:(analyze_wildcard:!t,query:'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186" t="s">
        <v>1083</v>
      </c>
      <c r="B35" s="182">
        <v>4058</v>
      </c>
      <c r="C35" s="184" t="s">
        <v>192</v>
      </c>
      <c r="D35" s="184" t="s">
        <v>621</v>
      </c>
      <c r="E35" s="183">
        <v>43081.286631944444</v>
      </c>
      <c r="F35" s="183"/>
      <c r="G35" s="182">
        <v>51</v>
      </c>
      <c r="H35" s="184" t="s">
        <v>929</v>
      </c>
      <c r="I35" s="183"/>
      <c r="J35" s="182">
        <v>0</v>
      </c>
      <c r="K35" s="190" t="str">
        <f t="shared" si="0"/>
        <v>4057/4058</v>
      </c>
      <c r="L35" s="196"/>
      <c r="M35" s="181">
        <f t="shared" si="1"/>
        <v>0</v>
      </c>
      <c r="N35" s="182"/>
      <c r="O35" s="182"/>
      <c r="P35" s="182">
        <v>1</v>
      </c>
      <c r="Q35" s="185"/>
      <c r="R35" s="197" t="s">
        <v>1085</v>
      </c>
      <c r="S35" s="241">
        <f t="shared" si="3"/>
        <v>0</v>
      </c>
      <c r="T35" s="220" t="str">
        <f t="shared" si="4"/>
        <v>NorthBound</v>
      </c>
      <c r="U35" s="22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221" t="str">
        <f t="shared" si="5"/>
        <v>https://d0f6bd738d7f1b3e5a7ca70fe4ff75f0.us-east-1.aws.found.io/app/kibana#/discover/Steve-Slow-Train-Analysis-(2080s-and-2083s)?_g=(refreshInterval:(display:Off,pause:!f,section:0,value:0),time:(from:'2017-12-12T05:52:45-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222" t="str">
        <f>IF(AA35&lt;VLOOKUP(AG35,Variables!$AC$3:$AD$8,2,FALSE),"Y","N")</f>
        <v>N</v>
      </c>
      <c r="X35" s="222">
        <f t="shared" si="33"/>
        <v>1</v>
      </c>
      <c r="Y35" s="222">
        <f t="shared" si="31"/>
        <v>23.3002</v>
      </c>
      <c r="Z35" s="222">
        <f t="shared" si="32"/>
        <v>1.54E-2</v>
      </c>
      <c r="AA35" s="222">
        <f t="shared" si="9"/>
        <v>23.284800000000001</v>
      </c>
      <c r="AB35" s="231" t="e">
        <f>VLOOKUP(A35,Enforcements!$C$7:$K$9,8,0)</f>
        <v>#N/A</v>
      </c>
      <c r="AC35" s="231" t="e">
        <f>VLOOKUP(A35,Enforcements!$C$7:$E$9,3,0)</f>
        <v>#N/A</v>
      </c>
      <c r="AD35" s="232">
        <f t="shared" si="10"/>
        <v>123</v>
      </c>
      <c r="AE35" s="233" t="str">
        <f t="shared" si="11"/>
        <v>aws s3 cp s3://rtdc.mdm.uploadarchive.raw/RTDC4058/ "%USERPROFILE%\AppData\Local\Temp\OnboardLogs"\RTDC4058\1900-01-00 --exclude "*" --recursive --include "*19000100*" &amp; "%USERPROFILE%\Documents\GitHub\mrs-test-scripts\Headless Mode &amp; Sideloading\WalkAndUnGZ.bat" "%USERPROFILE%\AppData\Local\Temp\OnboardLogs"\RTDC4058\1900-01-00 &amp; aws s3 cp s3://rtdc.mdm.uploadarchive.raw/RTDC4058/ "%USERPROFILE%\AppData\Local\Temp\OnboardLogs"\RTDC4058\1900-01-01 --exclude "*" --recursive --include "*19000101*" &amp; "%USERPROFILE%\Documents\GitHub\mrs-test-scripts\Headless Mode &amp; Sideloading\WalkAndUnGZ.bat" "%USERPROFILE%\AppData\Local\Temp\OnboardLogs"\RTDC4058\1900-01-01</v>
      </c>
      <c r="AF35" s="234" t="str">
        <f t="shared" si="12"/>
        <v>"C:\Program Files (x86)\AstroGrep\AstroGrep.exe" /e /r /s /spath="%USERPROFILE%\AppData\Local\Temp\OnboardLogs" /stypes="app*4058*19000100*" /stext=" 07:.+((SYSTEM_STATE.+slice.+state.+changed )|(ment ac)|(multiple cpu faults)|(system.+state.+changed )|(\[timeout)|(PRM\|1\|D)|(kpr)|(kdp)|(train st.+moving)|(\|lc)|(penalty))"</v>
      </c>
      <c r="AG35" s="226" t="str">
        <f t="shared" si="13"/>
        <v>EC</v>
      </c>
      <c r="AH35" s="189" t="str">
        <f t="shared" ref="AH35" si="34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123-12 --locoid 4058 --swversion DE.1.0.9.0 --startMP 204:233002 --initTime 2017-12-12T06:52:45 --startdatetime 1900-01-00T00:00:00 --delay 51 --endMP 204:154 --enddatetime 1900-01-00T00:00:00 --enforcementcount 0 &gt;&gt;%USERPROFILE%\Documents\GitHub\eaglep3-reporting\EC\2017-12-12-refined-times.txt</v>
      </c>
      <c r="AI35" s="191" t="str">
        <f t="shared" ref="AI35" si="35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--insecure -X POST -H ""Content-Type: application/json"" -H ""X-Redmine-API-Key: "&amp;redm_api_key&amp;""" "&amp;redm_url&amp;" --data @-"</f>
        <v>echo {"issue":{"subject":"Did not init - extended onboard Wi-MAX data drop","project_id":79,"tracker_id":40,"status_id":1,"priority_id":2,"assigned_to_id":338,"start_date":"1900-01-00","description":"","custom_fields":[{"id":1,"name":"Subdivision","value":"EC"},{"id":4,"name":"Milepost","value":"0.0154"},{"id":17,"name":"Train ID","value":"123-12"},{"id":16,"name":"Locomotive ID","value":"4058"},{"id":130,"name":"Impact","value":""},{"id":150,"name":"Time of Event (Mountain Time)","value":"00:00:00"},{"id":151,"name":"Denver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180"/>
      <c r="AK35" s="188"/>
      <c r="AL35" s="188"/>
      <c r="AM35" s="193" t="str">
        <f t="shared" ref="AM35" si="36">"start /low /b "&amp;dls3logs&amp;" --loco "&amp;B35&amp;" --day "&amp;TEXT(F35,"YYYY-MM-DD")</f>
        <v>start /low /b %USERPROFILE%\Documents\GitHub\eaglep3\Utilities\DownloadLogsFromS3.py --loco 4058 --day 1900-01-00</v>
      </c>
      <c r="AN35" s="194" t="str">
        <f t="shared" ref="AN35" si="37"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extended onboard Wi-MAX data drop","project_id":30,"tracker_id":4,"status_id":1,"priority_id":1,"assigned_to_id":10,"start_date":"1900-01-00","description":"","custom_fields":[{"id":30,"name":"Category","value":"Issue"},{"id":3,"name":"Functional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07:00:00"},{"id":29,"name":"Sharepoint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87" t="str">
        <f t="shared" ref="AO35" si="38"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-12T05:52:45-0700',mode:absolute,to:'1900-01-00T01:00:00-0700'))&amp;_a=(columns:!('Message%20ID',Summary),filters:!(),index:'emp_*',interval:auto,query:(query_string:(analyze_wildcard:!t,query:'%22rtdc.l.rtdc.4058%22')),sort:!(Time.ISO8601,asc))</v>
      </c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L35" s="180"/>
      <c r="BM35" s="180"/>
      <c r="BN35" s="180"/>
      <c r="BO35" s="180"/>
      <c r="BP35" s="180"/>
      <c r="BQ35" s="180"/>
      <c r="BR35" s="180"/>
      <c r="BS35" s="180"/>
      <c r="BT35" s="180"/>
      <c r="BU35" s="180"/>
      <c r="BV35" s="180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K35" s="180"/>
      <c r="CL35" s="180"/>
      <c r="CM35" s="180"/>
    </row>
    <row r="36" spans="1:91" s="1" customFormat="1" x14ac:dyDescent="0.25">
      <c r="A36" s="186" t="s">
        <v>737</v>
      </c>
      <c r="B36" s="182">
        <v>4057</v>
      </c>
      <c r="C36" s="184" t="s">
        <v>192</v>
      </c>
      <c r="D36" s="184" t="s">
        <v>930</v>
      </c>
      <c r="E36" s="183">
        <v>43081.307928240742</v>
      </c>
      <c r="F36" s="183">
        <v>43081.310590277775</v>
      </c>
      <c r="G36" s="182">
        <v>71</v>
      </c>
      <c r="H36" s="184" t="s">
        <v>931</v>
      </c>
      <c r="I36" s="183">
        <v>43081.336736111109</v>
      </c>
      <c r="J36" s="182">
        <v>0</v>
      </c>
      <c r="K36" s="190" t="str">
        <f t="shared" si="0"/>
        <v>4057/4058</v>
      </c>
      <c r="L36" s="196" t="str">
        <f>VLOOKUP(A36,'Trips&amp;Operators'!$C$1:$G$99911,5,FALSE)</f>
        <v>LAMAR NEKESHA</v>
      </c>
      <c r="M36" s="181">
        <f t="shared" si="1"/>
        <v>2.6145833333430346E-2</v>
      </c>
      <c r="N36" s="182">
        <f t="shared" ref="N36:N42" si="39">24*60*SUM($M36:$M36)</f>
        <v>37.650000000139698</v>
      </c>
      <c r="O36" s="182"/>
      <c r="P36" s="182"/>
      <c r="Q36" s="185"/>
      <c r="R36" s="197"/>
      <c r="S36" s="241">
        <f t="shared" si="3"/>
        <v>1</v>
      </c>
      <c r="T36" s="220" t="str">
        <f t="shared" si="4"/>
        <v>Southbound</v>
      </c>
      <c r="U36" s="22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1" t="str">
        <f t="shared" si="5"/>
        <v>https://d0f6bd738d7f1b3e5a7ca70fe4ff75f0.us-east-1.aws.found.io/app/kibana#/discover/Steve-Slow-Train-Analysis-(2080s-and-2083s)?_g=(refreshInterval:(display:Off,pause:!f,section:0,value:0),time:(from:'2017-12-12T06:23:25-0700',mode:absolute,to:'2017-12-12T09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222" t="str">
        <f>IF(AA36&lt;VLOOKUP(AG36,Variables!$AC$3:$AD$8,2,FALSE),"Y","N")</f>
        <v>N</v>
      </c>
      <c r="X36" s="222">
        <f t="shared" ref="X36:X37" si="40">VALUE(LEFT(AD36,4))-VALUE(LEFT(AD35,4))</f>
        <v>1</v>
      </c>
      <c r="Y36" s="222">
        <f t="shared" si="31"/>
        <v>23.297999999999998</v>
      </c>
      <c r="Z36" s="222">
        <f t="shared" si="32"/>
        <v>1.9599999999999999E-2</v>
      </c>
      <c r="AA36" s="222">
        <f t="shared" si="9"/>
        <v>23.278399999999998</v>
      </c>
      <c r="AB36" s="231" t="e">
        <f>VLOOKUP(A36,Enforcements!$C$7:$K$9,8,0)</f>
        <v>#N/A</v>
      </c>
      <c r="AC36" s="231" t="e">
        <f>VLOOKUP(A36,Enforcements!$C$7:$E$9,3,0)</f>
        <v>#N/A</v>
      </c>
      <c r="AD36" s="232">
        <f t="shared" si="10"/>
        <v>124</v>
      </c>
      <c r="AE36" s="233" t="str">
        <f t="shared" si="11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36" s="234" t="str">
        <f t="shared" si="12"/>
        <v>"C:\Program Files (x86)\AstroGrep\AstroGrep.exe" /e /r /s /spath="%USERPROFILE%\AppData\Local\Temp\OnboardLogs" /stypes="app*4057*20171212*" /stext=" 15:.+((SYSTEM_STATE.+slice.+state.+changed )|(ment ac)|(multiple cpu faults)|(system.+state.+changed )|(\[timeout)|(PRM\|1\|D)|(kpr)|(kdp)|(train st.+moving)|(\|lc)|(penalty))"</v>
      </c>
      <c r="AG36" s="226" t="str">
        <f t="shared" si="13"/>
        <v>EC</v>
      </c>
      <c r="AH36" s="189" t="str">
        <f t="shared" si="19"/>
        <v>"%USERPROFILE%\Documents\GitHub\eaglep3\Utilities\RefineRTDCRunTimes.py" --tripid 124-12 --locoid 4057 --swversion DE.1.0.9.0 --startMP 204:232980 --initTime 2017-12-12T07:23:25 --startdatetime 2017-12-12T07:27:15 --delay 71 --endMP 204:196 --enddatetime 2017-12-12T08:04:54 --enforcementcount 0 &gt;&gt;%USERPROFILE%\Documents\GitHub\eaglep3-reporting\EC\2017-12-12-refined-times.txt</v>
      </c>
      <c r="AI36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{"issue":{"subject":"","project_id":79,"tracker_id":40,"status_id":1,"priority_id":2,"assigned_to_id":338,"start_date":"2017-12-12","description":"","custom_fields":[{"id":1,"name":"Subdivision","value":"EC"},{"id":4,"name":"Milepost","value":"0.0196"},{"id":17,"name":"Train ID","value":"124-12"},{"id":16,"name":"Locomotive ID","value":"4057"},{"id":130,"name":"Impact","value":""},{"id":150,"name":"Time of Event (Mountain Time)","value":"08:04:54"},{"id":151,"name":"Denver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180"/>
      <c r="AK36" s="188"/>
      <c r="AL36" s="188"/>
      <c r="AM36" s="193" t="str">
        <f t="shared" si="21"/>
        <v>start /low /b %USERPROFILE%\Documents\GitHub\eaglep3\Utilities\DownloadLogsFromS3.py --loco 4057 --day 2017-12-12</v>
      </c>
      <c r="AN36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87" t="str">
        <f t="shared" si="23"/>
        <v>https://d0f6bd738d7f1b3e5a7ca70fe4ff75f0.us-east-1.aws.found.io/app/kibana#/discover/Steve-Slow-Train-Analysis-(2080s-and-2083s)?_g=(refreshInterval:(display:Off,pause:!f,section:0,value:0),time:(from:'2017-12-12T06:23:25-0700',mode:absolute,to:'2017-12-12T09:04:54-0700'))&amp;_a=(columns:!('Message%20ID',Summary),filters:!(),index:'emp_*',interval:auto,query:(query_string:(analyze_wildcard:!t,query:'%22rtdc.l.rtdc.4057%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186" t="s">
        <v>729</v>
      </c>
      <c r="B37" s="182">
        <v>4006</v>
      </c>
      <c r="C37" s="184" t="s">
        <v>192</v>
      </c>
      <c r="D37" s="184" t="s">
        <v>554</v>
      </c>
      <c r="E37" s="183">
        <v>43081.275034722225</v>
      </c>
      <c r="F37" s="183">
        <v>43081.281412037039</v>
      </c>
      <c r="G37" s="182">
        <v>45</v>
      </c>
      <c r="H37" s="184" t="s">
        <v>932</v>
      </c>
      <c r="I37" s="183">
        <v>43081.305717592593</v>
      </c>
      <c r="J37" s="182">
        <v>0</v>
      </c>
      <c r="K37" s="190" t="str">
        <f t="shared" si="0"/>
        <v>4005/4006</v>
      </c>
      <c r="L37" s="196" t="str">
        <f>VLOOKUP(A37,'Trips&amp;Operators'!$C$1:$G$99911,5,FALSE)</f>
        <v>YORK EDGAR</v>
      </c>
      <c r="M37" s="181">
        <f t="shared" si="1"/>
        <v>2.4305555554747116E-2</v>
      </c>
      <c r="N37" s="182">
        <f t="shared" si="39"/>
        <v>34.999999998835847</v>
      </c>
      <c r="O37" s="182"/>
      <c r="P37" s="182"/>
      <c r="Q37" s="185"/>
      <c r="R37" s="197"/>
      <c r="S37" s="241">
        <f t="shared" si="3"/>
        <v>1</v>
      </c>
      <c r="T37" s="220" t="str">
        <f t="shared" si="4"/>
        <v>NorthBound</v>
      </c>
      <c r="U37" s="22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1" t="str">
        <f t="shared" si="5"/>
        <v>https://d0f6bd738d7f1b3e5a7ca70fe4ff75f0.us-east-1.aws.found.io/app/kibana#/discover/Steve-Slow-Train-Analysis-(2080s-and-2083s)?_g=(refreshInterval:(display:Off,pause:!f,section:0,value:0),time:(from:'2017-12-12T05:36:03-0700',mode:absolute,to:'2017-12-12T08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222" t="str">
        <f>IF(AA37&lt;VLOOKUP(AG37,Variables!$AC$3:$AD$8,2,FALSE),"Y","N")</f>
        <v>N</v>
      </c>
      <c r="X37" s="222">
        <f t="shared" si="40"/>
        <v>1</v>
      </c>
      <c r="Y37" s="222">
        <f t="shared" si="31"/>
        <v>4.6199999999999998E-2</v>
      </c>
      <c r="Z37" s="222">
        <f t="shared" si="32"/>
        <v>23.328700000000001</v>
      </c>
      <c r="AA37" s="222">
        <f t="shared" si="9"/>
        <v>23.282500000000002</v>
      </c>
      <c r="AB37" s="231" t="e">
        <f>VLOOKUP(A37,Enforcements!$C$7:$K$9,8,0)</f>
        <v>#N/A</v>
      </c>
      <c r="AC37" s="231" t="e">
        <f>VLOOKUP(A37,Enforcements!$C$7:$E$9,3,0)</f>
        <v>#N/A</v>
      </c>
      <c r="AD37" s="232">
        <f t="shared" si="10"/>
        <v>125</v>
      </c>
      <c r="AE37" s="233" t="str">
        <f t="shared" si="11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37" s="234" t="str">
        <f t="shared" si="12"/>
        <v>"C:\Program Files (x86)\AstroGrep\AstroGrep.exe" /e /r /s /spath="%USERPROFILE%\AppData\Local\Temp\OnboardLogs" /stypes="app*4006*20171212*" /stext=" 14:.+((SYSTEM_STATE.+slice.+state.+changed )|(ment ac)|(multiple cpu faults)|(system.+state.+changed )|(\[timeout)|(PRM\|1\|D)|(kpr)|(kdp)|(train st.+moving)|(\|lc)|(penalty))"</v>
      </c>
      <c r="AG37" s="226" t="str">
        <f t="shared" si="13"/>
        <v>EC</v>
      </c>
      <c r="AH37" s="189" t="str">
        <f t="shared" si="19"/>
        <v>"%USERPROFILE%\Documents\GitHub\eaglep3\Utilities\RefineRTDCRunTimes.py" --tripid 125-12 --locoid 4006 --swversion DE.1.0.9.0 --startMP 204:462 --initTime 2017-12-12T06:36:03 --startdatetime 2017-12-12T06:45:14 --delay 45 --endMP 204:233287 --enddatetime 2017-12-12T07:20:14 --enforcementcount 0 &gt;&gt;%USERPROFILE%\Documents\GitHub\eaglep3-reporting\EC\2017-12-12-refined-times.txt</v>
      </c>
      <c r="AI37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{"issue":{"subject":"","project_id":79,"tracker_id":40,"status_id":1,"priority_id":2,"assigned_to_id":338,"start_date":"2017-12-12","description":"","custom_fields":[{"id":1,"name":"Subdivision","value":"EC"},{"id":4,"name":"Milepost","value":"23.3287"},{"id":17,"name":"Train ID","value":"125-12"},{"id":16,"name":"Locomotive ID","value":"4006"},{"id":130,"name":"Impact","value":""},{"id":150,"name":"Time of Event (Mountain Time)","value":"07:20:14"},{"id":151,"name":"Denver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180"/>
      <c r="AK37" s="188"/>
      <c r="AL37" s="188"/>
      <c r="AM37" s="193" t="str">
        <f t="shared" si="21"/>
        <v>start /low /b %USERPROFILE%\Documents\GitHub\eaglep3\Utilities\DownloadLogsFromS3.py --loco 4006 --day 2017-12-12</v>
      </c>
      <c r="AN37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87" t="str">
        <f t="shared" si="23"/>
        <v>https://d0f6bd738d7f1b3e5a7ca70fe4ff75f0.us-east-1.aws.found.io/app/kibana#/discover/Steve-Slow-Train-Analysis-(2080s-and-2083s)?_g=(refreshInterval:(display:Off,pause:!f,section:0,value:0),time:(from:'2017-12-12T05:36:03-0700',mode:absolute,to:'2017-12-12T08:20:14-0700'))&amp;_a=(columns:!('Message%20ID',Summary),filters:!(),index:'emp_*',interval:auto,query:(query_string:(analyze_wildcard:!t,query:'%22rtdc.l.rtdc.4006%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186" t="s">
        <v>736</v>
      </c>
      <c r="B38" s="182">
        <v>4005</v>
      </c>
      <c r="C38" s="184" t="s">
        <v>192</v>
      </c>
      <c r="D38" s="184" t="s">
        <v>933</v>
      </c>
      <c r="E38" s="183">
        <v>43081.306597222225</v>
      </c>
      <c r="F38" s="183">
        <v>43081.321203703701</v>
      </c>
      <c r="G38" s="182">
        <v>43</v>
      </c>
      <c r="H38" s="184" t="s">
        <v>447</v>
      </c>
      <c r="I38" s="183">
        <v>43081.346597222226</v>
      </c>
      <c r="J38" s="182">
        <v>0</v>
      </c>
      <c r="K38" s="190" t="str">
        <f t="shared" si="0"/>
        <v>4005/4006</v>
      </c>
      <c r="L38" s="196" t="str">
        <f>VLOOKUP(A38,'Trips&amp;Operators'!$C$1:$G$99911,5,FALSE)</f>
        <v>YORK EDGAR</v>
      </c>
      <c r="M38" s="181">
        <f t="shared" si="1"/>
        <v>2.5393518524651881E-2</v>
      </c>
      <c r="N38" s="182">
        <f t="shared" si="39"/>
        <v>36.566666675498709</v>
      </c>
      <c r="O38" s="182"/>
      <c r="P38" s="182"/>
      <c r="Q38" s="185"/>
      <c r="R38" s="197"/>
      <c r="S38" s="241">
        <f t="shared" si="3"/>
        <v>1</v>
      </c>
      <c r="T38" s="220" t="str">
        <f t="shared" si="4"/>
        <v>Southbound</v>
      </c>
      <c r="U38" s="22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1" t="str">
        <f t="shared" si="5"/>
        <v>https://d0f6bd738d7f1b3e5a7ca70fe4ff75f0.us-east-1.aws.found.io/app/kibana#/discover/Steve-Slow-Train-Analysis-(2080s-and-2083s)?_g=(refreshInterval:(display:Off,pause:!f,section:0,value:0),time:(from:'2017-12-12T06:21:30-0700',mode:absolute,to:'2017-12-12T09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222" t="str">
        <f>IF(AA38&lt;VLOOKUP(AG38,Variables!$AC$3:$AD$8,2,FALSE),"Y","N")</f>
        <v>N</v>
      </c>
      <c r="X38" s="222">
        <f t="shared" ref="X38:X50" si="41">VALUE(LEFT(AD38,4))-VALUE(LEFT(AD37,4))</f>
        <v>1</v>
      </c>
      <c r="Y38" s="222">
        <f t="shared" si="31"/>
        <v>23.296800000000001</v>
      </c>
      <c r="Z38" s="222">
        <f t="shared" si="32"/>
        <v>2.1600000000000001E-2</v>
      </c>
      <c r="AA38" s="222">
        <f t="shared" si="9"/>
        <v>23.275200000000002</v>
      </c>
      <c r="AB38" s="231" t="e">
        <f>VLOOKUP(A38,Enforcements!$C$7:$K$9,8,0)</f>
        <v>#N/A</v>
      </c>
      <c r="AC38" s="231" t="e">
        <f>VLOOKUP(A38,Enforcements!$C$7:$E$9,3,0)</f>
        <v>#N/A</v>
      </c>
      <c r="AD38" s="232">
        <f t="shared" si="10"/>
        <v>126</v>
      </c>
      <c r="AE38" s="233" t="str">
        <f t="shared" si="11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38" s="234" t="str">
        <f t="shared" si="12"/>
        <v>"C:\Program Files (x86)\AstroGrep\AstroGrep.exe" /e /r /s /spath="%USERPROFILE%\AppData\Local\Temp\OnboardLogs" /stypes="app*4005*20171212*" /stext=" 15:.+((SYSTEM_STATE.+slice.+state.+changed )|(ment ac)|(multiple cpu faults)|(system.+state.+changed )|(\[timeout)|(PRM\|1\|D)|(kpr)|(kdp)|(train st.+moving)|(\|lc)|(penalty))"</v>
      </c>
      <c r="AG38" s="226" t="str">
        <f t="shared" si="13"/>
        <v>EC</v>
      </c>
      <c r="AH38" s="189" t="str">
        <f t="shared" si="19"/>
        <v>"%USERPROFILE%\Documents\GitHub\eaglep3\Utilities\RefineRTDCRunTimes.py" --tripid 126-12 --locoid 4005 --swversion DE.1.0.9.0 --startMP 204:232968 --initTime 2017-12-12T07:21:30 --startdatetime 2017-12-12T07:42:32 --delay 43 --endMP 204:216 --enddatetime 2017-12-12T08:19:06 --enforcementcount 0 &gt;&gt;%USERPROFILE%\Documents\GitHub\eaglep3-reporting\EC\2017-12-12-refined-times.txt</v>
      </c>
      <c r="AI38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{"issue":{"subject":"","project_id":79,"tracker_id":40,"status_id":1,"priority_id":2,"assigned_to_id":338,"start_date":"2017-12-12","description":"","custom_fields":[{"id":1,"name":"Subdivision","value":"EC"},{"id":4,"name":"Milepost","value":"0.0216"},{"id":17,"name":"Train ID","value":"126-12"},{"id":16,"name":"Locomotive ID","value":"4005"},{"id":130,"name":"Impact","value":""},{"id":150,"name":"Time of Event (Mountain Time)","value":"08:19:06"},{"id":151,"name":"Denver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180"/>
      <c r="AK38" s="188"/>
      <c r="AL38" s="188"/>
      <c r="AM38" s="193" t="str">
        <f t="shared" si="21"/>
        <v>start /low /b %USERPROFILE%\Documents\GitHub\eaglep3\Utilities\DownloadLogsFromS3.py --loco 4005 --day 2017-12-12</v>
      </c>
      <c r="AN38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87" t="str">
        <f t="shared" si="23"/>
        <v>https://d0f6bd738d7f1b3e5a7ca70fe4ff75f0.us-east-1.aws.found.io/app/kibana#/discover/Steve-Slow-Train-Analysis-(2080s-and-2083s)?_g=(refreshInterval:(display:Off,pause:!f,section:0,value:0),time:(from:'2017-12-12T06:21:30-0700',mode:absolute,to:'2017-12-12T09:19:06-0700'))&amp;_a=(columns:!('Message%20ID',Summary),filters:!(),index:'emp_*',interval:auto,query:(query_string:(analyze_wildcard:!t,query:'%22rtdc.l.rtdc.4005%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186" t="s">
        <v>732</v>
      </c>
      <c r="B39" s="182">
        <v>4022</v>
      </c>
      <c r="C39" s="184" t="s">
        <v>192</v>
      </c>
      <c r="D39" s="184" t="s">
        <v>654</v>
      </c>
      <c r="E39" s="183">
        <v>43081.288217592592</v>
      </c>
      <c r="F39" s="183">
        <v>43081.291851851849</v>
      </c>
      <c r="G39" s="182">
        <v>46</v>
      </c>
      <c r="H39" s="184" t="s">
        <v>570</v>
      </c>
      <c r="I39" s="183">
        <v>43081.316053240742</v>
      </c>
      <c r="J39" s="182">
        <v>0</v>
      </c>
      <c r="K39" s="190" t="str">
        <f t="shared" si="0"/>
        <v>4021/4022</v>
      </c>
      <c r="L39" s="196" t="str">
        <f>VLOOKUP(A39,'Trips&amp;Operators'!$C$1:$G$99911,5,FALSE)</f>
        <v>YANAI IAN</v>
      </c>
      <c r="M39" s="181">
        <f t="shared" si="1"/>
        <v>2.4201388892834075E-2</v>
      </c>
      <c r="N39" s="182">
        <f t="shared" si="39"/>
        <v>34.850000005681068</v>
      </c>
      <c r="O39" s="182"/>
      <c r="P39" s="182"/>
      <c r="Q39" s="185"/>
      <c r="R39" s="197"/>
      <c r="S39" s="241">
        <f t="shared" si="3"/>
        <v>1</v>
      </c>
      <c r="T39" s="220" t="str">
        <f t="shared" si="4"/>
        <v>NorthBound</v>
      </c>
      <c r="U39" s="22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1" t="str">
        <f t="shared" si="5"/>
        <v>https://d0f6bd738d7f1b3e5a7ca70fe4ff75f0.us-east-1.aws.found.io/app/kibana#/discover/Steve-Slow-Train-Analysis-(2080s-and-2083s)?_g=(refreshInterval:(display:Off,pause:!f,section:0,value:0),time:(from:'2017-12-12T05:55:02-0700',mode:absolute,to:'2017-12-12T08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222" t="str">
        <f>IF(AA39&lt;VLOOKUP(AG39,Variables!$AC$3:$AD$8,2,FALSE),"Y","N")</f>
        <v>N</v>
      </c>
      <c r="X39" s="222">
        <f t="shared" si="41"/>
        <v>1</v>
      </c>
      <c r="Y39" s="222">
        <f t="shared" si="31"/>
        <v>4.2599999999999999E-2</v>
      </c>
      <c r="Z39" s="222">
        <f t="shared" si="32"/>
        <v>23.328900000000001</v>
      </c>
      <c r="AA39" s="222">
        <f t="shared" si="9"/>
        <v>23.286300000000001</v>
      </c>
      <c r="AB39" s="231" t="e">
        <f>VLOOKUP(A39,Enforcements!$C$7:$K$9,8,0)</f>
        <v>#N/A</v>
      </c>
      <c r="AC39" s="231" t="e">
        <f>VLOOKUP(A39,Enforcements!$C$7:$E$9,3,0)</f>
        <v>#N/A</v>
      </c>
      <c r="AD39" s="232">
        <f t="shared" si="10"/>
        <v>127</v>
      </c>
      <c r="AE39" s="233" t="str">
        <f t="shared" si="11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39" s="234" t="str">
        <f t="shared" si="12"/>
        <v>"C:\Program Files (x86)\AstroGrep\AstroGrep.exe" /e /r /s /spath="%USERPROFILE%\AppData\Local\Temp\OnboardLogs" /stypes="app*4022*20171212*" /stext=" 14:.+((SYSTEM_STATE.+slice.+state.+changed )|(ment ac)|(multiple cpu faults)|(system.+state.+changed )|(\[timeout)|(PRM\|1\|D)|(kpr)|(kdp)|(train st.+moving)|(\|lc)|(penalty))"</v>
      </c>
      <c r="AG39" s="226" t="str">
        <f t="shared" si="13"/>
        <v>EC</v>
      </c>
      <c r="AH39" s="189" t="str">
        <f t="shared" si="19"/>
        <v>"%USERPROFILE%\Documents\GitHub\eaglep3\Utilities\RefineRTDCRunTimes.py" --tripid 127-12 --locoid 4022 --swversion DE.1.0.9.0 --startMP 204:426 --initTime 2017-12-12T06:55:02 --startdatetime 2017-12-12T07:00:16 --delay 46 --endMP 204:233289 --enddatetime 2017-12-12T07:35:07 --enforcementcount 0 &gt;&gt;%USERPROFILE%\Documents\GitHub\eaglep3-reporting\EC\2017-12-12-refined-times.txt</v>
      </c>
      <c r="AI39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{"issue":{"subject":"","project_id":79,"tracker_id":40,"status_id":1,"priority_id":2,"assigned_to_id":338,"start_date":"2017-12-12","description":"","custom_fields":[{"id":1,"name":"Subdivision","value":"EC"},{"id":4,"name":"Milepost","value":"23.3289"},{"id":17,"name":"Train ID","value":"127-12"},{"id":16,"name":"Locomotive ID","value":"4022"},{"id":130,"name":"Impact","value":""},{"id":150,"name":"Time of Event (Mountain Time)","value":"07:35:07"},{"id":151,"name":"Denver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180"/>
      <c r="AK39" s="188"/>
      <c r="AL39" s="188"/>
      <c r="AM39" s="193" t="str">
        <f t="shared" si="21"/>
        <v>start /low /b %USERPROFILE%\Documents\GitHub\eaglep3\Utilities\DownloadLogsFromS3.py --loco 4022 --day 2017-12-12</v>
      </c>
      <c r="AN39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87" t="str">
        <f t="shared" si="23"/>
        <v>https://d0f6bd738d7f1b3e5a7ca70fe4ff75f0.us-east-1.aws.found.io/app/kibana#/discover/Steve-Slow-Train-Analysis-(2080s-and-2083s)?_g=(refreshInterval:(display:Off,pause:!f,section:0,value:0),time:(from:'2017-12-12T05:55:02-0700',mode:absolute,to:'2017-12-12T08:35:07-0700'))&amp;_a=(columns:!('Message%20ID',Summary),filters:!(),index:'emp_*',interval:auto,query:(query_string:(analyze_wildcard:!t,query:'%22rtdc.l.rtdc.4022%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186" t="s">
        <v>739</v>
      </c>
      <c r="B40" s="182">
        <v>4021</v>
      </c>
      <c r="C40" s="184" t="s">
        <v>192</v>
      </c>
      <c r="D40" s="184" t="s">
        <v>930</v>
      </c>
      <c r="E40" s="183">
        <v>43081.317349537036</v>
      </c>
      <c r="F40" s="183">
        <v>43081.331423611111</v>
      </c>
      <c r="G40" s="182">
        <v>56</v>
      </c>
      <c r="H40" s="184" t="s">
        <v>934</v>
      </c>
      <c r="I40" s="183">
        <v>43081.357523148145</v>
      </c>
      <c r="J40" s="182">
        <v>0</v>
      </c>
      <c r="K40" s="190" t="str">
        <f t="shared" si="0"/>
        <v>4021/4022</v>
      </c>
      <c r="L40" s="196" t="str">
        <f>VLOOKUP(A40,'Trips&amp;Operators'!$C$1:$G$99911,5,FALSE)</f>
        <v>YANAI IAN</v>
      </c>
      <c r="M40" s="181">
        <f t="shared" si="1"/>
        <v>2.6099537033587694E-2</v>
      </c>
      <c r="N40" s="182">
        <f t="shared" si="39"/>
        <v>37.58333332836628</v>
      </c>
      <c r="O40" s="182"/>
      <c r="P40" s="182"/>
      <c r="Q40" s="185"/>
      <c r="R40" s="197"/>
      <c r="S40" s="241">
        <f t="shared" si="3"/>
        <v>1</v>
      </c>
      <c r="T40" s="220" t="str">
        <f t="shared" si="4"/>
        <v>Southbound</v>
      </c>
      <c r="U40" s="22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1" t="str">
        <f t="shared" si="5"/>
        <v>https://d0f6bd738d7f1b3e5a7ca70fe4ff75f0.us-east-1.aws.found.io/app/kibana#/discover/Steve-Slow-Train-Analysis-(2080s-and-2083s)?_g=(refreshInterval:(display:Off,pause:!f,section:0,value:0),time:(from:'2017-12-12T06:36:59-0700',mode:absolute,to:'2017-12-12T09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222" t="str">
        <f>IF(AA40&lt;VLOOKUP(AG40,Variables!$AC$3:$AD$8,2,FALSE),"Y","N")</f>
        <v>N</v>
      </c>
      <c r="X40" s="222">
        <f t="shared" si="41"/>
        <v>1</v>
      </c>
      <c r="Y40" s="222">
        <f t="shared" si="31"/>
        <v>23.297999999999998</v>
      </c>
      <c r="Z40" s="222">
        <f t="shared" si="32"/>
        <v>2.29E-2</v>
      </c>
      <c r="AA40" s="222">
        <f t="shared" si="9"/>
        <v>23.275099999999998</v>
      </c>
      <c r="AB40" s="231" t="e">
        <f>VLOOKUP(A40,Enforcements!$C$7:$K$9,8,0)</f>
        <v>#N/A</v>
      </c>
      <c r="AC40" s="231" t="e">
        <f>VLOOKUP(A40,Enforcements!$C$7:$E$9,3,0)</f>
        <v>#N/A</v>
      </c>
      <c r="AD40" s="232">
        <f t="shared" si="10"/>
        <v>128</v>
      </c>
      <c r="AE40" s="233" t="str">
        <f t="shared" si="11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40" s="234" t="str">
        <f t="shared" si="12"/>
        <v>"C:\Program Files (x86)\AstroGrep\AstroGrep.exe" /e /r /s /spath="%USERPROFILE%\AppData\Local\Temp\OnboardLogs" /stypes="app*4021*20171212*" /stext=" 15:.+((SYSTEM_STATE.+slice.+state.+changed )|(ment ac)|(multiple cpu faults)|(system.+state.+changed )|(\[timeout)|(PRM\|1\|D)|(kpr)|(kdp)|(train st.+moving)|(\|lc)|(penalty))"</v>
      </c>
      <c r="AG40" s="226" t="str">
        <f t="shared" si="13"/>
        <v>EC</v>
      </c>
      <c r="AH40" s="189" t="str">
        <f t="shared" si="19"/>
        <v>"%USERPROFILE%\Documents\GitHub\eaglep3\Utilities\RefineRTDCRunTimes.py" --tripid 128-12 --locoid 4021 --swversion DE.1.0.9.0 --startMP 204:232980 --initTime 2017-12-12T07:36:59 --startdatetime 2017-12-12T07:57:15 --delay 56 --endMP 204:229 --enddatetime 2017-12-12T08:34:50 --enforcementcount 0 &gt;&gt;%USERPROFILE%\Documents\GitHub\eaglep3-reporting\EC\2017-12-12-refined-times.txt</v>
      </c>
      <c r="AI40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{"issue":{"subject":"","project_id":79,"tracker_id":40,"status_id":1,"priority_id":2,"assigned_to_id":338,"start_date":"2017-12-12","description":"","custom_fields":[{"id":1,"name":"Subdivision","value":"EC"},{"id":4,"name":"Milepost","value":"0.0229"},{"id":17,"name":"Train ID","value":"128-12"},{"id":16,"name":"Locomotive ID","value":"4021"},{"id":130,"name":"Impact","value":""},{"id":150,"name":"Time of Event (Mountain Time)","value":"08:34:50"},{"id":151,"name":"Denver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180"/>
      <c r="AK40" s="188"/>
      <c r="AL40" s="188"/>
      <c r="AM40" s="193" t="str">
        <f t="shared" si="21"/>
        <v>start /low /b %USERPROFILE%\Documents\GitHub\eaglep3\Utilities\DownloadLogsFromS3.py --loco 4021 --day 2017-12-12</v>
      </c>
      <c r="AN40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87" t="str">
        <f t="shared" si="23"/>
        <v>https://d0f6bd738d7f1b3e5a7ca70fe4ff75f0.us-east-1.aws.found.io/app/kibana#/discover/Steve-Slow-Train-Analysis-(2080s-and-2083s)?_g=(refreshInterval:(display:Off,pause:!f,section:0,value:0),time:(from:'2017-12-12T06:36:59-0700',mode:absolute,to:'2017-12-12T09:34:50-0700'))&amp;_a=(columns:!('Message%20ID',Summary),filters:!(),index:'emp_*',interval:auto,query:(query_string:(analyze_wildcard:!t,query:'%22rtdc.l.rtdc.4021%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186" t="s">
        <v>735</v>
      </c>
      <c r="B41" s="182">
        <v>4012</v>
      </c>
      <c r="C41" s="184" t="s">
        <v>192</v>
      </c>
      <c r="D41" s="184" t="s">
        <v>470</v>
      </c>
      <c r="E41" s="183">
        <v>43081.300844907404</v>
      </c>
      <c r="F41" s="183">
        <v>43081.302268518521</v>
      </c>
      <c r="G41" s="182">
        <v>57</v>
      </c>
      <c r="H41" s="184" t="s">
        <v>623</v>
      </c>
      <c r="I41" s="183">
        <v>43081.328472222223</v>
      </c>
      <c r="J41" s="182">
        <v>0</v>
      </c>
      <c r="K41" s="190" t="str">
        <f t="shared" si="0"/>
        <v>4011/4012</v>
      </c>
      <c r="L41" s="196" t="str">
        <f>VLOOKUP(A41,'Trips&amp;Operators'!$C$1:$G$99911,5,FALSE)</f>
        <v>STARKS ANGELINA</v>
      </c>
      <c r="M41" s="181">
        <f t="shared" si="1"/>
        <v>2.6203703702776693E-2</v>
      </c>
      <c r="N41" s="182">
        <f t="shared" si="39"/>
        <v>37.733333331998438</v>
      </c>
      <c r="O41" s="182"/>
      <c r="P41" s="182"/>
      <c r="Q41" s="185"/>
      <c r="R41" s="197"/>
      <c r="S41" s="241">
        <f t="shared" si="3"/>
        <v>1</v>
      </c>
      <c r="T41" s="220" t="str">
        <f t="shared" si="4"/>
        <v>NorthBound</v>
      </c>
      <c r="U41" s="22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1" t="str">
        <f t="shared" si="5"/>
        <v>https://d0f6bd738d7f1b3e5a7ca70fe4ff75f0.us-east-1.aws.found.io/app/kibana#/discover/Steve-Slow-Train-Analysis-(2080s-and-2083s)?_g=(refreshInterval:(display:Off,pause:!f,section:0,value:0),time:(from:'2017-12-12T06:13:13-0700',mode:absolute,to:'2017-12-12T08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22" t="str">
        <f>IF(AA41&lt;VLOOKUP(AG41,Variables!$AC$3:$AD$8,2,FALSE),"Y","N")</f>
        <v>N</v>
      </c>
      <c r="X41" s="222">
        <f t="shared" si="41"/>
        <v>1</v>
      </c>
      <c r="Y41" s="222">
        <f t="shared" si="31"/>
        <v>4.6600000000000003E-2</v>
      </c>
      <c r="Z41" s="222">
        <f t="shared" si="32"/>
        <v>23.331399999999999</v>
      </c>
      <c r="AA41" s="222">
        <f t="shared" si="9"/>
        <v>23.284799999999997</v>
      </c>
      <c r="AB41" s="231" t="e">
        <f>VLOOKUP(A41,Enforcements!$C$7:$K$9,8,0)</f>
        <v>#N/A</v>
      </c>
      <c r="AC41" s="231" t="e">
        <f>VLOOKUP(A41,Enforcements!$C$7:$E$9,3,0)</f>
        <v>#N/A</v>
      </c>
      <c r="AD41" s="232">
        <f t="shared" si="10"/>
        <v>129</v>
      </c>
      <c r="AE41" s="233" t="str">
        <f t="shared" si="11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41" s="234" t="str">
        <f t="shared" si="12"/>
        <v>"C:\Program Files (x86)\AstroGrep\AstroGrep.exe" /e /r /s /spath="%USERPROFILE%\AppData\Local\Temp\OnboardLogs" /stypes="app*4012*20171212*" /stext=" 14:.+((SYSTEM_STATE.+slice.+state.+changed )|(ment ac)|(multiple cpu faults)|(system.+state.+changed )|(\[timeout)|(PRM\|1\|D)|(kpr)|(kdp)|(train st.+moving)|(\|lc)|(penalty))"</v>
      </c>
      <c r="AG41" s="226" t="str">
        <f t="shared" si="13"/>
        <v>EC</v>
      </c>
      <c r="AH41" s="189" t="str">
        <f t="shared" si="19"/>
        <v>"%USERPROFILE%\Documents\GitHub\eaglep3\Utilities\RefineRTDCRunTimes.py" --tripid 129-12 --locoid 4012 --swversion DE.1.0.9.0 --startMP 204:466 --initTime 2017-12-12T07:13:13 --startdatetime 2017-12-12T07:15:16 --delay 57 --endMP 204:233314 --enddatetime 2017-12-12T07:53:00 --enforcementcount 0 &gt;&gt;%USERPROFILE%\Documents\GitHub\eaglep3-reporting\EC\2017-12-12-refined-times.txt</v>
      </c>
      <c r="AI41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{"issue":{"subject":"","project_id":79,"tracker_id":40,"status_id":1,"priority_id":2,"assigned_to_id":338,"start_date":"2017-12-12","description":"","custom_fields":[{"id":1,"name":"Subdivision","value":"EC"},{"id":4,"name":"Milepost","value":"23.3314"},{"id":17,"name":"Train ID","value":"129-12"},{"id":16,"name":"Locomotive ID","value":"4012"},{"id":130,"name":"Impact","value":""},{"id":150,"name":"Time of Event (Mountain Time)","value":"07:53:00"},{"id":151,"name":"Denver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180"/>
      <c r="AK41" s="188"/>
      <c r="AL41" s="188"/>
      <c r="AM41" s="193" t="str">
        <f t="shared" si="21"/>
        <v>start /low /b %USERPROFILE%\Documents\GitHub\eaglep3\Utilities\DownloadLogsFromS3.py --loco 4012 --day 2017-12-12</v>
      </c>
      <c r="AN41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87" t="str">
        <f t="shared" si="23"/>
        <v>https://d0f6bd738d7f1b3e5a7ca70fe4ff75f0.us-east-1.aws.found.io/app/kibana#/discover/Steve-Slow-Train-Analysis-(2080s-and-2083s)?_g=(refreshInterval:(display:Off,pause:!f,section:0,value:0),time:(from:'2017-12-12T06:13:13-0700',mode:absolute,to:'2017-12-12T08:53:00-0700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186" t="s">
        <v>744</v>
      </c>
      <c r="B42" s="182">
        <v>4011</v>
      </c>
      <c r="C42" s="184" t="s">
        <v>192</v>
      </c>
      <c r="D42" s="184" t="s">
        <v>621</v>
      </c>
      <c r="E42" s="183">
        <v>43081.339085648149</v>
      </c>
      <c r="F42" s="183">
        <v>43081.341851851852</v>
      </c>
      <c r="G42" s="182">
        <v>63</v>
      </c>
      <c r="H42" s="184" t="s">
        <v>935</v>
      </c>
      <c r="I42" s="183">
        <v>43081.368738425925</v>
      </c>
      <c r="J42" s="182">
        <v>0</v>
      </c>
      <c r="K42" s="190" t="str">
        <f t="shared" si="0"/>
        <v>4011/4012</v>
      </c>
      <c r="L42" s="196" t="str">
        <f>VLOOKUP(A42,'Trips&amp;Operators'!$C$1:$G$99911,5,FALSE)</f>
        <v>STARKS ANGELINA</v>
      </c>
      <c r="M42" s="181">
        <f t="shared" si="1"/>
        <v>2.6886574072705116E-2</v>
      </c>
      <c r="N42" s="182">
        <f t="shared" si="39"/>
        <v>38.716666664695367</v>
      </c>
      <c r="O42" s="182"/>
      <c r="P42" s="182"/>
      <c r="Q42" s="185"/>
      <c r="R42" s="197"/>
      <c r="S42" s="241">
        <f t="shared" si="3"/>
        <v>1</v>
      </c>
      <c r="T42" s="220" t="str">
        <f t="shared" si="4"/>
        <v>Southbound</v>
      </c>
      <c r="U42" s="22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1" t="str">
        <f t="shared" si="5"/>
        <v>https://d0f6bd738d7f1b3e5a7ca70fe4ff75f0.us-east-1.aws.found.io/app/kibana#/discover/Steve-Slow-Train-Analysis-(2080s-and-2083s)?_g=(refreshInterval:(display:Off,pause:!f,section:0,value:0),time:(from:'2017-12-12T07:08:17-0700',mode:absolute,to:'2017-12-12T09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22" t="str">
        <f>IF(AA42&lt;VLOOKUP(AG42,Variables!$AC$3:$AD$8,2,FALSE),"Y","N")</f>
        <v>N</v>
      </c>
      <c r="X42" s="222">
        <f t="shared" si="41"/>
        <v>1</v>
      </c>
      <c r="Y42" s="222">
        <f t="shared" si="31"/>
        <v>23.3002</v>
      </c>
      <c r="Z42" s="222">
        <f t="shared" si="32"/>
        <v>1.47E-2</v>
      </c>
      <c r="AA42" s="222">
        <f t="shared" si="9"/>
        <v>23.285499999999999</v>
      </c>
      <c r="AB42" s="231" t="e">
        <f>VLOOKUP(A42,Enforcements!$C$7:$K$9,8,0)</f>
        <v>#N/A</v>
      </c>
      <c r="AC42" s="231" t="e">
        <f>VLOOKUP(A42,Enforcements!$C$7:$E$9,3,0)</f>
        <v>#N/A</v>
      </c>
      <c r="AD42" s="232">
        <f t="shared" si="10"/>
        <v>130</v>
      </c>
      <c r="AE42" s="233" t="str">
        <f t="shared" si="11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42" s="234" t="str">
        <f t="shared" si="12"/>
        <v>"C:\Program Files (x86)\AstroGrep\AstroGrep.exe" /e /r /s /spath="%USERPROFILE%\AppData\Local\Temp\OnboardLogs" /stypes="app*4011*20171212*" /stext=" 15:.+((SYSTEM_STATE.+slice.+state.+changed )|(ment ac)|(multiple cpu faults)|(system.+state.+changed )|(\[timeout)|(PRM\|1\|D)|(kpr)|(kdp)|(train st.+moving)|(\|lc)|(penalty))"</v>
      </c>
      <c r="AG42" s="226" t="str">
        <f t="shared" si="13"/>
        <v>EC</v>
      </c>
      <c r="AH42" s="189" t="str">
        <f t="shared" si="19"/>
        <v>"%USERPROFILE%\Documents\GitHub\eaglep3\Utilities\RefineRTDCRunTimes.py" --tripid 130-12 --locoid 4011 --swversion DE.1.0.9.0 --startMP 204:233002 --initTime 2017-12-12T08:08:17 --startdatetime 2017-12-12T08:12:16 --delay 63 --endMP 204:147 --enddatetime 2017-12-12T08:50:59 --enforcementcount 0 &gt;&gt;%USERPROFILE%\Documents\GitHub\eaglep3-reporting\EC\2017-12-12-refined-times.txt</v>
      </c>
      <c r="AI42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{"issue":{"subject":"","project_id":79,"tracker_id":40,"status_id":1,"priority_id":2,"assigned_to_id":338,"start_date":"2017-12-12","description":"","custom_fields":[{"id":1,"name":"Subdivision","value":"EC"},{"id":4,"name":"Milepost","value":"0.0147"},{"id":17,"name":"Train ID","value":"130-12"},{"id":16,"name":"Locomotive ID","value":"4011"},{"id":130,"name":"Impact","value":""},{"id":150,"name":"Time of Event (Mountain Time)","value":"08:50:59"},{"id":151,"name":"Denver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180"/>
      <c r="AK42" s="188"/>
      <c r="AL42" s="188"/>
      <c r="AM42" s="193" t="str">
        <f t="shared" si="21"/>
        <v>start /low /b %USERPROFILE%\Documents\GitHub\eaglep3\Utilities\DownloadLogsFromS3.py --loco 4011 --day 2017-12-12</v>
      </c>
      <c r="AN42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87" t="str">
        <f t="shared" si="23"/>
        <v>https://d0f6bd738d7f1b3e5a7ca70fe4ff75f0.us-east-1.aws.found.io/app/kibana#/discover/Steve-Slow-Train-Analysis-(2080s-and-2083s)?_g=(refreshInterval:(display:Off,pause:!f,section:0,value:0),time:(from:'2017-12-12T07:08:17-0700',mode:absolute,to:'2017-12-12T09:50:59-0700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186" t="s">
        <v>673</v>
      </c>
      <c r="B43" s="182">
        <v>4010</v>
      </c>
      <c r="C43" s="184" t="s">
        <v>192</v>
      </c>
      <c r="D43" s="184" t="s">
        <v>572</v>
      </c>
      <c r="E43" s="183">
        <v>43081.311041666668</v>
      </c>
      <c r="F43" s="183">
        <v>43081.31759259259</v>
      </c>
      <c r="G43" s="182">
        <v>59</v>
      </c>
      <c r="H43" s="184" t="s">
        <v>936</v>
      </c>
      <c r="I43" s="183">
        <v>43081.338321759256</v>
      </c>
      <c r="J43" s="182">
        <v>0</v>
      </c>
      <c r="K43" s="190" t="str">
        <f t="shared" si="0"/>
        <v>4009/4010</v>
      </c>
      <c r="L43" s="196" t="str">
        <f>VLOOKUP(A43,'Trips&amp;Operators'!$C$1:$G$99911,5,FALSE)</f>
        <v>MACDONALD THOMAS</v>
      </c>
      <c r="M43" s="181">
        <f t="shared" si="1"/>
        <v>2.0729166666569654E-2</v>
      </c>
      <c r="N43" s="182"/>
      <c r="O43" s="182"/>
      <c r="P43" s="182"/>
      <c r="Q43" s="185"/>
      <c r="R43" s="197"/>
      <c r="S43" s="241"/>
      <c r="T43" s="220" t="str">
        <f t="shared" si="4"/>
        <v>NorthBound</v>
      </c>
      <c r="U43" s="22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21" t="str">
        <f t="shared" si="5"/>
        <v>https://d0f6bd738d7f1b3e5a7ca70fe4ff75f0.us-east-1.aws.found.io/app/kibana#/discover/Steve-Slow-Train-Analysis-(2080s-and-2083s)?_g=(refreshInterval:(display:Off,pause:!f,section:0,value:0),time:(from:'2017-12-12T06:27:54-0700',mode:absolute,to:'2017-12-12T09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222" t="str">
        <f>IF(AA43&lt;VLOOKUP(AG43,Variables!$AC$3:$AD$8,2,FALSE),"Y","N")</f>
        <v>Y</v>
      </c>
      <c r="X43" s="222">
        <f t="shared" si="41"/>
        <v>1</v>
      </c>
      <c r="Y43" s="222">
        <f t="shared" si="31"/>
        <v>5.11E-2</v>
      </c>
      <c r="Z43" s="222">
        <f t="shared" si="32"/>
        <v>0.25609999999999999</v>
      </c>
      <c r="AA43" s="222">
        <f t="shared" si="9"/>
        <v>0.20499999999999999</v>
      </c>
      <c r="AB43" s="231" t="e">
        <f>VLOOKUP(A43,Enforcements!$C$7:$K$9,8,0)</f>
        <v>#N/A</v>
      </c>
      <c r="AC43" s="231" t="e">
        <f>VLOOKUP(A43,Enforcements!$C$7:$E$9,3,0)</f>
        <v>#N/A</v>
      </c>
      <c r="AD43" s="232">
        <f t="shared" si="10"/>
        <v>131</v>
      </c>
      <c r="AE43" s="233" t="str">
        <f t="shared" si="11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43" s="234" t="str">
        <f t="shared" si="12"/>
        <v>"C:\Program Files (x86)\AstroGrep\AstroGrep.exe" /e /r /s /spath="%USERPROFILE%\AppData\Local\Temp\OnboardLogs" /stypes="app*4010*20171212*" /stext=" 15:.+((SYSTEM_STATE.+slice.+state.+changed )|(ment ac)|(multiple cpu faults)|(system.+state.+changed )|(\[timeout)|(PRM\|1\|D)|(kpr)|(kdp)|(train st.+moving)|(\|lc)|(penalty))"</v>
      </c>
      <c r="AG43" s="226" t="str">
        <f t="shared" si="13"/>
        <v>EC</v>
      </c>
      <c r="AH43" s="189" t="str">
        <f t="shared" si="19"/>
        <v>"%USERPROFILE%\Documents\GitHub\eaglep3\Utilities\RefineRTDCRunTimes.py" --tripid 131-12 --locoid 4010 --swversion DE.1.0.9.0 --startMP 204:511 --initTime 2017-12-12T07:27:54 --startdatetime 2017-12-12T07:37:20 --delay 59 --endMP 204:2561 --enddatetime 2017-12-12T08:07:11 --enforcementcount 0 &gt;&gt;%USERPROFILE%\Documents\GitHub\eaglep3-reporting\EC\2017-12-12-refined-times.txt</v>
      </c>
      <c r="AI43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{"issue":{"subject":"","project_id":79,"tracker_id":40,"status_id":1,"priority_id":2,"assigned_to_id":338,"start_date":"2017-12-12","description":"","custom_fields":[{"id":1,"name":"Subdivision","value":"EC"},{"id":4,"name":"Milepost","value":"0.2561"},{"id":17,"name":"Train ID","value":"131-12"},{"id":16,"name":"Locomotive ID","value":"4010"},{"id":130,"name":"Impact","value":""},{"id":150,"name":"Time of Event (Mountain Time)","value":"08:07:11"},{"id":151,"name":"Denver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180"/>
      <c r="AK43" s="188"/>
      <c r="AL43" s="188"/>
      <c r="AM43" s="193" t="str">
        <f t="shared" si="21"/>
        <v>start /low /b %USERPROFILE%\Documents\GitHub\eaglep3\Utilities\DownloadLogsFromS3.py --loco 4010 --day 2017-12-12</v>
      </c>
      <c r="AN43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87" t="str">
        <f t="shared" si="23"/>
        <v>https://d0f6bd738d7f1b3e5a7ca70fe4ff75f0.us-east-1.aws.found.io/app/kibana#/discover/Steve-Slow-Train-Analysis-(2080s-and-2083s)?_g=(refreshInterval:(display:Off,pause:!f,section:0,value:0),time:(from:'2017-12-12T06:27:54-0700',mode:absolute,to:'2017-12-12T09:07:11-0700'))&amp;_a=(columns:!('Message%20ID',Summary),filters:!(),index:'emp_*',interval:auto,query:(query_string:(analyze_wildcard:!t,query:'%22rtdc.l.rtdc.4010%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186" t="s">
        <v>673</v>
      </c>
      <c r="B44" s="182">
        <v>4010</v>
      </c>
      <c r="C44" s="184" t="s">
        <v>192</v>
      </c>
      <c r="D44" s="184" t="s">
        <v>937</v>
      </c>
      <c r="E44" s="183">
        <v>43081.316712962966</v>
      </c>
      <c r="F44" s="183">
        <v>43081.31759259259</v>
      </c>
      <c r="G44" s="182">
        <v>38</v>
      </c>
      <c r="H44" s="184" t="s">
        <v>938</v>
      </c>
      <c r="I44" s="183">
        <v>43081.338321759256</v>
      </c>
      <c r="J44" s="182">
        <v>0</v>
      </c>
      <c r="K44" s="190" t="str">
        <f t="shared" si="0"/>
        <v>4009/4010</v>
      </c>
      <c r="L44" s="196" t="str">
        <f>VLOOKUP(A44,'Trips&amp;Operators'!$C$1:$G$99911,5,FALSE)</f>
        <v>MACDONALD THOMAS</v>
      </c>
      <c r="M44" s="181">
        <f t="shared" si="1"/>
        <v>2.0729166666569654E-2</v>
      </c>
      <c r="N44" s="182"/>
      <c r="O44" s="182"/>
      <c r="P44" s="182">
        <f>24*60*SUM($M44:$M44)</f>
        <v>29.849999999860302</v>
      </c>
      <c r="Q44" s="185"/>
      <c r="R44" s="197" t="s">
        <v>1086</v>
      </c>
      <c r="S44" s="241">
        <f t="shared" ref="S44:S49" si="42">1/IF(AG44="EC",12,1)*SUM(U44:U44)</f>
        <v>1</v>
      </c>
      <c r="T44" s="220" t="str">
        <f t="shared" si="4"/>
        <v>NorthBound</v>
      </c>
      <c r="U44" s="22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1" t="str">
        <f t="shared" si="5"/>
        <v>https://d0f6bd738d7f1b3e5a7ca70fe4ff75f0.us-east-1.aws.found.io/app/kibana#/discover/Steve-Slow-Train-Analysis-(2080s-and-2083s)?_g=(refreshInterval:(display:Off,pause:!f,section:0,value:0),time:(from:'2017-12-12T06:36:04-0700',mode:absolute,to:'2017-12-12T09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4" s="222" t="str">
        <f>IF(AA44&lt;VLOOKUP(AG44,Variables!$AC$3:$AD$8,2,FALSE),"Y","N")</f>
        <v>Y</v>
      </c>
      <c r="X44" s="222">
        <f t="shared" si="41"/>
        <v>0</v>
      </c>
      <c r="Y44" s="222">
        <f t="shared" si="31"/>
        <v>1.9255</v>
      </c>
      <c r="Z44" s="222">
        <f t="shared" si="32"/>
        <v>23.324000000000002</v>
      </c>
      <c r="AA44" s="222">
        <f t="shared" si="9"/>
        <v>21.398500000000002</v>
      </c>
      <c r="AB44" s="231" t="e">
        <f>VLOOKUP(A44,Enforcements!$C$7:$K$9,8,0)</f>
        <v>#N/A</v>
      </c>
      <c r="AC44" s="231" t="e">
        <f>VLOOKUP(A44,Enforcements!$C$7:$E$9,3,0)</f>
        <v>#N/A</v>
      </c>
      <c r="AD44" s="232">
        <f t="shared" si="10"/>
        <v>131</v>
      </c>
      <c r="AE44" s="233" t="str">
        <f t="shared" si="11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44" s="234" t="str">
        <f t="shared" si="12"/>
        <v>"C:\Program Files (x86)\AstroGrep\AstroGrep.exe" /e /r /s /spath="%USERPROFILE%\AppData\Local\Temp\OnboardLogs" /stypes="app*4010*20171212*" /stext=" 15:.+((SYSTEM_STATE.+slice.+state.+changed )|(ment ac)|(multiple cpu faults)|(system.+state.+changed )|(\[timeout)|(PRM\|1\|D)|(kpr)|(kdp)|(train st.+moving)|(\|lc)|(penalty))"</v>
      </c>
      <c r="AG44" s="226" t="str">
        <f t="shared" si="13"/>
        <v>EC</v>
      </c>
      <c r="AH44" s="189" t="str">
        <f t="shared" si="19"/>
        <v>"%USERPROFILE%\Documents\GitHub\eaglep3\Utilities\RefineRTDCRunTimes.py" --tripid 131-12 --locoid 4010 --swversion DE.1.0.9.0 --startMP 204:19255 --initTime 2017-12-12T07:36:04 --startdatetime 2017-12-12T07:37:20 --delay 38 --endMP 204:233240 --enddatetime 2017-12-12T08:07:11 --enforcementcount 0 &gt;&gt;%USERPROFILE%\Documents\GitHub\eaglep3-reporting\EC\2017-12-12-refined-times.txt</v>
      </c>
      <c r="AI44" s="191" t="str">
        <f t="shared" si="20"/>
        <v>echo {"issue":{"subject":"Minor Onboard in-route failure caused signal unknown banner","project_id":79,"tracker_id":40,"status_id":1,"priority_id":2,"assigned_to_id":338,"start_date":"2017-12-12","description":"","custom_fields":[{"id":1,"name":"Subdivision","value":"EC"},{"id":4,"name":"Milepost","value":"23.324"},{"id":17,"name":"Train ID","value":"131-12"},{"id":16,"name":"Locomotive ID","value":"4010"},{"id":130,"name":"Impact","value":""},{"id":150,"name":"Time of Event (Mountain Time)","value":"08:07:11"},{"id":151,"name":"Denver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180"/>
      <c r="AK44" s="188"/>
      <c r="AL44" s="188"/>
      <c r="AM44" s="193" t="str">
        <f t="shared" si="21"/>
        <v>start /low /b %USERPROFILE%\Documents\GitHub\eaglep3\Utilities\DownloadLogsFromS3.py --loco 4010 --day 2017-12-12</v>
      </c>
      <c r="AN44" s="194" t="str">
        <f t="shared" si="22"/>
        <v>echo {"issue":{"subject":"Minor Onboard in-route failure caused signal unknown banner","project_id":30,"tracker_id":4,"status_id":1,"priority_id":1,"assigned_to_id":10,"start_date":"2017-12-12","description":"","custom_fields":[{"id":30,"name":"Category","value":"Issue"},{"id":3,"name":"Functional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87" t="str">
        <f t="shared" si="23"/>
        <v>https://d0f6bd738d7f1b3e5a7ca70fe4ff75f0.us-east-1.aws.found.io/app/kibana#/discover/Steve-Slow-Train-Analysis-(2080s-and-2083s)?_g=(refreshInterval:(display:Off,pause:!f,section:0,value:0),time:(from:'2017-12-12T06:36:04-0700',mode:absolute,to:'2017-12-12T09:07:11-0700'))&amp;_a=(columns:!('Message%20ID',Summary),filters:!(),index:'emp_*',interval:auto,query:(query_string:(analyze_wildcard:!t,query:'%22rtdc.l.rtdc.4010%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186" t="s">
        <v>747</v>
      </c>
      <c r="B45" s="182">
        <v>4009</v>
      </c>
      <c r="C45" s="184" t="s">
        <v>192</v>
      </c>
      <c r="D45" s="184" t="s">
        <v>939</v>
      </c>
      <c r="E45" s="183">
        <v>43081.350266203706</v>
      </c>
      <c r="F45" s="183">
        <v>43081.352754629632</v>
      </c>
      <c r="G45" s="182">
        <v>80</v>
      </c>
      <c r="H45" s="184" t="s">
        <v>498</v>
      </c>
      <c r="I45" s="183">
        <v>43081.379386574074</v>
      </c>
      <c r="J45" s="182">
        <v>0</v>
      </c>
      <c r="K45" s="190" t="str">
        <f t="shared" si="0"/>
        <v>4009/4010</v>
      </c>
      <c r="L45" s="196" t="str">
        <f>VLOOKUP(A45,'Trips&amp;Operators'!$C$1:$G$99911,5,FALSE)</f>
        <v>MACDONALD THOMAS</v>
      </c>
      <c r="M45" s="181">
        <f t="shared" si="1"/>
        <v>2.6631944441760425E-2</v>
      </c>
      <c r="N45" s="182">
        <f>24*60*SUM($M45:$M45)</f>
        <v>38.349999996135011</v>
      </c>
      <c r="O45" s="182"/>
      <c r="P45" s="182"/>
      <c r="Q45" s="185"/>
      <c r="R45" s="197"/>
      <c r="S45" s="241">
        <f t="shared" si="42"/>
        <v>1</v>
      </c>
      <c r="T45" s="220" t="str">
        <f t="shared" si="4"/>
        <v>Southbound</v>
      </c>
      <c r="U45" s="22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1" t="str">
        <f t="shared" si="5"/>
        <v>https://d0f6bd738d7f1b3e5a7ca70fe4ff75f0.us-east-1.aws.found.io/app/kibana#/discover/Steve-Slow-Train-Analysis-(2080s-and-2083s)?_g=(refreshInterval:(display:Off,pause:!f,section:0,value:0),time:(from:'2017-12-12T07:24:23-0700',mode:absolute,to:'2017-12-12T10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5" s="222" t="str">
        <f>IF(AA45&lt;VLOOKUP(AG45,Variables!$AC$3:$AD$8,2,FALSE),"Y","N")</f>
        <v>N</v>
      </c>
      <c r="X45" s="222">
        <f t="shared" si="41"/>
        <v>1</v>
      </c>
      <c r="Y45" s="222">
        <f t="shared" si="31"/>
        <v>23.291499999999999</v>
      </c>
      <c r="Z45" s="222">
        <f t="shared" si="32"/>
        <v>2.23E-2</v>
      </c>
      <c r="AA45" s="222">
        <f t="shared" si="9"/>
        <v>23.269199999999998</v>
      </c>
      <c r="AB45" s="231" t="e">
        <f>VLOOKUP(A45,Enforcements!$C$7:$K$9,8,0)</f>
        <v>#N/A</v>
      </c>
      <c r="AC45" s="231" t="e">
        <f>VLOOKUP(A45,Enforcements!$C$7:$E$9,3,0)</f>
        <v>#N/A</v>
      </c>
      <c r="AD45" s="232">
        <f t="shared" si="10"/>
        <v>132</v>
      </c>
      <c r="AE45" s="233" t="str">
        <f t="shared" si="11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45" s="234" t="str">
        <f t="shared" si="12"/>
        <v>"C:\Program Files (x86)\AstroGrep\AstroGrep.exe" /e /r /s /spath="%USERPROFILE%\AppData\Local\Temp\OnboardLogs" /stypes="app*4009*20171212*" /stext=" 16:.+((SYSTEM_STATE.+slice.+state.+changed )|(ment ac)|(multiple cpu faults)|(system.+state.+changed )|(\[timeout)|(PRM\|1\|D)|(kpr)|(kdp)|(train st.+moving)|(\|lc)|(penalty))"</v>
      </c>
      <c r="AG45" s="226" t="str">
        <f t="shared" si="13"/>
        <v>EC</v>
      </c>
      <c r="AH45" s="189" t="str">
        <f t="shared" si="19"/>
        <v>"%USERPROFILE%\Documents\GitHub\eaglep3\Utilities\RefineRTDCRunTimes.py" --tripid 132-12 --locoid 4009 --swversion DE.1.0.9.0 --startMP 204:232915 --initTime 2017-12-12T08:24:23 --startdatetime 2017-12-12T08:27:58 --delay 80 --endMP 204:223 --enddatetime 2017-12-12T09:06:19 --enforcementcount 0 &gt;&gt;%USERPROFILE%\Documents\GitHub\eaglep3-reporting\EC\2017-12-12-refined-times.txt</v>
      </c>
      <c r="AI45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{"issue":{"subject":"","project_id":79,"tracker_id":40,"status_id":1,"priority_id":2,"assigned_to_id":338,"start_date":"2017-12-12","description":"","custom_fields":[{"id":1,"name":"Subdivision","value":"EC"},{"id":4,"name":"Milepost","value":"0.0223"},{"id":17,"name":"Train ID","value":"132-12"},{"id":16,"name":"Locomotive ID","value":"4009"},{"id":130,"name":"Impact","value":""},{"id":150,"name":"Time of Event (Mountain Time)","value":"09:06:19"},{"id":151,"name":"Denver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180"/>
      <c r="AK45" s="188"/>
      <c r="AL45" s="188"/>
      <c r="AM45" s="193" t="str">
        <f t="shared" si="21"/>
        <v>start /low /b %USERPROFILE%\Documents\GitHub\eaglep3\Utilities\DownloadLogsFromS3.py --loco 4009 --day 2017-12-12</v>
      </c>
      <c r="AN45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87" t="str">
        <f t="shared" si="23"/>
        <v>https://d0f6bd738d7f1b3e5a7ca70fe4ff75f0.us-east-1.aws.found.io/app/kibana#/discover/Steve-Slow-Train-Analysis-(2080s-and-2083s)?_g=(refreshInterval:(display:Off,pause:!f,section:0,value:0),time:(from:'2017-12-12T07:24:23-0700',mode:absolute,to:'2017-12-12T10:06:19-0700'))&amp;_a=(columns:!('Message%20ID',Summary),filters:!(),index:'emp_*',interval:auto,query:(query_string:(analyze_wildcard:!t,query:'%22rtdc.l.rtdc.4009%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186" t="s">
        <v>740</v>
      </c>
      <c r="B46" s="182">
        <v>4030</v>
      </c>
      <c r="C46" s="184" t="s">
        <v>192</v>
      </c>
      <c r="D46" s="184" t="s">
        <v>459</v>
      </c>
      <c r="E46" s="183">
        <v>43081.321898148148</v>
      </c>
      <c r="F46" s="183">
        <v>43081.323900462965</v>
      </c>
      <c r="G46" s="182">
        <v>51</v>
      </c>
      <c r="H46" s="184" t="s">
        <v>575</v>
      </c>
      <c r="I46" s="183">
        <v>43081.348611111112</v>
      </c>
      <c r="J46" s="182">
        <v>0</v>
      </c>
      <c r="K46" s="190" t="str">
        <f t="shared" si="0"/>
        <v>4029/4030</v>
      </c>
      <c r="L46" s="196" t="str">
        <f>VLOOKUP(A46,'Trips&amp;Operators'!$C$1:$G$99911,5,FALSE)</f>
        <v>THOMPSON LESTER</v>
      </c>
      <c r="M46" s="181">
        <f t="shared" si="1"/>
        <v>2.47106481474475E-2</v>
      </c>
      <c r="N46" s="182">
        <f>24*60*SUM($M46:$M46)</f>
        <v>35.583333332324401</v>
      </c>
      <c r="O46" s="182"/>
      <c r="P46" s="182"/>
      <c r="Q46" s="185"/>
      <c r="R46" s="197"/>
      <c r="S46" s="241">
        <f t="shared" si="42"/>
        <v>1</v>
      </c>
      <c r="T46" s="220" t="str">
        <f t="shared" si="4"/>
        <v>NorthBound</v>
      </c>
      <c r="U46" s="22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21" t="str">
        <f t="shared" si="5"/>
        <v>https://d0f6bd738d7f1b3e5a7ca70fe4ff75f0.us-east-1.aws.found.io/app/kibana#/discover/Steve-Slow-Train-Analysis-(2080s-and-2083s)?_g=(refreshInterval:(display:Off,pause:!f,section:0,value:0),time:(from:'2017-12-12T06:43:32-0700',mode:absolute,to:'2017-12-12T09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222" t="str">
        <f>IF(AA46&lt;VLOOKUP(AG46,Variables!$AC$3:$AD$8,2,FALSE),"Y","N")</f>
        <v>N</v>
      </c>
      <c r="X46" s="222">
        <f t="shared" si="41"/>
        <v>1</v>
      </c>
      <c r="Y46" s="222">
        <f t="shared" si="31"/>
        <v>5.0599999999999999E-2</v>
      </c>
      <c r="Z46" s="222">
        <f t="shared" si="32"/>
        <v>23.327000000000002</v>
      </c>
      <c r="AA46" s="222">
        <f t="shared" si="9"/>
        <v>23.276400000000002</v>
      </c>
      <c r="AB46" s="231" t="e">
        <f>VLOOKUP(A46,Enforcements!$C$7:$K$9,8,0)</f>
        <v>#N/A</v>
      </c>
      <c r="AC46" s="231" t="e">
        <f>VLOOKUP(A46,Enforcements!$C$7:$E$9,3,0)</f>
        <v>#N/A</v>
      </c>
      <c r="AD46" s="232">
        <f t="shared" si="10"/>
        <v>133</v>
      </c>
      <c r="AE46" s="233" t="str">
        <f t="shared" si="11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46" s="234" t="str">
        <f t="shared" si="12"/>
        <v>"C:\Program Files (x86)\AstroGrep\AstroGrep.exe" /e /r /s /spath="%USERPROFILE%\AppData\Local\Temp\OnboardLogs" /stypes="app*4030*20171212*" /stext=" 15:.+((SYSTEM_STATE.+slice.+state.+changed )|(ment ac)|(multiple cpu faults)|(system.+state.+changed )|(\[timeout)|(PRM\|1\|D)|(kpr)|(kdp)|(train st.+moving)|(\|lc)|(penalty))"</v>
      </c>
      <c r="AG46" s="226" t="str">
        <f t="shared" si="13"/>
        <v>EC</v>
      </c>
      <c r="AH46" s="189" t="str">
        <f t="shared" si="19"/>
        <v>"%USERPROFILE%\Documents\GitHub\eaglep3\Utilities\RefineRTDCRunTimes.py" --tripid 133-12 --locoid 4030 --swversion DE.1.0.9.0 --startMP 204:506 --initTime 2017-12-12T07:43:32 --startdatetime 2017-12-12T07:46:25 --delay 51 --endMP 204:233270 --enddatetime 2017-12-12T08:22:00 --enforcementcount 0 &gt;&gt;%USERPROFILE%\Documents\GitHub\eaglep3-reporting\EC\2017-12-12-refined-times.txt</v>
      </c>
      <c r="AI46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{"issue":{"subject":"","project_id":79,"tracker_id":40,"status_id":1,"priority_id":2,"assigned_to_id":338,"start_date":"2017-12-12","description":"","custom_fields":[{"id":1,"name":"Subdivision","value":"EC"},{"id":4,"name":"Milepost","value":"23.327"},{"id":17,"name":"Train ID","value":"133-12"},{"id":16,"name":"Locomotive ID","value":"4030"},{"id":130,"name":"Impact","value":""},{"id":150,"name":"Time of Event (Mountain Time)","value":"08:22:00"},{"id":151,"name":"Denver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180"/>
      <c r="AK46" s="188"/>
      <c r="AL46" s="188"/>
      <c r="AM46" s="193" t="str">
        <f t="shared" si="21"/>
        <v>start /low /b %USERPROFILE%\Documents\GitHub\eaglep3\Utilities\DownloadLogsFromS3.py --loco 4030 --day 2017-12-12</v>
      </c>
      <c r="AN46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87" t="str">
        <f t="shared" si="23"/>
        <v>https://d0f6bd738d7f1b3e5a7ca70fe4ff75f0.us-east-1.aws.found.io/app/kibana#/discover/Steve-Slow-Train-Analysis-(2080s-and-2083s)?_g=(refreshInterval:(display:Off,pause:!f,section:0,value:0),time:(from:'2017-12-12T06:43:32-0700',mode:absolute,to:'2017-12-12T09:22:00-0700'))&amp;_a=(columns:!('Message%20ID',Summary),filters:!(),index:'emp_*',interval:auto,query:(query_string:(analyze_wildcard:!t,query:'%22rtdc.l.rtdc.4030%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186" t="s">
        <v>752</v>
      </c>
      <c r="B47" s="182">
        <v>4029</v>
      </c>
      <c r="C47" s="184" t="s">
        <v>192</v>
      </c>
      <c r="D47" s="184" t="s">
        <v>500</v>
      </c>
      <c r="E47" s="183">
        <v>43081.360509259262</v>
      </c>
      <c r="F47" s="183">
        <v>43081.362824074073</v>
      </c>
      <c r="G47" s="182">
        <v>59</v>
      </c>
      <c r="H47" s="184" t="s">
        <v>569</v>
      </c>
      <c r="I47" s="183">
        <v>43081.390902777777</v>
      </c>
      <c r="J47" s="182">
        <v>0</v>
      </c>
      <c r="K47" s="190" t="str">
        <f t="shared" si="0"/>
        <v>4029/4030</v>
      </c>
      <c r="L47" s="196" t="str">
        <f>VLOOKUP(A47,'Trips&amp;Operators'!$C$1:$G$99911,5,FALSE)</f>
        <v>THOMPSON LESTER</v>
      </c>
      <c r="M47" s="181">
        <f t="shared" si="1"/>
        <v>2.8078703704522923E-2</v>
      </c>
      <c r="N47" s="182">
        <f>24*60*SUM($M47:$M47)</f>
        <v>40.433333334513009</v>
      </c>
      <c r="O47" s="182"/>
      <c r="P47" s="182"/>
      <c r="Q47" s="185"/>
      <c r="R47" s="197"/>
      <c r="S47" s="241">
        <f t="shared" si="42"/>
        <v>1</v>
      </c>
      <c r="T47" s="220" t="str">
        <f t="shared" si="4"/>
        <v>Southbound</v>
      </c>
      <c r="U47" s="22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21" t="str">
        <f t="shared" si="5"/>
        <v>https://d0f6bd738d7f1b3e5a7ca70fe4ff75f0.us-east-1.aws.found.io/app/kibana#/discover/Steve-Slow-Train-Analysis-(2080s-and-2083s)?_g=(refreshInterval:(display:Off,pause:!f,section:0,value:0),time:(from:'2017-12-12T07:39:08-0700',mode:absolute,to:'2017-12-12T10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222" t="str">
        <f>IF(AA47&lt;VLOOKUP(AG47,Variables!$AC$3:$AD$8,2,FALSE),"Y","N")</f>
        <v>N</v>
      </c>
      <c r="X47" s="222">
        <f t="shared" si="41"/>
        <v>1</v>
      </c>
      <c r="Y47" s="222">
        <f t="shared" si="31"/>
        <v>23.2957</v>
      </c>
      <c r="Z47" s="222">
        <f t="shared" si="32"/>
        <v>1.7399999999999999E-2</v>
      </c>
      <c r="AA47" s="222">
        <f t="shared" si="9"/>
        <v>23.278300000000002</v>
      </c>
      <c r="AB47" s="231" t="e">
        <f>VLOOKUP(A47,Enforcements!$C$7:$K$9,8,0)</f>
        <v>#N/A</v>
      </c>
      <c r="AC47" s="231" t="e">
        <f>VLOOKUP(A47,Enforcements!$C$7:$E$9,3,0)</f>
        <v>#N/A</v>
      </c>
      <c r="AD47" s="232">
        <f t="shared" si="10"/>
        <v>134</v>
      </c>
      <c r="AE47" s="233" t="str">
        <f t="shared" si="11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47" s="234" t="str">
        <f t="shared" si="12"/>
        <v>"C:\Program Files (x86)\AstroGrep\AstroGrep.exe" /e /r /s /spath="%USERPROFILE%\AppData\Local\Temp\OnboardLogs" /stypes="app*4029*20171212*" /stext=" 16:.+((SYSTEM_STATE.+slice.+state.+changed )|(ment ac)|(multiple cpu faults)|(system.+state.+changed )|(\[timeout)|(PRM\|1\|D)|(kpr)|(kdp)|(train st.+moving)|(\|lc)|(penalty))"</v>
      </c>
      <c r="AG47" s="226" t="str">
        <f t="shared" si="13"/>
        <v>EC</v>
      </c>
      <c r="AH47" s="189" t="str">
        <f t="shared" si="19"/>
        <v>"%USERPROFILE%\Documents\GitHub\eaglep3\Utilities\RefineRTDCRunTimes.py" --tripid 134-12 --locoid 4029 --swversion DE.1.0.9.0 --startMP 204:232957 --initTime 2017-12-12T08:39:08 --startdatetime 2017-12-12T08:42:28 --delay 59 --endMP 204:174 --enddatetime 2017-12-12T09:22:54 --enforcementcount 0 &gt;&gt;%USERPROFILE%\Documents\GitHub\eaglep3-reporting\EC\2017-12-12-refined-times.txt</v>
      </c>
      <c r="AI47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{"issue":{"subject":"","project_id":79,"tracker_id":40,"status_id":1,"priority_id":2,"assigned_to_id":338,"start_date":"2017-12-12","description":"","custom_fields":[{"id":1,"name":"Subdivision","value":"EC"},{"id":4,"name":"Milepost","value":"0.0174"},{"id":17,"name":"Train ID","value":"134-12"},{"id":16,"name":"Locomotive ID","value":"4029"},{"id":130,"name":"Impact","value":""},{"id":150,"name":"Time of Event (Mountain Time)","value":"09:22:54"},{"id":151,"name":"Denver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180"/>
      <c r="AK47" s="188"/>
      <c r="AL47" s="188"/>
      <c r="AM47" s="193" t="str">
        <f t="shared" si="21"/>
        <v>start /low /b %USERPROFILE%\Documents\GitHub\eaglep3\Utilities\DownloadLogsFromS3.py --loco 4029 --day 2017-12-12</v>
      </c>
      <c r="AN47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87" t="str">
        <f t="shared" si="23"/>
        <v>https://d0f6bd738d7f1b3e5a7ca70fe4ff75f0.us-east-1.aws.found.io/app/kibana#/discover/Steve-Slow-Train-Analysis-(2080s-and-2083s)?_g=(refreshInterval:(display:Off,pause:!f,section:0,value:0),time:(from:'2017-12-12T07:39:08-0700',mode:absolute,to:'2017-12-12T10:22:54-0700'))&amp;_a=(columns:!('Message%20ID',Summary),filters:!(),index:'emp_*',interval:auto,query:(query_string:(analyze_wildcard:!t,query:'%22rtdc.l.rtdc.4029%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186" t="s">
        <v>741</v>
      </c>
      <c r="B48" s="182">
        <v>4016</v>
      </c>
      <c r="C48" s="184" t="s">
        <v>192</v>
      </c>
      <c r="D48" s="184" t="s">
        <v>488</v>
      </c>
      <c r="E48" s="183">
        <v>43081.33021990741</v>
      </c>
      <c r="F48" s="183">
        <v>43081.333599537036</v>
      </c>
      <c r="G48" s="182">
        <v>68</v>
      </c>
      <c r="H48" s="184" t="s">
        <v>940</v>
      </c>
      <c r="I48" s="183">
        <v>43081.357442129629</v>
      </c>
      <c r="J48" s="182">
        <v>0</v>
      </c>
      <c r="K48" s="190" t="str">
        <f t="shared" si="0"/>
        <v>4015/4016</v>
      </c>
      <c r="L48" s="196" t="str">
        <f>VLOOKUP(A48,'Trips&amp;Operators'!$C$1:$G$99911,5,FALSE)</f>
        <v>BEAM ROSS</v>
      </c>
      <c r="M48" s="181">
        <f t="shared" si="1"/>
        <v>2.3842592592700385E-2</v>
      </c>
      <c r="N48" s="182">
        <f>24*60*SUM($M48:$M48)</f>
        <v>34.333333333488554</v>
      </c>
      <c r="O48" s="182"/>
      <c r="P48" s="182"/>
      <c r="Q48" s="185"/>
      <c r="R48" s="197"/>
      <c r="S48" s="241">
        <f t="shared" si="42"/>
        <v>1</v>
      </c>
      <c r="T48" s="220" t="str">
        <f t="shared" si="4"/>
        <v>NorthBound</v>
      </c>
      <c r="U48" s="22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1" t="str">
        <f t="shared" si="5"/>
        <v>https://d0f6bd738d7f1b3e5a7ca70fe4ff75f0.us-east-1.aws.found.io/app/kibana#/discover/Steve-Slow-Train-Analysis-(2080s-and-2083s)?_g=(refreshInterval:(display:Off,pause:!f,section:0,value:0),time:(from:'2017-12-12T06:55:31-0700',mode:absolute,to:'2017-12-12T09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8" s="222" t="str">
        <f>IF(AA48&lt;VLOOKUP(AG48,Variables!$AC$3:$AD$8,2,FALSE),"Y","N")</f>
        <v>N</v>
      </c>
      <c r="X48" s="222">
        <f t="shared" si="41"/>
        <v>1</v>
      </c>
      <c r="Y48" s="222">
        <f t="shared" si="31"/>
        <v>4.6399999999999997E-2</v>
      </c>
      <c r="Z48" s="222">
        <f t="shared" si="32"/>
        <v>23.3307</v>
      </c>
      <c r="AA48" s="222">
        <f t="shared" si="9"/>
        <v>23.284300000000002</v>
      </c>
      <c r="AB48" s="231" t="e">
        <f>VLOOKUP(A48,Enforcements!$C$7:$K$9,8,0)</f>
        <v>#N/A</v>
      </c>
      <c r="AC48" s="231" t="e">
        <f>VLOOKUP(A48,Enforcements!$C$7:$E$9,3,0)</f>
        <v>#N/A</v>
      </c>
      <c r="AD48" s="232">
        <f t="shared" si="10"/>
        <v>135</v>
      </c>
      <c r="AE48" s="233" t="str">
        <f t="shared" si="11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48" s="234" t="str">
        <f t="shared" si="12"/>
        <v>"C:\Program Files (x86)\AstroGrep\AstroGrep.exe" /e /r /s /spath="%USERPROFILE%\AppData\Local\Temp\OnboardLogs" /stypes="app*4016*20171212*" /stext=" 15:.+((SYSTEM_STATE.+slice.+state.+changed )|(ment ac)|(multiple cpu faults)|(system.+state.+changed )|(\[timeout)|(PRM\|1\|D)|(kpr)|(kdp)|(train st.+moving)|(\|lc)|(penalty))"</v>
      </c>
      <c r="AG48" s="226" t="str">
        <f t="shared" si="13"/>
        <v>EC</v>
      </c>
      <c r="AH48" s="189" t="str">
        <f t="shared" si="19"/>
        <v>"%USERPROFILE%\Documents\GitHub\eaglep3\Utilities\RefineRTDCRunTimes.py" --tripid 135-12 --locoid 4016 --swversion DE.1.0.9.0 --startMP 204:464 --initTime 2017-12-12T07:55:31 --startdatetime 2017-12-12T08:00:23 --delay 68 --endMP 204:233307 --enddatetime 2017-12-12T08:34:43 --enforcementcount 0 &gt;&gt;%USERPROFILE%\Documents\GitHub\eaglep3-reporting\EC\2017-12-12-refined-times.txt</v>
      </c>
      <c r="AI48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{"issue":{"subject":"","project_id":79,"tracker_id":40,"status_id":1,"priority_id":2,"assigned_to_id":338,"start_date":"2017-12-12","description":"","custom_fields":[{"id":1,"name":"Subdivision","value":"EC"},{"id":4,"name":"Milepost","value":"23.3307"},{"id":17,"name":"Train ID","value":"135-12"},{"id":16,"name":"Locomotive ID","value":"4016"},{"id":130,"name":"Impact","value":""},{"id":150,"name":"Time of Event (Mountain Time)","value":"08:34:43"},{"id":151,"name":"Denver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180"/>
      <c r="AK48" s="188"/>
      <c r="AL48" s="188"/>
      <c r="AM48" s="193" t="str">
        <f t="shared" si="21"/>
        <v>start /low /b %USERPROFILE%\Documents\GitHub\eaglep3\Utilities\DownloadLogsFromS3.py --loco 4016 --day 2017-12-12</v>
      </c>
      <c r="AN48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87" t="str">
        <f t="shared" si="23"/>
        <v>https://d0f6bd738d7f1b3e5a7ca70fe4ff75f0.us-east-1.aws.found.io/app/kibana#/discover/Steve-Slow-Train-Analysis-(2080s-and-2083s)?_g=(refreshInterval:(display:Off,pause:!f,section:0,value:0),time:(from:'2017-12-12T06:55:31-0700',mode:absolute,to:'2017-12-12T09:34:43-0700'))&amp;_a=(columns:!('Message%20ID',Summary),filters:!(),index:'emp_*',interval:auto,query:(query_string:(analyze_wildcard:!t,query:'%22rtdc.l.rtdc.4016%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186" t="s">
        <v>750</v>
      </c>
      <c r="B49" s="182">
        <v>4015</v>
      </c>
      <c r="C49" s="184" t="s">
        <v>192</v>
      </c>
      <c r="D49" s="184" t="s">
        <v>625</v>
      </c>
      <c r="E49" s="183">
        <v>43081.358657407407</v>
      </c>
      <c r="F49" s="183">
        <v>43081.373159722221</v>
      </c>
      <c r="G49" s="182">
        <v>61</v>
      </c>
      <c r="H49" s="184" t="s">
        <v>935</v>
      </c>
      <c r="I49" s="183">
        <v>43081.398460648146</v>
      </c>
      <c r="J49" s="182">
        <v>0</v>
      </c>
      <c r="K49" s="190" t="str">
        <f t="shared" si="0"/>
        <v>4015/4016</v>
      </c>
      <c r="L49" s="196" t="str">
        <f>VLOOKUP(A49,'Trips&amp;Operators'!$C$1:$G$99911,5,FALSE)</f>
        <v>BEAM ROSS</v>
      </c>
      <c r="M49" s="181">
        <f t="shared" si="1"/>
        <v>2.5300925924966577E-2</v>
      </c>
      <c r="N49" s="182">
        <f>24*60*SUM($M49:$M49)</f>
        <v>36.433333331951872</v>
      </c>
      <c r="O49" s="182"/>
      <c r="P49" s="182"/>
      <c r="Q49" s="185"/>
      <c r="R49" s="197"/>
      <c r="S49" s="241">
        <f t="shared" si="42"/>
        <v>1</v>
      </c>
      <c r="T49" s="220" t="str">
        <f t="shared" si="4"/>
        <v>Southbound</v>
      </c>
      <c r="U49" s="22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1" t="str">
        <f t="shared" si="5"/>
        <v>https://d0f6bd738d7f1b3e5a7ca70fe4ff75f0.us-east-1.aws.found.io/app/kibana#/discover/Steve-Slow-Train-Analysis-(2080s-and-2083s)?_g=(refreshInterval:(display:Off,pause:!f,section:0,value:0),time:(from:'2017-12-12T07:36:28-0700',mode:absolute,to:'2017-12-12T10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9" s="222" t="str">
        <f>IF(AA49&lt;VLOOKUP(AG49,Variables!$AC$3:$AD$8,2,FALSE),"Y","N")</f>
        <v>N</v>
      </c>
      <c r="X49" s="222">
        <f t="shared" si="41"/>
        <v>1</v>
      </c>
      <c r="Y49" s="222">
        <f t="shared" si="31"/>
        <v>23.297799999999999</v>
      </c>
      <c r="Z49" s="222">
        <f t="shared" si="32"/>
        <v>1.47E-2</v>
      </c>
      <c r="AA49" s="222">
        <f t="shared" si="9"/>
        <v>23.283099999999997</v>
      </c>
      <c r="AB49" s="231" t="e">
        <f>VLOOKUP(A49,Enforcements!$C$7:$K$9,8,0)</f>
        <v>#N/A</v>
      </c>
      <c r="AC49" s="231" t="e">
        <f>VLOOKUP(A49,Enforcements!$C$7:$E$9,3,0)</f>
        <v>#N/A</v>
      </c>
      <c r="AD49" s="232">
        <f t="shared" si="10"/>
        <v>136</v>
      </c>
      <c r="AE49" s="233" t="str">
        <f t="shared" si="11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49" s="234" t="str">
        <f t="shared" si="12"/>
        <v>"C:\Program Files (x86)\AstroGrep\AstroGrep.exe" /e /r /s /spath="%USERPROFILE%\AppData\Local\Temp\OnboardLogs" /stypes="app*4015*20171212*" /stext=" 16:.+((SYSTEM_STATE.+slice.+state.+changed )|(ment ac)|(multiple cpu faults)|(system.+state.+changed )|(\[timeout)|(PRM\|1\|D)|(kpr)|(kdp)|(train st.+moving)|(\|lc)|(penalty))"</v>
      </c>
      <c r="AG49" s="226" t="str">
        <f t="shared" si="13"/>
        <v>EC</v>
      </c>
      <c r="AH49" s="189" t="str">
        <f t="shared" si="19"/>
        <v>"%USERPROFILE%\Documents\GitHub\eaglep3\Utilities\RefineRTDCRunTimes.py" --tripid 136-12 --locoid 4015 --swversion DE.1.0.9.0 --startMP 204:232978 --initTime 2017-12-12T08:36:28 --startdatetime 2017-12-12T08:57:21 --delay 61 --endMP 204:147 --enddatetime 2017-12-12T09:33:47 --enforcementcount 0 &gt;&gt;%USERPROFILE%\Documents\GitHub\eaglep3-reporting\EC\2017-12-12-refined-times.txt</v>
      </c>
      <c r="AI49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{"issue":{"subject":"","project_id":79,"tracker_id":40,"status_id":1,"priority_id":2,"assigned_to_id":338,"start_date":"2017-12-12","description":"","custom_fields":[{"id":1,"name":"Subdivision","value":"EC"},{"id":4,"name":"Milepost","value":"0.0147"},{"id":17,"name":"Train ID","value":"136-12"},{"id":16,"name":"Locomotive ID","value":"4015"},{"id":130,"name":"Impact","value":""},{"id":150,"name":"Time of Event (Mountain Time)","value":"09:33:47"},{"id":151,"name":"Denver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180"/>
      <c r="AK49" s="188"/>
      <c r="AL49" s="188"/>
      <c r="AM49" s="193" t="str">
        <f t="shared" si="21"/>
        <v>start /low /b %USERPROFILE%\Documents\GitHub\eaglep3\Utilities\DownloadLogsFromS3.py --loco 4015 --day 2017-12-12</v>
      </c>
      <c r="AN49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87" t="str">
        <f t="shared" si="23"/>
        <v>https://d0f6bd738d7f1b3e5a7ca70fe4ff75f0.us-east-1.aws.found.io/app/kibana#/discover/Steve-Slow-Train-Analysis-(2080s-and-2083s)?_g=(refreshInterval:(display:Off,pause:!f,section:0,value:0),time:(from:'2017-12-12T07:36:28-0700',mode:absolute,to:'2017-12-12T10:33:47-0700'))&amp;_a=(columns:!('Message%20ID',Summary),filters:!(),index:'emp_*',interval:auto,query:(query_string:(analyze_wildcard:!t,query:'%22rtdc.l.rtdc.4015%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186" t="s">
        <v>676</v>
      </c>
      <c r="B50" s="182">
        <v>4058</v>
      </c>
      <c r="C50" s="184" t="s">
        <v>192</v>
      </c>
      <c r="D50" s="184" t="s">
        <v>560</v>
      </c>
      <c r="E50" s="183">
        <v>43081.338530092595</v>
      </c>
      <c r="F50" s="183">
        <v>43081.341458333336</v>
      </c>
      <c r="G50" s="182">
        <v>246</v>
      </c>
      <c r="H50" s="184" t="s">
        <v>941</v>
      </c>
      <c r="I50" s="183">
        <v>43081.371053240742</v>
      </c>
      <c r="J50" s="182">
        <v>0</v>
      </c>
      <c r="K50" s="190" t="str">
        <f t="shared" si="0"/>
        <v>4057/4058</v>
      </c>
      <c r="L50" s="196" t="str">
        <f>VLOOKUP(A50,'Trips&amp;Operators'!$C$1:$G$99911,5,FALSE)</f>
        <v>LAMAR NEKESHA</v>
      </c>
      <c r="M50" s="181">
        <f t="shared" si="1"/>
        <v>2.9594907406135462E-2</v>
      </c>
      <c r="N50" s="182"/>
      <c r="O50" s="182"/>
      <c r="P50" s="182">
        <f>24*60*SUM($M50:$M50)</f>
        <v>42.616666664835066</v>
      </c>
      <c r="Q50" s="185"/>
      <c r="R50" s="197" t="s">
        <v>1087</v>
      </c>
      <c r="S50" s="241">
        <f>1/IF(AG50="EC",12,1)*SUM(U50:U51)</f>
        <v>0.25</v>
      </c>
      <c r="T50" s="220" t="str">
        <f t="shared" si="4"/>
        <v>NorthBound</v>
      </c>
      <c r="U50" s="22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221" t="str">
        <f t="shared" si="5"/>
        <v>https://d0f6bd738d7f1b3e5a7ca70fe4ff75f0.us-east-1.aws.found.io/app/kibana#/discover/Steve-Slow-Train-Analysis-(2080s-and-2083s)?_g=(refreshInterval:(display:Off,pause:!f,section:0,value:0),time:(from:'2017-12-12T07:07:29-0700',mode:absolute,to:'2017-12-12T09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0" s="222" t="str">
        <f>IF(AA50&lt;VLOOKUP(AG50,Variables!$AC$3:$AD$8,2,FALSE),"Y","N")</f>
        <v>Y</v>
      </c>
      <c r="X50" s="222">
        <f t="shared" si="41"/>
        <v>1</v>
      </c>
      <c r="Y50" s="222">
        <f t="shared" si="31"/>
        <v>4.8000000000000001E-2</v>
      </c>
      <c r="Z50" s="222">
        <f t="shared" si="32"/>
        <v>1.9125000000000001</v>
      </c>
      <c r="AA50" s="222">
        <f t="shared" si="9"/>
        <v>1.8645</v>
      </c>
      <c r="AB50" s="231" t="e">
        <f>VLOOKUP(A50,Enforcements!$C$7:$K$9,8,0)</f>
        <v>#N/A</v>
      </c>
      <c r="AC50" s="231" t="e">
        <f>VLOOKUP(A50,Enforcements!$C$7:$E$9,3,0)</f>
        <v>#N/A</v>
      </c>
      <c r="AD50" s="232">
        <f t="shared" si="10"/>
        <v>137</v>
      </c>
      <c r="AE50" s="233" t="str">
        <f t="shared" si="11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50" s="234" t="str">
        <f t="shared" si="12"/>
        <v>"C:\Program Files (x86)\AstroGrep\AstroGrep.exe" /e /r /s /spath="%USERPROFILE%\AppData\Local\Temp\OnboardLogs" /stypes="app*4058*20171212*" /stext=" 15:.+((SYSTEM_STATE.+slice.+state.+changed )|(ment ac)|(multiple cpu faults)|(system.+state.+changed )|(\[timeout)|(PRM\|1\|D)|(kpr)|(kdp)|(train st.+moving)|(\|lc)|(penalty))"</v>
      </c>
      <c r="AG50" s="226" t="str">
        <f t="shared" si="13"/>
        <v>EC</v>
      </c>
      <c r="AH50" s="189" t="str">
        <f t="shared" si="19"/>
        <v>"%USERPROFILE%\Documents\GitHub\eaglep3\Utilities\RefineRTDCRunTimes.py" --tripid 137-12 --locoid 4058 --swversion DE.1.0.9.0 --startMP 204:480 --initTime 2017-12-12T08:07:29 --startdatetime 2017-12-12T08:11:42 --delay 246 --endMP 204:19125 --enddatetime 2017-12-12T08:54:19 --enforcementcount 0 &gt;&gt;%USERPROFILE%\Documents\GitHub\eaglep3-reporting\EC\2017-12-12-refined-times.txt</v>
      </c>
      <c r="AI50" s="191" t="str">
        <f t="shared" si="20"/>
        <v>echo {"issue":{"subject":"BOS issue during bulletin transmission, cut out train","project_id":79,"tracker_id":40,"status_id":1,"priority_id":2,"assigned_to_id":338,"start_date":"2017-12-12","description":"","custom_fields":[{"id":1,"name":"Subdivision","value":"EC"},{"id":4,"name":"Milepost","value":"1.9125"},{"id":17,"name":"Train ID","value":"137-12"},{"id":16,"name":"Locomotive ID","value":"4058"},{"id":130,"name":"Impact","value":""},{"id":150,"name":"Time of Event (Mountain Time)","value":"08:54:19"},{"id":151,"name":"Denver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180"/>
      <c r="AK50" s="188"/>
      <c r="AL50" s="188"/>
      <c r="AM50" s="193" t="str">
        <f t="shared" si="21"/>
        <v>start /low /b %USERPROFILE%\Documents\GitHub\eaglep3\Utilities\DownloadLogsFromS3.py --loco 4058 --day 2017-12-12</v>
      </c>
      <c r="AN50" s="194" t="str">
        <f t="shared" si="22"/>
        <v>echo {"issue":{"subject":"BOS issue during bulletin transmission, cut out train","project_id":30,"tracker_id":4,"status_id":1,"priority_id":1,"assigned_to_id":10,"start_date":"2017-12-12","description":"","custom_fields":[{"id":30,"name":"Category","value":"Issue"},{"id":3,"name":"Functional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87" t="str">
        <f t="shared" si="23"/>
        <v>https://d0f6bd738d7f1b3e5a7ca70fe4ff75f0.us-east-1.aws.found.io/app/kibana#/discover/Steve-Slow-Train-Analysis-(2080s-and-2083s)?_g=(refreshInterval:(display:Off,pause:!f,section:0,value:0),time:(from:'2017-12-12T07:07:29-0700',mode:absolute,to:'2017-12-12T09:54:19-0700'))&amp;_a=(columns:!('Message%20ID',Summary),filters:!(),index:'emp_*',interval:auto,query:(query_string:(analyze_wildcard:!t,query:'%22rtdc.l.rtdc.4058%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186" t="s">
        <v>676</v>
      </c>
      <c r="B51" s="182">
        <v>4058</v>
      </c>
      <c r="C51" s="184" t="s">
        <v>192</v>
      </c>
      <c r="D51" s="184" t="s">
        <v>560</v>
      </c>
      <c r="E51" s="183">
        <v>43081.338530092595</v>
      </c>
      <c r="F51" s="183">
        <v>43081.341458333336</v>
      </c>
      <c r="G51" s="182">
        <v>246</v>
      </c>
      <c r="H51" s="184" t="s">
        <v>941</v>
      </c>
      <c r="I51" s="183">
        <v>43081.371053240742</v>
      </c>
      <c r="J51" s="182">
        <v>0</v>
      </c>
      <c r="K51" s="190" t="str">
        <f t="shared" si="0"/>
        <v>4057/4058</v>
      </c>
      <c r="L51" s="196" t="str">
        <f>VLOOKUP(A51,'Trips&amp;Operators'!$C$1:$G$99911,5,FALSE)</f>
        <v>LAMAR NEKESHA</v>
      </c>
      <c r="M51" s="181">
        <f t="shared" si="1"/>
        <v>2.9594907406135462E-2</v>
      </c>
      <c r="N51" s="182"/>
      <c r="O51" s="182"/>
      <c r="P51" s="182"/>
      <c r="Q51" s="185"/>
      <c r="R51" s="197"/>
      <c r="S51" s="241"/>
      <c r="T51" s="220" t="str">
        <f t="shared" si="4"/>
        <v>NorthBound</v>
      </c>
      <c r="U51" s="22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3</v>
      </c>
      <c r="V51" s="221" t="str">
        <f t="shared" si="5"/>
        <v>https://d0f6bd738d7f1b3e5a7ca70fe4ff75f0.us-east-1.aws.found.io/app/kibana#/discover/Steve-Slow-Train-Analysis-(2080s-and-2083s)?_g=(refreshInterval:(display:Off,pause:!f,section:0,value:0),time:(from:'2017-12-12T07:07:29-0700',mode:absolute,to:'2017-12-12T09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1" s="222" t="str">
        <f>IF(AA51&lt;VLOOKUP(AG51,Variables!$AC$3:$AD$8,2,FALSE),"Y","N")</f>
        <v>Y</v>
      </c>
      <c r="X51" s="222">
        <f t="shared" ref="X51:X52" si="43">VALUE(LEFT(AD51,4))-VALUE(LEFT(AD50,4))</f>
        <v>0</v>
      </c>
      <c r="Y51" s="222">
        <v>6.47</v>
      </c>
      <c r="Z51" s="222">
        <v>23.3</v>
      </c>
      <c r="AA51" s="222">
        <f t="shared" si="9"/>
        <v>16.830000000000002</v>
      </c>
      <c r="AB51" s="231" t="e">
        <f>VLOOKUP(A51,Enforcements!$C$7:$K$9,8,0)</f>
        <v>#N/A</v>
      </c>
      <c r="AC51" s="231" t="e">
        <f>VLOOKUP(A51,Enforcements!$C$7:$E$9,3,0)</f>
        <v>#N/A</v>
      </c>
      <c r="AD51" s="232">
        <f t="shared" si="10"/>
        <v>137</v>
      </c>
      <c r="AE51" s="233" t="str">
        <f t="shared" si="11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51" s="234" t="str">
        <f t="shared" si="12"/>
        <v>"C:\Program Files (x86)\AstroGrep\AstroGrep.exe" /e /r /s /spath="%USERPROFILE%\AppData\Local\Temp\OnboardLogs" /stypes="app*4058*20171212*" /stext=" 15:.+((SYSTEM_STATE.+slice.+state.+changed )|(ment ac)|(multiple cpu faults)|(system.+state.+changed )|(\[timeout)|(PRM\|1\|D)|(kpr)|(kdp)|(train st.+moving)|(\|lc)|(penalty))"</v>
      </c>
      <c r="AG51" s="226" t="str">
        <f t="shared" si="13"/>
        <v>EC</v>
      </c>
      <c r="AH51" s="189" t="str">
        <f t="shared" ref="AH51" si="44"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137-12 --locoid 4058 --swversion DE.1.0.9.0 --startMP 204:480 --initTime 2017-12-12T08:07:29 --startdatetime 2017-12-12T08:11:42 --delay 246 --endMP 204:19125 --enddatetime 2017-12-12T08:54:19 --enforcementcount 0 &gt;&gt;%USERPROFILE%\Documents\GitHub\eaglep3-reporting\EC\2017-12-12-refined-times.txt</v>
      </c>
      <c r="AI51" s="191" t="str">
        <f t="shared" ref="AI51" si="45"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{"issue":{"subject":"","project_id":79,"tracker_id":40,"status_id":1,"priority_id":2,"assigned_to_id":338,"start_date":"2017-12-12","description":"","custom_fields":[{"id":1,"name":"Subdivision","value":"EC"},{"id":4,"name":"Milepost","value":"23.3"},{"id":17,"name":"Train ID","value":"137-12"},{"id":16,"name":"Locomotive ID","value":"4058"},{"id":130,"name":"Impact","value":""},{"id":150,"name":"Time of Event (Mountain Time)","value":"08:54:19"},{"id":151,"name":"Denver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180"/>
      <c r="AK51" s="188"/>
      <c r="AL51" s="188"/>
      <c r="AM51" s="193" t="str">
        <f t="shared" ref="AM51" si="46">"start /low /b "&amp;dls3logs&amp;" --loco "&amp;B51&amp;" --day "&amp;TEXT(F51,"YYYY-MM-DD")</f>
        <v>start /low /b %USERPROFILE%\Documents\GitHub\eaglep3\Utilities\DownloadLogsFromS3.py --loco 4058 --day 2017-12-12</v>
      </c>
      <c r="AN51" s="194" t="str">
        <f t="shared" ref="AN51" si="47">"echo {""issue"":{""subject"":"""&amp;R51&amp;""",""project_id"":30,""tracker_id"":4,""status_id"":"&amp;redmine_status_wcr&amp;",""priority_id"":"&amp;redmine_priority_wcr&amp;",""assigned_to_id"":"&amp;redmine_assignee_wcr&amp;",""start_date"":"""&amp;TEXT(I51-utc_offset/24,"YYYY-mm-dd")&amp;""",""description"":"""&amp;AJ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87" t="str">
        <f t="shared" ref="AO51" si="48"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Message%20ID',Summary),filters:!(),index:'emp_*',interval:auto,query:"&amp;"(query_string:(analyze_wildcard:!t,query:'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-12T07:07:29-0700',mode:absolute,to:'2017-12-12T09:54:19-0700'))&amp;_a=(columns:!('Message%20ID',Summary),filters:!(),index:'emp_*',interval:auto,query:(query_string:(analyze_wildcard:!t,query:'%22rtdc.l.rtdc.4058%22')),sort:!(Time.ISO8601,asc))</v>
      </c>
      <c r="AP51" s="180"/>
      <c r="AQ51" s="180"/>
      <c r="AR51" s="180"/>
      <c r="AS51" s="180"/>
      <c r="AT51" s="180"/>
      <c r="AU51" s="180"/>
      <c r="AV51" s="180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0"/>
      <c r="BR51" s="180"/>
      <c r="BS51" s="180"/>
      <c r="BT51" s="180"/>
      <c r="BU51" s="180"/>
      <c r="BV51" s="180"/>
      <c r="BW51" s="180"/>
      <c r="BX51" s="180"/>
      <c r="BY51" s="180"/>
      <c r="BZ51" s="180"/>
      <c r="CA51" s="180"/>
      <c r="CB51" s="180"/>
      <c r="CC51" s="180"/>
      <c r="CD51" s="180"/>
      <c r="CE51" s="180"/>
      <c r="CF51" s="180"/>
      <c r="CG51" s="180"/>
      <c r="CH51" s="180"/>
      <c r="CI51" s="180"/>
      <c r="CJ51" s="180"/>
      <c r="CK51" s="180"/>
      <c r="CL51" s="180"/>
      <c r="CM51" s="180"/>
    </row>
    <row r="52" spans="1:91" s="1" customFormat="1" x14ac:dyDescent="0.25">
      <c r="A52" s="186" t="s">
        <v>754</v>
      </c>
      <c r="B52" s="182">
        <v>4057</v>
      </c>
      <c r="C52" s="184" t="s">
        <v>192</v>
      </c>
      <c r="D52" s="184" t="s">
        <v>500</v>
      </c>
      <c r="E52" s="183">
        <v>43081.380196759259</v>
      </c>
      <c r="F52" s="183">
        <v>43081.383530092593</v>
      </c>
      <c r="G52" s="182">
        <v>56</v>
      </c>
      <c r="H52" s="184" t="s">
        <v>638</v>
      </c>
      <c r="I52" s="183">
        <v>43081.409097222226</v>
      </c>
      <c r="J52" s="182">
        <v>0</v>
      </c>
      <c r="K52" s="190" t="str">
        <f t="shared" si="0"/>
        <v>4057/4058</v>
      </c>
      <c r="L52" s="196" t="str">
        <f>VLOOKUP(A52,'Trips&amp;Operators'!$C$1:$G$99911,5,FALSE)</f>
        <v>LAMAR NEKESHA</v>
      </c>
      <c r="M52" s="181">
        <f t="shared" si="1"/>
        <v>2.5567129632690921E-2</v>
      </c>
      <c r="N52" s="182">
        <f t="shared" ref="N52:N72" si="49">24*60*SUM($M52:$M52)</f>
        <v>36.816666671074927</v>
      </c>
      <c r="O52" s="182"/>
      <c r="P52" s="182"/>
      <c r="Q52" s="185"/>
      <c r="R52" s="197"/>
      <c r="S52" s="241">
        <f t="shared" ref="S52:S73" si="50">1/IF(AG52="EC",12,1)*SUM(U52:U52)</f>
        <v>1</v>
      </c>
      <c r="T52" s="220" t="str">
        <f t="shared" si="4"/>
        <v>Southbound</v>
      </c>
      <c r="U52" s="22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1" t="str">
        <f t="shared" si="5"/>
        <v>https://d0f6bd738d7f1b3e5a7ca70fe4ff75f0.us-east-1.aws.found.io/app/kibana#/discover/Steve-Slow-Train-Analysis-(2080s-and-2083s)?_g=(refreshInterval:(display:Off,pause:!f,section:0,value:0),time:(from:'2017-12-12T08:07:29-0700',mode:absolute,to:'2017-12-12T10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2" s="222" t="str">
        <f>IF(AA52&lt;VLOOKUP(AG52,Variables!$AC$3:$AD$8,2,FALSE),"Y","N")</f>
        <v>N</v>
      </c>
      <c r="X52" s="222">
        <f t="shared" si="43"/>
        <v>1</v>
      </c>
      <c r="Y52" s="222">
        <f t="shared" ref="Y52:Y83" si="51">RIGHT(D52,LEN(D52)-4)/10000</f>
        <v>23.2957</v>
      </c>
      <c r="Z52" s="222">
        <f t="shared" ref="Z52:Z83" si="52">RIGHT(H52,LEN(H52)-4)/10000</f>
        <v>0.02</v>
      </c>
      <c r="AA52" s="222">
        <f t="shared" si="9"/>
        <v>23.275700000000001</v>
      </c>
      <c r="AB52" s="231" t="e">
        <f>VLOOKUP(A52,Enforcements!$C$7:$K$9,8,0)</f>
        <v>#N/A</v>
      </c>
      <c r="AC52" s="231" t="e">
        <f>VLOOKUP(A52,Enforcements!$C$7:$E$9,3,0)</f>
        <v>#N/A</v>
      </c>
      <c r="AD52" s="232">
        <f t="shared" si="10"/>
        <v>138</v>
      </c>
      <c r="AE52" s="233" t="str">
        <f t="shared" si="11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52" s="234" t="str">
        <f t="shared" si="12"/>
        <v>"C:\Program Files (x86)\AstroGrep\AstroGrep.exe" /e /r /s /spath="%USERPROFILE%\AppData\Local\Temp\OnboardLogs" /stypes="app*4057*20171212*" /stext=" 16:.+((SYSTEM_STATE.+slice.+state.+changed )|(ment ac)|(multiple cpu faults)|(system.+state.+changed )|(\[timeout)|(PRM\|1\|D)|(kpr)|(kdp)|(train st.+moving)|(\|lc)|(penalty))"</v>
      </c>
      <c r="AG52" s="226" t="str">
        <f t="shared" si="13"/>
        <v>EC</v>
      </c>
      <c r="AH52" s="189" t="str">
        <f t="shared" si="19"/>
        <v>"%USERPROFILE%\Documents\GitHub\eaglep3\Utilities\RefineRTDCRunTimes.py" --tripid 138-12 --locoid 4057 --swversion DE.1.0.9.0 --startMP 204:232957 --initTime 2017-12-12T09:07:29 --startdatetime 2017-12-12T09:12:17 --delay 56 --endMP 204:200 --enddatetime 2017-12-12T09:49:06 --enforcementcount 0 &gt;&gt;%USERPROFILE%\Documents\GitHub\eaglep3-reporting\EC\2017-12-12-refined-times.txt</v>
      </c>
      <c r="AI52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{"issue":{"subject":"","project_id":79,"tracker_id":40,"status_id":1,"priority_id":2,"assigned_to_id":338,"start_date":"2017-12-12","description":"","custom_fields":[{"id":1,"name":"Subdivision","value":"EC"},{"id":4,"name":"Milepost","value":"0.02"},{"id":17,"name":"Train ID","value":"138-12"},{"id":16,"name":"Locomotive ID","value":"4057"},{"id":130,"name":"Impact","value":""},{"id":150,"name":"Time of Event (Mountain Time)","value":"09:49:06"},{"id":151,"name":"Denver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180"/>
      <c r="AK52" s="188"/>
      <c r="AL52" s="188"/>
      <c r="AM52" s="193" t="str">
        <f t="shared" si="21"/>
        <v>start /low /b %USERPROFILE%\Documents\GitHub\eaglep3\Utilities\DownloadLogsFromS3.py --loco 4057 --day 2017-12-12</v>
      </c>
      <c r="AN52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87" t="str">
        <f t="shared" si="23"/>
        <v>https://d0f6bd738d7f1b3e5a7ca70fe4ff75f0.us-east-1.aws.found.io/app/kibana#/discover/Steve-Slow-Train-Analysis-(2080s-and-2083s)?_g=(refreshInterval:(display:Off,pause:!f,section:0,value:0),time:(from:'2017-12-12T08:07:29-0700',mode:absolute,to:'2017-12-12T10:49:06-0700'))&amp;_a=(columns:!('Message%20ID',Summary),filters:!(),index:'emp_*',interval:auto,query:(query_string:(analyze_wildcard:!t,query:'%22rtdc.l.rtdc.4057%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186" t="s">
        <v>675</v>
      </c>
      <c r="B53" s="182">
        <v>4006</v>
      </c>
      <c r="C53" s="184" t="s">
        <v>192</v>
      </c>
      <c r="D53" s="184" t="s">
        <v>942</v>
      </c>
      <c r="E53" s="183">
        <v>43081.349282407406</v>
      </c>
      <c r="F53" s="183">
        <v>43081.354328703703</v>
      </c>
      <c r="G53" s="182">
        <v>117</v>
      </c>
      <c r="H53" s="184" t="s">
        <v>626</v>
      </c>
      <c r="I53" s="183">
        <v>43081.378252314818</v>
      </c>
      <c r="J53" s="182">
        <v>0</v>
      </c>
      <c r="K53" s="190" t="str">
        <f t="shared" si="0"/>
        <v>4005/4006</v>
      </c>
      <c r="L53" s="196" t="str">
        <f>VLOOKUP(A53,'Trips&amp;Operators'!$C$1:$G$99911,5,FALSE)</f>
        <v>ROMERO CHAD</v>
      </c>
      <c r="M53" s="181">
        <f t="shared" si="1"/>
        <v>2.3923611115606036E-2</v>
      </c>
      <c r="N53" s="182">
        <f t="shared" si="49"/>
        <v>34.450000006472692</v>
      </c>
      <c r="O53" s="182"/>
      <c r="P53" s="182"/>
      <c r="Q53" s="185"/>
      <c r="R53" s="197"/>
      <c r="S53" s="241">
        <f t="shared" si="50"/>
        <v>1</v>
      </c>
      <c r="T53" s="220" t="str">
        <f t="shared" si="4"/>
        <v>NorthBound</v>
      </c>
      <c r="U53" s="22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21" t="str">
        <f t="shared" si="5"/>
        <v>https://d0f6bd738d7f1b3e5a7ca70fe4ff75f0.us-east-1.aws.found.io/app/kibana#/discover/Steve-Slow-Train-Analysis-(2080s-and-2083s)?_g=(refreshInterval:(display:Off,pause:!f,section:0,value:0),time:(from:'2017-12-12T07:22:58-0700',mode:absolute,to:'2017-12-12T10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3" s="222" t="str">
        <f>IF(AA53&lt;VLOOKUP(AG53,Variables!$AC$3:$AD$8,2,FALSE),"Y","N")</f>
        <v>N</v>
      </c>
      <c r="X53" s="222">
        <f t="shared" ref="X53:X84" si="53">VALUE(LEFT(AD53,4))-VALUE(LEFT(AD52,4))</f>
        <v>1</v>
      </c>
      <c r="Y53" s="222">
        <f t="shared" si="51"/>
        <v>5.2200000000000003E-2</v>
      </c>
      <c r="Z53" s="222">
        <f t="shared" si="52"/>
        <v>23.327200000000001</v>
      </c>
      <c r="AA53" s="222">
        <f t="shared" si="9"/>
        <v>23.275000000000002</v>
      </c>
      <c r="AB53" s="231" t="e">
        <f>VLOOKUP(A53,Enforcements!$C$7:$K$9,8,0)</f>
        <v>#N/A</v>
      </c>
      <c r="AC53" s="231" t="e">
        <f>VLOOKUP(A53,Enforcements!$C$7:$E$9,3,0)</f>
        <v>#N/A</v>
      </c>
      <c r="AD53" s="232">
        <f t="shared" si="10"/>
        <v>139</v>
      </c>
      <c r="AE53" s="233" t="str">
        <f t="shared" si="11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53" s="234" t="str">
        <f t="shared" si="12"/>
        <v>"C:\Program Files (x86)\AstroGrep\AstroGrep.exe" /e /r /s /spath="%USERPROFILE%\AppData\Local\Temp\OnboardLogs" /stypes="app*4006*20171212*" /stext=" 16:.+((SYSTEM_STATE.+slice.+state.+changed )|(ment ac)|(multiple cpu faults)|(system.+state.+changed )|(\[timeout)|(PRM\|1\|D)|(kpr)|(kdp)|(train st.+moving)|(\|lc)|(penalty))"</v>
      </c>
      <c r="AG53" s="226" t="str">
        <f t="shared" si="13"/>
        <v>EC</v>
      </c>
      <c r="AH53" s="189" t="str">
        <f t="shared" si="19"/>
        <v>"%USERPROFILE%\Documents\GitHub\eaglep3\Utilities\RefineRTDCRunTimes.py" --tripid 139-12 --locoid 4006 --swversion DE.1.0.9.0 --startMP 204:522 --initTime 2017-12-12T08:22:58 --startdatetime 2017-12-12T08:30:14 --delay 117 --endMP 204:233272 --enddatetime 2017-12-12T09:04:41 --enforcementcount 0 &gt;&gt;%USERPROFILE%\Documents\GitHub\eaglep3-reporting\EC\2017-12-12-refined-times.txt</v>
      </c>
      <c r="AI53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{"issue":{"subject":"","project_id":79,"tracker_id":40,"status_id":1,"priority_id":2,"assigned_to_id":338,"start_date":"2017-12-12","description":"","custom_fields":[{"id":1,"name":"Subdivision","value":"EC"},{"id":4,"name":"Milepost","value":"23.3272"},{"id":17,"name":"Train ID","value":"139-12"},{"id":16,"name":"Locomotive ID","value":"4006"},{"id":130,"name":"Impact","value":""},{"id":150,"name":"Time of Event (Mountain Time)","value":"09:04:41"},{"id":151,"name":"Denver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180"/>
      <c r="AK53" s="188"/>
      <c r="AL53" s="188"/>
      <c r="AM53" s="193" t="str">
        <f t="shared" si="21"/>
        <v>start /low /b %USERPROFILE%\Documents\GitHub\eaglep3\Utilities\DownloadLogsFromS3.py --loco 4006 --day 2017-12-12</v>
      </c>
      <c r="AN53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87" t="str">
        <f t="shared" si="23"/>
        <v>https://d0f6bd738d7f1b3e5a7ca70fe4ff75f0.us-east-1.aws.found.io/app/kibana#/discover/Steve-Slow-Train-Analysis-(2080s-and-2083s)?_g=(refreshInterval:(display:Off,pause:!f,section:0,value:0),time:(from:'2017-12-12T07:22:58-0700',mode:absolute,to:'2017-12-12T10:04:41-0700'))&amp;_a=(columns:!('Message%20ID',Summary),filters:!(),index:'emp_*',interval:auto,query:(query_string:(analyze_wildcard:!t,query:'%22rtdc.l.rtdc.4006%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186" t="s">
        <v>755</v>
      </c>
      <c r="B54" s="182">
        <v>4005</v>
      </c>
      <c r="C54" s="184" t="s">
        <v>192</v>
      </c>
      <c r="D54" s="184" t="s">
        <v>616</v>
      </c>
      <c r="E54" s="183">
        <v>43081.379942129628</v>
      </c>
      <c r="F54" s="183">
        <v>43081.393912037034</v>
      </c>
      <c r="G54" s="182">
        <v>85</v>
      </c>
      <c r="H54" s="184" t="s">
        <v>412</v>
      </c>
      <c r="I54" s="183">
        <v>43081.419537037036</v>
      </c>
      <c r="J54" s="182">
        <v>0</v>
      </c>
      <c r="K54" s="190" t="str">
        <f t="shared" si="0"/>
        <v>4005/4006</v>
      </c>
      <c r="L54" s="196" t="str">
        <f>VLOOKUP(A54,'Trips&amp;Operators'!$C$1:$G$99911,5,FALSE)</f>
        <v>ROMERO CHAD</v>
      </c>
      <c r="M54" s="181">
        <f t="shared" si="1"/>
        <v>2.5625000002037268E-2</v>
      </c>
      <c r="N54" s="182">
        <f t="shared" si="49"/>
        <v>36.900000002933666</v>
      </c>
      <c r="O54" s="182"/>
      <c r="P54" s="182"/>
      <c r="Q54" s="185"/>
      <c r="R54" s="197"/>
      <c r="S54" s="241">
        <f t="shared" si="50"/>
        <v>1</v>
      </c>
      <c r="T54" s="220" t="str">
        <f t="shared" si="4"/>
        <v>Southbound</v>
      </c>
      <c r="U54" s="22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21" t="str">
        <f t="shared" si="5"/>
        <v>https://d0f6bd738d7f1b3e5a7ca70fe4ff75f0.us-east-1.aws.found.io/app/kibana#/discover/Steve-Slow-Train-Analysis-(2080s-and-2083s)?_g=(refreshInterval:(display:Off,pause:!f,section:0,value:0),time:(from:'2017-12-12T08:07:07-0700',mode:absolute,to:'2017-12-12T11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4" s="222" t="str">
        <f>IF(AA54&lt;VLOOKUP(AG54,Variables!$AC$3:$AD$8,2,FALSE),"Y","N")</f>
        <v>N</v>
      </c>
      <c r="X54" s="222">
        <f t="shared" si="53"/>
        <v>1</v>
      </c>
      <c r="Y54" s="222">
        <f t="shared" si="51"/>
        <v>23.296700000000001</v>
      </c>
      <c r="Z54" s="222">
        <f t="shared" si="52"/>
        <v>2.12E-2</v>
      </c>
      <c r="AA54" s="222">
        <f t="shared" si="9"/>
        <v>23.275500000000001</v>
      </c>
      <c r="AB54" s="231" t="e">
        <f>VLOOKUP(A54,Enforcements!$C$7:$K$9,8,0)</f>
        <v>#N/A</v>
      </c>
      <c r="AC54" s="231" t="e">
        <f>VLOOKUP(A54,Enforcements!$C$7:$E$9,3,0)</f>
        <v>#N/A</v>
      </c>
      <c r="AD54" s="232">
        <f t="shared" si="10"/>
        <v>140</v>
      </c>
      <c r="AE54" s="233" t="str">
        <f t="shared" si="11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54" s="234" t="str">
        <f t="shared" si="12"/>
        <v>"C:\Program Files (x86)\AstroGrep\AstroGrep.exe" /e /r /s /spath="%USERPROFILE%\AppData\Local\Temp\OnboardLogs" /stypes="app*4005*20171212*" /stext=" 17:.+((SYSTEM_STATE.+slice.+state.+changed )|(ment ac)|(multiple cpu faults)|(system.+state.+changed )|(\[timeout)|(PRM\|1\|D)|(kpr)|(kdp)|(train st.+moving)|(\|lc)|(penalty))"</v>
      </c>
      <c r="AG54" s="226" t="str">
        <f t="shared" si="13"/>
        <v>EC</v>
      </c>
      <c r="AH54" s="189" t="str">
        <f t="shared" si="19"/>
        <v>"%USERPROFILE%\Documents\GitHub\eaglep3\Utilities\RefineRTDCRunTimes.py" --tripid 140-12 --locoid 4005 --swversion DE.1.0.9.0 --startMP 204:232967 --initTime 2017-12-12T09:07:07 --startdatetime 2017-12-12T09:27:14 --delay 85 --endMP 204:212 --enddatetime 2017-12-12T10:04:08 --enforcementcount 0 &gt;&gt;%USERPROFILE%\Documents\GitHub\eaglep3-reporting\EC\2017-12-12-refined-times.txt</v>
      </c>
      <c r="AI54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{"issue":{"subject":"","project_id":79,"tracker_id":40,"status_id":1,"priority_id":2,"assigned_to_id":338,"start_date":"2017-12-12","description":"","custom_fields":[{"id":1,"name":"Subdivision","value":"EC"},{"id":4,"name":"Milepost","value":"0.0212"},{"id":17,"name":"Train ID","value":"140-12"},{"id":16,"name":"Locomotive ID","value":"4005"},{"id":130,"name":"Impact","value":""},{"id":150,"name":"Time of Event (Mountain Time)","value":"10:04:08"},{"id":151,"name":"Denver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180"/>
      <c r="AK54" s="188"/>
      <c r="AL54" s="188"/>
      <c r="AM54" s="193" t="str">
        <f t="shared" si="21"/>
        <v>start /low /b %USERPROFILE%\Documents\GitHub\eaglep3\Utilities\DownloadLogsFromS3.py --loco 4005 --day 2017-12-12</v>
      </c>
      <c r="AN54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87" t="str">
        <f t="shared" si="23"/>
        <v>https://d0f6bd738d7f1b3e5a7ca70fe4ff75f0.us-east-1.aws.found.io/app/kibana#/discover/Steve-Slow-Train-Analysis-(2080s-and-2083s)?_g=(refreshInterval:(display:Off,pause:!f,section:0,value:0),time:(from:'2017-12-12T08:07:07-0700',mode:absolute,to:'2017-12-12T11:04:08-0700'))&amp;_a=(columns:!('Message%20ID',Summary),filters:!(),index:'emp_*',interval:auto,query:(query_string:(analyze_wildcard:!t,query:'%22rtdc.l.rtdc.4005%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186" t="s">
        <v>751</v>
      </c>
      <c r="B55" s="182">
        <v>4022</v>
      </c>
      <c r="C55" s="184" t="s">
        <v>192</v>
      </c>
      <c r="D55" s="184" t="s">
        <v>455</v>
      </c>
      <c r="E55" s="183">
        <v>43081.359513888892</v>
      </c>
      <c r="F55" s="183">
        <v>43081.364733796298</v>
      </c>
      <c r="G55" s="182">
        <v>44</v>
      </c>
      <c r="H55" s="184" t="s">
        <v>912</v>
      </c>
      <c r="I55" s="183">
        <v>43081.389363425929</v>
      </c>
      <c r="J55" s="182">
        <v>0</v>
      </c>
      <c r="K55" s="190" t="str">
        <f t="shared" si="0"/>
        <v>4021/4022</v>
      </c>
      <c r="L55" s="196" t="str">
        <f>VLOOKUP(A55,'Trips&amp;Operators'!$C$1:$G$99911,5,FALSE)</f>
        <v>YANAI IAN</v>
      </c>
      <c r="M55" s="181">
        <f t="shared" si="1"/>
        <v>2.4629629631817807E-2</v>
      </c>
      <c r="N55" s="182">
        <f t="shared" si="49"/>
        <v>35.466666669817641</v>
      </c>
      <c r="O55" s="182"/>
      <c r="P55" s="182"/>
      <c r="Q55" s="185"/>
      <c r="R55" s="197"/>
      <c r="S55" s="241">
        <f t="shared" si="50"/>
        <v>1</v>
      </c>
      <c r="T55" s="220" t="str">
        <f t="shared" si="4"/>
        <v>NorthBound</v>
      </c>
      <c r="U55" s="22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1" t="str">
        <f t="shared" si="5"/>
        <v>https://d0f6bd738d7f1b3e5a7ca70fe4ff75f0.us-east-1.aws.found.io/app/kibana#/discover/Steve-Slow-Train-Analysis-(2080s-and-2083s)?_g=(refreshInterval:(display:Off,pause:!f,section:0,value:0),time:(from:'2017-12-12T07:37:42-0700',mode:absolute,to:'2017-12-12T10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222" t="str">
        <f>IF(AA55&lt;VLOOKUP(AG55,Variables!$AC$3:$AD$8,2,FALSE),"Y","N")</f>
        <v>N</v>
      </c>
      <c r="X55" s="222">
        <f t="shared" si="53"/>
        <v>1</v>
      </c>
      <c r="Y55" s="222">
        <f t="shared" si="51"/>
        <v>5.1900000000000002E-2</v>
      </c>
      <c r="Z55" s="222">
        <f t="shared" si="52"/>
        <v>23.329499999999999</v>
      </c>
      <c r="AA55" s="222">
        <f t="shared" si="9"/>
        <v>23.2776</v>
      </c>
      <c r="AB55" s="231" t="e">
        <f>VLOOKUP(A55,Enforcements!$C$7:$K$9,8,0)</f>
        <v>#N/A</v>
      </c>
      <c r="AC55" s="231" t="e">
        <f>VLOOKUP(A55,Enforcements!$C$7:$E$9,3,0)</f>
        <v>#N/A</v>
      </c>
      <c r="AD55" s="232">
        <f t="shared" si="10"/>
        <v>141</v>
      </c>
      <c r="AE55" s="233" t="str">
        <f t="shared" si="11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55" s="234" t="str">
        <f t="shared" si="12"/>
        <v>"C:\Program Files (x86)\AstroGrep\AstroGrep.exe" /e /r /s /spath="%USERPROFILE%\AppData\Local\Temp\OnboardLogs" /stypes="app*4022*20171212*" /stext=" 16:.+((SYSTEM_STATE.+slice.+state.+changed )|(ment ac)|(multiple cpu faults)|(system.+state.+changed )|(\[timeout)|(PRM\|1\|D)|(kpr)|(kdp)|(train st.+moving)|(\|lc)|(penalty))"</v>
      </c>
      <c r="AG55" s="226" t="str">
        <f t="shared" si="13"/>
        <v>EC</v>
      </c>
      <c r="AH55" s="189" t="str">
        <f t="shared" si="19"/>
        <v>"%USERPROFILE%\Documents\GitHub\eaglep3\Utilities\RefineRTDCRunTimes.py" --tripid 141-12 --locoid 4022 --swversion DE.1.0.9.0 --startMP 204:519 --initTime 2017-12-12T08:37:42 --startdatetime 2017-12-12T08:45:13 --delay 44 --endMP 204:233295 --enddatetime 2017-12-12T09:20:41 --enforcementcount 0 &gt;&gt;%USERPROFILE%\Documents\GitHub\eaglep3-reporting\EC\2017-12-12-refined-times.txt</v>
      </c>
      <c r="AI55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{"issue":{"subject":"","project_id":79,"tracker_id":40,"status_id":1,"priority_id":2,"assigned_to_id":338,"start_date":"2017-12-12","description":"","custom_fields":[{"id":1,"name":"Subdivision","value":"EC"},{"id":4,"name":"Milepost","value":"23.3295"},{"id":17,"name":"Train ID","value":"141-12"},{"id":16,"name":"Locomotive ID","value":"4022"},{"id":130,"name":"Impact","value":""},{"id":150,"name":"Time of Event (Mountain Time)","value":"09:20:41"},{"id":151,"name":"Denver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180"/>
      <c r="AK55" s="188"/>
      <c r="AL55" s="188"/>
      <c r="AM55" s="193" t="str">
        <f t="shared" si="21"/>
        <v>start /low /b %USERPROFILE%\Documents\GitHub\eaglep3\Utilities\DownloadLogsFromS3.py --loco 4022 --day 2017-12-12</v>
      </c>
      <c r="AN55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87" t="str">
        <f t="shared" si="23"/>
        <v>https://d0f6bd738d7f1b3e5a7ca70fe4ff75f0.us-east-1.aws.found.io/app/kibana#/discover/Steve-Slow-Train-Analysis-(2080s-and-2083s)?_g=(refreshInterval:(display:Off,pause:!f,section:0,value:0),time:(from:'2017-12-12T07:37:42-0700',mode:absolute,to:'2017-12-12T10:20:41-0700'))&amp;_a=(columns:!('Message%20ID',Summary),filters:!(),index:'emp_*',interval:auto,query:(query_string:(analyze_wildcard:!t,query:'%22rtdc.l.rtdc.4022%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186" t="s">
        <v>757</v>
      </c>
      <c r="B56" s="182">
        <v>4021</v>
      </c>
      <c r="C56" s="184" t="s">
        <v>192</v>
      </c>
      <c r="D56" s="184" t="s">
        <v>910</v>
      </c>
      <c r="E56" s="183">
        <v>43081.390486111108</v>
      </c>
      <c r="F56" s="183">
        <v>43081.404363425929</v>
      </c>
      <c r="G56" s="182">
        <v>58</v>
      </c>
      <c r="H56" s="184" t="s">
        <v>412</v>
      </c>
      <c r="I56" s="183">
        <v>43081.429918981485</v>
      </c>
      <c r="J56" s="182">
        <v>0</v>
      </c>
      <c r="K56" s="190" t="str">
        <f t="shared" si="0"/>
        <v>4021/4022</v>
      </c>
      <c r="L56" s="196" t="str">
        <f>VLOOKUP(A56,'Trips&amp;Operators'!$C$1:$G$99911,5,FALSE)</f>
        <v>YANAI IAN</v>
      </c>
      <c r="M56" s="181">
        <f t="shared" si="1"/>
        <v>2.5555555555911269E-2</v>
      </c>
      <c r="N56" s="182">
        <f t="shared" si="49"/>
        <v>36.800000000512227</v>
      </c>
      <c r="O56" s="182"/>
      <c r="P56" s="182"/>
      <c r="Q56" s="185"/>
      <c r="R56" s="197"/>
      <c r="S56" s="241">
        <f t="shared" si="50"/>
        <v>1</v>
      </c>
      <c r="T56" s="220" t="str">
        <f t="shared" si="4"/>
        <v>Southbound</v>
      </c>
      <c r="U56" s="22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1" t="str">
        <f t="shared" si="5"/>
        <v>https://d0f6bd738d7f1b3e5a7ca70fe4ff75f0.us-east-1.aws.found.io/app/kibana#/discover/Steve-Slow-Train-Analysis-(2080s-and-2083s)?_g=(refreshInterval:(display:Off,pause:!f,section:0,value:0),time:(from:'2017-12-12T08:22:18-0700',mode:absolute,to:'2017-12-12T11:19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222" t="str">
        <f>IF(AA56&lt;VLOOKUP(AG56,Variables!$AC$3:$AD$8,2,FALSE),"Y","N")</f>
        <v>N</v>
      </c>
      <c r="X56" s="222">
        <f t="shared" si="53"/>
        <v>1</v>
      </c>
      <c r="Y56" s="222">
        <f t="shared" si="51"/>
        <v>23.298100000000002</v>
      </c>
      <c r="Z56" s="222">
        <f t="shared" si="52"/>
        <v>2.12E-2</v>
      </c>
      <c r="AA56" s="222">
        <f t="shared" si="9"/>
        <v>23.276900000000001</v>
      </c>
      <c r="AB56" s="231" t="e">
        <f>VLOOKUP(A56,Enforcements!$C$7:$K$9,8,0)</f>
        <v>#N/A</v>
      </c>
      <c r="AC56" s="231" t="e">
        <f>VLOOKUP(A56,Enforcements!$C$7:$E$9,3,0)</f>
        <v>#N/A</v>
      </c>
      <c r="AD56" s="232">
        <f t="shared" si="10"/>
        <v>142</v>
      </c>
      <c r="AE56" s="233" t="str">
        <f t="shared" si="11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56" s="234" t="str">
        <f t="shared" si="12"/>
        <v>"C:\Program Files (x86)\AstroGrep\AstroGrep.exe" /e /r /s /spath="%USERPROFILE%\AppData\Local\Temp\OnboardLogs" /stypes="app*4021*20171212*" /stext=" 17:.+((SYSTEM_STATE.+slice.+state.+changed )|(ment ac)|(multiple cpu faults)|(system.+state.+changed )|(\[timeout)|(PRM\|1\|D)|(kpr)|(kdp)|(train st.+moving)|(\|lc)|(penalty))"</v>
      </c>
      <c r="AG56" s="226" t="str">
        <f t="shared" si="13"/>
        <v>EC</v>
      </c>
      <c r="AH56" s="189" t="str">
        <f t="shared" si="19"/>
        <v>"%USERPROFILE%\Documents\GitHub\eaglep3\Utilities\RefineRTDCRunTimes.py" --tripid 142-12 --locoid 4021 --swversion DE.1.0.9.0 --startMP 204:232981 --initTime 2017-12-12T09:22:18 --startdatetime 2017-12-12T09:42:17 --delay 58 --endMP 204:212 --enddatetime 2017-12-12T10:19:05 --enforcementcount 0 &gt;&gt;%USERPROFILE%\Documents\GitHub\eaglep3-reporting\EC\2017-12-12-refined-times.txt</v>
      </c>
      <c r="AI56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{"issue":{"subject":"","project_id":79,"tracker_id":40,"status_id":1,"priority_id":2,"assigned_to_id":338,"start_date":"2017-12-12","description":"","custom_fields":[{"id":1,"name":"Subdivision","value":"EC"},{"id":4,"name":"Milepost","value":"0.0212"},{"id":17,"name":"Train ID","value":"142-12"},{"id":16,"name":"Locomotive ID","value":"4021"},{"id":130,"name":"Impact","value":""},{"id":150,"name":"Time of Event (Mountain Time)","value":"10:19:05"},{"id":151,"name":"Denver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180"/>
      <c r="AK56" s="188"/>
      <c r="AL56" s="188"/>
      <c r="AM56" s="193" t="str">
        <f t="shared" si="21"/>
        <v>start /low /b %USERPROFILE%\Documents\GitHub\eaglep3\Utilities\DownloadLogsFromS3.py --loco 4021 --day 2017-12-12</v>
      </c>
      <c r="AN56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87" t="str">
        <f t="shared" si="23"/>
        <v>https://d0f6bd738d7f1b3e5a7ca70fe4ff75f0.us-east-1.aws.found.io/app/kibana#/discover/Steve-Slow-Train-Analysis-(2080s-and-2083s)?_g=(refreshInterval:(display:Off,pause:!f,section:0,value:0),time:(from:'2017-12-12T08:22:18-0700',mode:absolute,to:'2017-12-12T11:19:05-0700'))&amp;_a=(columns:!('Message%20ID',Summary),filters:!(),index:'emp_*',interval:auto,query:(query_string:(analyze_wildcard:!t,query:'%22rtdc.l.rtdc.4021%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186" t="s">
        <v>677</v>
      </c>
      <c r="B57" s="182">
        <v>4012</v>
      </c>
      <c r="C57" s="184" t="s">
        <v>192</v>
      </c>
      <c r="D57" s="184" t="s">
        <v>442</v>
      </c>
      <c r="E57" s="183">
        <v>43081.372615740744</v>
      </c>
      <c r="F57" s="183">
        <v>43081.375150462962</v>
      </c>
      <c r="G57" s="182">
        <v>45</v>
      </c>
      <c r="H57" s="184" t="s">
        <v>943</v>
      </c>
      <c r="I57" s="183">
        <v>43081.400509259256</v>
      </c>
      <c r="J57" s="182">
        <v>0</v>
      </c>
      <c r="K57" s="190" t="str">
        <f t="shared" si="0"/>
        <v>4011/4012</v>
      </c>
      <c r="L57" s="196" t="str">
        <f>VLOOKUP(A57,'Trips&amp;Operators'!$C$1:$G$99911,5,FALSE)</f>
        <v>STARKS ANGELINA</v>
      </c>
      <c r="M57" s="181">
        <f t="shared" si="1"/>
        <v>2.5358796294312924E-2</v>
      </c>
      <c r="N57" s="182">
        <f t="shared" si="49"/>
        <v>36.516666663810611</v>
      </c>
      <c r="O57" s="182"/>
      <c r="P57" s="182"/>
      <c r="Q57" s="185"/>
      <c r="R57" s="197"/>
      <c r="S57" s="241">
        <f t="shared" si="50"/>
        <v>1</v>
      </c>
      <c r="T57" s="220" t="str">
        <f t="shared" si="4"/>
        <v>NorthBound</v>
      </c>
      <c r="U57" s="22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1" t="str">
        <f t="shared" si="5"/>
        <v>https://d0f6bd738d7f1b3e5a7ca70fe4ff75f0.us-east-1.aws.found.io/app/kibana#/discover/Steve-Slow-Train-Analysis-(2080s-and-2083s)?_g=(refreshInterval:(display:Off,pause:!f,section:0,value:0),time:(from:'2017-12-12T07:56:34-0700',mode:absolute,to:'2017-12-12T10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222" t="str">
        <f>IF(AA57&lt;VLOOKUP(AG57,Variables!$AC$3:$AD$8,2,FALSE),"Y","N")</f>
        <v>N</v>
      </c>
      <c r="X57" s="222">
        <f t="shared" si="53"/>
        <v>1</v>
      </c>
      <c r="Y57" s="222">
        <f t="shared" si="51"/>
        <v>4.4600000000000001E-2</v>
      </c>
      <c r="Z57" s="222">
        <f t="shared" si="52"/>
        <v>23.3293</v>
      </c>
      <c r="AA57" s="222">
        <f t="shared" si="9"/>
        <v>23.284700000000001</v>
      </c>
      <c r="AB57" s="231" t="str">
        <f>VLOOKUP(A57,Enforcements!$C$7:$K$9,8,0)</f>
        <v>Bulletin (2)</v>
      </c>
      <c r="AC57" s="231" t="str">
        <f>VLOOKUP(A57,Enforcements!$C$7:$E$9,3,0)</f>
        <v>GRADE CROSSING</v>
      </c>
      <c r="AD57" s="232">
        <f t="shared" si="10"/>
        <v>143</v>
      </c>
      <c r="AE57" s="233" t="str">
        <f t="shared" si="11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57" s="234" t="str">
        <f t="shared" si="12"/>
        <v>"C:\Program Files (x86)\AstroGrep\AstroGrep.exe" /e /r /s /spath="%USERPROFILE%\AppData\Local\Temp\OnboardLogs" /stypes="app*4012*20171212*" /stext=" 16:.+((SYSTEM_STATE.+slice.+state.+changed )|(ment ac)|(multiple cpu faults)|(system.+state.+changed )|(\[timeout)|(PRM\|1\|D)|(kpr)|(kdp)|(train st.+moving)|(\|lc)|(penalty))"</v>
      </c>
      <c r="AG57" s="226" t="str">
        <f t="shared" si="13"/>
        <v>EC</v>
      </c>
      <c r="AH57" s="189" t="str">
        <f t="shared" si="19"/>
        <v>"%USERPROFILE%\Documents\GitHub\eaglep3\Utilities\RefineRTDCRunTimes.py" --tripid 143-12 --locoid 4012 --swversion DE.1.0.9.0 --startMP 204:446 --initTime 2017-12-12T08:56:34 --startdatetime 2017-12-12T09:00:13 --delay 45 --endMP 204:233293 --enddatetime 2017-12-12T09:36:44 --enforcementcount 0 &gt;&gt;%USERPROFILE%\Documents\GitHub\eaglep3-reporting\EC\2017-12-12-refined-times.txt</v>
      </c>
      <c r="AI57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{"issue":{"subject":"","project_id":79,"tracker_id":40,"status_id":1,"priority_id":2,"assigned_to_id":338,"start_date":"2017-12-12","description":"","custom_fields":[{"id":1,"name":"Subdivision","value":"EC"},{"id":4,"name":"Milepost","value":"23.3293"},{"id":17,"name":"Train ID","value":"143-12"},{"id":16,"name":"Locomotive ID","value":"4012"},{"id":130,"name":"Impact","value":""},{"id":150,"name":"Time of Event (Mountain Time)","value":"09:36:44"},{"id":151,"name":"Denver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180"/>
      <c r="AK57" s="188"/>
      <c r="AL57" s="188"/>
      <c r="AM57" s="193" t="str">
        <f t="shared" si="21"/>
        <v>start /low /b %USERPROFILE%\Documents\GitHub\eaglep3\Utilities\DownloadLogsFromS3.py --loco 4012 --day 2017-12-12</v>
      </c>
      <c r="AN57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87" t="str">
        <f t="shared" si="23"/>
        <v>https://d0f6bd738d7f1b3e5a7ca70fe4ff75f0.us-east-1.aws.found.io/app/kibana#/discover/Steve-Slow-Train-Analysis-(2080s-and-2083s)?_g=(refreshInterval:(display:Off,pause:!f,section:0,value:0),time:(from:'2017-12-12T07:56:34-0700',mode:absolute,to:'2017-12-12T10:36:44-0700'))&amp;_a=(columns:!('Message%20ID',Summary),filters:!(),index:'emp_*',interval:auto,query:(query_string:(analyze_wildcard:!t,query:'%22rtdc.l.rtdc.4012%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186" t="s">
        <v>762</v>
      </c>
      <c r="B58" s="182">
        <v>4011</v>
      </c>
      <c r="C58" s="184" t="s">
        <v>192</v>
      </c>
      <c r="D58" s="184" t="s">
        <v>589</v>
      </c>
      <c r="E58" s="183">
        <v>43081.411203703705</v>
      </c>
      <c r="F58" s="183">
        <v>43081.414872685185</v>
      </c>
      <c r="G58" s="182">
        <v>61</v>
      </c>
      <c r="H58" s="184" t="s">
        <v>545</v>
      </c>
      <c r="I58" s="183">
        <v>43081.441631944443</v>
      </c>
      <c r="J58" s="182">
        <v>0</v>
      </c>
      <c r="K58" s="190" t="str">
        <f t="shared" si="0"/>
        <v>4011/4012</v>
      </c>
      <c r="L58" s="196" t="str">
        <f>VLOOKUP(A58,'Trips&amp;Operators'!$C$1:$G$99911,5,FALSE)</f>
        <v>STARKS ANGELINA</v>
      </c>
      <c r="M58" s="181">
        <f t="shared" si="1"/>
        <v>2.675925925723277E-2</v>
      </c>
      <c r="N58" s="182">
        <f t="shared" si="49"/>
        <v>38.533333330415189</v>
      </c>
      <c r="O58" s="182"/>
      <c r="P58" s="182"/>
      <c r="Q58" s="185"/>
      <c r="R58" s="197"/>
      <c r="S58" s="241">
        <f t="shared" si="50"/>
        <v>1</v>
      </c>
      <c r="T58" s="220" t="str">
        <f t="shared" si="4"/>
        <v>Southbound</v>
      </c>
      <c r="U58" s="22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1" t="str">
        <f t="shared" si="5"/>
        <v>https://d0f6bd738d7f1b3e5a7ca70fe4ff75f0.us-east-1.aws.found.io/app/kibana#/discover/Steve-Slow-Train-Analysis-(2080s-and-2083s)?_g=(refreshInterval:(display:Off,pause:!f,section:0,value:0),time:(from:'2017-12-12T08:52:08-0700',mode:absolute,to:'2017-12-12T11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222" t="str">
        <f>IF(AA58&lt;VLOOKUP(AG58,Variables!$AC$3:$AD$8,2,FALSE),"Y","N")</f>
        <v>N</v>
      </c>
      <c r="X58" s="222">
        <f t="shared" si="53"/>
        <v>1</v>
      </c>
      <c r="Y58" s="222">
        <f t="shared" si="51"/>
        <v>23.296299999999999</v>
      </c>
      <c r="Z58" s="222">
        <f t="shared" si="52"/>
        <v>1.41E-2</v>
      </c>
      <c r="AA58" s="222">
        <f t="shared" si="9"/>
        <v>23.2822</v>
      </c>
      <c r="AB58" s="231" t="e">
        <f>VLOOKUP(A58,Enforcements!$C$7:$K$9,8,0)</f>
        <v>#N/A</v>
      </c>
      <c r="AC58" s="231" t="e">
        <f>VLOOKUP(A58,Enforcements!$C$7:$E$9,3,0)</f>
        <v>#N/A</v>
      </c>
      <c r="AD58" s="232">
        <f t="shared" si="10"/>
        <v>144</v>
      </c>
      <c r="AE58" s="233" t="str">
        <f t="shared" si="11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58" s="234" t="str">
        <f t="shared" si="12"/>
        <v>"C:\Program Files (x86)\AstroGrep\AstroGrep.exe" /e /r /s /spath="%USERPROFILE%\AppData\Local\Temp\OnboardLogs" /stypes="app*4011*20171212*" /stext=" 17:.+((SYSTEM_STATE.+slice.+state.+changed )|(ment ac)|(multiple cpu faults)|(system.+state.+changed )|(\[timeout)|(PRM\|1\|D)|(kpr)|(kdp)|(train st.+moving)|(\|lc)|(penalty))"</v>
      </c>
      <c r="AG58" s="226" t="str">
        <f t="shared" si="13"/>
        <v>EC</v>
      </c>
      <c r="AH58" s="189" t="str">
        <f t="shared" si="19"/>
        <v>"%USERPROFILE%\Documents\GitHub\eaglep3\Utilities\RefineRTDCRunTimes.py" --tripid 144-12 --locoid 4011 --swversion DE.1.0.9.0 --startMP 204:232963 --initTime 2017-12-12T09:52:08 --startdatetime 2017-12-12T09:57:25 --delay 61 --endMP 204:141 --enddatetime 2017-12-12T10:35:57 --enforcementcount 0 &gt;&gt;%USERPROFILE%\Documents\GitHub\eaglep3-reporting\EC\2017-12-12-refined-times.txt</v>
      </c>
      <c r="AI58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{"issue":{"subject":"","project_id":79,"tracker_id":40,"status_id":1,"priority_id":2,"assigned_to_id":338,"start_date":"2017-12-12","description":"","custom_fields":[{"id":1,"name":"Subdivision","value":"EC"},{"id":4,"name":"Milepost","value":"0.0141"},{"id":17,"name":"Train ID","value":"144-12"},{"id":16,"name":"Locomotive ID","value":"4011"},{"id":130,"name":"Impact","value":""},{"id":150,"name":"Time of Event (Mountain Time)","value":"10:35:57"},{"id":151,"name":"Denver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180"/>
      <c r="AK58" s="188"/>
      <c r="AL58" s="188"/>
      <c r="AM58" s="193" t="str">
        <f t="shared" si="21"/>
        <v>start /low /b %USERPROFILE%\Documents\GitHub\eaglep3\Utilities\DownloadLogsFromS3.py --loco 4011 --day 2017-12-12</v>
      </c>
      <c r="AN58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87" t="str">
        <f t="shared" si="23"/>
        <v>https://d0f6bd738d7f1b3e5a7ca70fe4ff75f0.us-east-1.aws.found.io/app/kibana#/discover/Steve-Slow-Train-Analysis-(2080s-and-2083s)?_g=(refreshInterval:(display:Off,pause:!f,section:0,value:0),time:(from:'2017-12-12T08:52:08-0700',mode:absolute,to:'2017-12-12T11:35:57-0700'))&amp;_a=(columns:!('Message%20ID',Summary),filters:!(),index:'emp_*',interval:auto,query:(query_string:(analyze_wildcard:!t,query:'%22rtdc.l.rtdc.4011%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186" t="s">
        <v>756</v>
      </c>
      <c r="B59" s="182">
        <v>4010</v>
      </c>
      <c r="C59" s="184" t="s">
        <v>192</v>
      </c>
      <c r="D59" s="184" t="s">
        <v>449</v>
      </c>
      <c r="E59" s="183">
        <v>43081.38417824074</v>
      </c>
      <c r="F59" s="183">
        <v>43081.385810185187</v>
      </c>
      <c r="G59" s="182">
        <v>51</v>
      </c>
      <c r="H59" s="184" t="s">
        <v>642</v>
      </c>
      <c r="I59" s="183">
        <v>43081.410416666666</v>
      </c>
      <c r="J59" s="182">
        <v>0</v>
      </c>
      <c r="K59" s="190" t="str">
        <f t="shared" si="0"/>
        <v>4009/4010</v>
      </c>
      <c r="L59" s="196" t="str">
        <f>VLOOKUP(A59,'Trips&amp;Operators'!$C$1:$G$99911,5,FALSE)</f>
        <v>MACDONALD THOMAS</v>
      </c>
      <c r="M59" s="181">
        <f t="shared" si="1"/>
        <v>2.4606481478258502E-2</v>
      </c>
      <c r="N59" s="182">
        <f t="shared" si="49"/>
        <v>35.433333328692243</v>
      </c>
      <c r="O59" s="182"/>
      <c r="P59" s="182"/>
      <c r="Q59" s="185"/>
      <c r="R59" s="197"/>
      <c r="S59" s="241">
        <f t="shared" si="50"/>
        <v>1</v>
      </c>
      <c r="T59" s="220" t="str">
        <f t="shared" si="4"/>
        <v>NorthBound</v>
      </c>
      <c r="U59" s="22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1" t="str">
        <f t="shared" si="5"/>
        <v>https://d0f6bd738d7f1b3e5a7ca70fe4ff75f0.us-east-1.aws.found.io/app/kibana#/discover/Steve-Slow-Train-Analysis-(2080s-and-2083s)?_g=(refreshInterval:(display:Off,pause:!f,section:0,value:0),time:(from:'2017-12-12T08:13:13-0700',mode:absolute,to:'2017-12-12T10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22" t="str">
        <f>IF(AA59&lt;VLOOKUP(AG59,Variables!$AC$3:$AD$8,2,FALSE),"Y","N")</f>
        <v>N</v>
      </c>
      <c r="X59" s="222">
        <f t="shared" si="53"/>
        <v>1</v>
      </c>
      <c r="Y59" s="222">
        <f t="shared" si="51"/>
        <v>5.1999999999999998E-2</v>
      </c>
      <c r="Z59" s="222">
        <f t="shared" si="52"/>
        <v>23.316199999999998</v>
      </c>
      <c r="AA59" s="222">
        <f t="shared" si="9"/>
        <v>23.264199999999999</v>
      </c>
      <c r="AB59" s="231" t="e">
        <f>VLOOKUP(A59,Enforcements!$C$7:$K$9,8,0)</f>
        <v>#N/A</v>
      </c>
      <c r="AC59" s="231" t="e">
        <f>VLOOKUP(A59,Enforcements!$C$7:$E$9,3,0)</f>
        <v>#N/A</v>
      </c>
      <c r="AD59" s="232">
        <f t="shared" si="10"/>
        <v>145</v>
      </c>
      <c r="AE59" s="233" t="str">
        <f t="shared" si="11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59" s="234" t="str">
        <f t="shared" si="12"/>
        <v>"C:\Program Files (x86)\AstroGrep\AstroGrep.exe" /e /r /s /spath="%USERPROFILE%\AppData\Local\Temp\OnboardLogs" /stypes="app*4010*20171212*" /stext=" 16:.+((SYSTEM_STATE.+slice.+state.+changed )|(ment ac)|(multiple cpu faults)|(system.+state.+changed )|(\[timeout)|(PRM\|1\|D)|(kpr)|(kdp)|(train st.+moving)|(\|lc)|(penalty))"</v>
      </c>
      <c r="AG59" s="226" t="str">
        <f t="shared" si="13"/>
        <v>EC</v>
      </c>
      <c r="AH59" s="189" t="str">
        <f t="shared" si="19"/>
        <v>"%USERPROFILE%\Documents\GitHub\eaglep3\Utilities\RefineRTDCRunTimes.py" --tripid 145-12 --locoid 4010 --swversion DE.1.0.9.0 --startMP 204:520 --initTime 2017-12-12T09:13:13 --startdatetime 2017-12-12T09:15:34 --delay 51 --endMP 204:233162 --enddatetime 2017-12-12T09:51:00 --enforcementcount 0 &gt;&gt;%USERPROFILE%\Documents\GitHub\eaglep3-reporting\EC\2017-12-12-refined-times.txt</v>
      </c>
      <c r="AI59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{"issue":{"subject":"","project_id":79,"tracker_id":40,"status_id":1,"priority_id":2,"assigned_to_id":338,"start_date":"2017-12-12","description":"","custom_fields":[{"id":1,"name":"Subdivision","value":"EC"},{"id":4,"name":"Milepost","value":"23.3162"},{"id":17,"name":"Train ID","value":"145-12"},{"id":16,"name":"Locomotive ID","value":"4010"},{"id":130,"name":"Impact","value":""},{"id":150,"name":"Time of Event (Mountain Time)","value":"09:51:00"},{"id":151,"name":"Denver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180"/>
      <c r="AK59" s="188"/>
      <c r="AL59" s="188"/>
      <c r="AM59" s="193" t="str">
        <f t="shared" si="21"/>
        <v>start /low /b %USERPROFILE%\Documents\GitHub\eaglep3\Utilities\DownloadLogsFromS3.py --loco 4010 --day 2017-12-12</v>
      </c>
      <c r="AN59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87" t="str">
        <f t="shared" si="23"/>
        <v>https://d0f6bd738d7f1b3e5a7ca70fe4ff75f0.us-east-1.aws.found.io/app/kibana#/discover/Steve-Slow-Train-Analysis-(2080s-and-2083s)?_g=(refreshInterval:(display:Off,pause:!f,section:0,value:0),time:(from:'2017-12-12T08:13:13-0700',mode:absolute,to:'2017-12-12T10:51:00-0700'))&amp;_a=(columns:!('Message%20ID',Summary),filters:!(),index:'emp_*',interval:auto,query:(query_string:(analyze_wildcard:!t,query:'%22rtdc.l.rtdc.4010%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186" t="s">
        <v>764</v>
      </c>
      <c r="B60" s="182">
        <v>4009</v>
      </c>
      <c r="C60" s="184" t="s">
        <v>192</v>
      </c>
      <c r="D60" s="184" t="s">
        <v>944</v>
      </c>
      <c r="E60" s="183">
        <v>43081.42082175926</v>
      </c>
      <c r="F60" s="183">
        <v>43081.425567129627</v>
      </c>
      <c r="G60" s="182">
        <v>100</v>
      </c>
      <c r="H60" s="184" t="s">
        <v>641</v>
      </c>
      <c r="I60" s="183">
        <v>43081.451747685183</v>
      </c>
      <c r="J60" s="182">
        <v>0</v>
      </c>
      <c r="K60" s="190" t="str">
        <f t="shared" si="0"/>
        <v>4009/4010</v>
      </c>
      <c r="L60" s="196" t="str">
        <f>VLOOKUP(A60,'Trips&amp;Operators'!$C$1:$G$99911,5,FALSE)</f>
        <v>MACDONALD THOMAS</v>
      </c>
      <c r="M60" s="181">
        <f t="shared" si="1"/>
        <v>2.6180555556493346E-2</v>
      </c>
      <c r="N60" s="182">
        <f t="shared" si="49"/>
        <v>37.700000001350418</v>
      </c>
      <c r="O60" s="182"/>
      <c r="P60" s="182"/>
      <c r="Q60" s="185"/>
      <c r="R60" s="197"/>
      <c r="S60" s="241">
        <f t="shared" si="50"/>
        <v>1</v>
      </c>
      <c r="T60" s="220" t="str">
        <f t="shared" si="4"/>
        <v>Southbound</v>
      </c>
      <c r="U60" s="22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1" t="str">
        <f t="shared" si="5"/>
        <v>https://d0f6bd738d7f1b3e5a7ca70fe4ff75f0.us-east-1.aws.found.io/app/kibana#/discover/Steve-Slow-Train-Analysis-(2080s-and-2083s)?_g=(refreshInterval:(display:Off,pause:!f,section:0,value:0),time:(from:'2017-12-12T09:05:59-0700',mode:absolute,to:'2017-12-12T11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22" t="str">
        <f>IF(AA60&lt;VLOOKUP(AG60,Variables!$AC$3:$AD$8,2,FALSE),"Y","N")</f>
        <v>N</v>
      </c>
      <c r="X60" s="222">
        <f t="shared" si="53"/>
        <v>1</v>
      </c>
      <c r="Y60" s="222">
        <f t="shared" si="51"/>
        <v>23.284700000000001</v>
      </c>
      <c r="Z60" s="222">
        <f t="shared" si="52"/>
        <v>1.9099999999999999E-2</v>
      </c>
      <c r="AA60" s="222">
        <f t="shared" si="9"/>
        <v>23.265599999999999</v>
      </c>
      <c r="AB60" s="231" t="e">
        <f>VLOOKUP(A60,Enforcements!$C$7:$K$9,8,0)</f>
        <v>#N/A</v>
      </c>
      <c r="AC60" s="231" t="e">
        <f>VLOOKUP(A60,Enforcements!$C$7:$E$9,3,0)</f>
        <v>#N/A</v>
      </c>
      <c r="AD60" s="232">
        <f t="shared" si="10"/>
        <v>146</v>
      </c>
      <c r="AE60" s="233" t="str">
        <f t="shared" si="11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60" s="234" t="str">
        <f t="shared" si="12"/>
        <v>"C:\Program Files (x86)\AstroGrep\AstroGrep.exe" /e /r /s /spath="%USERPROFILE%\AppData\Local\Temp\OnboardLogs" /stypes="app*4009*20171212*" /stext=" 17:.+((SYSTEM_STATE.+slice.+state.+changed )|(ment ac)|(multiple cpu faults)|(system.+state.+changed )|(\[timeout)|(PRM\|1\|D)|(kpr)|(kdp)|(train st.+moving)|(\|lc)|(penalty))"</v>
      </c>
      <c r="AG60" s="226" t="str">
        <f t="shared" si="13"/>
        <v>EC</v>
      </c>
      <c r="AH60" s="189" t="str">
        <f t="shared" si="19"/>
        <v>"%USERPROFILE%\Documents\GitHub\eaglep3\Utilities\RefineRTDCRunTimes.py" --tripid 146-12 --locoid 4009 --swversion DE.1.0.9.0 --startMP 204:232847 --initTime 2017-12-12T10:05:59 --startdatetime 2017-12-12T10:12:49 --delay 100 --endMP 204:191 --enddatetime 2017-12-12T10:50:31 --enforcementcount 0 &gt;&gt;%USERPROFILE%\Documents\GitHub\eaglep3-reporting\EC\2017-12-12-refined-times.txt</v>
      </c>
      <c r="AI60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{"issue":{"subject":"","project_id":79,"tracker_id":40,"status_id":1,"priority_id":2,"assigned_to_id":338,"start_date":"2017-12-12","description":"","custom_fields":[{"id":1,"name":"Subdivision","value":"EC"},{"id":4,"name":"Milepost","value":"0.0191"},{"id":17,"name":"Train ID","value":"146-12"},{"id":16,"name":"Locomotive ID","value":"4009"},{"id":130,"name":"Impact","value":""},{"id":150,"name":"Time of Event (Mountain Time)","value":"10:50:31"},{"id":151,"name":"Denver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180"/>
      <c r="AK60" s="188"/>
      <c r="AL60" s="188"/>
      <c r="AM60" s="193" t="str">
        <f t="shared" si="21"/>
        <v>start /low /b %USERPROFILE%\Documents\GitHub\eaglep3\Utilities\DownloadLogsFromS3.py --loco 4009 --day 2017-12-12</v>
      </c>
      <c r="AN60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87" t="str">
        <f t="shared" si="23"/>
        <v>https://d0f6bd738d7f1b3e5a7ca70fe4ff75f0.us-east-1.aws.found.io/app/kibana#/discover/Steve-Slow-Train-Analysis-(2080s-and-2083s)?_g=(refreshInterval:(display:Off,pause:!f,section:0,value:0),time:(from:'2017-12-12T09:05:59-0700',mode:absolute,to:'2017-12-12T11:50:31-0700'))&amp;_a=(columns:!('Message%20ID',Summary),filters:!(),index:'emp_*',interval:auto,query:(query_string:(analyze_wildcard:!t,query:'%22rtdc.l.rtdc.4009%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186" t="s">
        <v>759</v>
      </c>
      <c r="B61" s="182">
        <v>4030</v>
      </c>
      <c r="C61" s="184" t="s">
        <v>192</v>
      </c>
      <c r="D61" s="184" t="s">
        <v>945</v>
      </c>
      <c r="E61" s="183">
        <v>43081.39466435185</v>
      </c>
      <c r="F61" s="183">
        <v>43081.396087962959</v>
      </c>
      <c r="G61" s="182">
        <v>48</v>
      </c>
      <c r="H61" s="184" t="s">
        <v>946</v>
      </c>
      <c r="I61" s="183">
        <v>43081.420717592591</v>
      </c>
      <c r="J61" s="182">
        <v>0</v>
      </c>
      <c r="K61" s="190" t="str">
        <f t="shared" si="0"/>
        <v>4029/4030</v>
      </c>
      <c r="L61" s="196" t="str">
        <f>VLOOKUP(A61,'Trips&amp;Operators'!$C$1:$G$99911,5,FALSE)</f>
        <v>THOMPSON LESTER</v>
      </c>
      <c r="M61" s="181">
        <f t="shared" si="1"/>
        <v>2.4629629631817807E-2</v>
      </c>
      <c r="N61" s="182">
        <f t="shared" si="49"/>
        <v>35.466666669817641</v>
      </c>
      <c r="O61" s="182"/>
      <c r="P61" s="182"/>
      <c r="Q61" s="185"/>
      <c r="R61" s="197"/>
      <c r="S61" s="241">
        <f t="shared" si="50"/>
        <v>1</v>
      </c>
      <c r="T61" s="220" t="str">
        <f t="shared" si="4"/>
        <v>NorthBound</v>
      </c>
      <c r="U61" s="22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1" t="str">
        <f t="shared" si="5"/>
        <v>https://d0f6bd738d7f1b3e5a7ca70fe4ff75f0.us-east-1.aws.found.io/app/kibana#/discover/Steve-Slow-Train-Analysis-(2080s-and-2083s)?_g=(refreshInterval:(display:Off,pause:!f,section:0,value:0),time:(from:'2017-12-12T08:28:19-0700',mode:absolute,to:'2017-12-12T11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222" t="str">
        <f>IF(AA61&lt;VLOOKUP(AG61,Variables!$AC$3:$AD$8,2,FALSE),"Y","N")</f>
        <v>N</v>
      </c>
      <c r="X61" s="222">
        <f t="shared" si="53"/>
        <v>1</v>
      </c>
      <c r="Y61" s="222">
        <f t="shared" si="51"/>
        <v>4.7300000000000002E-2</v>
      </c>
      <c r="Z61" s="222">
        <f t="shared" si="52"/>
        <v>23.331800000000001</v>
      </c>
      <c r="AA61" s="222">
        <f t="shared" si="9"/>
        <v>23.284500000000001</v>
      </c>
      <c r="AB61" s="231" t="e">
        <f>VLOOKUP(A61,Enforcements!$C$7:$K$9,8,0)</f>
        <v>#N/A</v>
      </c>
      <c r="AC61" s="231" t="e">
        <f>VLOOKUP(A61,Enforcements!$C$7:$E$9,3,0)</f>
        <v>#N/A</v>
      </c>
      <c r="AD61" s="232">
        <f t="shared" si="10"/>
        <v>147</v>
      </c>
      <c r="AE61" s="233" t="str">
        <f t="shared" si="11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61" s="234" t="str">
        <f t="shared" si="12"/>
        <v>"C:\Program Files (x86)\AstroGrep\AstroGrep.exe" /e /r /s /spath="%USERPROFILE%\AppData\Local\Temp\OnboardLogs" /stypes="app*4030*20171212*" /stext=" 17:.+((SYSTEM_STATE.+slice.+state.+changed )|(ment ac)|(multiple cpu faults)|(system.+state.+changed )|(\[timeout)|(PRM\|1\|D)|(kpr)|(kdp)|(train st.+moving)|(\|lc)|(penalty))"</v>
      </c>
      <c r="AG61" s="226" t="str">
        <f t="shared" si="13"/>
        <v>EC</v>
      </c>
      <c r="AH61" s="189" t="str">
        <f t="shared" si="19"/>
        <v>"%USERPROFILE%\Documents\GitHub\eaglep3\Utilities\RefineRTDCRunTimes.py" --tripid 147-12 --locoid 4030 --swversion DE.1.0.9.0 --startMP 204:473 --initTime 2017-12-12T09:28:19 --startdatetime 2017-12-12T09:30:22 --delay 48 --endMP 204:233318 --enddatetime 2017-12-12T10:05:50 --enforcementcount 0 &gt;&gt;%USERPROFILE%\Documents\GitHub\eaglep3-reporting\EC\2017-12-12-refined-times.txt</v>
      </c>
      <c r="AI61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{"issue":{"subject":"","project_id":79,"tracker_id":40,"status_id":1,"priority_id":2,"assigned_to_id":338,"start_date":"2017-12-12","description":"","custom_fields":[{"id":1,"name":"Subdivision","value":"EC"},{"id":4,"name":"Milepost","value":"23.3318"},{"id":17,"name":"Train ID","value":"147-12"},{"id":16,"name":"Locomotive ID","value":"4030"},{"id":130,"name":"Impact","value":""},{"id":150,"name":"Time of Event (Mountain Time)","value":"10:05:50"},{"id":151,"name":"Denver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180"/>
      <c r="AK61" s="188"/>
      <c r="AL61" s="188"/>
      <c r="AM61" s="193" t="str">
        <f t="shared" si="21"/>
        <v>start /low /b %USERPROFILE%\Documents\GitHub\eaglep3\Utilities\DownloadLogsFromS3.py --loco 4030 --day 2017-12-12</v>
      </c>
      <c r="AN61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87" t="str">
        <f t="shared" si="23"/>
        <v>https://d0f6bd738d7f1b3e5a7ca70fe4ff75f0.us-east-1.aws.found.io/app/kibana#/discover/Steve-Slow-Train-Analysis-(2080s-and-2083s)?_g=(refreshInterval:(display:Off,pause:!f,section:0,value:0),time:(from:'2017-12-12T08:28:19-0700',mode:absolute,to:'2017-12-12T11:05:50-0700'))&amp;_a=(columns:!('Message%20ID',Summary),filters:!(),index:'emp_*',interval:auto,query:(query_string:(analyze_wildcard:!t,query:'%22rtdc.l.rtdc.4030%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186" t="s">
        <v>678</v>
      </c>
      <c r="B62" s="182">
        <v>4029</v>
      </c>
      <c r="C62" s="184" t="s">
        <v>192</v>
      </c>
      <c r="D62" s="184" t="s">
        <v>624</v>
      </c>
      <c r="E62" s="183">
        <v>43081.434525462966</v>
      </c>
      <c r="F62" s="183">
        <v>43081.435763888891</v>
      </c>
      <c r="G62" s="182">
        <v>48</v>
      </c>
      <c r="H62" s="184" t="s">
        <v>630</v>
      </c>
      <c r="I62" s="183">
        <v>43081.463379629633</v>
      </c>
      <c r="J62" s="182">
        <v>0</v>
      </c>
      <c r="K62" s="190" t="str">
        <f t="shared" si="0"/>
        <v>4029/4030</v>
      </c>
      <c r="L62" s="196" t="str">
        <f>VLOOKUP(A62,'Trips&amp;Operators'!$C$1:$G$99911,5,FALSE)</f>
        <v>THOMPSON LESTER</v>
      </c>
      <c r="M62" s="181">
        <f t="shared" si="1"/>
        <v>2.7615740742476191E-2</v>
      </c>
      <c r="N62" s="182">
        <f t="shared" si="49"/>
        <v>39.766666669165716</v>
      </c>
      <c r="O62" s="182"/>
      <c r="P62" s="182"/>
      <c r="Q62" s="185"/>
      <c r="R62" s="197"/>
      <c r="S62" s="241">
        <f t="shared" si="50"/>
        <v>1</v>
      </c>
      <c r="T62" s="220" t="str">
        <f t="shared" si="4"/>
        <v>Southbound</v>
      </c>
      <c r="U62" s="22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1" t="str">
        <f t="shared" si="5"/>
        <v>https://d0f6bd738d7f1b3e5a7ca70fe4ff75f0.us-east-1.aws.found.io/app/kibana#/discover/Steve-Slow-Train-Analysis-(2080s-and-2083s)?_g=(refreshInterval:(display:Off,pause:!f,section:0,value:0),time:(from:'2017-12-12T09:25:43-0700',mode:absolute,to:'2017-12-12T12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222" t="str">
        <f>IF(AA62&lt;VLOOKUP(AG62,Variables!$AC$3:$AD$8,2,FALSE),"Y","N")</f>
        <v>N</v>
      </c>
      <c r="X62" s="222">
        <f t="shared" si="53"/>
        <v>1</v>
      </c>
      <c r="Y62" s="222">
        <f t="shared" si="51"/>
        <v>23.2971</v>
      </c>
      <c r="Z62" s="222">
        <f t="shared" si="52"/>
        <v>1.72E-2</v>
      </c>
      <c r="AA62" s="222">
        <f t="shared" si="9"/>
        <v>23.279900000000001</v>
      </c>
      <c r="AB62" s="231" t="e">
        <f>VLOOKUP(A62,Enforcements!$C$7:$K$9,8,0)</f>
        <v>#N/A</v>
      </c>
      <c r="AC62" s="231" t="e">
        <f>VLOOKUP(A62,Enforcements!$C$7:$E$9,3,0)</f>
        <v>#N/A</v>
      </c>
      <c r="AD62" s="232">
        <f t="shared" si="10"/>
        <v>148</v>
      </c>
      <c r="AE62" s="233" t="str">
        <f t="shared" si="11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62" s="234" t="str">
        <f t="shared" si="12"/>
        <v>"C:\Program Files (x86)\AstroGrep\AstroGrep.exe" /e /r /s /spath="%USERPROFILE%\AppData\Local\Temp\OnboardLogs" /stypes="app*4029*20171212*" /stext=" 18:.+((SYSTEM_STATE.+slice.+state.+changed )|(ment ac)|(multiple cpu faults)|(system.+state.+changed )|(\[timeout)|(PRM\|1\|D)|(kpr)|(kdp)|(train st.+moving)|(\|lc)|(penalty))"</v>
      </c>
      <c r="AG62" s="226" t="str">
        <f t="shared" si="13"/>
        <v>EC</v>
      </c>
      <c r="AH62" s="189" t="str">
        <f t="shared" si="19"/>
        <v>"%USERPROFILE%\Documents\GitHub\eaglep3\Utilities\RefineRTDCRunTimes.py" --tripid 148-12 --locoid 4029 --swversion DE.1.0.9.0 --startMP 204:232971 --initTime 2017-12-12T10:25:43 --startdatetime 2017-12-12T10:27:30 --delay 48 --endMP 204:172 --enddatetime 2017-12-12T11:07:16 --enforcementcount 0 &gt;&gt;%USERPROFILE%\Documents\GitHub\eaglep3-reporting\EC\2017-12-12-refined-times.txt</v>
      </c>
      <c r="AI62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{"issue":{"subject":"","project_id":79,"tracker_id":40,"status_id":1,"priority_id":2,"assigned_to_id":338,"start_date":"2017-12-12","description":"","custom_fields":[{"id":1,"name":"Subdivision","value":"EC"},{"id":4,"name":"Milepost","value":"0.0172"},{"id":17,"name":"Train ID","value":"148-12"},{"id":16,"name":"Locomotive ID","value":"4029"},{"id":130,"name":"Impact","value":""},{"id":150,"name":"Time of Event (Mountain Time)","value":"11:07:16"},{"id":151,"name":"Denver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180"/>
      <c r="AK62" s="188"/>
      <c r="AL62" s="188"/>
      <c r="AM62" s="193" t="str">
        <f t="shared" si="21"/>
        <v>start /low /b %USERPROFILE%\Documents\GitHub\eaglep3\Utilities\DownloadLogsFromS3.py --loco 4029 --day 2017-12-12</v>
      </c>
      <c r="AN62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87" t="str">
        <f t="shared" si="23"/>
        <v>https://d0f6bd738d7f1b3e5a7ca70fe4ff75f0.us-east-1.aws.found.io/app/kibana#/discover/Steve-Slow-Train-Analysis-(2080s-and-2083s)?_g=(refreshInterval:(display:Off,pause:!f,section:0,value:0),time:(from:'2017-12-12T09:25:43-0700',mode:absolute,to:'2017-12-12T12:07:16-0700'))&amp;_a=(columns:!('Message%20ID',Summary),filters:!(),index:'emp_*',interval:auto,query:(query_string:(analyze_wildcard:!t,query:'%22rtdc.l.rtdc.4029%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186" t="s">
        <v>760</v>
      </c>
      <c r="B63" s="182">
        <v>4016</v>
      </c>
      <c r="C63" s="184" t="s">
        <v>192</v>
      </c>
      <c r="D63" s="184" t="s">
        <v>554</v>
      </c>
      <c r="E63" s="183">
        <v>43081.400983796295</v>
      </c>
      <c r="F63" s="183">
        <v>43081.406504629631</v>
      </c>
      <c r="G63" s="182">
        <v>56</v>
      </c>
      <c r="H63" s="184" t="s">
        <v>912</v>
      </c>
      <c r="I63" s="183">
        <v>43081.431261574071</v>
      </c>
      <c r="J63" s="182">
        <v>0</v>
      </c>
      <c r="K63" s="190" t="str">
        <f t="shared" si="0"/>
        <v>4015/4016</v>
      </c>
      <c r="L63" s="196" t="str">
        <f>VLOOKUP(A63,'Trips&amp;Operators'!$C$1:$G$99911,5,FALSE)</f>
        <v>BEAM ROSS</v>
      </c>
      <c r="M63" s="181">
        <f t="shared" si="1"/>
        <v>2.4756944440014195E-2</v>
      </c>
      <c r="N63" s="182">
        <f t="shared" si="49"/>
        <v>35.64999999362044</v>
      </c>
      <c r="O63" s="182"/>
      <c r="P63" s="182"/>
      <c r="Q63" s="185"/>
      <c r="R63" s="197"/>
      <c r="S63" s="241">
        <f t="shared" si="50"/>
        <v>1</v>
      </c>
      <c r="T63" s="220" t="str">
        <f t="shared" si="4"/>
        <v>NorthBound</v>
      </c>
      <c r="U63" s="22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1" t="str">
        <f t="shared" si="5"/>
        <v>https://d0f6bd738d7f1b3e5a7ca70fe4ff75f0.us-east-1.aws.found.io/app/kibana#/discover/Steve-Slow-Train-Analysis-(2080s-and-2083s)?_g=(refreshInterval:(display:Off,pause:!f,section:0,value:0),time:(from:'2017-12-12T08:37:25-0700',mode:absolute,to:'2017-12-12T11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222" t="str">
        <f>IF(AA63&lt;VLOOKUP(AG63,Variables!$AC$3:$AD$8,2,FALSE),"Y","N")</f>
        <v>N</v>
      </c>
      <c r="X63" s="222">
        <f t="shared" si="53"/>
        <v>1</v>
      </c>
      <c r="Y63" s="222">
        <f t="shared" si="51"/>
        <v>4.6199999999999998E-2</v>
      </c>
      <c r="Z63" s="222">
        <f t="shared" si="52"/>
        <v>23.329499999999999</v>
      </c>
      <c r="AA63" s="222">
        <f t="shared" si="9"/>
        <v>23.283300000000001</v>
      </c>
      <c r="AB63" s="231" t="e">
        <f>VLOOKUP(A63,Enforcements!$C$7:$K$9,8,0)</f>
        <v>#N/A</v>
      </c>
      <c r="AC63" s="231" t="e">
        <f>VLOOKUP(A63,Enforcements!$C$7:$E$9,3,0)</f>
        <v>#N/A</v>
      </c>
      <c r="AD63" s="232">
        <f t="shared" si="10"/>
        <v>149</v>
      </c>
      <c r="AE63" s="233" t="str">
        <f t="shared" si="11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63" s="234" t="str">
        <f t="shared" si="12"/>
        <v>"C:\Program Files (x86)\AstroGrep\AstroGrep.exe" /e /r /s /spath="%USERPROFILE%\AppData\Local\Temp\OnboardLogs" /stypes="app*4016*20171212*" /stext=" 17:.+((SYSTEM_STATE.+slice.+state.+changed )|(ment ac)|(multiple cpu faults)|(system.+state.+changed )|(\[timeout)|(PRM\|1\|D)|(kpr)|(kdp)|(train st.+moving)|(\|lc)|(penalty))"</v>
      </c>
      <c r="AG63" s="226" t="str">
        <f t="shared" si="13"/>
        <v>EC</v>
      </c>
      <c r="AH63" s="189" t="str">
        <f t="shared" si="19"/>
        <v>"%USERPROFILE%\Documents\GitHub\eaglep3\Utilities\RefineRTDCRunTimes.py" --tripid 149-12 --locoid 4016 --swversion DE.1.0.9.0 --startMP 204:462 --initTime 2017-12-12T09:37:25 --startdatetime 2017-12-12T09:45:22 --delay 56 --endMP 204:233295 --enddatetime 2017-12-12T10:21:01 --enforcementcount 0 &gt;&gt;%USERPROFILE%\Documents\GitHub\eaglep3-reporting\EC\2017-12-12-refined-times.txt</v>
      </c>
      <c r="AI63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{"issue":{"subject":"","project_id":79,"tracker_id":40,"status_id":1,"priority_id":2,"assigned_to_id":338,"start_date":"2017-12-12","description":"","custom_fields":[{"id":1,"name":"Subdivision","value":"EC"},{"id":4,"name":"Milepost","value":"23.3295"},{"id":17,"name":"Train ID","value":"149-12"},{"id":16,"name":"Locomotive ID","value":"4016"},{"id":130,"name":"Impact","value":""},{"id":150,"name":"Time of Event (Mountain Time)","value":"10:21:01"},{"id":151,"name":"Denver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180"/>
      <c r="AK63" s="188"/>
      <c r="AL63" s="188"/>
      <c r="AM63" s="193" t="str">
        <f t="shared" si="21"/>
        <v>start /low /b %USERPROFILE%\Documents\GitHub\eaglep3\Utilities\DownloadLogsFromS3.py --loco 4016 --day 2017-12-12</v>
      </c>
      <c r="AN63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87" t="str">
        <f t="shared" si="23"/>
        <v>https://d0f6bd738d7f1b3e5a7ca70fe4ff75f0.us-east-1.aws.found.io/app/kibana#/discover/Steve-Slow-Train-Analysis-(2080s-and-2083s)?_g=(refreshInterval:(display:Off,pause:!f,section:0,value:0),time:(from:'2017-12-12T08:37:25-0700',mode:absolute,to:'2017-12-12T11:21:01-0700'))&amp;_a=(columns:!('Message%20ID',Summary),filters:!(),index:'emp_*',interval:auto,query:(query_string:(analyze_wildcard:!t,query:'%22rtdc.l.rtdc.4016%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186" t="s">
        <v>767</v>
      </c>
      <c r="B64" s="182">
        <v>4015</v>
      </c>
      <c r="C64" s="184" t="s">
        <v>192</v>
      </c>
      <c r="D64" s="184" t="s">
        <v>947</v>
      </c>
      <c r="E64" s="183">
        <v>43081.43378472222</v>
      </c>
      <c r="F64" s="183">
        <v>43081.446203703701</v>
      </c>
      <c r="G64" s="182">
        <v>55</v>
      </c>
      <c r="H64" s="184" t="s">
        <v>499</v>
      </c>
      <c r="I64" s="183">
        <v>43081.471493055556</v>
      </c>
      <c r="J64" s="182">
        <v>0</v>
      </c>
      <c r="K64" s="190" t="str">
        <f t="shared" si="0"/>
        <v>4015/4016</v>
      </c>
      <c r="L64" s="196" t="str">
        <f>VLOOKUP(A64,'Trips&amp;Operators'!$C$1:$G$99911,5,FALSE)</f>
        <v>BEAM ROSS</v>
      </c>
      <c r="M64" s="181">
        <f t="shared" si="1"/>
        <v>2.5289351855462883E-2</v>
      </c>
      <c r="N64" s="182">
        <f t="shared" si="49"/>
        <v>36.416666671866551</v>
      </c>
      <c r="O64" s="182"/>
      <c r="P64" s="182"/>
      <c r="Q64" s="185"/>
      <c r="R64" s="197"/>
      <c r="S64" s="241">
        <f t="shared" si="50"/>
        <v>1</v>
      </c>
      <c r="T64" s="220" t="str">
        <f t="shared" si="4"/>
        <v>Southbound</v>
      </c>
      <c r="U64" s="22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1" t="str">
        <f t="shared" si="5"/>
        <v>https://d0f6bd738d7f1b3e5a7ca70fe4ff75f0.us-east-1.aws.found.io/app/kibana#/discover/Steve-Slow-Train-Analysis-(2080s-and-2083s)?_g=(refreshInterval:(display:Off,pause:!f,section:0,value:0),time:(from:'2017-12-12T09:24:39-0700',mode:absolute,to:'2017-12-12T12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222" t="str">
        <f>IF(AA64&lt;VLOOKUP(AG64,Variables!$AC$3:$AD$8,2,FALSE),"Y","N")</f>
        <v>N</v>
      </c>
      <c r="X64" s="222">
        <f t="shared" si="53"/>
        <v>1</v>
      </c>
      <c r="Y64" s="222">
        <f t="shared" si="51"/>
        <v>23.299099999999999</v>
      </c>
      <c r="Z64" s="222">
        <f t="shared" si="52"/>
        <v>1.49E-2</v>
      </c>
      <c r="AA64" s="222">
        <f t="shared" si="9"/>
        <v>23.284199999999998</v>
      </c>
      <c r="AB64" s="231" t="e">
        <f>VLOOKUP(A64,Enforcements!$C$7:$K$9,8,0)</f>
        <v>#N/A</v>
      </c>
      <c r="AC64" s="231" t="e">
        <f>VLOOKUP(A64,Enforcements!$C$7:$E$9,3,0)</f>
        <v>#N/A</v>
      </c>
      <c r="AD64" s="232">
        <f t="shared" si="10"/>
        <v>150</v>
      </c>
      <c r="AE64" s="233" t="str">
        <f t="shared" si="11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64" s="234" t="str">
        <f t="shared" si="12"/>
        <v>"C:\Program Files (x86)\AstroGrep\AstroGrep.exe" /e /r /s /spath="%USERPROFILE%\AppData\Local\Temp\OnboardLogs" /stypes="app*4015*20171212*" /stext=" 18:.+((SYSTEM_STATE.+slice.+state.+changed )|(ment ac)|(multiple cpu faults)|(system.+state.+changed )|(\[timeout)|(PRM\|1\|D)|(kpr)|(kdp)|(train st.+moving)|(\|lc)|(penalty))"</v>
      </c>
      <c r="AG64" s="226" t="str">
        <f t="shared" si="13"/>
        <v>EC</v>
      </c>
      <c r="AH64" s="189" t="str">
        <f t="shared" si="19"/>
        <v>"%USERPROFILE%\Documents\GitHub\eaglep3\Utilities\RefineRTDCRunTimes.py" --tripid 150-12 --locoid 4015 --swversion DE.1.0.9.0 --startMP 204:232991 --initTime 2017-12-12T10:24:39 --startdatetime 2017-12-12T10:42:32 --delay 55 --endMP 204:149 --enddatetime 2017-12-12T11:18:57 --enforcementcount 0 &gt;&gt;%USERPROFILE%\Documents\GitHub\eaglep3-reporting\EC\2017-12-12-refined-times.txt</v>
      </c>
      <c r="AI64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{"issue":{"subject":"","project_id":79,"tracker_id":40,"status_id":1,"priority_id":2,"assigned_to_id":338,"start_date":"2017-12-12","description":"","custom_fields":[{"id":1,"name":"Subdivision","value":"EC"},{"id":4,"name":"Milepost","value":"0.0149"},{"id":17,"name":"Train ID","value":"150-12"},{"id":16,"name":"Locomotive ID","value":"4015"},{"id":130,"name":"Impact","value":""},{"id":150,"name":"Time of Event (Mountain Time)","value":"11:18:57"},{"id":151,"name":"Denver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180"/>
      <c r="AK64" s="188"/>
      <c r="AL64" s="188"/>
      <c r="AM64" s="193" t="str">
        <f t="shared" si="21"/>
        <v>start /low /b %USERPROFILE%\Documents\GitHub\eaglep3\Utilities\DownloadLogsFromS3.py --loco 4015 --day 2017-12-12</v>
      </c>
      <c r="AN64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87" t="str">
        <f t="shared" si="23"/>
        <v>https://d0f6bd738d7f1b3e5a7ca70fe4ff75f0.us-east-1.aws.found.io/app/kibana#/discover/Steve-Slow-Train-Analysis-(2080s-and-2083s)?_g=(refreshInterval:(display:Off,pause:!f,section:0,value:0),time:(from:'2017-12-12T09:24:39-0700',mode:absolute,to:'2017-12-12T12:18:57-0700'))&amp;_a=(columns:!('Message%20ID',Summary),filters:!(),index:'emp_*',interval:auto,query:(query_string:(analyze_wildcard:!t,query:'%22rtdc.l.rtdc.4015%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186" t="s">
        <v>761</v>
      </c>
      <c r="B65" s="182">
        <v>4058</v>
      </c>
      <c r="C65" s="184" t="s">
        <v>192</v>
      </c>
      <c r="D65" s="184" t="s">
        <v>948</v>
      </c>
      <c r="E65" s="183">
        <v>43081.410150462965</v>
      </c>
      <c r="F65" s="183">
        <v>43081.417094907411</v>
      </c>
      <c r="G65" s="182">
        <v>59</v>
      </c>
      <c r="H65" s="184" t="s">
        <v>917</v>
      </c>
      <c r="I65" s="183">
        <v>43081.440949074073</v>
      </c>
      <c r="J65" s="182">
        <v>0</v>
      </c>
      <c r="K65" s="190" t="str">
        <f t="shared" si="0"/>
        <v>4057/4058</v>
      </c>
      <c r="L65" s="196" t="str">
        <f>VLOOKUP(A65,'Trips&amp;Operators'!$C$1:$G$99911,5,FALSE)</f>
        <v>LAMAR NEKESHA</v>
      </c>
      <c r="M65" s="181">
        <f t="shared" si="1"/>
        <v>2.3854166662204079E-2</v>
      </c>
      <c r="N65" s="182">
        <f t="shared" si="49"/>
        <v>34.349999993573874</v>
      </c>
      <c r="O65" s="182"/>
      <c r="P65" s="182"/>
      <c r="Q65" s="185"/>
      <c r="R65" s="197"/>
      <c r="S65" s="241">
        <f t="shared" si="50"/>
        <v>1</v>
      </c>
      <c r="T65" s="220" t="str">
        <f t="shared" si="4"/>
        <v>NorthBound</v>
      </c>
      <c r="U65" s="22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1" t="str">
        <f t="shared" si="5"/>
        <v>https://d0f6bd738d7f1b3e5a7ca70fe4ff75f0.us-east-1.aws.found.io/app/kibana#/discover/Steve-Slow-Train-Analysis-(2080s-and-2083s)?_g=(refreshInterval:(display:Off,pause:!f,section:0,value:0),time:(from:'2017-12-12T08:50:37-0700',mode:absolute,to:'2017-12-12T11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5" s="222" t="str">
        <f>IF(AA65&lt;VLOOKUP(AG65,Variables!$AC$3:$AD$8,2,FALSE),"Y","N")</f>
        <v>N</v>
      </c>
      <c r="X65" s="222">
        <f t="shared" si="53"/>
        <v>1</v>
      </c>
      <c r="Y65" s="222">
        <f t="shared" si="51"/>
        <v>5.0799999999999998E-2</v>
      </c>
      <c r="Z65" s="222">
        <f t="shared" si="52"/>
        <v>23.328800000000001</v>
      </c>
      <c r="AA65" s="222">
        <f t="shared" si="9"/>
        <v>23.278000000000002</v>
      </c>
      <c r="AB65" s="231" t="e">
        <f>VLOOKUP(A65,Enforcements!$C$7:$K$9,8,0)</f>
        <v>#N/A</v>
      </c>
      <c r="AC65" s="231" t="e">
        <f>VLOOKUP(A65,Enforcements!$C$7:$E$9,3,0)</f>
        <v>#N/A</v>
      </c>
      <c r="AD65" s="232">
        <f t="shared" si="10"/>
        <v>151</v>
      </c>
      <c r="AE65" s="233" t="str">
        <f t="shared" si="11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65" s="234" t="str">
        <f t="shared" si="12"/>
        <v>"C:\Program Files (x86)\AstroGrep\AstroGrep.exe" /e /r /s /spath="%USERPROFILE%\AppData\Local\Temp\OnboardLogs" /stypes="app*4058*20171212*" /stext=" 17:.+((SYSTEM_STATE.+slice.+state.+changed )|(ment ac)|(multiple cpu faults)|(system.+state.+changed )|(\[timeout)|(PRM\|1\|D)|(kpr)|(kdp)|(train st.+moving)|(\|lc)|(penalty))"</v>
      </c>
      <c r="AG65" s="226" t="str">
        <f t="shared" si="13"/>
        <v>EC</v>
      </c>
      <c r="AH65" s="189" t="str">
        <f t="shared" si="19"/>
        <v>"%USERPROFILE%\Documents\GitHub\eaglep3\Utilities\RefineRTDCRunTimes.py" --tripid 151-12 --locoid 4058 --swversion DE.1.0.9.0 --startMP 204:508 --initTime 2017-12-12T09:50:37 --startdatetime 2017-12-12T10:00:37 --delay 59 --endMP 204:233288 --enddatetime 2017-12-12T10:34:58 --enforcementcount 0 &gt;&gt;%USERPROFILE%\Documents\GitHub\eaglep3-reporting\EC\2017-12-12-refined-times.txt</v>
      </c>
      <c r="AI65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{"issue":{"subject":"","project_id":79,"tracker_id":40,"status_id":1,"priority_id":2,"assigned_to_id":338,"start_date":"2017-12-12","description":"","custom_fields":[{"id":1,"name":"Subdivision","value":"EC"},{"id":4,"name":"Milepost","value":"23.3288"},{"id":17,"name":"Train ID","value":"151-12"},{"id":16,"name":"Locomotive ID","value":"4058"},{"id":130,"name":"Impact","value":""},{"id":150,"name":"Time of Event (Mountain Time)","value":"10:34:58"},{"id":151,"name":"Denver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180"/>
      <c r="AK65" s="188"/>
      <c r="AL65" s="188"/>
      <c r="AM65" s="193" t="str">
        <f t="shared" si="21"/>
        <v>start /low /b %USERPROFILE%\Documents\GitHub\eaglep3\Utilities\DownloadLogsFromS3.py --loco 4058 --day 2017-12-12</v>
      </c>
      <c r="AN65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87" t="str">
        <f t="shared" si="23"/>
        <v>https://d0f6bd738d7f1b3e5a7ca70fe4ff75f0.us-east-1.aws.found.io/app/kibana#/discover/Steve-Slow-Train-Analysis-(2080s-and-2083s)?_g=(refreshInterval:(display:Off,pause:!f,section:0,value:0),time:(from:'2017-12-12T08:50:37-0700',mode:absolute,to:'2017-12-12T11:34:58-0700'))&amp;_a=(columns:!('Message%20ID',Summary),filters:!(),index:'emp_*',interval:auto,query:(query_string:(analyze_wildcard:!t,query:'%22rtdc.l.rtdc.4058%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186" t="s">
        <v>772</v>
      </c>
      <c r="B66" s="182">
        <v>4057</v>
      </c>
      <c r="C66" s="184" t="s">
        <v>192</v>
      </c>
      <c r="D66" s="184" t="s">
        <v>923</v>
      </c>
      <c r="E66" s="183">
        <v>43081.454131944447</v>
      </c>
      <c r="F66" s="183">
        <v>43081.456446759257</v>
      </c>
      <c r="G66" s="182">
        <v>58</v>
      </c>
      <c r="H66" s="184" t="s">
        <v>949</v>
      </c>
      <c r="I66" s="183">
        <v>43081.482048611113</v>
      </c>
      <c r="J66" s="182">
        <v>0</v>
      </c>
      <c r="K66" s="190" t="str">
        <f t="shared" si="0"/>
        <v>4057/4058</v>
      </c>
      <c r="L66" s="196" t="str">
        <f>VLOOKUP(A66,'Trips&amp;Operators'!$C$1:$G$99911,5,FALSE)</f>
        <v>LAMAR NEKESHA</v>
      </c>
      <c r="M66" s="181">
        <f t="shared" si="1"/>
        <v>2.5601851855753921E-2</v>
      </c>
      <c r="N66" s="182">
        <f t="shared" si="49"/>
        <v>36.866666672285646</v>
      </c>
      <c r="O66" s="182"/>
      <c r="P66" s="182"/>
      <c r="Q66" s="185"/>
      <c r="R66" s="197"/>
      <c r="S66" s="241">
        <f t="shared" si="50"/>
        <v>1</v>
      </c>
      <c r="T66" s="220" t="str">
        <f t="shared" si="4"/>
        <v>Southbound</v>
      </c>
      <c r="U66" s="22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1" t="str">
        <f t="shared" si="5"/>
        <v>https://d0f6bd738d7f1b3e5a7ca70fe4ff75f0.us-east-1.aws.found.io/app/kibana#/discover/Steve-Slow-Train-Analysis-(2080s-and-2083s)?_g=(refreshInterval:(display:Off,pause:!f,section:0,value:0),time:(from:'2017-12-12T09:53:57-0700',mode:absolute,to:'2017-12-12T12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6" s="222" t="str">
        <f>IF(AA66&lt;VLOOKUP(AG66,Variables!$AC$3:$AD$8,2,FALSE),"Y","N")</f>
        <v>N</v>
      </c>
      <c r="X66" s="222">
        <f t="shared" si="53"/>
        <v>1</v>
      </c>
      <c r="Y66" s="222">
        <f t="shared" si="51"/>
        <v>23.297499999999999</v>
      </c>
      <c r="Z66" s="222">
        <f t="shared" si="52"/>
        <v>1.6899999999999998E-2</v>
      </c>
      <c r="AA66" s="222">
        <f t="shared" si="9"/>
        <v>23.2806</v>
      </c>
      <c r="AB66" s="231" t="e">
        <f>VLOOKUP(A66,Enforcements!$C$7:$K$9,8,0)</f>
        <v>#N/A</v>
      </c>
      <c r="AC66" s="231" t="e">
        <f>VLOOKUP(A66,Enforcements!$C$7:$E$9,3,0)</f>
        <v>#N/A</v>
      </c>
      <c r="AD66" s="232">
        <f t="shared" si="10"/>
        <v>152</v>
      </c>
      <c r="AE66" s="233" t="str">
        <f t="shared" si="11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66" s="234" t="str">
        <f t="shared" si="12"/>
        <v>"C:\Program Files (x86)\AstroGrep\AstroGrep.exe" /e /r /s /spath="%USERPROFILE%\AppData\Local\Temp\OnboardLogs" /stypes="app*4057*20171212*" /stext=" 18:.+((SYSTEM_STATE.+slice.+state.+changed )|(ment ac)|(multiple cpu faults)|(system.+state.+changed )|(\[timeout)|(PRM\|1\|D)|(kpr)|(kdp)|(train st.+moving)|(\|lc)|(penalty))"</v>
      </c>
      <c r="AG66" s="226" t="str">
        <f t="shared" si="13"/>
        <v>EC</v>
      </c>
      <c r="AH66" s="189" t="str">
        <f t="shared" si="19"/>
        <v>"%USERPROFILE%\Documents\GitHub\eaglep3\Utilities\RefineRTDCRunTimes.py" --tripid 152-12 --locoid 4057 --swversion DE.1.0.9.0 --startMP 204:232975 --initTime 2017-12-12T10:53:57 --startdatetime 2017-12-12T10:57:17 --delay 58 --endMP 204:169 --enddatetime 2017-12-12T11:34:09 --enforcementcount 0 &gt;&gt;%USERPROFILE%\Documents\GitHub\eaglep3-reporting\EC\2017-12-12-refined-times.txt</v>
      </c>
      <c r="AI66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{"issue":{"subject":"","project_id":79,"tracker_id":40,"status_id":1,"priority_id":2,"assigned_to_id":338,"start_date":"2017-12-12","description":"","custom_fields":[{"id":1,"name":"Subdivision","value":"EC"},{"id":4,"name":"Milepost","value":"0.0169"},{"id":17,"name":"Train ID","value":"152-12"},{"id":16,"name":"Locomotive ID","value":"4057"},{"id":130,"name":"Impact","value":""},{"id":150,"name":"Time of Event (Mountain Time)","value":"11:34:09"},{"id":151,"name":"Denver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180"/>
      <c r="AK66" s="188"/>
      <c r="AL66" s="188"/>
      <c r="AM66" s="193" t="str">
        <f t="shared" si="21"/>
        <v>start /low /b %USERPROFILE%\Documents\GitHub\eaglep3\Utilities\DownloadLogsFromS3.py --loco 4057 --day 2017-12-12</v>
      </c>
      <c r="AN66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87" t="str">
        <f t="shared" si="23"/>
        <v>https://d0f6bd738d7f1b3e5a7ca70fe4ff75f0.us-east-1.aws.found.io/app/kibana#/discover/Steve-Slow-Train-Analysis-(2080s-and-2083s)?_g=(refreshInterval:(display:Off,pause:!f,section:0,value:0),time:(from:'2017-12-12T09:53:57-0700',mode:absolute,to:'2017-12-12T12:34:09-0700'))&amp;_a=(columns:!('Message%20ID',Summary),filters:!(),index:'emp_*',interval:auto,query:(query_string:(analyze_wildcard:!t,query:'%22rtdc.l.rtdc.4057%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186" t="s">
        <v>765</v>
      </c>
      <c r="B67" s="182">
        <v>4006</v>
      </c>
      <c r="C67" s="184" t="s">
        <v>192</v>
      </c>
      <c r="D67" s="184" t="s">
        <v>942</v>
      </c>
      <c r="E67" s="183">
        <v>43081.421458333331</v>
      </c>
      <c r="F67" s="183">
        <v>43081.427291666667</v>
      </c>
      <c r="G67" s="182">
        <v>69</v>
      </c>
      <c r="H67" s="184" t="s">
        <v>950</v>
      </c>
      <c r="I67" s="183">
        <v>43081.45212962963</v>
      </c>
      <c r="J67" s="182">
        <v>0</v>
      </c>
      <c r="K67" s="190" t="str">
        <f t="shared" si="0"/>
        <v>4005/4006</v>
      </c>
      <c r="L67" s="196" t="str">
        <f>VLOOKUP(A67,'Trips&amp;Operators'!$C$1:$G$99911,5,FALSE)</f>
        <v>DAVIDSON DAVID</v>
      </c>
      <c r="M67" s="181">
        <f t="shared" si="1"/>
        <v>2.4837962962919846E-2</v>
      </c>
      <c r="N67" s="182">
        <f t="shared" si="49"/>
        <v>35.766666666604578</v>
      </c>
      <c r="O67" s="182"/>
      <c r="P67" s="182"/>
      <c r="Q67" s="185"/>
      <c r="R67" s="197"/>
      <c r="S67" s="241">
        <f t="shared" si="50"/>
        <v>1</v>
      </c>
      <c r="T67" s="220" t="str">
        <f t="shared" si="4"/>
        <v>NorthBound</v>
      </c>
      <c r="U67" s="22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1" t="str">
        <f t="shared" si="5"/>
        <v>https://d0f6bd738d7f1b3e5a7ca70fe4ff75f0.us-east-1.aws.found.io/app/kibana#/discover/Steve-Slow-Train-Analysis-(2080s-and-2083s)?_g=(refreshInterval:(display:Off,pause:!f,section:0,value:0),time:(from:'2017-12-12T09:06:54-0700',mode:absolute,to:'2017-12-12T11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7" s="222" t="str">
        <f>IF(AA67&lt;VLOOKUP(AG67,Variables!$AC$3:$AD$8,2,FALSE),"Y","N")</f>
        <v>N</v>
      </c>
      <c r="X67" s="222">
        <f t="shared" si="53"/>
        <v>1</v>
      </c>
      <c r="Y67" s="222">
        <f t="shared" si="51"/>
        <v>5.2200000000000003E-2</v>
      </c>
      <c r="Z67" s="222">
        <f t="shared" si="52"/>
        <v>23.326799999999999</v>
      </c>
      <c r="AA67" s="222">
        <f t="shared" si="9"/>
        <v>23.2746</v>
      </c>
      <c r="AB67" s="231" t="e">
        <f>VLOOKUP(A67,Enforcements!$C$7:$K$9,8,0)</f>
        <v>#N/A</v>
      </c>
      <c r="AC67" s="231" t="e">
        <f>VLOOKUP(A67,Enforcements!$C$7:$E$9,3,0)</f>
        <v>#N/A</v>
      </c>
      <c r="AD67" s="232">
        <f t="shared" si="10"/>
        <v>153</v>
      </c>
      <c r="AE67" s="233" t="str">
        <f t="shared" si="11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67" s="234" t="str">
        <f t="shared" si="12"/>
        <v>"C:\Program Files (x86)\AstroGrep\AstroGrep.exe" /e /r /s /spath="%USERPROFILE%\AppData\Local\Temp\OnboardLogs" /stypes="app*4006*20171212*" /stext=" 17:.+((SYSTEM_STATE.+slice.+state.+changed )|(ment ac)|(multiple cpu faults)|(system.+state.+changed )|(\[timeout)|(PRM\|1\|D)|(kpr)|(kdp)|(train st.+moving)|(\|lc)|(penalty))"</v>
      </c>
      <c r="AG67" s="226" t="str">
        <f t="shared" si="13"/>
        <v>EC</v>
      </c>
      <c r="AH67" s="189" t="str">
        <f t="shared" si="19"/>
        <v>"%USERPROFILE%\Documents\GitHub\eaglep3\Utilities\RefineRTDCRunTimes.py" --tripid 153-12 --locoid 4006 --swversion DE.1.0.9.0 --startMP 204:522 --initTime 2017-12-12T10:06:54 --startdatetime 2017-12-12T10:15:18 --delay 69 --endMP 204:233268 --enddatetime 2017-12-12T10:51:04 --enforcementcount 0 &gt;&gt;%USERPROFILE%\Documents\GitHub\eaglep3-reporting\EC\2017-12-12-refined-times.txt</v>
      </c>
      <c r="AI67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{"issue":{"subject":"","project_id":79,"tracker_id":40,"status_id":1,"priority_id":2,"assigned_to_id":338,"start_date":"2017-12-12","description":"","custom_fields":[{"id":1,"name":"Subdivision","value":"EC"},{"id":4,"name":"Milepost","value":"23.3268"},{"id":17,"name":"Train ID","value":"153-12"},{"id":16,"name":"Locomotive ID","value":"4006"},{"id":130,"name":"Impact","value":""},{"id":150,"name":"Time of Event (Mountain Time)","value":"10:51:04"},{"id":151,"name":"Denver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180"/>
      <c r="AK67" s="188"/>
      <c r="AL67" s="188"/>
      <c r="AM67" s="193" t="str">
        <f t="shared" si="21"/>
        <v>start /low /b %USERPROFILE%\Documents\GitHub\eaglep3\Utilities\DownloadLogsFromS3.py --loco 4006 --day 2017-12-12</v>
      </c>
      <c r="AN67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87" t="str">
        <f t="shared" si="23"/>
        <v>https://d0f6bd738d7f1b3e5a7ca70fe4ff75f0.us-east-1.aws.found.io/app/kibana#/discover/Steve-Slow-Train-Analysis-(2080s-and-2083s)?_g=(refreshInterval:(display:Off,pause:!f,section:0,value:0),time:(from:'2017-12-12T09:06:54-0700',mode:absolute,to:'2017-12-12T11:51:04-0700'))&amp;_a=(columns:!('Message%20ID',Summary),filters:!(),index:'emp_*',interval:auto,query:(query_string:(analyze_wildcard:!t,query:'%22rtdc.l.rtdc.4006%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186" t="s">
        <v>771</v>
      </c>
      <c r="B68" s="182">
        <v>4005</v>
      </c>
      <c r="C68" s="184" t="s">
        <v>192</v>
      </c>
      <c r="D68" s="184" t="s">
        <v>951</v>
      </c>
      <c r="E68" s="183">
        <v>43081.453506944446</v>
      </c>
      <c r="F68" s="183">
        <v>43081.466874999998</v>
      </c>
      <c r="G68" s="182">
        <v>74</v>
      </c>
      <c r="H68" s="184" t="s">
        <v>406</v>
      </c>
      <c r="I68" s="183">
        <v>43081.494201388887</v>
      </c>
      <c r="J68" s="182">
        <v>0</v>
      </c>
      <c r="K68" s="190" t="str">
        <f t="shared" si="0"/>
        <v>4005/4006</v>
      </c>
      <c r="L68" s="196" t="str">
        <f>VLOOKUP(A68,'Trips&amp;Operators'!$C$1:$G$99911,5,FALSE)</f>
        <v>DAVIDSON DAVID</v>
      </c>
      <c r="M68" s="181">
        <f t="shared" si="1"/>
        <v>2.73263888884685E-2</v>
      </c>
      <c r="N68" s="182">
        <f t="shared" si="49"/>
        <v>39.34999999939464</v>
      </c>
      <c r="O68" s="182"/>
      <c r="P68" s="182"/>
      <c r="Q68" s="185"/>
      <c r="R68" s="197"/>
      <c r="S68" s="241">
        <f t="shared" si="50"/>
        <v>1</v>
      </c>
      <c r="T68" s="220" t="str">
        <f t="shared" si="4"/>
        <v>Southbound</v>
      </c>
      <c r="U68" s="22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1" t="str">
        <f t="shared" si="5"/>
        <v>https://d0f6bd738d7f1b3e5a7ca70fe4ff75f0.us-east-1.aws.found.io/app/kibana#/discover/Steve-Slow-Train-Analysis-(2080s-and-2083s)?_g=(refreshInterval:(display:Off,pause:!f,section:0,value:0),time:(from:'2017-12-12T09:53:03-0700',mode:absolute,to:'2017-12-12T12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8" s="222" t="str">
        <f>IF(AA68&lt;VLOOKUP(AG68,Variables!$AC$3:$AD$8,2,FALSE),"Y","N")</f>
        <v>N</v>
      </c>
      <c r="X68" s="222">
        <f t="shared" si="53"/>
        <v>1</v>
      </c>
      <c r="Y68" s="222">
        <f t="shared" si="51"/>
        <v>23.295100000000001</v>
      </c>
      <c r="Z68" s="222">
        <f t="shared" si="52"/>
        <v>2.07E-2</v>
      </c>
      <c r="AA68" s="222">
        <f t="shared" si="9"/>
        <v>23.2744</v>
      </c>
      <c r="AB68" s="231" t="e">
        <f>VLOOKUP(A68,Enforcements!$C$7:$K$9,8,0)</f>
        <v>#N/A</v>
      </c>
      <c r="AC68" s="231" t="e">
        <f>VLOOKUP(A68,Enforcements!$C$7:$E$9,3,0)</f>
        <v>#N/A</v>
      </c>
      <c r="AD68" s="232">
        <f t="shared" si="10"/>
        <v>154</v>
      </c>
      <c r="AE68" s="233" t="str">
        <f t="shared" si="11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68" s="234" t="str">
        <f t="shared" si="12"/>
        <v>"C:\Program Files (x86)\AstroGrep\AstroGrep.exe" /e /r /s /spath="%USERPROFILE%\AppData\Local\Temp\OnboardLogs" /stypes="app*4005*20171212*" /stext=" 18:.+((SYSTEM_STATE.+slice.+state.+changed )|(ment ac)|(multiple cpu faults)|(system.+state.+changed )|(\[timeout)|(PRM\|1\|D)|(kpr)|(kdp)|(train st.+moving)|(\|lc)|(penalty))"</v>
      </c>
      <c r="AG68" s="226" t="str">
        <f t="shared" si="13"/>
        <v>EC</v>
      </c>
      <c r="AH68" s="189" t="str">
        <f t="shared" si="19"/>
        <v>"%USERPROFILE%\Documents\GitHub\eaglep3\Utilities\RefineRTDCRunTimes.py" --tripid 154-12 --locoid 4005 --swversion DE.1.0.9.0 --startMP 204:232951 --initTime 2017-12-12T10:53:03 --startdatetime 2017-12-12T11:12:18 --delay 74 --endMP 204:207 --enddatetime 2017-12-12T11:51:39 --enforcementcount 0 &gt;&gt;%USERPROFILE%\Documents\GitHub\eaglep3-reporting\EC\2017-12-12-refined-times.txt</v>
      </c>
      <c r="AI68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{"issue":{"subject":"","project_id":79,"tracker_id":40,"status_id":1,"priority_id":2,"assigned_to_id":338,"start_date":"2017-12-12","description":"","custom_fields":[{"id":1,"name":"Subdivision","value":"EC"},{"id":4,"name":"Milepost","value":"0.0207"},{"id":17,"name":"Train ID","value":"154-12"},{"id":16,"name":"Locomotive ID","value":"4005"},{"id":130,"name":"Impact","value":""},{"id":150,"name":"Time of Event (Mountain Time)","value":"11:51:39"},{"id":151,"name":"Denver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180"/>
      <c r="AK68" s="188"/>
      <c r="AL68" s="188"/>
      <c r="AM68" s="193" t="str">
        <f t="shared" si="21"/>
        <v>start /low /b %USERPROFILE%\Documents\GitHub\eaglep3\Utilities\DownloadLogsFromS3.py --loco 4005 --day 2017-12-12</v>
      </c>
      <c r="AN68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87" t="str">
        <f t="shared" si="23"/>
        <v>https://d0f6bd738d7f1b3e5a7ca70fe4ff75f0.us-east-1.aws.found.io/app/kibana#/discover/Steve-Slow-Train-Analysis-(2080s-and-2083s)?_g=(refreshInterval:(display:Off,pause:!f,section:0,value:0),time:(from:'2017-12-12T09:53:03-0700',mode:absolute,to:'2017-12-12T12:51:39-0700'))&amp;_a=(columns:!('Message%20ID',Summary),filters:!(),index:'emp_*',interval:auto,query:(query_string:(analyze_wildcard:!t,query:'%22rtdc.l.rtdc.4005%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186" t="s">
        <v>766</v>
      </c>
      <c r="B69" s="182">
        <v>4022</v>
      </c>
      <c r="C69" s="184" t="s">
        <v>192</v>
      </c>
      <c r="D69" s="184" t="s">
        <v>472</v>
      </c>
      <c r="E69" s="183">
        <v>43081.431180555555</v>
      </c>
      <c r="F69" s="183">
        <v>43081.43787037037</v>
      </c>
      <c r="G69" s="182">
        <v>57</v>
      </c>
      <c r="H69" s="184" t="s">
        <v>952</v>
      </c>
      <c r="I69" s="183">
        <v>43081.462858796294</v>
      </c>
      <c r="J69" s="182">
        <v>0</v>
      </c>
      <c r="K69" s="190" t="str">
        <f t="shared" si="0"/>
        <v>4021/4022</v>
      </c>
      <c r="L69" s="196" t="str">
        <f>VLOOKUP(A69,'Trips&amp;Operators'!$C$1:$G$99911,5,FALSE)</f>
        <v>YANAI IAN</v>
      </c>
      <c r="M69" s="181">
        <f t="shared" si="1"/>
        <v>2.4988425924675539E-2</v>
      </c>
      <c r="N69" s="182">
        <f t="shared" si="49"/>
        <v>35.983333331532776</v>
      </c>
      <c r="O69" s="182"/>
      <c r="P69" s="182"/>
      <c r="Q69" s="185"/>
      <c r="R69" s="197"/>
      <c r="S69" s="241">
        <f t="shared" si="50"/>
        <v>1</v>
      </c>
      <c r="T69" s="220" t="str">
        <f t="shared" si="4"/>
        <v>NorthBound</v>
      </c>
      <c r="U69" s="22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1" t="str">
        <f t="shared" si="5"/>
        <v>https://d0f6bd738d7f1b3e5a7ca70fe4ff75f0.us-east-1.aws.found.io/app/kibana#/discover/Steve-Slow-Train-Analysis-(2080s-and-2083s)?_g=(refreshInterval:(display:Off,pause:!f,section:0,value:0),time:(from:'2017-12-12T09:20:54-0700',mode:absolute,to:'2017-12-12T12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222" t="str">
        <f>IF(AA69&lt;VLOOKUP(AG69,Variables!$AC$3:$AD$8,2,FALSE),"Y","N")</f>
        <v>N</v>
      </c>
      <c r="X69" s="222">
        <f t="shared" si="53"/>
        <v>1</v>
      </c>
      <c r="Y69" s="222">
        <f t="shared" si="51"/>
        <v>5.28E-2</v>
      </c>
      <c r="Z69" s="222">
        <f t="shared" si="52"/>
        <v>23.326599999999999</v>
      </c>
      <c r="AA69" s="222">
        <f t="shared" si="9"/>
        <v>23.273799999999998</v>
      </c>
      <c r="AB69" s="231" t="e">
        <f>VLOOKUP(A69,Enforcements!$C$7:$K$9,8,0)</f>
        <v>#N/A</v>
      </c>
      <c r="AC69" s="231" t="e">
        <f>VLOOKUP(A69,Enforcements!$C$7:$E$9,3,0)</f>
        <v>#N/A</v>
      </c>
      <c r="AD69" s="232">
        <f t="shared" si="10"/>
        <v>155</v>
      </c>
      <c r="AE69" s="233" t="str">
        <f t="shared" si="11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69" s="234" t="str">
        <f t="shared" si="12"/>
        <v>"C:\Program Files (x86)\AstroGrep\AstroGrep.exe" /e /r /s /spath="%USERPROFILE%\AppData\Local\Temp\OnboardLogs" /stypes="app*4022*20171212*" /stext=" 18:.+((SYSTEM_STATE.+slice.+state.+changed )|(ment ac)|(multiple cpu faults)|(system.+state.+changed )|(\[timeout)|(PRM\|1\|D)|(kpr)|(kdp)|(train st.+moving)|(\|lc)|(penalty))"</v>
      </c>
      <c r="AG69" s="226" t="str">
        <f t="shared" si="13"/>
        <v>EC</v>
      </c>
      <c r="AH69" s="189" t="str">
        <f t="shared" si="19"/>
        <v>"%USERPROFILE%\Documents\GitHub\eaglep3\Utilities\RefineRTDCRunTimes.py" --tripid 155-12 --locoid 4022 --swversion DE.1.0.9.0 --startMP 204:528 --initTime 2017-12-12T10:20:54 --startdatetime 2017-12-12T10:30:32 --delay 57 --endMP 204:233266 --enddatetime 2017-12-12T11:06:31 --enforcementcount 0 &gt;&gt;%USERPROFILE%\Documents\GitHub\eaglep3-reporting\EC\2017-12-12-refined-times.txt</v>
      </c>
      <c r="AI69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{"issue":{"subject":"","project_id":79,"tracker_id":40,"status_id":1,"priority_id":2,"assigned_to_id":338,"start_date":"2017-12-12","description":"","custom_fields":[{"id":1,"name":"Subdivision","value":"EC"},{"id":4,"name":"Milepost","value":"23.3266"},{"id":17,"name":"Train ID","value":"155-12"},{"id":16,"name":"Locomotive ID","value":"4022"},{"id":130,"name":"Impact","value":""},{"id":150,"name":"Time of Event (Mountain Time)","value":"11:06:31"},{"id":151,"name":"Denver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180"/>
      <c r="AK69" s="188"/>
      <c r="AL69" s="188"/>
      <c r="AM69" s="193" t="str">
        <f t="shared" si="21"/>
        <v>start /low /b %USERPROFILE%\Documents\GitHub\eaglep3\Utilities\DownloadLogsFromS3.py --loco 4022 --day 2017-12-12</v>
      </c>
      <c r="AN69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87" t="str">
        <f t="shared" si="23"/>
        <v>https://d0f6bd738d7f1b3e5a7ca70fe4ff75f0.us-east-1.aws.found.io/app/kibana#/discover/Steve-Slow-Train-Analysis-(2080s-and-2083s)?_g=(refreshInterval:(display:Off,pause:!f,section:0,value:0),time:(from:'2017-12-12T09:20:54-0700',mode:absolute,to:'2017-12-12T12:06:31-0700'))&amp;_a=(columns:!('Message%20ID',Summary),filters:!(),index:'emp_*',interval:auto,query:(query_string:(analyze_wildcard:!t,query:'%22rtdc.l.rtdc.4022%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186" t="s">
        <v>774</v>
      </c>
      <c r="B70" s="182">
        <v>4021</v>
      </c>
      <c r="C70" s="184" t="s">
        <v>192</v>
      </c>
      <c r="D70" s="184" t="s">
        <v>500</v>
      </c>
      <c r="E70" s="183">
        <v>43081.46402777778</v>
      </c>
      <c r="F70" s="183">
        <v>43081.477280092593</v>
      </c>
      <c r="G70" s="182">
        <v>69</v>
      </c>
      <c r="H70" s="184" t="s">
        <v>467</v>
      </c>
      <c r="I70" s="183">
        <v>43081.504259259258</v>
      </c>
      <c r="J70" s="182">
        <v>0</v>
      </c>
      <c r="K70" s="190" t="str">
        <f t="shared" si="0"/>
        <v>4021/4022</v>
      </c>
      <c r="L70" s="196" t="str">
        <f>VLOOKUP(A70,'Trips&amp;Operators'!$C$1:$G$99911,5,FALSE)</f>
        <v>YANAI IAN</v>
      </c>
      <c r="M70" s="181">
        <f t="shared" si="1"/>
        <v>2.6979166665114462E-2</v>
      </c>
      <c r="N70" s="182">
        <f t="shared" si="49"/>
        <v>38.849999997764826</v>
      </c>
      <c r="O70" s="182"/>
      <c r="P70" s="182"/>
      <c r="Q70" s="185"/>
      <c r="R70" s="197"/>
      <c r="S70" s="241">
        <f t="shared" si="50"/>
        <v>1</v>
      </c>
      <c r="T70" s="220" t="str">
        <f t="shared" si="4"/>
        <v>Southbound</v>
      </c>
      <c r="U70" s="22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1" t="str">
        <f t="shared" si="5"/>
        <v>https://d0f6bd738d7f1b3e5a7ca70fe4ff75f0.us-east-1.aws.found.io/app/kibana#/discover/Steve-Slow-Train-Analysis-(2080s-and-2083s)?_g=(refreshInterval:(display:Off,pause:!f,section:0,value:0),time:(from:'2017-12-12T10:08:12-0700',mode:absolute,to:'2017-12-12T13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222" t="str">
        <f>IF(AA70&lt;VLOOKUP(AG70,Variables!$AC$3:$AD$8,2,FALSE),"Y","N")</f>
        <v>N</v>
      </c>
      <c r="X70" s="222">
        <f t="shared" si="53"/>
        <v>1</v>
      </c>
      <c r="Y70" s="222">
        <f t="shared" si="51"/>
        <v>23.2957</v>
      </c>
      <c r="Z70" s="222">
        <f t="shared" si="52"/>
        <v>1.4999999999999999E-2</v>
      </c>
      <c r="AA70" s="222">
        <f t="shared" si="9"/>
        <v>23.2807</v>
      </c>
      <c r="AB70" s="231" t="e">
        <f>VLOOKUP(A70,Enforcements!$C$7:$K$9,8,0)</f>
        <v>#N/A</v>
      </c>
      <c r="AC70" s="231" t="e">
        <f>VLOOKUP(A70,Enforcements!$C$7:$E$9,3,0)</f>
        <v>#N/A</v>
      </c>
      <c r="AD70" s="232">
        <f t="shared" si="10"/>
        <v>156</v>
      </c>
      <c r="AE70" s="233" t="str">
        <f t="shared" si="11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70" s="234" t="str">
        <f t="shared" si="12"/>
        <v>"C:\Program Files (x86)\AstroGrep\AstroGrep.exe" /e /r /s /spath="%USERPROFILE%\AppData\Local\Temp\OnboardLogs" /stypes="app*4021*20171212*" /stext=" 19:.+((SYSTEM_STATE.+slice.+state.+changed )|(ment ac)|(multiple cpu faults)|(system.+state.+changed )|(\[timeout)|(PRM\|1\|D)|(kpr)|(kdp)|(train st.+moving)|(\|lc)|(penalty))"</v>
      </c>
      <c r="AG70" s="226" t="str">
        <f t="shared" si="13"/>
        <v>EC</v>
      </c>
      <c r="AH70" s="189" t="str">
        <f t="shared" si="19"/>
        <v>"%USERPROFILE%\Documents\GitHub\eaglep3\Utilities\RefineRTDCRunTimes.py" --tripid 156-12 --locoid 4021 --swversion DE.1.0.9.0 --startMP 204:232957 --initTime 2017-12-12T11:08:12 --startdatetime 2017-12-12T11:27:17 --delay 69 --endMP 204:150 --enddatetime 2017-12-12T12:06:08 --enforcementcount 0 &gt;&gt;%USERPROFILE%\Documents\GitHub\eaglep3-reporting\EC\2017-12-12-refined-times.txt</v>
      </c>
      <c r="AI70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{"issue":{"subject":"","project_id":79,"tracker_id":40,"status_id":1,"priority_id":2,"assigned_to_id":338,"start_date":"2017-12-12","description":"","custom_fields":[{"id":1,"name":"Subdivision","value":"EC"},{"id":4,"name":"Milepost","value":"0.015"},{"id":17,"name":"Train ID","value":"156-12"},{"id":16,"name":"Locomotive ID","value":"4021"},{"id":130,"name":"Impact","value":""},{"id":150,"name":"Time of Event (Mountain Time)","value":"12:06:08"},{"id":151,"name":"Denver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180"/>
      <c r="AK70" s="188"/>
      <c r="AL70" s="188"/>
      <c r="AM70" s="193" t="str">
        <f t="shared" si="21"/>
        <v>start /low /b %USERPROFILE%\Documents\GitHub\eaglep3\Utilities\DownloadLogsFromS3.py --loco 4021 --day 2017-12-12</v>
      </c>
      <c r="AN70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87" t="str">
        <f t="shared" si="23"/>
        <v>https://d0f6bd738d7f1b3e5a7ca70fe4ff75f0.us-east-1.aws.found.io/app/kibana#/discover/Steve-Slow-Train-Analysis-(2080s-and-2083s)?_g=(refreshInterval:(display:Off,pause:!f,section:0,value:0),time:(from:'2017-12-12T10:08:12-0700',mode:absolute,to:'2017-12-12T13:06:08-0700'))&amp;_a=(columns:!('Message%20ID',Summary),filters:!(),index:'emp_*',interval:auto,query:(query_string:(analyze_wildcard:!t,query:'%22rtdc.l.rtdc.4021%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186" t="s">
        <v>769</v>
      </c>
      <c r="B71" s="182">
        <v>4012</v>
      </c>
      <c r="C71" s="184" t="s">
        <v>192</v>
      </c>
      <c r="D71" s="184" t="s">
        <v>911</v>
      </c>
      <c r="E71" s="183">
        <v>43081.444039351853</v>
      </c>
      <c r="F71" s="183">
        <v>43081.448344907411</v>
      </c>
      <c r="G71" s="182">
        <v>97</v>
      </c>
      <c r="H71" s="184" t="s">
        <v>953</v>
      </c>
      <c r="I71" s="183">
        <v>43081.474143518521</v>
      </c>
      <c r="J71" s="182">
        <v>0</v>
      </c>
      <c r="K71" s="190" t="str">
        <f t="shared" si="0"/>
        <v>4011/4012</v>
      </c>
      <c r="L71" s="196" t="str">
        <f>VLOOKUP(A71,'Trips&amp;Operators'!$C$1:$G$99911,5,FALSE)</f>
        <v>DAVIS MICHAEL</v>
      </c>
      <c r="M71" s="181">
        <f t="shared" si="1"/>
        <v>2.5798611110076308E-2</v>
      </c>
      <c r="N71" s="182">
        <f t="shared" si="49"/>
        <v>37.149999998509884</v>
      </c>
      <c r="O71" s="182"/>
      <c r="P71" s="182"/>
      <c r="Q71" s="185"/>
      <c r="R71" s="197"/>
      <c r="S71" s="241">
        <f t="shared" si="50"/>
        <v>1</v>
      </c>
      <c r="T71" s="220" t="str">
        <f t="shared" si="4"/>
        <v>NorthBound</v>
      </c>
      <c r="U71" s="22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1" t="str">
        <f t="shared" si="5"/>
        <v>https://d0f6bd738d7f1b3e5a7ca70fe4ff75f0.us-east-1.aws.found.io/app/kibana#/discover/Steve-Slow-Train-Analysis-(2080s-and-2083s)?_g=(refreshInterval:(display:Off,pause:!f,section:0,value:0),time:(from:'2017-12-12T09:39:25-0700',mode:absolute,to:'2017-12-12T12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222" t="str">
        <f>IF(AA71&lt;VLOOKUP(AG71,Variables!$AC$3:$AD$8,2,FALSE),"Y","N")</f>
        <v>N</v>
      </c>
      <c r="X71" s="222">
        <f t="shared" si="53"/>
        <v>1</v>
      </c>
      <c r="Y71" s="222">
        <f t="shared" si="51"/>
        <v>4.4900000000000002E-2</v>
      </c>
      <c r="Z71" s="222">
        <f t="shared" si="52"/>
        <v>23.331700000000001</v>
      </c>
      <c r="AA71" s="222">
        <f t="shared" si="9"/>
        <v>23.286800000000003</v>
      </c>
      <c r="AB71" s="231" t="e">
        <f>VLOOKUP(A71,Enforcements!$C$7:$K$9,8,0)</f>
        <v>#N/A</v>
      </c>
      <c r="AC71" s="231" t="e">
        <f>VLOOKUP(A71,Enforcements!$C$7:$E$9,3,0)</f>
        <v>#N/A</v>
      </c>
      <c r="AD71" s="232">
        <f t="shared" si="10"/>
        <v>157</v>
      </c>
      <c r="AE71" s="233" t="str">
        <f t="shared" si="11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71" s="234" t="str">
        <f t="shared" si="12"/>
        <v>"C:\Program Files (x86)\AstroGrep\AstroGrep.exe" /e /r /s /spath="%USERPROFILE%\AppData\Local\Temp\OnboardLogs" /stypes="app*4012*20171212*" /stext=" 18:.+((SYSTEM_STATE.+slice.+state.+changed )|(ment ac)|(multiple cpu faults)|(system.+state.+changed )|(\[timeout)|(PRM\|1\|D)|(kpr)|(kdp)|(train st.+moving)|(\|lc)|(penalty))"</v>
      </c>
      <c r="AG71" s="226" t="str">
        <f t="shared" si="13"/>
        <v>EC</v>
      </c>
      <c r="AH71" s="189" t="str">
        <f t="shared" si="19"/>
        <v>"%USERPROFILE%\Documents\GitHub\eaglep3\Utilities\RefineRTDCRunTimes.py" --tripid 157-12 --locoid 4012 --swversion DE.1.0.9.0 --startMP 204:449 --initTime 2017-12-12T10:39:25 --startdatetime 2017-12-12T10:45:37 --delay 97 --endMP 204:233317 --enddatetime 2017-12-12T11:22:46 --enforcementcount 0 &gt;&gt;%USERPROFILE%\Documents\GitHub\eaglep3-reporting\EC\2017-12-12-refined-times.txt</v>
      </c>
      <c r="AI71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{"issue":{"subject":"","project_id":79,"tracker_id":40,"status_id":1,"priority_id":2,"assigned_to_id":338,"start_date":"2017-12-12","description":"","custom_fields":[{"id":1,"name":"Subdivision","value":"EC"},{"id":4,"name":"Milepost","value":"23.3317"},{"id":17,"name":"Train ID","value":"157-12"},{"id":16,"name":"Locomotive ID","value":"4012"},{"id":130,"name":"Impact","value":""},{"id":150,"name":"Time of Event (Mountain Time)","value":"11:22:46"},{"id":151,"name":"Denver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180"/>
      <c r="AK71" s="188"/>
      <c r="AL71" s="188"/>
      <c r="AM71" s="193" t="str">
        <f t="shared" si="21"/>
        <v>start /low /b %USERPROFILE%\Documents\GitHub\eaglep3\Utilities\DownloadLogsFromS3.py --loco 4012 --day 2017-12-12</v>
      </c>
      <c r="AN71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87" t="str">
        <f t="shared" si="23"/>
        <v>https://d0f6bd738d7f1b3e5a7ca70fe4ff75f0.us-east-1.aws.found.io/app/kibana#/discover/Steve-Slow-Train-Analysis-(2080s-and-2083s)?_g=(refreshInterval:(display:Off,pause:!f,section:0,value:0),time:(from:'2017-12-12T09:39:25-0700',mode:absolute,to:'2017-12-12T12:22:46-0700'))&amp;_a=(columns:!('Message%20ID',Summary),filters:!(),index:'emp_*',interval:auto,query:(query_string:(analyze_wildcard:!t,query:'%22rtdc.l.rtdc.4012%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186" t="s">
        <v>781</v>
      </c>
      <c r="B72" s="182">
        <v>4011</v>
      </c>
      <c r="C72" s="184" t="s">
        <v>192</v>
      </c>
      <c r="D72" s="184" t="s">
        <v>909</v>
      </c>
      <c r="E72" s="183">
        <v>43081.484895833331</v>
      </c>
      <c r="F72" s="183">
        <v>43081.487986111111</v>
      </c>
      <c r="G72" s="182">
        <v>108</v>
      </c>
      <c r="H72" s="184" t="s">
        <v>454</v>
      </c>
      <c r="I72" s="183">
        <v>43081.514525462961</v>
      </c>
      <c r="J72" s="182">
        <v>0</v>
      </c>
      <c r="K72" s="190" t="str">
        <f t="shared" si="0"/>
        <v>4011/4012</v>
      </c>
      <c r="L72" s="196" t="str">
        <f>VLOOKUP(A72,'Trips&amp;Operators'!$C$1:$G$99911,5,FALSE)</f>
        <v>DAVIS MICHAEL</v>
      </c>
      <c r="M72" s="181">
        <f t="shared" si="1"/>
        <v>2.6539351849351078E-2</v>
      </c>
      <c r="N72" s="182">
        <f t="shared" si="49"/>
        <v>38.216666663065553</v>
      </c>
      <c r="O72" s="182"/>
      <c r="P72" s="182"/>
      <c r="Q72" s="185"/>
      <c r="R72" s="197"/>
      <c r="S72" s="241">
        <f t="shared" si="50"/>
        <v>1</v>
      </c>
      <c r="T72" s="220" t="str">
        <f t="shared" si="4"/>
        <v>Southbound</v>
      </c>
      <c r="U72" s="22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21" t="str">
        <f t="shared" si="5"/>
        <v>https://d0f6bd738d7f1b3e5a7ca70fe4ff75f0.us-east-1.aws.found.io/app/kibana#/discover/Steve-Slow-Train-Analysis-(2080s-and-2083s)?_g=(refreshInterval:(display:Off,pause:!f,section:0,value:0),time:(from:'2017-12-12T10:38:15-0700',mode:absolute,to:'2017-12-12T13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222" t="str">
        <f>IF(AA72&lt;VLOOKUP(AG72,Variables!$AC$3:$AD$8,2,FALSE),"Y","N")</f>
        <v>N</v>
      </c>
      <c r="X72" s="222">
        <f t="shared" si="53"/>
        <v>1</v>
      </c>
      <c r="Y72" s="222">
        <f t="shared" si="51"/>
        <v>23.298500000000001</v>
      </c>
      <c r="Z72" s="222">
        <f t="shared" si="52"/>
        <v>2.0899999999999998E-2</v>
      </c>
      <c r="AA72" s="222">
        <f t="shared" si="9"/>
        <v>23.2776</v>
      </c>
      <c r="AB72" s="231" t="e">
        <f>VLOOKUP(A72,Enforcements!$C$7:$K$9,8,0)</f>
        <v>#N/A</v>
      </c>
      <c r="AC72" s="231" t="e">
        <f>VLOOKUP(A72,Enforcements!$C$7:$E$9,3,0)</f>
        <v>#N/A</v>
      </c>
      <c r="AD72" s="232">
        <f t="shared" si="10"/>
        <v>158</v>
      </c>
      <c r="AE72" s="233" t="str">
        <f t="shared" si="11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72" s="234" t="str">
        <f t="shared" si="12"/>
        <v>"C:\Program Files (x86)\AstroGrep\AstroGrep.exe" /e /r /s /spath="%USERPROFILE%\AppData\Local\Temp\OnboardLogs" /stypes="app*4011*20171212*" /stext=" 19:.+((SYSTEM_STATE.+slice.+state.+changed )|(ment ac)|(multiple cpu faults)|(system.+state.+changed )|(\[timeout)|(PRM\|1\|D)|(kpr)|(kdp)|(train st.+moving)|(\|lc)|(penalty))"</v>
      </c>
      <c r="AG72" s="226" t="str">
        <f t="shared" si="13"/>
        <v>EC</v>
      </c>
      <c r="AH72" s="189" t="str">
        <f t="shared" si="19"/>
        <v>"%USERPROFILE%\Documents\GitHub\eaglep3\Utilities\RefineRTDCRunTimes.py" --tripid 158-12 --locoid 4011 --swversion DE.1.0.9.0 --startMP 204:232985 --initTime 2017-12-12T11:38:15 --startdatetime 2017-12-12T11:42:42 --delay 108 --endMP 204:209 --enddatetime 2017-12-12T12:20:55 --enforcementcount 0 &gt;&gt;%USERPROFILE%\Documents\GitHub\eaglep3-reporting\EC\2017-12-12-refined-times.txt</v>
      </c>
      <c r="AI72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{"issue":{"subject":"","project_id":79,"tracker_id":40,"status_id":1,"priority_id":2,"assigned_to_id":338,"start_date":"2017-12-12","description":"","custom_fields":[{"id":1,"name":"Subdivision","value":"EC"},{"id":4,"name":"Milepost","value":"0.0209"},{"id":17,"name":"Train ID","value":"158-12"},{"id":16,"name":"Locomotive ID","value":"4011"},{"id":130,"name":"Impact","value":""},{"id":150,"name":"Time of Event (Mountain Time)","value":"12:20:55"},{"id":151,"name":"Denver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180"/>
      <c r="AK72" s="188"/>
      <c r="AL72" s="188"/>
      <c r="AM72" s="193" t="str">
        <f t="shared" si="21"/>
        <v>start /low /b %USERPROFILE%\Documents\GitHub\eaglep3\Utilities\DownloadLogsFromS3.py --loco 4011 --day 2017-12-12</v>
      </c>
      <c r="AN72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87" t="str">
        <f t="shared" si="23"/>
        <v>https://d0f6bd738d7f1b3e5a7ca70fe4ff75f0.us-east-1.aws.found.io/app/kibana#/discover/Steve-Slow-Train-Analysis-(2080s-and-2083s)?_g=(refreshInterval:(display:Off,pause:!f,section:0,value:0),time:(from:'2017-12-12T10:38:15-0700',mode:absolute,to:'2017-12-12T13:20:55-0700'))&amp;_a=(columns:!('Message%20ID',Summary),filters:!(),index:'emp_*',interval:auto,query:(query_string:(analyze_wildcard:!t,query:'%22rtdc.l.rtdc.4011%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186" t="s">
        <v>770</v>
      </c>
      <c r="B73" s="182">
        <v>4010</v>
      </c>
      <c r="C73" s="184" t="s">
        <v>192</v>
      </c>
      <c r="D73" s="184" t="s">
        <v>954</v>
      </c>
      <c r="E73" s="183">
        <v>43081.463379629633</v>
      </c>
      <c r="F73" s="183">
        <v>43081.464270833334</v>
      </c>
      <c r="G73" s="182">
        <v>47</v>
      </c>
      <c r="H73" s="184" t="s">
        <v>635</v>
      </c>
      <c r="I73" s="183">
        <v>43081.48537037037</v>
      </c>
      <c r="J73" s="182">
        <v>0</v>
      </c>
      <c r="K73" s="190" t="str">
        <f t="shared" si="0"/>
        <v>4009/4010</v>
      </c>
      <c r="L73" s="196" t="str">
        <f>VLOOKUP(A73,'Trips&amp;Operators'!$C$1:$G$99911,5,FALSE)</f>
        <v>MACDONALD THOMAS</v>
      </c>
      <c r="M73" s="181">
        <f t="shared" si="1"/>
        <v>2.1099537036207039E-2</v>
      </c>
      <c r="N73" s="182"/>
      <c r="O73" s="182"/>
      <c r="P73" s="182">
        <f>24*60*SUM($M73:$M73)</f>
        <v>30.383333332138136</v>
      </c>
      <c r="Q73" s="185"/>
      <c r="R73" s="197" t="s">
        <v>1086</v>
      </c>
      <c r="S73" s="241">
        <f t="shared" si="50"/>
        <v>1</v>
      </c>
      <c r="T73" s="220" t="str">
        <f t="shared" si="4"/>
        <v>NorthBound</v>
      </c>
      <c r="U73" s="22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21" t="str">
        <f t="shared" si="5"/>
        <v>https://d0f6bd738d7f1b3e5a7ca70fe4ff75f0.us-east-1.aws.found.io/app/kibana#/discover/Steve-Slow-Train-Analysis-(2080s-and-2083s)?_g=(refreshInterval:(display:Off,pause:!f,section:0,value:0),time:(from:'2017-12-12T10:07:16-0700',mode:absolute,to:'2017-12-12T12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22" t="str">
        <f>IF(AA73&lt;VLOOKUP(AG73,Variables!$AC$3:$AD$8,2,FALSE),"Y","N")</f>
        <v>Y</v>
      </c>
      <c r="X73" s="222">
        <f t="shared" si="53"/>
        <v>1</v>
      </c>
      <c r="Y73" s="222">
        <f t="shared" si="51"/>
        <v>1.9866999999999999</v>
      </c>
      <c r="Z73" s="222">
        <f t="shared" si="52"/>
        <v>23.319500000000001</v>
      </c>
      <c r="AA73" s="222">
        <f t="shared" si="9"/>
        <v>21.332800000000002</v>
      </c>
      <c r="AB73" s="231" t="e">
        <f>VLOOKUP(A73,Enforcements!$C$7:$K$9,8,0)</f>
        <v>#N/A</v>
      </c>
      <c r="AC73" s="231" t="e">
        <f>VLOOKUP(A73,Enforcements!$C$7:$E$9,3,0)</f>
        <v>#N/A</v>
      </c>
      <c r="AD73" s="232">
        <f t="shared" si="10"/>
        <v>159</v>
      </c>
      <c r="AE73" s="233" t="str">
        <f t="shared" si="11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73" s="234" t="str">
        <f t="shared" si="12"/>
        <v>"C:\Program Files (x86)\AstroGrep\AstroGrep.exe" /e /r /s /spath="%USERPROFILE%\AppData\Local\Temp\OnboardLogs" /stypes="app*4010*20171212*" /stext=" 18:.+((SYSTEM_STATE.+slice.+state.+changed )|(ment ac)|(multiple cpu faults)|(system.+state.+changed )|(\[timeout)|(PRM\|1\|D)|(kpr)|(kdp)|(train st.+moving)|(\|lc)|(penalty))"</v>
      </c>
      <c r="AG73" s="226" t="str">
        <f t="shared" si="13"/>
        <v>EC</v>
      </c>
      <c r="AH73" s="189" t="str">
        <f t="shared" si="19"/>
        <v>"%USERPROFILE%\Documents\GitHub\eaglep3\Utilities\RefineRTDCRunTimes.py" --tripid 159-12 --locoid 4010 --swversion DE.1.0.9.0 --startMP 204:19867 --initTime 2017-12-12T11:07:16 --startdatetime 2017-12-12T11:08:33 --delay 47 --endMP 204:233195 --enddatetime 2017-12-12T11:38:56 --enforcementcount 0 &gt;&gt;%USERPROFILE%\Documents\GitHub\eaglep3-reporting\EC\2017-12-12-refined-times.txt</v>
      </c>
      <c r="AI73" s="191" t="str">
        <f t="shared" si="20"/>
        <v>echo {"issue":{"subject":"Minor Onboard in-route failure caused signal unknown banner","project_id":79,"tracker_id":40,"status_id":1,"priority_id":2,"assigned_to_id":338,"start_date":"2017-12-12","description":"","custom_fields":[{"id":1,"name":"Subdivision","value":"EC"},{"id":4,"name":"Milepost","value":"23.3195"},{"id":17,"name":"Train ID","value":"159-12"},{"id":16,"name":"Locomotive ID","value":"4010"},{"id":130,"name":"Impact","value":""},{"id":150,"name":"Time of Event (Mountain Time)","value":"11:38:56"},{"id":151,"name":"Denver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180"/>
      <c r="AK73" s="188"/>
      <c r="AL73" s="188"/>
      <c r="AM73" s="193" t="str">
        <f t="shared" si="21"/>
        <v>start /low /b %USERPROFILE%\Documents\GitHub\eaglep3\Utilities\DownloadLogsFromS3.py --loco 4010 --day 2017-12-12</v>
      </c>
      <c r="AN73" s="194" t="str">
        <f t="shared" si="22"/>
        <v>echo {"issue":{"subject":"Minor Onboard in-route failure caused signal unknown banner","project_id":30,"tracker_id":4,"status_id":1,"priority_id":1,"assigned_to_id":10,"start_date":"2017-12-12","description":"","custom_fields":[{"id":30,"name":"Category","value":"Issue"},{"id":3,"name":"Functional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87" t="str">
        <f t="shared" si="23"/>
        <v>https://d0f6bd738d7f1b3e5a7ca70fe4ff75f0.us-east-1.aws.found.io/app/kibana#/discover/Steve-Slow-Train-Analysis-(2080s-and-2083s)?_g=(refreshInterval:(display:Off,pause:!f,section:0,value:0),time:(from:'2017-12-12T10:07:16-0700',mode:absolute,to:'2017-12-12T12:38:56-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186" t="s">
        <v>770</v>
      </c>
      <c r="B74" s="182">
        <v>4010</v>
      </c>
      <c r="C74" s="184" t="s">
        <v>192</v>
      </c>
      <c r="D74" s="184" t="s">
        <v>643</v>
      </c>
      <c r="E74" s="183">
        <v>43081.452951388892</v>
      </c>
      <c r="F74" s="183">
        <v>43081.464270833334</v>
      </c>
      <c r="G74" s="182">
        <v>53</v>
      </c>
      <c r="H74" s="184" t="s">
        <v>955</v>
      </c>
      <c r="I74" s="183">
        <v>43081.48537037037</v>
      </c>
      <c r="J74" s="182">
        <v>0</v>
      </c>
      <c r="K74" s="190" t="str">
        <f t="shared" si="0"/>
        <v>4009/4010</v>
      </c>
      <c r="L74" s="196" t="str">
        <f>VLOOKUP(A74,'Trips&amp;Operators'!$C$1:$G$99911,5,FALSE)</f>
        <v>MACDONALD THOMAS</v>
      </c>
      <c r="M74" s="181">
        <f t="shared" si="1"/>
        <v>2.1099537036207039E-2</v>
      </c>
      <c r="N74" s="182"/>
      <c r="O74" s="182"/>
      <c r="P74" s="182"/>
      <c r="Q74" s="185"/>
      <c r="R74" s="197"/>
      <c r="S74" s="241"/>
      <c r="T74" s="220" t="str">
        <f t="shared" si="4"/>
        <v>NorthBound</v>
      </c>
      <c r="U74" s="22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221" t="str">
        <f t="shared" si="5"/>
        <v>https://d0f6bd738d7f1b3e5a7ca70fe4ff75f0.us-east-1.aws.found.io/app/kibana#/discover/Steve-Slow-Train-Analysis-(2080s-and-2083s)?_g=(refreshInterval:(display:Off,pause:!f,section:0,value:0),time:(from:'2017-12-12T09:52:15-0700',mode:absolute,to:'2017-12-12T12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4" s="222" t="str">
        <f>IF(AA74&lt;VLOOKUP(AG74,Variables!$AC$3:$AD$8,2,FALSE),"Y","N")</f>
        <v>Y</v>
      </c>
      <c r="X74" s="222">
        <f t="shared" si="53"/>
        <v>0</v>
      </c>
      <c r="Y74" s="222">
        <f t="shared" si="51"/>
        <v>5.0200000000000002E-2</v>
      </c>
      <c r="Z74" s="222">
        <f t="shared" si="52"/>
        <v>1.9873000000000001</v>
      </c>
      <c r="AA74" s="222">
        <f t="shared" si="9"/>
        <v>1.9371</v>
      </c>
      <c r="AB74" s="231" t="e">
        <f>VLOOKUP(A74,Enforcements!$C$7:$K$9,8,0)</f>
        <v>#N/A</v>
      </c>
      <c r="AC74" s="231" t="e">
        <f>VLOOKUP(A74,Enforcements!$C$7:$E$9,3,0)</f>
        <v>#N/A</v>
      </c>
      <c r="AD74" s="232">
        <f t="shared" si="10"/>
        <v>159</v>
      </c>
      <c r="AE74" s="233" t="str">
        <f t="shared" si="11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74" s="234" t="str">
        <f t="shared" si="12"/>
        <v>"C:\Program Files (x86)\AstroGrep\AstroGrep.exe" /e /r /s /spath="%USERPROFILE%\AppData\Local\Temp\OnboardLogs" /stypes="app*4010*20171212*" /stext=" 18:.+((SYSTEM_STATE.+slice.+state.+changed )|(ment ac)|(multiple cpu faults)|(system.+state.+changed )|(\[timeout)|(PRM\|1\|D)|(kpr)|(kdp)|(train st.+moving)|(\|lc)|(penalty))"</v>
      </c>
      <c r="AG74" s="226" t="str">
        <f t="shared" si="13"/>
        <v>EC</v>
      </c>
      <c r="AH74" s="189" t="str">
        <f t="shared" si="19"/>
        <v>"%USERPROFILE%\Documents\GitHub\eaglep3\Utilities\RefineRTDCRunTimes.py" --tripid 159-12 --locoid 4010 --swversion DE.1.0.9.0 --startMP 204:502 --initTime 2017-12-12T10:52:15 --startdatetime 2017-12-12T11:08:33 --delay 53 --endMP 204:19873 --enddatetime 2017-12-12T11:38:56 --enforcementcount 0 &gt;&gt;%USERPROFILE%\Documents\GitHub\eaglep3-reporting\EC\2017-12-12-refined-times.txt</v>
      </c>
      <c r="AI74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{"issue":{"subject":"","project_id":79,"tracker_id":40,"status_id":1,"priority_id":2,"assigned_to_id":338,"start_date":"2017-12-12","description":"","custom_fields":[{"id":1,"name":"Subdivision","value":"EC"},{"id":4,"name":"Milepost","value":"1.9873"},{"id":17,"name":"Train ID","value":"159-12"},{"id":16,"name":"Locomotive ID","value":"4010"},{"id":130,"name":"Impact","value":""},{"id":150,"name":"Time of Event (Mountain Time)","value":"11:38:56"},{"id":151,"name":"Denver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180"/>
      <c r="AK74" s="188"/>
      <c r="AL74" s="188"/>
      <c r="AM74" s="193" t="str">
        <f t="shared" si="21"/>
        <v>start /low /b %USERPROFILE%\Documents\GitHub\eaglep3\Utilities\DownloadLogsFromS3.py --loco 4010 --day 2017-12-12</v>
      </c>
      <c r="AN74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87" t="str">
        <f t="shared" si="23"/>
        <v>https://d0f6bd738d7f1b3e5a7ca70fe4ff75f0.us-east-1.aws.found.io/app/kibana#/discover/Steve-Slow-Train-Analysis-(2080s-and-2083s)?_g=(refreshInterval:(display:Off,pause:!f,section:0,value:0),time:(from:'2017-12-12T09:52:15-0700',mode:absolute,to:'2017-12-12T12:38:56-0700'))&amp;_a=(columns:!('Message%20ID',Summary),filters:!(),index:'emp_*',interval:auto,query:(query_string:(analyze_wildcard:!t,query:'%22rtdc.l.rtdc.4010%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186" t="s">
        <v>782</v>
      </c>
      <c r="B75" s="182">
        <v>4009</v>
      </c>
      <c r="C75" s="184" t="s">
        <v>192</v>
      </c>
      <c r="D75" s="184" t="s">
        <v>956</v>
      </c>
      <c r="E75" s="183">
        <v>43081.49523148148</v>
      </c>
      <c r="F75" s="183">
        <v>43081.498217592591</v>
      </c>
      <c r="G75" s="182">
        <v>144</v>
      </c>
      <c r="H75" s="184" t="s">
        <v>957</v>
      </c>
      <c r="I75" s="183">
        <v>43081.524745370371</v>
      </c>
      <c r="J75" s="182">
        <v>0</v>
      </c>
      <c r="K75" s="190" t="str">
        <f t="shared" si="0"/>
        <v>4009/4010</v>
      </c>
      <c r="L75" s="196" t="str">
        <f>VLOOKUP(A75,'Trips&amp;Operators'!$C$1:$G$99911,5,FALSE)</f>
        <v>MACDONALD THOMAS</v>
      </c>
      <c r="M75" s="181">
        <f t="shared" si="1"/>
        <v>2.6527777779847383E-2</v>
      </c>
      <c r="N75" s="182">
        <f t="shared" ref="N75:N112" si="54">24*60*SUM($M75:$M75)</f>
        <v>38.200000002980232</v>
      </c>
      <c r="O75" s="182"/>
      <c r="P75" s="182"/>
      <c r="Q75" s="185"/>
      <c r="R75" s="197"/>
      <c r="S75" s="241">
        <f t="shared" ref="S75:S106" si="55">1/IF(AG75="EC",12,1)*SUM(U75:U75)</f>
        <v>1</v>
      </c>
      <c r="T75" s="220" t="str">
        <f t="shared" si="4"/>
        <v>Southbound</v>
      </c>
      <c r="U75" s="22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1" t="str">
        <f t="shared" si="5"/>
        <v>https://d0f6bd738d7f1b3e5a7ca70fe4ff75f0.us-east-1.aws.found.io/app/kibana#/discover/Steve-Slow-Train-Analysis-(2080s-and-2083s)?_g=(refreshInterval:(display:Off,pause:!f,section:0,value:0),time:(from:'2017-12-12T10:53:08-0700',mode:absolute,to:'2017-12-12T13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5" s="222" t="str">
        <f>IF(AA75&lt;VLOOKUP(AG75,Variables!$AC$3:$AD$8,2,FALSE),"Y","N")</f>
        <v>N</v>
      </c>
      <c r="X75" s="222">
        <f t="shared" si="53"/>
        <v>1</v>
      </c>
      <c r="Y75" s="222">
        <f t="shared" si="51"/>
        <v>23.2867</v>
      </c>
      <c r="Z75" s="222">
        <f t="shared" si="52"/>
        <v>2.4E-2</v>
      </c>
      <c r="AA75" s="222">
        <f t="shared" si="9"/>
        <v>23.262699999999999</v>
      </c>
      <c r="AB75" s="231" t="e">
        <f>VLOOKUP(A75,Enforcements!$C$7:$K$9,8,0)</f>
        <v>#N/A</v>
      </c>
      <c r="AC75" s="231" t="e">
        <f>VLOOKUP(A75,Enforcements!$C$7:$E$9,3,0)</f>
        <v>#N/A</v>
      </c>
      <c r="AD75" s="232">
        <f t="shared" si="10"/>
        <v>160</v>
      </c>
      <c r="AE75" s="233" t="str">
        <f t="shared" si="11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75" s="234" t="str">
        <f t="shared" si="12"/>
        <v>"C:\Program Files (x86)\AstroGrep\AstroGrep.exe" /e /r /s /spath="%USERPROFILE%\AppData\Local\Temp\OnboardLogs" /stypes="app*4009*20171212*" /stext=" 19:.+((SYSTEM_STATE.+slice.+state.+changed )|(ment ac)|(multiple cpu faults)|(system.+state.+changed )|(\[timeout)|(PRM\|1\|D)|(kpr)|(kdp)|(train st.+moving)|(\|lc)|(penalty))"</v>
      </c>
      <c r="AG75" s="226" t="str">
        <f t="shared" si="13"/>
        <v>EC</v>
      </c>
      <c r="AH75" s="189" t="str">
        <f t="shared" si="19"/>
        <v>"%USERPROFILE%\Documents\GitHub\eaglep3\Utilities\RefineRTDCRunTimes.py" --tripid 160-12 --locoid 4009 --swversion DE.1.0.9.0 --startMP 204:232867 --initTime 2017-12-12T11:53:08 --startdatetime 2017-12-12T11:57:26 --delay 144 --endMP 204:240 --enddatetime 2017-12-12T12:35:38 --enforcementcount 0 &gt;&gt;%USERPROFILE%\Documents\GitHub\eaglep3-reporting\EC\2017-12-12-refined-times.txt</v>
      </c>
      <c r="AI75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{"issue":{"subject":"","project_id":79,"tracker_id":40,"status_id":1,"priority_id":2,"assigned_to_id":338,"start_date":"2017-12-12","description":"","custom_fields":[{"id":1,"name":"Subdivision","value":"EC"},{"id":4,"name":"Milepost","value":"0.024"},{"id":17,"name":"Train ID","value":"160-12"},{"id":16,"name":"Locomotive ID","value":"4009"},{"id":130,"name":"Impact","value":""},{"id":150,"name":"Time of Event (Mountain Time)","value":"12:35:38"},{"id":151,"name":"Denver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180"/>
      <c r="AK75" s="188"/>
      <c r="AL75" s="188"/>
      <c r="AM75" s="193" t="str">
        <f t="shared" si="21"/>
        <v>start /low /b %USERPROFILE%\Documents\GitHub\eaglep3\Utilities\DownloadLogsFromS3.py --loco 4009 --day 2017-12-12</v>
      </c>
      <c r="AN75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87" t="str">
        <f t="shared" si="23"/>
        <v>https://d0f6bd738d7f1b3e5a7ca70fe4ff75f0.us-east-1.aws.found.io/app/kibana#/discover/Steve-Slow-Train-Analysis-(2080s-and-2083s)?_g=(refreshInterval:(display:Off,pause:!f,section:0,value:0),time:(from:'2017-12-12T10:53:08-0700',mode:absolute,to:'2017-12-12T13:35:38-0700'))&amp;_a=(columns:!('Message%20ID',Summary),filters:!(),index:'emp_*',interval:auto,query:(query_string:(analyze_wildcard:!t,query:'%22rtdc.l.rtdc.4009%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186" t="s">
        <v>775</v>
      </c>
      <c r="B76" s="182">
        <v>4030</v>
      </c>
      <c r="C76" s="184" t="s">
        <v>192</v>
      </c>
      <c r="D76" s="184" t="s">
        <v>578</v>
      </c>
      <c r="E76" s="183">
        <v>43081.466423611113</v>
      </c>
      <c r="F76" s="183">
        <v>43081.468912037039</v>
      </c>
      <c r="G76" s="182">
        <v>93</v>
      </c>
      <c r="H76" s="184" t="s">
        <v>958</v>
      </c>
      <c r="I76" s="183">
        <v>43081.49355324074</v>
      </c>
      <c r="J76" s="182">
        <v>0</v>
      </c>
      <c r="K76" s="190" t="str">
        <f t="shared" si="0"/>
        <v>4029/4030</v>
      </c>
      <c r="L76" s="196" t="str">
        <f>VLOOKUP(A76,'Trips&amp;Operators'!$C$1:$G$99911,5,FALSE)</f>
        <v>BRUDER RICHARD</v>
      </c>
      <c r="M76" s="181">
        <f t="shared" si="1"/>
        <v>2.4641203701321501E-2</v>
      </c>
      <c r="N76" s="182">
        <f t="shared" si="54"/>
        <v>35.483333329902962</v>
      </c>
      <c r="O76" s="182"/>
      <c r="P76" s="182"/>
      <c r="Q76" s="185"/>
      <c r="R76" s="197"/>
      <c r="S76" s="241">
        <f t="shared" si="55"/>
        <v>1</v>
      </c>
      <c r="T76" s="220" t="str">
        <f t="shared" si="4"/>
        <v>NorthBound</v>
      </c>
      <c r="U76" s="22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1" t="str">
        <f t="shared" si="5"/>
        <v>https://d0f6bd738d7f1b3e5a7ca70fe4ff75f0.us-east-1.aws.found.io/app/kibana#/discover/Steve-Slow-Train-Analysis-(2080s-and-2083s)?_g=(refreshInterval:(display:Off,pause:!f,section:0,value:0),time:(from:'2017-12-12T10:11:39-0700',mode:absolute,to:'2017-12-12T12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222" t="str">
        <f>IF(AA76&lt;VLOOKUP(AG76,Variables!$AC$3:$AD$8,2,FALSE),"Y","N")</f>
        <v>N</v>
      </c>
      <c r="X76" s="222">
        <f t="shared" si="53"/>
        <v>1</v>
      </c>
      <c r="Y76" s="222">
        <f t="shared" si="51"/>
        <v>4.9099999999999998E-2</v>
      </c>
      <c r="Z76" s="222">
        <f t="shared" si="52"/>
        <v>23.322099999999999</v>
      </c>
      <c r="AA76" s="222">
        <f t="shared" si="9"/>
        <v>23.273</v>
      </c>
      <c r="AB76" s="231" t="e">
        <f>VLOOKUP(A76,Enforcements!$C$7:$K$9,8,0)</f>
        <v>#N/A</v>
      </c>
      <c r="AC76" s="231" t="e">
        <f>VLOOKUP(A76,Enforcements!$C$7:$E$9,3,0)</f>
        <v>#N/A</v>
      </c>
      <c r="AD76" s="232">
        <f t="shared" si="10"/>
        <v>161</v>
      </c>
      <c r="AE76" s="233" t="str">
        <f t="shared" si="11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76" s="234" t="str">
        <f t="shared" si="12"/>
        <v>"C:\Program Files (x86)\AstroGrep\AstroGrep.exe" /e /r /s /spath="%USERPROFILE%\AppData\Local\Temp\OnboardLogs" /stypes="app*4030*20171212*" /stext=" 18:.+((SYSTEM_STATE.+slice.+state.+changed )|(ment ac)|(multiple cpu faults)|(system.+state.+changed )|(\[timeout)|(PRM\|1\|D)|(kpr)|(kdp)|(train st.+moving)|(\|lc)|(penalty))"</v>
      </c>
      <c r="AG76" s="226" t="str">
        <f t="shared" si="13"/>
        <v>EC</v>
      </c>
      <c r="AH76" s="189" t="str">
        <f t="shared" si="19"/>
        <v>"%USERPROFILE%\Documents\GitHub\eaglep3\Utilities\RefineRTDCRunTimes.py" --tripid 161-12 --locoid 4030 --swversion DE.1.0.9.0 --startMP 204:491 --initTime 2017-12-12T11:11:39 --startdatetime 2017-12-12T11:15:14 --delay 93 --endMP 204:233221 --enddatetime 2017-12-12T11:50:43 --enforcementcount 0 &gt;&gt;%USERPROFILE%\Documents\GitHub\eaglep3-reporting\EC\2017-12-12-refined-times.txt</v>
      </c>
      <c r="AI76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{"issue":{"subject":"","project_id":79,"tracker_id":40,"status_id":1,"priority_id":2,"assigned_to_id":338,"start_date":"2017-12-12","description":"","custom_fields":[{"id":1,"name":"Subdivision","value":"EC"},{"id":4,"name":"Milepost","value":"23.3221"},{"id":17,"name":"Train ID","value":"161-12"},{"id":16,"name":"Locomotive ID","value":"4030"},{"id":130,"name":"Impact","value":""},{"id":150,"name":"Time of Event (Mountain Time)","value":"11:50:43"},{"id":151,"name":"Denver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180"/>
      <c r="AK76" s="188"/>
      <c r="AL76" s="188"/>
      <c r="AM76" s="193" t="str">
        <f t="shared" si="21"/>
        <v>start /low /b %USERPROFILE%\Documents\GitHub\eaglep3\Utilities\DownloadLogsFromS3.py --loco 4030 --day 2017-12-12</v>
      </c>
      <c r="AN76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87" t="str">
        <f t="shared" si="23"/>
        <v>https://d0f6bd738d7f1b3e5a7ca70fe4ff75f0.us-east-1.aws.found.io/app/kibana#/discover/Steve-Slow-Train-Analysis-(2080s-and-2083s)?_g=(refreshInterval:(display:Off,pause:!f,section:0,value:0),time:(from:'2017-12-12T10:11:39-0700',mode:absolute,to:'2017-12-12T12:50:43-0700'))&amp;_a=(columns:!('Message%20ID',Summary),filters:!(),index:'emp_*',interval:auto,query:(query_string:(analyze_wildcard:!t,query:'%22rtdc.l.rtdc.4030%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186" t="s">
        <v>784</v>
      </c>
      <c r="B77" s="182">
        <v>4029</v>
      </c>
      <c r="C77" s="184" t="s">
        <v>192</v>
      </c>
      <c r="D77" s="184" t="s">
        <v>555</v>
      </c>
      <c r="E77" s="183">
        <v>43081.505509259259</v>
      </c>
      <c r="F77" s="183">
        <v>43081.508506944447</v>
      </c>
      <c r="G77" s="182">
        <v>74</v>
      </c>
      <c r="H77" s="184" t="s">
        <v>959</v>
      </c>
      <c r="I77" s="183">
        <v>43081.533865740741</v>
      </c>
      <c r="J77" s="182">
        <v>0</v>
      </c>
      <c r="K77" s="190" t="str">
        <f t="shared" ref="K77:K140" si="56">IF(ISEVEN(B77),(B77-1)&amp;"/"&amp;B77,B77&amp;"/"&amp;(B77+1))</f>
        <v>4029/4030</v>
      </c>
      <c r="L77" s="196" t="str">
        <f>VLOOKUP(A77,'Trips&amp;Operators'!$C$1:$G$99911,5,FALSE)</f>
        <v>BRUDER RICHARD</v>
      </c>
      <c r="M77" s="181">
        <f t="shared" ref="M77:M140" si="57">I77-F77</f>
        <v>2.5358796294312924E-2</v>
      </c>
      <c r="N77" s="182">
        <f t="shared" si="54"/>
        <v>36.516666663810611</v>
      </c>
      <c r="O77" s="182"/>
      <c r="P77" s="182"/>
      <c r="Q77" s="185"/>
      <c r="R77" s="197"/>
      <c r="S77" s="241">
        <f t="shared" si="55"/>
        <v>1</v>
      </c>
      <c r="T77" s="220" t="str">
        <f t="shared" ref="T77:T140" si="58">IF(ISEVEN(LEFT(AD77,4)),"Southbound","NorthBound")</f>
        <v>Southbound</v>
      </c>
      <c r="U77" s="22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1" t="str">
        <f t="shared" ref="V77:V140" si="5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-12T11:07:56-0700',mode:absolute,to:'2017-12-12T13:48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7" s="222" t="str">
        <f>IF(AA77&lt;VLOOKUP(AG77,Variables!$AC$3:$AD$8,2,FALSE),"Y","N")</f>
        <v>N</v>
      </c>
      <c r="X77" s="222">
        <f t="shared" si="53"/>
        <v>1</v>
      </c>
      <c r="Y77" s="222">
        <f t="shared" si="51"/>
        <v>23.289200000000001</v>
      </c>
      <c r="Z77" s="222">
        <f t="shared" si="52"/>
        <v>2.3199999999999998E-2</v>
      </c>
      <c r="AA77" s="222">
        <f t="shared" ref="AA77:AA140" si="60">ABS(Z77-Y77)</f>
        <v>23.266000000000002</v>
      </c>
      <c r="AB77" s="231" t="e">
        <f>VLOOKUP(A77,Enforcements!$C$7:$K$9,8,0)</f>
        <v>#N/A</v>
      </c>
      <c r="AC77" s="231" t="e">
        <f>VLOOKUP(A77,Enforcements!$C$7:$E$9,3,0)</f>
        <v>#N/A</v>
      </c>
      <c r="AD77" s="232">
        <f t="shared" ref="AD77:AD140" si="61">VALUE(LEFT(A77,LEN(A77)-3))</f>
        <v>162</v>
      </c>
      <c r="AE77" s="233" t="str">
        <f t="shared" ref="AE77:AE140" si="6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77" s="234" t="str">
        <f t="shared" ref="AF77:AF140" si="6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/stypes="app*4029*20171212*" /stext=" 19:.+((SYSTEM_STATE.+slice.+state.+changed )|(ment ac)|(multiple cpu faults)|(system.+state.+changed )|(\[timeout)|(PRM\|1\|D)|(kpr)|(kdp)|(train st.+moving)|(\|lc)|(penalty))"</v>
      </c>
      <c r="AG77" s="226" t="str">
        <f t="shared" ref="AG77:AG140" si="64">DetSubdiv(A77)</f>
        <v>EC</v>
      </c>
      <c r="AH77" s="189" t="str">
        <f t="shared" si="19"/>
        <v>"%USERPROFILE%\Documents\GitHub\eaglep3\Utilities\RefineRTDCRunTimes.py" --tripid 162-12 --locoid 4029 --swversion DE.1.0.9.0 --startMP 204:232892 --initTime 2017-12-12T12:07:56 --startdatetime 2017-12-12T12:12:15 --delay 74 --endMP 204:232 --enddatetime 2017-12-12T12:48:46 --enforcementcount 0 &gt;&gt;%USERPROFILE%\Documents\GitHub\eaglep3-reporting\EC\2017-12-12-refined-times.txt</v>
      </c>
      <c r="AI77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{"issue":{"subject":"","project_id":79,"tracker_id":40,"status_id":1,"priority_id":2,"assigned_to_id":338,"start_date":"2017-12-12","description":"","custom_fields":[{"id":1,"name":"Subdivision","value":"EC"},{"id":4,"name":"Milepost","value":"0.0232"},{"id":17,"name":"Train ID","value":"162-12"},{"id":16,"name":"Locomotive ID","value":"4029"},{"id":130,"name":"Impact","value":""},{"id":150,"name":"Time of Event (Mountain Time)","value":"12:48:46"},{"id":151,"name":"Denver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180"/>
      <c r="AK77" s="188"/>
      <c r="AL77" s="188"/>
      <c r="AM77" s="193" t="str">
        <f t="shared" si="21"/>
        <v>start /low /b %USERPROFILE%\Documents\GitHub\eaglep3\Utilities\DownloadLogsFromS3.py --loco 4029 --day 2017-12-12</v>
      </c>
      <c r="AN77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87" t="str">
        <f t="shared" si="23"/>
        <v>https://d0f6bd738d7f1b3e5a7ca70fe4ff75f0.us-east-1.aws.found.io/app/kibana#/discover/Steve-Slow-Train-Analysis-(2080s-and-2083s)?_g=(refreshInterval:(display:Off,pause:!f,section:0,value:0),time:(from:'2017-12-12T11:07:56-0700',mode:absolute,to:'2017-12-12T13:48:46-0700'))&amp;_a=(columns:!('Message%20ID',Summary),filters:!(),index:'emp_*',interval:auto,query:(query_string:(analyze_wildcard:!t,query:'%22rtdc.l.rtdc.4029%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186" t="s">
        <v>778</v>
      </c>
      <c r="B78" s="182">
        <v>4016</v>
      </c>
      <c r="C78" s="184" t="s">
        <v>192</v>
      </c>
      <c r="D78" s="184" t="s">
        <v>551</v>
      </c>
      <c r="E78" s="183">
        <v>43081.473576388889</v>
      </c>
      <c r="F78" s="183">
        <v>43081.479479166665</v>
      </c>
      <c r="G78" s="182">
        <v>111</v>
      </c>
      <c r="H78" s="184" t="s">
        <v>464</v>
      </c>
      <c r="I78" s="183">
        <v>43081.503564814811</v>
      </c>
      <c r="J78" s="182">
        <v>0</v>
      </c>
      <c r="K78" s="190" t="str">
        <f t="shared" si="56"/>
        <v>4015/4016</v>
      </c>
      <c r="L78" s="196" t="str">
        <f>VLOOKUP(A78,'Trips&amp;Operators'!$C$1:$G$99911,5,FALSE)</f>
        <v>STEWART MICHAEL</v>
      </c>
      <c r="M78" s="181">
        <f t="shared" si="57"/>
        <v>2.4085648146865424E-2</v>
      </c>
      <c r="N78" s="182">
        <f t="shared" si="54"/>
        <v>34.68333333148621</v>
      </c>
      <c r="O78" s="182"/>
      <c r="P78" s="182"/>
      <c r="Q78" s="185"/>
      <c r="R78" s="197"/>
      <c r="S78" s="241">
        <f t="shared" si="55"/>
        <v>1</v>
      </c>
      <c r="T78" s="220" t="str">
        <f t="shared" si="58"/>
        <v>NorthBound</v>
      </c>
      <c r="U78" s="22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1" t="str">
        <f t="shared" si="59"/>
        <v>https://d0f6bd738d7f1b3e5a7ca70fe4ff75f0.us-east-1.aws.found.io/app/kibana#/discover/Steve-Slow-Train-Analysis-(2080s-and-2083s)?_g=(refreshInterval:(display:Off,pause:!f,section:0,value:0),time:(from:'2017-12-12T10:21:57-0700',mode:absolute,to:'2017-12-12T13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222" t="str">
        <f>IF(AA78&lt;VLOOKUP(AG78,Variables!$AC$3:$AD$8,2,FALSE),"Y","N")</f>
        <v>N</v>
      </c>
      <c r="X78" s="222">
        <f t="shared" si="53"/>
        <v>1</v>
      </c>
      <c r="Y78" s="222">
        <f t="shared" si="51"/>
        <v>4.53E-2</v>
      </c>
      <c r="Z78" s="222">
        <f t="shared" si="52"/>
        <v>23.3232</v>
      </c>
      <c r="AA78" s="222">
        <f t="shared" si="60"/>
        <v>23.277899999999999</v>
      </c>
      <c r="AB78" s="231" t="e">
        <f>VLOOKUP(A78,Enforcements!$C$7:$K$9,8,0)</f>
        <v>#N/A</v>
      </c>
      <c r="AC78" s="231" t="e">
        <f>VLOOKUP(A78,Enforcements!$C$7:$E$9,3,0)</f>
        <v>#N/A</v>
      </c>
      <c r="AD78" s="232">
        <f t="shared" si="61"/>
        <v>163</v>
      </c>
      <c r="AE78" s="233" t="str">
        <f t="shared" si="62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78" s="234" t="str">
        <f t="shared" si="63"/>
        <v>"C:\Program Files (x86)\AstroGrep\AstroGrep.exe" /e /r /s /spath="%USERPROFILE%\AppData\Local\Temp\OnboardLogs" /stypes="app*4016*20171212*" /stext=" 19:.+((SYSTEM_STATE.+slice.+state.+changed )|(ment ac)|(multiple cpu faults)|(system.+state.+changed )|(\[timeout)|(PRM\|1\|D)|(kpr)|(kdp)|(train st.+moving)|(\|lc)|(penalty))"</v>
      </c>
      <c r="AG78" s="226" t="str">
        <f t="shared" si="64"/>
        <v>EC</v>
      </c>
      <c r="AH78" s="189" t="str">
        <f t="shared" si="19"/>
        <v>"%USERPROFILE%\Documents\GitHub\eaglep3\Utilities\RefineRTDCRunTimes.py" --tripid 163-12 --locoid 4016 --swversion DE.1.0.9.0 --startMP 204:453 --initTime 2017-12-12T11:21:57 --startdatetime 2017-12-12T11:30:27 --delay 111 --endMP 204:233232 --enddatetime 2017-12-12T12:05:08 --enforcementcount 0 &gt;&gt;%USERPROFILE%\Documents\GitHub\eaglep3-reporting\EC\2017-12-12-refined-times.txt</v>
      </c>
      <c r="AI78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{"issue":{"subject":"","project_id":79,"tracker_id":40,"status_id":1,"priority_id":2,"assigned_to_id":338,"start_date":"2017-12-12","description":"","custom_fields":[{"id":1,"name":"Subdivision","value":"EC"},{"id":4,"name":"Milepost","value":"23.3232"},{"id":17,"name":"Train ID","value":"163-12"},{"id":16,"name":"Locomotive ID","value":"4016"},{"id":130,"name":"Impact","value":""},{"id":150,"name":"Time of Event (Mountain Time)","value":"12:05:08"},{"id":151,"name":"Denver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180"/>
      <c r="AK78" s="188"/>
      <c r="AL78" s="188"/>
      <c r="AM78" s="193" t="str">
        <f t="shared" si="21"/>
        <v>start /low /b %USERPROFILE%\Documents\GitHub\eaglep3\Utilities\DownloadLogsFromS3.py --loco 4016 --day 2017-12-12</v>
      </c>
      <c r="AN78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87" t="str">
        <f t="shared" si="23"/>
        <v>https://d0f6bd738d7f1b3e5a7ca70fe4ff75f0.us-east-1.aws.found.io/app/kibana#/discover/Steve-Slow-Train-Analysis-(2080s-and-2083s)?_g=(refreshInterval:(display:Off,pause:!f,section:0,value:0),time:(from:'2017-12-12T10:21:57-0700',mode:absolute,to:'2017-12-12T13:05:08-0700'))&amp;_a=(columns:!('Message%20ID',Summary),filters:!(),index:'emp_*',interval:auto,query:(query_string:(analyze_wildcard:!t,query:'%22rtdc.l.rtdc.4016%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186" t="s">
        <v>786</v>
      </c>
      <c r="B79" s="182">
        <v>4015</v>
      </c>
      <c r="C79" s="184" t="s">
        <v>192</v>
      </c>
      <c r="D79" s="184" t="s">
        <v>577</v>
      </c>
      <c r="E79" s="183">
        <v>43081.516412037039</v>
      </c>
      <c r="F79" s="183">
        <v>43081.518923611111</v>
      </c>
      <c r="G79" s="182">
        <v>70</v>
      </c>
      <c r="H79" s="184" t="s">
        <v>960</v>
      </c>
      <c r="I79" s="183">
        <v>43081.545266203706</v>
      </c>
      <c r="J79" s="182">
        <v>0</v>
      </c>
      <c r="K79" s="190" t="str">
        <f t="shared" si="56"/>
        <v>4015/4016</v>
      </c>
      <c r="L79" s="196" t="str">
        <f>VLOOKUP(A79,'Trips&amp;Operators'!$C$1:$G$99911,5,FALSE)</f>
        <v>STEWART MICHAEL</v>
      </c>
      <c r="M79" s="181">
        <f t="shared" si="57"/>
        <v>2.6342592595028691E-2</v>
      </c>
      <c r="N79" s="182">
        <f t="shared" si="54"/>
        <v>37.933333336841315</v>
      </c>
      <c r="O79" s="182"/>
      <c r="P79" s="182"/>
      <c r="Q79" s="185"/>
      <c r="R79" s="197"/>
      <c r="S79" s="241">
        <f t="shared" si="55"/>
        <v>1</v>
      </c>
      <c r="T79" s="220" t="str">
        <f t="shared" si="58"/>
        <v>Southbound</v>
      </c>
      <c r="U79" s="22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1" t="str">
        <f t="shared" si="59"/>
        <v>https://d0f6bd738d7f1b3e5a7ca70fe4ff75f0.us-east-1.aws.found.io/app/kibana#/discover/Steve-Slow-Train-Analysis-(2080s-and-2083s)?_g=(refreshInterval:(display:Off,pause:!f,section:0,value:0),time:(from:'2017-12-12T11:23:38-0700',mode:absolute,to:'2017-12-12T14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222" t="str">
        <f>IF(AA79&lt;VLOOKUP(AG79,Variables!$AC$3:$AD$8,2,FALSE),"Y","N")</f>
        <v>N</v>
      </c>
      <c r="X79" s="222">
        <f t="shared" si="53"/>
        <v>1</v>
      </c>
      <c r="Y79" s="222">
        <f t="shared" si="51"/>
        <v>23.291899999999998</v>
      </c>
      <c r="Z79" s="222">
        <f t="shared" si="52"/>
        <v>1.9400000000000001E-2</v>
      </c>
      <c r="AA79" s="222">
        <f t="shared" si="60"/>
        <v>23.272499999999997</v>
      </c>
      <c r="AB79" s="231" t="e">
        <f>VLOOKUP(A79,Enforcements!$C$7:$K$9,8,0)</f>
        <v>#N/A</v>
      </c>
      <c r="AC79" s="231" t="e">
        <f>VLOOKUP(A79,Enforcements!$C$7:$E$9,3,0)</f>
        <v>#N/A</v>
      </c>
      <c r="AD79" s="232">
        <f t="shared" si="61"/>
        <v>164</v>
      </c>
      <c r="AE79" s="233" t="str">
        <f t="shared" si="62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79" s="234" t="str">
        <f t="shared" si="63"/>
        <v>"C:\Program Files (x86)\AstroGrep\AstroGrep.exe" /e /r /s /spath="%USERPROFILE%\AppData\Local\Temp\OnboardLogs" /stypes="app*4015*20171212*" /stext=" 20:.+((SYSTEM_STATE.+slice.+state.+changed )|(ment ac)|(multiple cpu faults)|(system.+state.+changed )|(\[timeout)|(PRM\|1\|D)|(kpr)|(kdp)|(train st.+moving)|(\|lc)|(penalty))"</v>
      </c>
      <c r="AG79" s="226" t="str">
        <f t="shared" si="64"/>
        <v>EC</v>
      </c>
      <c r="AH79" s="189" t="str">
        <f t="shared" si="19"/>
        <v>"%USERPROFILE%\Documents\GitHub\eaglep3\Utilities\RefineRTDCRunTimes.py" --tripid 164-12 --locoid 4015 --swversion DE.1.0.9.0 --startMP 204:232919 --initTime 2017-12-12T12:23:38 --startdatetime 2017-12-12T12:27:15 --delay 70 --endMP 204:194 --enddatetime 2017-12-12T13:05:11 --enforcementcount 0 &gt;&gt;%USERPROFILE%\Documents\GitHub\eaglep3-reporting\EC\2017-12-12-refined-times.txt</v>
      </c>
      <c r="AI79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{"issue":{"subject":"","project_id":79,"tracker_id":40,"status_id":1,"priority_id":2,"assigned_to_id":338,"start_date":"2017-12-12","description":"","custom_fields":[{"id":1,"name":"Subdivision","value":"EC"},{"id":4,"name":"Milepost","value":"0.0194"},{"id":17,"name":"Train ID","value":"164-12"},{"id":16,"name":"Locomotive ID","value":"4015"},{"id":130,"name":"Impact","value":""},{"id":150,"name":"Time of Event (Mountain Time)","value":"13:05:11"},{"id":151,"name":"Denver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180"/>
      <c r="AK79" s="188"/>
      <c r="AL79" s="188"/>
      <c r="AM79" s="193" t="str">
        <f t="shared" si="21"/>
        <v>start /low /b %USERPROFILE%\Documents\GitHub\eaglep3\Utilities\DownloadLogsFromS3.py --loco 4015 --day 2017-12-12</v>
      </c>
      <c r="AN79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87" t="str">
        <f t="shared" si="23"/>
        <v>https://d0f6bd738d7f1b3e5a7ca70fe4ff75f0.us-east-1.aws.found.io/app/kibana#/discover/Steve-Slow-Train-Analysis-(2080s-and-2083s)?_g=(refreshInterval:(display:Off,pause:!f,section:0,value:0),time:(from:'2017-12-12T11:23:38-0700',mode:absolute,to:'2017-12-12T14:05:11-0700'))&amp;_a=(columns:!('Message%20ID',Summary),filters:!(),index:'emp_*',interval:auto,query:(query_string:(analyze_wildcard:!t,query:'%22rtdc.l.rtdc.4015%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186" t="s">
        <v>780</v>
      </c>
      <c r="B80" s="182">
        <v>4058</v>
      </c>
      <c r="C80" s="184" t="s">
        <v>192</v>
      </c>
      <c r="D80" s="184" t="s">
        <v>961</v>
      </c>
      <c r="E80" s="183">
        <v>43081.484155092592</v>
      </c>
      <c r="F80" s="183">
        <v>43081.490115740744</v>
      </c>
      <c r="G80" s="182">
        <v>153</v>
      </c>
      <c r="H80" s="184" t="s">
        <v>639</v>
      </c>
      <c r="I80" s="183">
        <v>43081.514178240737</v>
      </c>
      <c r="J80" s="182">
        <v>0</v>
      </c>
      <c r="K80" s="190" t="str">
        <f t="shared" si="56"/>
        <v>4057/4058</v>
      </c>
      <c r="L80" s="196" t="str">
        <f>VLOOKUP(A80,'Trips&amp;Operators'!$C$1:$G$99911,5,FALSE)</f>
        <v>LEVIN SCOTT</v>
      </c>
      <c r="M80" s="181">
        <f t="shared" si="57"/>
        <v>2.4062499993306119E-2</v>
      </c>
      <c r="N80" s="182">
        <f t="shared" si="54"/>
        <v>34.649999990360811</v>
      </c>
      <c r="O80" s="182"/>
      <c r="P80" s="182"/>
      <c r="Q80" s="185"/>
      <c r="R80" s="197"/>
      <c r="S80" s="241">
        <f t="shared" si="55"/>
        <v>1</v>
      </c>
      <c r="T80" s="220" t="str">
        <f t="shared" si="58"/>
        <v>NorthBound</v>
      </c>
      <c r="U80" s="22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1" t="str">
        <f t="shared" si="59"/>
        <v>https://d0f6bd738d7f1b3e5a7ca70fe4ff75f0.us-east-1.aws.found.io/app/kibana#/discover/Steve-Slow-Train-Analysis-(2080s-and-2083s)?_g=(refreshInterval:(display:Off,pause:!f,section:0,value:0),time:(from:'2017-12-12T10:37:11-0700',mode:absolute,to:'2017-12-12T13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0" s="222" t="str">
        <f>IF(AA80&lt;VLOOKUP(AG80,Variables!$AC$3:$AD$8,2,FALSE),"Y","N")</f>
        <v>N</v>
      </c>
      <c r="X80" s="222">
        <f t="shared" si="53"/>
        <v>1</v>
      </c>
      <c r="Y80" s="222">
        <f t="shared" si="51"/>
        <v>4.9299999999999997E-2</v>
      </c>
      <c r="Z80" s="222">
        <f t="shared" si="52"/>
        <v>23.3263</v>
      </c>
      <c r="AA80" s="222">
        <f t="shared" si="60"/>
        <v>23.277000000000001</v>
      </c>
      <c r="AB80" s="231" t="e">
        <f>VLOOKUP(A80,Enforcements!$C$7:$K$9,8,0)</f>
        <v>#N/A</v>
      </c>
      <c r="AC80" s="231" t="e">
        <f>VLOOKUP(A80,Enforcements!$C$7:$E$9,3,0)</f>
        <v>#N/A</v>
      </c>
      <c r="AD80" s="232">
        <f t="shared" si="61"/>
        <v>165</v>
      </c>
      <c r="AE80" s="233" t="str">
        <f t="shared" si="62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80" s="234" t="str">
        <f t="shared" si="63"/>
        <v>"C:\Program Files (x86)\AstroGrep\AstroGrep.exe" /e /r /s /spath="%USERPROFILE%\AppData\Local\Temp\OnboardLogs" /stypes="app*4058*20171212*" /stext=" 19:.+((SYSTEM_STATE.+slice.+state.+changed )|(ment ac)|(multiple cpu faults)|(system.+state.+changed )|(\[timeout)|(PRM\|1\|D)|(kpr)|(kdp)|(train st.+moving)|(\|lc)|(penalty))"</v>
      </c>
      <c r="AG80" s="226" t="str">
        <f t="shared" si="64"/>
        <v>EC</v>
      </c>
      <c r="AH80" s="189" t="str">
        <f t="shared" si="19"/>
        <v>"%USERPROFILE%\Documents\GitHub\eaglep3\Utilities\RefineRTDCRunTimes.py" --tripid 165-12 --locoid 4058 --swversion DE.1.0.9.0 --startMP 204:493 --initTime 2017-12-12T11:37:11 --startdatetime 2017-12-12T11:45:46 --delay 153 --endMP 204:233263 --enddatetime 2017-12-12T12:20:25 --enforcementcount 0 &gt;&gt;%USERPROFILE%\Documents\GitHub\eaglep3-reporting\EC\2017-12-12-refined-times.txt</v>
      </c>
      <c r="AI80" s="191" t="str">
        <f t="shared" si="20"/>
        <v>echo {"issue":{"subject":"","project_id":79,"tracker_id":40,"status_id":1,"priority_id":2,"assigned_to_id":338,"start_date":"2017-12-12","description":"","custom_fields":[{"id":1,"name":"Subdivision","value":"EC"},{"id":4,"name":"Milepost","value":"23.3263"},{"id":17,"name":"Train ID","value":"165-12"},{"id":16,"name":"Locomotive ID","value":"4058"},{"id":130,"name":"Impact","value":""},{"id":150,"name":"Time of Event (Mountain Time)","value":"12:20:25"},{"id":151,"name":"Denver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180"/>
      <c r="AK80" s="188"/>
      <c r="AL80" s="188"/>
      <c r="AM80" s="193" t="str">
        <f t="shared" si="21"/>
        <v>start /low /b %USERPROFILE%\Documents\GitHub\eaglep3\Utilities\DownloadLogsFromS3.py --loco 4058 --day 2017-12-12</v>
      </c>
      <c r="AN80" s="194" t="str">
        <f t="shared" si="2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87" t="str">
        <f t="shared" si="23"/>
        <v>https://d0f6bd738d7f1b3e5a7ca70fe4ff75f0.us-east-1.aws.found.io/app/kibana#/discover/Steve-Slow-Train-Analysis-(2080s-and-2083s)?_g=(refreshInterval:(display:Off,pause:!f,section:0,value:0),time:(from:'2017-12-12T10:37:11-0700',mode:absolute,to:'2017-12-12T13:20:25-0700'))&amp;_a=(columns:!('Message%20ID',Summary),filters:!(),index:'emp_*',interval:auto,query:(query_string:(analyze_wildcard:!t,query:'%22rtdc.l.rtdc.4058%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186" t="s">
        <v>680</v>
      </c>
      <c r="B81" s="182">
        <v>4057</v>
      </c>
      <c r="C81" s="184" t="s">
        <v>192</v>
      </c>
      <c r="D81" s="184" t="s">
        <v>927</v>
      </c>
      <c r="E81" s="183">
        <v>43081.516435185185</v>
      </c>
      <c r="F81" s="183">
        <v>43081.529386574075</v>
      </c>
      <c r="G81" s="182">
        <v>67</v>
      </c>
      <c r="H81" s="184" t="s">
        <v>617</v>
      </c>
      <c r="I81" s="183">
        <v>43081.555636574078</v>
      </c>
      <c r="J81" s="182">
        <v>0</v>
      </c>
      <c r="K81" s="190" t="str">
        <f t="shared" si="56"/>
        <v>4057/4058</v>
      </c>
      <c r="L81" s="196" t="str">
        <f>VLOOKUP(A81,'Trips&amp;Operators'!$C$1:$G$99911,5,FALSE)</f>
        <v>LEVIN SCOTT</v>
      </c>
      <c r="M81" s="181">
        <f t="shared" si="57"/>
        <v>2.6250000002619345E-2</v>
      </c>
      <c r="N81" s="182">
        <f t="shared" si="54"/>
        <v>37.800000003771856</v>
      </c>
      <c r="O81" s="182"/>
      <c r="P81" s="182"/>
      <c r="Q81" s="185"/>
      <c r="R81" s="197"/>
      <c r="S81" s="241">
        <f t="shared" si="55"/>
        <v>1</v>
      </c>
      <c r="T81" s="220" t="str">
        <f t="shared" si="58"/>
        <v>Southbound</v>
      </c>
      <c r="U81" s="22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1" t="str">
        <f t="shared" si="59"/>
        <v>https://d0f6bd738d7f1b3e5a7ca70fe4ff75f0.us-east-1.aws.found.io/app/kibana#/discover/Steve-Slow-Train-Analysis-(2080s-and-2083s)?_g=(refreshInterval:(display:Off,pause:!f,section:0,value:0),time:(from:'2017-12-12T11:23:40-0700',mode:absolute,to:'2017-12-12T14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1" s="222" t="str">
        <f>IF(AA81&lt;VLOOKUP(AG81,Variables!$AC$3:$AD$8,2,FALSE),"Y","N")</f>
        <v>N</v>
      </c>
      <c r="X81" s="222">
        <f t="shared" si="53"/>
        <v>1</v>
      </c>
      <c r="Y81" s="222">
        <f t="shared" si="51"/>
        <v>23.2959</v>
      </c>
      <c r="Z81" s="222">
        <f t="shared" si="52"/>
        <v>1.43E-2</v>
      </c>
      <c r="AA81" s="222">
        <f t="shared" si="60"/>
        <v>23.281600000000001</v>
      </c>
      <c r="AB81" s="231" t="e">
        <f>VLOOKUP(A81,Enforcements!$C$7:$K$9,8,0)</f>
        <v>#N/A</v>
      </c>
      <c r="AC81" s="231" t="e">
        <f>VLOOKUP(A81,Enforcements!$C$7:$E$9,3,0)</f>
        <v>#N/A</v>
      </c>
      <c r="AD81" s="232">
        <f t="shared" si="61"/>
        <v>166</v>
      </c>
      <c r="AE81" s="233" t="str">
        <f t="shared" si="62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81" s="234" t="str">
        <f t="shared" si="63"/>
        <v>"C:\Program Files (x86)\AstroGrep\AstroGrep.exe" /e /r /s /spath="%USERPROFILE%\AppData\Local\Temp\OnboardLogs" /stypes="app*4057*20171212*" /stext=" 20:.+((SYSTEM_STATE.+slice.+state.+changed )|(ment ac)|(multiple cpu faults)|(system.+state.+changed )|(\[timeout)|(PRM\|1\|D)|(kpr)|(kdp)|(train st.+moving)|(\|lc)|(penalty))"</v>
      </c>
      <c r="AG81" s="226" t="str">
        <f t="shared" si="64"/>
        <v>EC</v>
      </c>
      <c r="AH81" s="189" t="str">
        <f t="shared" ref="AH81:AH144" si="65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166-12 --locoid 4057 --swversion DE.1.0.9.0 --startMP 204:232959 --initTime 2017-12-12T12:23:40 --startdatetime 2017-12-12T12:42:19 --delay 67 --endMP 204:143 --enddatetime 2017-12-12T13:20:07 --enforcementcount 0 &gt;&gt;%USERPROFILE%\Documents\GitHub\eaglep3-reporting\EC\2017-12-12-refined-times.txt</v>
      </c>
      <c r="AI81" s="191" t="str">
        <f t="shared" ref="AI81:AI144" si="66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{"issue":{"subject":"","project_id":79,"tracker_id":40,"status_id":1,"priority_id":2,"assigned_to_id":338,"start_date":"2017-12-12","description":"","custom_fields":[{"id":1,"name":"Subdivision","value":"EC"},{"id":4,"name":"Milepost","value":"0.0143"},{"id":17,"name":"Train ID","value":"166-12"},{"id":16,"name":"Locomotive ID","value":"4057"},{"id":130,"name":"Impact","value":""},{"id":150,"name":"Time of Event (Mountain Time)","value":"13:20:07"},{"id":151,"name":"Denver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180"/>
      <c r="AK81" s="188"/>
      <c r="AL81" s="188"/>
      <c r="AM81" s="193" t="str">
        <f t="shared" ref="AM81:AM144" si="67">"start /low /b "&amp;dls3logs&amp;" --loco "&amp;B81&amp;" --day "&amp;TEXT(F81,"YYYY-MM-DD")</f>
        <v>start /low /b %USERPROFILE%\Documents\GitHub\eaglep3\Utilities\DownloadLogsFromS3.py --loco 4057 --day 2017-12-12</v>
      </c>
      <c r="AN81" s="194" t="str">
        <f t="shared" ref="AN81:AN144" si="68"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87" t="str">
        <f t="shared" ref="AO81:AO144" si="69"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Message%20ID',Summary),filters:!(),index:'emp_*',interval:auto,query:"&amp;"(query_string:(analyze_wildcard:!t,query:'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-12T11:23:40-0700',mode:absolute,to:'2017-12-12T14:20:07-0700'))&amp;_a=(columns:!('Message%20ID',Summary),filters:!(),index:'emp_*',interval:auto,query:(query_string:(analyze_wildcard:!t,query:'%22rtdc.l.rtdc.4057%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186" t="s">
        <v>783</v>
      </c>
      <c r="B82" s="182">
        <v>4006</v>
      </c>
      <c r="C82" s="184" t="s">
        <v>192</v>
      </c>
      <c r="D82" s="184" t="s">
        <v>468</v>
      </c>
      <c r="E82" s="183">
        <v>43081.497499999998</v>
      </c>
      <c r="F82" s="183">
        <v>43081.500208333331</v>
      </c>
      <c r="G82" s="182">
        <v>150</v>
      </c>
      <c r="H82" s="184" t="s">
        <v>962</v>
      </c>
      <c r="I82" s="183">
        <v>43081.52579861111</v>
      </c>
      <c r="J82" s="182">
        <v>0</v>
      </c>
      <c r="K82" s="190" t="str">
        <f t="shared" si="56"/>
        <v>4005/4006</v>
      </c>
      <c r="L82" s="196" t="str">
        <f>VLOOKUP(A82,'Trips&amp;Operators'!$C$1:$G$99911,5,FALSE)</f>
        <v>LONG FULLER</v>
      </c>
      <c r="M82" s="181">
        <f t="shared" si="57"/>
        <v>2.5590277778974269E-2</v>
      </c>
      <c r="N82" s="182">
        <f t="shared" si="54"/>
        <v>36.850000001722947</v>
      </c>
      <c r="O82" s="182"/>
      <c r="P82" s="182"/>
      <c r="Q82" s="185"/>
      <c r="R82" s="197"/>
      <c r="S82" s="241">
        <f t="shared" si="55"/>
        <v>1</v>
      </c>
      <c r="T82" s="220" t="str">
        <f t="shared" si="58"/>
        <v>NorthBound</v>
      </c>
      <c r="U82" s="22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1" t="str">
        <f t="shared" si="59"/>
        <v>https://d0f6bd738d7f1b3e5a7ca70fe4ff75f0.us-east-1.aws.found.io/app/kibana#/discover/Steve-Slow-Train-Analysis-(2080s-and-2083s)?_g=(refreshInterval:(display:Off,pause:!f,section:0,value:0),time:(from:'2017-12-12T10:56:24-0700',mode:absolute,to:'2017-12-12T13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2" s="222" t="str">
        <f>IF(AA82&lt;VLOOKUP(AG82,Variables!$AC$3:$AD$8,2,FALSE),"Y","N")</f>
        <v>N</v>
      </c>
      <c r="X82" s="222">
        <f t="shared" si="53"/>
        <v>1</v>
      </c>
      <c r="Y82" s="222">
        <f t="shared" si="51"/>
        <v>5.04E-2</v>
      </c>
      <c r="Z82" s="222">
        <f t="shared" si="52"/>
        <v>23.320499999999999</v>
      </c>
      <c r="AA82" s="222">
        <f t="shared" si="60"/>
        <v>23.270099999999999</v>
      </c>
      <c r="AB82" s="231" t="e">
        <f>VLOOKUP(A82,Enforcements!$C$7:$K$9,8,0)</f>
        <v>#N/A</v>
      </c>
      <c r="AC82" s="231" t="e">
        <f>VLOOKUP(A82,Enforcements!$C$7:$E$9,3,0)</f>
        <v>#N/A</v>
      </c>
      <c r="AD82" s="232">
        <f t="shared" si="61"/>
        <v>167</v>
      </c>
      <c r="AE82" s="233" t="str">
        <f t="shared" si="62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82" s="234" t="str">
        <f t="shared" si="63"/>
        <v>"C:\Program Files (x86)\AstroGrep\AstroGrep.exe" /e /r /s /spath="%USERPROFILE%\AppData\Local\Temp\OnboardLogs" /stypes="app*4006*20171212*" /stext=" 19:.+((SYSTEM_STATE.+slice.+state.+changed )|(ment ac)|(multiple cpu faults)|(system.+state.+changed )|(\[timeout)|(PRM\|1\|D)|(kpr)|(kdp)|(train st.+moving)|(\|lc)|(penalty))"</v>
      </c>
      <c r="AG82" s="226" t="str">
        <f t="shared" si="64"/>
        <v>EC</v>
      </c>
      <c r="AH82" s="189" t="str">
        <f t="shared" si="65"/>
        <v>"%USERPROFILE%\Documents\GitHub\eaglep3\Utilities\RefineRTDCRunTimes.py" --tripid 167-12 --locoid 4006 --swversion DE.1.0.9.0 --startMP 204:504 --initTime 2017-12-12T11:56:24 --startdatetime 2017-12-12T12:00:18 --delay 150 --endMP 204:233205 --enddatetime 2017-12-12T12:37:09 --enforcementcount 0 &gt;&gt;%USERPROFILE%\Documents\GitHub\eaglep3-reporting\EC\2017-12-12-refined-times.txt</v>
      </c>
      <c r="AI82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{"issue":{"subject":"","project_id":79,"tracker_id":40,"status_id":1,"priority_id":2,"assigned_to_id":338,"start_date":"2017-12-12","description":"","custom_fields":[{"id":1,"name":"Subdivision","value":"EC"},{"id":4,"name":"Milepost","value":"23.3205"},{"id":17,"name":"Train ID","value":"167-12"},{"id":16,"name":"Locomotive ID","value":"4006"},{"id":130,"name":"Impact","value":""},{"id":150,"name":"Time of Event (Mountain Time)","value":"12:37:09"},{"id":151,"name":"Denver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180"/>
      <c r="AK82" s="188"/>
      <c r="AL82" s="188"/>
      <c r="AM82" s="193" t="str">
        <f t="shared" si="67"/>
        <v>start /low /b %USERPROFILE%\Documents\GitHub\eaglep3\Utilities\DownloadLogsFromS3.py --loco 4006 --day 2017-12-12</v>
      </c>
      <c r="AN82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87" t="str">
        <f t="shared" si="69"/>
        <v>https://d0f6bd738d7f1b3e5a7ca70fe4ff75f0.us-east-1.aws.found.io/app/kibana#/discover/Steve-Slow-Train-Analysis-(2080s-and-2083s)?_g=(refreshInterval:(display:Off,pause:!f,section:0,value:0),time:(from:'2017-12-12T10:56:24-0700',mode:absolute,to:'2017-12-12T13:37:09-0700'))&amp;_a=(columns:!('Message%20ID',Summary),filters:!(),index:'emp_*',interval:auto,query:(query_string:(analyze_wildcard:!t,query:'%22rtdc.l.rtdc.4006%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186" t="s">
        <v>789</v>
      </c>
      <c r="B83" s="182">
        <v>4005</v>
      </c>
      <c r="C83" s="184" t="s">
        <v>192</v>
      </c>
      <c r="D83" s="184" t="s">
        <v>963</v>
      </c>
      <c r="E83" s="183">
        <v>43081.534375000003</v>
      </c>
      <c r="F83" s="183">
        <v>43081.539780092593</v>
      </c>
      <c r="G83" s="182">
        <v>79</v>
      </c>
      <c r="H83" s="184" t="s">
        <v>447</v>
      </c>
      <c r="I83" s="183">
        <v>43081.56858796296</v>
      </c>
      <c r="J83" s="182">
        <v>0</v>
      </c>
      <c r="K83" s="190" t="str">
        <f t="shared" si="56"/>
        <v>4005/4006</v>
      </c>
      <c r="L83" s="196" t="str">
        <f>VLOOKUP(A83,'Trips&amp;Operators'!$C$1:$G$99911,5,FALSE)</f>
        <v>LONG FULLER</v>
      </c>
      <c r="M83" s="181">
        <f t="shared" si="57"/>
        <v>2.880787036701804E-2</v>
      </c>
      <c r="N83" s="182">
        <f t="shared" si="54"/>
        <v>41.483333328505978</v>
      </c>
      <c r="O83" s="182"/>
      <c r="P83" s="182"/>
      <c r="Q83" s="185"/>
      <c r="R83" s="197"/>
      <c r="S83" s="241">
        <f t="shared" si="55"/>
        <v>1</v>
      </c>
      <c r="T83" s="220" t="str">
        <f t="shared" si="58"/>
        <v>Southbound</v>
      </c>
      <c r="U83" s="22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1" t="str">
        <f t="shared" si="59"/>
        <v>https://d0f6bd738d7f1b3e5a7ca70fe4ff75f0.us-east-1.aws.found.io/app/kibana#/discover/Steve-Slow-Train-Analysis-(2080s-and-2083s)?_g=(refreshInterval:(display:Off,pause:!f,section:0,value:0),time:(from:'2017-12-12T11:49:30-0700',mode:absolute,to:'2017-12-12T14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3" s="222" t="str">
        <f>IF(AA83&lt;VLOOKUP(AG83,Variables!$AC$3:$AD$8,2,FALSE),"Y","N")</f>
        <v>N</v>
      </c>
      <c r="X83" s="222">
        <f t="shared" si="53"/>
        <v>1</v>
      </c>
      <c r="Y83" s="222">
        <f t="shared" si="51"/>
        <v>23.287700000000001</v>
      </c>
      <c r="Z83" s="222">
        <f t="shared" si="52"/>
        <v>2.1600000000000001E-2</v>
      </c>
      <c r="AA83" s="222">
        <f t="shared" si="60"/>
        <v>23.266100000000002</v>
      </c>
      <c r="AB83" s="231" t="e">
        <f>VLOOKUP(A83,Enforcements!$C$7:$K$9,8,0)</f>
        <v>#N/A</v>
      </c>
      <c r="AC83" s="231" t="e">
        <f>VLOOKUP(A83,Enforcements!$C$7:$E$9,3,0)</f>
        <v>#N/A</v>
      </c>
      <c r="AD83" s="232">
        <f t="shared" si="61"/>
        <v>168</v>
      </c>
      <c r="AE83" s="233" t="str">
        <f t="shared" si="62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83" s="234" t="str">
        <f t="shared" si="63"/>
        <v>"C:\Program Files (x86)\AstroGrep\AstroGrep.exe" /e /r /s /spath="%USERPROFILE%\AppData\Local\Temp\OnboardLogs" /stypes="app*4005*20171212*" /stext=" 20:.+((SYSTEM_STATE.+slice.+state.+changed )|(ment ac)|(multiple cpu faults)|(system.+state.+changed )|(\[timeout)|(PRM\|1\|D)|(kpr)|(kdp)|(train st.+moving)|(\|lc)|(penalty))"</v>
      </c>
      <c r="AG83" s="226" t="str">
        <f t="shared" si="64"/>
        <v>EC</v>
      </c>
      <c r="AH83" s="189" t="str">
        <f t="shared" si="65"/>
        <v>"%USERPROFILE%\Documents\GitHub\eaglep3\Utilities\RefineRTDCRunTimes.py" --tripid 168-12 --locoid 4005 --swversion DE.1.0.9.0 --startMP 204:232877 --initTime 2017-12-12T12:49:30 --startdatetime 2017-12-12T12:57:17 --delay 79 --endMP 204:216 --enddatetime 2017-12-12T13:38:46 --enforcementcount 0 &gt;&gt;%USERPROFILE%\Documents\GitHub\eaglep3-reporting\EC\2017-12-12-refined-times.txt</v>
      </c>
      <c r="AI83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{"issue":{"subject":"","project_id":79,"tracker_id":40,"status_id":1,"priority_id":2,"assigned_to_id":338,"start_date":"2017-12-12","description":"","custom_fields":[{"id":1,"name":"Subdivision","value":"EC"},{"id":4,"name":"Milepost","value":"0.0216"},{"id":17,"name":"Train ID","value":"168-12"},{"id":16,"name":"Locomotive ID","value":"4005"},{"id":130,"name":"Impact","value":""},{"id":150,"name":"Time of Event (Mountain Time)","value":"13:38:46"},{"id":151,"name":"Denver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180"/>
      <c r="AK83" s="188"/>
      <c r="AL83" s="188"/>
      <c r="AM83" s="193" t="str">
        <f t="shared" si="67"/>
        <v>start /low /b %USERPROFILE%\Documents\GitHub\eaglep3\Utilities\DownloadLogsFromS3.py --loco 4005 --day 2017-12-12</v>
      </c>
      <c r="AN83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87" t="str">
        <f t="shared" si="69"/>
        <v>https://d0f6bd738d7f1b3e5a7ca70fe4ff75f0.us-east-1.aws.found.io/app/kibana#/discover/Steve-Slow-Train-Analysis-(2080s-and-2083s)?_g=(refreshInterval:(display:Off,pause:!f,section:0,value:0),time:(from:'2017-12-12T11:49:30-0700',mode:absolute,to:'2017-12-12T14:38:46-0700'))&amp;_a=(columns:!('Message%20ID',Summary),filters:!(),index:'emp_*',interval:auto,query:(query_string:(analyze_wildcard:!t,query:'%22rtdc.l.rtdc.4005%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186" t="s">
        <v>785</v>
      </c>
      <c r="B84" s="182">
        <v>4022</v>
      </c>
      <c r="C84" s="184" t="s">
        <v>192</v>
      </c>
      <c r="D84" s="184" t="s">
        <v>442</v>
      </c>
      <c r="E84" s="183">
        <v>43081.506354166668</v>
      </c>
      <c r="F84" s="183">
        <v>43081.510625000003</v>
      </c>
      <c r="G84" s="182">
        <v>91</v>
      </c>
      <c r="H84" s="184" t="s">
        <v>964</v>
      </c>
      <c r="I84" s="183">
        <v>43081.535173611112</v>
      </c>
      <c r="J84" s="182">
        <v>0</v>
      </c>
      <c r="K84" s="190" t="str">
        <f t="shared" si="56"/>
        <v>4021/4022</v>
      </c>
      <c r="L84" s="196" t="str">
        <f>VLOOKUP(A84,'Trips&amp;Operators'!$C$1:$G$99911,5,FALSE)</f>
        <v>SAFIEF AEIMEN</v>
      </c>
      <c r="M84" s="181">
        <f t="shared" si="57"/>
        <v>2.4548611108912155E-2</v>
      </c>
      <c r="N84" s="182">
        <f t="shared" si="54"/>
        <v>35.349999996833503</v>
      </c>
      <c r="O84" s="182"/>
      <c r="P84" s="182"/>
      <c r="Q84" s="185"/>
      <c r="R84" s="197"/>
      <c r="S84" s="241">
        <f t="shared" si="55"/>
        <v>1</v>
      </c>
      <c r="T84" s="220" t="str">
        <f t="shared" si="58"/>
        <v>NorthBound</v>
      </c>
      <c r="U84" s="22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1" t="str">
        <f t="shared" si="59"/>
        <v>https://d0f6bd738d7f1b3e5a7ca70fe4ff75f0.us-east-1.aws.found.io/app/kibana#/discover/Steve-Slow-Train-Analysis-(2080s-and-2083s)?_g=(refreshInterval:(display:Off,pause:!f,section:0,value:0),time:(from:'2017-12-12T11:09:09-0700',mode:absolute,to:'2017-12-12T13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4" s="222" t="str">
        <f>IF(AA84&lt;VLOOKUP(AG84,Variables!$AC$3:$AD$8,2,FALSE),"Y","N")</f>
        <v>N</v>
      </c>
      <c r="X84" s="222">
        <f t="shared" si="53"/>
        <v>1</v>
      </c>
      <c r="Y84" s="222">
        <f t="shared" ref="Y84:Y115" si="70">RIGHT(D84,LEN(D84)-4)/10000</f>
        <v>4.4600000000000001E-2</v>
      </c>
      <c r="Z84" s="222">
        <f t="shared" ref="Z84:Z115" si="71">RIGHT(H84,LEN(H84)-4)/10000</f>
        <v>23.3261</v>
      </c>
      <c r="AA84" s="222">
        <f t="shared" si="60"/>
        <v>23.281500000000001</v>
      </c>
      <c r="AB84" s="231" t="e">
        <f>VLOOKUP(A84,Enforcements!$C$7:$K$9,8,0)</f>
        <v>#N/A</v>
      </c>
      <c r="AC84" s="231" t="e">
        <f>VLOOKUP(A84,Enforcements!$C$7:$E$9,3,0)</f>
        <v>#N/A</v>
      </c>
      <c r="AD84" s="232">
        <f t="shared" si="61"/>
        <v>169</v>
      </c>
      <c r="AE84" s="233" t="str">
        <f t="shared" si="62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84" s="234" t="str">
        <f t="shared" si="63"/>
        <v>"C:\Program Files (x86)\AstroGrep\AstroGrep.exe" /e /r /s /spath="%USERPROFILE%\AppData\Local\Temp\OnboardLogs" /stypes="app*4022*20171212*" /stext=" 19:.+((SYSTEM_STATE.+slice.+state.+changed )|(ment ac)|(multiple cpu faults)|(system.+state.+changed )|(\[timeout)|(PRM\|1\|D)|(kpr)|(kdp)|(train st.+moving)|(\|lc)|(penalty))"</v>
      </c>
      <c r="AG84" s="226" t="str">
        <f t="shared" si="64"/>
        <v>EC</v>
      </c>
      <c r="AH84" s="189" t="str">
        <f t="shared" si="65"/>
        <v>"%USERPROFILE%\Documents\GitHub\eaglep3\Utilities\RefineRTDCRunTimes.py" --tripid 169-12 --locoid 4022 --swversion DE.1.0.9.0 --startMP 204:446 --initTime 2017-12-12T12:09:09 --startdatetime 2017-12-12T12:15:18 --delay 91 --endMP 204:233261 --enddatetime 2017-12-12T12:50:39 --enforcementcount 0 &gt;&gt;%USERPROFILE%\Documents\GitHub\eaglep3-reporting\EC\2017-12-12-refined-times.txt</v>
      </c>
      <c r="AI84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{"issue":{"subject":"","project_id":79,"tracker_id":40,"status_id":1,"priority_id":2,"assigned_to_id":338,"start_date":"2017-12-12","description":"","custom_fields":[{"id":1,"name":"Subdivision","value":"EC"},{"id":4,"name":"Milepost","value":"23.3261"},{"id":17,"name":"Train ID","value":"169-12"},{"id":16,"name":"Locomotive ID","value":"4022"},{"id":130,"name":"Impact","value":""},{"id":150,"name":"Time of Event (Mountain Time)","value":"12:50:39"},{"id":151,"name":"Denver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180"/>
      <c r="AK84" s="188"/>
      <c r="AL84" s="188"/>
      <c r="AM84" s="193" t="str">
        <f t="shared" si="67"/>
        <v>start /low /b %USERPROFILE%\Documents\GitHub\eaglep3\Utilities\DownloadLogsFromS3.py --loco 4022 --day 2017-12-12</v>
      </c>
      <c r="AN84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87" t="str">
        <f t="shared" si="69"/>
        <v>https://d0f6bd738d7f1b3e5a7ca70fe4ff75f0.us-east-1.aws.found.io/app/kibana#/discover/Steve-Slow-Train-Analysis-(2080s-and-2083s)?_g=(refreshInterval:(display:Off,pause:!f,section:0,value:0),time:(from:'2017-12-12T11:09:09-0700',mode:absolute,to:'2017-12-12T13:50:39-0700'))&amp;_a=(columns:!('Message%20ID',Summary),filters:!(),index:'emp_*',interval:auto,query:(query_string:(analyze_wildcard:!t,query:'%22rtdc.l.rtdc.4022%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186" t="s">
        <v>791</v>
      </c>
      <c r="B85" s="182">
        <v>4021</v>
      </c>
      <c r="C85" s="184" t="s">
        <v>192</v>
      </c>
      <c r="D85" s="184" t="s">
        <v>965</v>
      </c>
      <c r="E85" s="183">
        <v>43081.540254629632</v>
      </c>
      <c r="F85" s="183">
        <v>43081.55028935185</v>
      </c>
      <c r="G85" s="182">
        <v>99</v>
      </c>
      <c r="H85" s="184" t="s">
        <v>651</v>
      </c>
      <c r="I85" s="183">
        <v>43081.575798611113</v>
      </c>
      <c r="J85" s="182">
        <v>0</v>
      </c>
      <c r="K85" s="190" t="str">
        <f t="shared" si="56"/>
        <v>4021/4022</v>
      </c>
      <c r="L85" s="196" t="str">
        <f>VLOOKUP(A85,'Trips&amp;Operators'!$C$1:$G$99911,5,FALSE)</f>
        <v>SAFIEF AEIMEN</v>
      </c>
      <c r="M85" s="181">
        <f t="shared" si="57"/>
        <v>2.5509259263344575E-2</v>
      </c>
      <c r="N85" s="182">
        <f t="shared" si="54"/>
        <v>36.733333339216188</v>
      </c>
      <c r="O85" s="182"/>
      <c r="P85" s="182"/>
      <c r="Q85" s="185"/>
      <c r="R85" s="197"/>
      <c r="S85" s="241">
        <f t="shared" si="55"/>
        <v>1</v>
      </c>
      <c r="T85" s="220" t="str">
        <f t="shared" si="58"/>
        <v>Southbound</v>
      </c>
      <c r="U85" s="22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1" t="str">
        <f t="shared" si="59"/>
        <v>https://d0f6bd738d7f1b3e5a7ca70fe4ff75f0.us-east-1.aws.found.io/app/kibana#/discover/Steve-Slow-Train-Analysis-(2080s-and-2083s)?_g=(refreshInterval:(display:Off,pause:!f,section:0,value:0),time:(from:'2017-12-12T11:57:58-0700',mode:absolute,to:'2017-12-12T14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5" s="222" t="str">
        <f>IF(AA85&lt;VLOOKUP(AG85,Variables!$AC$3:$AD$8,2,FALSE),"Y","N")</f>
        <v>N</v>
      </c>
      <c r="X85" s="222">
        <f t="shared" ref="X85:X116" si="72">VALUE(LEFT(AD85,4))-VALUE(LEFT(AD84,4))</f>
        <v>1</v>
      </c>
      <c r="Y85" s="222">
        <f t="shared" si="70"/>
        <v>23.294699999999999</v>
      </c>
      <c r="Z85" s="222">
        <f t="shared" si="71"/>
        <v>1.8499999999999999E-2</v>
      </c>
      <c r="AA85" s="222">
        <f t="shared" si="60"/>
        <v>23.276199999999999</v>
      </c>
      <c r="AB85" s="231" t="e">
        <f>VLOOKUP(A85,Enforcements!$C$7:$K$9,8,0)</f>
        <v>#N/A</v>
      </c>
      <c r="AC85" s="231" t="e">
        <f>VLOOKUP(A85,Enforcements!$C$7:$E$9,3,0)</f>
        <v>#N/A</v>
      </c>
      <c r="AD85" s="232">
        <f t="shared" si="61"/>
        <v>170</v>
      </c>
      <c r="AE85" s="233" t="str">
        <f t="shared" si="62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85" s="234" t="str">
        <f t="shared" si="63"/>
        <v>"C:\Program Files (x86)\AstroGrep\AstroGrep.exe" /e /r /s /spath="%USERPROFILE%\AppData\Local\Temp\OnboardLogs" /stypes="app*4021*20171212*" /stext=" 20:.+((SYSTEM_STATE.+slice.+state.+changed )|(ment ac)|(multiple cpu faults)|(system.+state.+changed )|(\[timeout)|(PRM\|1\|D)|(kpr)|(kdp)|(train st.+moving)|(\|lc)|(penalty))"</v>
      </c>
      <c r="AG85" s="226" t="str">
        <f t="shared" si="64"/>
        <v>EC</v>
      </c>
      <c r="AH85" s="189" t="str">
        <f t="shared" si="65"/>
        <v>"%USERPROFILE%\Documents\GitHub\eaglep3\Utilities\RefineRTDCRunTimes.py" --tripid 170-12 --locoid 4021 --swversion DE.1.0.9.0 --startMP 204:232947 --initTime 2017-12-12T12:57:58 --startdatetime 2017-12-12T13:12:25 --delay 99 --endMP 204:185 --enddatetime 2017-12-12T13:49:09 --enforcementcount 0 &gt;&gt;%USERPROFILE%\Documents\GitHub\eaglep3-reporting\EC\2017-12-12-refined-times.txt</v>
      </c>
      <c r="AI85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{"issue":{"subject":"","project_id":79,"tracker_id":40,"status_id":1,"priority_id":2,"assigned_to_id":338,"start_date":"2017-12-12","description":"","custom_fields":[{"id":1,"name":"Subdivision","value":"EC"},{"id":4,"name":"Milepost","value":"0.0185"},{"id":17,"name":"Train ID","value":"170-12"},{"id":16,"name":"Locomotive ID","value":"4021"},{"id":130,"name":"Impact","value":""},{"id":150,"name":"Time of Event (Mountain Time)","value":"13:49:09"},{"id":151,"name":"Denver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180"/>
      <c r="AK85" s="188"/>
      <c r="AL85" s="188"/>
      <c r="AM85" s="193" t="str">
        <f t="shared" si="67"/>
        <v>start /low /b %USERPROFILE%\Documents\GitHub\eaglep3\Utilities\DownloadLogsFromS3.py --loco 4021 --day 2017-12-12</v>
      </c>
      <c r="AN85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87" t="str">
        <f t="shared" si="69"/>
        <v>https://d0f6bd738d7f1b3e5a7ca70fe4ff75f0.us-east-1.aws.found.io/app/kibana#/discover/Steve-Slow-Train-Analysis-(2080s-and-2083s)?_g=(refreshInterval:(display:Off,pause:!f,section:0,value:0),time:(from:'2017-12-12T11:57:58-0700',mode:absolute,to:'2017-12-12T14:49:09-0700'))&amp;_a=(columns:!('Message%20ID',Summary),filters:!(),index:'emp_*',interval:auto,query:(query_string:(analyze_wildcard:!t,query:'%22rtdc.l.rtdc.4021%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186" t="s">
        <v>681</v>
      </c>
      <c r="B86" s="182">
        <v>4012</v>
      </c>
      <c r="C86" s="184" t="s">
        <v>192</v>
      </c>
      <c r="D86" s="184" t="s">
        <v>948</v>
      </c>
      <c r="E86" s="183">
        <v>43081.518703703703</v>
      </c>
      <c r="F86" s="183">
        <v>43081.521203703705</v>
      </c>
      <c r="G86" s="182">
        <v>55</v>
      </c>
      <c r="H86" s="184" t="s">
        <v>912</v>
      </c>
      <c r="I86" s="183">
        <v>43081.54755787037</v>
      </c>
      <c r="J86" s="182">
        <v>0</v>
      </c>
      <c r="K86" s="190" t="str">
        <f t="shared" si="56"/>
        <v>4011/4012</v>
      </c>
      <c r="L86" s="196" t="str">
        <f>VLOOKUP(A86,'Trips&amp;Operators'!$C$1:$G$99911,5,FALSE)</f>
        <v>DAVIS MICHAEL</v>
      </c>
      <c r="M86" s="181">
        <f t="shared" si="57"/>
        <v>2.6354166664532386E-2</v>
      </c>
      <c r="N86" s="182">
        <f t="shared" si="54"/>
        <v>37.949999996926636</v>
      </c>
      <c r="O86" s="182"/>
      <c r="P86" s="182"/>
      <c r="Q86" s="185"/>
      <c r="R86" s="197"/>
      <c r="S86" s="241">
        <f t="shared" si="55"/>
        <v>1</v>
      </c>
      <c r="T86" s="220" t="str">
        <f t="shared" si="58"/>
        <v>NorthBound</v>
      </c>
      <c r="U86" s="22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21" t="str">
        <f t="shared" si="59"/>
        <v>https://d0f6bd738d7f1b3e5a7ca70fe4ff75f0.us-east-1.aws.found.io/app/kibana#/discover/Steve-Slow-Train-Analysis-(2080s-and-2083s)?_g=(refreshInterval:(display:Off,pause:!f,section:0,value:0),time:(from:'2017-12-12T11:26:56-0700',mode:absolute,to:'2017-12-12T14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6" s="222" t="str">
        <f>IF(AA86&lt;VLOOKUP(AG86,Variables!$AC$3:$AD$8,2,FALSE),"Y","N")</f>
        <v>N</v>
      </c>
      <c r="X86" s="222">
        <f t="shared" si="72"/>
        <v>1</v>
      </c>
      <c r="Y86" s="222">
        <f t="shared" si="70"/>
        <v>5.0799999999999998E-2</v>
      </c>
      <c r="Z86" s="222">
        <f t="shared" si="71"/>
        <v>23.329499999999999</v>
      </c>
      <c r="AA86" s="222">
        <f t="shared" si="60"/>
        <v>23.278700000000001</v>
      </c>
      <c r="AB86" s="231" t="e">
        <f>VLOOKUP(A86,Enforcements!$C$7:$K$9,8,0)</f>
        <v>#N/A</v>
      </c>
      <c r="AC86" s="231" t="e">
        <f>VLOOKUP(A86,Enforcements!$C$7:$E$9,3,0)</f>
        <v>#N/A</v>
      </c>
      <c r="AD86" s="232">
        <f t="shared" si="61"/>
        <v>171</v>
      </c>
      <c r="AE86" s="233" t="str">
        <f t="shared" si="62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86" s="234" t="str">
        <f t="shared" si="63"/>
        <v>"C:\Program Files (x86)\AstroGrep\AstroGrep.exe" /e /r /s /spath="%USERPROFILE%\AppData\Local\Temp\OnboardLogs" /stypes="app*4012*20171212*" /stext=" 20:.+((SYSTEM_STATE.+slice.+state.+changed )|(ment ac)|(multiple cpu faults)|(system.+state.+changed )|(\[timeout)|(PRM\|1\|D)|(kpr)|(kdp)|(train st.+moving)|(\|lc)|(penalty))"</v>
      </c>
      <c r="AG86" s="226" t="str">
        <f t="shared" si="64"/>
        <v>EC</v>
      </c>
      <c r="AH86" s="189" t="str">
        <f t="shared" si="65"/>
        <v>"%USERPROFILE%\Documents\GitHub\eaglep3\Utilities\RefineRTDCRunTimes.py" --tripid 171-12 --locoid 4012 --swversion DE.1.0.9.0 --startMP 204:508 --initTime 2017-12-12T12:26:56 --startdatetime 2017-12-12T12:30:32 --delay 55 --endMP 204:233295 --enddatetime 2017-12-12T13:08:29 --enforcementcount 0 &gt;&gt;%USERPROFILE%\Documents\GitHub\eaglep3-reporting\EC\2017-12-12-refined-times.txt</v>
      </c>
      <c r="AI86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{"issue":{"subject":"","project_id":79,"tracker_id":40,"status_id":1,"priority_id":2,"assigned_to_id":338,"start_date":"2017-12-12","description":"","custom_fields":[{"id":1,"name":"Subdivision","value":"EC"},{"id":4,"name":"Milepost","value":"23.3295"},{"id":17,"name":"Train ID","value":"171-12"},{"id":16,"name":"Locomotive ID","value":"4012"},{"id":130,"name":"Impact","value":""},{"id":150,"name":"Time of Event (Mountain Time)","value":"13:08:29"},{"id":151,"name":"Denver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180"/>
      <c r="AK86" s="188"/>
      <c r="AL86" s="188"/>
      <c r="AM86" s="193" t="str">
        <f t="shared" si="67"/>
        <v>start /low /b %USERPROFILE%\Documents\GitHub\eaglep3\Utilities\DownloadLogsFromS3.py --loco 4012 --day 2017-12-12</v>
      </c>
      <c r="AN86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87" t="str">
        <f t="shared" si="69"/>
        <v>https://d0f6bd738d7f1b3e5a7ca70fe4ff75f0.us-east-1.aws.found.io/app/kibana#/discover/Steve-Slow-Train-Analysis-(2080s-and-2083s)?_g=(refreshInterval:(display:Off,pause:!f,section:0,value:0),time:(from:'2017-12-12T11:26:56-0700',mode:absolute,to:'2017-12-12T14:08:29-0700'))&amp;_a=(columns:!('Message%20ID',Summary),filters:!(),index:'emp_*',interval:auto,query:(query_string:(analyze_wildcard:!t,query:'%22rtdc.l.rtdc.4012%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186" t="s">
        <v>793</v>
      </c>
      <c r="B87" s="182">
        <v>4011</v>
      </c>
      <c r="C87" s="184" t="s">
        <v>192</v>
      </c>
      <c r="D87" s="184" t="s">
        <v>624</v>
      </c>
      <c r="E87" s="183">
        <v>43081.558240740742</v>
      </c>
      <c r="F87" s="183">
        <v>43081.56077546296</v>
      </c>
      <c r="G87" s="182">
        <v>60</v>
      </c>
      <c r="H87" s="184" t="s">
        <v>966</v>
      </c>
      <c r="I87" s="183">
        <v>43081.588483796295</v>
      </c>
      <c r="J87" s="182">
        <v>0</v>
      </c>
      <c r="K87" s="190" t="str">
        <f t="shared" si="56"/>
        <v>4011/4012</v>
      </c>
      <c r="L87" s="196" t="str">
        <f>VLOOKUP(A87,'Trips&amp;Operators'!$C$1:$G$99911,5,FALSE)</f>
        <v>DAVIS MICHAEL</v>
      </c>
      <c r="M87" s="181">
        <f t="shared" si="57"/>
        <v>2.7708333334885538E-2</v>
      </c>
      <c r="N87" s="182">
        <f t="shared" si="54"/>
        <v>39.900000002235174</v>
      </c>
      <c r="O87" s="182"/>
      <c r="P87" s="182"/>
      <c r="Q87" s="185"/>
      <c r="R87" s="197"/>
      <c r="S87" s="241">
        <f t="shared" si="55"/>
        <v>1</v>
      </c>
      <c r="T87" s="220" t="str">
        <f t="shared" si="58"/>
        <v>Southbound</v>
      </c>
      <c r="U87" s="22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1" t="str">
        <f t="shared" si="59"/>
        <v>https://d0f6bd738d7f1b3e5a7ca70fe4ff75f0.us-east-1.aws.found.io/app/kibana#/discover/Steve-Slow-Train-Analysis-(2080s-and-2083s)?_g=(refreshInterval:(display:Off,pause:!f,section:0,value:0),time:(from:'2017-12-12T12:23:52-0700',mode:absolute,to:'2017-12-12T15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222" t="str">
        <f>IF(AA87&lt;VLOOKUP(AG87,Variables!$AC$3:$AD$8,2,FALSE),"Y","N")</f>
        <v>N</v>
      </c>
      <c r="X87" s="222">
        <f t="shared" si="72"/>
        <v>1</v>
      </c>
      <c r="Y87" s="222">
        <f t="shared" si="70"/>
        <v>23.2971</v>
      </c>
      <c r="Z87" s="222">
        <f t="shared" si="71"/>
        <v>2.1100000000000001E-2</v>
      </c>
      <c r="AA87" s="222">
        <f t="shared" si="60"/>
        <v>23.276</v>
      </c>
      <c r="AB87" s="231" t="e">
        <f>VLOOKUP(A87,Enforcements!$C$7:$K$9,8,0)</f>
        <v>#N/A</v>
      </c>
      <c r="AC87" s="231" t="e">
        <f>VLOOKUP(A87,Enforcements!$C$7:$E$9,3,0)</f>
        <v>#N/A</v>
      </c>
      <c r="AD87" s="232">
        <f t="shared" si="61"/>
        <v>172</v>
      </c>
      <c r="AE87" s="233" t="str">
        <f t="shared" si="62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87" s="234" t="str">
        <f t="shared" si="63"/>
        <v>"C:\Program Files (x86)\AstroGrep\AstroGrep.exe" /e /r /s /spath="%USERPROFILE%\AppData\Local\Temp\OnboardLogs" /stypes="app*4011*20171212*" /stext=" 21:.+((SYSTEM_STATE.+slice.+state.+changed )|(ment ac)|(multiple cpu faults)|(system.+state.+changed )|(\[timeout)|(PRM\|1\|D)|(kpr)|(kdp)|(train st.+moving)|(\|lc)|(penalty))"</v>
      </c>
      <c r="AG87" s="226" t="str">
        <f t="shared" si="64"/>
        <v>EC</v>
      </c>
      <c r="AH87" s="189" t="str">
        <f t="shared" si="65"/>
        <v>"%USERPROFILE%\Documents\GitHub\eaglep3\Utilities\RefineRTDCRunTimes.py" --tripid 172-12 --locoid 4011 --swversion DE.1.0.9.0 --startMP 204:232971 --initTime 2017-12-12T13:23:52 --startdatetime 2017-12-12T13:27:31 --delay 60 --endMP 204:211 --enddatetime 2017-12-12T14:07:25 --enforcementcount 0 &gt;&gt;%USERPROFILE%\Documents\GitHub\eaglep3-reporting\EC\2017-12-12-refined-times.txt</v>
      </c>
      <c r="AI87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{"issue":{"subject":"","project_id":79,"tracker_id":40,"status_id":1,"priority_id":2,"assigned_to_id":338,"start_date":"2017-12-12","description":"","custom_fields":[{"id":1,"name":"Subdivision","value":"EC"},{"id":4,"name":"Milepost","value":"0.0211"},{"id":17,"name":"Train ID","value":"172-12"},{"id":16,"name":"Locomotive ID","value":"4011"},{"id":130,"name":"Impact","value":""},{"id":150,"name":"Time of Event (Mountain Time)","value":"14:07:25"},{"id":151,"name":"Denver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180"/>
      <c r="AK87" s="188"/>
      <c r="AL87" s="188"/>
      <c r="AM87" s="193" t="str">
        <f t="shared" si="67"/>
        <v>start /low /b %USERPROFILE%\Documents\GitHub\eaglep3\Utilities\DownloadLogsFromS3.py --loco 4011 --day 2017-12-12</v>
      </c>
      <c r="AN87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87" t="str">
        <f t="shared" si="69"/>
        <v>https://d0f6bd738d7f1b3e5a7ca70fe4ff75f0.us-east-1.aws.found.io/app/kibana#/discover/Steve-Slow-Train-Analysis-(2080s-and-2083s)?_g=(refreshInterval:(display:Off,pause:!f,section:0,value:0),time:(from:'2017-12-12T12:23:52-0700',mode:absolute,to:'2017-12-12T15:07:25-0700'))&amp;_a=(columns:!('Message%20ID',Summary),filters:!(),index:'emp_*',interval:auto,query:(query_string:(analyze_wildcard:!t,query:'%22rtdc.l.rtdc.4011%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186" t="s">
        <v>788</v>
      </c>
      <c r="B88" s="182">
        <v>4010</v>
      </c>
      <c r="C88" s="184" t="s">
        <v>192</v>
      </c>
      <c r="D88" s="184" t="s">
        <v>640</v>
      </c>
      <c r="E88" s="183">
        <v>43081.52684027778</v>
      </c>
      <c r="F88" s="183">
        <v>43081.531458333331</v>
      </c>
      <c r="G88" s="182">
        <v>87</v>
      </c>
      <c r="H88" s="184" t="s">
        <v>919</v>
      </c>
      <c r="I88" s="183">
        <v>43081.556331018517</v>
      </c>
      <c r="J88" s="182">
        <v>0</v>
      </c>
      <c r="K88" s="190" t="str">
        <f t="shared" si="56"/>
        <v>4009/4010</v>
      </c>
      <c r="L88" s="196" t="str">
        <f>VLOOKUP(A88,'Trips&amp;Operators'!$C$1:$G$99911,5,FALSE)</f>
        <v>HAMMOND JUSTYNN</v>
      </c>
      <c r="M88" s="181">
        <f t="shared" si="57"/>
        <v>2.4872685185982846E-2</v>
      </c>
      <c r="N88" s="182">
        <f t="shared" si="54"/>
        <v>35.816666667815298</v>
      </c>
      <c r="O88" s="182"/>
      <c r="P88" s="182"/>
      <c r="Q88" s="185"/>
      <c r="R88" s="197"/>
      <c r="S88" s="241">
        <f t="shared" si="55"/>
        <v>1</v>
      </c>
      <c r="T88" s="220" t="str">
        <f t="shared" si="58"/>
        <v>NorthBound</v>
      </c>
      <c r="U88" s="22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1" t="str">
        <f t="shared" si="59"/>
        <v>https://d0f6bd738d7f1b3e5a7ca70fe4ff75f0.us-east-1.aws.found.io/app/kibana#/discover/Steve-Slow-Train-Analysis-(2080s-and-2083s)?_g=(refreshInterval:(display:Off,pause:!f,section:0,value:0),time:(from:'2017-12-12T11:38:39-0700',mode:absolute,to:'2017-12-12T14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8" s="222" t="str">
        <f>IF(AA88&lt;VLOOKUP(AG88,Variables!$AC$3:$AD$8,2,FALSE),"Y","N")</f>
        <v>N</v>
      </c>
      <c r="X88" s="222">
        <f t="shared" si="72"/>
        <v>1</v>
      </c>
      <c r="Y88" s="222">
        <f t="shared" si="70"/>
        <v>5.2900000000000003E-2</v>
      </c>
      <c r="Z88" s="222">
        <f t="shared" si="71"/>
        <v>23.3308</v>
      </c>
      <c r="AA88" s="222">
        <f t="shared" si="60"/>
        <v>23.277899999999999</v>
      </c>
      <c r="AB88" s="231" t="e">
        <f>VLOOKUP(A88,Enforcements!$C$7:$K$9,8,0)</f>
        <v>#N/A</v>
      </c>
      <c r="AC88" s="231" t="e">
        <f>VLOOKUP(A88,Enforcements!$C$7:$E$9,3,0)</f>
        <v>#N/A</v>
      </c>
      <c r="AD88" s="232">
        <f t="shared" si="61"/>
        <v>173</v>
      </c>
      <c r="AE88" s="233" t="str">
        <f t="shared" si="62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88" s="234" t="str">
        <f t="shared" si="63"/>
        <v>"C:\Program Files (x86)\AstroGrep\AstroGrep.exe" /e /r /s /spath="%USERPROFILE%\AppData\Local\Temp\OnboardLogs" /stypes="app*4010*20171212*" /stext=" 20:.+((SYSTEM_STATE.+slice.+state.+changed )|(ment ac)|(multiple cpu faults)|(system.+state.+changed )|(\[timeout)|(PRM\|1\|D)|(kpr)|(kdp)|(train st.+moving)|(\|lc)|(penalty))"</v>
      </c>
      <c r="AG88" s="226" t="str">
        <f t="shared" si="64"/>
        <v>EC</v>
      </c>
      <c r="AH88" s="189" t="str">
        <f t="shared" si="65"/>
        <v>"%USERPROFILE%\Documents\GitHub\eaglep3\Utilities\RefineRTDCRunTimes.py" --tripid 173-12 --locoid 4010 --swversion DE.1.0.9.0 --startMP 204:529 --initTime 2017-12-12T12:38:39 --startdatetime 2017-12-12T12:45:18 --delay 87 --endMP 204:233308 --enddatetime 2017-12-12T13:21:07 --enforcementcount 0 &gt;&gt;%USERPROFILE%\Documents\GitHub\eaglep3-reporting\EC\2017-12-12-refined-times.txt</v>
      </c>
      <c r="AI88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{"issue":{"subject":"","project_id":79,"tracker_id":40,"status_id":1,"priority_id":2,"assigned_to_id":338,"start_date":"2017-12-12","description":"","custom_fields":[{"id":1,"name":"Subdivision","value":"EC"},{"id":4,"name":"Milepost","value":"23.3308"},{"id":17,"name":"Train ID","value":"173-12"},{"id":16,"name":"Locomotive ID","value":"4010"},{"id":130,"name":"Impact","value":""},{"id":150,"name":"Time of Event (Mountain Time)","value":"13:21:07"},{"id":151,"name":"Denver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180"/>
      <c r="AK88" s="188"/>
      <c r="AL88" s="188"/>
      <c r="AM88" s="193" t="str">
        <f t="shared" si="67"/>
        <v>start /low /b %USERPROFILE%\Documents\GitHub\eaglep3\Utilities\DownloadLogsFromS3.py --loco 4010 --day 2017-12-12</v>
      </c>
      <c r="AN88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87" t="str">
        <f t="shared" si="69"/>
        <v>https://d0f6bd738d7f1b3e5a7ca70fe4ff75f0.us-east-1.aws.found.io/app/kibana#/discover/Steve-Slow-Train-Analysis-(2080s-and-2083s)?_g=(refreshInterval:(display:Off,pause:!f,section:0,value:0),time:(from:'2017-12-12T11:38:39-0700',mode:absolute,to:'2017-12-12T14:21:07-0700'))&amp;_a=(columns:!('Message%20ID',Summary),filters:!(),index:'emp_*',interval:auto,query:(query_string:(analyze_wildcard:!t,query:'%22rtdc.l.rtdc.4010%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186" t="s">
        <v>796</v>
      </c>
      <c r="B89" s="182">
        <v>4009</v>
      </c>
      <c r="C89" s="184" t="s">
        <v>192</v>
      </c>
      <c r="D89" s="184" t="s">
        <v>627</v>
      </c>
      <c r="E89" s="183">
        <v>43081.561828703707</v>
      </c>
      <c r="F89" s="183">
        <v>43081.571053240739</v>
      </c>
      <c r="G89" s="182">
        <v>123</v>
      </c>
      <c r="H89" s="184" t="s">
        <v>967</v>
      </c>
      <c r="I89" s="183">
        <v>43081.596712962964</v>
      </c>
      <c r="J89" s="182">
        <v>0</v>
      </c>
      <c r="K89" s="190" t="str">
        <f t="shared" si="56"/>
        <v>4009/4010</v>
      </c>
      <c r="L89" s="196" t="str">
        <f>VLOOKUP(A89,'Trips&amp;Operators'!$C$1:$G$99911,5,FALSE)</f>
        <v>HAMMOND JUSTYNN</v>
      </c>
      <c r="M89" s="181">
        <f t="shared" si="57"/>
        <v>2.5659722225100268E-2</v>
      </c>
      <c r="N89" s="182">
        <f t="shared" si="54"/>
        <v>36.950000004144385</v>
      </c>
      <c r="O89" s="182"/>
      <c r="P89" s="182"/>
      <c r="Q89" s="185"/>
      <c r="R89" s="197"/>
      <c r="S89" s="241">
        <f t="shared" si="55"/>
        <v>1</v>
      </c>
      <c r="T89" s="220" t="str">
        <f t="shared" si="58"/>
        <v>Southbound</v>
      </c>
      <c r="U89" s="22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1" t="str">
        <f t="shared" si="59"/>
        <v>https://d0f6bd738d7f1b3e5a7ca70fe4ff75f0.us-east-1.aws.found.io/app/kibana#/discover/Steve-Slow-Train-Analysis-(2080s-and-2083s)?_g=(refreshInterval:(display:Off,pause:!f,section:0,value:0),time:(from:'2017-12-12T12:29:02-0700',mode:absolute,to:'2017-12-12T15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9" s="222" t="str">
        <f>IF(AA89&lt;VLOOKUP(AG89,Variables!$AC$3:$AD$8,2,FALSE),"Y","N")</f>
        <v>N</v>
      </c>
      <c r="X89" s="222">
        <f t="shared" si="72"/>
        <v>1</v>
      </c>
      <c r="Y89" s="222">
        <f t="shared" si="70"/>
        <v>23.2987</v>
      </c>
      <c r="Z89" s="222">
        <f t="shared" si="71"/>
        <v>2.2700000000000001E-2</v>
      </c>
      <c r="AA89" s="222">
        <f t="shared" si="60"/>
        <v>23.276</v>
      </c>
      <c r="AB89" s="231" t="e">
        <f>VLOOKUP(A89,Enforcements!$C$7:$K$9,8,0)</f>
        <v>#N/A</v>
      </c>
      <c r="AC89" s="231" t="e">
        <f>VLOOKUP(A89,Enforcements!$C$7:$E$9,3,0)</f>
        <v>#N/A</v>
      </c>
      <c r="AD89" s="232">
        <f t="shared" si="61"/>
        <v>174</v>
      </c>
      <c r="AE89" s="233" t="str">
        <f t="shared" si="62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89" s="234" t="str">
        <f t="shared" si="63"/>
        <v>"C:\Program Files (x86)\AstroGrep\AstroGrep.exe" /e /r /s /spath="%USERPROFILE%\AppData\Local\Temp\OnboardLogs" /stypes="app*4009*20171212*" /stext=" 21:.+((SYSTEM_STATE.+slice.+state.+changed )|(ment ac)|(multiple cpu faults)|(system.+state.+changed )|(\[timeout)|(PRM\|1\|D)|(kpr)|(kdp)|(train st.+moving)|(\|lc)|(penalty))"</v>
      </c>
      <c r="AG89" s="226" t="str">
        <f t="shared" si="64"/>
        <v>EC</v>
      </c>
      <c r="AH89" s="189" t="str">
        <f t="shared" si="65"/>
        <v>"%USERPROFILE%\Documents\GitHub\eaglep3\Utilities\RefineRTDCRunTimes.py" --tripid 174-12 --locoid 4009 --swversion DE.1.0.9.0 --startMP 204:232987 --initTime 2017-12-12T13:29:02 --startdatetime 2017-12-12T13:42:19 --delay 123 --endMP 204:227 --enddatetime 2017-12-12T14:19:16 --enforcementcount 0 &gt;&gt;%USERPROFILE%\Documents\GitHub\eaglep3-reporting\EC\2017-12-12-refined-times.txt</v>
      </c>
      <c r="AI89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{"issue":{"subject":"","project_id":79,"tracker_id":40,"status_id":1,"priority_id":2,"assigned_to_id":338,"start_date":"2017-12-12","description":"","custom_fields":[{"id":1,"name":"Subdivision","value":"EC"},{"id":4,"name":"Milepost","value":"0.0227"},{"id":17,"name":"Train ID","value":"174-12"},{"id":16,"name":"Locomotive ID","value":"4009"},{"id":130,"name":"Impact","value":""},{"id":150,"name":"Time of Event (Mountain Time)","value":"14:19:16"},{"id":151,"name":"Denver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180"/>
      <c r="AK89" s="188"/>
      <c r="AL89" s="188"/>
      <c r="AM89" s="193" t="str">
        <f t="shared" si="67"/>
        <v>start /low /b %USERPROFILE%\Documents\GitHub\eaglep3\Utilities\DownloadLogsFromS3.py --loco 4009 --day 2017-12-12</v>
      </c>
      <c r="AN89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87" t="str">
        <f t="shared" si="69"/>
        <v>https://d0f6bd738d7f1b3e5a7ca70fe4ff75f0.us-east-1.aws.found.io/app/kibana#/discover/Steve-Slow-Train-Analysis-(2080s-and-2083s)?_g=(refreshInterval:(display:Off,pause:!f,section:0,value:0),time:(from:'2017-12-12T12:29:02-0700',mode:absolute,to:'2017-12-12T15:19:16-0700'))&amp;_a=(columns:!('Message%20ID',Summary),filters:!(),index:'emp_*',interval:auto,query:(query_string:(analyze_wildcard:!t,query:'%22rtdc.l.rtdc.4009%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186" t="s">
        <v>790</v>
      </c>
      <c r="B90" s="182">
        <v>4030</v>
      </c>
      <c r="C90" s="184" t="s">
        <v>192</v>
      </c>
      <c r="D90" s="184" t="s">
        <v>490</v>
      </c>
      <c r="E90" s="183">
        <v>43081.538321759261</v>
      </c>
      <c r="F90" s="183">
        <v>43081.541875000003</v>
      </c>
      <c r="G90" s="182">
        <v>85</v>
      </c>
      <c r="H90" s="184" t="s">
        <v>962</v>
      </c>
      <c r="I90" s="183">
        <v>43081.566481481481</v>
      </c>
      <c r="J90" s="182">
        <v>0</v>
      </c>
      <c r="K90" s="190" t="str">
        <f t="shared" si="56"/>
        <v>4029/4030</v>
      </c>
      <c r="L90" s="196" t="str">
        <f>VLOOKUP(A90,'Trips&amp;Operators'!$C$1:$G$99911,5,FALSE)</f>
        <v>BRUDER RICHARD</v>
      </c>
      <c r="M90" s="181">
        <f t="shared" si="57"/>
        <v>2.4606481478258502E-2</v>
      </c>
      <c r="N90" s="182">
        <f t="shared" si="54"/>
        <v>35.433333328692243</v>
      </c>
      <c r="O90" s="182"/>
      <c r="P90" s="182"/>
      <c r="Q90" s="185"/>
      <c r="R90" s="197"/>
      <c r="S90" s="241">
        <f t="shared" si="55"/>
        <v>1</v>
      </c>
      <c r="T90" s="220" t="str">
        <f t="shared" si="58"/>
        <v>NorthBound</v>
      </c>
      <c r="U90" s="22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1" t="str">
        <f t="shared" si="59"/>
        <v>https://d0f6bd738d7f1b3e5a7ca70fe4ff75f0.us-east-1.aws.found.io/app/kibana#/discover/Steve-Slow-Train-Analysis-(2080s-and-2083s)?_g=(refreshInterval:(display:Off,pause:!f,section:0,value:0),time:(from:'2017-12-12T11:55:11-0700',mode:absolute,to:'2017-12-12T14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222" t="str">
        <f>IF(AA90&lt;VLOOKUP(AG90,Variables!$AC$3:$AD$8,2,FALSE),"Y","N")</f>
        <v>N</v>
      </c>
      <c r="X90" s="222">
        <f t="shared" si="72"/>
        <v>1</v>
      </c>
      <c r="Y90" s="222">
        <f t="shared" si="70"/>
        <v>5.3100000000000001E-2</v>
      </c>
      <c r="Z90" s="222">
        <f t="shared" si="71"/>
        <v>23.320499999999999</v>
      </c>
      <c r="AA90" s="222">
        <f t="shared" si="60"/>
        <v>23.267399999999999</v>
      </c>
      <c r="AB90" s="231" t="e">
        <f>VLOOKUP(A90,Enforcements!$C$7:$K$9,8,0)</f>
        <v>#N/A</v>
      </c>
      <c r="AC90" s="231" t="e">
        <f>VLOOKUP(A90,Enforcements!$C$7:$E$9,3,0)</f>
        <v>#N/A</v>
      </c>
      <c r="AD90" s="232">
        <f t="shared" si="61"/>
        <v>175</v>
      </c>
      <c r="AE90" s="233" t="str">
        <f t="shared" si="62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90" s="234" t="str">
        <f t="shared" si="63"/>
        <v>"C:\Program Files (x86)\AstroGrep\AstroGrep.exe" /e /r /s /spath="%USERPROFILE%\AppData\Local\Temp\OnboardLogs" /stypes="app*4030*20171212*" /stext=" 20:.+((SYSTEM_STATE.+slice.+state.+changed )|(ment ac)|(multiple cpu faults)|(system.+state.+changed )|(\[timeout)|(PRM\|1\|D)|(kpr)|(kdp)|(train st.+moving)|(\|lc)|(penalty))"</v>
      </c>
      <c r="AG90" s="226" t="str">
        <f t="shared" si="64"/>
        <v>EC</v>
      </c>
      <c r="AH90" s="189" t="str">
        <f t="shared" si="65"/>
        <v>"%USERPROFILE%\Documents\GitHub\eaglep3\Utilities\RefineRTDCRunTimes.py" --tripid 175-12 --locoid 4030 --swversion DE.1.0.9.0 --startMP 204:531 --initTime 2017-12-12T12:55:11 --startdatetime 2017-12-12T13:00:18 --delay 85 --endMP 204:233205 --enddatetime 2017-12-12T13:35:44 --enforcementcount 0 &gt;&gt;%USERPROFILE%\Documents\GitHub\eaglep3-reporting\EC\2017-12-12-refined-times.txt</v>
      </c>
      <c r="AI90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{"issue":{"subject":"","project_id":79,"tracker_id":40,"status_id":1,"priority_id":2,"assigned_to_id":338,"start_date":"2017-12-12","description":"","custom_fields":[{"id":1,"name":"Subdivision","value":"EC"},{"id":4,"name":"Milepost","value":"23.3205"},{"id":17,"name":"Train ID","value":"175-12"},{"id":16,"name":"Locomotive ID","value":"4030"},{"id":130,"name":"Impact","value":""},{"id":150,"name":"Time of Event (Mountain Time)","value":"13:35:44"},{"id":151,"name":"Denver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180"/>
      <c r="AK90" s="188"/>
      <c r="AL90" s="188"/>
      <c r="AM90" s="193" t="str">
        <f t="shared" si="67"/>
        <v>start /low /b %USERPROFILE%\Documents\GitHub\eaglep3\Utilities\DownloadLogsFromS3.py --loco 4030 --day 2017-12-12</v>
      </c>
      <c r="AN90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87" t="str">
        <f t="shared" si="69"/>
        <v>https://d0f6bd738d7f1b3e5a7ca70fe4ff75f0.us-east-1.aws.found.io/app/kibana#/discover/Steve-Slow-Train-Analysis-(2080s-and-2083s)?_g=(refreshInterval:(display:Off,pause:!f,section:0,value:0),time:(from:'2017-12-12T11:55:11-0700',mode:absolute,to:'2017-12-12T14:35:44-0700'))&amp;_a=(columns:!('Message%20ID',Summary),filters:!(),index:'emp_*',interval:auto,query:(query_string:(analyze_wildcard:!t,query:'%22rtdc.l.rtdc.4030%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186" t="s">
        <v>799</v>
      </c>
      <c r="B91" s="182">
        <v>4029</v>
      </c>
      <c r="C91" s="184" t="s">
        <v>192</v>
      </c>
      <c r="D91" s="184" t="s">
        <v>968</v>
      </c>
      <c r="E91" s="183">
        <v>43081.578773148147</v>
      </c>
      <c r="F91" s="183">
        <v>43081.581562500003</v>
      </c>
      <c r="G91" s="182">
        <v>76</v>
      </c>
      <c r="H91" s="184" t="s">
        <v>498</v>
      </c>
      <c r="I91" s="183">
        <v>43081.60733796296</v>
      </c>
      <c r="J91" s="182">
        <v>0</v>
      </c>
      <c r="K91" s="190" t="str">
        <f t="shared" si="56"/>
        <v>4029/4030</v>
      </c>
      <c r="L91" s="196" t="str">
        <f>VLOOKUP(A91,'Trips&amp;Operators'!$C$1:$G$99911,5,FALSE)</f>
        <v>BRUDER RICHARD</v>
      </c>
      <c r="M91" s="181">
        <f t="shared" si="57"/>
        <v>2.5775462956517003E-2</v>
      </c>
      <c r="N91" s="182">
        <f t="shared" si="54"/>
        <v>37.116666657384485</v>
      </c>
      <c r="O91" s="182"/>
      <c r="P91" s="182"/>
      <c r="Q91" s="185"/>
      <c r="R91" s="197"/>
      <c r="S91" s="241">
        <f t="shared" si="55"/>
        <v>1</v>
      </c>
      <c r="T91" s="220" t="str">
        <f t="shared" si="58"/>
        <v>Southbound</v>
      </c>
      <c r="U91" s="22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21" t="str">
        <f t="shared" si="59"/>
        <v>https://d0f6bd738d7f1b3e5a7ca70fe4ff75f0.us-east-1.aws.found.io/app/kibana#/discover/Steve-Slow-Train-Analysis-(2080s-and-2083s)?_g=(refreshInterval:(display:Off,pause:!f,section:0,value:0),time:(from:'2017-12-12T12:53:26-0700',mode:absolute,to:'2017-12-12T15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1" s="222" t="str">
        <f>IF(AA91&lt;VLOOKUP(AG91,Variables!$AC$3:$AD$8,2,FALSE),"Y","N")</f>
        <v>N</v>
      </c>
      <c r="X91" s="222">
        <f t="shared" si="72"/>
        <v>1</v>
      </c>
      <c r="Y91" s="222">
        <f t="shared" si="70"/>
        <v>23.2882</v>
      </c>
      <c r="Z91" s="222">
        <f t="shared" si="71"/>
        <v>2.23E-2</v>
      </c>
      <c r="AA91" s="222">
        <f t="shared" si="60"/>
        <v>23.265899999999998</v>
      </c>
      <c r="AB91" s="231" t="e">
        <f>VLOOKUP(A91,Enforcements!$C$7:$K$9,8,0)</f>
        <v>#N/A</v>
      </c>
      <c r="AC91" s="231" t="e">
        <f>VLOOKUP(A91,Enforcements!$C$7:$E$9,3,0)</f>
        <v>#N/A</v>
      </c>
      <c r="AD91" s="232">
        <f t="shared" si="61"/>
        <v>176</v>
      </c>
      <c r="AE91" s="233" t="str">
        <f t="shared" si="62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91" s="234" t="str">
        <f t="shared" si="63"/>
        <v>"C:\Program Files (x86)\AstroGrep\AstroGrep.exe" /e /r /s /spath="%USERPROFILE%\AppData\Local\Temp\OnboardLogs" /stypes="app*4029*20171212*" /stext=" 21:.+((SYSTEM_STATE.+slice.+state.+changed )|(ment ac)|(multiple cpu faults)|(system.+state.+changed )|(\[timeout)|(PRM\|1\|D)|(kpr)|(kdp)|(train st.+moving)|(\|lc)|(penalty))"</v>
      </c>
      <c r="AG91" s="226" t="str">
        <f t="shared" si="64"/>
        <v>EC</v>
      </c>
      <c r="AH91" s="189" t="str">
        <f t="shared" si="65"/>
        <v>"%USERPROFILE%\Documents\GitHub\eaglep3\Utilities\RefineRTDCRunTimes.py" --tripid 176-12 --locoid 4029 --swversion DE.1.0.9.0 --startMP 204:232882 --initTime 2017-12-12T13:53:26 --startdatetime 2017-12-12T13:57:27 --delay 76 --endMP 204:223 --enddatetime 2017-12-12T14:34:34 --enforcementcount 0 &gt;&gt;%USERPROFILE%\Documents\GitHub\eaglep3-reporting\EC\2017-12-12-refined-times.txt</v>
      </c>
      <c r="AI91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{"issue":{"subject":"","project_id":79,"tracker_id":40,"status_id":1,"priority_id":2,"assigned_to_id":338,"start_date":"2017-12-12","description":"","custom_fields":[{"id":1,"name":"Subdivision","value":"EC"},{"id":4,"name":"Milepost","value":"0.0223"},{"id":17,"name":"Train ID","value":"176-12"},{"id":16,"name":"Locomotive ID","value":"4029"},{"id":130,"name":"Impact","value":""},{"id":150,"name":"Time of Event (Mountain Time)","value":"14:34:34"},{"id":151,"name":"Denver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180"/>
      <c r="AK91" s="188"/>
      <c r="AL91" s="188"/>
      <c r="AM91" s="193" t="str">
        <f t="shared" si="67"/>
        <v>start /low /b %USERPROFILE%\Documents\GitHub\eaglep3\Utilities\DownloadLogsFromS3.py --loco 4029 --day 2017-12-12</v>
      </c>
      <c r="AN91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87" t="str">
        <f t="shared" si="69"/>
        <v>https://d0f6bd738d7f1b3e5a7ca70fe4ff75f0.us-east-1.aws.found.io/app/kibana#/discover/Steve-Slow-Train-Analysis-(2080s-and-2083s)?_g=(refreshInterval:(display:Off,pause:!f,section:0,value:0),time:(from:'2017-12-12T12:53:26-0700',mode:absolute,to:'2017-12-12T15:34:34-0700'))&amp;_a=(columns:!('Message%20ID',Summary),filters:!(),index:'emp_*',interval:auto,query:(query_string:(analyze_wildcard:!t,query:'%22rtdc.l.rtdc.4029%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186" t="s">
        <v>792</v>
      </c>
      <c r="B92" s="182">
        <v>4016</v>
      </c>
      <c r="C92" s="184" t="s">
        <v>192</v>
      </c>
      <c r="D92" s="184" t="s">
        <v>459</v>
      </c>
      <c r="E92" s="183">
        <v>43081.546944444446</v>
      </c>
      <c r="F92" s="183">
        <v>43081.55232638889</v>
      </c>
      <c r="G92" s="182">
        <v>70</v>
      </c>
      <c r="H92" s="184" t="s">
        <v>969</v>
      </c>
      <c r="I92" s="183">
        <v>43081.577245370368</v>
      </c>
      <c r="J92" s="182">
        <v>0</v>
      </c>
      <c r="K92" s="190" t="str">
        <f t="shared" si="56"/>
        <v>4015/4016</v>
      </c>
      <c r="L92" s="196" t="str">
        <f>VLOOKUP(A92,'Trips&amp;Operators'!$C$1:$G$99911,5,FALSE)</f>
        <v>MOSES BRADLEY</v>
      </c>
      <c r="M92" s="181">
        <f t="shared" si="57"/>
        <v>2.491898147854954E-2</v>
      </c>
      <c r="N92" s="182">
        <f t="shared" si="54"/>
        <v>35.883333329111338</v>
      </c>
      <c r="O92" s="182"/>
      <c r="P92" s="182"/>
      <c r="Q92" s="185"/>
      <c r="R92" s="197"/>
      <c r="S92" s="241">
        <f t="shared" si="55"/>
        <v>1</v>
      </c>
      <c r="T92" s="220" t="str">
        <f t="shared" si="58"/>
        <v>NorthBound</v>
      </c>
      <c r="U92" s="22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21" t="str">
        <f t="shared" si="59"/>
        <v>https://d0f6bd738d7f1b3e5a7ca70fe4ff75f0.us-east-1.aws.found.io/app/kibana#/discover/Steve-Slow-Train-Analysis-(2080s-and-2083s)?_g=(refreshInterval:(display:Off,pause:!f,section:0,value:0),time:(from:'2017-12-12T12:07:36-0700',mode:absolute,to:'2017-12-12T14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222" t="str">
        <f>IF(AA92&lt;VLOOKUP(AG92,Variables!$AC$3:$AD$8,2,FALSE),"Y","N")</f>
        <v>N</v>
      </c>
      <c r="X92" s="222">
        <f t="shared" si="72"/>
        <v>1</v>
      </c>
      <c r="Y92" s="222">
        <f t="shared" si="70"/>
        <v>5.0599999999999999E-2</v>
      </c>
      <c r="Z92" s="222">
        <f t="shared" si="71"/>
        <v>23.323799999999999</v>
      </c>
      <c r="AA92" s="222">
        <f t="shared" si="60"/>
        <v>23.273199999999999</v>
      </c>
      <c r="AB92" s="231" t="e">
        <f>VLOOKUP(A92,Enforcements!$C$7:$K$9,8,0)</f>
        <v>#N/A</v>
      </c>
      <c r="AC92" s="231" t="e">
        <f>VLOOKUP(A92,Enforcements!$C$7:$E$9,3,0)</f>
        <v>#N/A</v>
      </c>
      <c r="AD92" s="232">
        <f t="shared" si="61"/>
        <v>177</v>
      </c>
      <c r="AE92" s="233" t="str">
        <f t="shared" si="62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92" s="234" t="str">
        <f t="shared" si="63"/>
        <v>"C:\Program Files (x86)\AstroGrep\AstroGrep.exe" /e /r /s /spath="%USERPROFILE%\AppData\Local\Temp\OnboardLogs" /stypes="app*4016*20171212*" /stext=" 20:.+((SYSTEM_STATE.+slice.+state.+changed )|(ment ac)|(multiple cpu faults)|(system.+state.+changed )|(\[timeout)|(PRM\|1\|D)|(kpr)|(kdp)|(train st.+moving)|(\|lc)|(penalty))"</v>
      </c>
      <c r="AG92" s="226" t="str">
        <f t="shared" si="64"/>
        <v>EC</v>
      </c>
      <c r="AH92" s="189" t="str">
        <f t="shared" si="65"/>
        <v>"%USERPROFILE%\Documents\GitHub\eaglep3\Utilities\RefineRTDCRunTimes.py" --tripid 177-12 --locoid 4016 --swversion DE.1.0.9.0 --startMP 204:506 --initTime 2017-12-12T13:07:36 --startdatetime 2017-12-12T13:15:21 --delay 70 --endMP 204:233238 --enddatetime 2017-12-12T13:51:14 --enforcementcount 0 &gt;&gt;%USERPROFILE%\Documents\GitHub\eaglep3-reporting\EC\2017-12-12-refined-times.txt</v>
      </c>
      <c r="AI92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{"issue":{"subject":"","project_id":79,"tracker_id":40,"status_id":1,"priority_id":2,"assigned_to_id":338,"start_date":"2017-12-12","description":"","custom_fields":[{"id":1,"name":"Subdivision","value":"EC"},{"id":4,"name":"Milepost","value":"23.3238"},{"id":17,"name":"Train ID","value":"177-12"},{"id":16,"name":"Locomotive ID","value":"4016"},{"id":130,"name":"Impact","value":""},{"id":150,"name":"Time of Event (Mountain Time)","value":"13:51:14"},{"id":151,"name":"Denver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180"/>
      <c r="AK92" s="188"/>
      <c r="AL92" s="188"/>
      <c r="AM92" s="193" t="str">
        <f t="shared" si="67"/>
        <v>start /low /b %USERPROFILE%\Documents\GitHub\eaglep3\Utilities\DownloadLogsFromS3.py --loco 4016 --day 2017-12-12</v>
      </c>
      <c r="AN92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87" t="str">
        <f t="shared" si="69"/>
        <v>https://d0f6bd738d7f1b3e5a7ca70fe4ff75f0.us-east-1.aws.found.io/app/kibana#/discover/Steve-Slow-Train-Analysis-(2080s-and-2083s)?_g=(refreshInterval:(display:Off,pause:!f,section:0,value:0),time:(from:'2017-12-12T12:07:36-0700',mode:absolute,to:'2017-12-12T14:51:14-0700'))&amp;_a=(columns:!('Message%20ID',Summary),filters:!(),index:'emp_*',interval:auto,query:(query_string:(analyze_wildcard:!t,query:'%22rtdc.l.rtdc.4016%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186" t="s">
        <v>801</v>
      </c>
      <c r="B93" s="182">
        <v>4015</v>
      </c>
      <c r="C93" s="184" t="s">
        <v>192</v>
      </c>
      <c r="D93" s="184" t="s">
        <v>587</v>
      </c>
      <c r="E93" s="183">
        <v>43081.589178240742</v>
      </c>
      <c r="F93" s="183">
        <v>43081.591979166667</v>
      </c>
      <c r="G93" s="182">
        <v>56</v>
      </c>
      <c r="H93" s="184" t="s">
        <v>585</v>
      </c>
      <c r="I93" s="183">
        <v>43081.618159722224</v>
      </c>
      <c r="J93" s="182">
        <v>0</v>
      </c>
      <c r="K93" s="190" t="str">
        <f t="shared" si="56"/>
        <v>4015/4016</v>
      </c>
      <c r="L93" s="196" t="str">
        <f>VLOOKUP(A93,'Trips&amp;Operators'!$C$1:$G$99911,5,FALSE)</f>
        <v>MOSES BRADLEY</v>
      </c>
      <c r="M93" s="181">
        <f t="shared" si="57"/>
        <v>2.6180555556493346E-2</v>
      </c>
      <c r="N93" s="182">
        <f t="shared" si="54"/>
        <v>37.700000001350418</v>
      </c>
      <c r="O93" s="182"/>
      <c r="P93" s="182"/>
      <c r="Q93" s="185"/>
      <c r="R93" s="197"/>
      <c r="S93" s="241">
        <f t="shared" si="55"/>
        <v>1</v>
      </c>
      <c r="T93" s="220" t="str">
        <f t="shared" si="58"/>
        <v>Southbound</v>
      </c>
      <c r="U93" s="22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1" t="str">
        <f t="shared" si="59"/>
        <v>https://d0f6bd738d7f1b3e5a7ca70fe4ff75f0.us-east-1.aws.found.io/app/kibana#/discover/Steve-Slow-Train-Analysis-(2080s-and-2083s)?_g=(refreshInterval:(display:Off,pause:!f,section:0,value:0),time:(from:'2017-12-12T13:08:25-0700',mode:absolute,to:'2017-12-12T15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222" t="str">
        <f>IF(AA93&lt;VLOOKUP(AG93,Variables!$AC$3:$AD$8,2,FALSE),"Y","N")</f>
        <v>N</v>
      </c>
      <c r="X93" s="222">
        <f t="shared" si="72"/>
        <v>1</v>
      </c>
      <c r="Y93" s="222">
        <f t="shared" si="70"/>
        <v>23.2926</v>
      </c>
      <c r="Z93" s="222">
        <f t="shared" si="71"/>
        <v>1.89E-2</v>
      </c>
      <c r="AA93" s="222">
        <f t="shared" si="60"/>
        <v>23.273700000000002</v>
      </c>
      <c r="AB93" s="231" t="e">
        <f>VLOOKUP(A93,Enforcements!$C$7:$K$9,8,0)</f>
        <v>#N/A</v>
      </c>
      <c r="AC93" s="231" t="e">
        <f>VLOOKUP(A93,Enforcements!$C$7:$E$9,3,0)</f>
        <v>#N/A</v>
      </c>
      <c r="AD93" s="232">
        <f t="shared" si="61"/>
        <v>178</v>
      </c>
      <c r="AE93" s="233" t="str">
        <f t="shared" si="62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93" s="234" t="str">
        <f t="shared" si="63"/>
        <v>"C:\Program Files (x86)\AstroGrep\AstroGrep.exe" /e /r /s /spath="%USERPROFILE%\AppData\Local\Temp\OnboardLogs" /stypes="app*4015*20171212*" /stext=" 21:.+((SYSTEM_STATE.+slice.+state.+changed )|(ment ac)|(multiple cpu faults)|(system.+state.+changed )|(\[timeout)|(PRM\|1\|D)|(kpr)|(kdp)|(train st.+moving)|(\|lc)|(penalty))"</v>
      </c>
      <c r="AG93" s="226" t="str">
        <f t="shared" si="64"/>
        <v>EC</v>
      </c>
      <c r="AH93" s="189" t="str">
        <f t="shared" si="65"/>
        <v>"%USERPROFILE%\Documents\GitHub\eaglep3\Utilities\RefineRTDCRunTimes.py" --tripid 178-12 --locoid 4015 --swversion DE.1.0.9.0 --startMP 204:232926 --initTime 2017-12-12T14:08:25 --startdatetime 2017-12-12T14:12:27 --delay 56 --endMP 204:189 --enddatetime 2017-12-12T14:50:09 --enforcementcount 0 &gt;&gt;%USERPROFILE%\Documents\GitHub\eaglep3-reporting\EC\2017-12-12-refined-times.txt</v>
      </c>
      <c r="AI93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{"issue":{"subject":"","project_id":79,"tracker_id":40,"status_id":1,"priority_id":2,"assigned_to_id":338,"start_date":"2017-12-12","description":"","custom_fields":[{"id":1,"name":"Subdivision","value":"EC"},{"id":4,"name":"Milepost","value":"0.0189"},{"id":17,"name":"Train ID","value":"178-12"},{"id":16,"name":"Locomotive ID","value":"4015"},{"id":130,"name":"Impact","value":""},{"id":150,"name":"Time of Event (Mountain Time)","value":"14:50:09"},{"id":151,"name":"Denver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180"/>
      <c r="AK93" s="188"/>
      <c r="AL93" s="188"/>
      <c r="AM93" s="193" t="str">
        <f t="shared" si="67"/>
        <v>start /low /b %USERPROFILE%\Documents\GitHub\eaglep3\Utilities\DownloadLogsFromS3.py --loco 4015 --day 2017-12-12</v>
      </c>
      <c r="AN93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87" t="str">
        <f t="shared" si="69"/>
        <v>https://d0f6bd738d7f1b3e5a7ca70fe4ff75f0.us-east-1.aws.found.io/app/kibana#/discover/Steve-Slow-Train-Analysis-(2080s-and-2083s)?_g=(refreshInterval:(display:Off,pause:!f,section:0,value:0),time:(from:'2017-12-12T13:08:25-0700',mode:absolute,to:'2017-12-12T15:50:09-0700'))&amp;_a=(columns:!('Message%20ID',Summary),filters:!(),index:'emp_*',interval:auto,query:(query_string:(analyze_wildcard:!t,query:'%22rtdc.l.rtdc.4015%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186" t="s">
        <v>795</v>
      </c>
      <c r="B94" s="182">
        <v>4058</v>
      </c>
      <c r="C94" s="184" t="s">
        <v>192</v>
      </c>
      <c r="D94" s="184" t="s">
        <v>457</v>
      </c>
      <c r="E94" s="183">
        <v>43081.561574074076</v>
      </c>
      <c r="F94" s="183">
        <v>43081.56287037037</v>
      </c>
      <c r="G94" s="182">
        <v>56</v>
      </c>
      <c r="H94" s="184" t="s">
        <v>619</v>
      </c>
      <c r="I94" s="183">
        <v>43081.58699074074</v>
      </c>
      <c r="J94" s="182">
        <v>0</v>
      </c>
      <c r="K94" s="190" t="str">
        <f t="shared" si="56"/>
        <v>4057/4058</v>
      </c>
      <c r="L94" s="196" t="str">
        <f>VLOOKUP(A94,'Trips&amp;Operators'!$C$1:$G$99911,5,FALSE)</f>
        <v>LEVIN SCOTT</v>
      </c>
      <c r="M94" s="181">
        <f t="shared" si="57"/>
        <v>2.4120370369928423E-2</v>
      </c>
      <c r="N94" s="182">
        <f t="shared" si="54"/>
        <v>34.73333333269693</v>
      </c>
      <c r="O94" s="182"/>
      <c r="P94" s="182"/>
      <c r="Q94" s="185"/>
      <c r="R94" s="197"/>
      <c r="S94" s="241">
        <f t="shared" si="55"/>
        <v>1</v>
      </c>
      <c r="T94" s="220" t="str">
        <f t="shared" si="58"/>
        <v>NorthBound</v>
      </c>
      <c r="U94" s="22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1" t="str">
        <f t="shared" si="59"/>
        <v>https://d0f6bd738d7f1b3e5a7ca70fe4ff75f0.us-east-1.aws.found.io/app/kibana#/discover/Steve-Slow-Train-Analysis-(2080s-and-2083s)?_g=(refreshInterval:(display:Off,pause:!f,section:0,value:0),time:(from:'2017-12-12T12:28:40-0700',mode:absolute,to:'2017-12-12T15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4" s="222" t="str">
        <f>IF(AA94&lt;VLOOKUP(AG94,Variables!$AC$3:$AD$8,2,FALSE),"Y","N")</f>
        <v>N</v>
      </c>
      <c r="X94" s="222">
        <f t="shared" si="72"/>
        <v>1</v>
      </c>
      <c r="Y94" s="222">
        <f t="shared" si="70"/>
        <v>4.5699999999999998E-2</v>
      </c>
      <c r="Z94" s="222">
        <f t="shared" si="71"/>
        <v>23.329899999999999</v>
      </c>
      <c r="AA94" s="222">
        <f t="shared" si="60"/>
        <v>23.284199999999998</v>
      </c>
      <c r="AB94" s="231" t="e">
        <f>VLOOKUP(A94,Enforcements!$C$7:$K$9,8,0)</f>
        <v>#N/A</v>
      </c>
      <c r="AC94" s="231" t="e">
        <f>VLOOKUP(A94,Enforcements!$C$7:$E$9,3,0)</f>
        <v>#N/A</v>
      </c>
      <c r="AD94" s="232">
        <f t="shared" si="61"/>
        <v>179</v>
      </c>
      <c r="AE94" s="233" t="str">
        <f t="shared" si="62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94" s="234" t="str">
        <f t="shared" si="63"/>
        <v>"C:\Program Files (x86)\AstroGrep\AstroGrep.exe" /e /r /s /spath="%USERPROFILE%\AppData\Local\Temp\OnboardLogs" /stypes="app*4058*20171212*" /stext=" 21:.+((SYSTEM_STATE.+slice.+state.+changed )|(ment ac)|(multiple cpu faults)|(system.+state.+changed )|(\[timeout)|(PRM\|1\|D)|(kpr)|(kdp)|(train st.+moving)|(\|lc)|(penalty))"</v>
      </c>
      <c r="AG94" s="226" t="str">
        <f t="shared" si="64"/>
        <v>EC</v>
      </c>
      <c r="AH94" s="189" t="str">
        <f t="shared" si="65"/>
        <v>"%USERPROFILE%\Documents\GitHub\eaglep3\Utilities\RefineRTDCRunTimes.py" --tripid 179-12 --locoid 4058 --swversion DE.1.0.9.0 --startMP 204:457 --initTime 2017-12-12T13:28:40 --startdatetime 2017-12-12T13:30:32 --delay 56 --endMP 204:233299 --enddatetime 2017-12-12T14:05:16 --enforcementcount 0 &gt;&gt;%USERPROFILE%\Documents\GitHub\eaglep3-reporting\EC\2017-12-12-refined-times.txt</v>
      </c>
      <c r="AI94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{"issue":{"subject":"","project_id":79,"tracker_id":40,"status_id":1,"priority_id":2,"assigned_to_id":338,"start_date":"2017-12-12","description":"","custom_fields":[{"id":1,"name":"Subdivision","value":"EC"},{"id":4,"name":"Milepost","value":"23.3299"},{"id":17,"name":"Train ID","value":"179-12"},{"id":16,"name":"Locomotive ID","value":"4058"},{"id":130,"name":"Impact","value":""},{"id":150,"name":"Time of Event (Mountain Time)","value":"14:05:16"},{"id":151,"name":"Denver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180"/>
      <c r="AK94" s="188"/>
      <c r="AL94" s="188"/>
      <c r="AM94" s="193" t="str">
        <f t="shared" si="67"/>
        <v>start /low /b %USERPROFILE%\Documents\GitHub\eaglep3\Utilities\DownloadLogsFromS3.py --loco 4058 --day 2017-12-12</v>
      </c>
      <c r="AN94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87" t="str">
        <f t="shared" si="69"/>
        <v>https://d0f6bd738d7f1b3e5a7ca70fe4ff75f0.us-east-1.aws.found.io/app/kibana#/discover/Steve-Slow-Train-Analysis-(2080s-and-2083s)?_g=(refreshInterval:(display:Off,pause:!f,section:0,value:0),time:(from:'2017-12-12T12:28:40-0700',mode:absolute,to:'2017-12-12T15:05:16-0700'))&amp;_a=(columns:!('Message%20ID',Summary),filters:!(),index:'emp_*',interval:auto,query:(query_string:(analyze_wildcard:!t,query:'%22rtdc.l.rtdc.4058%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186" t="s">
        <v>803</v>
      </c>
      <c r="B95" s="182">
        <v>4057</v>
      </c>
      <c r="C95" s="184" t="s">
        <v>192</v>
      </c>
      <c r="D95" s="184" t="s">
        <v>624</v>
      </c>
      <c r="E95" s="183">
        <v>43081.593171296299</v>
      </c>
      <c r="F95" s="183">
        <v>43081.602280092593</v>
      </c>
      <c r="G95" s="182">
        <v>53</v>
      </c>
      <c r="H95" s="184" t="s">
        <v>970</v>
      </c>
      <c r="I95" s="183">
        <v>43081.628171296295</v>
      </c>
      <c r="J95" s="182">
        <v>0</v>
      </c>
      <c r="K95" s="190" t="str">
        <f t="shared" si="56"/>
        <v>4057/4058</v>
      </c>
      <c r="L95" s="196" t="str">
        <f>VLOOKUP(A95,'Trips&amp;Operators'!$C$1:$G$99911,5,FALSE)</f>
        <v>LEVIN SCOTT</v>
      </c>
      <c r="M95" s="181">
        <f t="shared" si="57"/>
        <v>2.5891203702485655E-2</v>
      </c>
      <c r="N95" s="182">
        <f t="shared" si="54"/>
        <v>37.283333331579342</v>
      </c>
      <c r="O95" s="182"/>
      <c r="P95" s="182"/>
      <c r="Q95" s="185"/>
      <c r="R95" s="197"/>
      <c r="S95" s="241">
        <f t="shared" si="55"/>
        <v>1</v>
      </c>
      <c r="T95" s="220" t="str">
        <f t="shared" si="58"/>
        <v>Southbound</v>
      </c>
      <c r="U95" s="22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1" t="str">
        <f t="shared" si="59"/>
        <v>https://d0f6bd738d7f1b3e5a7ca70fe4ff75f0.us-east-1.aws.found.io/app/kibana#/discover/Steve-Slow-Train-Analysis-(2080s-and-2083s)?_g=(refreshInterval:(display:Off,pause:!f,section:0,value:0),time:(from:'2017-12-12T13:14:10-0700',mode:absolute,to:'2017-12-12T16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5" s="222" t="str">
        <f>IF(AA95&lt;VLOOKUP(AG95,Variables!$AC$3:$AD$8,2,FALSE),"Y","N")</f>
        <v>N</v>
      </c>
      <c r="X95" s="222">
        <f t="shared" si="72"/>
        <v>1</v>
      </c>
      <c r="Y95" s="222">
        <f t="shared" si="70"/>
        <v>23.2971</v>
      </c>
      <c r="Z95" s="222">
        <f t="shared" si="71"/>
        <v>1.2699999999999999E-2</v>
      </c>
      <c r="AA95" s="222">
        <f t="shared" si="60"/>
        <v>23.284400000000002</v>
      </c>
      <c r="AB95" s="231" t="e">
        <f>VLOOKUP(A95,Enforcements!$C$7:$K$9,8,0)</f>
        <v>#N/A</v>
      </c>
      <c r="AC95" s="231" t="e">
        <f>VLOOKUP(A95,Enforcements!$C$7:$E$9,3,0)</f>
        <v>#N/A</v>
      </c>
      <c r="AD95" s="232">
        <f t="shared" si="61"/>
        <v>180</v>
      </c>
      <c r="AE95" s="233" t="str">
        <f t="shared" si="62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95" s="234" t="str">
        <f t="shared" si="63"/>
        <v>"C:\Program Files (x86)\AstroGrep\AstroGrep.exe" /e /r /s /spath="%USERPROFILE%\AppData\Local\Temp\OnboardLogs" /stypes="app*4057*20171212*" /stext=" 22:.+((SYSTEM_STATE.+slice.+state.+changed )|(ment ac)|(multiple cpu faults)|(system.+state.+changed )|(\[timeout)|(PRM\|1\|D)|(kpr)|(kdp)|(train st.+moving)|(\|lc)|(penalty))"</v>
      </c>
      <c r="AG95" s="226" t="str">
        <f t="shared" si="64"/>
        <v>EC</v>
      </c>
      <c r="AH95" s="189" t="str">
        <f t="shared" si="65"/>
        <v>"%USERPROFILE%\Documents\GitHub\eaglep3\Utilities\RefineRTDCRunTimes.py" --tripid 180-12 --locoid 4057 --swversion DE.1.0.9.0 --startMP 204:232971 --initTime 2017-12-12T14:14:10 --startdatetime 2017-12-12T14:27:17 --delay 53 --endMP 204:127 --enddatetime 2017-12-12T15:04:34 --enforcementcount 0 &gt;&gt;%USERPROFILE%\Documents\GitHub\eaglep3-reporting\EC\2017-12-12-refined-times.txt</v>
      </c>
      <c r="AI95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{"issue":{"subject":"","project_id":79,"tracker_id":40,"status_id":1,"priority_id":2,"assigned_to_id":338,"start_date":"2017-12-12","description":"","custom_fields":[{"id":1,"name":"Subdivision","value":"EC"},{"id":4,"name":"Milepost","value":"0.0127"},{"id":17,"name":"Train ID","value":"180-12"},{"id":16,"name":"Locomotive ID","value":"4057"},{"id":130,"name":"Impact","value":""},{"id":150,"name":"Time of Event (Mountain Time)","value":"15:04:34"},{"id":151,"name":"Denver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180"/>
      <c r="AK95" s="188"/>
      <c r="AL95" s="188"/>
      <c r="AM95" s="193" t="str">
        <f t="shared" si="67"/>
        <v>start /low /b %USERPROFILE%\Documents\GitHub\eaglep3\Utilities\DownloadLogsFromS3.py --loco 4057 --day 2017-12-12</v>
      </c>
      <c r="AN95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87" t="str">
        <f t="shared" si="69"/>
        <v>https://d0f6bd738d7f1b3e5a7ca70fe4ff75f0.us-east-1.aws.found.io/app/kibana#/discover/Steve-Slow-Train-Analysis-(2080s-and-2083s)?_g=(refreshInterval:(display:Off,pause:!f,section:0,value:0),time:(from:'2017-12-12T13:14:10-0700',mode:absolute,to:'2017-12-12T16:04:34-0700'))&amp;_a=(columns:!('Message%20ID',Summary),filters:!(),index:'emp_*',interval:auto,query:(query_string:(analyze_wildcard:!t,query:'%22rtdc.l.rtdc.4057%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186" t="s">
        <v>797</v>
      </c>
      <c r="B96" s="182">
        <v>4006</v>
      </c>
      <c r="C96" s="184" t="s">
        <v>192</v>
      </c>
      <c r="D96" s="184" t="s">
        <v>924</v>
      </c>
      <c r="E96" s="183">
        <v>43081.570011574076</v>
      </c>
      <c r="F96" s="183">
        <v>43081.573229166665</v>
      </c>
      <c r="G96" s="182">
        <v>59</v>
      </c>
      <c r="H96" s="184" t="s">
        <v>644</v>
      </c>
      <c r="I96" s="183">
        <v>43081.598402777781</v>
      </c>
      <c r="J96" s="182">
        <v>0</v>
      </c>
      <c r="K96" s="190" t="str">
        <f t="shared" si="56"/>
        <v>4005/4006</v>
      </c>
      <c r="L96" s="196" t="str">
        <f>VLOOKUP(A96,'Trips&amp;Operators'!$C$1:$G$99911,5,FALSE)</f>
        <v>LONG FULLER</v>
      </c>
      <c r="M96" s="181">
        <f t="shared" si="57"/>
        <v>2.5173611116770189E-2</v>
      </c>
      <c r="N96" s="182">
        <f t="shared" si="54"/>
        <v>36.250000008149073</v>
      </c>
      <c r="O96" s="182"/>
      <c r="P96" s="182"/>
      <c r="Q96" s="185"/>
      <c r="R96" s="197"/>
      <c r="S96" s="241">
        <f t="shared" si="55"/>
        <v>1</v>
      </c>
      <c r="T96" s="220" t="str">
        <f t="shared" si="58"/>
        <v>NorthBound</v>
      </c>
      <c r="U96" s="22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1" t="str">
        <f t="shared" si="59"/>
        <v>https://d0f6bd738d7f1b3e5a7ca70fe4ff75f0.us-east-1.aws.found.io/app/kibana#/discover/Steve-Slow-Train-Analysis-(2080s-and-2083s)?_g=(refreshInterval:(display:Off,pause:!f,section:0,value:0),time:(from:'2017-12-12T12:40:49-0700',mode:absolute,to:'2017-12-12T15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6" s="222" t="str">
        <f>IF(AA96&lt;VLOOKUP(AG96,Variables!$AC$3:$AD$8,2,FALSE),"Y","N")</f>
        <v>N</v>
      </c>
      <c r="X96" s="222">
        <f t="shared" si="72"/>
        <v>1</v>
      </c>
      <c r="Y96" s="222">
        <f t="shared" si="70"/>
        <v>5.3900000000000003E-2</v>
      </c>
      <c r="Z96" s="222">
        <f t="shared" si="71"/>
        <v>23.321899999999999</v>
      </c>
      <c r="AA96" s="222">
        <f t="shared" si="60"/>
        <v>23.268000000000001</v>
      </c>
      <c r="AB96" s="231" t="e">
        <f>VLOOKUP(A96,Enforcements!$C$7:$K$9,8,0)</f>
        <v>#N/A</v>
      </c>
      <c r="AC96" s="231" t="e">
        <f>VLOOKUP(A96,Enforcements!$C$7:$E$9,3,0)</f>
        <v>#N/A</v>
      </c>
      <c r="AD96" s="232">
        <f t="shared" si="61"/>
        <v>181</v>
      </c>
      <c r="AE96" s="233" t="str">
        <f t="shared" si="62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96" s="234" t="str">
        <f t="shared" si="63"/>
        <v>"C:\Program Files (x86)\AstroGrep\AstroGrep.exe" /e /r /s /spath="%USERPROFILE%\AppData\Local\Temp\OnboardLogs" /stypes="app*4006*20171212*" /stext=" 21:.+((SYSTEM_STATE.+slice.+state.+changed )|(ment ac)|(multiple cpu faults)|(system.+state.+changed )|(\[timeout)|(PRM\|1\|D)|(kpr)|(kdp)|(train st.+moving)|(\|lc)|(penalty))"</v>
      </c>
      <c r="AG96" s="226" t="str">
        <f t="shared" si="64"/>
        <v>EC</v>
      </c>
      <c r="AH96" s="189" t="str">
        <f t="shared" si="65"/>
        <v>"%USERPROFILE%\Documents\GitHub\eaglep3\Utilities\RefineRTDCRunTimes.py" --tripid 181-12 --locoid 4006 --swversion DE.1.0.9.0 --startMP 204:539 --initTime 2017-12-12T13:40:49 --startdatetime 2017-12-12T13:45:27 --delay 59 --endMP 204:233219 --enddatetime 2017-12-12T14:21:42 --enforcementcount 0 &gt;&gt;%USERPROFILE%\Documents\GitHub\eaglep3-reporting\EC\2017-12-12-refined-times.txt</v>
      </c>
      <c r="AI96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{"issue":{"subject":"","project_id":79,"tracker_id":40,"status_id":1,"priority_id":2,"assigned_to_id":338,"start_date":"2017-12-12","description":"","custom_fields":[{"id":1,"name":"Subdivision","value":"EC"},{"id":4,"name":"Milepost","value":"23.3219"},{"id":17,"name":"Train ID","value":"181-12"},{"id":16,"name":"Locomotive ID","value":"4006"},{"id":130,"name":"Impact","value":""},{"id":150,"name":"Time of Event (Mountain Time)","value":"14:21:42"},{"id":151,"name":"Denver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180"/>
      <c r="AK96" s="188"/>
      <c r="AL96" s="188"/>
      <c r="AM96" s="193" t="str">
        <f t="shared" si="67"/>
        <v>start /low /b %USERPROFILE%\Documents\GitHub\eaglep3\Utilities\DownloadLogsFromS3.py --loco 4006 --day 2017-12-12</v>
      </c>
      <c r="AN96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87" t="str">
        <f t="shared" si="69"/>
        <v>https://d0f6bd738d7f1b3e5a7ca70fe4ff75f0.us-east-1.aws.found.io/app/kibana#/discover/Steve-Slow-Train-Analysis-(2080s-and-2083s)?_g=(refreshInterval:(display:Off,pause:!f,section:0,value:0),time:(from:'2017-12-12T12:40:49-0700',mode:absolute,to:'2017-12-12T15:21:42-0700'))&amp;_a=(columns:!('Message%20ID',Summary),filters:!(),index:'emp_*',interval:auto,query:(query_string:(analyze_wildcard:!t,query:'%22rtdc.l.rtdc.4006%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186" t="s">
        <v>806</v>
      </c>
      <c r="B97" s="182">
        <v>4005</v>
      </c>
      <c r="C97" s="184" t="s">
        <v>192</v>
      </c>
      <c r="D97" s="184" t="s">
        <v>557</v>
      </c>
      <c r="E97" s="183">
        <v>43081.607708333337</v>
      </c>
      <c r="F97" s="183">
        <v>43081.612662037034</v>
      </c>
      <c r="G97" s="182">
        <v>88</v>
      </c>
      <c r="H97" s="184" t="s">
        <v>971</v>
      </c>
      <c r="I97" s="183">
        <v>43081.640868055554</v>
      </c>
      <c r="J97" s="182">
        <v>0</v>
      </c>
      <c r="K97" s="190" t="str">
        <f t="shared" si="56"/>
        <v>4005/4006</v>
      </c>
      <c r="L97" s="196" t="str">
        <f>VLOOKUP(A97,'Trips&amp;Operators'!$C$1:$G$99911,5,FALSE)</f>
        <v>LONG FULLER</v>
      </c>
      <c r="M97" s="181">
        <f t="shared" si="57"/>
        <v>2.8206018519995268E-2</v>
      </c>
      <c r="N97" s="182">
        <f t="shared" si="54"/>
        <v>40.616666668793187</v>
      </c>
      <c r="O97" s="182"/>
      <c r="P97" s="182"/>
      <c r="Q97" s="185"/>
      <c r="R97" s="197"/>
      <c r="S97" s="241">
        <f t="shared" si="55"/>
        <v>1</v>
      </c>
      <c r="T97" s="220" t="str">
        <f t="shared" si="58"/>
        <v>Southbound</v>
      </c>
      <c r="U97" s="22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1" t="str">
        <f t="shared" si="59"/>
        <v>https://d0f6bd738d7f1b3e5a7ca70fe4ff75f0.us-east-1.aws.found.io/app/kibana#/discover/Steve-Slow-Train-Analysis-(2080s-and-2083s)?_g=(refreshInterval:(display:Off,pause:!f,section:0,value:0),time:(from:'2017-12-12T13:35:06-0700',mode:absolute,to:'2017-12-12T16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7" s="222" t="str">
        <f>IF(AA97&lt;VLOOKUP(AG97,Variables!$AC$3:$AD$8,2,FALSE),"Y","N")</f>
        <v>N</v>
      </c>
      <c r="X97" s="222">
        <f t="shared" si="72"/>
        <v>1</v>
      </c>
      <c r="Y97" s="222">
        <f t="shared" si="70"/>
        <v>23.290400000000002</v>
      </c>
      <c r="Z97" s="222">
        <f t="shared" si="71"/>
        <v>2.3800000000000002E-2</v>
      </c>
      <c r="AA97" s="222">
        <f t="shared" si="60"/>
        <v>23.2666</v>
      </c>
      <c r="AB97" s="231" t="e">
        <f>VLOOKUP(A97,Enforcements!$C$7:$K$9,8,0)</f>
        <v>#N/A</v>
      </c>
      <c r="AC97" s="231" t="e">
        <f>VLOOKUP(A97,Enforcements!$C$7:$E$9,3,0)</f>
        <v>#N/A</v>
      </c>
      <c r="AD97" s="232">
        <f t="shared" si="61"/>
        <v>182</v>
      </c>
      <c r="AE97" s="233" t="str">
        <f t="shared" si="62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97" s="234" t="str">
        <f t="shared" si="63"/>
        <v>"C:\Program Files (x86)\AstroGrep\AstroGrep.exe" /e /r /s /spath="%USERPROFILE%\AppData\Local\Temp\OnboardLogs" /stypes="app*4005*20171212*" /stext=" 22:.+((SYSTEM_STATE.+slice.+state.+changed )|(ment ac)|(multiple cpu faults)|(system.+state.+changed )|(\[timeout)|(PRM\|1\|D)|(kpr)|(kdp)|(train st.+moving)|(\|lc)|(penalty))"</v>
      </c>
      <c r="AG97" s="226" t="str">
        <f t="shared" si="64"/>
        <v>EC</v>
      </c>
      <c r="AH97" s="189" t="str">
        <f t="shared" si="65"/>
        <v>"%USERPROFILE%\Documents\GitHub\eaglep3\Utilities\RefineRTDCRunTimes.py" --tripid 182-12 --locoid 4005 --swversion DE.1.0.9.0 --startMP 204:232904 --initTime 2017-12-12T14:35:06 --startdatetime 2017-12-12T14:42:14 --delay 88 --endMP 204:238 --enddatetime 2017-12-12T15:22:51 --enforcementcount 0 &gt;&gt;%USERPROFILE%\Documents\GitHub\eaglep3-reporting\EC\2017-12-12-refined-times.txt</v>
      </c>
      <c r="AI97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{"issue":{"subject":"","project_id":79,"tracker_id":40,"status_id":1,"priority_id":2,"assigned_to_id":338,"start_date":"2017-12-12","description":"","custom_fields":[{"id":1,"name":"Subdivision","value":"EC"},{"id":4,"name":"Milepost","value":"0.0238"},{"id":17,"name":"Train ID","value":"182-12"},{"id":16,"name":"Locomotive ID","value":"4005"},{"id":130,"name":"Impact","value":""},{"id":150,"name":"Time of Event (Mountain Time)","value":"15:22:51"},{"id":151,"name":"Denver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180"/>
      <c r="AK97" s="188"/>
      <c r="AL97" s="188"/>
      <c r="AM97" s="193" t="str">
        <f t="shared" si="67"/>
        <v>start /low /b %USERPROFILE%\Documents\GitHub\eaglep3\Utilities\DownloadLogsFromS3.py --loco 4005 --day 2017-12-12</v>
      </c>
      <c r="AN97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87" t="str">
        <f t="shared" si="69"/>
        <v>https://d0f6bd738d7f1b3e5a7ca70fe4ff75f0.us-east-1.aws.found.io/app/kibana#/discover/Steve-Slow-Train-Analysis-(2080s-and-2083s)?_g=(refreshInterval:(display:Off,pause:!f,section:0,value:0),time:(from:'2017-12-12T13:35:06-0700',mode:absolute,to:'2017-12-12T16:22:51-0700'))&amp;_a=(columns:!('Message%20ID',Summary),filters:!(),index:'emp_*',interval:auto,query:(query_string:(analyze_wildcard:!t,query:'%22rtdc.l.rtdc.4005%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186" t="s">
        <v>798</v>
      </c>
      <c r="B98" s="182">
        <v>4022</v>
      </c>
      <c r="C98" s="184" t="s">
        <v>192</v>
      </c>
      <c r="D98" s="184" t="s">
        <v>578</v>
      </c>
      <c r="E98" s="183">
        <v>43081.578506944446</v>
      </c>
      <c r="F98" s="183">
        <v>43081.583541666667</v>
      </c>
      <c r="G98" s="182">
        <v>67</v>
      </c>
      <c r="H98" s="184" t="s">
        <v>632</v>
      </c>
      <c r="I98" s="183">
        <v>43081.608194444445</v>
      </c>
      <c r="J98" s="182">
        <v>0</v>
      </c>
      <c r="K98" s="190" t="str">
        <f t="shared" si="56"/>
        <v>4021/4022</v>
      </c>
      <c r="L98" s="196" t="str">
        <f>VLOOKUP(A98,'Trips&amp;Operators'!$C$1:$G$99911,5,FALSE)</f>
        <v>SAFIEF AEIMEN</v>
      </c>
      <c r="M98" s="181">
        <f t="shared" si="57"/>
        <v>2.4652777778101154E-2</v>
      </c>
      <c r="N98" s="182">
        <f t="shared" si="54"/>
        <v>35.500000000465661</v>
      </c>
      <c r="O98" s="182"/>
      <c r="P98" s="182"/>
      <c r="Q98" s="185"/>
      <c r="R98" s="197"/>
      <c r="S98" s="241">
        <f t="shared" si="55"/>
        <v>1</v>
      </c>
      <c r="T98" s="220" t="str">
        <f t="shared" si="58"/>
        <v>NorthBound</v>
      </c>
      <c r="U98" s="22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1" t="str">
        <f t="shared" si="59"/>
        <v>https://d0f6bd738d7f1b3e5a7ca70fe4ff75f0.us-east-1.aws.found.io/app/kibana#/discover/Steve-Slow-Train-Analysis-(2080s-and-2083s)?_g=(refreshInterval:(display:Off,pause:!f,section:0,value:0),time:(from:'2017-12-12T12:53:03-0700',mode:absolute,to:'2017-12-12T15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8" s="222" t="str">
        <f>IF(AA98&lt;VLOOKUP(AG98,Variables!$AC$3:$AD$8,2,FALSE),"Y","N")</f>
        <v>N</v>
      </c>
      <c r="X98" s="222">
        <f t="shared" si="72"/>
        <v>1</v>
      </c>
      <c r="Y98" s="222">
        <f t="shared" si="70"/>
        <v>4.9099999999999998E-2</v>
      </c>
      <c r="Z98" s="222">
        <f t="shared" si="71"/>
        <v>23.325900000000001</v>
      </c>
      <c r="AA98" s="222">
        <f t="shared" si="60"/>
        <v>23.276800000000001</v>
      </c>
      <c r="AB98" s="231" t="e">
        <f>VLOOKUP(A98,Enforcements!$C$7:$K$9,8,0)</f>
        <v>#N/A</v>
      </c>
      <c r="AC98" s="231" t="e">
        <f>VLOOKUP(A98,Enforcements!$C$7:$E$9,3,0)</f>
        <v>#N/A</v>
      </c>
      <c r="AD98" s="232">
        <f t="shared" si="61"/>
        <v>183</v>
      </c>
      <c r="AE98" s="233" t="str">
        <f t="shared" si="62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98" s="234" t="str">
        <f t="shared" si="63"/>
        <v>"C:\Program Files (x86)\AstroGrep\AstroGrep.exe" /e /r /s /spath="%USERPROFILE%\AppData\Local\Temp\OnboardLogs" /stypes="app*4022*20171212*" /stext=" 21:.+((SYSTEM_STATE.+slice.+state.+changed )|(ment ac)|(multiple cpu faults)|(system.+state.+changed )|(\[timeout)|(PRM\|1\|D)|(kpr)|(kdp)|(train st.+moving)|(\|lc)|(penalty))"</v>
      </c>
      <c r="AG98" s="226" t="str">
        <f t="shared" si="64"/>
        <v>EC</v>
      </c>
      <c r="AH98" s="189" t="str">
        <f t="shared" si="65"/>
        <v>"%USERPROFILE%\Documents\GitHub\eaglep3\Utilities\RefineRTDCRunTimes.py" --tripid 183-12 --locoid 4022 --swversion DE.1.0.9.0 --startMP 204:491 --initTime 2017-12-12T13:53:03 --startdatetime 2017-12-12T14:00:18 --delay 67 --endMP 204:233259 --enddatetime 2017-12-12T14:35:48 --enforcementcount 0 &gt;&gt;%USERPROFILE%\Documents\GitHub\eaglep3-reporting\EC\2017-12-12-refined-times.txt</v>
      </c>
      <c r="AI98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{"issue":{"subject":"","project_id":79,"tracker_id":40,"status_id":1,"priority_id":2,"assigned_to_id":338,"start_date":"2017-12-12","description":"","custom_fields":[{"id":1,"name":"Subdivision","value":"EC"},{"id":4,"name":"Milepost","value":"23.3259"},{"id":17,"name":"Train ID","value":"183-12"},{"id":16,"name":"Locomotive ID","value":"4022"},{"id":130,"name":"Impact","value":""},{"id":150,"name":"Time of Event (Mountain Time)","value":"14:35:48"},{"id":151,"name":"Denver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180"/>
      <c r="AK98" s="188"/>
      <c r="AL98" s="188"/>
      <c r="AM98" s="193" t="str">
        <f t="shared" si="67"/>
        <v>start /low /b %USERPROFILE%\Documents\GitHub\eaglep3\Utilities\DownloadLogsFromS3.py --loco 4022 --day 2017-12-12</v>
      </c>
      <c r="AN98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87" t="str">
        <f t="shared" si="69"/>
        <v>https://d0f6bd738d7f1b3e5a7ca70fe4ff75f0.us-east-1.aws.found.io/app/kibana#/discover/Steve-Slow-Train-Analysis-(2080s-and-2083s)?_g=(refreshInterval:(display:Off,pause:!f,section:0,value:0),time:(from:'2017-12-12T12:53:03-0700',mode:absolute,to:'2017-12-12T15:35:48-0700'))&amp;_a=(columns:!('Message%20ID',Summary),filters:!(),index:'emp_*',interval:auto,query:(query_string:(analyze_wildcard:!t,query:'%22rtdc.l.rtdc.4022%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186" t="s">
        <v>808</v>
      </c>
      <c r="B99" s="182">
        <v>4021</v>
      </c>
      <c r="C99" s="184" t="s">
        <v>192</v>
      </c>
      <c r="D99" s="184" t="s">
        <v>550</v>
      </c>
      <c r="E99" s="183">
        <v>43081.612916666665</v>
      </c>
      <c r="F99" s="183">
        <v>43081.623090277775</v>
      </c>
      <c r="G99" s="182">
        <v>65</v>
      </c>
      <c r="H99" s="184" t="s">
        <v>547</v>
      </c>
      <c r="I99" s="183">
        <v>43081.649513888886</v>
      </c>
      <c r="J99" s="182">
        <v>0</v>
      </c>
      <c r="K99" s="190" t="str">
        <f t="shared" si="56"/>
        <v>4021/4022</v>
      </c>
      <c r="L99" s="196" t="str">
        <f>VLOOKUP(A99,'Trips&amp;Operators'!$C$1:$G$99911,5,FALSE)</f>
        <v>SAFIEF AEIMEN</v>
      </c>
      <c r="M99" s="181">
        <f t="shared" si="57"/>
        <v>2.6423611110658385E-2</v>
      </c>
      <c r="N99" s="182">
        <f t="shared" si="54"/>
        <v>38.049999999348074</v>
      </c>
      <c r="O99" s="182"/>
      <c r="P99" s="182"/>
      <c r="Q99" s="185"/>
      <c r="R99" s="197"/>
      <c r="S99" s="241">
        <f t="shared" si="55"/>
        <v>1</v>
      </c>
      <c r="T99" s="220" t="str">
        <f t="shared" si="58"/>
        <v>Southbound</v>
      </c>
      <c r="U99" s="22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1" t="str">
        <f t="shared" si="59"/>
        <v>https://d0f6bd738d7f1b3e5a7ca70fe4ff75f0.us-east-1.aws.found.io/app/kibana#/discover/Steve-Slow-Train-Analysis-(2080s-and-2083s)?_g=(refreshInterval:(display:Off,pause:!f,section:0,value:0),time:(from:'2017-12-12T13:42:36-0700',mode:absolute,to:'2017-12-12T16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9" s="222" t="str">
        <f>IF(AA99&lt;VLOOKUP(AG99,Variables!$AC$3:$AD$8,2,FALSE),"Y","N")</f>
        <v>N</v>
      </c>
      <c r="X99" s="222">
        <f t="shared" si="72"/>
        <v>1</v>
      </c>
      <c r="Y99" s="222">
        <f t="shared" si="70"/>
        <v>23.294</v>
      </c>
      <c r="Z99" s="222">
        <f t="shared" si="71"/>
        <v>2.0500000000000001E-2</v>
      </c>
      <c r="AA99" s="222">
        <f t="shared" si="60"/>
        <v>23.273500000000002</v>
      </c>
      <c r="AB99" s="231" t="e">
        <f>VLOOKUP(A99,Enforcements!$C$7:$K$9,8,0)</f>
        <v>#N/A</v>
      </c>
      <c r="AC99" s="231" t="e">
        <f>VLOOKUP(A99,Enforcements!$C$7:$E$9,3,0)</f>
        <v>#N/A</v>
      </c>
      <c r="AD99" s="232">
        <f t="shared" si="61"/>
        <v>184</v>
      </c>
      <c r="AE99" s="233" t="str">
        <f t="shared" si="62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99" s="234" t="str">
        <f t="shared" si="63"/>
        <v>"C:\Program Files (x86)\AstroGrep\AstroGrep.exe" /e /r /s /spath="%USERPROFILE%\AppData\Local\Temp\OnboardLogs" /stypes="app*4021*20171212*" /stext=" 22:.+((SYSTEM_STATE.+slice.+state.+changed )|(ment ac)|(multiple cpu faults)|(system.+state.+changed )|(\[timeout)|(PRM\|1\|D)|(kpr)|(kdp)|(train st.+moving)|(\|lc)|(penalty))"</v>
      </c>
      <c r="AG99" s="226" t="str">
        <f t="shared" si="64"/>
        <v>EC</v>
      </c>
      <c r="AH99" s="189" t="str">
        <f t="shared" si="65"/>
        <v>"%USERPROFILE%\Documents\GitHub\eaglep3\Utilities\RefineRTDCRunTimes.py" --tripid 184-12 --locoid 4021 --swversion DE.1.0.9.0 --startMP 204:232940 --initTime 2017-12-12T14:42:36 --startdatetime 2017-12-12T14:57:15 --delay 65 --endMP 204:205 --enddatetime 2017-12-12T15:35:18 --enforcementcount 0 &gt;&gt;%USERPROFILE%\Documents\GitHub\eaglep3-reporting\EC\2017-12-12-refined-times.txt</v>
      </c>
      <c r="AI99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{"issue":{"subject":"","project_id":79,"tracker_id":40,"status_id":1,"priority_id":2,"assigned_to_id":338,"start_date":"2017-12-12","description":"","custom_fields":[{"id":1,"name":"Subdivision","value":"EC"},{"id":4,"name":"Milepost","value":"0.0205"},{"id":17,"name":"Train ID","value":"184-12"},{"id":16,"name":"Locomotive ID","value":"4021"},{"id":130,"name":"Impact","value":""},{"id":150,"name":"Time of Event (Mountain Time)","value":"15:35:18"},{"id":151,"name":"Denver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180"/>
      <c r="AK99" s="188"/>
      <c r="AL99" s="188"/>
      <c r="AM99" s="193" t="str">
        <f t="shared" si="67"/>
        <v>start /low /b %USERPROFILE%\Documents\GitHub\eaglep3\Utilities\DownloadLogsFromS3.py --loco 4021 --day 2017-12-12</v>
      </c>
      <c r="AN99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87" t="str">
        <f t="shared" si="69"/>
        <v>https://d0f6bd738d7f1b3e5a7ca70fe4ff75f0.us-east-1.aws.found.io/app/kibana#/discover/Steve-Slow-Train-Analysis-(2080s-and-2083s)?_g=(refreshInterval:(display:Off,pause:!f,section:0,value:0),time:(from:'2017-12-12T13:42:36-0700',mode:absolute,to:'2017-12-12T16:35:18-0700'))&amp;_a=(columns:!('Message%20ID',Summary),filters:!(),index:'emp_*',interval:auto,query:(query_string:(analyze_wildcard:!t,query:'%22rtdc.l.rtdc.4021%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186" t="s">
        <v>802</v>
      </c>
      <c r="B100" s="182">
        <v>4012</v>
      </c>
      <c r="C100" s="184" t="s">
        <v>192</v>
      </c>
      <c r="D100" s="184" t="s">
        <v>942</v>
      </c>
      <c r="E100" s="183">
        <v>43081.591828703706</v>
      </c>
      <c r="F100" s="183">
        <v>43081.594178240739</v>
      </c>
      <c r="G100" s="182">
        <v>55</v>
      </c>
      <c r="H100" s="184" t="s">
        <v>570</v>
      </c>
      <c r="I100" s="183">
        <v>43081.61990740741</v>
      </c>
      <c r="J100" s="182">
        <v>0</v>
      </c>
      <c r="K100" s="190" t="str">
        <f t="shared" si="56"/>
        <v>4011/4012</v>
      </c>
      <c r="L100" s="196" t="str">
        <f>VLOOKUP(A100,'Trips&amp;Operators'!$C$1:$G$99911,5,FALSE)</f>
        <v>DAVIS MICHAEL</v>
      </c>
      <c r="M100" s="181">
        <f t="shared" si="57"/>
        <v>2.5729166671226267E-2</v>
      </c>
      <c r="N100" s="182">
        <f t="shared" si="54"/>
        <v>37.050000006565824</v>
      </c>
      <c r="O100" s="182"/>
      <c r="P100" s="182"/>
      <c r="Q100" s="185"/>
      <c r="R100" s="197"/>
      <c r="S100" s="241">
        <f t="shared" si="55"/>
        <v>1</v>
      </c>
      <c r="T100" s="220" t="str">
        <f t="shared" si="58"/>
        <v>NorthBound</v>
      </c>
      <c r="U100" s="22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1" t="str">
        <f t="shared" si="59"/>
        <v>https://d0f6bd738d7f1b3e5a7ca70fe4ff75f0.us-east-1.aws.found.io/app/kibana#/discover/Steve-Slow-Train-Analysis-(2080s-and-2083s)?_g=(refreshInterval:(display:Off,pause:!f,section:0,value:0),time:(from:'2017-12-12T13:12:14-0700',mode:absolute,to:'2017-12-12T15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222" t="str">
        <f>IF(AA100&lt;VLOOKUP(AG100,Variables!$AC$3:$AD$8,2,FALSE),"Y","N")</f>
        <v>N</v>
      </c>
      <c r="X100" s="222">
        <f t="shared" si="72"/>
        <v>1</v>
      </c>
      <c r="Y100" s="222">
        <f t="shared" si="70"/>
        <v>5.2200000000000003E-2</v>
      </c>
      <c r="Z100" s="222">
        <f t="shared" si="71"/>
        <v>23.328900000000001</v>
      </c>
      <c r="AA100" s="222">
        <f t="shared" si="60"/>
        <v>23.276700000000002</v>
      </c>
      <c r="AB100" s="231" t="e">
        <f>VLOOKUP(A100,Enforcements!$C$7:$K$9,8,0)</f>
        <v>#N/A</v>
      </c>
      <c r="AC100" s="231" t="e">
        <f>VLOOKUP(A100,Enforcements!$C$7:$E$9,3,0)</f>
        <v>#N/A</v>
      </c>
      <c r="AD100" s="232">
        <f t="shared" si="61"/>
        <v>185</v>
      </c>
      <c r="AE100" s="233" t="str">
        <f t="shared" si="62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100" s="234" t="str">
        <f t="shared" si="63"/>
        <v>"C:\Program Files (x86)\AstroGrep\AstroGrep.exe" /e /r /s /spath="%USERPROFILE%\AppData\Local\Temp\OnboardLogs" /stypes="app*4012*20171212*" /stext=" 21:.+((SYSTEM_STATE.+slice.+state.+changed )|(ment ac)|(multiple cpu faults)|(system.+state.+changed )|(\[timeout)|(PRM\|1\|D)|(kpr)|(kdp)|(train st.+moving)|(\|lc)|(penalty))"</v>
      </c>
      <c r="AG100" s="226" t="str">
        <f t="shared" si="64"/>
        <v>EC</v>
      </c>
      <c r="AH100" s="189" t="str">
        <f t="shared" si="65"/>
        <v>"%USERPROFILE%\Documents\GitHub\eaglep3\Utilities\RefineRTDCRunTimes.py" --tripid 185-12 --locoid 4012 --swversion DE.1.0.9.0 --startMP 204:522 --initTime 2017-12-12T14:12:14 --startdatetime 2017-12-12T14:15:37 --delay 55 --endMP 204:233289 --enddatetime 2017-12-12T14:52:40 --enforcementcount 0 &gt;&gt;%USERPROFILE%\Documents\GitHub\eaglep3-reporting\EC\2017-12-12-refined-times.txt</v>
      </c>
      <c r="AI100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{"issue":{"subject":"","project_id":79,"tracker_id":40,"status_id":1,"priority_id":2,"assigned_to_id":338,"start_date":"2017-12-12","description":"","custom_fields":[{"id":1,"name":"Subdivision","value":"EC"},{"id":4,"name":"Milepost","value":"23.3289"},{"id":17,"name":"Train ID","value":"185-12"},{"id":16,"name":"Locomotive ID","value":"4012"},{"id":130,"name":"Impact","value":""},{"id":150,"name":"Time of Event (Mountain Time)","value":"14:52:40"},{"id":151,"name":"Denver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180"/>
      <c r="AK100" s="188"/>
      <c r="AL100" s="188"/>
      <c r="AM100" s="193" t="str">
        <f t="shared" si="67"/>
        <v>start /low /b %USERPROFILE%\Documents\GitHub\eaglep3\Utilities\DownloadLogsFromS3.py --loco 4012 --day 2017-12-12</v>
      </c>
      <c r="AN100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87" t="str">
        <f t="shared" si="69"/>
        <v>https://d0f6bd738d7f1b3e5a7ca70fe4ff75f0.us-east-1.aws.found.io/app/kibana#/discover/Steve-Slow-Train-Analysis-(2080s-and-2083s)?_g=(refreshInterval:(display:Off,pause:!f,section:0,value:0),time:(from:'2017-12-12T13:12:14-0700',mode:absolute,to:'2017-12-12T15:52:40-0700'))&amp;_a=(columns:!('Message%20ID',Summary),filters:!(),index:'emp_*',interval:auto,query:(query_string:(analyze_wildcard:!t,query:'%22rtdc.l.rtdc.4012%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186" t="s">
        <v>811</v>
      </c>
      <c r="B101" s="182">
        <v>4011</v>
      </c>
      <c r="C101" s="184" t="s">
        <v>192</v>
      </c>
      <c r="D101" s="184" t="s">
        <v>558</v>
      </c>
      <c r="E101" s="183">
        <v>43081.631932870368</v>
      </c>
      <c r="F101" s="183">
        <v>43081.633518518516</v>
      </c>
      <c r="G101" s="182">
        <v>78</v>
      </c>
      <c r="H101" s="184" t="s">
        <v>622</v>
      </c>
      <c r="I101" s="183">
        <v>43081.661886574075</v>
      </c>
      <c r="J101" s="182">
        <v>0</v>
      </c>
      <c r="K101" s="190" t="str">
        <f t="shared" si="56"/>
        <v>4011/4012</v>
      </c>
      <c r="L101" s="196" t="str">
        <f>VLOOKUP(A101,'Trips&amp;Operators'!$C$1:$G$99911,5,FALSE)</f>
        <v>DAVIS MICHAEL</v>
      </c>
      <c r="M101" s="181">
        <f t="shared" si="57"/>
        <v>2.8368055558530614E-2</v>
      </c>
      <c r="N101" s="182">
        <f t="shared" si="54"/>
        <v>40.850000004284084</v>
      </c>
      <c r="O101" s="182"/>
      <c r="P101" s="182"/>
      <c r="Q101" s="185"/>
      <c r="R101" s="197"/>
      <c r="S101" s="241">
        <f t="shared" si="55"/>
        <v>1</v>
      </c>
      <c r="T101" s="220" t="str">
        <f t="shared" si="58"/>
        <v>Southbound</v>
      </c>
      <c r="U101" s="22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1" t="str">
        <f t="shared" si="59"/>
        <v>https://d0f6bd738d7f1b3e5a7ca70fe4ff75f0.us-east-1.aws.found.io/app/kibana#/discover/Steve-Slow-Train-Analysis-(2080s-and-2083s)?_g=(refreshInterval:(display:Off,pause:!f,section:0,value:0),time:(from:'2017-12-12T14:09:59-0700',mode:absolute,to:'2017-12-12T16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222" t="str">
        <f>IF(AA101&lt;VLOOKUP(AG101,Variables!$AC$3:$AD$8,2,FALSE),"Y","N")</f>
        <v>N</v>
      </c>
      <c r="X101" s="222">
        <f t="shared" si="72"/>
        <v>1</v>
      </c>
      <c r="Y101" s="222">
        <f t="shared" si="70"/>
        <v>23.294899999999998</v>
      </c>
      <c r="Z101" s="222">
        <f t="shared" si="71"/>
        <v>1.9199999999999998E-2</v>
      </c>
      <c r="AA101" s="222">
        <f t="shared" si="60"/>
        <v>23.275699999999997</v>
      </c>
      <c r="AB101" s="231" t="e">
        <f>VLOOKUP(A101,Enforcements!$C$7:$K$9,8,0)</f>
        <v>#N/A</v>
      </c>
      <c r="AC101" s="231" t="e">
        <f>VLOOKUP(A101,Enforcements!$C$7:$E$9,3,0)</f>
        <v>#N/A</v>
      </c>
      <c r="AD101" s="232">
        <f t="shared" si="61"/>
        <v>186</v>
      </c>
      <c r="AE101" s="233" t="str">
        <f t="shared" si="62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101" s="234" t="str">
        <f t="shared" si="63"/>
        <v>"C:\Program Files (x86)\AstroGrep\AstroGrep.exe" /e /r /s /spath="%USERPROFILE%\AppData\Local\Temp\OnboardLogs" /stypes="app*4011*20171212*" /stext=" 22:.+((SYSTEM_STATE.+slice.+state.+changed )|(ment ac)|(multiple cpu faults)|(system.+state.+changed )|(\[timeout)|(PRM\|1\|D)|(kpr)|(kdp)|(train st.+moving)|(\|lc)|(penalty))"</v>
      </c>
      <c r="AG101" s="226" t="str">
        <f t="shared" si="64"/>
        <v>EC</v>
      </c>
      <c r="AH101" s="189" t="str">
        <f t="shared" si="65"/>
        <v>"%USERPROFILE%\Documents\GitHub\eaglep3\Utilities\RefineRTDCRunTimes.py" --tripid 186-12 --locoid 4011 --swversion DE.1.0.9.0 --startMP 204:232949 --initTime 2017-12-12T15:09:59 --startdatetime 2017-12-12T15:12:16 --delay 78 --endMP 204:192 --enddatetime 2017-12-12T15:53:07 --enforcementcount 0 &gt;&gt;%USERPROFILE%\Documents\GitHub\eaglep3-reporting\EC\2017-12-12-refined-times.txt</v>
      </c>
      <c r="AI101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{"issue":{"subject":"","project_id":79,"tracker_id":40,"status_id":1,"priority_id":2,"assigned_to_id":338,"start_date":"2017-12-12","description":"","custom_fields":[{"id":1,"name":"Subdivision","value":"EC"},{"id":4,"name":"Milepost","value":"0.0192"},{"id":17,"name":"Train ID","value":"186-12"},{"id":16,"name":"Locomotive ID","value":"4011"},{"id":130,"name":"Impact","value":""},{"id":150,"name":"Time of Event (Mountain Time)","value":"15:53:07"},{"id":151,"name":"Denver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180"/>
      <c r="AK101" s="188"/>
      <c r="AL101" s="188"/>
      <c r="AM101" s="193" t="str">
        <f t="shared" si="67"/>
        <v>start /low /b %USERPROFILE%\Documents\GitHub\eaglep3\Utilities\DownloadLogsFromS3.py --loco 4011 --day 2017-12-12</v>
      </c>
      <c r="AN101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87" t="str">
        <f t="shared" si="69"/>
        <v>https://d0f6bd738d7f1b3e5a7ca70fe4ff75f0.us-east-1.aws.found.io/app/kibana#/discover/Steve-Slow-Train-Analysis-(2080s-and-2083s)?_g=(refreshInterval:(display:Off,pause:!f,section:0,value:0),time:(from:'2017-12-12T14:09:59-0700',mode:absolute,to:'2017-12-12T16:53:07-0700'))&amp;_a=(columns:!('Message%20ID',Summary),filters:!(),index:'emp_*',interval:auto,query:(query_string:(analyze_wildcard:!t,query:'%22rtdc.l.rtdc.4011%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186" t="s">
        <v>804</v>
      </c>
      <c r="B102" s="182">
        <v>4010</v>
      </c>
      <c r="C102" s="184" t="s">
        <v>192</v>
      </c>
      <c r="D102" s="184" t="s">
        <v>502</v>
      </c>
      <c r="E102" s="183">
        <v>43081.600127314814</v>
      </c>
      <c r="F102" s="183">
        <v>43081.60434027778</v>
      </c>
      <c r="G102" s="182">
        <v>78</v>
      </c>
      <c r="H102" s="184" t="s">
        <v>969</v>
      </c>
      <c r="I102" s="183">
        <v>43081.629594907405</v>
      </c>
      <c r="J102" s="182">
        <v>0</v>
      </c>
      <c r="K102" s="190" t="str">
        <f t="shared" si="56"/>
        <v>4009/4010</v>
      </c>
      <c r="L102" s="196" t="str">
        <f>VLOOKUP(A102,'Trips&amp;Operators'!$C$1:$G$99911,5,FALSE)</f>
        <v>HAMMOND JUSTYNN</v>
      </c>
      <c r="M102" s="181">
        <f t="shared" si="57"/>
        <v>2.5254629625123926E-2</v>
      </c>
      <c r="N102" s="182">
        <f t="shared" si="54"/>
        <v>36.366666660178453</v>
      </c>
      <c r="O102" s="182"/>
      <c r="P102" s="182"/>
      <c r="Q102" s="185"/>
      <c r="R102" s="197"/>
      <c r="S102" s="241">
        <f t="shared" si="55"/>
        <v>1</v>
      </c>
      <c r="T102" s="220" t="str">
        <f t="shared" si="58"/>
        <v>NorthBound</v>
      </c>
      <c r="U102" s="22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1" t="str">
        <f t="shared" si="59"/>
        <v>https://d0f6bd738d7f1b3e5a7ca70fe4ff75f0.us-east-1.aws.found.io/app/kibana#/discover/Steve-Slow-Train-Analysis-(2080s-and-2083s)?_g=(refreshInterval:(display:Off,pause:!f,section:0,value:0),time:(from:'2017-12-12T13:24:11-0700',mode:absolute,to:'2017-12-12T16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222" t="str">
        <f>IF(AA102&lt;VLOOKUP(AG102,Variables!$AC$3:$AD$8,2,FALSE),"Y","N")</f>
        <v>N</v>
      </c>
      <c r="X102" s="222">
        <f t="shared" si="72"/>
        <v>1</v>
      </c>
      <c r="Y102" s="222">
        <f t="shared" si="70"/>
        <v>5.33E-2</v>
      </c>
      <c r="Z102" s="222">
        <f t="shared" si="71"/>
        <v>23.323799999999999</v>
      </c>
      <c r="AA102" s="222">
        <f t="shared" si="60"/>
        <v>23.270499999999998</v>
      </c>
      <c r="AB102" s="231" t="e">
        <f>VLOOKUP(A102,Enforcements!$C$7:$K$9,8,0)</f>
        <v>#N/A</v>
      </c>
      <c r="AC102" s="231" t="e">
        <f>VLOOKUP(A102,Enforcements!$C$7:$E$9,3,0)</f>
        <v>#N/A</v>
      </c>
      <c r="AD102" s="232">
        <f t="shared" si="61"/>
        <v>187</v>
      </c>
      <c r="AE102" s="233" t="str">
        <f t="shared" si="62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102" s="234" t="str">
        <f t="shared" si="63"/>
        <v>"C:\Program Files (x86)\AstroGrep\AstroGrep.exe" /e /r /s /spath="%USERPROFILE%\AppData\Local\Temp\OnboardLogs" /stypes="app*4010*20171212*" /stext=" 22:.+((SYSTEM_STATE.+slice.+state.+changed )|(ment ac)|(multiple cpu faults)|(system.+state.+changed )|(\[timeout)|(PRM\|1\|D)|(kpr)|(kdp)|(train st.+moving)|(\|lc)|(penalty))"</v>
      </c>
      <c r="AG102" s="226" t="str">
        <f t="shared" si="64"/>
        <v>EC</v>
      </c>
      <c r="AH102" s="189" t="str">
        <f t="shared" si="65"/>
        <v>"%USERPROFILE%\Documents\GitHub\eaglep3\Utilities\RefineRTDCRunTimes.py" --tripid 187-12 --locoid 4010 --swversion DE.1.0.9.0 --startMP 204:533 --initTime 2017-12-12T14:24:11 --startdatetime 2017-12-12T14:30:15 --delay 78 --endMP 204:233238 --enddatetime 2017-12-12T15:06:37 --enforcementcount 0 &gt;&gt;%USERPROFILE%\Documents\GitHub\eaglep3-reporting\EC\2017-12-12-refined-times.txt</v>
      </c>
      <c r="AI102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{"issue":{"subject":"","project_id":79,"tracker_id":40,"status_id":1,"priority_id":2,"assigned_to_id":338,"start_date":"2017-12-12","description":"","custom_fields":[{"id":1,"name":"Subdivision","value":"EC"},{"id":4,"name":"Milepost","value":"23.3238"},{"id":17,"name":"Train ID","value":"187-12"},{"id":16,"name":"Locomotive ID","value":"4010"},{"id":130,"name":"Impact","value":""},{"id":150,"name":"Time of Event (Mountain Time)","value":"15:06:37"},{"id":151,"name":"Denver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180"/>
      <c r="AK102" s="188"/>
      <c r="AL102" s="188"/>
      <c r="AM102" s="193" t="str">
        <f t="shared" si="67"/>
        <v>start /low /b %USERPROFILE%\Documents\GitHub\eaglep3\Utilities\DownloadLogsFromS3.py --loco 4010 --day 2017-12-12</v>
      </c>
      <c r="AN102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87" t="str">
        <f t="shared" si="69"/>
        <v>https://d0f6bd738d7f1b3e5a7ca70fe4ff75f0.us-east-1.aws.found.io/app/kibana#/discover/Steve-Slow-Train-Analysis-(2080s-and-2083s)?_g=(refreshInterval:(display:Off,pause:!f,section:0,value:0),time:(from:'2017-12-12T13:24:11-0700',mode:absolute,to:'2017-12-12T16:06:37-0700'))&amp;_a=(columns:!('Message%20ID',Summary),filters:!(),index:'emp_*',interval:auto,query:(query_string:(analyze_wildcard:!t,query:'%22rtdc.l.rtdc.4010%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186" t="s">
        <v>814</v>
      </c>
      <c r="B103" s="182">
        <v>4009</v>
      </c>
      <c r="C103" s="184" t="s">
        <v>192</v>
      </c>
      <c r="D103" s="184" t="s">
        <v>972</v>
      </c>
      <c r="E103" s="183">
        <v>43081.634629629632</v>
      </c>
      <c r="F103" s="183">
        <v>43081.643946759257</v>
      </c>
      <c r="G103" s="182">
        <v>62</v>
      </c>
      <c r="H103" s="184" t="s">
        <v>501</v>
      </c>
      <c r="I103" s="183">
        <v>43081.670057870368</v>
      </c>
      <c r="J103" s="182">
        <v>0</v>
      </c>
      <c r="K103" s="190" t="str">
        <f t="shared" si="56"/>
        <v>4009/4010</v>
      </c>
      <c r="L103" s="196" t="str">
        <f>VLOOKUP(A103,'Trips&amp;Operators'!$C$1:$G$99911,5,FALSE)</f>
        <v>HAMMOND JUSTYNN</v>
      </c>
      <c r="M103" s="181">
        <f t="shared" si="57"/>
        <v>2.6111111110367347E-2</v>
      </c>
      <c r="N103" s="182">
        <f t="shared" si="54"/>
        <v>37.599999998928979</v>
      </c>
      <c r="O103" s="182"/>
      <c r="P103" s="182"/>
      <c r="Q103" s="185"/>
      <c r="R103" s="197"/>
      <c r="S103" s="241">
        <f t="shared" si="55"/>
        <v>1</v>
      </c>
      <c r="T103" s="220" t="str">
        <f t="shared" si="58"/>
        <v>Southbound</v>
      </c>
      <c r="U103" s="22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1" t="str">
        <f t="shared" si="59"/>
        <v>https://d0f6bd738d7f1b3e5a7ca70fe4ff75f0.us-east-1.aws.found.io/app/kibana#/discover/Steve-Slow-Train-Analysis-(2080s-and-2083s)?_g=(refreshInterval:(display:Off,pause:!f,section:0,value:0),time:(from:'2017-12-12T14:13:52-0700',mode:absolute,to:'2017-12-12T17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222" t="str">
        <f>IF(AA103&lt;VLOOKUP(AG103,Variables!$AC$3:$AD$8,2,FALSE),"Y","N")</f>
        <v>N</v>
      </c>
      <c r="X103" s="222">
        <f t="shared" si="72"/>
        <v>1</v>
      </c>
      <c r="Y103" s="222">
        <f t="shared" si="70"/>
        <v>23.292899999999999</v>
      </c>
      <c r="Z103" s="222">
        <f t="shared" si="71"/>
        <v>2.2100000000000002E-2</v>
      </c>
      <c r="AA103" s="222">
        <f t="shared" si="60"/>
        <v>23.270800000000001</v>
      </c>
      <c r="AB103" s="231" t="e">
        <f>VLOOKUP(A103,Enforcements!$C$7:$K$9,8,0)</f>
        <v>#N/A</v>
      </c>
      <c r="AC103" s="231" t="e">
        <f>VLOOKUP(A103,Enforcements!$C$7:$E$9,3,0)</f>
        <v>#N/A</v>
      </c>
      <c r="AD103" s="232">
        <f t="shared" si="61"/>
        <v>188</v>
      </c>
      <c r="AE103" s="233" t="str">
        <f t="shared" si="62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103" s="234" t="str">
        <f t="shared" si="63"/>
        <v>"C:\Program Files (x86)\AstroGrep\AstroGrep.exe" /e /r /s /spath="%USERPROFILE%\AppData\Local\Temp\OnboardLogs" /stypes="app*4009*20171212*" /stext=" 23:.+((SYSTEM_STATE.+slice.+state.+changed )|(ment ac)|(multiple cpu faults)|(system.+state.+changed )|(\[timeout)|(PRM\|1\|D)|(kpr)|(kdp)|(train st.+moving)|(\|lc)|(penalty))"</v>
      </c>
      <c r="AG103" s="226" t="str">
        <f t="shared" si="64"/>
        <v>EC</v>
      </c>
      <c r="AH103" s="189" t="str">
        <f t="shared" si="65"/>
        <v>"%USERPROFILE%\Documents\GitHub\eaglep3\Utilities\RefineRTDCRunTimes.py" --tripid 188-12 --locoid 4009 --swversion DE.1.0.9.0 --startMP 204:232929 --initTime 2017-12-12T15:13:52 --startdatetime 2017-12-12T15:27:17 --delay 62 --endMP 204:221 --enddatetime 2017-12-12T16:04:53 --enforcementcount 0 &gt;&gt;%USERPROFILE%\Documents\GitHub\eaglep3-reporting\EC\2017-12-12-refined-times.txt</v>
      </c>
      <c r="AI103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{"issue":{"subject":"","project_id":79,"tracker_id":40,"status_id":1,"priority_id":2,"assigned_to_id":338,"start_date":"2017-12-12","description":"","custom_fields":[{"id":1,"name":"Subdivision","value":"EC"},{"id":4,"name":"Milepost","value":"0.0221"},{"id":17,"name":"Train ID","value":"188-12"},{"id":16,"name":"Locomotive ID","value":"4009"},{"id":130,"name":"Impact","value":""},{"id":150,"name":"Time of Event (Mountain Time)","value":"16:04:53"},{"id":151,"name":"Denver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180"/>
      <c r="AK103" s="188"/>
      <c r="AL103" s="188"/>
      <c r="AM103" s="193" t="str">
        <f t="shared" si="67"/>
        <v>start /low /b %USERPROFILE%\Documents\GitHub\eaglep3\Utilities\DownloadLogsFromS3.py --loco 4009 --day 2017-12-12</v>
      </c>
      <c r="AN103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87" t="str">
        <f t="shared" si="69"/>
        <v>https://d0f6bd738d7f1b3e5a7ca70fe4ff75f0.us-east-1.aws.found.io/app/kibana#/discover/Steve-Slow-Train-Analysis-(2080s-and-2083s)?_g=(refreshInterval:(display:Off,pause:!f,section:0,value:0),time:(from:'2017-12-12T14:13:52-0700',mode:absolute,to:'2017-12-12T17:04:53-0700'))&amp;_a=(columns:!('Message%20ID',Summary),filters:!(),index:'emp_*',interval:auto,query:(query_string:(analyze_wildcard:!t,query:'%22rtdc.l.rtdc.4009%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186" t="s">
        <v>807</v>
      </c>
      <c r="B104" s="182">
        <v>4030</v>
      </c>
      <c r="C104" s="184" t="s">
        <v>192</v>
      </c>
      <c r="D104" s="184" t="s">
        <v>465</v>
      </c>
      <c r="E104" s="183">
        <v>43081.610011574077</v>
      </c>
      <c r="F104" s="183">
        <v>43081.61478009259</v>
      </c>
      <c r="G104" s="182">
        <v>120</v>
      </c>
      <c r="H104" s="184" t="s">
        <v>973</v>
      </c>
      <c r="I104" s="183">
        <v>43081.639386574076</v>
      </c>
      <c r="J104" s="182">
        <v>0</v>
      </c>
      <c r="K104" s="190" t="str">
        <f t="shared" si="56"/>
        <v>4029/4030</v>
      </c>
      <c r="L104" s="196" t="str">
        <f>VLOOKUP(A104,'Trips&amp;Operators'!$C$1:$G$99911,5,FALSE)</f>
        <v>BRUDER RICHARD</v>
      </c>
      <c r="M104" s="181">
        <f t="shared" si="57"/>
        <v>2.4606481485534459E-2</v>
      </c>
      <c r="N104" s="182">
        <f t="shared" si="54"/>
        <v>35.433333339169621</v>
      </c>
      <c r="O104" s="182"/>
      <c r="P104" s="182"/>
      <c r="Q104" s="185"/>
      <c r="R104" s="197"/>
      <c r="S104" s="241">
        <f t="shared" si="55"/>
        <v>1</v>
      </c>
      <c r="T104" s="220" t="str">
        <f t="shared" si="58"/>
        <v>NorthBound</v>
      </c>
      <c r="U104" s="22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1" t="str">
        <f t="shared" si="59"/>
        <v>https://d0f6bd738d7f1b3e5a7ca70fe4ff75f0.us-east-1.aws.found.io/app/kibana#/discover/Steve-Slow-Train-Analysis-(2080s-and-2083s)?_g=(refreshInterval:(display:Off,pause:!f,section:0,value:0),time:(from:'2017-12-12T13:38:25-0700',mode:absolute,to:'2017-12-12T16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222" t="str">
        <f>IF(AA104&lt;VLOOKUP(AG104,Variables!$AC$3:$AD$8,2,FALSE),"Y","N")</f>
        <v>N</v>
      </c>
      <c r="X104" s="222">
        <f t="shared" si="72"/>
        <v>1</v>
      </c>
      <c r="Y104" s="222">
        <f t="shared" si="70"/>
        <v>5.2400000000000002E-2</v>
      </c>
      <c r="Z104" s="222">
        <f t="shared" si="71"/>
        <v>23.322299999999998</v>
      </c>
      <c r="AA104" s="222">
        <f t="shared" si="60"/>
        <v>23.2699</v>
      </c>
      <c r="AB104" s="231" t="e">
        <f>VLOOKUP(A104,Enforcements!$C$7:$K$9,8,0)</f>
        <v>#N/A</v>
      </c>
      <c r="AC104" s="231" t="e">
        <f>VLOOKUP(A104,Enforcements!$C$7:$E$9,3,0)</f>
        <v>#N/A</v>
      </c>
      <c r="AD104" s="232">
        <f t="shared" si="61"/>
        <v>189</v>
      </c>
      <c r="AE104" s="233" t="str">
        <f t="shared" si="62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104" s="234" t="str">
        <f t="shared" si="63"/>
        <v>"C:\Program Files (x86)\AstroGrep\AstroGrep.exe" /e /r /s /spath="%USERPROFILE%\AppData\Local\Temp\OnboardLogs" /stypes="app*4030*20171212*" /stext=" 22:.+((SYSTEM_STATE.+slice.+state.+changed )|(ment ac)|(multiple cpu faults)|(system.+state.+changed )|(\[timeout)|(PRM\|1\|D)|(kpr)|(kdp)|(train st.+moving)|(\|lc)|(penalty))"</v>
      </c>
      <c r="AG104" s="226" t="str">
        <f t="shared" si="64"/>
        <v>EC</v>
      </c>
      <c r="AH104" s="189" t="str">
        <f t="shared" si="65"/>
        <v>"%USERPROFILE%\Documents\GitHub\eaglep3\Utilities\RefineRTDCRunTimes.py" --tripid 189-12 --locoid 4030 --swversion DE.1.0.9.0 --startMP 204:524 --initTime 2017-12-12T14:38:25 --startdatetime 2017-12-12T14:45:17 --delay 120 --endMP 204:233223 --enddatetime 2017-12-12T15:20:43 --enforcementcount 0 &gt;&gt;%USERPROFILE%\Documents\GitHub\eaglep3-reporting\EC\2017-12-12-refined-times.txt</v>
      </c>
      <c r="AI104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{"issue":{"subject":"","project_id":79,"tracker_id":40,"status_id":1,"priority_id":2,"assigned_to_id":338,"start_date":"2017-12-12","description":"","custom_fields":[{"id":1,"name":"Subdivision","value":"EC"},{"id":4,"name":"Milepost","value":"23.3223"},{"id":17,"name":"Train ID","value":"189-12"},{"id":16,"name":"Locomotive ID","value":"4030"},{"id":130,"name":"Impact","value":""},{"id":150,"name":"Time of Event (Mountain Time)","value":"15:20:43"},{"id":151,"name":"Denver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180"/>
      <c r="AK104" s="188"/>
      <c r="AL104" s="188"/>
      <c r="AM104" s="193" t="str">
        <f t="shared" si="67"/>
        <v>start /low /b %USERPROFILE%\Documents\GitHub\eaglep3\Utilities\DownloadLogsFromS3.py --loco 4030 --day 2017-12-12</v>
      </c>
      <c r="AN104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87" t="str">
        <f t="shared" si="69"/>
        <v>https://d0f6bd738d7f1b3e5a7ca70fe4ff75f0.us-east-1.aws.found.io/app/kibana#/discover/Steve-Slow-Train-Analysis-(2080s-and-2083s)?_g=(refreshInterval:(display:Off,pause:!f,section:0,value:0),time:(from:'2017-12-12T13:38:25-0700',mode:absolute,to:'2017-12-12T16:20:43-0700'))&amp;_a=(columns:!('Message%20ID',Summary),filters:!(),index:'emp_*',interval:auto,query:(query_string:(analyze_wildcard:!t,query:'%22rtdc.l.rtdc.4030%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186" t="s">
        <v>817</v>
      </c>
      <c r="B105" s="182">
        <v>4029</v>
      </c>
      <c r="C105" s="184" t="s">
        <v>192</v>
      </c>
      <c r="D105" s="184" t="s">
        <v>555</v>
      </c>
      <c r="E105" s="183">
        <v>43081.650879629633</v>
      </c>
      <c r="F105" s="183">
        <v>43081.654351851852</v>
      </c>
      <c r="G105" s="182">
        <v>76</v>
      </c>
      <c r="H105" s="184" t="s">
        <v>967</v>
      </c>
      <c r="I105" s="183">
        <v>43081.681377314817</v>
      </c>
      <c r="J105" s="182">
        <v>0</v>
      </c>
      <c r="K105" s="190" t="str">
        <f t="shared" si="56"/>
        <v>4029/4030</v>
      </c>
      <c r="L105" s="196" t="str">
        <f>VLOOKUP(A105,'Trips&amp;Operators'!$C$1:$G$99911,5,FALSE)</f>
        <v>BRUDER RICHARD</v>
      </c>
      <c r="M105" s="181">
        <f t="shared" si="57"/>
        <v>2.7025462964957114E-2</v>
      </c>
      <c r="N105" s="182">
        <f t="shared" si="54"/>
        <v>38.916666669538245</v>
      </c>
      <c r="O105" s="182"/>
      <c r="P105" s="182"/>
      <c r="Q105" s="185"/>
      <c r="R105" s="197"/>
      <c r="S105" s="241">
        <f t="shared" si="55"/>
        <v>1</v>
      </c>
      <c r="T105" s="220" t="str">
        <f t="shared" si="58"/>
        <v>Southbound</v>
      </c>
      <c r="U105" s="22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1" t="str">
        <f t="shared" si="59"/>
        <v>https://d0f6bd738d7f1b3e5a7ca70fe4ff75f0.us-east-1.aws.found.io/app/kibana#/discover/Steve-Slow-Train-Analysis-(2080s-and-2083s)?_g=(refreshInterval:(display:Off,pause:!f,section:0,value:0),time:(from:'2017-12-12T14:37:16-0700',mode:absolute,to:'2017-12-12T17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222" t="str">
        <f>IF(AA105&lt;VLOOKUP(AG105,Variables!$AC$3:$AD$8,2,FALSE),"Y","N")</f>
        <v>N</v>
      </c>
      <c r="X105" s="222">
        <f t="shared" si="72"/>
        <v>1</v>
      </c>
      <c r="Y105" s="222">
        <f t="shared" si="70"/>
        <v>23.289200000000001</v>
      </c>
      <c r="Z105" s="222">
        <f t="shared" si="71"/>
        <v>2.2700000000000001E-2</v>
      </c>
      <c r="AA105" s="222">
        <f t="shared" si="60"/>
        <v>23.266500000000001</v>
      </c>
      <c r="AB105" s="231" t="e">
        <f>VLOOKUP(A105,Enforcements!$C$7:$K$9,8,0)</f>
        <v>#N/A</v>
      </c>
      <c r="AC105" s="231" t="e">
        <f>VLOOKUP(A105,Enforcements!$C$7:$E$9,3,0)</f>
        <v>#N/A</v>
      </c>
      <c r="AD105" s="232">
        <f t="shared" si="61"/>
        <v>190</v>
      </c>
      <c r="AE105" s="233" t="str">
        <f t="shared" si="62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105" s="234" t="str">
        <f t="shared" si="63"/>
        <v>"C:\Program Files (x86)\AstroGrep\AstroGrep.exe" /e /r /s /spath="%USERPROFILE%\AppData\Local\Temp\OnboardLogs" /stypes="app*4029*20171212*" /stext=" 23:.+((SYSTEM_STATE.+slice.+state.+changed )|(ment ac)|(multiple cpu faults)|(system.+state.+changed )|(\[timeout)|(PRM\|1\|D)|(kpr)|(kdp)|(train st.+moving)|(\|lc)|(penalty))"</v>
      </c>
      <c r="AG105" s="226" t="str">
        <f t="shared" si="64"/>
        <v>EC</v>
      </c>
      <c r="AH105" s="189" t="str">
        <f t="shared" si="65"/>
        <v>"%USERPROFILE%\Documents\GitHub\eaglep3\Utilities\RefineRTDCRunTimes.py" --tripid 190-12 --locoid 4029 --swversion DE.1.0.9.0 --startMP 204:232892 --initTime 2017-12-12T15:37:16 --startdatetime 2017-12-12T15:42:16 --delay 76 --endMP 204:227 --enddatetime 2017-12-12T16:21:11 --enforcementcount 0 &gt;&gt;%USERPROFILE%\Documents\GitHub\eaglep3-reporting\EC\2017-12-12-refined-times.txt</v>
      </c>
      <c r="AI105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{"issue":{"subject":"","project_id":79,"tracker_id":40,"status_id":1,"priority_id":2,"assigned_to_id":338,"start_date":"2017-12-12","description":"","custom_fields":[{"id":1,"name":"Subdivision","value":"EC"},{"id":4,"name":"Milepost","value":"0.0227"},{"id":17,"name":"Train ID","value":"190-12"},{"id":16,"name":"Locomotive ID","value":"4029"},{"id":130,"name":"Impact","value":""},{"id":150,"name":"Time of Event (Mountain Time)","value":"16:21:11"},{"id":151,"name":"Denver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180"/>
      <c r="AK105" s="188"/>
      <c r="AL105" s="188"/>
      <c r="AM105" s="193" t="str">
        <f t="shared" si="67"/>
        <v>start /low /b %USERPROFILE%\Documents\GitHub\eaglep3\Utilities\DownloadLogsFromS3.py --loco 4029 --day 2017-12-12</v>
      </c>
      <c r="AN105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87" t="str">
        <f t="shared" si="69"/>
        <v>https://d0f6bd738d7f1b3e5a7ca70fe4ff75f0.us-east-1.aws.found.io/app/kibana#/discover/Steve-Slow-Train-Analysis-(2080s-and-2083s)?_g=(refreshInterval:(display:Off,pause:!f,section:0,value:0),time:(from:'2017-12-12T14:37:16-0700',mode:absolute,to:'2017-12-12T17:21:11-0700'))&amp;_a=(columns:!('Message%20ID',Summary),filters:!(),index:'emp_*',interval:auto,query:(query_string:(analyze_wildcard:!t,query:'%22rtdc.l.rtdc.4029%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186" t="s">
        <v>809</v>
      </c>
      <c r="B106" s="182">
        <v>4016</v>
      </c>
      <c r="C106" s="184" t="s">
        <v>192</v>
      </c>
      <c r="D106" s="184" t="s">
        <v>586</v>
      </c>
      <c r="E106" s="183">
        <v>43081.61996527778</v>
      </c>
      <c r="F106" s="183">
        <v>43081.625231481485</v>
      </c>
      <c r="G106" s="182">
        <v>78</v>
      </c>
      <c r="H106" s="184" t="s">
        <v>974</v>
      </c>
      <c r="I106" s="183">
        <v>43081.650196759256</v>
      </c>
      <c r="J106" s="182">
        <v>0</v>
      </c>
      <c r="K106" s="190" t="str">
        <f t="shared" si="56"/>
        <v>4015/4016</v>
      </c>
      <c r="L106" s="196" t="str">
        <f>VLOOKUP(A106,'Trips&amp;Operators'!$C$1:$G$99911,5,FALSE)</f>
        <v>STEWART MICHAEL</v>
      </c>
      <c r="M106" s="181">
        <f t="shared" si="57"/>
        <v>2.4965277771116234E-2</v>
      </c>
      <c r="N106" s="182">
        <f t="shared" si="54"/>
        <v>35.949999990407377</v>
      </c>
      <c r="O106" s="182"/>
      <c r="P106" s="182"/>
      <c r="Q106" s="185"/>
      <c r="R106" s="197"/>
      <c r="S106" s="241">
        <f t="shared" si="55"/>
        <v>1</v>
      </c>
      <c r="T106" s="220" t="str">
        <f t="shared" si="58"/>
        <v>NorthBound</v>
      </c>
      <c r="U106" s="22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21" t="str">
        <f t="shared" si="59"/>
        <v>https://d0f6bd738d7f1b3e5a7ca70fe4ff75f0.us-east-1.aws.found.io/app/kibana#/discover/Steve-Slow-Train-Analysis-(2080s-and-2083s)?_g=(refreshInterval:(display:Off,pause:!f,section:0,value:0),time:(from:'2017-12-12T13:52:45-0700',mode:absolute,to:'2017-12-12T16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222" t="str">
        <f>IF(AA106&lt;VLOOKUP(AG106,Variables!$AC$3:$AD$8,2,FALSE),"Y","N")</f>
        <v>N</v>
      </c>
      <c r="X106" s="222">
        <f t="shared" si="72"/>
        <v>1</v>
      </c>
      <c r="Y106" s="222">
        <f t="shared" si="70"/>
        <v>0.05</v>
      </c>
      <c r="Z106" s="222">
        <f t="shared" si="71"/>
        <v>23.323599999999999</v>
      </c>
      <c r="AA106" s="222">
        <f t="shared" si="60"/>
        <v>23.273599999999998</v>
      </c>
      <c r="AB106" s="231" t="e">
        <f>VLOOKUP(A106,Enforcements!$C$7:$K$9,8,0)</f>
        <v>#N/A</v>
      </c>
      <c r="AC106" s="231" t="e">
        <f>VLOOKUP(A106,Enforcements!$C$7:$E$9,3,0)</f>
        <v>#N/A</v>
      </c>
      <c r="AD106" s="232">
        <f t="shared" si="61"/>
        <v>191</v>
      </c>
      <c r="AE106" s="233" t="str">
        <f t="shared" si="62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106" s="234" t="str">
        <f t="shared" si="63"/>
        <v>"C:\Program Files (x86)\AstroGrep\AstroGrep.exe" /e /r /s /spath="%USERPROFILE%\AppData\Local\Temp\OnboardLogs" /stypes="app*4016*20171212*" /stext=" 22:.+((SYSTEM_STATE.+slice.+state.+changed )|(ment ac)|(multiple cpu faults)|(system.+state.+changed )|(\[timeout)|(PRM\|1\|D)|(kpr)|(kdp)|(train st.+moving)|(\|lc)|(penalty))"</v>
      </c>
      <c r="AG106" s="226" t="str">
        <f t="shared" si="64"/>
        <v>EC</v>
      </c>
      <c r="AH106" s="189" t="str">
        <f t="shared" si="65"/>
        <v>"%USERPROFILE%\Documents\GitHub\eaglep3\Utilities\RefineRTDCRunTimes.py" --tripid 191-12 --locoid 4016 --swversion DE.1.0.9.0 --startMP 204:500 --initTime 2017-12-12T14:52:45 --startdatetime 2017-12-12T15:00:20 --delay 78 --endMP 204:233236 --enddatetime 2017-12-12T15:36:17 --enforcementcount 0 &gt;&gt;%USERPROFILE%\Documents\GitHub\eaglep3-reporting\EC\2017-12-12-refined-times.txt</v>
      </c>
      <c r="AI106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{"issue":{"subject":"","project_id":79,"tracker_id":40,"status_id":1,"priority_id":2,"assigned_to_id":338,"start_date":"2017-12-12","description":"","custom_fields":[{"id":1,"name":"Subdivision","value":"EC"},{"id":4,"name":"Milepost","value":"23.3236"},{"id":17,"name":"Train ID","value":"191-12"},{"id":16,"name":"Locomotive ID","value":"4016"},{"id":130,"name":"Impact","value":""},{"id":150,"name":"Time of Event (Mountain Time)","value":"15:36:17"},{"id":151,"name":"Denver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180"/>
      <c r="AK106" s="188"/>
      <c r="AL106" s="188"/>
      <c r="AM106" s="193" t="str">
        <f t="shared" si="67"/>
        <v>start /low /b %USERPROFILE%\Documents\GitHub\eaglep3\Utilities\DownloadLogsFromS3.py --loco 4016 --day 2017-12-12</v>
      </c>
      <c r="AN106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87" t="str">
        <f t="shared" si="69"/>
        <v>https://d0f6bd738d7f1b3e5a7ca70fe4ff75f0.us-east-1.aws.found.io/app/kibana#/discover/Steve-Slow-Train-Analysis-(2080s-and-2083s)?_g=(refreshInterval:(display:Off,pause:!f,section:0,value:0),time:(from:'2017-12-12T13:52:45-0700',mode:absolute,to:'2017-12-12T16:36:17-0700'))&amp;_a=(columns:!('Message%20ID',Summary),filters:!(),index:'emp_*',interval:auto,query:(query_string:(analyze_wildcard:!t,query:'%22rtdc.l.rtdc.4016%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186" t="s">
        <v>819</v>
      </c>
      <c r="B107" s="182">
        <v>4015</v>
      </c>
      <c r="C107" s="184" t="s">
        <v>192</v>
      </c>
      <c r="D107" s="184" t="s">
        <v>975</v>
      </c>
      <c r="E107" s="183">
        <v>43081.661643518521</v>
      </c>
      <c r="F107" s="183">
        <v>43081.664780092593</v>
      </c>
      <c r="G107" s="182">
        <v>76</v>
      </c>
      <c r="H107" s="184" t="s">
        <v>915</v>
      </c>
      <c r="I107" s="183">
        <v>43081.691574074073</v>
      </c>
      <c r="J107" s="182">
        <v>0</v>
      </c>
      <c r="K107" s="190" t="str">
        <f t="shared" si="56"/>
        <v>4015/4016</v>
      </c>
      <c r="L107" s="196" t="str">
        <f>VLOOKUP(A107,'Trips&amp;Operators'!$C$1:$G$99911,5,FALSE)</f>
        <v>STEWART MICHAEL</v>
      </c>
      <c r="M107" s="181">
        <f t="shared" si="57"/>
        <v>2.679398148029577E-2</v>
      </c>
      <c r="N107" s="182">
        <f t="shared" si="54"/>
        <v>38.583333331625909</v>
      </c>
      <c r="O107" s="182"/>
      <c r="P107" s="182"/>
      <c r="Q107" s="185"/>
      <c r="R107" s="197"/>
      <c r="S107" s="241">
        <f t="shared" ref="S107:S138" si="73">1/IF(AG107="EC",12,1)*SUM(U107:U107)</f>
        <v>1</v>
      </c>
      <c r="T107" s="220" t="str">
        <f t="shared" si="58"/>
        <v>Southbound</v>
      </c>
      <c r="U107" s="22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21" t="str">
        <f t="shared" si="59"/>
        <v>https://d0f6bd738d7f1b3e5a7ca70fe4ff75f0.us-east-1.aws.found.io/app/kibana#/discover/Steve-Slow-Train-Analysis-(2080s-and-2083s)?_g=(refreshInterval:(display:Off,pause:!f,section:0,value:0),time:(from:'2017-12-12T14:52:46-0700',mode:absolute,to:'2017-12-12T17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222" t="str">
        <f>IF(AA107&lt;VLOOKUP(AG107,Variables!$AC$3:$AD$8,2,FALSE),"Y","N")</f>
        <v>N</v>
      </c>
      <c r="X107" s="222">
        <f t="shared" si="72"/>
        <v>1</v>
      </c>
      <c r="Y107" s="222">
        <f t="shared" si="70"/>
        <v>23.291699999999999</v>
      </c>
      <c r="Z107" s="222">
        <f t="shared" si="71"/>
        <v>1.7000000000000001E-2</v>
      </c>
      <c r="AA107" s="222">
        <f t="shared" si="60"/>
        <v>23.274699999999999</v>
      </c>
      <c r="AB107" s="231" t="e">
        <f>VLOOKUP(A107,Enforcements!$C$7:$K$9,8,0)</f>
        <v>#N/A</v>
      </c>
      <c r="AC107" s="231" t="e">
        <f>VLOOKUP(A107,Enforcements!$C$7:$E$9,3,0)</f>
        <v>#N/A</v>
      </c>
      <c r="AD107" s="232">
        <f t="shared" si="61"/>
        <v>192</v>
      </c>
      <c r="AE107" s="233" t="str">
        <f t="shared" si="62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107" s="234" t="str">
        <f t="shared" si="63"/>
        <v>"C:\Program Files (x86)\AstroGrep\AstroGrep.exe" /e /r /s /spath="%USERPROFILE%\AppData\Local\Temp\OnboardLogs" /stypes="app*4015*20171212*" /stext=" 23:.+((SYSTEM_STATE.+slice.+state.+changed )|(ment ac)|(multiple cpu faults)|(system.+state.+changed )|(\[timeout)|(PRM\|1\|D)|(kpr)|(kdp)|(train st.+moving)|(\|lc)|(penalty))"</v>
      </c>
      <c r="AG107" s="226" t="str">
        <f t="shared" si="64"/>
        <v>EC</v>
      </c>
      <c r="AH107" s="189" t="str">
        <f t="shared" si="65"/>
        <v>"%USERPROFILE%\Documents\GitHub\eaglep3\Utilities\RefineRTDCRunTimes.py" --tripid 192-12 --locoid 4015 --swversion DE.1.0.9.0 --startMP 204:232917 --initTime 2017-12-12T15:52:46 --startdatetime 2017-12-12T15:57:17 --delay 76 --endMP 204:170 --enddatetime 2017-12-12T16:35:52 --enforcementcount 0 &gt;&gt;%USERPROFILE%\Documents\GitHub\eaglep3-reporting\EC\2017-12-12-refined-times.txt</v>
      </c>
      <c r="AI107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{"issue":{"subject":"","project_id":79,"tracker_id":40,"status_id":1,"priority_id":2,"assigned_to_id":338,"start_date":"2017-12-12","description":"","custom_fields":[{"id":1,"name":"Subdivision","value":"EC"},{"id":4,"name":"Milepost","value":"0.017"},{"id":17,"name":"Train ID","value":"192-12"},{"id":16,"name":"Locomotive ID","value":"4015"},{"id":130,"name":"Impact","value":""},{"id":150,"name":"Time of Event (Mountain Time)","value":"16:35:52"},{"id":151,"name":"Denver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180"/>
      <c r="AK107" s="188"/>
      <c r="AL107" s="188"/>
      <c r="AM107" s="193" t="str">
        <f t="shared" si="67"/>
        <v>start /low /b %USERPROFILE%\Documents\GitHub\eaglep3\Utilities\DownloadLogsFromS3.py --loco 4015 --day 2017-12-12</v>
      </c>
      <c r="AN107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87" t="str">
        <f t="shared" si="69"/>
        <v>https://d0f6bd738d7f1b3e5a7ca70fe4ff75f0.us-east-1.aws.found.io/app/kibana#/discover/Steve-Slow-Train-Analysis-(2080s-and-2083s)?_g=(refreshInterval:(display:Off,pause:!f,section:0,value:0),time:(from:'2017-12-12T14:52:46-0700',mode:absolute,to:'2017-12-12T17:35:52-0700'))&amp;_a=(columns:!('Message%20ID',Summary),filters:!(),index:'emp_*',interval:auto,query:(query_string:(analyze_wildcard:!t,query:'%22rtdc.l.rtdc.4015%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186" t="s">
        <v>812</v>
      </c>
      <c r="B108" s="182">
        <v>4058</v>
      </c>
      <c r="C108" s="184" t="s">
        <v>192</v>
      </c>
      <c r="D108" s="184" t="s">
        <v>488</v>
      </c>
      <c r="E108" s="183">
        <v>43081.632696759261</v>
      </c>
      <c r="F108" s="183">
        <v>43081.635648148149</v>
      </c>
      <c r="G108" s="182">
        <v>56</v>
      </c>
      <c r="H108" s="184" t="s">
        <v>912</v>
      </c>
      <c r="I108" s="183">
        <v>43081.660428240742</v>
      </c>
      <c r="J108" s="182">
        <v>0</v>
      </c>
      <c r="K108" s="190" t="str">
        <f t="shared" si="56"/>
        <v>4057/4058</v>
      </c>
      <c r="L108" s="196" t="str">
        <f>VLOOKUP(A108,'Trips&amp;Operators'!$C$1:$G$99911,5,FALSE)</f>
        <v>LEVIN SCOTT</v>
      </c>
      <c r="M108" s="181">
        <f t="shared" si="57"/>
        <v>2.4780092593573499E-2</v>
      </c>
      <c r="N108" s="182">
        <f t="shared" si="54"/>
        <v>35.683333334745839</v>
      </c>
      <c r="O108" s="182"/>
      <c r="P108" s="182"/>
      <c r="Q108" s="185"/>
      <c r="R108" s="197"/>
      <c r="S108" s="241">
        <f t="shared" si="73"/>
        <v>1</v>
      </c>
      <c r="T108" s="220" t="str">
        <f t="shared" si="58"/>
        <v>NorthBound</v>
      </c>
      <c r="U108" s="22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1" t="str">
        <f t="shared" si="59"/>
        <v>https://d0f6bd738d7f1b3e5a7ca70fe4ff75f0.us-east-1.aws.found.io/app/kibana#/discover/Steve-Slow-Train-Analysis-(2080s-and-2083s)?_g=(refreshInterval:(display:Off,pause:!f,section:0,value:0),time:(from:'2017-12-12T14:11:05-0700',mode:absolute,to:'2017-12-12T16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8" s="222" t="str">
        <f>IF(AA108&lt;VLOOKUP(AG108,Variables!$AC$3:$AD$8,2,FALSE),"Y","N")</f>
        <v>N</v>
      </c>
      <c r="X108" s="222">
        <f t="shared" si="72"/>
        <v>1</v>
      </c>
      <c r="Y108" s="222">
        <f t="shared" si="70"/>
        <v>4.6399999999999997E-2</v>
      </c>
      <c r="Z108" s="222">
        <f t="shared" si="71"/>
        <v>23.329499999999999</v>
      </c>
      <c r="AA108" s="222">
        <f t="shared" si="60"/>
        <v>23.283100000000001</v>
      </c>
      <c r="AB108" s="231" t="e">
        <f>VLOOKUP(A108,Enforcements!$C$7:$K$9,8,0)</f>
        <v>#N/A</v>
      </c>
      <c r="AC108" s="231" t="e">
        <f>VLOOKUP(A108,Enforcements!$C$7:$E$9,3,0)</f>
        <v>#N/A</v>
      </c>
      <c r="AD108" s="232">
        <f t="shared" si="61"/>
        <v>193</v>
      </c>
      <c r="AE108" s="233" t="str">
        <f t="shared" si="62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108" s="234" t="str">
        <f t="shared" si="63"/>
        <v>"C:\Program Files (x86)\AstroGrep\AstroGrep.exe" /e /r /s /spath="%USERPROFILE%\AppData\Local\Temp\OnboardLogs" /stypes="app*4058*20171212*" /stext=" 22:.+((SYSTEM_STATE.+slice.+state.+changed )|(ment ac)|(multiple cpu faults)|(system.+state.+changed )|(\[timeout)|(PRM\|1\|D)|(kpr)|(kdp)|(train st.+moving)|(\|lc)|(penalty))"</v>
      </c>
      <c r="AG108" s="226" t="str">
        <f t="shared" si="64"/>
        <v>EC</v>
      </c>
      <c r="AH108" s="189" t="str">
        <f t="shared" si="65"/>
        <v>"%USERPROFILE%\Documents\GitHub\eaglep3\Utilities\RefineRTDCRunTimes.py" --tripid 193-12 --locoid 4058 --swversion DE.1.0.9.0 --startMP 204:464 --initTime 2017-12-12T15:11:05 --startdatetime 2017-12-12T15:15:20 --delay 56 --endMP 204:233295 --enddatetime 2017-12-12T15:51:01 --enforcementcount 0 &gt;&gt;%USERPROFILE%\Documents\GitHub\eaglep3-reporting\EC\2017-12-12-refined-times.txt</v>
      </c>
      <c r="AI108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{"issue":{"subject":"","project_id":79,"tracker_id":40,"status_id":1,"priority_id":2,"assigned_to_id":338,"start_date":"2017-12-12","description":"","custom_fields":[{"id":1,"name":"Subdivision","value":"EC"},{"id":4,"name":"Milepost","value":"23.3295"},{"id":17,"name":"Train ID","value":"193-12"},{"id":16,"name":"Locomotive ID","value":"4058"},{"id":130,"name":"Impact","value":""},{"id":150,"name":"Time of Event (Mountain Time)","value":"15:51:01"},{"id":151,"name":"Denver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180"/>
      <c r="AK108" s="188"/>
      <c r="AL108" s="188"/>
      <c r="AM108" s="193" t="str">
        <f t="shared" si="67"/>
        <v>start /low /b %USERPROFILE%\Documents\GitHub\eaglep3\Utilities\DownloadLogsFromS3.py --loco 4058 --day 2017-12-12</v>
      </c>
      <c r="AN108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87" t="str">
        <f t="shared" si="69"/>
        <v>https://d0f6bd738d7f1b3e5a7ca70fe4ff75f0.us-east-1.aws.found.io/app/kibana#/discover/Steve-Slow-Train-Analysis-(2080s-and-2083s)?_g=(refreshInterval:(display:Off,pause:!f,section:0,value:0),time:(from:'2017-12-12T14:11:05-0700',mode:absolute,to:'2017-12-12T16:51:01-0700'))&amp;_a=(columns:!('Message%20ID',Summary),filters:!(),index:'emp_*',interval:auto,query:(query_string:(analyze_wildcard:!t,query:'%22rtdc.l.rtdc.4058%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186" t="s">
        <v>823</v>
      </c>
      <c r="B109" s="182">
        <v>4057</v>
      </c>
      <c r="C109" s="184" t="s">
        <v>192</v>
      </c>
      <c r="D109" s="184" t="s">
        <v>914</v>
      </c>
      <c r="E109" s="183">
        <v>43081.669571759259</v>
      </c>
      <c r="F109" s="183">
        <v>43081.675219907411</v>
      </c>
      <c r="G109" s="182">
        <v>51</v>
      </c>
      <c r="H109" s="184" t="s">
        <v>949</v>
      </c>
      <c r="I109" s="183">
        <v>43081.701817129629</v>
      </c>
      <c r="J109" s="182">
        <v>0</v>
      </c>
      <c r="K109" s="190" t="str">
        <f t="shared" si="56"/>
        <v>4057/4058</v>
      </c>
      <c r="L109" s="196" t="str">
        <f>VLOOKUP(A109,'Trips&amp;Operators'!$C$1:$G$99911,5,FALSE)</f>
        <v>LEVIN SCOTT</v>
      </c>
      <c r="M109" s="181">
        <f t="shared" si="57"/>
        <v>2.6597222218697425E-2</v>
      </c>
      <c r="N109" s="182">
        <f t="shared" si="54"/>
        <v>38.299999994924292</v>
      </c>
      <c r="O109" s="182"/>
      <c r="P109" s="182"/>
      <c r="Q109" s="185"/>
      <c r="R109" s="197"/>
      <c r="S109" s="241">
        <f t="shared" si="73"/>
        <v>1</v>
      </c>
      <c r="T109" s="220" t="str">
        <f t="shared" si="58"/>
        <v>Southbound</v>
      </c>
      <c r="U109" s="22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1" t="str">
        <f t="shared" si="59"/>
        <v>https://d0f6bd738d7f1b3e5a7ca70fe4ff75f0.us-east-1.aws.found.io/app/kibana#/discover/Steve-Slow-Train-Analysis-(2080s-and-2083s)?_g=(refreshInterval:(display:Off,pause:!f,section:0,value:0),time:(from:'2017-12-12T15:04:11-0700',mode:absolute,to:'2017-12-12T17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9" s="222" t="str">
        <f>IF(AA109&lt;VLOOKUP(AG109,Variables!$AC$3:$AD$8,2,FALSE),"Y","N")</f>
        <v>N</v>
      </c>
      <c r="X109" s="222">
        <f t="shared" si="72"/>
        <v>1</v>
      </c>
      <c r="Y109" s="222">
        <f t="shared" si="70"/>
        <v>23.297599999999999</v>
      </c>
      <c r="Z109" s="222">
        <f t="shared" si="71"/>
        <v>1.6899999999999998E-2</v>
      </c>
      <c r="AA109" s="222">
        <f t="shared" si="60"/>
        <v>23.2807</v>
      </c>
      <c r="AB109" s="231" t="e">
        <f>VLOOKUP(A109,Enforcements!$C$7:$K$9,8,0)</f>
        <v>#N/A</v>
      </c>
      <c r="AC109" s="231" t="e">
        <f>VLOOKUP(A109,Enforcements!$C$7:$E$9,3,0)</f>
        <v>#N/A</v>
      </c>
      <c r="AD109" s="232">
        <f t="shared" si="61"/>
        <v>194</v>
      </c>
      <c r="AE109" s="233" t="str">
        <f t="shared" si="62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109" s="234" t="str">
        <f t="shared" si="63"/>
        <v>"C:\Program Files (x86)\AstroGrep\AstroGrep.exe" /e /r /s /spath="%USERPROFILE%\AppData\Local\Temp\OnboardLogs" /stypes="app*4057*20171212*" /stext=" 23:.+((SYSTEM_STATE.+slice.+state.+changed )|(ment ac)|(multiple cpu faults)|(system.+state.+changed )|(\[timeout)|(PRM\|1\|D)|(kpr)|(kdp)|(train st.+moving)|(\|lc)|(penalty))"</v>
      </c>
      <c r="AG109" s="226" t="str">
        <f t="shared" si="64"/>
        <v>EC</v>
      </c>
      <c r="AH109" s="189" t="str">
        <f t="shared" si="65"/>
        <v>"%USERPROFILE%\Documents\GitHub\eaglep3\Utilities\RefineRTDCRunTimes.py" --tripid 194-12 --locoid 4057 --swversion DE.1.0.9.0 --startMP 204:232976 --initTime 2017-12-12T16:04:11 --startdatetime 2017-12-12T16:12:19 --delay 51 --endMP 204:169 --enddatetime 2017-12-12T16:50:37 --enforcementcount 0 &gt;&gt;%USERPROFILE%\Documents\GitHub\eaglep3-reporting\EC\2017-12-12-refined-times.txt</v>
      </c>
      <c r="AI109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{"issue":{"subject":"","project_id":79,"tracker_id":40,"status_id":1,"priority_id":2,"assigned_to_id":338,"start_date":"2017-12-12","description":"","custom_fields":[{"id":1,"name":"Subdivision","value":"EC"},{"id":4,"name":"Milepost","value":"0.0169"},{"id":17,"name":"Train ID","value":"194-12"},{"id":16,"name":"Locomotive ID","value":"4057"},{"id":130,"name":"Impact","value":""},{"id":150,"name":"Time of Event (Mountain Time)","value":"16:50:37"},{"id":151,"name":"Denver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180"/>
      <c r="AK109" s="188"/>
      <c r="AL109" s="188"/>
      <c r="AM109" s="193" t="str">
        <f t="shared" si="67"/>
        <v>start /low /b %USERPROFILE%\Documents\GitHub\eaglep3\Utilities\DownloadLogsFromS3.py --loco 4057 --day 2017-12-12</v>
      </c>
      <c r="AN109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87" t="str">
        <f t="shared" si="69"/>
        <v>https://d0f6bd738d7f1b3e5a7ca70fe4ff75f0.us-east-1.aws.found.io/app/kibana#/discover/Steve-Slow-Train-Analysis-(2080s-and-2083s)?_g=(refreshInterval:(display:Off,pause:!f,section:0,value:0),time:(from:'2017-12-12T15:04:11-0700',mode:absolute,to:'2017-12-12T17:50:37-0700'))&amp;_a=(columns:!('Message%20ID',Summary),filters:!(),index:'emp_*',interval:auto,query:(query_string:(analyze_wildcard:!t,query:'%22rtdc.l.rtdc.4057%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186" t="s">
        <v>816</v>
      </c>
      <c r="B110" s="182">
        <v>4006</v>
      </c>
      <c r="C110" s="184" t="s">
        <v>192</v>
      </c>
      <c r="D110" s="184" t="s">
        <v>976</v>
      </c>
      <c r="E110" s="183">
        <v>43081.642384259256</v>
      </c>
      <c r="F110" s="183">
        <v>43081.646006944444</v>
      </c>
      <c r="G110" s="182">
        <v>60</v>
      </c>
      <c r="H110" s="184" t="s">
        <v>977</v>
      </c>
      <c r="I110" s="183">
        <v>43081.673055555555</v>
      </c>
      <c r="J110" s="182">
        <v>0</v>
      </c>
      <c r="K110" s="190" t="str">
        <f t="shared" si="56"/>
        <v>4005/4006</v>
      </c>
      <c r="L110" s="196" t="str">
        <f>VLOOKUP(A110,'Trips&amp;Operators'!$C$1:$G$99911,5,FALSE)</f>
        <v>LONG FULLER</v>
      </c>
      <c r="M110" s="181">
        <f t="shared" si="57"/>
        <v>2.7048611111240461E-2</v>
      </c>
      <c r="N110" s="182">
        <f t="shared" si="54"/>
        <v>38.950000000186265</v>
      </c>
      <c r="O110" s="182"/>
      <c r="P110" s="182"/>
      <c r="Q110" s="185"/>
      <c r="R110" s="197"/>
      <c r="S110" s="241">
        <f t="shared" si="73"/>
        <v>1</v>
      </c>
      <c r="T110" s="220" t="str">
        <f t="shared" si="58"/>
        <v>NorthBound</v>
      </c>
      <c r="U110" s="22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21" t="str">
        <f t="shared" si="59"/>
        <v>https://d0f6bd738d7f1b3e5a7ca70fe4ff75f0.us-east-1.aws.found.io/app/kibana#/discover/Steve-Slow-Train-Analysis-(2080s-and-2083s)?_g=(refreshInterval:(display:Off,pause:!f,section:0,value:0),time:(from:'2017-12-12T14:25:02-0700',mode:absolute,to:'2017-12-12T17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0" s="222" t="str">
        <f>IF(AA110&lt;VLOOKUP(AG110,Variables!$AC$3:$AD$8,2,FALSE),"Y","N")</f>
        <v>N</v>
      </c>
      <c r="X110" s="222">
        <f t="shared" si="72"/>
        <v>1</v>
      </c>
      <c r="Y110" s="222">
        <f t="shared" si="70"/>
        <v>5.6399999999999999E-2</v>
      </c>
      <c r="Z110" s="222">
        <f t="shared" si="71"/>
        <v>23.318000000000001</v>
      </c>
      <c r="AA110" s="222">
        <f t="shared" si="60"/>
        <v>23.261600000000001</v>
      </c>
      <c r="AB110" s="231" t="e">
        <f>VLOOKUP(A110,Enforcements!$C$7:$K$9,8,0)</f>
        <v>#N/A</v>
      </c>
      <c r="AC110" s="231" t="e">
        <f>VLOOKUP(A110,Enforcements!$C$7:$E$9,3,0)</f>
        <v>#N/A</v>
      </c>
      <c r="AD110" s="232">
        <f t="shared" si="61"/>
        <v>195</v>
      </c>
      <c r="AE110" s="233" t="str">
        <f t="shared" si="62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110" s="234" t="str">
        <f t="shared" si="63"/>
        <v>"C:\Program Files (x86)\AstroGrep\AstroGrep.exe" /e /r /s /spath="%USERPROFILE%\AppData\Local\Temp\OnboardLogs" /stypes="app*4006*20171212*" /stext=" 23:.+((SYSTEM_STATE.+slice.+state.+changed )|(ment ac)|(multiple cpu faults)|(system.+state.+changed )|(\[timeout)|(PRM\|1\|D)|(kpr)|(kdp)|(train st.+moving)|(\|lc)|(penalty))"</v>
      </c>
      <c r="AG110" s="226" t="str">
        <f t="shared" si="64"/>
        <v>EC</v>
      </c>
      <c r="AH110" s="189" t="str">
        <f t="shared" si="65"/>
        <v>"%USERPROFILE%\Documents\GitHub\eaglep3\Utilities\RefineRTDCRunTimes.py" --tripid 195-12 --locoid 4006 --swversion DE.1.0.9.0 --startMP 204:564 --initTime 2017-12-12T15:25:02 --startdatetime 2017-12-12T15:30:15 --delay 60 --endMP 204:233180 --enddatetime 2017-12-12T16:09:12 --enforcementcount 0 &gt;&gt;%USERPROFILE%\Documents\GitHub\eaglep3-reporting\EC\2017-12-12-refined-times.txt</v>
      </c>
      <c r="AI110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{"issue":{"subject":"","project_id":79,"tracker_id":40,"status_id":1,"priority_id":2,"assigned_to_id":338,"start_date":"2017-12-12","description":"","custom_fields":[{"id":1,"name":"Subdivision","value":"EC"},{"id":4,"name":"Milepost","value":"23.318"},{"id":17,"name":"Train ID","value":"195-12"},{"id":16,"name":"Locomotive ID","value":"4006"},{"id":130,"name":"Impact","value":""},{"id":150,"name":"Time of Event (Mountain Time)","value":"16:09:12"},{"id":151,"name":"Denver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180"/>
      <c r="AK110" s="188"/>
      <c r="AL110" s="188"/>
      <c r="AM110" s="193" t="str">
        <f t="shared" si="67"/>
        <v>start /low /b %USERPROFILE%\Documents\GitHub\eaglep3\Utilities\DownloadLogsFromS3.py --loco 4006 --day 2017-12-12</v>
      </c>
      <c r="AN110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87" t="str">
        <f t="shared" si="69"/>
        <v>https://d0f6bd738d7f1b3e5a7ca70fe4ff75f0.us-east-1.aws.found.io/app/kibana#/discover/Steve-Slow-Train-Analysis-(2080s-and-2083s)?_g=(refreshInterval:(display:Off,pause:!f,section:0,value:0),time:(from:'2017-12-12T14:25:02-0700',mode:absolute,to:'2017-12-12T17:09:12-0700'))&amp;_a=(columns:!('Message%20ID',Summary),filters:!(),index:'emp_*',interval:auto,query:(query_string:(analyze_wildcard:!t,query:'%22rtdc.l.rtdc.4006%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186" t="s">
        <v>826</v>
      </c>
      <c r="B111" s="182">
        <v>4005</v>
      </c>
      <c r="C111" s="184" t="s">
        <v>192</v>
      </c>
      <c r="D111" s="184" t="s">
        <v>978</v>
      </c>
      <c r="E111" s="183">
        <v>43081.679525462961</v>
      </c>
      <c r="F111" s="183">
        <v>43081.685624999998</v>
      </c>
      <c r="G111" s="182">
        <v>66</v>
      </c>
      <c r="H111" s="184" t="s">
        <v>503</v>
      </c>
      <c r="I111" s="183">
        <v>43081.712893518517</v>
      </c>
      <c r="J111" s="182">
        <v>0</v>
      </c>
      <c r="K111" s="190" t="str">
        <f t="shared" si="56"/>
        <v>4005/4006</v>
      </c>
      <c r="L111" s="196" t="str">
        <f>VLOOKUP(A111,'Trips&amp;Operators'!$C$1:$G$99911,5,FALSE)</f>
        <v>LONG FULLER</v>
      </c>
      <c r="M111" s="181">
        <f t="shared" si="57"/>
        <v>2.7268518519122154E-2</v>
      </c>
      <c r="N111" s="182">
        <f t="shared" si="54"/>
        <v>39.266666667535901</v>
      </c>
      <c r="O111" s="182"/>
      <c r="P111" s="182"/>
      <c r="Q111" s="185"/>
      <c r="R111" s="197"/>
      <c r="S111" s="241">
        <f t="shared" si="73"/>
        <v>1</v>
      </c>
      <c r="T111" s="220" t="str">
        <f t="shared" si="58"/>
        <v>Southbound</v>
      </c>
      <c r="U111" s="22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21" t="str">
        <f t="shared" si="59"/>
        <v>https://d0f6bd738d7f1b3e5a7ca70fe4ff75f0.us-east-1.aws.found.io/app/kibana#/discover/Steve-Slow-Train-Analysis-(2080s-and-2083s)?_g=(refreshInterval:(display:Off,pause:!f,section:0,value:0),time:(from:'2017-12-12T15:18:31-0700',mode:absolute,to:'2017-12-12T18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1" s="222" t="str">
        <f>IF(AA111&lt;VLOOKUP(AG111,Variables!$AC$3:$AD$8,2,FALSE),"Y","N")</f>
        <v>N</v>
      </c>
      <c r="X111" s="222">
        <f t="shared" si="72"/>
        <v>1</v>
      </c>
      <c r="Y111" s="222">
        <f t="shared" si="70"/>
        <v>23.287299999999998</v>
      </c>
      <c r="Z111" s="222">
        <f t="shared" si="71"/>
        <v>2.4299999999999999E-2</v>
      </c>
      <c r="AA111" s="222">
        <f t="shared" si="60"/>
        <v>23.262999999999998</v>
      </c>
      <c r="AB111" s="231" t="e">
        <f>VLOOKUP(A111,Enforcements!$C$7:$K$9,8,0)</f>
        <v>#N/A</v>
      </c>
      <c r="AC111" s="231" t="e">
        <f>VLOOKUP(A111,Enforcements!$C$7:$E$9,3,0)</f>
        <v>#N/A</v>
      </c>
      <c r="AD111" s="232">
        <f t="shared" si="61"/>
        <v>196</v>
      </c>
      <c r="AE111" s="233" t="str">
        <f t="shared" si="62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111" s="234" t="str">
        <f t="shared" si="63"/>
        <v>"C:\Program Files (x86)\AstroGrep\AstroGrep.exe" /e /r /s /spath="%USERPROFILE%\AppData\Local\Temp\OnboardLogs" /stypes="app*4005*20171213*" /stext=" 00:.+((SYSTEM_STATE.+slice.+state.+changed )|(ment ac)|(multiple cpu faults)|(system.+state.+changed )|(\[timeout)|(PRM\|1\|D)|(kpr)|(kdp)|(train st.+moving)|(\|lc)|(penalty))"</v>
      </c>
      <c r="AG111" s="226" t="str">
        <f t="shared" si="64"/>
        <v>EC</v>
      </c>
      <c r="AH111" s="189" t="str">
        <f t="shared" si="65"/>
        <v>"%USERPROFILE%\Documents\GitHub\eaglep3\Utilities\RefineRTDCRunTimes.py" --tripid 196-12 --locoid 4005 --swversion DE.1.0.9.0 --startMP 204:232873 --initTime 2017-12-12T16:18:31 --startdatetime 2017-12-12T16:27:18 --delay 66 --endMP 204:243 --enddatetime 2017-12-12T17:06:34 --enforcementcount 0 &gt;&gt;%USERPROFILE%\Documents\GitHub\eaglep3-reporting\EC\2017-12-12-refined-times.txt</v>
      </c>
      <c r="AI111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{"issue":{"subject":"","project_id":79,"tracker_id":40,"status_id":1,"priority_id":2,"assigned_to_id":338,"start_date":"2017-12-12","description":"","custom_fields":[{"id":1,"name":"Subdivision","value":"EC"},{"id":4,"name":"Milepost","value":"0.0243"},{"id":17,"name":"Train ID","value":"196-12"},{"id":16,"name":"Locomotive ID","value":"4005"},{"id":130,"name":"Impact","value":""},{"id":150,"name":"Time of Event (Mountain Time)","value":"17:06:34"},{"id":151,"name":"Denver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180"/>
      <c r="AK111" s="188"/>
      <c r="AL111" s="188"/>
      <c r="AM111" s="193" t="str">
        <f t="shared" si="67"/>
        <v>start /low /b %USERPROFILE%\Documents\GitHub\eaglep3\Utilities\DownloadLogsFromS3.py --loco 4005 --day 2017-12-12</v>
      </c>
      <c r="AN111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87" t="str">
        <f t="shared" si="69"/>
        <v>https://d0f6bd738d7f1b3e5a7ca70fe4ff75f0.us-east-1.aws.found.io/app/kibana#/discover/Steve-Slow-Train-Analysis-(2080s-and-2083s)?_g=(refreshInterval:(display:Off,pause:!f,section:0,value:0),time:(from:'2017-12-12T15:18:31-0700',mode:absolute,to:'2017-12-12T18:06:34-0700'))&amp;_a=(columns:!('Message%20ID',Summary),filters:!(),index:'emp_*',interval:auto,query:(query_string:(analyze_wildcard:!t,query:'%22rtdc.l.rtdc.4005%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1" customFormat="1" x14ac:dyDescent="0.25">
      <c r="A112" s="186" t="s">
        <v>818</v>
      </c>
      <c r="B112" s="182">
        <v>4022</v>
      </c>
      <c r="C112" s="184" t="s">
        <v>192</v>
      </c>
      <c r="D112" s="184" t="s">
        <v>643</v>
      </c>
      <c r="E112" s="183">
        <v>43081.652465277781</v>
      </c>
      <c r="F112" s="183">
        <v>43081.656481481485</v>
      </c>
      <c r="G112" s="182">
        <v>97</v>
      </c>
      <c r="H112" s="184" t="s">
        <v>471</v>
      </c>
      <c r="I112" s="183">
        <v>43081.681863425925</v>
      </c>
      <c r="J112" s="182">
        <v>0</v>
      </c>
      <c r="K112" s="190" t="str">
        <f t="shared" si="56"/>
        <v>4021/4022</v>
      </c>
      <c r="L112" s="196" t="str">
        <f>VLOOKUP(A112,'Trips&amp;Operators'!$C$1:$G$99911,5,FALSE)</f>
        <v>SAFIEF AEIMEN</v>
      </c>
      <c r="M112" s="181">
        <f t="shared" si="57"/>
        <v>2.5381944440596271E-2</v>
      </c>
      <c r="N112" s="182">
        <f t="shared" si="54"/>
        <v>36.549999994458631</v>
      </c>
      <c r="O112" s="182"/>
      <c r="P112" s="182"/>
      <c r="Q112" s="185"/>
      <c r="R112" s="197"/>
      <c r="S112" s="241">
        <f t="shared" si="73"/>
        <v>1</v>
      </c>
      <c r="T112" s="220" t="str">
        <f t="shared" si="58"/>
        <v>NorthBound</v>
      </c>
      <c r="U112" s="22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21" t="str">
        <f t="shared" si="59"/>
        <v>https://d0f6bd738d7f1b3e5a7ca70fe4ff75f0.us-east-1.aws.found.io/app/kibana#/discover/Steve-Slow-Train-Analysis-(2080s-and-2083s)?_g=(refreshInterval:(display:Off,pause:!f,section:0,value:0),time:(from:'2017-12-12T14:39:33-0700',mode:absolute,to:'2017-12-12T17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2" s="222" t="str">
        <f>IF(AA112&lt;VLOOKUP(AG112,Variables!$AC$3:$AD$8,2,FALSE),"Y","N")</f>
        <v>N</v>
      </c>
      <c r="X112" s="222">
        <f t="shared" si="72"/>
        <v>1</v>
      </c>
      <c r="Y112" s="222">
        <f t="shared" si="70"/>
        <v>5.0200000000000002E-2</v>
      </c>
      <c r="Z112" s="222">
        <f t="shared" si="71"/>
        <v>23.3264</v>
      </c>
      <c r="AA112" s="222">
        <f t="shared" si="60"/>
        <v>23.276199999999999</v>
      </c>
      <c r="AB112" s="231" t="e">
        <f>VLOOKUP(A112,Enforcements!$C$7:$K$9,8,0)</f>
        <v>#N/A</v>
      </c>
      <c r="AC112" s="231" t="e">
        <f>VLOOKUP(A112,Enforcements!$C$7:$E$9,3,0)</f>
        <v>#N/A</v>
      </c>
      <c r="AD112" s="232">
        <f t="shared" si="61"/>
        <v>197</v>
      </c>
      <c r="AE112" s="233" t="str">
        <f t="shared" si="62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112" s="234" t="str">
        <f t="shared" si="63"/>
        <v>"C:\Program Files (x86)\AstroGrep\AstroGrep.exe" /e /r /s /spath="%USERPROFILE%\AppData\Local\Temp\OnboardLogs" /stypes="app*4022*20171212*" /stext=" 23:.+((SYSTEM_STATE.+slice.+state.+changed )|(ment ac)|(multiple cpu faults)|(system.+state.+changed )|(\[timeout)|(PRM\|1\|D)|(kpr)|(kdp)|(train st.+moving)|(\|lc)|(penalty))"</v>
      </c>
      <c r="AG112" s="226" t="str">
        <f t="shared" si="64"/>
        <v>EC</v>
      </c>
      <c r="AH112" s="189" t="str">
        <f t="shared" si="65"/>
        <v>"%USERPROFILE%\Documents\GitHub\eaglep3\Utilities\RefineRTDCRunTimes.py" --tripid 197-12 --locoid 4022 --swversion DE.1.0.9.0 --startMP 204:502 --initTime 2017-12-12T15:39:33 --startdatetime 2017-12-12T15:45:20 --delay 97 --endMP 204:233264 --enddatetime 2017-12-12T16:21:53 --enforcementcount 0 &gt;&gt;%USERPROFILE%\Documents\GitHub\eaglep3-reporting\EC\2017-12-12-refined-times.txt</v>
      </c>
      <c r="AI112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{"issue":{"subject":"","project_id":79,"tracker_id":40,"status_id":1,"priority_id":2,"assigned_to_id":338,"start_date":"2017-12-12","description":"","custom_fields":[{"id":1,"name":"Subdivision","value":"EC"},{"id":4,"name":"Milepost","value":"23.3264"},{"id":17,"name":"Train ID","value":"197-12"},{"id":16,"name":"Locomotive ID","value":"4022"},{"id":130,"name":"Impact","value":""},{"id":150,"name":"Time of Event (Mountain Time)","value":"16:21:53"},{"id":151,"name":"Denver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180"/>
      <c r="AK112" s="188"/>
      <c r="AL112" s="188"/>
      <c r="AM112" s="193" t="str">
        <f t="shared" si="67"/>
        <v>start /low /b %USERPROFILE%\Documents\GitHub\eaglep3\Utilities\DownloadLogsFromS3.py --loco 4022 --day 2017-12-12</v>
      </c>
      <c r="AN112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87" t="str">
        <f t="shared" si="69"/>
        <v>https://d0f6bd738d7f1b3e5a7ca70fe4ff75f0.us-east-1.aws.found.io/app/kibana#/discover/Steve-Slow-Train-Analysis-(2080s-and-2083s)?_g=(refreshInterval:(display:Off,pause:!f,section:0,value:0),time:(from:'2017-12-12T14:39:33-0700',mode:absolute,to:'2017-12-12T17:21:53-0700'))&amp;_a=(columns:!('Message%20ID',Summary),filters:!(),index:'emp_*',interval:auto,query:(query_string:(analyze_wildcard:!t,query:'%22rtdc.l.rtdc.4022%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1" customFormat="1" x14ac:dyDescent="0.25">
      <c r="A113" s="186" t="s">
        <v>827</v>
      </c>
      <c r="B113" s="182">
        <v>4021</v>
      </c>
      <c r="C113" s="184" t="s">
        <v>192</v>
      </c>
      <c r="D113" s="184" t="s">
        <v>645</v>
      </c>
      <c r="E113" s="183">
        <v>43081.68372685185</v>
      </c>
      <c r="F113" s="183">
        <v>43081.696053240739</v>
      </c>
      <c r="G113" s="182">
        <v>70</v>
      </c>
      <c r="H113" s="184" t="s">
        <v>979</v>
      </c>
      <c r="I113" s="183">
        <v>43081.719618055555</v>
      </c>
      <c r="J113" s="182">
        <v>0</v>
      </c>
      <c r="K113" s="190" t="str">
        <f t="shared" si="56"/>
        <v>4021/4022</v>
      </c>
      <c r="L113" s="196" t="str">
        <f>VLOOKUP(A113,'Trips&amp;Operators'!$C$1:$G$99911,5,FALSE)</f>
        <v>SAFIEF AEIMEN</v>
      </c>
      <c r="M113" s="181">
        <f t="shared" si="57"/>
        <v>2.3564814815472346E-2</v>
      </c>
      <c r="N113" s="182"/>
      <c r="O113" s="182"/>
      <c r="P113" s="182">
        <f>24*60*SUM($M113:$M113)</f>
        <v>33.933333334280178</v>
      </c>
      <c r="Q113" s="185"/>
      <c r="R113" s="197" t="s">
        <v>1088</v>
      </c>
      <c r="S113" s="241">
        <f t="shared" si="73"/>
        <v>1</v>
      </c>
      <c r="T113" s="220" t="str">
        <f t="shared" si="58"/>
        <v>Southbound</v>
      </c>
      <c r="U113" s="22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1" t="str">
        <f t="shared" si="59"/>
        <v>https://d0f6bd738d7f1b3e5a7ca70fe4ff75f0.us-east-1.aws.found.io/app/kibana#/discover/Steve-Slow-Train-Analysis-(2080s-and-2083s)?_g=(refreshInterval:(display:Off,pause:!f,section:0,value:0),time:(from:'2017-12-12T15:24:34-0700',mode:absolute,to:'2017-12-12T18:16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3" s="222" t="str">
        <f>IF(AA113&lt;VLOOKUP(AG113,Variables!$AC$3:$AD$8,2,FALSE),"Y","N")</f>
        <v>Y</v>
      </c>
      <c r="X113" s="222">
        <f t="shared" si="72"/>
        <v>1</v>
      </c>
      <c r="Y113" s="222">
        <f t="shared" si="70"/>
        <v>23.294499999999999</v>
      </c>
      <c r="Z113" s="222">
        <f t="shared" si="71"/>
        <v>1.7833000000000001</v>
      </c>
      <c r="AA113" s="222">
        <f t="shared" si="60"/>
        <v>21.511199999999999</v>
      </c>
      <c r="AB113" s="231" t="e">
        <f>VLOOKUP(A113,Enforcements!$C$7:$K$9,8,0)</f>
        <v>#N/A</v>
      </c>
      <c r="AC113" s="231" t="e">
        <f>VLOOKUP(A113,Enforcements!$C$7:$E$9,3,0)</f>
        <v>#N/A</v>
      </c>
      <c r="AD113" s="232">
        <f t="shared" si="61"/>
        <v>198</v>
      </c>
      <c r="AE113" s="233" t="str">
        <f t="shared" si="62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113" s="234" t="str">
        <f t="shared" si="63"/>
        <v>"C:\Program Files (x86)\AstroGrep\AstroGrep.exe" /e /r /s /spath="%USERPROFILE%\AppData\Local\Temp\OnboardLogs" /stypes="app*4021*20171213*" /stext=" 00:.+((SYSTEM_STATE.+slice.+state.+changed )|(ment ac)|(multiple cpu faults)|(system.+state.+changed )|(\[timeout)|(PRM\|1\|D)|(kpr)|(kdp)|(train st.+moving)|(\|lc)|(penalty))"</v>
      </c>
      <c r="AG113" s="226" t="str">
        <f t="shared" si="64"/>
        <v>EC</v>
      </c>
      <c r="AH113" s="189" t="str">
        <f t="shared" si="65"/>
        <v>"%USERPROFILE%\Documents\GitHub\eaglep3\Utilities\RefineRTDCRunTimes.py" --tripid 198-12 --locoid 4021 --swversion DE.1.0.9.0 --startMP 204:232945 --initTime 2017-12-12T16:24:34 --startdatetime 2017-12-12T16:42:19 --delay 70 --endMP 204:17833 --enddatetime 2017-12-12T17:16:15 --enforcementcount 0 &gt;&gt;%USERPROFILE%\Documents\GitHub\eaglep3-reporting\EC\2017-12-12-refined-times.txt</v>
      </c>
      <c r="AI113" s="191" t="str">
        <f t="shared" si="66"/>
        <v>echo {"issue":{"subject":"Power outage @ DUS, caused Bright 4S to stay at STOP","project_id":79,"tracker_id":40,"status_id":1,"priority_id":2,"assigned_to_id":338,"start_date":"2017-12-12","description":"","custom_fields":[{"id":1,"name":"Subdivision","value":"EC"},{"id":4,"name":"Milepost","value":"1.7833"},{"id":17,"name":"Train ID","value":"198-12"},{"id":16,"name":"Locomotive ID","value":"4021"},{"id":130,"name":"Impact","value":""},{"id":150,"name":"Time of Event (Mountain Time)","value":"17:16:15"},{"id":151,"name":"Denver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180"/>
      <c r="AK113" s="188"/>
      <c r="AL113" s="188"/>
      <c r="AM113" s="193" t="str">
        <f t="shared" si="67"/>
        <v>start /low /b %USERPROFILE%\Documents\GitHub\eaglep3\Utilities\DownloadLogsFromS3.py --loco 4021 --day 2017-12-12</v>
      </c>
      <c r="AN113" s="194" t="str">
        <f t="shared" si="68"/>
        <v>echo {"issue":{"subject":"Power outage @ DUS, caused Bright 4S to stay at STOP","project_id":30,"tracker_id":4,"status_id":1,"priority_id":1,"assigned_to_id":10,"start_date":"2017-12-13","description":"","custom_fields":[{"id":30,"name":"Category","value":"Issue"},{"id":3,"name":"Functional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00:16:15"},{"id":29,"name":"Sharepoint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87" t="str">
        <f t="shared" si="69"/>
        <v>https://d0f6bd738d7f1b3e5a7ca70fe4ff75f0.us-east-1.aws.found.io/app/kibana#/discover/Steve-Slow-Train-Analysis-(2080s-and-2083s)?_g=(refreshInterval:(display:Off,pause:!f,section:0,value:0),time:(from:'2017-12-12T15:24:34-0700',mode:absolute,to:'2017-12-12T18:16:15-0700'))&amp;_a=(columns:!('Message%20ID',Summary),filters:!(),index:'emp_*',interval:auto,query:(query_string:(analyze_wildcard:!t,query:'%22rtdc.l.rtdc.4021%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1" customFormat="1" x14ac:dyDescent="0.25">
      <c r="A114" s="186" t="s">
        <v>821</v>
      </c>
      <c r="B114" s="182">
        <v>4012</v>
      </c>
      <c r="C114" s="184" t="s">
        <v>192</v>
      </c>
      <c r="D114" s="184" t="s">
        <v>573</v>
      </c>
      <c r="E114" s="183">
        <v>43081.664560185185</v>
      </c>
      <c r="F114" s="183">
        <v>43081.667002314818</v>
      </c>
      <c r="G114" s="182">
        <v>53</v>
      </c>
      <c r="H114" s="184" t="s">
        <v>618</v>
      </c>
      <c r="I114" s="183">
        <v>43081.693877314814</v>
      </c>
      <c r="J114" s="182">
        <v>0</v>
      </c>
      <c r="K114" s="190" t="str">
        <f t="shared" si="56"/>
        <v>4011/4012</v>
      </c>
      <c r="L114" s="196" t="str">
        <f>VLOOKUP(A114,'Trips&amp;Operators'!$C$1:$G$99911,5,FALSE)</f>
        <v>DAVIS MICHAEL</v>
      </c>
      <c r="M114" s="181">
        <f t="shared" si="57"/>
        <v>2.6874999995925464E-2</v>
      </c>
      <c r="N114" s="182">
        <f t="shared" ref="N114:N141" si="74">24*60*SUM($M114:$M114)</f>
        <v>38.699999994132668</v>
      </c>
      <c r="O114" s="182"/>
      <c r="P114" s="182"/>
      <c r="Q114" s="185"/>
      <c r="R114" s="197"/>
      <c r="S114" s="241">
        <f t="shared" si="73"/>
        <v>1</v>
      </c>
      <c r="T114" s="220" t="str">
        <f t="shared" si="58"/>
        <v>NorthBound</v>
      </c>
      <c r="U114" s="22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21" t="str">
        <f t="shared" si="59"/>
        <v>https://d0f6bd738d7f1b3e5a7ca70fe4ff75f0.us-east-1.aws.found.io/app/kibana#/discover/Steve-Slow-Train-Analysis-(2080s-and-2083s)?_g=(refreshInterval:(display:Off,pause:!f,section:0,value:0),time:(from:'2017-12-12T14:56:58-0700',mode:absolute,to:'2017-12-12T17:39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4" s="222" t="str">
        <f>IF(AA114&lt;VLOOKUP(AG114,Variables!$AC$3:$AD$8,2,FALSE),"Y","N")</f>
        <v>N</v>
      </c>
      <c r="X114" s="222">
        <f t="shared" si="72"/>
        <v>1</v>
      </c>
      <c r="Y114" s="222">
        <f t="shared" si="70"/>
        <v>5.0900000000000001E-2</v>
      </c>
      <c r="Z114" s="222">
        <f t="shared" si="71"/>
        <v>23.327999999999999</v>
      </c>
      <c r="AA114" s="222">
        <f t="shared" si="60"/>
        <v>23.277100000000001</v>
      </c>
      <c r="AB114" s="231" t="e">
        <f>VLOOKUP(A114,Enforcements!$C$7:$K$9,8,0)</f>
        <v>#N/A</v>
      </c>
      <c r="AC114" s="231" t="e">
        <f>VLOOKUP(A114,Enforcements!$C$7:$E$9,3,0)</f>
        <v>#N/A</v>
      </c>
      <c r="AD114" s="232">
        <f t="shared" si="61"/>
        <v>199</v>
      </c>
      <c r="AE114" s="233" t="str">
        <f t="shared" si="62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114" s="234" t="str">
        <f t="shared" si="63"/>
        <v>"C:\Program Files (x86)\AstroGrep\AstroGrep.exe" /e /r /s /spath="%USERPROFILE%\AppData\Local\Temp\OnboardLogs" /stypes="app*4012*20171212*" /stext=" 23:.+((SYSTEM_STATE.+slice.+state.+changed )|(ment ac)|(multiple cpu faults)|(system.+state.+changed )|(\[timeout)|(PRM\|1\|D)|(kpr)|(kdp)|(train st.+moving)|(\|lc)|(penalty))"</v>
      </c>
      <c r="AG114" s="226" t="str">
        <f t="shared" si="64"/>
        <v>EC</v>
      </c>
      <c r="AH114" s="189" t="str">
        <f t="shared" si="65"/>
        <v>"%USERPROFILE%\Documents\GitHub\eaglep3\Utilities\RefineRTDCRunTimes.py" --tripid 199-12 --locoid 4012 --swversion DE.1.0.9.0 --startMP 204:509 --initTime 2017-12-12T15:56:58 --startdatetime 2017-12-12T16:00:29 --delay 53 --endMP 204:233280 --enddatetime 2017-12-12T16:39:11 --enforcementcount 0 &gt;&gt;%USERPROFILE%\Documents\GitHub\eaglep3-reporting\EC\2017-12-12-refined-times.txt</v>
      </c>
      <c r="AI114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{"issue":{"subject":"","project_id":79,"tracker_id":40,"status_id":1,"priority_id":2,"assigned_to_id":338,"start_date":"2017-12-12","description":"","custom_fields":[{"id":1,"name":"Subdivision","value":"EC"},{"id":4,"name":"Milepost","value":"23.328"},{"id":17,"name":"Train ID","value":"199-12"},{"id":16,"name":"Locomotive ID","value":"4012"},{"id":130,"name":"Impact","value":""},{"id":150,"name":"Time of Event (Mountain Time)","value":"16:39:11"},{"id":151,"name":"Denver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180"/>
      <c r="AK114" s="188"/>
      <c r="AL114" s="188"/>
      <c r="AM114" s="193" t="str">
        <f t="shared" si="67"/>
        <v>start /low /b %USERPROFILE%\Documents\GitHub\eaglep3\Utilities\DownloadLogsFromS3.py --loco 4012 --day 2017-12-12</v>
      </c>
      <c r="AN114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87" t="str">
        <f t="shared" si="69"/>
        <v>https://d0f6bd738d7f1b3e5a7ca70fe4ff75f0.us-east-1.aws.found.io/app/kibana#/discover/Steve-Slow-Train-Analysis-(2080s-and-2083s)?_g=(refreshInterval:(display:Off,pause:!f,section:0,value:0),time:(from:'2017-12-12T14:56:58-0700',mode:absolute,to:'2017-12-12T17:39:11-0700'))&amp;_a=(columns:!('Message%20ID',Summary),filters:!(),index:'emp_*',interval:auto,query:(query_string:(analyze_wildcard:!t,query:'%22rtdc.l.rtdc.4012%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186" t="s">
        <v>834</v>
      </c>
      <c r="B115" s="182">
        <v>4011</v>
      </c>
      <c r="C115" s="184" t="s">
        <v>192</v>
      </c>
      <c r="D115" s="184" t="s">
        <v>980</v>
      </c>
      <c r="E115" s="183">
        <v>43081.703101851854</v>
      </c>
      <c r="F115" s="183">
        <v>43081.706597222219</v>
      </c>
      <c r="G115" s="182">
        <v>78</v>
      </c>
      <c r="H115" s="184" t="s">
        <v>498</v>
      </c>
      <c r="I115" s="183">
        <v>43081.736145833333</v>
      </c>
      <c r="J115" s="182">
        <v>0</v>
      </c>
      <c r="K115" s="190" t="str">
        <f t="shared" si="56"/>
        <v>4011/4012</v>
      </c>
      <c r="L115" s="196" t="str">
        <f>VLOOKUP(A115,'Trips&amp;Operators'!$C$1:$G$99911,5,FALSE)</f>
        <v>DAVIS MICHAEL</v>
      </c>
      <c r="M115" s="181">
        <f t="shared" si="57"/>
        <v>2.9548611113568768E-2</v>
      </c>
      <c r="N115" s="182">
        <f t="shared" si="74"/>
        <v>42.550000003539026</v>
      </c>
      <c r="O115" s="182"/>
      <c r="P115" s="182"/>
      <c r="Q115" s="185"/>
      <c r="R115" s="197"/>
      <c r="S115" s="241">
        <f t="shared" si="73"/>
        <v>1</v>
      </c>
      <c r="T115" s="220" t="str">
        <f t="shared" si="58"/>
        <v>Southbound</v>
      </c>
      <c r="U115" s="22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21" t="str">
        <f t="shared" si="59"/>
        <v>https://d0f6bd738d7f1b3e5a7ca70fe4ff75f0.us-east-1.aws.found.io/app/kibana#/discover/Steve-Slow-Train-Analysis-(2080s-and-2083s)?_g=(refreshInterval:(display:Off,pause:!f,section:0,value:0),time:(from:'2017-12-12T15:52:28-0700',mode:absolute,to:'2017-12-12T18:40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222" t="str">
        <f>IF(AA115&lt;VLOOKUP(AG115,Variables!$AC$3:$AD$8,2,FALSE),"Y","N")</f>
        <v>N</v>
      </c>
      <c r="X115" s="222">
        <f t="shared" si="72"/>
        <v>1</v>
      </c>
      <c r="Y115" s="222">
        <f t="shared" si="70"/>
        <v>23.298400000000001</v>
      </c>
      <c r="Z115" s="222">
        <f t="shared" si="71"/>
        <v>2.23E-2</v>
      </c>
      <c r="AA115" s="222">
        <f t="shared" si="60"/>
        <v>23.2761</v>
      </c>
      <c r="AB115" s="231" t="e">
        <f>VLOOKUP(A115,Enforcements!$C$7:$K$9,8,0)</f>
        <v>#N/A</v>
      </c>
      <c r="AC115" s="231" t="e">
        <f>VLOOKUP(A115,Enforcements!$C$7:$E$9,3,0)</f>
        <v>#N/A</v>
      </c>
      <c r="AD115" s="232">
        <f t="shared" si="61"/>
        <v>200</v>
      </c>
      <c r="AE115" s="233" t="str">
        <f t="shared" si="62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115" s="234" t="str">
        <f t="shared" si="63"/>
        <v>"C:\Program Files (x86)\AstroGrep\AstroGrep.exe" /e /r /s /spath="%USERPROFILE%\AppData\Local\Temp\OnboardLogs" /stypes="app*4011*20171213*" /stext=" 00:.+((SYSTEM_STATE.+slice.+state.+changed )|(ment ac)|(multiple cpu faults)|(system.+state.+changed )|(\[timeout)|(PRM\|1\|D)|(kpr)|(kdp)|(train st.+moving)|(\|lc)|(penalty))"</v>
      </c>
      <c r="AG115" s="226" t="str">
        <f t="shared" si="64"/>
        <v>EC</v>
      </c>
      <c r="AH115" s="189" t="str">
        <f t="shared" si="65"/>
        <v>"%USERPROFILE%\Documents\GitHub\eaglep3\Utilities\RefineRTDCRunTimes.py" --tripid 200-12 --locoid 4011 --swversion DE.1.0.9.0 --startMP 204:232984 --initTime 2017-12-12T16:52:28 --startdatetime 2017-12-12T16:57:30 --delay 78 --endMP 204:223 --enddatetime 2017-12-12T17:40:03 --enforcementcount 0 &gt;&gt;%USERPROFILE%\Documents\GitHub\eaglep3-reporting\EC\2017-12-12-refined-times.txt</v>
      </c>
      <c r="AI115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{"issue":{"subject":"","project_id":79,"tracker_id":40,"status_id":1,"priority_id":2,"assigned_to_id":338,"start_date":"2017-12-12","description":"","custom_fields":[{"id":1,"name":"Subdivision","value":"EC"},{"id":4,"name":"Milepost","value":"0.0223"},{"id":17,"name":"Train ID","value":"200-12"},{"id":16,"name":"Locomotive ID","value":"4011"},{"id":130,"name":"Impact","value":""},{"id":150,"name":"Time of Event (Mountain Time)","value":"17:40:03"},{"id":151,"name":"Denver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180"/>
      <c r="AK115" s="188"/>
      <c r="AL115" s="188"/>
      <c r="AM115" s="193" t="str">
        <f t="shared" si="67"/>
        <v>start /low /b %USERPROFILE%\Documents\GitHub\eaglep3\Utilities\DownloadLogsFromS3.py --loco 4011 --day 2017-12-12</v>
      </c>
      <c r="AN115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87" t="str">
        <f t="shared" si="69"/>
        <v>https://d0f6bd738d7f1b3e5a7ca70fe4ff75f0.us-east-1.aws.found.io/app/kibana#/discover/Steve-Slow-Train-Analysis-(2080s-and-2083s)?_g=(refreshInterval:(display:Off,pause:!f,section:0,value:0),time:(from:'2017-12-12T15:52:28-0700',mode:absolute,to:'2017-12-12T18:40:03-0700'))&amp;_a=(columns:!('Message%20ID',Summary),filters:!(),index:'emp_*',interval:auto,query:(query_string:(analyze_wildcard:!t,query:'%22rtdc.l.rtdc.4011%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180" customFormat="1" x14ac:dyDescent="0.25">
      <c r="A116" s="186" t="s">
        <v>824</v>
      </c>
      <c r="B116" s="182">
        <v>4010</v>
      </c>
      <c r="C116" s="184" t="s">
        <v>192</v>
      </c>
      <c r="D116" s="184" t="s">
        <v>455</v>
      </c>
      <c r="E116" s="183">
        <v>43081.672268518516</v>
      </c>
      <c r="F116" s="183">
        <v>43081.677268518521</v>
      </c>
      <c r="G116" s="182">
        <v>75</v>
      </c>
      <c r="H116" s="184" t="s">
        <v>981</v>
      </c>
      <c r="I116" s="183">
        <v>43081.701979166668</v>
      </c>
      <c r="J116" s="182">
        <v>0</v>
      </c>
      <c r="K116" s="190" t="str">
        <f t="shared" si="56"/>
        <v>4009/4010</v>
      </c>
      <c r="L116" s="196" t="str">
        <f>VLOOKUP(A116,'Trips&amp;Operators'!$C$1:$G$99911,5,FALSE)</f>
        <v>SMITH MICHAEL</v>
      </c>
      <c r="M116" s="181">
        <f t="shared" si="57"/>
        <v>2.47106481474475E-2</v>
      </c>
      <c r="N116" s="182">
        <f t="shared" si="74"/>
        <v>35.583333332324401</v>
      </c>
      <c r="O116" s="182"/>
      <c r="P116" s="182"/>
      <c r="Q116" s="185"/>
      <c r="R116" s="197"/>
      <c r="S116" s="241">
        <f t="shared" si="73"/>
        <v>1</v>
      </c>
      <c r="T116" s="220" t="str">
        <f t="shared" si="58"/>
        <v>NorthBound</v>
      </c>
      <c r="U116" s="22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1" t="str">
        <f t="shared" si="59"/>
        <v>https://d0f6bd738d7f1b3e5a7ca70fe4ff75f0.us-east-1.aws.found.io/app/kibana#/discover/Steve-Slow-Train-Analysis-(2080s-and-2083s)?_g=(refreshInterval:(display:Off,pause:!f,section:0,value:0),time:(from:'2017-12-12T15:08:04-0700',mode:absolute,to:'2017-12-12T17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222" t="str">
        <f>IF(AA116&lt;VLOOKUP(AG116,Variables!$AC$3:$AD$8,2,FALSE),"Y","N")</f>
        <v>N</v>
      </c>
      <c r="X116" s="222">
        <f t="shared" si="72"/>
        <v>1</v>
      </c>
      <c r="Y116" s="222">
        <f t="shared" ref="Y116:Y147" si="75">RIGHT(D116,LEN(D116)-4)/10000</f>
        <v>5.1900000000000002E-2</v>
      </c>
      <c r="Z116" s="222">
        <f t="shared" ref="Z116:Z147" si="76">RIGHT(H116,LEN(H116)-4)/10000</f>
        <v>23.322700000000001</v>
      </c>
      <c r="AA116" s="222">
        <f t="shared" si="60"/>
        <v>23.270800000000001</v>
      </c>
      <c r="AB116" s="231" t="e">
        <f>VLOOKUP(A116,Enforcements!$C$7:$K$9,8,0)</f>
        <v>#N/A</v>
      </c>
      <c r="AC116" s="231" t="e">
        <f>VLOOKUP(A116,Enforcements!$C$7:$E$9,3,0)</f>
        <v>#N/A</v>
      </c>
      <c r="AD116" s="232">
        <f t="shared" si="61"/>
        <v>201</v>
      </c>
      <c r="AE116" s="233" t="str">
        <f t="shared" si="62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116" s="234" t="str">
        <f t="shared" si="63"/>
        <v>"C:\Program Files (x86)\AstroGrep\AstroGrep.exe" /e /r /s /spath="%USERPROFILE%\AppData\Local\Temp\OnboardLogs" /stypes="app*4010*20171212*" /stext=" 23:.+((SYSTEM_STATE.+slice.+state.+changed )|(ment ac)|(multiple cpu faults)|(system.+state.+changed )|(\[timeout)|(PRM\|1\|D)|(kpr)|(kdp)|(train st.+moving)|(\|lc)|(penalty))"</v>
      </c>
      <c r="AG116" s="226" t="str">
        <f t="shared" si="64"/>
        <v>EC</v>
      </c>
      <c r="AH116" s="189" t="str">
        <f t="shared" si="65"/>
        <v>"%USERPROFILE%\Documents\GitHub\eaglep3\Utilities\RefineRTDCRunTimes.py" --tripid 201-12 --locoid 4010 --swversion DE.1.0.9.0 --startMP 204:519 --initTime 2017-12-12T16:08:04 --startdatetime 2017-12-12T16:15:16 --delay 75 --endMP 204:233227 --enddatetime 2017-12-12T16:50:51 --enforcementcount 0 &gt;&gt;%USERPROFILE%\Documents\GitHub\eaglep3-reporting\EC\2017-12-12-refined-times.txt</v>
      </c>
      <c r="AI116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{"issue":{"subject":"","project_id":79,"tracker_id":40,"status_id":1,"priority_id":2,"assigned_to_id":338,"start_date":"2017-12-12","description":"","custom_fields":[{"id":1,"name":"Subdivision","value":"EC"},{"id":4,"name":"Milepost","value":"23.3227"},{"id":17,"name":"Train ID","value":"201-12"},{"id":16,"name":"Locomotive ID","value":"4010"},{"id":130,"name":"Impact","value":""},{"id":150,"name":"Time of Event (Mountain Time)","value":"16:50:51"},{"id":151,"name":"Denver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188"/>
      <c r="AL116" s="188"/>
      <c r="AM116" s="193" t="str">
        <f t="shared" si="67"/>
        <v>start /low /b %USERPROFILE%\Documents\GitHub\eaglep3\Utilities\DownloadLogsFromS3.py --loco 4010 --day 2017-12-12</v>
      </c>
      <c r="AN116" s="194" t="str">
        <f t="shared" si="6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87" t="str">
        <f t="shared" si="69"/>
        <v>https://d0f6bd738d7f1b3e5a7ca70fe4ff75f0.us-east-1.aws.found.io/app/kibana#/discover/Steve-Slow-Train-Analysis-(2080s-and-2083s)?_g=(refreshInterval:(display:Off,pause:!f,section:0,value:0),time:(from:'2017-12-12T15:08:04-0700',mode:absolute,to:'2017-12-12T17:50:51-0700'))&amp;_a=(columns:!('Message%20ID',Summary),filters:!(),index:'emp_*',interval:auto,query:(query_string:(analyze_wildcard:!t,query:'%22rtdc.l.rtdc.4010%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186" t="s">
        <v>836</v>
      </c>
      <c r="B117" s="182">
        <v>4009</v>
      </c>
      <c r="C117" s="184" t="s">
        <v>192</v>
      </c>
      <c r="D117" s="184" t="s">
        <v>925</v>
      </c>
      <c r="E117" s="183">
        <v>43081.710046296299</v>
      </c>
      <c r="F117" s="183">
        <v>43081.716863425929</v>
      </c>
      <c r="G117" s="182">
        <v>97</v>
      </c>
      <c r="H117" s="184" t="s">
        <v>548</v>
      </c>
      <c r="I117" s="183">
        <v>43081.742581018516</v>
      </c>
      <c r="J117" s="182">
        <v>0</v>
      </c>
      <c r="K117" s="190" t="str">
        <f t="shared" si="56"/>
        <v>4009/4010</v>
      </c>
      <c r="L117" s="196" t="str">
        <f>VLOOKUP(A117,'Trips&amp;Operators'!$C$1:$G$99911,5,FALSE)</f>
        <v>SMITH MICHAEL</v>
      </c>
      <c r="M117" s="181">
        <f t="shared" si="57"/>
        <v>2.5717592587170657E-2</v>
      </c>
      <c r="N117" s="182">
        <f t="shared" si="74"/>
        <v>37.033333325525746</v>
      </c>
      <c r="O117" s="182"/>
      <c r="P117" s="182"/>
      <c r="Q117" s="185"/>
      <c r="R117" s="197"/>
      <c r="S117" s="241">
        <f t="shared" si="73"/>
        <v>1</v>
      </c>
      <c r="T117" s="220" t="str">
        <f t="shared" si="58"/>
        <v>Southbound</v>
      </c>
      <c r="U117" s="22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1" t="str">
        <f t="shared" si="59"/>
        <v>https://d0f6bd738d7f1b3e5a7ca70fe4ff75f0.us-east-1.aws.found.io/app/kibana#/discover/Steve-Slow-Train-Analysis-(2080s-and-2083s)?_g=(refreshInterval:(display:Off,pause:!f,section:0,value:0),time:(from:'2017-12-12T16:02:28-0700',mode:absolute,to:'2017-12-12T18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222" t="str">
        <f>IF(AA117&lt;VLOOKUP(AG117,Variables!$AC$3:$AD$8,2,FALSE),"Y","N")</f>
        <v>N</v>
      </c>
      <c r="X117" s="222">
        <f t="shared" ref="X117:X148" si="77">VALUE(LEFT(AD117,4))-VALUE(LEFT(AD116,4))</f>
        <v>1</v>
      </c>
      <c r="Y117" s="222">
        <f t="shared" si="75"/>
        <v>23.290600000000001</v>
      </c>
      <c r="Z117" s="222">
        <f t="shared" si="76"/>
        <v>2.5999999999999999E-2</v>
      </c>
      <c r="AA117" s="222">
        <f t="shared" si="60"/>
        <v>23.264600000000002</v>
      </c>
      <c r="AB117" s="231" t="e">
        <f>VLOOKUP(A117,Enforcements!$C$7:$K$9,8,0)</f>
        <v>#N/A</v>
      </c>
      <c r="AC117" s="231" t="e">
        <f>VLOOKUP(A117,Enforcements!$C$7:$E$9,3,0)</f>
        <v>#N/A</v>
      </c>
      <c r="AD117" s="232">
        <f t="shared" si="61"/>
        <v>202</v>
      </c>
      <c r="AE117" s="233" t="str">
        <f t="shared" si="62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117" s="234" t="str">
        <f t="shared" si="63"/>
        <v>"C:\Program Files (x86)\AstroGrep\AstroGrep.exe" /e /r /s /spath="%USERPROFILE%\AppData\Local\Temp\OnboardLogs" /stypes="app*4009*20171213*" /stext=" 00:.+((SYSTEM_STATE.+slice.+state.+changed )|(ment ac)|(multiple cpu faults)|(system.+state.+changed )|(\[timeout)|(PRM\|1\|D)|(kpr)|(kdp)|(train st.+moving)|(\|lc)|(penalty))"</v>
      </c>
      <c r="AG117" s="226" t="str">
        <f t="shared" si="64"/>
        <v>EC</v>
      </c>
      <c r="AH117" s="189" t="str">
        <f t="shared" si="65"/>
        <v>"%USERPROFILE%\Documents\GitHub\eaglep3\Utilities\RefineRTDCRunTimes.py" --tripid 202-12 --locoid 4009 --swversion DE.1.0.9.0 --startMP 204:232906 --initTime 2017-12-12T17:02:28 --startdatetime 2017-12-12T17:12:17 --delay 97 --endMP 204:260 --enddatetime 2017-12-12T17:49:19 --enforcementcount 0 &gt;&gt;%USERPROFILE%\Documents\GitHub\eaglep3-reporting\EC\2017-12-12-refined-times.txt</v>
      </c>
      <c r="AI117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{"issue":{"subject":"","project_id":79,"tracker_id":40,"status_id":1,"priority_id":2,"assigned_to_id":338,"start_date":"2017-12-12","description":"","custom_fields":[{"id":1,"name":"Subdivision","value":"EC"},{"id":4,"name":"Milepost","value":"0.026"},{"id":17,"name":"Train ID","value":"202-12"},{"id":16,"name":"Locomotive ID","value":"4009"},{"id":130,"name":"Impact","value":""},{"id":150,"name":"Time of Event (Mountain Time)","value":"17:49:19"},{"id":151,"name":"Denver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180"/>
      <c r="AK117" s="188"/>
      <c r="AL117" s="188"/>
      <c r="AM117" s="193" t="str">
        <f t="shared" si="67"/>
        <v>start /low /b %USERPROFILE%\Documents\GitHub\eaglep3\Utilities\DownloadLogsFromS3.py --loco 4009 --day 2017-12-12</v>
      </c>
      <c r="AN117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87" t="str">
        <f t="shared" si="69"/>
        <v>https://d0f6bd738d7f1b3e5a7ca70fe4ff75f0.us-east-1.aws.found.io/app/kibana#/discover/Steve-Slow-Train-Analysis-(2080s-and-2083s)?_g=(refreshInterval:(display:Off,pause:!f,section:0,value:0),time:(from:'2017-12-12T16:02:28-0700',mode:absolute,to:'2017-12-12T18:49:19-0700'))&amp;_a=(columns:!('Message%20ID',Summary),filters:!(),index:'emp_*',interval:auto,query:(query_string:(analyze_wildcard:!t,query:'%22rtdc.l.rtdc.4009%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186" t="s">
        <v>831</v>
      </c>
      <c r="B118" s="182">
        <v>4030</v>
      </c>
      <c r="C118" s="184" t="s">
        <v>192</v>
      </c>
      <c r="D118" s="184" t="s">
        <v>646</v>
      </c>
      <c r="E118" s="183">
        <v>43081.684282407405</v>
      </c>
      <c r="F118" s="183">
        <v>43081.687719907408</v>
      </c>
      <c r="G118" s="182">
        <v>65</v>
      </c>
      <c r="H118" s="184" t="s">
        <v>982</v>
      </c>
      <c r="I118" s="183">
        <v>43081.713414351849</v>
      </c>
      <c r="J118" s="182">
        <v>0</v>
      </c>
      <c r="K118" s="190" t="str">
        <f t="shared" si="56"/>
        <v>4029/4030</v>
      </c>
      <c r="L118" s="196" t="str">
        <f>VLOOKUP(A118,'Trips&amp;Operators'!$C$1:$G$99911,5,FALSE)</f>
        <v>BRUDER RICHARD</v>
      </c>
      <c r="M118" s="181">
        <f t="shared" si="57"/>
        <v>2.569444444088731E-2</v>
      </c>
      <c r="N118" s="182">
        <f t="shared" si="74"/>
        <v>36.999999994877726</v>
      </c>
      <c r="O118" s="182"/>
      <c r="P118" s="182"/>
      <c r="Q118" s="185"/>
      <c r="R118" s="197"/>
      <c r="S118" s="241">
        <f t="shared" si="73"/>
        <v>1</v>
      </c>
      <c r="T118" s="220" t="str">
        <f t="shared" si="58"/>
        <v>NorthBound</v>
      </c>
      <c r="U118" s="22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21" t="str">
        <f t="shared" si="59"/>
        <v>https://d0f6bd738d7f1b3e5a7ca70fe4ff75f0.us-east-1.aws.found.io/app/kibana#/discover/Steve-Slow-Train-Analysis-(2080s-and-2083s)?_g=(refreshInterval:(display:Off,pause:!f,section:0,value:0),time:(from:'2017-12-12T15:25:22-0700',mode:absolute,to:'2017-12-12T18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222" t="str">
        <f>IF(AA118&lt;VLOOKUP(AG118,Variables!$AC$3:$AD$8,2,FALSE),"Y","N")</f>
        <v>N</v>
      </c>
      <c r="X118" s="222">
        <f t="shared" si="77"/>
        <v>1</v>
      </c>
      <c r="Y118" s="222">
        <f t="shared" si="75"/>
        <v>5.2600000000000001E-2</v>
      </c>
      <c r="Z118" s="222">
        <f t="shared" si="76"/>
        <v>23.3203</v>
      </c>
      <c r="AA118" s="222">
        <f t="shared" si="60"/>
        <v>23.267699999999998</v>
      </c>
      <c r="AB118" s="231" t="e">
        <f>VLOOKUP(A118,Enforcements!$C$7:$K$9,8,0)</f>
        <v>#N/A</v>
      </c>
      <c r="AC118" s="231" t="e">
        <f>VLOOKUP(A118,Enforcements!$C$7:$E$9,3,0)</f>
        <v>#N/A</v>
      </c>
      <c r="AD118" s="232">
        <f t="shared" si="61"/>
        <v>203</v>
      </c>
      <c r="AE118" s="233" t="str">
        <f t="shared" si="62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118" s="234" t="str">
        <f t="shared" si="63"/>
        <v>"C:\Program Files (x86)\AstroGrep\AstroGrep.exe" /e /r /s /spath="%USERPROFILE%\AppData\Local\Temp\OnboardLogs" /stypes="app*4030*20171213*" /stext=" 00:.+((SYSTEM_STATE.+slice.+state.+changed )|(ment ac)|(multiple cpu faults)|(system.+state.+changed )|(\[timeout)|(PRM\|1\|D)|(kpr)|(kdp)|(train st.+moving)|(\|lc)|(penalty))"</v>
      </c>
      <c r="AG118" s="226" t="str">
        <f t="shared" si="64"/>
        <v>EC</v>
      </c>
      <c r="AH118" s="189" t="str">
        <f t="shared" si="65"/>
        <v>"%USERPROFILE%\Documents\GitHub\eaglep3\Utilities\RefineRTDCRunTimes.py" --tripid 203-12 --locoid 4030 --swversion DE.1.0.9.0 --startMP 204:526 --initTime 2017-12-12T16:25:22 --startdatetime 2017-12-12T16:30:19 --delay 65 --endMP 204:233203 --enddatetime 2017-12-12T17:07:19 --enforcementcount 0 &gt;&gt;%USERPROFILE%\Documents\GitHub\eaglep3-reporting\EC\2017-12-12-refined-times.txt</v>
      </c>
      <c r="AI118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{"issue":{"subject":"","project_id":79,"tracker_id":40,"status_id":1,"priority_id":2,"assigned_to_id":338,"start_date":"2017-12-12","description":"","custom_fields":[{"id":1,"name":"Subdivision","value":"EC"},{"id":4,"name":"Milepost","value":"23.3203"},{"id":17,"name":"Train ID","value":"203-12"},{"id":16,"name":"Locomotive ID","value":"4030"},{"id":130,"name":"Impact","value":""},{"id":150,"name":"Time of Event (Mountain Time)","value":"17:07:19"},{"id":151,"name":"Denver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180"/>
      <c r="AK118" s="188"/>
      <c r="AL118" s="188"/>
      <c r="AM118" s="193" t="str">
        <f t="shared" si="67"/>
        <v>start /low /b %USERPROFILE%\Documents\GitHub\eaglep3\Utilities\DownloadLogsFromS3.py --loco 4030 --day 2017-12-12</v>
      </c>
      <c r="AN118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87" t="str">
        <f t="shared" si="69"/>
        <v>https://d0f6bd738d7f1b3e5a7ca70fe4ff75f0.us-east-1.aws.found.io/app/kibana#/discover/Steve-Slow-Train-Analysis-(2080s-and-2083s)?_g=(refreshInterval:(display:Off,pause:!f,section:0,value:0),time:(from:'2017-12-12T15:25:22-0700',mode:absolute,to:'2017-12-12T18:07:19-0700'))&amp;_a=(columns:!('Message%20ID',Summary),filters:!(),index:'emp_*',interval:auto,query:(query_string:(analyze_wildcard:!t,query:'%22rtdc.l.rtdc.4030%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180" customFormat="1" x14ac:dyDescent="0.25">
      <c r="A119" s="186" t="s">
        <v>839</v>
      </c>
      <c r="B119" s="182">
        <v>4029</v>
      </c>
      <c r="C119" s="184" t="s">
        <v>192</v>
      </c>
      <c r="D119" s="184" t="s">
        <v>983</v>
      </c>
      <c r="E119" s="183">
        <v>43081.723854166667</v>
      </c>
      <c r="F119" s="183">
        <v>43081.727268518516</v>
      </c>
      <c r="G119" s="182">
        <v>60</v>
      </c>
      <c r="H119" s="184" t="s">
        <v>934</v>
      </c>
      <c r="I119" s="183">
        <v>43081.753263888888</v>
      </c>
      <c r="J119" s="182">
        <v>0</v>
      </c>
      <c r="K119" s="190" t="str">
        <f t="shared" si="56"/>
        <v>4029/4030</v>
      </c>
      <c r="L119" s="196" t="str">
        <f>VLOOKUP(A119,'Trips&amp;Operators'!$C$1:$G$99911,5,FALSE)</f>
        <v>BRUDER RICHARD</v>
      </c>
      <c r="M119" s="181">
        <f t="shared" si="57"/>
        <v>2.5995370371674653E-2</v>
      </c>
      <c r="N119" s="182">
        <f t="shared" si="74"/>
        <v>37.433333335211501</v>
      </c>
      <c r="O119" s="182"/>
      <c r="P119" s="182"/>
      <c r="Q119" s="185"/>
      <c r="R119" s="197"/>
      <c r="S119" s="241">
        <f t="shared" si="73"/>
        <v>1</v>
      </c>
      <c r="T119" s="220" t="str">
        <f t="shared" si="58"/>
        <v>Southbound</v>
      </c>
      <c r="U119" s="22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1" t="str">
        <f t="shared" si="59"/>
        <v>https://d0f6bd738d7f1b3e5a7ca70fe4ff75f0.us-east-1.aws.found.io/app/kibana#/discover/Steve-Slow-Train-Analysis-(2080s-and-2083s)?_g=(refreshInterval:(display:Off,pause:!f,section:0,value:0),time:(from:'2017-12-12T16:22:21-0700',mode:absolute,to:'2017-12-12T19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222" t="str">
        <f>IF(AA119&lt;VLOOKUP(AG119,Variables!$AC$3:$AD$8,2,FALSE),"Y","N")</f>
        <v>N</v>
      </c>
      <c r="X119" s="222">
        <f t="shared" si="77"/>
        <v>1</v>
      </c>
      <c r="Y119" s="222">
        <f t="shared" si="75"/>
        <v>23.2881</v>
      </c>
      <c r="Z119" s="222">
        <f t="shared" si="76"/>
        <v>2.29E-2</v>
      </c>
      <c r="AA119" s="222">
        <f t="shared" si="60"/>
        <v>23.2652</v>
      </c>
      <c r="AB119" s="231" t="e">
        <f>VLOOKUP(A119,Enforcements!$C$7:$K$9,8,0)</f>
        <v>#N/A</v>
      </c>
      <c r="AC119" s="231" t="e">
        <f>VLOOKUP(A119,Enforcements!$C$7:$E$9,3,0)</f>
        <v>#N/A</v>
      </c>
      <c r="AD119" s="232">
        <f t="shared" si="61"/>
        <v>204</v>
      </c>
      <c r="AE119" s="233" t="str">
        <f t="shared" si="62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119" s="234" t="str">
        <f t="shared" si="63"/>
        <v>"C:\Program Files (x86)\AstroGrep\AstroGrep.exe" /e /r /s /spath="%USERPROFILE%\AppData\Local\Temp\OnboardLogs" /stypes="app*4029*20171213*" /stext=" 01:.+((SYSTEM_STATE.+slice.+state.+changed )|(ment ac)|(multiple cpu faults)|(system.+state.+changed )|(\[timeout)|(PRM\|1\|D)|(kpr)|(kdp)|(train st.+moving)|(\|lc)|(penalty))"</v>
      </c>
      <c r="AG119" s="226" t="str">
        <f t="shared" si="64"/>
        <v>EC</v>
      </c>
      <c r="AH119" s="189" t="str">
        <f t="shared" si="65"/>
        <v>"%USERPROFILE%\Documents\GitHub\eaglep3\Utilities\RefineRTDCRunTimes.py" --tripid 204-12 --locoid 4029 --swversion DE.1.0.9.0 --startMP 204:232881 --initTime 2017-12-12T17:22:21 --startdatetime 2017-12-12T17:27:16 --delay 60 --endMP 204:229 --enddatetime 2017-12-12T18:04:42 --enforcementcount 0 &gt;&gt;%USERPROFILE%\Documents\GitHub\eaglep3-reporting\EC\2017-12-12-refined-times.txt</v>
      </c>
      <c r="AI119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{"issue":{"subject":"","project_id":79,"tracker_id":40,"status_id":1,"priority_id":2,"assigned_to_id":338,"start_date":"2017-12-12","description":"","custom_fields":[{"id":1,"name":"Subdivision","value":"EC"},{"id":4,"name":"Milepost","value":"0.0229"},{"id":17,"name":"Train ID","value":"204-12"},{"id":16,"name":"Locomotive ID","value":"4029"},{"id":130,"name":"Impact","value":""},{"id":150,"name":"Time of Event (Mountain Time)","value":"18:04:42"},{"id":151,"name":"Denver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188"/>
      <c r="AL119" s="188"/>
      <c r="AM119" s="193" t="str">
        <f t="shared" si="67"/>
        <v>start /low /b %USERPROFILE%\Documents\GitHub\eaglep3\Utilities\DownloadLogsFromS3.py --loco 4029 --day 2017-12-12</v>
      </c>
      <c r="AN119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87" t="str">
        <f t="shared" si="69"/>
        <v>https://d0f6bd738d7f1b3e5a7ca70fe4ff75f0.us-east-1.aws.found.io/app/kibana#/discover/Steve-Slow-Train-Analysis-(2080s-and-2083s)?_g=(refreshInterval:(display:Off,pause:!f,section:0,value:0),time:(from:'2017-12-12T16:22:21-0700',mode:absolute,to:'2017-12-12T19:04:42-0700'))&amp;_a=(columns:!('Message%20ID',Summary),filters:!(),index:'emp_*',interval:auto,query:(query_string:(analyze_wildcard:!t,query:'%22rtdc.l.rtdc.4029%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186" t="s">
        <v>833</v>
      </c>
      <c r="B120" s="182">
        <v>4016</v>
      </c>
      <c r="C120" s="184" t="s">
        <v>192</v>
      </c>
      <c r="D120" s="184" t="s">
        <v>578</v>
      </c>
      <c r="E120" s="183">
        <v>43081.694641203707</v>
      </c>
      <c r="F120" s="183">
        <v>43081.698287037034</v>
      </c>
      <c r="G120" s="182">
        <v>61</v>
      </c>
      <c r="H120" s="184" t="s">
        <v>464</v>
      </c>
      <c r="I120" s="183">
        <v>43081.723032407404</v>
      </c>
      <c r="J120" s="182">
        <v>0</v>
      </c>
      <c r="K120" s="190" t="str">
        <f t="shared" si="56"/>
        <v>4015/4016</v>
      </c>
      <c r="L120" s="196" t="str">
        <f>VLOOKUP(A120,'Trips&amp;Operators'!$C$1:$G$99911,5,FALSE)</f>
        <v>STEWART MICHAEL</v>
      </c>
      <c r="M120" s="181">
        <f t="shared" si="57"/>
        <v>2.47453703705105E-2</v>
      </c>
      <c r="N120" s="182">
        <f t="shared" si="74"/>
        <v>35.63333333353512</v>
      </c>
      <c r="O120" s="182"/>
      <c r="P120" s="182"/>
      <c r="Q120" s="185"/>
      <c r="R120" s="197"/>
      <c r="S120" s="241">
        <f t="shared" si="73"/>
        <v>1</v>
      </c>
      <c r="T120" s="220" t="str">
        <f t="shared" si="58"/>
        <v>NorthBound</v>
      </c>
      <c r="U120" s="22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1" t="str">
        <f t="shared" si="59"/>
        <v>https://d0f6bd738d7f1b3e5a7ca70fe4ff75f0.us-east-1.aws.found.io/app/kibana#/discover/Steve-Slow-Train-Analysis-(2080s-and-2083s)?_g=(refreshInterval:(display:Off,pause:!f,section:0,value:0),time:(from:'2017-12-12T15:40:17-0700',mode:absolute,to:'2017-12-12T18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222" t="str">
        <f>IF(AA120&lt;VLOOKUP(AG120,Variables!$AC$3:$AD$8,2,FALSE),"Y","N")</f>
        <v>N</v>
      </c>
      <c r="X120" s="222">
        <f t="shared" si="77"/>
        <v>1</v>
      </c>
      <c r="Y120" s="222">
        <f t="shared" si="75"/>
        <v>4.9099999999999998E-2</v>
      </c>
      <c r="Z120" s="222">
        <f t="shared" si="76"/>
        <v>23.3232</v>
      </c>
      <c r="AA120" s="222">
        <f t="shared" si="60"/>
        <v>23.274100000000001</v>
      </c>
      <c r="AB120" s="231" t="e">
        <f>VLOOKUP(A120,Enforcements!$C$7:$K$9,8,0)</f>
        <v>#N/A</v>
      </c>
      <c r="AC120" s="231" t="e">
        <f>VLOOKUP(A120,Enforcements!$C$7:$E$9,3,0)</f>
        <v>#N/A</v>
      </c>
      <c r="AD120" s="232">
        <f t="shared" si="61"/>
        <v>205</v>
      </c>
      <c r="AE120" s="233" t="str">
        <f t="shared" si="62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120" s="234" t="str">
        <f t="shared" si="63"/>
        <v>"C:\Program Files (x86)\AstroGrep\AstroGrep.exe" /e /r /s /spath="%USERPROFILE%\AppData\Local\Temp\OnboardLogs" /stypes="app*4016*20171213*" /stext=" 00:.+((SYSTEM_STATE.+slice.+state.+changed )|(ment ac)|(multiple cpu faults)|(system.+state.+changed )|(\[timeout)|(PRM\|1\|D)|(kpr)|(kdp)|(train st.+moving)|(\|lc)|(penalty))"</v>
      </c>
      <c r="AG120" s="226" t="str">
        <f t="shared" si="64"/>
        <v>EC</v>
      </c>
      <c r="AH120" s="189" t="str">
        <f t="shared" si="65"/>
        <v>"%USERPROFILE%\Documents\GitHub\eaglep3\Utilities\RefineRTDCRunTimes.py" --tripid 205-12 --locoid 4016 --swversion DE.1.0.9.0 --startMP 204:491 --initTime 2017-12-12T16:40:17 --startdatetime 2017-12-12T16:45:32 --delay 61 --endMP 204:233232 --enddatetime 2017-12-12T17:21:10 --enforcementcount 0 &gt;&gt;%USERPROFILE%\Documents\GitHub\eaglep3-reporting\EC\2017-12-12-refined-times.txt</v>
      </c>
      <c r="AI120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{"issue":{"subject":"","project_id":79,"tracker_id":40,"status_id":1,"priority_id":2,"assigned_to_id":338,"start_date":"2017-12-12","description":"","custom_fields":[{"id":1,"name":"Subdivision","value":"EC"},{"id":4,"name":"Milepost","value":"23.3232"},{"id":17,"name":"Train ID","value":"205-12"},{"id":16,"name":"Locomotive ID","value":"4016"},{"id":130,"name":"Impact","value":""},{"id":150,"name":"Time of Event (Mountain Time)","value":"17:21:10"},{"id":151,"name":"Denver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180"/>
      <c r="AK120" s="188"/>
      <c r="AL120" s="188"/>
      <c r="AM120" s="193" t="str">
        <f t="shared" si="67"/>
        <v>start /low /b %USERPROFILE%\Documents\GitHub\eaglep3\Utilities\DownloadLogsFromS3.py --loco 4016 --day 2017-12-12</v>
      </c>
      <c r="AN120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87" t="str">
        <f t="shared" si="69"/>
        <v>https://d0f6bd738d7f1b3e5a7ca70fe4ff75f0.us-east-1.aws.found.io/app/kibana#/discover/Steve-Slow-Train-Analysis-(2080s-and-2083s)?_g=(refreshInterval:(display:Off,pause:!f,section:0,value:0),time:(from:'2017-12-12T15:40:17-0700',mode:absolute,to:'2017-12-12T18:21:10-0700'))&amp;_a=(columns:!('Message%20ID',Summary),filters:!(),index:'emp_*',interval:auto,query:(query_string:(analyze_wildcard:!t,query:'%22rtdc.l.rtdc.4016%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186" t="s">
        <v>843</v>
      </c>
      <c r="B121" s="182">
        <v>4015</v>
      </c>
      <c r="C121" s="184" t="s">
        <v>192</v>
      </c>
      <c r="D121" s="184" t="s">
        <v>939</v>
      </c>
      <c r="E121" s="183">
        <v>43081.733217592591</v>
      </c>
      <c r="F121" s="183">
        <v>43081.737766203703</v>
      </c>
      <c r="G121" s="182">
        <v>53</v>
      </c>
      <c r="H121" s="184" t="s">
        <v>574</v>
      </c>
      <c r="I121" s="183">
        <v>43081.766655092593</v>
      </c>
      <c r="J121" s="182">
        <v>0</v>
      </c>
      <c r="K121" s="190" t="str">
        <f t="shared" si="56"/>
        <v>4015/4016</v>
      </c>
      <c r="L121" s="196" t="str">
        <f>VLOOKUP(A121,'Trips&amp;Operators'!$C$1:$G$99911,5,FALSE)</f>
        <v>STEWART MICHAEL</v>
      </c>
      <c r="M121" s="181">
        <f t="shared" si="57"/>
        <v>2.8888888889923692E-2</v>
      </c>
      <c r="N121" s="182">
        <f t="shared" si="74"/>
        <v>41.600000001490116</v>
      </c>
      <c r="O121" s="182"/>
      <c r="P121" s="182"/>
      <c r="Q121" s="185"/>
      <c r="R121" s="197"/>
      <c r="S121" s="241">
        <f t="shared" si="73"/>
        <v>1</v>
      </c>
      <c r="T121" s="220" t="str">
        <f t="shared" si="58"/>
        <v>Southbound</v>
      </c>
      <c r="U121" s="22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1" t="str">
        <f t="shared" si="59"/>
        <v>https://d0f6bd738d7f1b3e5a7ca70fe4ff75f0.us-east-1.aws.found.io/app/kibana#/discover/Steve-Slow-Train-Analysis-(2080s-and-2083s)?_g=(refreshInterval:(display:Off,pause:!f,section:0,value:0),time:(from:'2017-12-12T16:35:50-0700',mode:absolute,to:'2017-12-12T19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222" t="str">
        <f>IF(AA121&lt;VLOOKUP(AG121,Variables!$AC$3:$AD$8,2,FALSE),"Y","N")</f>
        <v>N</v>
      </c>
      <c r="X121" s="222">
        <f t="shared" si="77"/>
        <v>1</v>
      </c>
      <c r="Y121" s="222">
        <f t="shared" si="75"/>
        <v>23.291499999999999</v>
      </c>
      <c r="Z121" s="222">
        <f t="shared" si="76"/>
        <v>1.8100000000000002E-2</v>
      </c>
      <c r="AA121" s="222">
        <f t="shared" si="60"/>
        <v>23.273399999999999</v>
      </c>
      <c r="AB121" s="231" t="e">
        <f>VLOOKUP(A121,Enforcements!$C$7:$K$9,8,0)</f>
        <v>#N/A</v>
      </c>
      <c r="AC121" s="231" t="e">
        <f>VLOOKUP(A121,Enforcements!$C$7:$E$9,3,0)</f>
        <v>#N/A</v>
      </c>
      <c r="AD121" s="232">
        <f t="shared" si="61"/>
        <v>206</v>
      </c>
      <c r="AE121" s="233" t="str">
        <f t="shared" si="62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121" s="234" t="str">
        <f t="shared" si="63"/>
        <v>"C:\Program Files (x86)\AstroGrep\AstroGrep.exe" /e /r /s /spath="%USERPROFILE%\AppData\Local\Temp\OnboardLogs" /stypes="app*4015*20171213*" /stext=" 01:.+((SYSTEM_STATE.+slice.+state.+changed )|(ment ac)|(multiple cpu faults)|(system.+state.+changed )|(\[timeout)|(PRM\|1\|D)|(kpr)|(kdp)|(train st.+moving)|(\|lc)|(penalty))"</v>
      </c>
      <c r="AG121" s="226" t="str">
        <f t="shared" si="64"/>
        <v>EC</v>
      </c>
      <c r="AH121" s="189" t="str">
        <f t="shared" si="65"/>
        <v>"%USERPROFILE%\Documents\GitHub\eaglep3\Utilities\RefineRTDCRunTimes.py" --tripid 206-12 --locoid 4015 --swversion DE.1.0.9.0 --startMP 204:232915 --initTime 2017-12-12T17:35:50 --startdatetime 2017-12-12T17:42:23 --delay 53 --endMP 204:181 --enddatetime 2017-12-12T18:23:59 --enforcementcount 0 &gt;&gt;%USERPROFILE%\Documents\GitHub\eaglep3-reporting\EC\2017-12-12-refined-times.txt</v>
      </c>
      <c r="AI121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{"issue":{"subject":"","project_id":79,"tracker_id":40,"status_id":1,"priority_id":2,"assigned_to_id":338,"start_date":"2017-12-12","description":"","custom_fields":[{"id":1,"name":"Subdivision","value":"EC"},{"id":4,"name":"Milepost","value":"0.0181"},{"id":17,"name":"Train ID","value":"206-12"},{"id":16,"name":"Locomotive ID","value":"4015"},{"id":130,"name":"Impact","value":""},{"id":150,"name":"Time of Event (Mountain Time)","value":"18:23:59"},{"id":151,"name":"Denver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180"/>
      <c r="AK121" s="188"/>
      <c r="AL121" s="188"/>
      <c r="AM121" s="193" t="str">
        <f t="shared" si="67"/>
        <v>start /low /b %USERPROFILE%\Documents\GitHub\eaglep3\Utilities\DownloadLogsFromS3.py --loco 4015 --day 2017-12-12</v>
      </c>
      <c r="AN121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87" t="str">
        <f t="shared" si="69"/>
        <v>https://d0f6bd738d7f1b3e5a7ca70fe4ff75f0.us-east-1.aws.found.io/app/kibana#/discover/Steve-Slow-Train-Analysis-(2080s-and-2083s)?_g=(refreshInterval:(display:Off,pause:!f,section:0,value:0),time:(from:'2017-12-12T16:35:50-0700',mode:absolute,to:'2017-12-12T19:23:59-0700'))&amp;_a=(columns:!('Message%20ID',Summary),filters:!(),index:'emp_*',interval:auto,query:(query_string:(analyze_wildcard:!t,query:'%22rtdc.l.rtdc.4015%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186" t="s">
        <v>835</v>
      </c>
      <c r="B122" s="182">
        <v>4058</v>
      </c>
      <c r="C122" s="184" t="s">
        <v>192</v>
      </c>
      <c r="D122" s="184" t="s">
        <v>620</v>
      </c>
      <c r="E122" s="183">
        <v>43081.705335648148</v>
      </c>
      <c r="F122" s="183">
        <v>43081.708599537036</v>
      </c>
      <c r="G122" s="182">
        <v>84</v>
      </c>
      <c r="H122" s="184" t="s">
        <v>463</v>
      </c>
      <c r="I122" s="183">
        <v>43081.733935185184</v>
      </c>
      <c r="J122" s="182">
        <v>0</v>
      </c>
      <c r="K122" s="190" t="str">
        <f t="shared" si="56"/>
        <v>4057/4058</v>
      </c>
      <c r="L122" s="196" t="str">
        <f>VLOOKUP(A122,'Trips&amp;Operators'!$C$1:$G$99911,5,FALSE)</f>
        <v>LEVIN SCOTT</v>
      </c>
      <c r="M122" s="181">
        <f t="shared" si="57"/>
        <v>2.5335648148029577E-2</v>
      </c>
      <c r="N122" s="182">
        <f t="shared" si="74"/>
        <v>36.483333333162591</v>
      </c>
      <c r="O122" s="182"/>
      <c r="P122" s="182"/>
      <c r="Q122" s="185"/>
      <c r="R122" s="197"/>
      <c r="S122" s="241">
        <f t="shared" si="73"/>
        <v>1</v>
      </c>
      <c r="T122" s="220" t="str">
        <f t="shared" si="58"/>
        <v>NorthBound</v>
      </c>
      <c r="U122" s="22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1" t="str">
        <f t="shared" si="59"/>
        <v>https://d0f6bd738d7f1b3e5a7ca70fe4ff75f0.us-east-1.aws.found.io/app/kibana#/discover/Steve-Slow-Train-Analysis-(2080s-and-2083s)?_g=(refreshInterval:(display:Off,pause:!f,section:0,value:0),time:(from:'2017-12-12T15:55:41-0700',mode:absolute,to:'2017-12-12T18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2" s="222" t="str">
        <f>IF(AA122&lt;VLOOKUP(AG122,Variables!$AC$3:$AD$8,2,FALSE),"Y","N")</f>
        <v>N</v>
      </c>
      <c r="X122" s="222">
        <f t="shared" si="77"/>
        <v>1</v>
      </c>
      <c r="Y122" s="222">
        <f t="shared" si="75"/>
        <v>4.8599999999999997E-2</v>
      </c>
      <c r="Z122" s="222">
        <f t="shared" si="76"/>
        <v>23.3291</v>
      </c>
      <c r="AA122" s="222">
        <f t="shared" si="60"/>
        <v>23.2805</v>
      </c>
      <c r="AB122" s="231" t="e">
        <f>VLOOKUP(A122,Enforcements!$C$7:$K$9,8,0)</f>
        <v>#N/A</v>
      </c>
      <c r="AC122" s="231" t="e">
        <f>VLOOKUP(A122,Enforcements!$C$7:$E$9,3,0)</f>
        <v>#N/A</v>
      </c>
      <c r="AD122" s="232">
        <f t="shared" si="61"/>
        <v>207</v>
      </c>
      <c r="AE122" s="233" t="str">
        <f t="shared" si="62"/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AF122" s="234" t="str">
        <f t="shared" si="63"/>
        <v>"C:\Program Files (x86)\AstroGrep\AstroGrep.exe" /e /r /s /spath="%USERPROFILE%\AppData\Local\Temp\OnboardLogs" /stypes="app*4058*20171213*" /stext=" 00:.+((SYSTEM_STATE.+slice.+state.+changed )|(ment ac)|(multiple cpu faults)|(system.+state.+changed )|(\[timeout)|(PRM\|1\|D)|(kpr)|(kdp)|(train st.+moving)|(\|lc)|(penalty))"</v>
      </c>
      <c r="AG122" s="226" t="str">
        <f t="shared" si="64"/>
        <v>EC</v>
      </c>
      <c r="AH122" s="189" t="str">
        <f t="shared" si="65"/>
        <v>"%USERPROFILE%\Documents\GitHub\eaglep3\Utilities\RefineRTDCRunTimes.py" --tripid 207-12 --locoid 4058 --swversion DE.1.0.9.0 --startMP 204:486 --initTime 2017-12-12T16:55:41 --startdatetime 2017-12-12T17:00:23 --delay 84 --endMP 204:233291 --enddatetime 2017-12-12T17:36:52 --enforcementcount 0 &gt;&gt;%USERPROFILE%\Documents\GitHub\eaglep3-reporting\EC\2017-12-12-refined-times.txt</v>
      </c>
      <c r="AI122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{"issue":{"subject":"","project_id":79,"tracker_id":40,"status_id":1,"priority_id":2,"assigned_to_id":338,"start_date":"2017-12-12","description":"","custom_fields":[{"id":1,"name":"Subdivision","value":"EC"},{"id":4,"name":"Milepost","value":"23.3291"},{"id":17,"name":"Train ID","value":"207-12"},{"id":16,"name":"Locomotive ID","value":"4058"},{"id":130,"name":"Impact","value":""},{"id":150,"name":"Time of Event (Mountain Time)","value":"17:36:52"},{"id":151,"name":"Denver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180"/>
      <c r="AK122" s="188"/>
      <c r="AL122" s="188"/>
      <c r="AM122" s="193" t="str">
        <f t="shared" si="67"/>
        <v>start /low /b %USERPROFILE%\Documents\GitHub\eaglep3\Utilities\DownloadLogsFromS3.py --loco 4058 --day 2017-12-12</v>
      </c>
      <c r="AN122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87" t="str">
        <f t="shared" si="69"/>
        <v>https://d0f6bd738d7f1b3e5a7ca70fe4ff75f0.us-east-1.aws.found.io/app/kibana#/discover/Steve-Slow-Train-Analysis-(2080s-and-2083s)?_g=(refreshInterval:(display:Off,pause:!f,section:0,value:0),time:(from:'2017-12-12T15:55:41-0700',mode:absolute,to:'2017-12-12T18:36:52-0700'))&amp;_a=(columns:!('Message%20ID',Summary),filters:!(),index:'emp_*',interval:auto,query:(query_string:(analyze_wildcard:!t,query:'%22rtdc.l.rtdc.4058%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186" t="s">
        <v>688</v>
      </c>
      <c r="B123" s="182">
        <v>4057</v>
      </c>
      <c r="C123" s="184" t="s">
        <v>192</v>
      </c>
      <c r="D123" s="184" t="s">
        <v>984</v>
      </c>
      <c r="E123" s="183">
        <v>43081.73846064815</v>
      </c>
      <c r="F123" s="183">
        <v>43081.748611111114</v>
      </c>
      <c r="G123" s="182">
        <v>52</v>
      </c>
      <c r="H123" s="184" t="s">
        <v>907</v>
      </c>
      <c r="I123" s="183">
        <v>43081.777986111112</v>
      </c>
      <c r="J123" s="182">
        <v>0</v>
      </c>
      <c r="K123" s="190" t="str">
        <f t="shared" si="56"/>
        <v>4057/4058</v>
      </c>
      <c r="L123" s="196" t="str">
        <f>VLOOKUP(A123,'Trips&amp;Operators'!$C$1:$G$99911,5,FALSE)</f>
        <v>LEVIN SCOTT</v>
      </c>
      <c r="M123" s="181">
        <f t="shared" si="57"/>
        <v>2.937499999825377E-2</v>
      </c>
      <c r="N123" s="182">
        <f t="shared" si="74"/>
        <v>42.299999997485429</v>
      </c>
      <c r="O123" s="182"/>
      <c r="P123" s="182"/>
      <c r="Q123" s="185"/>
      <c r="R123" s="197"/>
      <c r="S123" s="241">
        <f t="shared" si="73"/>
        <v>1</v>
      </c>
      <c r="T123" s="220" t="str">
        <f t="shared" si="58"/>
        <v>Southbound</v>
      </c>
      <c r="U123" s="22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1" t="str">
        <f t="shared" si="59"/>
        <v>https://d0f6bd738d7f1b3e5a7ca70fe4ff75f0.us-east-1.aws.found.io/app/kibana#/discover/Steve-Slow-Train-Analysis-(2080s-and-2083s)?_g=(refreshInterval:(display:Off,pause:!f,section:0,value:0),time:(from:'2017-12-12T16:43:23-0700',mode:absolute,to:'2017-12-12T19:40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3" s="222" t="str">
        <f>IF(AA123&lt;VLOOKUP(AG123,Variables!$AC$3:$AD$8,2,FALSE),"Y","N")</f>
        <v>N</v>
      </c>
      <c r="X123" s="222">
        <f t="shared" si="77"/>
        <v>1</v>
      </c>
      <c r="Y123" s="222">
        <f t="shared" si="75"/>
        <v>23.299199999999999</v>
      </c>
      <c r="Z123" s="222">
        <f t="shared" si="76"/>
        <v>1.6299999999999999E-2</v>
      </c>
      <c r="AA123" s="222">
        <f t="shared" si="60"/>
        <v>23.282899999999998</v>
      </c>
      <c r="AB123" s="231" t="e">
        <f>VLOOKUP(A123,Enforcements!$C$7:$K$9,8,0)</f>
        <v>#N/A</v>
      </c>
      <c r="AC123" s="231" t="e">
        <f>VLOOKUP(A123,Enforcements!$C$7:$E$9,3,0)</f>
        <v>#N/A</v>
      </c>
      <c r="AD123" s="232">
        <f t="shared" si="61"/>
        <v>208</v>
      </c>
      <c r="AE123" s="233" t="str">
        <f t="shared" si="62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123" s="234" t="str">
        <f t="shared" si="63"/>
        <v>"C:\Program Files (x86)\AstroGrep\AstroGrep.exe" /e /r /s /spath="%USERPROFILE%\AppData\Local\Temp\OnboardLogs" /stypes="app*4057*20171213*" /stext=" 01:.+((SYSTEM_STATE.+slice.+state.+changed )|(ment ac)|(multiple cpu faults)|(system.+state.+changed )|(\[timeout)|(PRM\|1\|D)|(kpr)|(kdp)|(train st.+moving)|(\|lc)|(penalty))"</v>
      </c>
      <c r="AG123" s="226" t="str">
        <f t="shared" si="64"/>
        <v>EC</v>
      </c>
      <c r="AH123" s="189" t="str">
        <f t="shared" si="65"/>
        <v>"%USERPROFILE%\Documents\GitHub\eaglep3\Utilities\RefineRTDCRunTimes.py" --tripid 208-12 --locoid 4057 --swversion DE.1.0.9.0 --startMP 204:232992 --initTime 2017-12-12T17:43:23 --startdatetime 2017-12-12T17:58:00 --delay 52 --endMP 204:163 --enddatetime 2017-12-12T18:40:18 --enforcementcount 0 &gt;&gt;%USERPROFILE%\Documents\GitHub\eaglep3-reporting\EC\2017-12-12-refined-times.txt</v>
      </c>
      <c r="AI123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{"issue":{"subject":"","project_id":79,"tracker_id":40,"status_id":1,"priority_id":2,"assigned_to_id":338,"start_date":"2017-12-12","description":"","custom_fields":[{"id":1,"name":"Subdivision","value":"EC"},{"id":4,"name":"Milepost","value":"0.0163"},{"id":17,"name":"Train ID","value":"208-12"},{"id":16,"name":"Locomotive ID","value":"4057"},{"id":130,"name":"Impact","value":""},{"id":150,"name":"Time of Event (Mountain Time)","value":"18:40:18"},{"id":151,"name":"Denver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180"/>
      <c r="AK123" s="188"/>
      <c r="AL123" s="188"/>
      <c r="AM123" s="193" t="str">
        <f t="shared" si="67"/>
        <v>start /low /b %USERPROFILE%\Documents\GitHub\eaglep3\Utilities\DownloadLogsFromS3.py --loco 4057 --day 2017-12-12</v>
      </c>
      <c r="AN123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01:40:18"},{"id":29,"name":"Sharepoint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87" t="str">
        <f t="shared" si="69"/>
        <v>https://d0f6bd738d7f1b3e5a7ca70fe4ff75f0.us-east-1.aws.found.io/app/kibana#/discover/Steve-Slow-Train-Analysis-(2080s-and-2083s)?_g=(refreshInterval:(display:Off,pause:!f,section:0,value:0),time:(from:'2017-12-12T16:43:23-0700',mode:absolute,to:'2017-12-12T19:40:18-0700'))&amp;_a=(columns:!('Message%20ID',Summary),filters:!(),index:'emp_*',interval:auto,query:(query_string:(analyze_wildcard:!t,query:'%22rtdc.l.rtdc.4057%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186" t="s">
        <v>838</v>
      </c>
      <c r="B124" s="182">
        <v>4006</v>
      </c>
      <c r="C124" s="184" t="s">
        <v>192</v>
      </c>
      <c r="D124" s="184" t="s">
        <v>415</v>
      </c>
      <c r="E124" s="183">
        <v>43081.714386574073</v>
      </c>
      <c r="F124" s="183">
        <v>43081.7190625</v>
      </c>
      <c r="G124" s="182">
        <v>78</v>
      </c>
      <c r="H124" s="184" t="s">
        <v>985</v>
      </c>
      <c r="I124" s="183">
        <v>43081.746516203704</v>
      </c>
      <c r="J124" s="182">
        <v>0</v>
      </c>
      <c r="K124" s="190" t="str">
        <f t="shared" si="56"/>
        <v>4005/4006</v>
      </c>
      <c r="L124" s="196" t="str">
        <f>VLOOKUP(A124,'Trips&amp;Operators'!$C$1:$G$99911,5,FALSE)</f>
        <v>LONG FULLER</v>
      </c>
      <c r="M124" s="181">
        <f t="shared" si="57"/>
        <v>2.7453703703940846E-2</v>
      </c>
      <c r="N124" s="182">
        <f t="shared" si="74"/>
        <v>39.533333333674818</v>
      </c>
      <c r="O124" s="182"/>
      <c r="P124" s="182"/>
      <c r="Q124" s="185"/>
      <c r="R124" s="197"/>
      <c r="S124" s="241">
        <f t="shared" si="73"/>
        <v>1</v>
      </c>
      <c r="T124" s="220" t="str">
        <f t="shared" si="58"/>
        <v>NorthBound</v>
      </c>
      <c r="U124" s="22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21" t="str">
        <f t="shared" si="59"/>
        <v>https://d0f6bd738d7f1b3e5a7ca70fe4ff75f0.us-east-1.aws.found.io/app/kibana#/discover/Steve-Slow-Train-Analysis-(2080s-and-2083s)?_g=(refreshInterval:(display:Off,pause:!f,section:0,value:0),time:(from:'2017-12-12T16:08:43-0700',mode:absolute,to:'2017-12-12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222" t="str">
        <f>IF(AA124&lt;VLOOKUP(AG124,Variables!$AC$3:$AD$8,2,FALSE),"Y","N")</f>
        <v>N</v>
      </c>
      <c r="X124" s="222">
        <f t="shared" si="77"/>
        <v>1</v>
      </c>
      <c r="Y124" s="222">
        <f t="shared" si="75"/>
        <v>5.3999999999999999E-2</v>
      </c>
      <c r="Z124" s="222">
        <f t="shared" si="76"/>
        <v>23.321200000000001</v>
      </c>
      <c r="AA124" s="222">
        <f t="shared" si="60"/>
        <v>23.267200000000003</v>
      </c>
      <c r="AB124" s="231" t="e">
        <f>VLOOKUP(A124,Enforcements!$C$7:$K$9,8,0)</f>
        <v>#N/A</v>
      </c>
      <c r="AC124" s="231" t="e">
        <f>VLOOKUP(A124,Enforcements!$C$7:$E$9,3,0)</f>
        <v>#N/A</v>
      </c>
      <c r="AD124" s="232">
        <f t="shared" si="61"/>
        <v>209</v>
      </c>
      <c r="AE124" s="233" t="str">
        <f t="shared" si="62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124" s="234" t="str">
        <f t="shared" si="63"/>
        <v>"C:\Program Files (x86)\AstroGrep\AstroGrep.exe" /e /r /s /spath="%USERPROFILE%\AppData\Local\Temp\OnboardLogs" /stypes="app*4006*20171213*" /stext=" 00:.+((SYSTEM_STATE.+slice.+state.+changed )|(ment ac)|(multiple cpu faults)|(system.+state.+changed )|(\[timeout)|(PRM\|1\|D)|(kpr)|(kdp)|(train st.+moving)|(\|lc)|(penalty))"</v>
      </c>
      <c r="AG124" s="226" t="str">
        <f t="shared" si="64"/>
        <v>EC</v>
      </c>
      <c r="AH124" s="189" t="str">
        <f t="shared" si="65"/>
        <v>"%USERPROFILE%\Documents\GitHub\eaglep3\Utilities\RefineRTDCRunTimes.py" --tripid 209-12 --locoid 4006 --swversion DE.1.0.9.0 --startMP 204:540 --initTime 2017-12-12T17:08:43 --startdatetime 2017-12-12T17:15:27 --delay 78 --endMP 204:233212 --enddatetime 2017-12-12T17:54:59 --enforcementcount 0 &gt;&gt;%USERPROFILE%\Documents\GitHub\eaglep3-reporting\EC\2017-12-12-refined-times.txt</v>
      </c>
      <c r="AI124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{"issue":{"subject":"","project_id":79,"tracker_id":40,"status_id":1,"priority_id":2,"assigned_to_id":338,"start_date":"2017-12-12","description":"","custom_fields":[{"id":1,"name":"Subdivision","value":"EC"},{"id":4,"name":"Milepost","value":"23.3212"},{"id":17,"name":"Train ID","value":"209-12"},{"id":16,"name":"Locomotive ID","value":"4006"},{"id":130,"name":"Impact","value":""},{"id":150,"name":"Time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180"/>
      <c r="AK124" s="188"/>
      <c r="AL124" s="188"/>
      <c r="AM124" s="193" t="str">
        <f t="shared" si="67"/>
        <v>start /low /b %USERPROFILE%\Documents\GitHub\eaglep3\Utilities\DownloadLogsFromS3.py --loco 4006 --day 2017-12-12</v>
      </c>
      <c r="AN124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87" t="str">
        <f t="shared" si="69"/>
        <v>https://d0f6bd738d7f1b3e5a7ca70fe4ff75f0.us-east-1.aws.found.io/app/kibana#/discover/Steve-Slow-Train-Analysis-(2080s-and-2083s)?_g=(refreshInterval:(display:Off,pause:!f,section:0,value:0),time:(from:'2017-12-12T16:08:43-0700',mode:absolute,to:'2017-12-12T18:54:59-0700'))&amp;_a=(columns:!('Message%20ID',Summary),filters:!(),index:'emp_*',interval:auto,query:(query_string:(analyze_wildcard:!t,query:'%22rtdc.l.rtdc.4006%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186" t="s">
        <v>687</v>
      </c>
      <c r="B125" s="182">
        <v>4005</v>
      </c>
      <c r="C125" s="184" t="s">
        <v>192</v>
      </c>
      <c r="D125" s="184" t="s">
        <v>986</v>
      </c>
      <c r="E125" s="183">
        <v>43081.754120370373</v>
      </c>
      <c r="F125" s="183">
        <v>43081.758692129632</v>
      </c>
      <c r="G125" s="182">
        <v>57</v>
      </c>
      <c r="H125" s="184" t="s">
        <v>634</v>
      </c>
      <c r="I125" s="183">
        <v>43081.786203703705</v>
      </c>
      <c r="J125" s="182">
        <v>0</v>
      </c>
      <c r="K125" s="190" t="str">
        <f t="shared" si="56"/>
        <v>4005/4006</v>
      </c>
      <c r="L125" s="196" t="str">
        <f>VLOOKUP(A125,'Trips&amp;Operators'!$C$1:$G$99911,5,FALSE)</f>
        <v>LONG FULLER</v>
      </c>
      <c r="M125" s="181">
        <f t="shared" si="57"/>
        <v>2.7511574073287193E-2</v>
      </c>
      <c r="N125" s="182">
        <f t="shared" si="74"/>
        <v>39.616666665533558</v>
      </c>
      <c r="O125" s="182"/>
      <c r="P125" s="182"/>
      <c r="Q125" s="185"/>
      <c r="R125" s="197"/>
      <c r="S125" s="241">
        <f t="shared" si="73"/>
        <v>1</v>
      </c>
      <c r="T125" s="220" t="str">
        <f t="shared" si="58"/>
        <v>Southbound</v>
      </c>
      <c r="U125" s="22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21" t="str">
        <f t="shared" si="59"/>
        <v>https://d0f6bd738d7f1b3e5a7ca70fe4ff75f0.us-east-1.aws.found.io/app/kibana#/discover/Steve-Slow-Train-Analysis-(2080s-and-2083s)?_g=(refreshInterval:(display:Off,pause:!f,section:0,value:0),time:(from:'2017-12-12T17:05:56-0700',mode:absolute,to:'2017-12-12T19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222" t="str">
        <f>IF(AA125&lt;VLOOKUP(AG125,Variables!$AC$3:$AD$8,2,FALSE),"Y","N")</f>
        <v>N</v>
      </c>
      <c r="X125" s="222">
        <f t="shared" si="77"/>
        <v>1</v>
      </c>
      <c r="Y125" s="222">
        <f t="shared" si="75"/>
        <v>23.288900000000002</v>
      </c>
      <c r="Z125" s="222">
        <f t="shared" si="76"/>
        <v>2.5100000000000001E-2</v>
      </c>
      <c r="AA125" s="222">
        <f t="shared" si="60"/>
        <v>23.263800000000003</v>
      </c>
      <c r="AB125" s="231" t="e">
        <f>VLOOKUP(A125,Enforcements!$C$7:$K$9,8,0)</f>
        <v>#N/A</v>
      </c>
      <c r="AC125" s="231" t="e">
        <f>VLOOKUP(A125,Enforcements!$C$7:$E$9,3,0)</f>
        <v>#N/A</v>
      </c>
      <c r="AD125" s="232">
        <f t="shared" si="61"/>
        <v>210</v>
      </c>
      <c r="AE125" s="233" t="str">
        <f t="shared" si="62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125" s="234" t="str">
        <f t="shared" si="63"/>
        <v>"C:\Program Files (x86)\AstroGrep\AstroGrep.exe" /e /r /s /spath="%USERPROFILE%\AppData\Local\Temp\OnboardLogs" /stypes="app*4005*20171213*" /stext=" 01:.+((SYSTEM_STATE.+slice.+state.+changed )|(ment ac)|(multiple cpu faults)|(system.+state.+changed )|(\[timeout)|(PRM\|1\|D)|(kpr)|(kdp)|(train st.+moving)|(\|lc)|(penalty))"</v>
      </c>
      <c r="AG125" s="226" t="str">
        <f t="shared" si="64"/>
        <v>EC</v>
      </c>
      <c r="AH125" s="189" t="str">
        <f t="shared" si="65"/>
        <v>"%USERPROFILE%\Documents\GitHub\eaglep3\Utilities\RefineRTDCRunTimes.py" --tripid 210-12 --locoid 4005 --swversion DE.1.0.9.0 --startMP 204:232889 --initTime 2017-12-12T18:05:56 --startdatetime 2017-12-12T18:12:31 --delay 57 --endMP 204:251 --enddatetime 2017-12-12T18:52:08 --enforcementcount 0 &gt;&gt;%USERPROFILE%\Documents\GitHub\eaglep3-reporting\EC\2017-12-12-refined-times.txt</v>
      </c>
      <c r="AI125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{"issue":{"subject":"","project_id":79,"tracker_id":40,"status_id":1,"priority_id":2,"assigned_to_id":338,"start_date":"2017-12-12","description":"","custom_fields":[{"id":1,"name":"Subdivision","value":"EC"},{"id":4,"name":"Milepost","value":"0.0251"},{"id":17,"name":"Train ID","value":"210-12"},{"id":16,"name":"Locomotive ID","value":"4005"},{"id":130,"name":"Impact","value":""},{"id":150,"name":"Time of Event (Mountain Time)","value":"18:52:08"},{"id":151,"name":"Denver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180"/>
      <c r="AK125" s="188"/>
      <c r="AL125" s="188"/>
      <c r="AM125" s="193" t="str">
        <f t="shared" si="67"/>
        <v>start /low /b %USERPROFILE%\Documents\GitHub\eaglep3\Utilities\DownloadLogsFromS3.py --loco 4005 --day 2017-12-12</v>
      </c>
      <c r="AN125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87" t="str">
        <f t="shared" si="69"/>
        <v>https://d0f6bd738d7f1b3e5a7ca70fe4ff75f0.us-east-1.aws.found.io/app/kibana#/discover/Steve-Slow-Train-Analysis-(2080s-and-2083s)?_g=(refreshInterval:(display:Off,pause:!f,section:0,value:0),time:(from:'2017-12-12T17:05:56-0700',mode:absolute,to:'2017-12-12T19:52:08-0700'))&amp;_a=(columns:!('Message%20ID',Summary),filters:!(),index:'emp_*',interval:auto,query:(query_string:(analyze_wildcard:!t,query:'%22rtdc.l.rtdc.4005%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180" customFormat="1" x14ac:dyDescent="0.25">
      <c r="A126" s="186" t="s">
        <v>841</v>
      </c>
      <c r="B126" s="182">
        <v>4022</v>
      </c>
      <c r="C126" s="184" t="s">
        <v>192</v>
      </c>
      <c r="D126" s="184" t="s">
        <v>961</v>
      </c>
      <c r="E126" s="183">
        <v>43081.730138888888</v>
      </c>
      <c r="F126" s="183">
        <v>43081.731863425928</v>
      </c>
      <c r="G126" s="182">
        <v>63</v>
      </c>
      <c r="H126" s="184" t="s">
        <v>938</v>
      </c>
      <c r="I126" s="183">
        <v>43081.757997685185</v>
      </c>
      <c r="J126" s="182">
        <v>0</v>
      </c>
      <c r="K126" s="190" t="str">
        <f t="shared" si="56"/>
        <v>4021/4022</v>
      </c>
      <c r="L126" s="196" t="str">
        <f>VLOOKUP(A126,'Trips&amp;Operators'!$C$1:$G$99911,5,FALSE)</f>
        <v>SAFIEF AEIMEN</v>
      </c>
      <c r="M126" s="181">
        <f t="shared" si="57"/>
        <v>2.6134259256650694E-2</v>
      </c>
      <c r="N126" s="182">
        <f t="shared" si="74"/>
        <v>37.633333329576999</v>
      </c>
      <c r="O126" s="182"/>
      <c r="P126" s="182"/>
      <c r="Q126" s="185"/>
      <c r="R126" s="197"/>
      <c r="S126" s="241">
        <f t="shared" si="73"/>
        <v>1</v>
      </c>
      <c r="T126" s="220" t="str">
        <f t="shared" si="58"/>
        <v>NorthBound</v>
      </c>
      <c r="U126" s="22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1" t="str">
        <f t="shared" si="59"/>
        <v>https://d0f6bd738d7f1b3e5a7ca70fe4ff75f0.us-east-1.aws.found.io/app/kibana#/discover/Steve-Slow-Train-Analysis-(2080s-and-2083s)?_g=(refreshInterval:(display:Off,pause:!f,section:0,value:0),time:(from:'2017-12-12T16:31:24-0700',mode:absolute,to:'2017-12-12T19:11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6" s="222" t="str">
        <f>IF(AA126&lt;VLOOKUP(AG126,Variables!$AC$3:$AD$8,2,FALSE),"Y","N")</f>
        <v>N</v>
      </c>
      <c r="X126" s="222">
        <f t="shared" si="77"/>
        <v>1</v>
      </c>
      <c r="Y126" s="222">
        <f t="shared" si="75"/>
        <v>4.9299999999999997E-2</v>
      </c>
      <c r="Z126" s="222">
        <f t="shared" si="76"/>
        <v>23.324000000000002</v>
      </c>
      <c r="AA126" s="222">
        <f t="shared" si="60"/>
        <v>23.274700000000003</v>
      </c>
      <c r="AB126" s="231" t="e">
        <f>VLOOKUP(A126,Enforcements!$C$7:$K$9,8,0)</f>
        <v>#N/A</v>
      </c>
      <c r="AC126" s="231" t="e">
        <f>VLOOKUP(A126,Enforcements!$C$7:$E$9,3,0)</f>
        <v>#N/A</v>
      </c>
      <c r="AD126" s="232">
        <f t="shared" si="61"/>
        <v>211</v>
      </c>
      <c r="AE126" s="233" t="str">
        <f t="shared" si="62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126" s="234" t="str">
        <f t="shared" si="63"/>
        <v>"C:\Program Files (x86)\AstroGrep\AstroGrep.exe" /e /r /s /spath="%USERPROFILE%\AppData\Local\Temp\OnboardLogs" /stypes="app*4022*20171213*" /stext=" 01:.+((SYSTEM_STATE.+slice.+state.+changed )|(ment ac)|(multiple cpu faults)|(system.+state.+changed )|(\[timeout)|(PRM\|1\|D)|(kpr)|(kdp)|(train st.+moving)|(\|lc)|(penalty))"</v>
      </c>
      <c r="AG126" s="226" t="str">
        <f t="shared" si="64"/>
        <v>EC</v>
      </c>
      <c r="AH126" s="189" t="str">
        <f t="shared" si="65"/>
        <v>"%USERPROFILE%\Documents\GitHub\eaglep3\Utilities\RefineRTDCRunTimes.py" --tripid 211-12 --locoid 4022 --swversion DE.1.0.9.0 --startMP 204:493 --initTime 2017-12-12T17:31:24 --startdatetime 2017-12-12T17:33:53 --delay 63 --endMP 204:233240 --enddatetime 2017-12-12T18:11:31 --enforcementcount 0 &gt;&gt;%USERPROFILE%\Documents\GitHub\eaglep3-reporting\EC\2017-12-12-refined-times.txt</v>
      </c>
      <c r="AI126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{"issue":{"subject":"","project_id":79,"tracker_id":40,"status_id":1,"priority_id":2,"assigned_to_id":338,"start_date":"2017-12-12","description":"","custom_fields":[{"id":1,"name":"Subdivision","value":"EC"},{"id":4,"name":"Milepost","value":"23.324"},{"id":17,"name":"Train ID","value":"211-12"},{"id":16,"name":"Locomotive ID","value":"4022"},{"id":130,"name":"Impact","value":""},{"id":150,"name":"Time of Event (Mountain Time)","value":"18:11:31"},{"id":151,"name":"Denver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188"/>
      <c r="AL126" s="188"/>
      <c r="AM126" s="193" t="str">
        <f t="shared" si="67"/>
        <v>start /low /b %USERPROFILE%\Documents\GitHub\eaglep3\Utilities\DownloadLogsFromS3.py --loco 4022 --day 2017-12-12</v>
      </c>
      <c r="AN126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87" t="str">
        <f t="shared" si="69"/>
        <v>https://d0f6bd738d7f1b3e5a7ca70fe4ff75f0.us-east-1.aws.found.io/app/kibana#/discover/Steve-Slow-Train-Analysis-(2080s-and-2083s)?_g=(refreshInterval:(display:Off,pause:!f,section:0,value:0),time:(from:'2017-12-12T16:31:24-0700',mode:absolute,to:'2017-12-12T19:11:31-0700'))&amp;_a=(columns:!('Message%20ID',Summary),filters:!(),index:'emp_*',interval:auto,query:(query_string:(analyze_wildcard:!t,query:'%22rtdc.l.rtdc.4022%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180" customFormat="1" x14ac:dyDescent="0.25">
      <c r="A127" s="186" t="s">
        <v>852</v>
      </c>
      <c r="B127" s="182">
        <v>4021</v>
      </c>
      <c r="C127" s="184" t="s">
        <v>192</v>
      </c>
      <c r="D127" s="184" t="s">
        <v>975</v>
      </c>
      <c r="E127" s="183">
        <v>43081.760868055557</v>
      </c>
      <c r="F127" s="183">
        <v>43081.769016203703</v>
      </c>
      <c r="G127" s="182">
        <v>65</v>
      </c>
      <c r="H127" s="184" t="s">
        <v>622</v>
      </c>
      <c r="I127" s="183">
        <v>43081.794583333336</v>
      </c>
      <c r="J127" s="182">
        <v>0</v>
      </c>
      <c r="K127" s="190" t="str">
        <f t="shared" si="56"/>
        <v>4021/4022</v>
      </c>
      <c r="L127" s="196" t="str">
        <f>VLOOKUP(A127,'Trips&amp;Operators'!$C$1:$G$99911,5,FALSE)</f>
        <v>SAFIEF AEIMEN</v>
      </c>
      <c r="M127" s="181">
        <f t="shared" si="57"/>
        <v>2.5567129632690921E-2</v>
      </c>
      <c r="N127" s="182">
        <f t="shared" si="74"/>
        <v>36.816666671074927</v>
      </c>
      <c r="O127" s="182"/>
      <c r="P127" s="182"/>
      <c r="Q127" s="185"/>
      <c r="R127" s="197"/>
      <c r="S127" s="241">
        <f t="shared" si="73"/>
        <v>1</v>
      </c>
      <c r="T127" s="220" t="str">
        <f t="shared" si="58"/>
        <v>Southbound</v>
      </c>
      <c r="U127" s="22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1" t="str">
        <f t="shared" si="59"/>
        <v>https://d0f6bd738d7f1b3e5a7ca70fe4ff75f0.us-east-1.aws.found.io/app/kibana#/discover/Steve-Slow-Train-Analysis-(2080s-and-2083s)?_g=(refreshInterval:(display:Off,pause:!f,section:0,value:0),time:(from:'2017-12-12T17:15:39-0700',mode:absolute,to:'2017-12-12T20:04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7" s="222" t="str">
        <f>IF(AA127&lt;VLOOKUP(AG127,Variables!$AC$3:$AD$8,2,FALSE),"Y","N")</f>
        <v>N</v>
      </c>
      <c r="X127" s="222">
        <f t="shared" si="77"/>
        <v>1</v>
      </c>
      <c r="Y127" s="222">
        <f t="shared" si="75"/>
        <v>23.291699999999999</v>
      </c>
      <c r="Z127" s="222">
        <f t="shared" si="76"/>
        <v>1.9199999999999998E-2</v>
      </c>
      <c r="AA127" s="222">
        <f t="shared" si="60"/>
        <v>23.272499999999997</v>
      </c>
      <c r="AB127" s="231" t="e">
        <f>VLOOKUP(A127,Enforcements!$C$7:$K$9,8,0)</f>
        <v>#N/A</v>
      </c>
      <c r="AC127" s="231" t="e">
        <f>VLOOKUP(A127,Enforcements!$C$7:$E$9,3,0)</f>
        <v>#N/A</v>
      </c>
      <c r="AD127" s="232">
        <f t="shared" si="61"/>
        <v>212</v>
      </c>
      <c r="AE127" s="233" t="str">
        <f t="shared" si="62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127" s="234" t="str">
        <f t="shared" si="63"/>
        <v>"C:\Program Files (x86)\AstroGrep\AstroGrep.exe" /e /r /s /spath="%USERPROFILE%\AppData\Local\Temp\OnboardLogs" /stypes="app*4021*20171213*" /stext=" 02:.+((SYSTEM_STATE.+slice.+state.+changed )|(ment ac)|(multiple cpu faults)|(system.+state.+changed )|(\[timeout)|(PRM\|1\|D)|(kpr)|(kdp)|(train st.+moving)|(\|lc)|(penalty))"</v>
      </c>
      <c r="AG127" s="226" t="str">
        <f t="shared" si="64"/>
        <v>EC</v>
      </c>
      <c r="AH127" s="189" t="str">
        <f t="shared" si="65"/>
        <v>"%USERPROFILE%\Documents\GitHub\eaglep3\Utilities\RefineRTDCRunTimes.py" --tripid 212-12 --locoid 4021 --swversion DE.1.0.9.0 --startMP 204:232917 --initTime 2017-12-12T18:15:39 --startdatetime 2017-12-12T18:27:23 --delay 65 --endMP 204:192 --enddatetime 2017-12-12T19:04:12 --enforcementcount 0 &gt;&gt;%USERPROFILE%\Documents\GitHub\eaglep3-reporting\EC\2017-12-12-refined-times.txt</v>
      </c>
      <c r="AI127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{"issue":{"subject":"","project_id":79,"tracker_id":40,"status_id":1,"priority_id":2,"assigned_to_id":338,"start_date":"2017-12-12","description":"","custom_fields":[{"id":1,"name":"Subdivision","value":"EC"},{"id":4,"name":"Milepost","value":"0.0192"},{"id":17,"name":"Train ID","value":"212-12"},{"id":16,"name":"Locomotive ID","value":"4021"},{"id":130,"name":"Impact","value":""},{"id":150,"name":"Time of Event (Mountain Time)","value":"19:04:12"},{"id":151,"name":"Denver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188"/>
      <c r="AL127" s="188"/>
      <c r="AM127" s="193" t="str">
        <f t="shared" si="67"/>
        <v>start /low /b %USERPROFILE%\Documents\GitHub\eaglep3\Utilities\DownloadLogsFromS3.py --loco 4021 --day 2017-12-12</v>
      </c>
      <c r="AN127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87" t="str">
        <f t="shared" si="69"/>
        <v>https://d0f6bd738d7f1b3e5a7ca70fe4ff75f0.us-east-1.aws.found.io/app/kibana#/discover/Steve-Slow-Train-Analysis-(2080s-and-2083s)?_g=(refreshInterval:(display:Off,pause:!f,section:0,value:0),time:(from:'2017-12-12T17:15:39-0700',mode:absolute,to:'2017-12-12T20:04:12-0700'))&amp;_a=(columns:!('Message%20ID',Summary),filters:!(),index:'emp_*',interval:auto,query:(query_string:(analyze_wildcard:!t,query:'%22rtdc.l.rtdc.4021%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186" t="s">
        <v>847</v>
      </c>
      <c r="B128" s="182">
        <v>4012</v>
      </c>
      <c r="C128" s="184" t="s">
        <v>192</v>
      </c>
      <c r="D128" s="184" t="s">
        <v>987</v>
      </c>
      <c r="E128" s="183">
        <v>43081.737719907411</v>
      </c>
      <c r="F128" s="183">
        <v>43081.739942129629</v>
      </c>
      <c r="G128" s="182">
        <v>72</v>
      </c>
      <c r="H128" s="184" t="s">
        <v>926</v>
      </c>
      <c r="I128" s="183">
        <v>43081.765462962961</v>
      </c>
      <c r="J128" s="182">
        <v>0</v>
      </c>
      <c r="K128" s="190" t="str">
        <f t="shared" si="56"/>
        <v>4011/4012</v>
      </c>
      <c r="L128" s="196" t="str">
        <f>VLOOKUP(A128,'Trips&amp;Operators'!$C$1:$G$99911,5,FALSE)</f>
        <v>LORI SANTOS</v>
      </c>
      <c r="M128" s="181">
        <f t="shared" si="57"/>
        <v>2.5520833332848269E-2</v>
      </c>
      <c r="N128" s="182">
        <f t="shared" si="74"/>
        <v>36.749999999301508</v>
      </c>
      <c r="O128" s="182"/>
      <c r="P128" s="182"/>
      <c r="Q128" s="185"/>
      <c r="R128" s="197"/>
      <c r="S128" s="241">
        <f t="shared" si="73"/>
        <v>1</v>
      </c>
      <c r="T128" s="220" t="str">
        <f t="shared" si="58"/>
        <v>NorthBound</v>
      </c>
      <c r="U128" s="22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1" t="str">
        <f t="shared" si="59"/>
        <v>https://d0f6bd738d7f1b3e5a7ca70fe4ff75f0.us-east-1.aws.found.io/app/kibana#/discover/Steve-Slow-Train-Analysis-(2080s-and-2083s)?_g=(refreshInterval:(display:Off,pause:!f,section:0,value:0),time:(from:'2017-12-12T16:42:19-0700',mode:absolute,to:'2017-12-12T19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8" s="222" t="str">
        <f>IF(AA128&lt;VLOOKUP(AG128,Variables!$AC$3:$AD$8,2,FALSE),"Y","N")</f>
        <v>N</v>
      </c>
      <c r="X128" s="222">
        <f t="shared" si="77"/>
        <v>1</v>
      </c>
      <c r="Y128" s="222">
        <f t="shared" si="75"/>
        <v>5.4199999999999998E-2</v>
      </c>
      <c r="Z128" s="222">
        <f t="shared" si="76"/>
        <v>23.3276</v>
      </c>
      <c r="AA128" s="222">
        <f t="shared" si="60"/>
        <v>23.273399999999999</v>
      </c>
      <c r="AB128" s="231" t="e">
        <f>VLOOKUP(A128,Enforcements!$C$7:$K$9,8,0)</f>
        <v>#N/A</v>
      </c>
      <c r="AC128" s="231" t="e">
        <f>VLOOKUP(A128,Enforcements!$C$7:$E$9,3,0)</f>
        <v>#N/A</v>
      </c>
      <c r="AD128" s="232">
        <f t="shared" si="61"/>
        <v>213</v>
      </c>
      <c r="AE128" s="233" t="str">
        <f t="shared" si="62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128" s="234" t="str">
        <f t="shared" si="63"/>
        <v>"C:\Program Files (x86)\AstroGrep\AstroGrep.exe" /e /r /s /spath="%USERPROFILE%\AppData\Local\Temp\OnboardLogs" /stypes="app*4012*20171213*" /stext=" 01:.+((SYSTEM_STATE.+slice.+state.+changed )|(ment ac)|(multiple cpu faults)|(system.+state.+changed )|(\[timeout)|(PRM\|1\|D)|(kpr)|(kdp)|(train st.+moving)|(\|lc)|(penalty))"</v>
      </c>
      <c r="AG128" s="226" t="str">
        <f t="shared" si="64"/>
        <v>EC</v>
      </c>
      <c r="AH128" s="189" t="str">
        <f t="shared" si="65"/>
        <v>"%USERPROFILE%\Documents\GitHub\eaglep3\Utilities\RefineRTDCRunTimes.py" --tripid 213-12 --locoid 4012 --swversion DE.1.0.9.0 --startMP 204:542 --initTime 2017-12-12T17:42:19 --startdatetime 2017-12-12T17:45:31 --delay 72 --endMP 204:233276 --enddatetime 2017-12-12T18:22:16 --enforcementcount 0 &gt;&gt;%USERPROFILE%\Documents\GitHub\eaglep3-reporting\EC\2017-12-12-refined-times.txt</v>
      </c>
      <c r="AI128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{"issue":{"subject":"","project_id":79,"tracker_id":40,"status_id":1,"priority_id":2,"assigned_to_id":338,"start_date":"2017-12-12","description":"","custom_fields":[{"id":1,"name":"Subdivision","value":"EC"},{"id":4,"name":"Milepost","value":"23.3276"},{"id":17,"name":"Train ID","value":"213-12"},{"id":16,"name":"Locomotive ID","value":"4012"},{"id":130,"name":"Impact","value":""},{"id":150,"name":"Time of Event (Mountain Time)","value":"18:22:16"},{"id":151,"name":"Denver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180"/>
      <c r="AK128" s="188"/>
      <c r="AL128" s="188"/>
      <c r="AM128" s="193" t="str">
        <f t="shared" si="67"/>
        <v>start /low /b %USERPROFILE%\Documents\GitHub\eaglep3\Utilities\DownloadLogsFromS3.py --loco 4012 --day 2017-12-12</v>
      </c>
      <c r="AN128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87" t="str">
        <f t="shared" si="69"/>
        <v>https://d0f6bd738d7f1b3e5a7ca70fe4ff75f0.us-east-1.aws.found.io/app/kibana#/discover/Steve-Slow-Train-Analysis-(2080s-and-2083s)?_g=(refreshInterval:(display:Off,pause:!f,section:0,value:0),time:(from:'2017-12-12T16:42:19-0700',mode:absolute,to:'2017-12-12T19:22:16-0700'))&amp;_a=(columns:!('Message%20ID',Summary),filters:!(),index:'emp_*',interval:auto,query:(query_string:(analyze_wildcard:!t,query:'%22rtdc.l.rtdc.4012%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186" t="s">
        <v>855</v>
      </c>
      <c r="B129" s="182">
        <v>4011</v>
      </c>
      <c r="C129" s="184" t="s">
        <v>192</v>
      </c>
      <c r="D129" s="184" t="s">
        <v>988</v>
      </c>
      <c r="E129" s="183">
        <v>43081.776122685187</v>
      </c>
      <c r="F129" s="183">
        <v>43081.779398148145</v>
      </c>
      <c r="G129" s="182">
        <v>87</v>
      </c>
      <c r="H129" s="184" t="s">
        <v>647</v>
      </c>
      <c r="I129" s="183">
        <v>43081.805636574078</v>
      </c>
      <c r="J129" s="182">
        <v>0</v>
      </c>
      <c r="K129" s="190" t="str">
        <f t="shared" si="56"/>
        <v>4011/4012</v>
      </c>
      <c r="L129" s="196" t="str">
        <f>VLOOKUP(A129,'Trips&amp;Operators'!$C$1:$G$99911,5,FALSE)</f>
        <v>LORI SANTOS</v>
      </c>
      <c r="M129" s="181">
        <f t="shared" si="57"/>
        <v>2.623842593311565E-2</v>
      </c>
      <c r="N129" s="182">
        <f t="shared" si="74"/>
        <v>37.783333343686536</v>
      </c>
      <c r="O129" s="182"/>
      <c r="P129" s="182"/>
      <c r="Q129" s="185"/>
      <c r="R129" s="197"/>
      <c r="S129" s="241">
        <f t="shared" si="73"/>
        <v>1</v>
      </c>
      <c r="T129" s="220" t="str">
        <f t="shared" si="58"/>
        <v>Southbound</v>
      </c>
      <c r="U129" s="22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21" t="str">
        <f t="shared" si="59"/>
        <v>https://d0f6bd738d7f1b3e5a7ca70fe4ff75f0.us-east-1.aws.found.io/app/kibana#/discover/Steve-Slow-Train-Analysis-(2080s-and-2083s)?_g=(refreshInterval:(display:Off,pause:!f,section:0,value:0),time:(from:'2017-12-12T17:37:37-0700',mode:absolute,to:'2017-12-12T20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222" t="str">
        <f>IF(AA129&lt;VLOOKUP(AG129,Variables!$AC$3:$AD$8,2,FALSE),"Y","N")</f>
        <v>N</v>
      </c>
      <c r="X129" s="222">
        <f t="shared" si="77"/>
        <v>1</v>
      </c>
      <c r="Y129" s="222">
        <f t="shared" si="75"/>
        <v>23.2942</v>
      </c>
      <c r="Z129" s="222">
        <f t="shared" si="76"/>
        <v>2.5399999999999999E-2</v>
      </c>
      <c r="AA129" s="222">
        <f t="shared" si="60"/>
        <v>23.268799999999999</v>
      </c>
      <c r="AB129" s="231" t="e">
        <f>VLOOKUP(A129,Enforcements!$C$7:$K$9,8,0)</f>
        <v>#N/A</v>
      </c>
      <c r="AC129" s="231" t="e">
        <f>VLOOKUP(A129,Enforcements!$C$7:$E$9,3,0)</f>
        <v>#N/A</v>
      </c>
      <c r="AD129" s="232">
        <f t="shared" si="61"/>
        <v>214</v>
      </c>
      <c r="AE129" s="233" t="str">
        <f t="shared" si="62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129" s="234" t="str">
        <f t="shared" si="63"/>
        <v>"C:\Program Files (x86)\AstroGrep\AstroGrep.exe" /e /r /s /spath="%USERPROFILE%\AppData\Local\Temp\OnboardLogs" /stypes="app*4011*20171213*" /stext=" 02:.+((SYSTEM_STATE.+slice.+state.+changed )|(ment ac)|(multiple cpu faults)|(system.+state.+changed )|(\[timeout)|(PRM\|1\|D)|(kpr)|(kdp)|(train st.+moving)|(\|lc)|(penalty))"</v>
      </c>
      <c r="AG129" s="226" t="str">
        <f t="shared" si="64"/>
        <v>EC</v>
      </c>
      <c r="AH129" s="189" t="str">
        <f t="shared" si="65"/>
        <v>"%USERPROFILE%\Documents\GitHub\eaglep3\Utilities\RefineRTDCRunTimes.py" --tripid 214-12 --locoid 4011 --swversion DE.1.0.9.0 --startMP 204:232942 --initTime 2017-12-12T18:37:37 --startdatetime 2017-12-12T18:42:20 --delay 87 --endMP 204:254 --enddatetime 2017-12-12T19:20:07 --enforcementcount 0 &gt;&gt;%USERPROFILE%\Documents\GitHub\eaglep3-reporting\EC\2017-12-12-refined-times.txt</v>
      </c>
      <c r="AI129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{"issue":{"subject":"","project_id":79,"tracker_id":40,"status_id":1,"priority_id":2,"assigned_to_id":338,"start_date":"2017-12-12","description":"","custom_fields":[{"id":1,"name":"Subdivision","value":"EC"},{"id":4,"name":"Milepost","value":"0.0254"},{"id":17,"name":"Train ID","value":"214-12"},{"id":16,"name":"Locomotive ID","value":"4011"},{"id":130,"name":"Impact","value":""},{"id":150,"name":"Time of Event (Mountain Time)","value":"19:20:07"},{"id":151,"name":"Denver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180"/>
      <c r="AK129" s="188"/>
      <c r="AL129" s="188"/>
      <c r="AM129" s="193" t="str">
        <f t="shared" si="67"/>
        <v>start /low /b %USERPROFILE%\Documents\GitHub\eaglep3\Utilities\DownloadLogsFromS3.py --loco 4011 --day 2017-12-12</v>
      </c>
      <c r="AN129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87" t="str">
        <f t="shared" si="69"/>
        <v>https://d0f6bd738d7f1b3e5a7ca70fe4ff75f0.us-east-1.aws.found.io/app/kibana#/discover/Steve-Slow-Train-Analysis-(2080s-and-2083s)?_g=(refreshInterval:(display:Off,pause:!f,section:0,value:0),time:(from:'2017-12-12T17:37:37-0700',mode:absolute,to:'2017-12-12T20:20:07-0700'))&amp;_a=(columns:!('Message%20ID',Summary),filters:!(),index:'emp_*',interval:auto,query:(query_string:(analyze_wildcard:!t,query:'%22rtdc.l.rtdc.4011%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186" t="s">
        <v>848</v>
      </c>
      <c r="B130" s="182">
        <v>4010</v>
      </c>
      <c r="C130" s="184" t="s">
        <v>192</v>
      </c>
      <c r="D130" s="184" t="s">
        <v>976</v>
      </c>
      <c r="E130" s="183">
        <v>43081.744444444441</v>
      </c>
      <c r="F130" s="183">
        <v>43081.750254629631</v>
      </c>
      <c r="G130" s="182">
        <v>86</v>
      </c>
      <c r="H130" s="184" t="s">
        <v>989</v>
      </c>
      <c r="I130" s="183">
        <v>43081.775509259256</v>
      </c>
      <c r="J130" s="182">
        <v>0</v>
      </c>
      <c r="K130" s="190" t="str">
        <f t="shared" si="56"/>
        <v>4009/4010</v>
      </c>
      <c r="L130" s="196" t="str">
        <f>VLOOKUP(A130,'Trips&amp;Operators'!$C$1:$G$99911,5,FALSE)</f>
        <v>SMITH MICHAEL</v>
      </c>
      <c r="M130" s="181">
        <f t="shared" si="57"/>
        <v>2.5254629625123926E-2</v>
      </c>
      <c r="N130" s="182">
        <f t="shared" si="74"/>
        <v>36.366666660178453</v>
      </c>
      <c r="O130" s="182"/>
      <c r="P130" s="182"/>
      <c r="Q130" s="185"/>
      <c r="R130" s="197"/>
      <c r="S130" s="241">
        <f t="shared" si="73"/>
        <v>1</v>
      </c>
      <c r="T130" s="220" t="str">
        <f t="shared" si="58"/>
        <v>NorthBound</v>
      </c>
      <c r="U130" s="22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21" t="str">
        <f t="shared" si="59"/>
        <v>https://d0f6bd738d7f1b3e5a7ca70fe4ff75f0.us-east-1.aws.found.io/app/kibana#/discover/Steve-Slow-Train-Analysis-(2080s-and-2083s)?_g=(refreshInterval:(display:Off,pause:!f,section:0,value:0),time:(from:'2017-12-12T16:52:00-0700',mode:absolute,to:'2017-12-12T19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222" t="str">
        <f>IF(AA130&lt;VLOOKUP(AG130,Variables!$AC$3:$AD$8,2,FALSE),"Y","N")</f>
        <v>N</v>
      </c>
      <c r="X130" s="222">
        <f t="shared" si="77"/>
        <v>1</v>
      </c>
      <c r="Y130" s="222">
        <f t="shared" si="75"/>
        <v>5.6399999999999999E-2</v>
      </c>
      <c r="Z130" s="222">
        <f t="shared" si="76"/>
        <v>23.320900000000002</v>
      </c>
      <c r="AA130" s="222">
        <f t="shared" si="60"/>
        <v>23.264500000000002</v>
      </c>
      <c r="AB130" s="231" t="e">
        <f>VLOOKUP(A130,Enforcements!$C$7:$K$9,8,0)</f>
        <v>#N/A</v>
      </c>
      <c r="AC130" s="231" t="e">
        <f>VLOOKUP(A130,Enforcements!$C$7:$E$9,3,0)</f>
        <v>#N/A</v>
      </c>
      <c r="AD130" s="232">
        <f t="shared" si="61"/>
        <v>215</v>
      </c>
      <c r="AE130" s="233" t="str">
        <f t="shared" si="62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130" s="234" t="str">
        <f t="shared" si="63"/>
        <v>"C:\Program Files (x86)\AstroGrep\AstroGrep.exe" /e /r /s /spath="%USERPROFILE%\AppData\Local\Temp\OnboardLogs" /stypes="app*4010*20171213*" /stext=" 01:.+((SYSTEM_STATE.+slice.+state.+changed )|(ment ac)|(multiple cpu faults)|(system.+state.+changed )|(\[timeout)|(PRM\|1\|D)|(kpr)|(kdp)|(train st.+moving)|(\|lc)|(penalty))"</v>
      </c>
      <c r="AG130" s="226" t="str">
        <f t="shared" si="64"/>
        <v>EC</v>
      </c>
      <c r="AH130" s="189" t="str">
        <f t="shared" si="65"/>
        <v>"%USERPROFILE%\Documents\GitHub\eaglep3\Utilities\RefineRTDCRunTimes.py" --tripid 215-12 --locoid 4010 --swversion DE.1.0.9.0 --startMP 204:564 --initTime 2017-12-12T17:52:00 --startdatetime 2017-12-12T18:00:22 --delay 86 --endMP 204:233209 --enddatetime 2017-12-12T18:36:44 --enforcementcount 0 &gt;&gt;%USERPROFILE%\Documents\GitHub\eaglep3-reporting\EC\2017-12-12-refined-times.txt</v>
      </c>
      <c r="AI130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{"issue":{"subject":"","project_id":79,"tracker_id":40,"status_id":1,"priority_id":2,"assigned_to_id":338,"start_date":"2017-12-12","description":"","custom_fields":[{"id":1,"name":"Subdivision","value":"EC"},{"id":4,"name":"Milepost","value":"23.3209"},{"id":17,"name":"Train ID","value":"215-12"},{"id":16,"name":"Locomotive ID","value":"4010"},{"id":130,"name":"Impact","value":""},{"id":150,"name":"Time of Event (Mountain Time)","value":"18:36:44"},{"id":151,"name":"Denver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180"/>
      <c r="AK130" s="188"/>
      <c r="AL130" s="188"/>
      <c r="AM130" s="193" t="str">
        <f t="shared" si="67"/>
        <v>start /low /b %USERPROFILE%\Documents\GitHub\eaglep3\Utilities\DownloadLogsFromS3.py --loco 4010 --day 2017-12-12</v>
      </c>
      <c r="AN130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87" t="str">
        <f t="shared" si="69"/>
        <v>https://d0f6bd738d7f1b3e5a7ca70fe4ff75f0.us-east-1.aws.found.io/app/kibana#/discover/Steve-Slow-Train-Analysis-(2080s-and-2083s)?_g=(refreshInterval:(display:Off,pause:!f,section:0,value:0),time:(from:'2017-12-12T16:52:00-0700',mode:absolute,to:'2017-12-12T19:36:44-0700'))&amp;_a=(columns:!('Message%20ID',Summary),filters:!(),index:'emp_*',interval:auto,query:(query_string:(analyze_wildcard:!t,query:'%22rtdc.l.rtdc.4010%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186" t="s">
        <v>856</v>
      </c>
      <c r="B131" s="182">
        <v>4009</v>
      </c>
      <c r="C131" s="184" t="s">
        <v>192</v>
      </c>
      <c r="D131" s="184" t="s">
        <v>555</v>
      </c>
      <c r="E131" s="183">
        <v>43081.781840277778</v>
      </c>
      <c r="F131" s="183">
        <v>43081.789803240739</v>
      </c>
      <c r="G131" s="182">
        <v>68</v>
      </c>
      <c r="H131" s="184" t="s">
        <v>647</v>
      </c>
      <c r="I131" s="183">
        <v>43081.815717592595</v>
      </c>
      <c r="J131" s="182">
        <v>0</v>
      </c>
      <c r="K131" s="190" t="str">
        <f t="shared" si="56"/>
        <v>4009/4010</v>
      </c>
      <c r="L131" s="196" t="str">
        <f>VLOOKUP(A131,'Trips&amp;Operators'!$C$1:$G$99911,5,FALSE)</f>
        <v>SMITH MICHAEL</v>
      </c>
      <c r="M131" s="181">
        <f t="shared" si="57"/>
        <v>2.5914351856044959E-2</v>
      </c>
      <c r="N131" s="182">
        <f t="shared" si="74"/>
        <v>37.316666672704741</v>
      </c>
      <c r="O131" s="182"/>
      <c r="P131" s="182"/>
      <c r="Q131" s="185"/>
      <c r="R131" s="197"/>
      <c r="S131" s="241">
        <f t="shared" si="73"/>
        <v>1</v>
      </c>
      <c r="T131" s="220" t="str">
        <f t="shared" si="58"/>
        <v>Southbound</v>
      </c>
      <c r="U131" s="22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1" t="str">
        <f t="shared" si="59"/>
        <v>https://d0f6bd738d7f1b3e5a7ca70fe4ff75f0.us-east-1.aws.found.io/app/kibana#/discover/Steve-Slow-Train-Analysis-(2080s-and-2083s)?_g=(refreshInterval:(display:Off,pause:!f,section:0,value:0),time:(from:'2017-12-12T17:45:51-0700',mode:absolute,to:'2017-12-12T20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222" t="str">
        <f>IF(AA131&lt;VLOOKUP(AG131,Variables!$AC$3:$AD$8,2,FALSE),"Y","N")</f>
        <v>N</v>
      </c>
      <c r="X131" s="222">
        <f t="shared" si="77"/>
        <v>1</v>
      </c>
      <c r="Y131" s="222">
        <f t="shared" si="75"/>
        <v>23.289200000000001</v>
      </c>
      <c r="Z131" s="222">
        <f t="shared" si="76"/>
        <v>2.5399999999999999E-2</v>
      </c>
      <c r="AA131" s="222">
        <f t="shared" si="60"/>
        <v>23.2638</v>
      </c>
      <c r="AB131" s="231" t="e">
        <f>VLOOKUP(A131,Enforcements!$C$7:$K$9,8,0)</f>
        <v>#N/A</v>
      </c>
      <c r="AC131" s="231" t="e">
        <f>VLOOKUP(A131,Enforcements!$C$7:$E$9,3,0)</f>
        <v>#N/A</v>
      </c>
      <c r="AD131" s="232">
        <f t="shared" si="61"/>
        <v>216</v>
      </c>
      <c r="AE131" s="233" t="str">
        <f t="shared" si="62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131" s="234" t="str">
        <f t="shared" si="63"/>
        <v>"C:\Program Files (x86)\AstroGrep\AstroGrep.exe" /e /r /s /spath="%USERPROFILE%\AppData\Local\Temp\OnboardLogs" /stypes="app*4009*20171213*" /stext=" 02:.+((SYSTEM_STATE.+slice.+state.+changed )|(ment ac)|(multiple cpu faults)|(system.+state.+changed )|(\[timeout)|(PRM\|1\|D)|(kpr)|(kdp)|(train st.+moving)|(\|lc)|(penalty))"</v>
      </c>
      <c r="AG131" s="226" t="str">
        <f t="shared" si="64"/>
        <v>EC</v>
      </c>
      <c r="AH131" s="189" t="str">
        <f t="shared" si="65"/>
        <v>"%USERPROFILE%\Documents\GitHub\eaglep3\Utilities\RefineRTDCRunTimes.py" --tripid 216-12 --locoid 4009 --swversion DE.1.0.9.0 --startMP 204:232892 --initTime 2017-12-12T18:45:51 --startdatetime 2017-12-12T18:57:19 --delay 68 --endMP 204:254 --enddatetime 2017-12-12T19:34:38 --enforcementcount 0 &gt;&gt;%USERPROFILE%\Documents\GitHub\eaglep3-reporting\EC\2017-12-12-refined-times.txt</v>
      </c>
      <c r="AI131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{"issue":{"subject":"","project_id":79,"tracker_id":40,"status_id":1,"priority_id":2,"assigned_to_id":338,"start_date":"2017-12-12","description":"","custom_fields":[{"id":1,"name":"Subdivision","value":"EC"},{"id":4,"name":"Milepost","value":"0.0254"},{"id":17,"name":"Train ID","value":"216-12"},{"id":16,"name":"Locomotive ID","value":"4009"},{"id":130,"name":"Impact","value":""},{"id":150,"name":"Time of Event (Mountain Time)","value":"19:34:38"},{"id":151,"name":"Denver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180"/>
      <c r="AK131" s="188"/>
      <c r="AL131" s="188"/>
      <c r="AM131" s="193" t="str">
        <f t="shared" si="67"/>
        <v>start /low /b %USERPROFILE%\Documents\GitHub\eaglep3\Utilities\DownloadLogsFromS3.py --loco 4009 --day 2017-12-12</v>
      </c>
      <c r="AN131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87" t="str">
        <f t="shared" si="69"/>
        <v>https://d0f6bd738d7f1b3e5a7ca70fe4ff75f0.us-east-1.aws.found.io/app/kibana#/discover/Steve-Slow-Train-Analysis-(2080s-and-2083s)?_g=(refreshInterval:(display:Off,pause:!f,section:0,value:0),time:(from:'2017-12-12T17:45:51-0700',mode:absolute,to:'2017-12-12T20:34:38-0700'))&amp;_a=(columns:!('Message%20ID',Summary),filters:!(),index:'emp_*',interval:auto,query:(query_string:(analyze_wildcard:!t,query:'%22rtdc.l.rtdc.4009%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180" customFormat="1" x14ac:dyDescent="0.25">
      <c r="A132" s="186" t="s">
        <v>851</v>
      </c>
      <c r="B132" s="182">
        <v>4030</v>
      </c>
      <c r="C132" s="184" t="s">
        <v>192</v>
      </c>
      <c r="D132" s="184" t="s">
        <v>990</v>
      </c>
      <c r="E132" s="183">
        <v>43081.75681712963</v>
      </c>
      <c r="F132" s="183">
        <v>43081.760787037034</v>
      </c>
      <c r="G132" s="182">
        <v>84</v>
      </c>
      <c r="H132" s="184" t="s">
        <v>991</v>
      </c>
      <c r="I132" s="183">
        <v>43081.785636574074</v>
      </c>
      <c r="J132" s="182">
        <v>0</v>
      </c>
      <c r="K132" s="190" t="str">
        <f t="shared" si="56"/>
        <v>4029/4030</v>
      </c>
      <c r="L132" s="196" t="str">
        <f>VLOOKUP(A132,'Trips&amp;Operators'!$C$1:$G$99911,5,FALSE)</f>
        <v>NICHOLSON WESLEY</v>
      </c>
      <c r="M132" s="181">
        <f t="shared" si="57"/>
        <v>2.4849537039699499E-2</v>
      </c>
      <c r="N132" s="182">
        <f t="shared" si="74"/>
        <v>35.783333337167278</v>
      </c>
      <c r="O132" s="182"/>
      <c r="P132" s="182"/>
      <c r="Q132" s="185"/>
      <c r="R132" s="197"/>
      <c r="S132" s="241">
        <f t="shared" si="73"/>
        <v>1</v>
      </c>
      <c r="T132" s="220" t="str">
        <f t="shared" si="58"/>
        <v>NorthBound</v>
      </c>
      <c r="U132" s="22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1" t="str">
        <f t="shared" si="59"/>
        <v>https://d0f6bd738d7f1b3e5a7ca70fe4ff75f0.us-east-1.aws.found.io/app/kibana#/discover/Steve-Slow-Train-Analysis-(2080s-and-2083s)?_g=(refreshInterval:(display:Off,pause:!f,section:0,value:0),time:(from:'2017-12-12T17:09:49-0700',mode:absolute,to:'2017-12-12T19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222" t="str">
        <f>IF(AA132&lt;VLOOKUP(AG132,Variables!$AC$3:$AD$8,2,FALSE),"Y","N")</f>
        <v>N</v>
      </c>
      <c r="X132" s="222">
        <f t="shared" si="77"/>
        <v>1</v>
      </c>
      <c r="Y132" s="222">
        <f t="shared" si="75"/>
        <v>5.1299999999999998E-2</v>
      </c>
      <c r="Z132" s="222">
        <f t="shared" si="76"/>
        <v>23.3185</v>
      </c>
      <c r="AA132" s="222">
        <f t="shared" si="60"/>
        <v>23.267199999999999</v>
      </c>
      <c r="AB132" s="231" t="e">
        <f>VLOOKUP(A132,Enforcements!$C$7:$K$9,8,0)</f>
        <v>#N/A</v>
      </c>
      <c r="AC132" s="231" t="e">
        <f>VLOOKUP(A132,Enforcements!$C$7:$E$9,3,0)</f>
        <v>#N/A</v>
      </c>
      <c r="AD132" s="232">
        <f t="shared" si="61"/>
        <v>217</v>
      </c>
      <c r="AE132" s="233" t="str">
        <f t="shared" si="62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132" s="234" t="str">
        <f t="shared" si="63"/>
        <v>"C:\Program Files (x86)\AstroGrep\AstroGrep.exe" /e /r /s /spath="%USERPROFILE%\AppData\Local\Temp\OnboardLogs" /stypes="app*4030*20171213*" /stext=" 01:.+((SYSTEM_STATE.+slice.+state.+changed )|(ment ac)|(multiple cpu faults)|(system.+state.+changed )|(\[timeout)|(PRM\|1\|D)|(kpr)|(kdp)|(train st.+moving)|(\|lc)|(penalty))"</v>
      </c>
      <c r="AG132" s="226" t="str">
        <f t="shared" si="64"/>
        <v>EC</v>
      </c>
      <c r="AH132" s="189" t="str">
        <f t="shared" si="65"/>
        <v>"%USERPROFILE%\Documents\GitHub\eaglep3\Utilities\RefineRTDCRunTimes.py" --tripid 217-12 --locoid 4030 --swversion DE.1.0.9.0 --startMP 204:513 --initTime 2017-12-12T18:09:49 --startdatetime 2017-12-12T18:15:32 --delay 84 --endMP 204:233185 --enddatetime 2017-12-12T18:51:19 --enforcementcount 0 &gt;&gt;%USERPROFILE%\Documents\GitHub\eaglep3-reporting\EC\2017-12-12-refined-times.txt</v>
      </c>
      <c r="AI132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{"issue":{"subject":"","project_id":79,"tracker_id":40,"status_id":1,"priority_id":2,"assigned_to_id":338,"start_date":"2017-12-12","description":"","custom_fields":[{"id":1,"name":"Subdivision","value":"EC"},{"id":4,"name":"Milepost","value":"23.3185"},{"id":17,"name":"Train ID","value":"217-12"},{"id":16,"name":"Locomotive ID","value":"4030"},{"id":130,"name":"Impact","value":""},{"id":150,"name":"Time of Event (Mountain Time)","value":"18:51:19"},{"id":151,"name":"Denver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188"/>
      <c r="AL132" s="188"/>
      <c r="AM132" s="193" t="str">
        <f t="shared" si="67"/>
        <v>start /low /b %USERPROFILE%\Documents\GitHub\eaglep3\Utilities\DownloadLogsFromS3.py --loco 4030 --day 2017-12-12</v>
      </c>
      <c r="AN132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87" t="str">
        <f t="shared" si="69"/>
        <v>https://d0f6bd738d7f1b3e5a7ca70fe4ff75f0.us-east-1.aws.found.io/app/kibana#/discover/Steve-Slow-Train-Analysis-(2080s-and-2083s)?_g=(refreshInterval:(display:Off,pause:!f,section:0,value:0),time:(from:'2017-12-12T17:09:49-0700',mode:absolute,to:'2017-12-12T19:51:19-0700'))&amp;_a=(columns:!('Message%20ID',Summary),filters:!(),index:'emp_*',interval:auto,query:(query_string:(analyze_wildcard:!t,query:'%22rtdc.l.rtdc.4030%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186" t="s">
        <v>858</v>
      </c>
      <c r="B133" s="182">
        <v>4029</v>
      </c>
      <c r="C133" s="184" t="s">
        <v>192</v>
      </c>
      <c r="D133" s="184" t="s">
        <v>992</v>
      </c>
      <c r="E133" s="183">
        <v>43081.789872685185</v>
      </c>
      <c r="F133" s="183">
        <v>43081.800243055557</v>
      </c>
      <c r="G133" s="182">
        <v>86</v>
      </c>
      <c r="H133" s="184" t="s">
        <v>556</v>
      </c>
      <c r="I133" s="183">
        <v>43081.827175925922</v>
      </c>
      <c r="J133" s="182">
        <v>0</v>
      </c>
      <c r="K133" s="190" t="str">
        <f t="shared" si="56"/>
        <v>4029/4030</v>
      </c>
      <c r="L133" s="196" t="str">
        <f>VLOOKUP(A133,'Trips&amp;Operators'!$C$1:$G$99911,5,FALSE)</f>
        <v>NICHOLSON WESLEY</v>
      </c>
      <c r="M133" s="181">
        <f t="shared" si="57"/>
        <v>2.693287036527181E-2</v>
      </c>
      <c r="N133" s="182">
        <f t="shared" si="74"/>
        <v>38.783333325991407</v>
      </c>
      <c r="O133" s="182"/>
      <c r="P133" s="182"/>
      <c r="Q133" s="185"/>
      <c r="R133" s="197"/>
      <c r="S133" s="241">
        <f t="shared" si="73"/>
        <v>1</v>
      </c>
      <c r="T133" s="220" t="str">
        <f t="shared" si="58"/>
        <v>Southbound</v>
      </c>
      <c r="U133" s="22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1" t="str">
        <f t="shared" si="59"/>
        <v>https://d0f6bd738d7f1b3e5a7ca70fe4ff75f0.us-east-1.aws.found.io/app/kibana#/discover/Steve-Slow-Train-Analysis-(2080s-and-2083s)?_g=(refreshInterval:(display:Off,pause:!f,section:0,value:0),time:(from:'2017-12-12T17:57:25-0700',mode:absolute,to:'2017-12-12T20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222" t="str">
        <f>IF(AA133&lt;VLOOKUP(AG133,Variables!$AC$3:$AD$8,2,FALSE),"Y","N")</f>
        <v>N</v>
      </c>
      <c r="X133" s="222">
        <f t="shared" si="77"/>
        <v>1</v>
      </c>
      <c r="Y133" s="222">
        <f t="shared" si="75"/>
        <v>23.287400000000002</v>
      </c>
      <c r="Z133" s="222">
        <f t="shared" si="76"/>
        <v>2.58E-2</v>
      </c>
      <c r="AA133" s="222">
        <f t="shared" si="60"/>
        <v>23.261600000000001</v>
      </c>
      <c r="AB133" s="231" t="e">
        <f>VLOOKUP(A133,Enforcements!$C$7:$K$9,8,0)</f>
        <v>#N/A</v>
      </c>
      <c r="AC133" s="231" t="e">
        <f>VLOOKUP(A133,Enforcements!$C$7:$E$9,3,0)</f>
        <v>#N/A</v>
      </c>
      <c r="AD133" s="232">
        <f t="shared" si="61"/>
        <v>218</v>
      </c>
      <c r="AE133" s="233" t="str">
        <f t="shared" si="62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133" s="234" t="str">
        <f t="shared" si="63"/>
        <v>"C:\Program Files (x86)\AstroGrep\AstroGrep.exe" /e /r /s /spath="%USERPROFILE%\AppData\Local\Temp\OnboardLogs" /stypes="app*4029*20171213*" /stext=" 02:.+((SYSTEM_STATE.+slice.+state.+changed )|(ment ac)|(multiple cpu faults)|(system.+state.+changed )|(\[timeout)|(PRM\|1\|D)|(kpr)|(kdp)|(train st.+moving)|(\|lc)|(penalty))"</v>
      </c>
      <c r="AG133" s="226" t="str">
        <f t="shared" si="64"/>
        <v>EC</v>
      </c>
      <c r="AH133" s="189" t="str">
        <f t="shared" si="65"/>
        <v>"%USERPROFILE%\Documents\GitHub\eaglep3\Utilities\RefineRTDCRunTimes.py" --tripid 218-12 --locoid 4029 --swversion DE.1.0.9.0 --startMP 204:232874 --initTime 2017-12-12T18:57:25 --startdatetime 2017-12-12T19:12:21 --delay 86 --endMP 204:258 --enddatetime 2017-12-12T19:51:08 --enforcementcount 0 &gt;&gt;%USERPROFILE%\Documents\GitHub\eaglep3-reporting\EC\2017-12-12-refined-times.txt</v>
      </c>
      <c r="AI133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{"issue":{"subject":"","project_id":79,"tracker_id":40,"status_id":1,"priority_id":2,"assigned_to_id":338,"start_date":"2017-12-12","description":"","custom_fields":[{"id":1,"name":"Subdivision","value":"EC"},{"id":4,"name":"Milepost","value":"0.0258"},{"id":17,"name":"Train ID","value":"218-12"},{"id":16,"name":"Locomotive ID","value":"4029"},{"id":130,"name":"Impact","value":""},{"id":150,"name":"Time of Event (Mountain Time)","value":"19:51:08"},{"id":151,"name":"Denver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180"/>
      <c r="AK133" s="188"/>
      <c r="AL133" s="188"/>
      <c r="AM133" s="193" t="str">
        <f t="shared" si="67"/>
        <v>start /low /b %USERPROFILE%\Documents\GitHub\eaglep3\Utilities\DownloadLogsFromS3.py --loco 4029 --day 2017-12-12</v>
      </c>
      <c r="AN133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87" t="str">
        <f t="shared" si="69"/>
        <v>https://d0f6bd738d7f1b3e5a7ca70fe4ff75f0.us-east-1.aws.found.io/app/kibana#/discover/Steve-Slow-Train-Analysis-(2080s-and-2083s)?_g=(refreshInterval:(display:Off,pause:!f,section:0,value:0),time:(from:'2017-12-12T17:57:25-0700',mode:absolute,to:'2017-12-12T20:51:08-0700'))&amp;_a=(columns:!('Message%20ID',Summary),filters:!(),index:'emp_*',interval:auto,query:(query_string:(analyze_wildcard:!t,query:'%22rtdc.l.rtdc.4029%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180" customFormat="1" x14ac:dyDescent="0.25">
      <c r="A134" s="186" t="s">
        <v>853</v>
      </c>
      <c r="B134" s="182">
        <v>4016</v>
      </c>
      <c r="C134" s="184" t="s">
        <v>192</v>
      </c>
      <c r="D134" s="184" t="s">
        <v>586</v>
      </c>
      <c r="E134" s="183">
        <v>43081.768831018519</v>
      </c>
      <c r="F134" s="183">
        <v>43081.771249999998</v>
      </c>
      <c r="G134" s="182">
        <v>78</v>
      </c>
      <c r="H134" s="184" t="s">
        <v>952</v>
      </c>
      <c r="I134" s="183">
        <v>43081.796990740739</v>
      </c>
      <c r="J134" s="182">
        <v>0</v>
      </c>
      <c r="K134" s="190" t="str">
        <f t="shared" si="56"/>
        <v>4015/4016</v>
      </c>
      <c r="L134" s="196" t="str">
        <f>VLOOKUP(A134,'Trips&amp;Operators'!$C$1:$G$99911,5,FALSE)</f>
        <v>ANDERS STEVEN</v>
      </c>
      <c r="M134" s="181">
        <f t="shared" si="57"/>
        <v>2.5740740740729962E-2</v>
      </c>
      <c r="N134" s="182">
        <f t="shared" si="74"/>
        <v>37.066666666651145</v>
      </c>
      <c r="O134" s="182"/>
      <c r="P134" s="182"/>
      <c r="Q134" s="185"/>
      <c r="R134" s="197"/>
      <c r="S134" s="241">
        <f t="shared" si="73"/>
        <v>1</v>
      </c>
      <c r="T134" s="220" t="str">
        <f t="shared" si="58"/>
        <v>NorthBound</v>
      </c>
      <c r="U134" s="22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1" t="str">
        <f t="shared" si="59"/>
        <v>https://d0f6bd738d7f1b3e5a7ca70fe4ff75f0.us-east-1.aws.found.io/app/kibana#/discover/Steve-Slow-Train-Analysis-(2080s-and-2083s)?_g=(refreshInterval:(display:Off,pause:!f,section:0,value:0),time:(from:'2017-12-12T17:27:07-0700',mode:absolute,to:'2017-12-12T20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222" t="str">
        <f>IF(AA134&lt;VLOOKUP(AG134,Variables!$AC$3:$AD$8,2,FALSE),"Y","N")</f>
        <v>N</v>
      </c>
      <c r="X134" s="222">
        <f t="shared" si="77"/>
        <v>1</v>
      </c>
      <c r="Y134" s="222">
        <f t="shared" si="75"/>
        <v>0.05</v>
      </c>
      <c r="Z134" s="222">
        <f t="shared" si="76"/>
        <v>23.326599999999999</v>
      </c>
      <c r="AA134" s="222">
        <f t="shared" si="60"/>
        <v>23.276599999999998</v>
      </c>
      <c r="AB134" s="231" t="e">
        <f>VLOOKUP(A134,Enforcements!$C$7:$K$9,8,0)</f>
        <v>#N/A</v>
      </c>
      <c r="AC134" s="231" t="e">
        <f>VLOOKUP(A134,Enforcements!$C$7:$E$9,3,0)</f>
        <v>#N/A</v>
      </c>
      <c r="AD134" s="232">
        <f t="shared" si="61"/>
        <v>219</v>
      </c>
      <c r="AE134" s="233" t="str">
        <f t="shared" si="62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134" s="234" t="str">
        <f t="shared" si="63"/>
        <v>"C:\Program Files (x86)\AstroGrep\AstroGrep.exe" /e /r /s /spath="%USERPROFILE%\AppData\Local\Temp\OnboardLogs" /stypes="app*4016*20171213*" /stext=" 02:.+((SYSTEM_STATE.+slice.+state.+changed )|(ment ac)|(multiple cpu faults)|(system.+state.+changed )|(\[timeout)|(PRM\|1\|D)|(kpr)|(kdp)|(train st.+moving)|(\|lc)|(penalty))"</v>
      </c>
      <c r="AG134" s="226" t="str">
        <f t="shared" si="64"/>
        <v>EC</v>
      </c>
      <c r="AH134" s="189" t="str">
        <f t="shared" si="65"/>
        <v>"%USERPROFILE%\Documents\GitHub\eaglep3\Utilities\RefineRTDCRunTimes.py" --tripid 219-12 --locoid 4016 --swversion DE.1.0.9.0 --startMP 204:500 --initTime 2017-12-12T18:27:07 --startdatetime 2017-12-12T18:30:36 --delay 78 --endMP 204:233266 --enddatetime 2017-12-12T19:07:40 --enforcementcount 0 &gt;&gt;%USERPROFILE%\Documents\GitHub\eaglep3-reporting\EC\2017-12-12-refined-times.txt</v>
      </c>
      <c r="AI134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{"issue":{"subject":"","project_id":79,"tracker_id":40,"status_id":1,"priority_id":2,"assigned_to_id":338,"start_date":"2017-12-12","description":"","custom_fields":[{"id":1,"name":"Subdivision","value":"EC"},{"id":4,"name":"Milepost","value":"23.3266"},{"id":17,"name":"Train ID","value":"219-12"},{"id":16,"name":"Locomotive ID","value":"4016"},{"id":130,"name":"Impact","value":""},{"id":150,"name":"Time of Event (Mountain Time)","value":"19:07:40"},{"id":151,"name":"Denver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188"/>
      <c r="AL134" s="188"/>
      <c r="AM134" s="193" t="str">
        <f t="shared" si="67"/>
        <v>start /low /b %USERPROFILE%\Documents\GitHub\eaglep3\Utilities\DownloadLogsFromS3.py --loco 4016 --day 2017-12-12</v>
      </c>
      <c r="AN134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87" t="str">
        <f t="shared" si="69"/>
        <v>https://d0f6bd738d7f1b3e5a7ca70fe4ff75f0.us-east-1.aws.found.io/app/kibana#/discover/Steve-Slow-Train-Analysis-(2080s-and-2083s)?_g=(refreshInterval:(display:Off,pause:!f,section:0,value:0),time:(from:'2017-12-12T17:27:07-0700',mode:absolute,to:'2017-12-12T20:07:40-0700'))&amp;_a=(columns:!('Message%20ID',Summary),filters:!(),index:'emp_*',interval:auto,query:(query_string:(analyze_wildcard:!t,query:'%22rtdc.l.rtdc.4016%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180" customFormat="1" x14ac:dyDescent="0.25">
      <c r="A135" s="186" t="s">
        <v>862</v>
      </c>
      <c r="B135" s="182">
        <v>4015</v>
      </c>
      <c r="C135" s="184" t="s">
        <v>192</v>
      </c>
      <c r="D135" s="184" t="s">
        <v>988</v>
      </c>
      <c r="E135" s="183">
        <v>43081.809525462966</v>
      </c>
      <c r="F135" s="183">
        <v>43081.810798611114</v>
      </c>
      <c r="G135" s="182">
        <v>57</v>
      </c>
      <c r="H135" s="184" t="s">
        <v>934</v>
      </c>
      <c r="I135" s="183">
        <v>43081.837118055555</v>
      </c>
      <c r="J135" s="182">
        <v>0</v>
      </c>
      <c r="K135" s="190" t="str">
        <f t="shared" si="56"/>
        <v>4015/4016</v>
      </c>
      <c r="L135" s="196" t="str">
        <f>VLOOKUP(A135,'Trips&amp;Operators'!$C$1:$G$99911,5,FALSE)</f>
        <v>ANDERS STEVEN</v>
      </c>
      <c r="M135" s="181">
        <f t="shared" si="57"/>
        <v>2.6319444441469386E-2</v>
      </c>
      <c r="N135" s="182">
        <f t="shared" si="74"/>
        <v>37.899999995715916</v>
      </c>
      <c r="O135" s="182"/>
      <c r="P135" s="182"/>
      <c r="Q135" s="185"/>
      <c r="R135" s="197"/>
      <c r="S135" s="241">
        <f t="shared" si="73"/>
        <v>1</v>
      </c>
      <c r="T135" s="220" t="str">
        <f t="shared" si="58"/>
        <v>Southbound</v>
      </c>
      <c r="U135" s="22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1" t="str">
        <f t="shared" si="59"/>
        <v>https://d0f6bd738d7f1b3e5a7ca70fe4ff75f0.us-east-1.aws.found.io/app/kibana#/discover/Steve-Slow-Train-Analysis-(2080s-and-2083s)?_g=(refreshInterval:(display:Off,pause:!f,section:0,value:0),time:(from:'2017-12-12T18:25:43-0700',mode:absolute,to:'2017-12-12T21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222" t="str">
        <f>IF(AA135&lt;VLOOKUP(AG135,Variables!$AC$3:$AD$8,2,FALSE),"Y","N")</f>
        <v>N</v>
      </c>
      <c r="X135" s="222">
        <f t="shared" si="77"/>
        <v>1</v>
      </c>
      <c r="Y135" s="222">
        <f t="shared" si="75"/>
        <v>23.2942</v>
      </c>
      <c r="Z135" s="222">
        <f t="shared" si="76"/>
        <v>2.29E-2</v>
      </c>
      <c r="AA135" s="222">
        <f t="shared" si="60"/>
        <v>23.2713</v>
      </c>
      <c r="AB135" s="231" t="e">
        <f>VLOOKUP(A135,Enforcements!$C$7:$K$9,8,0)</f>
        <v>#N/A</v>
      </c>
      <c r="AC135" s="231" t="e">
        <f>VLOOKUP(A135,Enforcements!$C$7:$E$9,3,0)</f>
        <v>#N/A</v>
      </c>
      <c r="AD135" s="232">
        <f t="shared" si="61"/>
        <v>220</v>
      </c>
      <c r="AE135" s="233" t="str">
        <f t="shared" si="62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135" s="234" t="str">
        <f t="shared" si="63"/>
        <v>"C:\Program Files (x86)\AstroGrep\AstroGrep.exe" /e /r /s /spath="%USERPROFILE%\AppData\Local\Temp\OnboardLogs" /stypes="app*4015*20171213*" /stext=" 03:.+((SYSTEM_STATE.+slice.+state.+changed )|(ment ac)|(multiple cpu faults)|(system.+state.+changed )|(\[timeout)|(PRM\|1\|D)|(kpr)|(kdp)|(train st.+moving)|(\|lc)|(penalty))"</v>
      </c>
      <c r="AG135" s="226" t="str">
        <f t="shared" si="64"/>
        <v>EC</v>
      </c>
      <c r="AH135" s="189" t="str">
        <f t="shared" si="65"/>
        <v>"%USERPROFILE%\Documents\GitHub\eaglep3\Utilities\RefineRTDCRunTimes.py" --tripid 220-12 --locoid 4015 --swversion DE.1.0.9.0 --startMP 204:232942 --initTime 2017-12-12T19:25:43 --startdatetime 2017-12-12T19:27:33 --delay 57 --endMP 204:229 --enddatetime 2017-12-12T20:05:27 --enforcementcount 0 &gt;&gt;%USERPROFILE%\Documents\GitHub\eaglep3-reporting\EC\2017-12-12-refined-times.txt</v>
      </c>
      <c r="AI135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{"issue":{"subject":"","project_id":79,"tracker_id":40,"status_id":1,"priority_id":2,"assigned_to_id":338,"start_date":"2017-12-12","description":"","custom_fields":[{"id":1,"name":"Subdivision","value":"EC"},{"id":4,"name":"Milepost","value":"0.0229"},{"id":17,"name":"Train ID","value":"220-12"},{"id":16,"name":"Locomotive ID","value":"4015"},{"id":130,"name":"Impact","value":""},{"id":150,"name":"Time of Event (Mountain Time)","value":"20:05:27"},{"id":151,"name":"Denver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188"/>
      <c r="AL135" s="188"/>
      <c r="AM135" s="193" t="str">
        <f t="shared" si="67"/>
        <v>start /low /b %USERPROFILE%\Documents\GitHub\eaglep3\Utilities\DownloadLogsFromS3.py --loco 4015 --day 2017-12-12</v>
      </c>
      <c r="AN135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03:05:27"},{"id":29,"name":"Sharepoint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87" t="str">
        <f t="shared" si="69"/>
        <v>https://d0f6bd738d7f1b3e5a7ca70fe4ff75f0.us-east-1.aws.found.io/app/kibana#/discover/Steve-Slow-Train-Analysis-(2080s-and-2083s)?_g=(refreshInterval:(display:Off,pause:!f,section:0,value:0),time:(from:'2017-12-12T18:25:43-0700',mode:absolute,to:'2017-12-12T21:05:27-0700'))&amp;_a=(columns:!('Message%20ID',Summary),filters:!(),index:'emp_*',interval:auto,query:(query_string:(analyze_wildcard:!t,query:'%22rtdc.l.rtdc.4015%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186" t="s">
        <v>857</v>
      </c>
      <c r="B136" s="182">
        <v>4006</v>
      </c>
      <c r="C136" s="184" t="s">
        <v>192</v>
      </c>
      <c r="D136" s="184" t="s">
        <v>576</v>
      </c>
      <c r="E136" s="183">
        <v>43081.788969907408</v>
      </c>
      <c r="F136" s="183">
        <v>43081.791851851849</v>
      </c>
      <c r="G136" s="182">
        <v>75</v>
      </c>
      <c r="H136" s="184" t="s">
        <v>938</v>
      </c>
      <c r="I136" s="183">
        <v>43081.816122685188</v>
      </c>
      <c r="J136" s="182">
        <v>0</v>
      </c>
      <c r="K136" s="190" t="str">
        <f t="shared" si="56"/>
        <v>4005/4006</v>
      </c>
      <c r="L136" s="196" t="str">
        <f>VLOOKUP(A136,'Trips&amp;Operators'!$C$1:$G$99911,5,FALSE)</f>
        <v>RESPASS AARON</v>
      </c>
      <c r="M136" s="181">
        <f t="shared" si="57"/>
        <v>2.4270833338960074E-2</v>
      </c>
      <c r="N136" s="182">
        <f t="shared" si="74"/>
        <v>34.950000008102506</v>
      </c>
      <c r="O136" s="182"/>
      <c r="P136" s="182"/>
      <c r="Q136" s="185"/>
      <c r="R136" s="197"/>
      <c r="S136" s="241">
        <f t="shared" si="73"/>
        <v>1</v>
      </c>
      <c r="T136" s="220" t="str">
        <f t="shared" si="58"/>
        <v>NorthBound</v>
      </c>
      <c r="U136" s="22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21" t="str">
        <f t="shared" si="59"/>
        <v>https://d0f6bd738d7f1b3e5a7ca70fe4ff75f0.us-east-1.aws.found.io/app/kibana#/discover/Steve-Slow-Train-Analysis-(2080s-and-2083s)?_g=(refreshInterval:(display:Off,pause:!f,section:0,value:0),time:(from:'2017-12-12T17:56:07-0700',mode:absolute,to:'2017-12-12T20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6" s="222" t="str">
        <f>IF(AA136&lt;VLOOKUP(AG136,Variables!$AC$3:$AD$8,2,FALSE),"Y","N")</f>
        <v>N</v>
      </c>
      <c r="X136" s="222">
        <f t="shared" si="77"/>
        <v>1</v>
      </c>
      <c r="Y136" s="222">
        <f t="shared" si="75"/>
        <v>5.3699999999999998E-2</v>
      </c>
      <c r="Z136" s="222">
        <f t="shared" si="76"/>
        <v>23.324000000000002</v>
      </c>
      <c r="AA136" s="222">
        <f t="shared" si="60"/>
        <v>23.270300000000002</v>
      </c>
      <c r="AB136" s="231" t="e">
        <f>VLOOKUP(A136,Enforcements!$C$7:$K$9,8,0)</f>
        <v>#N/A</v>
      </c>
      <c r="AC136" s="231" t="e">
        <f>VLOOKUP(A136,Enforcements!$C$7:$E$9,3,0)</f>
        <v>#N/A</v>
      </c>
      <c r="AD136" s="232">
        <f t="shared" si="61"/>
        <v>221</v>
      </c>
      <c r="AE136" s="233" t="str">
        <f t="shared" si="62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136" s="234" t="str">
        <f t="shared" si="63"/>
        <v>"C:\Program Files (x86)\AstroGrep\AstroGrep.exe" /e /r /s /spath="%USERPROFILE%\AppData\Local\Temp\OnboardLogs" /stypes="app*4006*20171213*" /stext=" 02:.+((SYSTEM_STATE.+slice.+state.+changed )|(ment ac)|(multiple cpu faults)|(system.+state.+changed )|(\[timeout)|(PRM\|1\|D)|(kpr)|(kdp)|(train st.+moving)|(\|lc)|(penalty))"</v>
      </c>
      <c r="AG136" s="226" t="str">
        <f t="shared" si="64"/>
        <v>EC</v>
      </c>
      <c r="AH136" s="189" t="str">
        <f t="shared" si="65"/>
        <v>"%USERPROFILE%\Documents\GitHub\eaglep3\Utilities\RefineRTDCRunTimes.py" --tripid 221-12 --locoid 4006 --swversion DE.1.0.9.0 --startMP 204:537 --initTime 2017-12-12T18:56:07 --startdatetime 2017-12-12T19:00:16 --delay 75 --endMP 204:233240 --enddatetime 2017-12-12T19:35:13 --enforcementcount 0 &gt;&gt;%USERPROFILE%\Documents\GitHub\eaglep3-reporting\EC\2017-12-12-refined-times.txt</v>
      </c>
      <c r="AI136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{"issue":{"subject":"","project_id":79,"tracker_id":40,"status_id":1,"priority_id":2,"assigned_to_id":338,"start_date":"2017-12-12","description":"","custom_fields":[{"id":1,"name":"Subdivision","value":"EC"},{"id":4,"name":"Milepost","value":"23.324"},{"id":17,"name":"Train ID","value":"221-12"},{"id":16,"name":"Locomotive ID","value":"4006"},{"id":130,"name":"Impact","value":""},{"id":150,"name":"Time of Event (Mountain Time)","value":"19:35:13"},{"id":151,"name":"Denver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180"/>
      <c r="AK136" s="188"/>
      <c r="AL136" s="188"/>
      <c r="AM136" s="193" t="str">
        <f t="shared" si="67"/>
        <v>start /low /b %USERPROFILE%\Documents\GitHub\eaglep3\Utilities\DownloadLogsFromS3.py --loco 4006 --day 2017-12-12</v>
      </c>
      <c r="AN136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87" t="str">
        <f t="shared" si="69"/>
        <v>https://d0f6bd738d7f1b3e5a7ca70fe4ff75f0.us-east-1.aws.found.io/app/kibana#/discover/Steve-Slow-Train-Analysis-(2080s-and-2083s)?_g=(refreshInterval:(display:Off,pause:!f,section:0,value:0),time:(from:'2017-12-12T17:56:07-0700',mode:absolute,to:'2017-12-12T20:35:13-0700'))&amp;_a=(columns:!('Message%20ID',Summary),filters:!(),index:'emp_*',interval:auto,query:(query_string:(analyze_wildcard:!t,query:'%22rtdc.l.rtdc.4006%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180" customFormat="1" x14ac:dyDescent="0.25">
      <c r="A137" s="186" t="s">
        <v>690</v>
      </c>
      <c r="B137" s="182">
        <v>4005</v>
      </c>
      <c r="C137" s="184" t="s">
        <v>192</v>
      </c>
      <c r="D137" s="184" t="s">
        <v>583</v>
      </c>
      <c r="E137" s="183">
        <v>43081.827673611115</v>
      </c>
      <c r="F137" s="183">
        <v>43081.831585648149</v>
      </c>
      <c r="G137" s="182">
        <v>85</v>
      </c>
      <c r="H137" s="184" t="s">
        <v>993</v>
      </c>
      <c r="I137" s="183">
        <v>43081.856817129628</v>
      </c>
      <c r="J137" s="182">
        <v>0</v>
      </c>
      <c r="K137" s="190" t="str">
        <f t="shared" si="56"/>
        <v>4005/4006</v>
      </c>
      <c r="L137" s="196" t="str">
        <f>VLOOKUP(A137,'Trips&amp;Operators'!$C$1:$G$99911,5,FALSE)</f>
        <v>RESPASS AARON</v>
      </c>
      <c r="M137" s="181">
        <f t="shared" si="57"/>
        <v>2.5231481478840578E-2</v>
      </c>
      <c r="N137" s="182">
        <f t="shared" si="74"/>
        <v>36.333333329530433</v>
      </c>
      <c r="O137" s="182"/>
      <c r="P137" s="182"/>
      <c r="Q137" s="185"/>
      <c r="R137" s="197"/>
      <c r="S137" s="241">
        <f t="shared" si="73"/>
        <v>1</v>
      </c>
      <c r="T137" s="220" t="str">
        <f t="shared" si="58"/>
        <v>Southbound</v>
      </c>
      <c r="U137" s="22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21" t="str">
        <f t="shared" si="59"/>
        <v>https://d0f6bd738d7f1b3e5a7ca70fe4ff75f0.us-east-1.aws.found.io/app/kibana#/discover/Steve-Slow-Train-Analysis-(2080s-and-2083s)?_g=(refreshInterval:(display:Off,pause:!f,section:0,value:0),time:(from:'2017-12-12T18:51:51-0700',mode:absolute,to:'2017-12-12T21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7" s="222" t="str">
        <f>IF(AA137&lt;VLOOKUP(AG137,Variables!$AC$3:$AD$8,2,FALSE),"Y","N")</f>
        <v>N</v>
      </c>
      <c r="X137" s="222">
        <f t="shared" si="77"/>
        <v>1</v>
      </c>
      <c r="Y137" s="222">
        <f t="shared" si="75"/>
        <v>23.2925</v>
      </c>
      <c r="Z137" s="222">
        <f t="shared" si="76"/>
        <v>2.5600000000000001E-2</v>
      </c>
      <c r="AA137" s="222">
        <f t="shared" si="60"/>
        <v>23.2669</v>
      </c>
      <c r="AB137" s="231" t="str">
        <f>VLOOKUP(A137,Enforcements!$C$7:$K$9,8,0)</f>
        <v>Bulletin (2)</v>
      </c>
      <c r="AC137" s="231" t="str">
        <f>VLOOKUP(A137,Enforcements!$C$7:$E$9,3,0)</f>
        <v>GRADE CROSSING</v>
      </c>
      <c r="AD137" s="232">
        <f t="shared" si="61"/>
        <v>222</v>
      </c>
      <c r="AE137" s="233" t="str">
        <f t="shared" si="62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137" s="234" t="str">
        <f t="shared" si="63"/>
        <v>"C:\Program Files (x86)\AstroGrep\AstroGrep.exe" /e /r /s /spath="%USERPROFILE%\AppData\Local\Temp\OnboardLogs" /stypes="app*4005*20171213*" /stext=" 03:.+((SYSTEM_STATE.+slice.+state.+changed )|(ment ac)|(multiple cpu faults)|(system.+state.+changed )|(\[timeout)|(PRM\|1\|D)|(kpr)|(kdp)|(train st.+moving)|(\|lc)|(penalty))"</v>
      </c>
      <c r="AG137" s="226" t="str">
        <f t="shared" si="64"/>
        <v>EC</v>
      </c>
      <c r="AH137" s="189" t="str">
        <f t="shared" si="65"/>
        <v>"%USERPROFILE%\Documents\GitHub\eaglep3\Utilities\RefineRTDCRunTimes.py" --tripid 222-12 --locoid 4005 --swversion DE.1.0.9.0 --startMP 204:232925 --initTime 2017-12-12T19:51:51 --startdatetime 2017-12-12T19:57:29 --delay 85 --endMP 204:256 --enddatetime 2017-12-12T20:33:49 --enforcementcount 0 &gt;&gt;%USERPROFILE%\Documents\GitHub\eaglep3-reporting\EC\2017-12-12-refined-times.txt</v>
      </c>
      <c r="AI137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{"issue":{"subject":"","project_id":79,"tracker_id":40,"status_id":1,"priority_id":2,"assigned_to_id":338,"start_date":"2017-12-12","description":"","custom_fields":[{"id":1,"name":"Subdivision","value":"EC"},{"id":4,"name":"Milepost","value":"0.0256"},{"id":17,"name":"Train ID","value":"222-12"},{"id":16,"name":"Locomotive ID","value":"4005"},{"id":130,"name":"Impact","value":""},{"id":150,"name":"Time of Event (Mountain Time)","value":"20:33:49"},{"id":151,"name":"Denver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188"/>
      <c r="AL137" s="188"/>
      <c r="AM137" s="193" t="str">
        <f t="shared" si="67"/>
        <v>start /low /b %USERPROFILE%\Documents\GitHub\eaglep3\Utilities\DownloadLogsFromS3.py --loco 4005 --day 2017-12-12</v>
      </c>
      <c r="AN137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03:33:49"},{"id":29,"name":"Sharepoint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87" t="str">
        <f t="shared" si="69"/>
        <v>https://d0f6bd738d7f1b3e5a7ca70fe4ff75f0.us-east-1.aws.found.io/app/kibana#/discover/Steve-Slow-Train-Analysis-(2080s-and-2083s)?_g=(refreshInterval:(display:Off,pause:!f,section:0,value:0),time:(from:'2017-12-12T18:51:51-0700',mode:absolute,to:'2017-12-12T21:33:49-0700'))&amp;_a=(columns:!('Message%20ID',Summary),filters:!(),index:'emp_*',interval:auto,query:(query_string:(analyze_wildcard:!t,query:'%22rtdc.l.rtdc.4005%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186" t="s">
        <v>864</v>
      </c>
      <c r="B138" s="182">
        <v>4012</v>
      </c>
      <c r="C138" s="184" t="s">
        <v>192</v>
      </c>
      <c r="D138" s="184" t="s">
        <v>650</v>
      </c>
      <c r="E138" s="183">
        <v>43081.81040509259</v>
      </c>
      <c r="F138" s="183">
        <v>43081.8128125</v>
      </c>
      <c r="G138" s="182">
        <v>128</v>
      </c>
      <c r="H138" s="184" t="s">
        <v>471</v>
      </c>
      <c r="I138" s="183">
        <v>43081.83666666667</v>
      </c>
      <c r="J138" s="182">
        <v>0</v>
      </c>
      <c r="K138" s="190" t="str">
        <f t="shared" si="56"/>
        <v>4011/4012</v>
      </c>
      <c r="L138" s="196" t="str">
        <f>VLOOKUP(A138,'Trips&amp;Operators'!$C$1:$G$99911,5,FALSE)</f>
        <v>LOZA FIDEL</v>
      </c>
      <c r="M138" s="181">
        <f t="shared" si="57"/>
        <v>2.3854166669480037E-2</v>
      </c>
      <c r="N138" s="182">
        <f t="shared" si="74"/>
        <v>34.350000004051253</v>
      </c>
      <c r="O138" s="182"/>
      <c r="P138" s="182"/>
      <c r="Q138" s="185"/>
      <c r="R138" s="197"/>
      <c r="S138" s="241">
        <f t="shared" si="73"/>
        <v>1</v>
      </c>
      <c r="T138" s="220" t="str">
        <f t="shared" si="58"/>
        <v>NorthBound</v>
      </c>
      <c r="U138" s="22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1" t="str">
        <f t="shared" si="59"/>
        <v>https://d0f6bd738d7f1b3e5a7ca70fe4ff75f0.us-east-1.aws.found.io/app/kibana#/discover/Steve-Slow-Train-Analysis-(2080s-and-2083s)?_g=(refreshInterval:(display:Off,pause:!f,section:0,value:0),time:(from:'2017-12-12T18:26:59-0700',mode:absolute,to:'2017-12-12T21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222" t="str">
        <f>IF(AA138&lt;VLOOKUP(AG138,Variables!$AC$3:$AD$8,2,FALSE),"Y","N")</f>
        <v>N</v>
      </c>
      <c r="X138" s="222">
        <f t="shared" si="77"/>
        <v>1</v>
      </c>
      <c r="Y138" s="222">
        <f t="shared" si="75"/>
        <v>5.5899999999999998E-2</v>
      </c>
      <c r="Z138" s="222">
        <f t="shared" si="76"/>
        <v>23.3264</v>
      </c>
      <c r="AA138" s="222">
        <f t="shared" si="60"/>
        <v>23.270499999999998</v>
      </c>
      <c r="AB138" s="231" t="e">
        <f>VLOOKUP(A138,Enforcements!$C$7:$K$9,8,0)</f>
        <v>#N/A</v>
      </c>
      <c r="AC138" s="231" t="e">
        <f>VLOOKUP(A138,Enforcements!$C$7:$E$9,3,0)</f>
        <v>#N/A</v>
      </c>
      <c r="AD138" s="232">
        <f t="shared" si="61"/>
        <v>223</v>
      </c>
      <c r="AE138" s="233" t="str">
        <f t="shared" si="62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138" s="234" t="str">
        <f t="shared" si="63"/>
        <v>"C:\Program Files (x86)\AstroGrep\AstroGrep.exe" /e /r /s /spath="%USERPROFILE%\AppData\Local\Temp\OnboardLogs" /stypes="app*4012*20171213*" /stext=" 03:.+((SYSTEM_STATE.+slice.+state.+changed )|(ment ac)|(multiple cpu faults)|(system.+state.+changed )|(\[timeout)|(PRM\|1\|D)|(kpr)|(kdp)|(train st.+moving)|(\|lc)|(penalty))"</v>
      </c>
      <c r="AG138" s="226" t="str">
        <f t="shared" si="64"/>
        <v>EC</v>
      </c>
      <c r="AH138" s="189" t="str">
        <f t="shared" si="65"/>
        <v>"%USERPROFILE%\Documents\GitHub\eaglep3\Utilities\RefineRTDCRunTimes.py" --tripid 223-12 --locoid 4012 --swversion DE.1.0.9.0 --startMP 204:559 --initTime 2017-12-12T19:26:59 --startdatetime 2017-12-12T19:30:27 --delay 128 --endMP 204:233264 --enddatetime 2017-12-12T20:04:48 --enforcementcount 0 &gt;&gt;%USERPROFILE%\Documents\GitHub\eaglep3-reporting\EC\2017-12-12-refined-times.txt</v>
      </c>
      <c r="AI138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{"issue":{"subject":"","project_id":79,"tracker_id":40,"status_id":1,"priority_id":2,"assigned_to_id":338,"start_date":"2017-12-12","description":"","custom_fields":[{"id":1,"name":"Subdivision","value":"EC"},{"id":4,"name":"Milepost","value":"23.3264"},{"id":17,"name":"Train ID","value":"223-12"},{"id":16,"name":"Locomotive ID","value":"4012"},{"id":130,"name":"Impact","value":""},{"id":150,"name":"Time of Event (Mountain Time)","value":"20:04:48"},{"id":151,"name":"Denver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180"/>
      <c r="AK138" s="188"/>
      <c r="AL138" s="188"/>
      <c r="AM138" s="193" t="str">
        <f t="shared" si="67"/>
        <v>start /low /b %USERPROFILE%\Documents\GitHub\eaglep3\Utilities\DownloadLogsFromS3.py --loco 4012 --day 2017-12-12</v>
      </c>
      <c r="AN138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03:04:48"},{"id":29,"name":"Sharepoint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87" t="str">
        <f t="shared" si="69"/>
        <v>https://d0f6bd738d7f1b3e5a7ca70fe4ff75f0.us-east-1.aws.found.io/app/kibana#/discover/Steve-Slow-Train-Analysis-(2080s-and-2083s)?_g=(refreshInterval:(display:Off,pause:!f,section:0,value:0),time:(from:'2017-12-12T18:26:59-0700',mode:absolute,to:'2017-12-12T21:04:48-0700'))&amp;_a=(columns:!('Message%20ID',Summary),filters:!(),index:'emp_*',interval:auto,query:(query_string:(analyze_wildcard:!t,query:'%22rtdc.l.rtdc.4012%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186" t="s">
        <v>868</v>
      </c>
      <c r="B139" s="182">
        <v>4011</v>
      </c>
      <c r="C139" s="184" t="s">
        <v>192</v>
      </c>
      <c r="D139" s="184" t="s">
        <v>988</v>
      </c>
      <c r="E139" s="183">
        <v>43081.850439814814</v>
      </c>
      <c r="F139" s="183">
        <v>43081.852256944447</v>
      </c>
      <c r="G139" s="182">
        <v>49</v>
      </c>
      <c r="H139" s="184" t="s">
        <v>993</v>
      </c>
      <c r="I139" s="183">
        <v>43081.87840277778</v>
      </c>
      <c r="J139" s="182">
        <v>0</v>
      </c>
      <c r="K139" s="190" t="str">
        <f t="shared" si="56"/>
        <v>4011/4012</v>
      </c>
      <c r="L139" s="196" t="str">
        <f>VLOOKUP(A139,'Trips&amp;Operators'!$C$1:$G$99911,5,FALSE)</f>
        <v>LORI SANTOS</v>
      </c>
      <c r="M139" s="181">
        <f t="shared" si="57"/>
        <v>2.6145833333430346E-2</v>
      </c>
      <c r="N139" s="182">
        <f t="shared" si="74"/>
        <v>37.650000000139698</v>
      </c>
      <c r="O139" s="182"/>
      <c r="P139" s="182"/>
      <c r="Q139" s="185"/>
      <c r="R139" s="197"/>
      <c r="S139" s="241">
        <f t="shared" ref="S139:S170" si="78">1/IF(AG139="EC",12,1)*SUM(U139:U139)</f>
        <v>1</v>
      </c>
      <c r="T139" s="220" t="str">
        <f t="shared" si="58"/>
        <v>Southbound</v>
      </c>
      <c r="U139" s="22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1" t="str">
        <f t="shared" si="59"/>
        <v>https://d0f6bd738d7f1b3e5a7ca70fe4ff75f0.us-east-1.aws.found.io/app/kibana#/discover/Steve-Slow-Train-Analysis-(2080s-and-2083s)?_g=(refreshInterval:(display:Off,pause:!f,section:0,value:0),time:(from:'2017-12-12T19:24:38-0700',mode:absolute,to:'2017-12-12T22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222" t="str">
        <f>IF(AA139&lt;VLOOKUP(AG139,Variables!$AC$3:$AD$8,2,FALSE),"Y","N")</f>
        <v>N</v>
      </c>
      <c r="X139" s="222">
        <f t="shared" si="77"/>
        <v>1</v>
      </c>
      <c r="Y139" s="222">
        <f t="shared" si="75"/>
        <v>23.2942</v>
      </c>
      <c r="Z139" s="222">
        <f t="shared" si="76"/>
        <v>2.5600000000000001E-2</v>
      </c>
      <c r="AA139" s="222">
        <f t="shared" si="60"/>
        <v>23.268599999999999</v>
      </c>
      <c r="AB139" s="231" t="e">
        <f>VLOOKUP(A139,Enforcements!$C$7:$K$9,8,0)</f>
        <v>#N/A</v>
      </c>
      <c r="AC139" s="231" t="e">
        <f>VLOOKUP(A139,Enforcements!$C$7:$E$9,3,0)</f>
        <v>#N/A</v>
      </c>
      <c r="AD139" s="232">
        <f t="shared" si="61"/>
        <v>224</v>
      </c>
      <c r="AE139" s="233" t="str">
        <f t="shared" si="62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139" s="234" t="str">
        <f t="shared" si="63"/>
        <v>"C:\Program Files (x86)\AstroGrep\AstroGrep.exe" /e /r /s /spath="%USERPROFILE%\AppData\Local\Temp\OnboardLogs" /stypes="app*4011*20171213*" /stext=" 04:.+((SYSTEM_STATE.+slice.+state.+changed )|(ment ac)|(multiple cpu faults)|(system.+state.+changed )|(\[timeout)|(PRM\|1\|D)|(kpr)|(kdp)|(train st.+moving)|(\|lc)|(penalty))"</v>
      </c>
      <c r="AG139" s="226" t="str">
        <f t="shared" si="64"/>
        <v>EC</v>
      </c>
      <c r="AH139" s="189" t="str">
        <f t="shared" si="65"/>
        <v>"%USERPROFILE%\Documents\GitHub\eaglep3\Utilities\RefineRTDCRunTimes.py" --tripid 224-12 --locoid 4011 --swversion DE.1.0.9.0 --startMP 204:232942 --initTime 2017-12-12T20:24:38 --startdatetime 2017-12-12T20:27:15 --delay 49 --endMP 204:256 --enddatetime 2017-12-12T21:04:54 --enforcementcount 0 &gt;&gt;%USERPROFILE%\Documents\GitHub\eaglep3-reporting\EC\2017-12-12-refined-times.txt</v>
      </c>
      <c r="AI139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{"issue":{"subject":"","project_id":79,"tracker_id":40,"status_id":1,"priority_id":2,"assigned_to_id":338,"start_date":"2017-12-12","description":"","custom_fields":[{"id":1,"name":"Subdivision","value":"EC"},{"id":4,"name":"Milepost","value":"0.0256"},{"id":17,"name":"Train ID","value":"224-12"},{"id":16,"name":"Locomotive ID","value":"4011"},{"id":130,"name":"Impact","value":""},{"id":150,"name":"Time of Event (Mountain Time)","value":"21:04:54"},{"id":151,"name":"Denver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180"/>
      <c r="AK139" s="188"/>
      <c r="AL139" s="188"/>
      <c r="AM139" s="193" t="str">
        <f t="shared" si="67"/>
        <v>start /low /b %USERPROFILE%\Documents\GitHub\eaglep3\Utilities\DownloadLogsFromS3.py --loco 4011 --day 2017-12-12</v>
      </c>
      <c r="AN139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04:04:54"},{"id":29,"name":"Sharepoint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87" t="str">
        <f t="shared" si="69"/>
        <v>https://d0f6bd738d7f1b3e5a7ca70fe4ff75f0.us-east-1.aws.found.io/app/kibana#/discover/Steve-Slow-Train-Analysis-(2080s-and-2083s)?_g=(refreshInterval:(display:Off,pause:!f,section:0,value:0),time:(from:'2017-12-12T19:24:38-0700',mode:absolute,to:'2017-12-12T22:04:54-0700'))&amp;_a=(columns:!('Message%20ID',Summary),filters:!(),index:'emp_*',interval:auto,query:(query_string:(analyze_wildcard:!t,query:'%22rtdc.l.rtdc.4011%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186" t="s">
        <v>866</v>
      </c>
      <c r="B140" s="182">
        <v>4030</v>
      </c>
      <c r="C140" s="184" t="s">
        <v>192</v>
      </c>
      <c r="D140" s="184" t="s">
        <v>994</v>
      </c>
      <c r="E140" s="183">
        <v>43081.829351851855</v>
      </c>
      <c r="F140" s="183">
        <v>43081.833819444444</v>
      </c>
      <c r="G140" s="182">
        <v>77</v>
      </c>
      <c r="H140" s="184" t="s">
        <v>648</v>
      </c>
      <c r="I140" s="183">
        <v>43081.859236111108</v>
      </c>
      <c r="J140" s="182">
        <v>0</v>
      </c>
      <c r="K140" s="190" t="str">
        <f t="shared" si="56"/>
        <v>4029/4030</v>
      </c>
      <c r="L140" s="196" t="str">
        <f>VLOOKUP(A140,'Trips&amp;Operators'!$C$1:$G$99911,5,FALSE)</f>
        <v>NICHOLSON WESLEY</v>
      </c>
      <c r="M140" s="181">
        <f t="shared" si="57"/>
        <v>2.5416666663659271E-2</v>
      </c>
      <c r="N140" s="182">
        <f t="shared" si="74"/>
        <v>36.59999999566935</v>
      </c>
      <c r="O140" s="182"/>
      <c r="P140" s="182"/>
      <c r="Q140" s="185"/>
      <c r="R140" s="197"/>
      <c r="S140" s="241">
        <f t="shared" si="78"/>
        <v>1</v>
      </c>
      <c r="T140" s="220" t="str">
        <f t="shared" si="58"/>
        <v>NorthBound</v>
      </c>
      <c r="U140" s="22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1" t="str">
        <f t="shared" si="59"/>
        <v>https://d0f6bd738d7f1b3e5a7ca70fe4ff75f0.us-east-1.aws.found.io/app/kibana#/discover/Steve-Slow-Train-Analysis-(2080s-and-2083s)?_g=(refreshInterval:(display:Off,pause:!f,section:0,value:0),time:(from:'2017-12-12T18:54:16-0700',mode:absolute,to:'2017-12-12T21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222" t="str">
        <f>IF(AA140&lt;VLOOKUP(AG140,Variables!$AC$3:$AD$8,2,FALSE),"Y","N")</f>
        <v>N</v>
      </c>
      <c r="X140" s="222">
        <f t="shared" si="77"/>
        <v>1</v>
      </c>
      <c r="Y140" s="222">
        <f t="shared" si="75"/>
        <v>5.6599999999999998E-2</v>
      </c>
      <c r="Z140" s="222">
        <f t="shared" si="76"/>
        <v>23.32</v>
      </c>
      <c r="AA140" s="222">
        <f t="shared" si="60"/>
        <v>23.263400000000001</v>
      </c>
      <c r="AB140" s="231" t="e">
        <f>VLOOKUP(A140,Enforcements!$C$7:$K$9,8,0)</f>
        <v>#N/A</v>
      </c>
      <c r="AC140" s="231" t="e">
        <f>VLOOKUP(A140,Enforcements!$C$7:$E$9,3,0)</f>
        <v>#N/A</v>
      </c>
      <c r="AD140" s="232">
        <f t="shared" si="61"/>
        <v>225</v>
      </c>
      <c r="AE140" s="233" t="str">
        <f t="shared" si="62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140" s="234" t="str">
        <f t="shared" si="63"/>
        <v>"C:\Program Files (x86)\AstroGrep\AstroGrep.exe" /e /r /s /spath="%USERPROFILE%\AppData\Local\Temp\OnboardLogs" /stypes="app*4030*20171213*" /stext=" 03:.+((SYSTEM_STATE.+slice.+state.+changed )|(ment ac)|(multiple cpu faults)|(system.+state.+changed )|(\[timeout)|(PRM\|1\|D)|(kpr)|(kdp)|(train st.+moving)|(\|lc)|(penalty))"</v>
      </c>
      <c r="AG140" s="226" t="str">
        <f t="shared" si="64"/>
        <v>EC</v>
      </c>
      <c r="AH140" s="189" t="str">
        <f t="shared" si="65"/>
        <v>"%USERPROFILE%\Documents\GitHub\eaglep3\Utilities\RefineRTDCRunTimes.py" --tripid 225-12 --locoid 4030 --swversion DE.1.0.9.0 --startMP 204:566 --initTime 2017-12-12T19:54:16 --startdatetime 2017-12-12T20:00:42 --delay 77 --endMP 204:233200 --enddatetime 2017-12-12T20:37:18 --enforcementcount 0 &gt;&gt;%USERPROFILE%\Documents\GitHub\eaglep3-reporting\EC\2017-12-12-refined-times.txt</v>
      </c>
      <c r="AI140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{"issue":{"subject":"","project_id":79,"tracker_id":40,"status_id":1,"priority_id":2,"assigned_to_id":338,"start_date":"2017-12-12","description":"","custom_fields":[{"id":1,"name":"Subdivision","value":"EC"},{"id":4,"name":"Milepost","value":"23.32"},{"id":17,"name":"Train ID","value":"225-12"},{"id":16,"name":"Locomotive ID","value":"4030"},{"id":130,"name":"Impact","value":""},{"id":150,"name":"Time of Event (Mountain Time)","value":"20:37:18"},{"id":151,"name":"Denver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180"/>
      <c r="AK140" s="188"/>
      <c r="AL140" s="188"/>
      <c r="AM140" s="193" t="str">
        <f t="shared" si="67"/>
        <v>start /low /b %USERPROFILE%\Documents\GitHub\eaglep3\Utilities\DownloadLogsFromS3.py --loco 4030 --day 2017-12-12</v>
      </c>
      <c r="AN140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87" t="str">
        <f t="shared" si="69"/>
        <v>https://d0f6bd738d7f1b3e5a7ca70fe4ff75f0.us-east-1.aws.found.io/app/kibana#/discover/Steve-Slow-Train-Analysis-(2080s-and-2083s)?_g=(refreshInterval:(display:Off,pause:!f,section:0,value:0),time:(from:'2017-12-12T18:54:16-0700',mode:absolute,to:'2017-12-12T21:37:18-0700'))&amp;_a=(columns:!('Message%20ID',Summary),filters:!(),index:'emp_*',interval:auto,query:(query_string:(analyze_wildcard:!t,query:'%22rtdc.l.rtdc.4030%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186" t="s">
        <v>871</v>
      </c>
      <c r="B141" s="182">
        <v>4029</v>
      </c>
      <c r="C141" s="184" t="s">
        <v>192</v>
      </c>
      <c r="D141" s="184" t="s">
        <v>995</v>
      </c>
      <c r="E141" s="183">
        <v>43081.863819444443</v>
      </c>
      <c r="F141" s="183">
        <v>43081.873136574075</v>
      </c>
      <c r="G141" s="182">
        <v>192</v>
      </c>
      <c r="H141" s="184" t="s">
        <v>996</v>
      </c>
      <c r="I141" s="183">
        <v>43081.901712962965</v>
      </c>
      <c r="J141" s="182">
        <v>0</v>
      </c>
      <c r="K141" s="190" t="str">
        <f t="shared" ref="K141:K204" si="79">IF(ISEVEN(B141),(B141-1)&amp;"/"&amp;B141,B141&amp;"/"&amp;(B141+1))</f>
        <v>4029/4030</v>
      </c>
      <c r="L141" s="196" t="str">
        <f>VLOOKUP(A141,'Trips&amp;Operators'!$C$1:$G$99911,5,FALSE)</f>
        <v>NICHOLSON WESLEY</v>
      </c>
      <c r="M141" s="181">
        <f t="shared" ref="M141:M204" si="80">I141-F141</f>
        <v>2.8576388889632653E-2</v>
      </c>
      <c r="N141" s="182">
        <f t="shared" si="74"/>
        <v>41.150000001071021</v>
      </c>
      <c r="O141" s="182"/>
      <c r="P141" s="182"/>
      <c r="Q141" s="185"/>
      <c r="R141" s="197"/>
      <c r="S141" s="241">
        <f t="shared" si="78"/>
        <v>1</v>
      </c>
      <c r="T141" s="220" t="str">
        <f t="shared" ref="T141:T204" si="81">IF(ISEVEN(LEFT(AD141,4)),"Southbound","NorthBound")</f>
        <v>Southbound</v>
      </c>
      <c r="U141" s="22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1" t="str">
        <f t="shared" ref="V141:V204" si="8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-12T19:43:54-0700',mode:absolute,to:'2017-12-12T22:38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222" t="str">
        <f>IF(AA141&lt;VLOOKUP(AG141,Variables!$AC$3:$AD$8,2,FALSE),"Y","N")</f>
        <v>N</v>
      </c>
      <c r="X141" s="222">
        <f t="shared" si="77"/>
        <v>1</v>
      </c>
      <c r="Y141" s="222">
        <f t="shared" si="75"/>
        <v>23.286999999999999</v>
      </c>
      <c r="Z141" s="222">
        <f t="shared" si="76"/>
        <v>2.3599999999999999E-2</v>
      </c>
      <c r="AA141" s="222">
        <f t="shared" ref="AA141:AA204" si="83">ABS(Z141-Y141)</f>
        <v>23.263400000000001</v>
      </c>
      <c r="AB141" s="231" t="e">
        <f>VLOOKUP(A141,Enforcements!$C$7:$K$9,8,0)</f>
        <v>#N/A</v>
      </c>
      <c r="AC141" s="231" t="e">
        <f>VLOOKUP(A141,Enforcements!$C$7:$E$9,3,0)</f>
        <v>#N/A</v>
      </c>
      <c r="AD141" s="232">
        <f t="shared" ref="AD141:AD204" si="84">VALUE(LEFT(A141,LEN(A141)-3))</f>
        <v>226</v>
      </c>
      <c r="AE141" s="233" t="str">
        <f t="shared" ref="AE141:AE204" si="8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141" s="234" t="str">
        <f t="shared" ref="AF141:AF204" si="8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/stypes="app*4029*20171213*" /stext=" 04:.+((SYSTEM_STATE.+slice.+state.+changed )|(ment ac)|(multiple cpu faults)|(system.+state.+changed )|(\[timeout)|(PRM\|1\|D)|(kpr)|(kdp)|(train st.+moving)|(\|lc)|(penalty))"</v>
      </c>
      <c r="AG141" s="226" t="str">
        <f t="shared" ref="AG141:AG204" si="87">DetSubdiv(A141)</f>
        <v>EC</v>
      </c>
      <c r="AH141" s="189" t="str">
        <f t="shared" si="65"/>
        <v>"%USERPROFILE%\Documents\GitHub\eaglep3\Utilities\RefineRTDCRunTimes.py" --tripid 226-12 --locoid 4029 --swversion DE.1.0.9.0 --startMP 204:232870 --initTime 2017-12-12T20:43:54 --startdatetime 2017-12-12T20:57:19 --delay 192 --endMP 204:236 --enddatetime 2017-12-12T21:38:28 --enforcementcount 0 &gt;&gt;%USERPROFILE%\Documents\GitHub\eaglep3-reporting\EC\2017-12-12-refined-times.txt</v>
      </c>
      <c r="AI141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{"issue":{"subject":"","project_id":79,"tracker_id":40,"status_id":1,"priority_id":2,"assigned_to_id":338,"start_date":"2017-12-12","description":"","custom_fields":[{"id":1,"name":"Subdivision","value":"EC"},{"id":4,"name":"Milepost","value":"0.0236"},{"id":17,"name":"Train ID","value":"226-12"},{"id":16,"name":"Locomotive ID","value":"4029"},{"id":130,"name":"Impact","value":""},{"id":150,"name":"Time of Event (Mountain Time)","value":"21:38:28"},{"id":151,"name":"Denver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180"/>
      <c r="AK141" s="188"/>
      <c r="AL141" s="188"/>
      <c r="AM141" s="193" t="str">
        <f t="shared" si="67"/>
        <v>start /low /b %USERPROFILE%\Documents\GitHub\eaglep3\Utilities\DownloadLogsFromS3.py --loco 4029 --day 2017-12-12</v>
      </c>
      <c r="AN141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04:38:28"},{"id":29,"name":"Sharepoint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87" t="str">
        <f t="shared" si="69"/>
        <v>https://d0f6bd738d7f1b3e5a7ca70fe4ff75f0.us-east-1.aws.found.io/app/kibana#/discover/Steve-Slow-Train-Analysis-(2080s-and-2083s)?_g=(refreshInterval:(display:Off,pause:!f,section:0,value:0),time:(from:'2017-12-12T19:43:54-0700',mode:absolute,to:'2017-12-12T22:38:28-0700'))&amp;_a=(columns:!('Message%20ID',Summary),filters:!(),index:'emp_*',interval:auto,query:(query_string:(analyze_wildcard:!t,query:'%22rtdc.l.rtdc.4029%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186" t="s">
        <v>870</v>
      </c>
      <c r="B142" s="182">
        <v>4016</v>
      </c>
      <c r="C142" s="184" t="s">
        <v>192</v>
      </c>
      <c r="D142" s="184" t="s">
        <v>941</v>
      </c>
      <c r="E142" s="183">
        <v>43081.858368055553</v>
      </c>
      <c r="F142" s="183">
        <v>43081.859386574077</v>
      </c>
      <c r="G142" s="182">
        <v>39</v>
      </c>
      <c r="H142" s="184" t="s">
        <v>546</v>
      </c>
      <c r="I142" s="183">
        <v>43081.881168981483</v>
      </c>
      <c r="J142" s="182">
        <v>0</v>
      </c>
      <c r="K142" s="190" t="str">
        <f t="shared" si="79"/>
        <v>4015/4016</v>
      </c>
      <c r="L142" s="196" t="str">
        <f>VLOOKUP(A142,'Trips&amp;Operators'!$C$1:$G$99911,5,FALSE)</f>
        <v>ANDERS STEVEN</v>
      </c>
      <c r="M142" s="181">
        <f t="shared" si="80"/>
        <v>2.1782407406135462E-2</v>
      </c>
      <c r="N142" s="182"/>
      <c r="O142" s="182"/>
      <c r="P142" s="182">
        <f>24*60*SUM($M142:$M142)</f>
        <v>31.366666664835066</v>
      </c>
      <c r="Q142" s="185"/>
      <c r="R142" s="197" t="s">
        <v>1089</v>
      </c>
      <c r="S142" s="241">
        <f t="shared" si="78"/>
        <v>1</v>
      </c>
      <c r="T142" s="220" t="str">
        <f t="shared" si="81"/>
        <v>NorthBound</v>
      </c>
      <c r="U142" s="22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1" t="str">
        <f t="shared" si="82"/>
        <v>https://d0f6bd738d7f1b3e5a7ca70fe4ff75f0.us-east-1.aws.found.io/app/kibana#/discover/Steve-Slow-Train-Analysis-(2080s-and-2083s)?_g=(refreshInterval:(display:Off,pause:!f,section:0,value:0),time:(from:'2017-12-12T19:36:03-0700',mode:absolute,to:'2017-12-12T22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222" t="str">
        <f>IF(AA142&lt;VLOOKUP(AG142,Variables!$AC$3:$AD$8,2,FALSE),"Y","N")</f>
        <v>Y</v>
      </c>
      <c r="X142" s="222">
        <f t="shared" si="77"/>
        <v>1</v>
      </c>
      <c r="Y142" s="222">
        <f t="shared" si="75"/>
        <v>1.9125000000000001</v>
      </c>
      <c r="Z142" s="222">
        <f t="shared" si="76"/>
        <v>23.3278</v>
      </c>
      <c r="AA142" s="222">
        <f t="shared" si="83"/>
        <v>21.415299999999998</v>
      </c>
      <c r="AB142" s="231" t="e">
        <f>VLOOKUP(A142,Enforcements!$C$7:$K$9,8,0)</f>
        <v>#N/A</v>
      </c>
      <c r="AC142" s="231" t="e">
        <f>VLOOKUP(A142,Enforcements!$C$7:$E$9,3,0)</f>
        <v>#N/A</v>
      </c>
      <c r="AD142" s="232">
        <f t="shared" si="84"/>
        <v>227</v>
      </c>
      <c r="AE142" s="233" t="str">
        <f t="shared" si="85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142" s="234" t="str">
        <f t="shared" si="86"/>
        <v>"C:\Program Files (x86)\AstroGrep\AstroGrep.exe" /e /r /s /spath="%USERPROFILE%\AppData\Local\Temp\OnboardLogs" /stypes="app*4016*20171213*" /stext=" 04:.+((SYSTEM_STATE.+slice.+state.+changed )|(ment ac)|(multiple cpu faults)|(system.+state.+changed )|(\[timeout)|(PRM\|1\|D)|(kpr)|(kdp)|(train st.+moving)|(\|lc)|(penalty))"</v>
      </c>
      <c r="AG142" s="226" t="str">
        <f t="shared" si="87"/>
        <v>EC</v>
      </c>
      <c r="AH142" s="189" t="str">
        <f t="shared" si="65"/>
        <v>"%USERPROFILE%\Documents\GitHub\eaglep3\Utilities\RefineRTDCRunTimes.py" --tripid 227-12 --locoid 4016 --swversion DE.1.0.9.0 --startMP 204:19125 --initTime 2017-12-12T20:36:03 --startdatetime 2017-12-12T20:37:31 --delay 39 --endMP 204:233278 --enddatetime 2017-12-12T21:08:53 --enforcementcount 0 &gt;&gt;%USERPROFILE%\Documents\GitHub\eaglep3-reporting\EC\2017-12-12-refined-times.txt</v>
      </c>
      <c r="AI142" s="191" t="str">
        <f t="shared" si="66"/>
        <v>echo {"issue":{"subject":"Selected wrong track","project_id":79,"tracker_id":40,"status_id":1,"priority_id":2,"assigned_to_id":338,"start_date":"2017-12-12","description":"","custom_fields":[{"id":1,"name":"Subdivision","value":"EC"},{"id":4,"name":"Milepost","value":"23.3278"},{"id":17,"name":"Train ID","value":"227-12"},{"id":16,"name":"Locomotive ID","value":"4016"},{"id":130,"name":"Impact","value":""},{"id":150,"name":"Time of Event (Mountain Time)","value":"21:08:53"},{"id":151,"name":"Denver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180"/>
      <c r="AK142" s="188"/>
      <c r="AL142" s="188"/>
      <c r="AM142" s="193" t="str">
        <f t="shared" si="67"/>
        <v>start /low /b %USERPROFILE%\Documents\GitHub\eaglep3\Utilities\DownloadLogsFromS3.py --loco 4016 --day 2017-12-12</v>
      </c>
      <c r="AN142" s="194" t="str">
        <f t="shared" si="68"/>
        <v>echo {"issue":{"subject":"Selected wrong track","project_id":30,"tracker_id":4,"status_id":1,"priority_id":1,"assigned_to_id":10,"start_date":"2017-12-13","description":"","custom_fields":[{"id":30,"name":"Category","value":"Issue"},{"id":3,"name":"Functional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04:08:53"},{"id":29,"name":"Sharepoint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87" t="str">
        <f t="shared" si="69"/>
        <v>https://d0f6bd738d7f1b3e5a7ca70fe4ff75f0.us-east-1.aws.found.io/app/kibana#/discover/Steve-Slow-Train-Analysis-(2080s-and-2083s)?_g=(refreshInterval:(display:Off,pause:!f,section:0,value:0),time:(from:'2017-12-12T19:36:03-0700',mode:absolute,to:'2017-12-12T22:08:53-0700'))&amp;_a=(columns:!('Message%20ID',Summary),filters:!(),index:'emp_*',interval:auto,query:(query_string:(analyze_wildcard:!t,query:'%22rtdc.l.rtdc.4016%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180" customFormat="1" x14ac:dyDescent="0.25">
      <c r="A143" s="186" t="s">
        <v>876</v>
      </c>
      <c r="B143" s="182">
        <v>4015</v>
      </c>
      <c r="C143" s="184" t="s">
        <v>192</v>
      </c>
      <c r="D143" s="184" t="s">
        <v>571</v>
      </c>
      <c r="E143" s="183">
        <v>43081.883263888885</v>
      </c>
      <c r="F143" s="183">
        <v>43081.893969907411</v>
      </c>
      <c r="G143" s="182">
        <v>55</v>
      </c>
      <c r="H143" s="184" t="s">
        <v>584</v>
      </c>
      <c r="I143" s="183">
        <v>43081.921018518522</v>
      </c>
      <c r="J143" s="182">
        <v>0</v>
      </c>
      <c r="K143" s="190" t="str">
        <f t="shared" si="79"/>
        <v>4015/4016</v>
      </c>
      <c r="L143" s="196" t="str">
        <f>VLOOKUP(A143,'Trips&amp;Operators'!$C$1:$G$99911,5,FALSE)</f>
        <v>ANDERS STEVEN</v>
      </c>
      <c r="M143" s="181">
        <f t="shared" si="80"/>
        <v>2.7048611111240461E-2</v>
      </c>
      <c r="N143" s="182">
        <f t="shared" ref="N143:N174" si="88">24*60*SUM($M143:$M143)</f>
        <v>38.950000000186265</v>
      </c>
      <c r="O143" s="182"/>
      <c r="P143" s="182"/>
      <c r="Q143" s="185"/>
      <c r="R143" s="197"/>
      <c r="S143" s="241">
        <f t="shared" si="78"/>
        <v>1</v>
      </c>
      <c r="T143" s="220" t="str">
        <f t="shared" si="81"/>
        <v>Southbound</v>
      </c>
      <c r="U143" s="22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1" t="str">
        <f t="shared" si="82"/>
        <v>https://d0f6bd738d7f1b3e5a7ca70fe4ff75f0.us-east-1.aws.found.io/app/kibana#/discover/Steve-Slow-Train-Analysis-(2080s-and-2083s)?_g=(refreshInterval:(display:Off,pause:!f,section:0,value:0),time:(from:'2017-12-12T20:11:54-0700',mode:absolute,to:'2017-12-12T23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222" t="str">
        <f>IF(AA143&lt;VLOOKUP(AG143,Variables!$AC$3:$AD$8,2,FALSE),"Y","N")</f>
        <v>N</v>
      </c>
      <c r="X143" s="222">
        <f t="shared" si="77"/>
        <v>1</v>
      </c>
      <c r="Y143" s="222">
        <f t="shared" si="75"/>
        <v>23.296399999999998</v>
      </c>
      <c r="Z143" s="222">
        <f t="shared" si="76"/>
        <v>2.01E-2</v>
      </c>
      <c r="AA143" s="222">
        <f t="shared" si="83"/>
        <v>23.276299999999999</v>
      </c>
      <c r="AB143" s="231" t="e">
        <f>VLOOKUP(A143,Enforcements!$C$7:$K$9,8,0)</f>
        <v>#N/A</v>
      </c>
      <c r="AC143" s="231" t="e">
        <f>VLOOKUP(A143,Enforcements!$C$7:$E$9,3,0)</f>
        <v>#N/A</v>
      </c>
      <c r="AD143" s="232">
        <f t="shared" si="84"/>
        <v>228</v>
      </c>
      <c r="AE143" s="233" t="str">
        <f t="shared" si="85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143" s="234" t="str">
        <f t="shared" si="86"/>
        <v>"C:\Program Files (x86)\AstroGrep\AstroGrep.exe" /e /r /s /spath="%USERPROFILE%\AppData\Local\Temp\OnboardLogs" /stypes="app*4015*20171213*" /stext=" 05:.+((SYSTEM_STATE.+slice.+state.+changed )|(ment ac)|(multiple cpu faults)|(system.+state.+changed )|(\[timeout)|(PRM\|1\|D)|(kpr)|(kdp)|(train st.+moving)|(\|lc)|(penalty))"</v>
      </c>
      <c r="AG143" s="226" t="str">
        <f t="shared" si="87"/>
        <v>EC</v>
      </c>
      <c r="AH143" s="189" t="str">
        <f t="shared" si="65"/>
        <v>"%USERPROFILE%\Documents\GitHub\eaglep3\Utilities\RefineRTDCRunTimes.py" --tripid 228-12 --locoid 4015 --swversion DE.1.0.9.0 --startMP 204:232964 --initTime 2017-12-12T21:11:54 --startdatetime 2017-12-12T21:27:19 --delay 55 --endMP 204:201 --enddatetime 2017-12-12T22:06:16 --enforcementcount 0 &gt;&gt;%USERPROFILE%\Documents\GitHub\eaglep3-reporting\EC\2017-12-12-refined-times.txt</v>
      </c>
      <c r="AI143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{"issue":{"subject":"","project_id":79,"tracker_id":40,"status_id":1,"priority_id":2,"assigned_to_id":338,"start_date":"2017-12-12","description":"","custom_fields":[{"id":1,"name":"Subdivision","value":"EC"},{"id":4,"name":"Milepost","value":"0.0201"},{"id":17,"name":"Train ID","value":"228-12"},{"id":16,"name":"Locomotive ID","value":"4015"},{"id":130,"name":"Impact","value":""},{"id":150,"name":"Time of Event (Mountain Time)","value":"22:06:16"},{"id":151,"name":"Denver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188"/>
      <c r="AL143" s="188"/>
      <c r="AM143" s="193" t="str">
        <f t="shared" si="67"/>
        <v>start /low /b %USERPROFILE%\Documents\GitHub\eaglep3\Utilities\DownloadLogsFromS3.py --loco 4015 --day 2017-12-12</v>
      </c>
      <c r="AN143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05:06:16"},{"id":29,"name":"Sharepoint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87" t="str">
        <f t="shared" si="69"/>
        <v>https://d0f6bd738d7f1b3e5a7ca70fe4ff75f0.us-east-1.aws.found.io/app/kibana#/discover/Steve-Slow-Train-Analysis-(2080s-and-2083s)?_g=(refreshInterval:(display:Off,pause:!f,section:0,value:0),time:(from:'2017-12-12T20:11:54-0700',mode:absolute,to:'2017-12-12T23:06:16-0700'))&amp;_a=(columns:!('Message%20ID',Summary),filters:!(),index:'emp_*',interval:auto,query:(query_string:(analyze_wildcard:!t,query:'%22rtdc.l.rtdc.4015%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180" customFormat="1" x14ac:dyDescent="0.25">
      <c r="A144" s="186" t="s">
        <v>872</v>
      </c>
      <c r="B144" s="182">
        <v>4006</v>
      </c>
      <c r="C144" s="184" t="s">
        <v>192</v>
      </c>
      <c r="D144" s="184" t="s">
        <v>588</v>
      </c>
      <c r="E144" s="183">
        <v>43081.870324074072</v>
      </c>
      <c r="F144" s="183">
        <v>43081.875254629631</v>
      </c>
      <c r="G144" s="182">
        <v>102</v>
      </c>
      <c r="H144" s="184" t="s">
        <v>997</v>
      </c>
      <c r="I144" s="183">
        <v>43081.899930555555</v>
      </c>
      <c r="J144" s="182">
        <v>0</v>
      </c>
      <c r="K144" s="190" t="str">
        <f t="shared" si="79"/>
        <v>4005/4006</v>
      </c>
      <c r="L144" s="196" t="str">
        <f>VLOOKUP(A144,'Trips&amp;Operators'!$C$1:$G$99911,5,FALSE)</f>
        <v>ZEWDU DEREJE</v>
      </c>
      <c r="M144" s="181">
        <f t="shared" si="80"/>
        <v>2.4675925924384501E-2</v>
      </c>
      <c r="N144" s="182">
        <f t="shared" si="88"/>
        <v>35.533333331113681</v>
      </c>
      <c r="O144" s="182"/>
      <c r="P144" s="182"/>
      <c r="Q144" s="185"/>
      <c r="R144" s="197"/>
      <c r="S144" s="241">
        <f t="shared" si="78"/>
        <v>1</v>
      </c>
      <c r="T144" s="220" t="str">
        <f t="shared" si="81"/>
        <v>NorthBound</v>
      </c>
      <c r="U144" s="22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21" t="str">
        <f t="shared" si="82"/>
        <v>https://d0f6bd738d7f1b3e5a7ca70fe4ff75f0.us-east-1.aws.found.io/app/kibana#/discover/Steve-Slow-Train-Analysis-(2080s-and-2083s)?_g=(refreshInterval:(display:Off,pause:!f,section:0,value:0),time:(from:'2017-12-12T19:53:16-0700',mode:absolute,to:'2017-12-12T22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222" t="str">
        <f>IF(AA144&lt;VLOOKUP(AG144,Variables!$AC$3:$AD$8,2,FALSE),"Y","N")</f>
        <v>N</v>
      </c>
      <c r="X144" s="222">
        <f t="shared" si="77"/>
        <v>1</v>
      </c>
      <c r="Y144" s="222">
        <f t="shared" si="75"/>
        <v>5.7099999999999998E-2</v>
      </c>
      <c r="Z144" s="222">
        <f t="shared" si="76"/>
        <v>23.322500000000002</v>
      </c>
      <c r="AA144" s="222">
        <f t="shared" si="83"/>
        <v>23.265400000000003</v>
      </c>
      <c r="AB144" s="231" t="e">
        <f>VLOOKUP(A144,Enforcements!$C$7:$K$9,8,0)</f>
        <v>#N/A</v>
      </c>
      <c r="AC144" s="231" t="e">
        <f>VLOOKUP(A144,Enforcements!$C$7:$E$9,3,0)</f>
        <v>#N/A</v>
      </c>
      <c r="AD144" s="232">
        <f t="shared" si="84"/>
        <v>229</v>
      </c>
      <c r="AE144" s="233" t="str">
        <f t="shared" si="85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144" s="234" t="str">
        <f t="shared" si="86"/>
        <v>"C:\Program Files (x86)\AstroGrep\AstroGrep.exe" /e /r /s /spath="%USERPROFILE%\AppData\Local\Temp\OnboardLogs" /stypes="app*4006*20171213*" /stext=" 04:.+((SYSTEM_STATE.+slice.+state.+changed )|(ment ac)|(multiple cpu faults)|(system.+state.+changed )|(\[timeout)|(PRM\|1\|D)|(kpr)|(kdp)|(train st.+moving)|(\|lc)|(penalty))"</v>
      </c>
      <c r="AG144" s="226" t="str">
        <f t="shared" si="87"/>
        <v>EC</v>
      </c>
      <c r="AH144" s="189" t="str">
        <f t="shared" si="65"/>
        <v>"%USERPROFILE%\Documents\GitHub\eaglep3\Utilities\RefineRTDCRunTimes.py" --tripid 229-12 --locoid 4006 --swversion DE.1.0.9.0 --startMP 204:571 --initTime 2017-12-12T20:53:16 --startdatetime 2017-12-12T21:00:22 --delay 102 --endMP 204:233225 --enddatetime 2017-12-12T21:35:54 --enforcementcount 0 &gt;&gt;%USERPROFILE%\Documents\GitHub\eaglep3-reporting\EC\2017-12-12-refined-times.txt</v>
      </c>
      <c r="AI144" s="191" t="str">
        <f t="shared" si="66"/>
        <v>echo {"issue":{"subject":"","project_id":79,"tracker_id":40,"status_id":1,"priority_id":2,"assigned_to_id":338,"start_date":"2017-12-12","description":"","custom_fields":[{"id":1,"name":"Subdivision","value":"EC"},{"id":4,"name":"Milepost","value":"23.3225"},{"id":17,"name":"Train ID","value":"229-12"},{"id":16,"name":"Locomotive ID","value":"4006"},{"id":130,"name":"Impact","value":""},{"id":150,"name":"Time of Event (Mountain Time)","value":"21:35:54"},{"id":151,"name":"Denver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188"/>
      <c r="AL144" s="188"/>
      <c r="AM144" s="193" t="str">
        <f t="shared" si="67"/>
        <v>start /low /b %USERPROFILE%\Documents\GitHub\eaglep3\Utilities\DownloadLogsFromS3.py --loco 4006 --day 2017-12-12</v>
      </c>
      <c r="AN144" s="194" t="str">
        <f t="shared" si="6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87" t="str">
        <f t="shared" si="69"/>
        <v>https://d0f6bd738d7f1b3e5a7ca70fe4ff75f0.us-east-1.aws.found.io/app/kibana#/discover/Steve-Slow-Train-Analysis-(2080s-and-2083s)?_g=(refreshInterval:(display:Off,pause:!f,section:0,value:0),time:(from:'2017-12-12T19:53:16-0700',mode:absolute,to:'2017-12-12T22:35:54-0700'))&amp;_a=(columns:!('Message%20ID',Summary),filters:!(),index:'emp_*',interval:auto,query:(query_string:(analyze_wildcard:!t,query:'%22rtdc.l.rtdc.4006%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186" t="s">
        <v>879</v>
      </c>
      <c r="B145" s="182">
        <v>4005</v>
      </c>
      <c r="C145" s="184" t="s">
        <v>192</v>
      </c>
      <c r="D145" s="184" t="s">
        <v>587</v>
      </c>
      <c r="E145" s="183">
        <v>43081.910555555558</v>
      </c>
      <c r="F145" s="183">
        <v>43081.914803240739</v>
      </c>
      <c r="G145" s="182">
        <v>103</v>
      </c>
      <c r="H145" s="184" t="s">
        <v>581</v>
      </c>
      <c r="I145" s="183">
        <v>43081.941192129627</v>
      </c>
      <c r="J145" s="182">
        <v>0</v>
      </c>
      <c r="K145" s="190" t="str">
        <f t="shared" si="79"/>
        <v>4005/4006</v>
      </c>
      <c r="L145" s="196" t="str">
        <f>VLOOKUP(A145,'Trips&amp;Operators'!$C$1:$G$99911,5,FALSE)</f>
        <v>ZEWDU DEREJE</v>
      </c>
      <c r="M145" s="181">
        <f t="shared" si="80"/>
        <v>2.6388888887595385E-2</v>
      </c>
      <c r="N145" s="182">
        <f t="shared" si="88"/>
        <v>37.999999998137355</v>
      </c>
      <c r="O145" s="182"/>
      <c r="P145" s="182"/>
      <c r="Q145" s="185"/>
      <c r="R145" s="197"/>
      <c r="S145" s="241">
        <f t="shared" si="78"/>
        <v>1</v>
      </c>
      <c r="T145" s="220" t="str">
        <f t="shared" si="81"/>
        <v>Southbound</v>
      </c>
      <c r="U145" s="22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1" t="str">
        <f t="shared" si="82"/>
        <v>https://d0f6bd738d7f1b3e5a7ca70fe4ff75f0.us-east-1.aws.found.io/app/kibana#/discover/Steve-Slow-Train-Analysis-(2080s-and-2083s)?_g=(refreshInterval:(display:Off,pause:!f,section:0,value:0),time:(from:'2017-12-12T20:51:12-0700',mode:absolute,to:'2017-12-12T23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222" t="str">
        <f>IF(AA145&lt;VLOOKUP(AG145,Variables!$AC$3:$AD$8,2,FALSE),"Y","N")</f>
        <v>N</v>
      </c>
      <c r="X145" s="222">
        <f t="shared" si="77"/>
        <v>1</v>
      </c>
      <c r="Y145" s="222">
        <f t="shared" si="75"/>
        <v>23.2926</v>
      </c>
      <c r="Z145" s="222">
        <f t="shared" si="76"/>
        <v>2.52E-2</v>
      </c>
      <c r="AA145" s="222">
        <f t="shared" si="83"/>
        <v>23.267399999999999</v>
      </c>
      <c r="AB145" s="231" t="e">
        <f>VLOOKUP(A145,Enforcements!$C$7:$K$9,8,0)</f>
        <v>#N/A</v>
      </c>
      <c r="AC145" s="231" t="e">
        <f>VLOOKUP(A145,Enforcements!$C$7:$E$9,3,0)</f>
        <v>#N/A</v>
      </c>
      <c r="AD145" s="232">
        <f t="shared" si="84"/>
        <v>230</v>
      </c>
      <c r="AE145" s="233" t="str">
        <f t="shared" si="85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145" s="234" t="str">
        <f t="shared" si="86"/>
        <v>"C:\Program Files (x86)\AstroGrep\AstroGrep.exe" /e /r /s /spath="%USERPROFILE%\AppData\Local\Temp\OnboardLogs" /stypes="app*4005*20171213*" /stext=" 05:.+((SYSTEM_STATE.+slice.+state.+changed )|(ment ac)|(multiple cpu faults)|(system.+state.+changed )|(\[timeout)|(PRM\|1\|D)|(kpr)|(kdp)|(train st.+moving)|(\|lc)|(penalty))"</v>
      </c>
      <c r="AG145" s="226" t="str">
        <f t="shared" si="87"/>
        <v>EC</v>
      </c>
      <c r="AH145" s="189" t="str">
        <f t="shared" ref="AH145:AH207" si="89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230-12 --locoid 4005 --swversion DE.1.0.9.0 --startMP 204:232926 --initTime 2017-12-12T21:51:12 --startdatetime 2017-12-12T21:57:19 --delay 103 --endMP 204:252 --enddatetime 2017-12-12T22:35:19 --enforcementcount 0 &gt;&gt;%USERPROFILE%\Documents\GitHub\eaglep3-reporting\EC\2017-12-12-refined-times.txt</v>
      </c>
      <c r="AI145" s="191" t="str">
        <f t="shared" ref="AI145:AI207" si="90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{"issue":{"subject":"","project_id":79,"tracker_id":40,"status_id":1,"priority_id":2,"assigned_to_id":338,"start_date":"2017-12-12","description":"","custom_fields":[{"id":1,"name":"Subdivision","value":"EC"},{"id":4,"name":"Milepost","value":"0.0252"},{"id":17,"name":"Train ID","value":"230-12"},{"id":16,"name":"Locomotive ID","value":"4005"},{"id":130,"name":"Impact","value":""},{"id":150,"name":"Time of Event (Mountain Time)","value":"22:35:19"},{"id":151,"name":"Denver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180"/>
      <c r="AK145" s="188"/>
      <c r="AL145" s="188"/>
      <c r="AM145" s="193" t="str">
        <f t="shared" ref="AM145:AM207" si="91">"start /low /b "&amp;dls3logs&amp;" --loco "&amp;B145&amp;" --day "&amp;TEXT(F145,"YYYY-MM-DD")</f>
        <v>start /low /b %USERPROFILE%\Documents\GitHub\eaglep3\Utilities\DownloadLogsFromS3.py --loco 4005 --day 2017-12-12</v>
      </c>
      <c r="AN145" s="194" t="str">
        <f t="shared" ref="AN145:AN207" si="92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87" t="str">
        <f t="shared" ref="AO145:AO207" si="93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-12T20:51:12-0700',mode:absolute,to:'2017-12-12T23:35:19-0700'))&amp;_a=(columns:!('Message%20ID',Summary),filters:!(),index:'emp_*',interval:auto,query:(query_string:(analyze_wildcard:!t,query:'%22rtdc.l.rtdc.4005%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180" customFormat="1" x14ac:dyDescent="0.25">
      <c r="A146" s="186" t="s">
        <v>877</v>
      </c>
      <c r="B146" s="182">
        <v>4012</v>
      </c>
      <c r="C146" s="184" t="s">
        <v>192</v>
      </c>
      <c r="D146" s="184" t="s">
        <v>998</v>
      </c>
      <c r="E146" s="183">
        <v>43081.883645833332</v>
      </c>
      <c r="F146" s="183">
        <v>43081.896053240744</v>
      </c>
      <c r="G146" s="182">
        <v>84</v>
      </c>
      <c r="H146" s="184" t="s">
        <v>504</v>
      </c>
      <c r="I146" s="183">
        <v>43081.920416666668</v>
      </c>
      <c r="J146" s="182">
        <v>0</v>
      </c>
      <c r="K146" s="190" t="str">
        <f t="shared" si="79"/>
        <v>4011/4012</v>
      </c>
      <c r="L146" s="196" t="str">
        <f>VLOOKUP(A146,'Trips&amp;Operators'!$C$1:$G$99911,5,FALSE)</f>
        <v>LOZA FIDEL</v>
      </c>
      <c r="M146" s="181">
        <f t="shared" si="80"/>
        <v>2.4363425924093463E-2</v>
      </c>
      <c r="N146" s="182">
        <f t="shared" si="88"/>
        <v>35.083333330694586</v>
      </c>
      <c r="O146" s="182"/>
      <c r="P146" s="182"/>
      <c r="Q146" s="185"/>
      <c r="R146" s="197"/>
      <c r="S146" s="241">
        <f t="shared" si="78"/>
        <v>1</v>
      </c>
      <c r="T146" s="220" t="str">
        <f t="shared" si="81"/>
        <v>NorthBound</v>
      </c>
      <c r="U146" s="22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21" t="str">
        <f t="shared" si="82"/>
        <v>https://d0f6bd738d7f1b3e5a7ca70fe4ff75f0.us-east-1.aws.found.io/app/kibana#/discover/Steve-Slow-Train-Analysis-(2080s-and-2083s)?_g=(refreshInterval:(display:Off,pause:!f,section:0,value:0),time:(from:'2017-12-12T20:12:27-0700',mode:absolute,to:'2017-12-12T23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222" t="str">
        <f>IF(AA146&lt;VLOOKUP(AG146,Variables!$AC$3:$AD$8,2,FALSE),"Y","N")</f>
        <v>N</v>
      </c>
      <c r="X146" s="222">
        <f t="shared" si="77"/>
        <v>1</v>
      </c>
      <c r="Y146" s="222">
        <f t="shared" si="75"/>
        <v>5.6000000000000001E-2</v>
      </c>
      <c r="Z146" s="222">
        <f t="shared" si="76"/>
        <v>23.325099999999999</v>
      </c>
      <c r="AA146" s="222">
        <f t="shared" si="83"/>
        <v>23.269099999999998</v>
      </c>
      <c r="AB146" s="231" t="e">
        <f>VLOOKUP(A146,Enforcements!$C$7:$K$9,8,0)</f>
        <v>#N/A</v>
      </c>
      <c r="AC146" s="231" t="e">
        <f>VLOOKUP(A146,Enforcements!$C$7:$E$9,3,0)</f>
        <v>#N/A</v>
      </c>
      <c r="AD146" s="232">
        <f t="shared" si="84"/>
        <v>231</v>
      </c>
      <c r="AE146" s="233" t="str">
        <f t="shared" si="85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146" s="234" t="str">
        <f t="shared" si="86"/>
        <v>"C:\Program Files (x86)\AstroGrep\AstroGrep.exe" /e /r /s /spath="%USERPROFILE%\AppData\Local\Temp\OnboardLogs" /stypes="app*4012*20171213*" /stext=" 05:.+((SYSTEM_STATE.+slice.+state.+changed )|(ment ac)|(multiple cpu faults)|(system.+state.+changed )|(\[timeout)|(PRM\|1\|D)|(kpr)|(kdp)|(train st.+moving)|(\|lc)|(penalty))"</v>
      </c>
      <c r="AG146" s="226" t="str">
        <f t="shared" si="87"/>
        <v>EC</v>
      </c>
      <c r="AH146" s="189" t="str">
        <f t="shared" si="89"/>
        <v>"%USERPROFILE%\Documents\GitHub\eaglep3\Utilities\RefineRTDCRunTimes.py" --tripid 231-12 --locoid 4012 --swversion DE.1.0.9.0 --startMP 204:560 --initTime 2017-12-12T21:12:27 --startdatetime 2017-12-12T21:30:19 --delay 84 --endMP 204:233251 --enddatetime 2017-12-12T22:05:24 --enforcementcount 0 &gt;&gt;%USERPROFILE%\Documents\GitHub\eaglep3-reporting\EC\2017-12-12-refined-times.txt</v>
      </c>
      <c r="AI146" s="191" t="str">
        <f t="shared" si="90"/>
        <v>echo {"issue":{"subject":"","project_id":79,"tracker_id":40,"status_id":1,"priority_id":2,"assigned_to_id":338,"start_date":"2017-12-12","description":"","custom_fields":[{"id":1,"name":"Subdivision","value":"EC"},{"id":4,"name":"Milepost","value":"23.3251"},{"id":17,"name":"Train ID","value":"231-12"},{"id":16,"name":"Locomotive ID","value":"4012"},{"id":130,"name":"Impact","value":""},{"id":150,"name":"Time of Event (Mountain Time)","value":"22:05:24"},{"id":151,"name":"Denver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188"/>
      <c r="AL146" s="188"/>
      <c r="AM146" s="193" t="str">
        <f t="shared" si="91"/>
        <v>start /low /b %USERPROFILE%\Documents\GitHub\eaglep3\Utilities\DownloadLogsFromS3.py --loco 4012 --day 2017-12-12</v>
      </c>
      <c r="AN146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05:05:24"},{"id":29,"name":"Sharepoint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87" t="str">
        <f t="shared" si="93"/>
        <v>https://d0f6bd738d7f1b3e5a7ca70fe4ff75f0.us-east-1.aws.found.io/app/kibana#/discover/Steve-Slow-Train-Analysis-(2080s-and-2083s)?_g=(refreshInterval:(display:Off,pause:!f,section:0,value:0),time:(from:'2017-12-12T20:12:27-0700',mode:absolute,to:'2017-12-12T23:05:24-0700'))&amp;_a=(columns:!('Message%20ID',Summary),filters:!(),index:'emp_*',interval:auto,query:(query_string:(analyze_wildcard:!t,query:'%22rtdc.l.rtdc.4012%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180" customFormat="1" x14ac:dyDescent="0.25">
      <c r="A147" s="186" t="s">
        <v>882</v>
      </c>
      <c r="B147" s="182">
        <v>4011</v>
      </c>
      <c r="C147" s="184" t="s">
        <v>192</v>
      </c>
      <c r="D147" s="184" t="s">
        <v>645</v>
      </c>
      <c r="E147" s="183">
        <v>43081.932268518518</v>
      </c>
      <c r="F147" s="183">
        <v>43081.936006944445</v>
      </c>
      <c r="G147" s="182">
        <v>68</v>
      </c>
      <c r="H147" s="184" t="s">
        <v>993</v>
      </c>
      <c r="I147" s="183">
        <v>43081.962280092594</v>
      </c>
      <c r="J147" s="182">
        <v>0</v>
      </c>
      <c r="K147" s="190" t="str">
        <f t="shared" si="79"/>
        <v>4011/4012</v>
      </c>
      <c r="L147" s="196" t="str">
        <f>VLOOKUP(A147,'Trips&amp;Operators'!$C$1:$G$99911,5,FALSE)</f>
        <v>LORI SANTOS</v>
      </c>
      <c r="M147" s="181">
        <f t="shared" si="80"/>
        <v>2.6273148148902692E-2</v>
      </c>
      <c r="N147" s="182">
        <f t="shared" si="88"/>
        <v>37.833333334419876</v>
      </c>
      <c r="O147" s="182"/>
      <c r="P147" s="182"/>
      <c r="Q147" s="185"/>
      <c r="R147" s="197"/>
      <c r="S147" s="241">
        <f t="shared" si="78"/>
        <v>1</v>
      </c>
      <c r="T147" s="220" t="str">
        <f t="shared" si="81"/>
        <v>Southbound</v>
      </c>
      <c r="U147" s="22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1" t="str">
        <f t="shared" si="82"/>
        <v>https://d0f6bd738d7f1b3e5a7ca70fe4ff75f0.us-east-1.aws.found.io/app/kibana#/discover/Steve-Slow-Train-Analysis-(2080s-and-2083s)?_g=(refreshInterval:(display:Off,pause:!f,section:0,value:0),time:(from:'2017-12-12T21:22:28-0700',mode:absolute,to:'2017-12-13T00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222" t="str">
        <f>IF(AA147&lt;VLOOKUP(AG147,Variables!$AC$3:$AD$8,2,FALSE),"Y","N")</f>
        <v>N</v>
      </c>
      <c r="X147" s="222">
        <f t="shared" si="77"/>
        <v>1</v>
      </c>
      <c r="Y147" s="222">
        <f t="shared" si="75"/>
        <v>23.294499999999999</v>
      </c>
      <c r="Z147" s="222">
        <f t="shared" si="76"/>
        <v>2.5600000000000001E-2</v>
      </c>
      <c r="AA147" s="222">
        <f t="shared" si="83"/>
        <v>23.268899999999999</v>
      </c>
      <c r="AB147" s="231" t="e">
        <f>VLOOKUP(A147,Enforcements!$C$7:$K$9,8,0)</f>
        <v>#N/A</v>
      </c>
      <c r="AC147" s="231" t="e">
        <f>VLOOKUP(A147,Enforcements!$C$7:$E$9,3,0)</f>
        <v>#N/A</v>
      </c>
      <c r="AD147" s="232">
        <f t="shared" si="84"/>
        <v>232</v>
      </c>
      <c r="AE147" s="233" t="str">
        <f t="shared" si="85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147" s="234" t="str">
        <f t="shared" si="86"/>
        <v>"C:\Program Files (x86)\AstroGrep\AstroGrep.exe" /e /r /s /spath="%USERPROFILE%\AppData\Local\Temp\OnboardLogs" /stypes="app*4011*20171213*" /stext=" 06:.+((SYSTEM_STATE.+slice.+state.+changed )|(ment ac)|(multiple cpu faults)|(system.+state.+changed )|(\[timeout)|(PRM\|1\|D)|(kpr)|(kdp)|(train st.+moving)|(\|lc)|(penalty))"</v>
      </c>
      <c r="AG147" s="226" t="str">
        <f t="shared" si="87"/>
        <v>EC</v>
      </c>
      <c r="AH147" s="189" t="str">
        <f t="shared" si="89"/>
        <v>"%USERPROFILE%\Documents\GitHub\eaglep3\Utilities\RefineRTDCRunTimes.py" --tripid 232-12 --locoid 4011 --swversion DE.1.0.9.0 --startMP 204:232945 --initTime 2017-12-12T22:22:28 --startdatetime 2017-12-12T22:27:51 --delay 68 --endMP 204:256 --enddatetime 2017-12-12T23:05:41 --enforcementcount 0 &gt;&gt;%USERPROFILE%\Documents\GitHub\eaglep3-reporting\EC\2017-12-12-refined-times.txt</v>
      </c>
      <c r="AI147" s="191" t="str">
        <f t="shared" si="90"/>
        <v>echo {"issue":{"subject":"","project_id":79,"tracker_id":40,"status_id":1,"priority_id":2,"assigned_to_id":338,"start_date":"2017-12-12","description":"","custom_fields":[{"id":1,"name":"Subdivision","value":"EC"},{"id":4,"name":"Milepost","value":"0.0256"},{"id":17,"name":"Train ID","value":"232-12"},{"id":16,"name":"Locomotive ID","value":"4011"},{"id":130,"name":"Impact","value":""},{"id":150,"name":"Time of Event (Mountain Time)","value":"23:05:41"},{"id":151,"name":"Denver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188"/>
      <c r="AL147" s="188"/>
      <c r="AM147" s="193" t="str">
        <f t="shared" si="91"/>
        <v>start /low /b %USERPROFILE%\Documents\GitHub\eaglep3\Utilities\DownloadLogsFromS3.py --loco 4011 --day 2017-12-12</v>
      </c>
      <c r="AN147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06:05:41"},{"id":29,"name":"Sharepoint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87" t="str">
        <f t="shared" si="93"/>
        <v>https://d0f6bd738d7f1b3e5a7ca70fe4ff75f0.us-east-1.aws.found.io/app/kibana#/discover/Steve-Slow-Train-Analysis-(2080s-and-2083s)?_g=(refreshInterval:(display:Off,pause:!f,section:0,value:0),time:(from:'2017-12-12T21:22:28-0700',mode:absolute,to:'2017-12-13T00:05:41-0700'))&amp;_a=(columns:!('Message%20ID',Summary),filters:!(),index:'emp_*',interval:auto,query:(query_string:(analyze_wildcard:!t,query:'%22rtdc.l.rtdc.4011%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186" t="s">
        <v>880</v>
      </c>
      <c r="B148" s="182">
        <v>4030</v>
      </c>
      <c r="C148" s="184" t="s">
        <v>192</v>
      </c>
      <c r="D148" s="184" t="s">
        <v>999</v>
      </c>
      <c r="E148" s="183">
        <v>43081.911006944443</v>
      </c>
      <c r="F148" s="183">
        <v>43081.916921296295</v>
      </c>
      <c r="G148" s="182">
        <v>65</v>
      </c>
      <c r="H148" s="184" t="s">
        <v>1000</v>
      </c>
      <c r="I148" s="183">
        <v>43081.942106481481</v>
      </c>
      <c r="J148" s="182">
        <v>0</v>
      </c>
      <c r="K148" s="190" t="str">
        <f t="shared" si="79"/>
        <v>4029/4030</v>
      </c>
      <c r="L148" s="196" t="str">
        <f>VLOOKUP(A148,'Trips&amp;Operators'!$C$1:$G$99911,5,FALSE)</f>
        <v>NICHOLSON WESLEY</v>
      </c>
      <c r="M148" s="181">
        <f t="shared" si="80"/>
        <v>2.5185185186273884E-2</v>
      </c>
      <c r="N148" s="182">
        <f t="shared" si="88"/>
        <v>36.266666668234393</v>
      </c>
      <c r="O148" s="182"/>
      <c r="P148" s="182"/>
      <c r="Q148" s="185"/>
      <c r="R148" s="197"/>
      <c r="S148" s="241">
        <f t="shared" si="78"/>
        <v>1</v>
      </c>
      <c r="T148" s="220" t="str">
        <f t="shared" si="81"/>
        <v>NorthBound</v>
      </c>
      <c r="U148" s="22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1" t="str">
        <f t="shared" si="82"/>
        <v>https://d0f6bd738d7f1b3e5a7ca70fe4ff75f0.us-east-1.aws.found.io/app/kibana#/discover/Steve-Slow-Train-Analysis-(2080s-and-2083s)?_g=(refreshInterval:(display:Off,pause:!f,section:0,value:0),time:(from:'2017-12-12T20:51:51-0700',mode:absolute,to:'2017-12-12T23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222" t="str">
        <f>IF(AA148&lt;VLOOKUP(AG148,Variables!$AC$3:$AD$8,2,FALSE),"Y","N")</f>
        <v>N</v>
      </c>
      <c r="X148" s="222">
        <f t="shared" si="77"/>
        <v>1</v>
      </c>
      <c r="Y148" s="222">
        <f t="shared" ref="Y148:Y179" si="94">RIGHT(D148,LEN(D148)-4)/10000</f>
        <v>5.5300000000000002E-2</v>
      </c>
      <c r="Z148" s="222">
        <f t="shared" ref="Z148:Z179" si="95">RIGHT(H148,LEN(H148)-4)/10000</f>
        <v>23.316299999999998</v>
      </c>
      <c r="AA148" s="222">
        <f t="shared" si="83"/>
        <v>23.260999999999999</v>
      </c>
      <c r="AB148" s="231" t="e">
        <f>VLOOKUP(A148,Enforcements!$C$7:$K$9,8,0)</f>
        <v>#N/A</v>
      </c>
      <c r="AC148" s="231" t="e">
        <f>VLOOKUP(A148,Enforcements!$C$7:$E$9,3,0)</f>
        <v>#N/A</v>
      </c>
      <c r="AD148" s="232">
        <f t="shared" si="84"/>
        <v>233</v>
      </c>
      <c r="AE148" s="233" t="str">
        <f t="shared" si="85"/>
        <v>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 &amp; 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</v>
      </c>
      <c r="AF148" s="234" t="str">
        <f t="shared" si="86"/>
        <v>"C:\Program Files (x86)\AstroGrep\AstroGrep.exe" /e /r /s /spath="%USERPROFILE%\AppData\Local\Temp\OnboardLogs" /stypes="app*4030*20171213*" /stext=" 05:.+((SYSTEM_STATE.+slice.+state.+changed )|(ment ac)|(multiple cpu faults)|(system.+state.+changed )|(\[timeout)|(PRM\|1\|D)|(kpr)|(kdp)|(train st.+moving)|(\|lc)|(penalty))"</v>
      </c>
      <c r="AG148" s="226" t="str">
        <f t="shared" si="87"/>
        <v>EC</v>
      </c>
      <c r="AH148" s="189" t="str">
        <f t="shared" si="89"/>
        <v>"%USERPROFILE%\Documents\GitHub\eaglep3\Utilities\RefineRTDCRunTimes.py" --tripid 233-12 --locoid 4030 --swversion DE.1.0.9.0 --startMP 204:553 --initTime 2017-12-12T21:51:51 --startdatetime 2017-12-12T22:00:22 --delay 65 --endMP 204:233163 --enddatetime 2017-12-12T22:36:38 --enforcementcount 0 &gt;&gt;%USERPROFILE%\Documents\GitHub\eaglep3-reporting\EC\2017-12-12-refined-times.txt</v>
      </c>
      <c r="AI148" s="191" t="str">
        <f t="shared" si="90"/>
        <v>echo {"issue":{"subject":"","project_id":79,"tracker_id":40,"status_id":1,"priority_id":2,"assigned_to_id":338,"start_date":"2017-12-12","description":"","custom_fields":[{"id":1,"name":"Subdivision","value":"EC"},{"id":4,"name":"Milepost","value":"23.3163"},{"id":17,"name":"Train ID","value":"233-12"},{"id":16,"name":"Locomotive ID","value":"4030"},{"id":130,"name":"Impact","value":""},{"id":150,"name":"Time of Event (Mountain Time)","value":"22:36:38"},{"id":151,"name":"Denver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180"/>
      <c r="AK148" s="188"/>
      <c r="AL148" s="188"/>
      <c r="AM148" s="193" t="str">
        <f t="shared" si="91"/>
        <v>start /low /b %USERPROFILE%\Documents\GitHub\eaglep3\Utilities\DownloadLogsFromS3.py --loco 4030 --day 2017-12-12</v>
      </c>
      <c r="AN148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87" t="str">
        <f t="shared" si="93"/>
        <v>https://d0f6bd738d7f1b3e5a7ca70fe4ff75f0.us-east-1.aws.found.io/app/kibana#/discover/Steve-Slow-Train-Analysis-(2080s-and-2083s)?_g=(refreshInterval:(display:Off,pause:!f,section:0,value:0),time:(from:'2017-12-12T20:51:51-0700',mode:absolute,to:'2017-12-12T23:36:38-0700'))&amp;_a=(columns:!('Message%20ID',Summary),filters:!(),index:'emp_*',interval:auto,query:(query_string:(analyze_wildcard:!t,query:'%22rtdc.l.rtdc.4030%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186" t="s">
        <v>885</v>
      </c>
      <c r="B149" s="182">
        <v>4029</v>
      </c>
      <c r="C149" s="184" t="s">
        <v>192</v>
      </c>
      <c r="D149" s="184" t="s">
        <v>1001</v>
      </c>
      <c r="E149" s="183">
        <v>43081.948344907411</v>
      </c>
      <c r="F149" s="183">
        <v>43081.956817129627</v>
      </c>
      <c r="G149" s="182">
        <v>77</v>
      </c>
      <c r="H149" s="184" t="s">
        <v>503</v>
      </c>
      <c r="I149" s="183">
        <v>43081.984594907408</v>
      </c>
      <c r="J149" s="182">
        <v>0</v>
      </c>
      <c r="K149" s="190" t="str">
        <f t="shared" si="79"/>
        <v>4029/4030</v>
      </c>
      <c r="L149" s="196" t="str">
        <f>VLOOKUP(A149,'Trips&amp;Operators'!$C$1:$G$99911,5,FALSE)</f>
        <v>NICHOLSON WESLEY</v>
      </c>
      <c r="M149" s="181">
        <f t="shared" si="80"/>
        <v>2.7777777781011537E-2</v>
      </c>
      <c r="N149" s="182">
        <f t="shared" si="88"/>
        <v>40.000000004656613</v>
      </c>
      <c r="O149" s="182"/>
      <c r="P149" s="182"/>
      <c r="Q149" s="185"/>
      <c r="R149" s="197"/>
      <c r="S149" s="241">
        <f t="shared" si="78"/>
        <v>1</v>
      </c>
      <c r="T149" s="220" t="str">
        <f t="shared" si="81"/>
        <v>Southbound</v>
      </c>
      <c r="U149" s="22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1" t="str">
        <f t="shared" si="82"/>
        <v>https://d0f6bd738d7f1b3e5a7ca70fe4ff75f0.us-east-1.aws.found.io/app/kibana#/discover/Steve-Slow-Train-Analysis-(2080s-and-2083s)?_g=(refreshInterval:(display:Off,pause:!f,section:0,value:0),time:(from:'2017-12-12T21:45:37-0700',mode:absolute,to:'2017-12-13T00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222" t="str">
        <f>IF(AA149&lt;VLOOKUP(AG149,Variables!$AC$3:$AD$8,2,FALSE),"Y","N")</f>
        <v>N</v>
      </c>
      <c r="X149" s="222">
        <f t="shared" ref="X149:X156" si="96">VALUE(LEFT(AD149,4))-VALUE(LEFT(AD148,4))</f>
        <v>1</v>
      </c>
      <c r="Y149" s="222">
        <f t="shared" si="94"/>
        <v>23.285</v>
      </c>
      <c r="Z149" s="222">
        <f t="shared" si="95"/>
        <v>2.4299999999999999E-2</v>
      </c>
      <c r="AA149" s="222">
        <f t="shared" si="83"/>
        <v>23.2607</v>
      </c>
      <c r="AB149" s="231" t="e">
        <f>VLOOKUP(A149,Enforcements!$C$7:$K$9,8,0)</f>
        <v>#N/A</v>
      </c>
      <c r="AC149" s="231" t="e">
        <f>VLOOKUP(A149,Enforcements!$C$7:$E$9,3,0)</f>
        <v>#N/A</v>
      </c>
      <c r="AD149" s="232">
        <f t="shared" si="84"/>
        <v>234</v>
      </c>
      <c r="AE149" s="233" t="str">
        <f t="shared" si="85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149" s="234" t="str">
        <f t="shared" si="86"/>
        <v>"C:\Program Files (x86)\AstroGrep\AstroGrep.exe" /e /r /s /spath="%USERPROFILE%\AppData\Local\Temp\OnboardLogs" /stypes="app*4029*20171213*" /stext=" 06:.+((SYSTEM_STATE.+slice.+state.+changed )|(ment ac)|(multiple cpu faults)|(system.+state.+changed )|(\[timeout)|(PRM\|1\|D)|(kpr)|(kdp)|(train st.+moving)|(\|lc)|(penalty))"</v>
      </c>
      <c r="AG149" s="226" t="str">
        <f t="shared" si="87"/>
        <v>EC</v>
      </c>
      <c r="AH149" s="189" t="str">
        <f t="shared" si="89"/>
        <v>"%USERPROFILE%\Documents\GitHub\eaglep3\Utilities\RefineRTDCRunTimes.py" --tripid 234-12 --locoid 4029 --swversion DE.1.0.9.0 --startMP 204:232850 --initTime 2017-12-12T22:45:37 --startdatetime 2017-12-12T22:57:49 --delay 77 --endMP 204:243 --enddatetime 2017-12-12T23:37:49 --enforcementcount 0 &gt;&gt;%USERPROFILE%\Documents\GitHub\eaglep3-reporting\EC\2017-12-12-refined-times.txt</v>
      </c>
      <c r="AI149" s="191" t="str">
        <f t="shared" si="90"/>
        <v>echo {"issue":{"subject":"","project_id":79,"tracker_id":40,"status_id":1,"priority_id":2,"assigned_to_id":338,"start_date":"2017-12-12","description":"","custom_fields":[{"id":1,"name":"Subdivision","value":"EC"},{"id":4,"name":"Milepost","value":"0.0243"},{"id":17,"name":"Train ID","value":"234-12"},{"id":16,"name":"Locomotive ID","value":"4029"},{"id":130,"name":"Impact","value":""},{"id":150,"name":"Time of Event (Mountain Time)","value":"23:37:49"},{"id":151,"name":"Denver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180"/>
      <c r="AK149" s="188"/>
      <c r="AL149" s="188"/>
      <c r="AM149" s="193" t="str">
        <f t="shared" si="91"/>
        <v>start /low /b %USERPROFILE%\Documents\GitHub\eaglep3\Utilities\DownloadLogsFromS3.py --loco 4029 --day 2017-12-12</v>
      </c>
      <c r="AN149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87" t="str">
        <f t="shared" si="93"/>
        <v>https://d0f6bd738d7f1b3e5a7ca70fe4ff75f0.us-east-1.aws.found.io/app/kibana#/discover/Steve-Slow-Train-Analysis-(2080s-and-2083s)?_g=(refreshInterval:(display:Off,pause:!f,section:0,value:0),time:(from:'2017-12-12T21:45:37-0700',mode:absolute,to:'2017-12-13T00:37:49-0700'))&amp;_a=(columns:!('Message%20ID',Summary),filters:!(),index:'emp_*',interval:auto,query:(query_string:(analyze_wildcard:!t,query:'%22rtdc.l.rtdc.4029%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186" t="s">
        <v>884</v>
      </c>
      <c r="B150" s="182">
        <v>4016</v>
      </c>
      <c r="C150" s="184" t="s">
        <v>192</v>
      </c>
      <c r="D150" s="184" t="s">
        <v>948</v>
      </c>
      <c r="E150" s="183">
        <v>43081.935520833336</v>
      </c>
      <c r="F150" s="183">
        <v>43081.938078703701</v>
      </c>
      <c r="G150" s="182">
        <v>77</v>
      </c>
      <c r="H150" s="184" t="s">
        <v>649</v>
      </c>
      <c r="I150" s="183">
        <v>43081.963310185187</v>
      </c>
      <c r="J150" s="182">
        <v>0</v>
      </c>
      <c r="K150" s="190" t="str">
        <f t="shared" si="79"/>
        <v>4015/4016</v>
      </c>
      <c r="L150" s="196" t="str">
        <f>VLOOKUP(A150,'Trips&amp;Operators'!$C$1:$G$99911,5,FALSE)</f>
        <v>ANDERS STEVEN</v>
      </c>
      <c r="M150" s="181">
        <f t="shared" si="80"/>
        <v>2.5231481486116536E-2</v>
      </c>
      <c r="N150" s="182">
        <f t="shared" si="88"/>
        <v>36.333333340007812</v>
      </c>
      <c r="O150" s="182"/>
      <c r="P150" s="182"/>
      <c r="Q150" s="185"/>
      <c r="R150" s="197"/>
      <c r="S150" s="241">
        <f t="shared" si="78"/>
        <v>1</v>
      </c>
      <c r="T150" s="220" t="str">
        <f t="shared" si="81"/>
        <v>NorthBound</v>
      </c>
      <c r="U150" s="22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21" t="str">
        <f t="shared" si="82"/>
        <v>https://d0f6bd738d7f1b3e5a7ca70fe4ff75f0.us-east-1.aws.found.io/app/kibana#/discover/Steve-Slow-Train-Analysis-(2080s-and-2083s)?_g=(refreshInterval:(display:Off,pause:!f,section:0,value:0),time:(from:'2017-12-12T21:27:09-0700',mode:absolute,to:'2017-12-13T00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222" t="str">
        <f>IF(AA150&lt;VLOOKUP(AG150,Variables!$AC$3:$AD$8,2,FALSE),"Y","N")</f>
        <v>N</v>
      </c>
      <c r="X150" s="222">
        <f t="shared" si="96"/>
        <v>1</v>
      </c>
      <c r="Y150" s="222">
        <f t="shared" si="94"/>
        <v>5.0799999999999998E-2</v>
      </c>
      <c r="Z150" s="222">
        <f t="shared" si="95"/>
        <v>23.329799999999999</v>
      </c>
      <c r="AA150" s="222">
        <f t="shared" si="83"/>
        <v>23.279</v>
      </c>
      <c r="AB150" s="231" t="e">
        <f>VLOOKUP(A150,Enforcements!$C$7:$K$9,8,0)</f>
        <v>#N/A</v>
      </c>
      <c r="AC150" s="231" t="e">
        <f>VLOOKUP(A150,Enforcements!$C$7:$E$9,3,0)</f>
        <v>#N/A</v>
      </c>
      <c r="AD150" s="232">
        <f t="shared" si="84"/>
        <v>235</v>
      </c>
      <c r="AE150" s="233" t="str">
        <f t="shared" si="85"/>
        <v>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 &amp; 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</v>
      </c>
      <c r="AF150" s="234" t="str">
        <f t="shared" si="86"/>
        <v>"C:\Program Files (x86)\AstroGrep\AstroGrep.exe" /e /r /s /spath="%USERPROFILE%\AppData\Local\Temp\OnboardLogs" /stypes="app*4016*20171213*" /stext=" 06:.+((SYSTEM_STATE.+slice.+state.+changed )|(ment ac)|(multiple cpu faults)|(system.+state.+changed )|(\[timeout)|(PRM\|1\|D)|(kpr)|(kdp)|(train st.+moving)|(\|lc)|(penalty))"</v>
      </c>
      <c r="AG150" s="226" t="str">
        <f t="shared" si="87"/>
        <v>EC</v>
      </c>
      <c r="AH150" s="189" t="str">
        <f t="shared" si="89"/>
        <v>"%USERPROFILE%\Documents\GitHub\eaglep3\Utilities\RefineRTDCRunTimes.py" --tripid 235-12 --locoid 4016 --swversion DE.1.0.9.0 --startMP 204:508 --initTime 2017-12-12T22:27:09 --startdatetime 2017-12-12T22:30:50 --delay 77 --endMP 204:233298 --enddatetime 2017-12-12T23:07:10 --enforcementcount 0 &gt;&gt;%USERPROFILE%\Documents\GitHub\eaglep3-reporting\EC\2017-12-12-refined-times.txt</v>
      </c>
      <c r="AI150" s="191" t="str">
        <f t="shared" si="90"/>
        <v>echo {"issue":{"subject":"","project_id":79,"tracker_id":40,"status_id":1,"priority_id":2,"assigned_to_id":338,"start_date":"2017-12-12","description":"","custom_fields":[{"id":1,"name":"Subdivision","value":"EC"},{"id":4,"name":"Milepost","value":"23.3298"},{"id":17,"name":"Train ID","value":"235-12"},{"id":16,"name":"Locomotive ID","value":"4016"},{"id":130,"name":"Impact","value":""},{"id":150,"name":"Time of Event (Mountain Time)","value":"23:07:10"},{"id":151,"name":"Denver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180"/>
      <c r="AK150" s="188"/>
      <c r="AL150" s="188"/>
      <c r="AM150" s="193" t="str">
        <f t="shared" si="91"/>
        <v>start /low /b %USERPROFILE%\Documents\GitHub\eaglep3\Utilities\DownloadLogsFromS3.py --loco 4016 --day 2017-12-12</v>
      </c>
      <c r="AN150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06:07:10"},{"id":29,"name":"Sharepoint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87" t="str">
        <f t="shared" si="93"/>
        <v>https://d0f6bd738d7f1b3e5a7ca70fe4ff75f0.us-east-1.aws.found.io/app/kibana#/discover/Steve-Slow-Train-Analysis-(2080s-and-2083s)?_g=(refreshInterval:(display:Off,pause:!f,section:0,value:0),time:(from:'2017-12-12T21:27:09-0700',mode:absolute,to:'2017-12-13T00:07:10-0700'))&amp;_a=(columns:!('Message%20ID',Summary),filters:!(),index:'emp_*',interval:auto,query:(query_string:(analyze_wildcard:!t,query:'%22rtdc.l.rtdc.4016%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180" customFormat="1" x14ac:dyDescent="0.25">
      <c r="A151" s="186" t="s">
        <v>889</v>
      </c>
      <c r="B151" s="182">
        <v>4015</v>
      </c>
      <c r="C151" s="184" t="s">
        <v>192</v>
      </c>
      <c r="D151" s="184" t="s">
        <v>633</v>
      </c>
      <c r="E151" s="183">
        <v>43081.976203703707</v>
      </c>
      <c r="F151" s="183">
        <v>43081.977534722224</v>
      </c>
      <c r="G151" s="182">
        <v>53</v>
      </c>
      <c r="H151" s="184" t="s">
        <v>967</v>
      </c>
      <c r="I151" s="183">
        <v>43082.004537037035</v>
      </c>
      <c r="J151" s="182">
        <v>0</v>
      </c>
      <c r="K151" s="190" t="str">
        <f t="shared" si="79"/>
        <v>4015/4016</v>
      </c>
      <c r="L151" s="196" t="str">
        <f>VLOOKUP(A151,'Trips&amp;Operators'!$C$1:$G$99911,5,FALSE)</f>
        <v>ANDERS STEVEN</v>
      </c>
      <c r="M151" s="181">
        <f t="shared" si="80"/>
        <v>2.700231481139781E-2</v>
      </c>
      <c r="N151" s="182">
        <f t="shared" si="88"/>
        <v>38.883333328412846</v>
      </c>
      <c r="O151" s="182"/>
      <c r="P151" s="182"/>
      <c r="Q151" s="185"/>
      <c r="R151" s="197"/>
      <c r="S151" s="241">
        <f t="shared" si="78"/>
        <v>1</v>
      </c>
      <c r="T151" s="220" t="str">
        <f t="shared" si="81"/>
        <v>Southbound</v>
      </c>
      <c r="U151" s="22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1" t="str">
        <f t="shared" si="82"/>
        <v>https://d0f6bd738d7f1b3e5a7ca70fe4ff75f0.us-east-1.aws.found.io/app/kibana#/discover/Steve-Slow-Train-Analysis-(2080s-and-2083s)?_g=(refreshInterval:(display:Off,pause:!f,section:0,value:0),time:(from:'2017-12-12T22:25:44-0700',mode:absolute,to:'2017-12-13T01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222" t="str">
        <f>IF(AA151&lt;VLOOKUP(AG151,Variables!$AC$3:$AD$8,2,FALSE),"Y","N")</f>
        <v>N</v>
      </c>
      <c r="X151" s="222">
        <f t="shared" si="96"/>
        <v>1</v>
      </c>
      <c r="Y151" s="222">
        <f t="shared" si="94"/>
        <v>23.295300000000001</v>
      </c>
      <c r="Z151" s="222">
        <f t="shared" si="95"/>
        <v>2.2700000000000001E-2</v>
      </c>
      <c r="AA151" s="222">
        <f t="shared" si="83"/>
        <v>23.272600000000001</v>
      </c>
      <c r="AB151" s="231" t="e">
        <f>VLOOKUP(A151,Enforcements!$C$7:$K$9,8,0)</f>
        <v>#N/A</v>
      </c>
      <c r="AC151" s="231" t="e">
        <f>VLOOKUP(A151,Enforcements!$C$7:$E$9,3,0)</f>
        <v>#N/A</v>
      </c>
      <c r="AD151" s="232">
        <f t="shared" si="84"/>
        <v>236</v>
      </c>
      <c r="AE151" s="233" t="str">
        <f t="shared" si="85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151" s="234" t="str">
        <f t="shared" si="86"/>
        <v>"C:\Program Files (x86)\AstroGrep\AstroGrep.exe" /e /r /s /spath="%USERPROFILE%\AppData\Local\Temp\OnboardLogs" /stypes="app*4015*20171213*" /stext=" 07:.+((SYSTEM_STATE.+slice.+state.+changed )|(ment ac)|(multiple cpu faults)|(system.+state.+changed )|(\[timeout)|(PRM\|1\|D)|(kpr)|(kdp)|(train st.+moving)|(\|lc)|(penalty))"</v>
      </c>
      <c r="AG151" s="226" t="str">
        <f t="shared" si="87"/>
        <v>EC</v>
      </c>
      <c r="AH151" s="189" t="str">
        <f t="shared" si="89"/>
        <v>"%USERPROFILE%\Documents\GitHub\eaglep3\Utilities\RefineRTDCRunTimes.py" --tripid 236-12 --locoid 4015 --swversion DE.1.0.9.0 --startMP 204:232953 --initTime 2017-12-12T23:25:44 --startdatetime 2017-12-12T23:27:39 --delay 53 --endMP 204:227 --enddatetime 2017-12-13T00:06:32 --enforcementcount 0 &gt;&gt;%USERPROFILE%\Documents\GitHub\eaglep3-reporting\EC\2017-12-12-refined-times.txt</v>
      </c>
      <c r="AI151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{"issue":{"subject":"","project_id":79,"tracker_id":40,"status_id":1,"priority_id":2,"assigned_to_id":338,"start_date":"2017-12-13","description":"","custom_fields":[{"id":1,"name":"Subdivision","value":"EC"},{"id":4,"name":"Milepost","value":"0.0227"},{"id":17,"name":"Train ID","value":"236-12"},{"id":16,"name":"Locomotive ID","value":"4015"},{"id":130,"name":"Impact","value":""},{"id":150,"name":"Time of Event (Mountain Time)","value":"00:06:32"},{"id":151,"name":"Denver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188"/>
      <c r="AL151" s="188"/>
      <c r="AM151" s="193" t="str">
        <f t="shared" si="91"/>
        <v>start /low /b %USERPROFILE%\Documents\GitHub\eaglep3\Utilities\DownloadLogsFromS3.py --loco 4015 --day 2017-12-12</v>
      </c>
      <c r="AN151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07:06:32"},{"id":29,"name":"Sharepoint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87" t="str">
        <f t="shared" si="93"/>
        <v>https://d0f6bd738d7f1b3e5a7ca70fe4ff75f0.us-east-1.aws.found.io/app/kibana#/discover/Steve-Slow-Train-Analysis-(2080s-and-2083s)?_g=(refreshInterval:(display:Off,pause:!f,section:0,value:0),time:(from:'2017-12-12T22:25:44-0700',mode:absolute,to:'2017-12-13T01:06:32-0700'))&amp;_a=(columns:!('Message%20ID',Summary),filters:!(),index:'emp_*',interval:auto,query:(query_string:(analyze_wildcard:!t,query:'%22rtdc.l.rtdc.4015%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180" customFormat="1" x14ac:dyDescent="0.25">
      <c r="A152" s="186" t="s">
        <v>886</v>
      </c>
      <c r="B152" s="182">
        <v>4006</v>
      </c>
      <c r="C152" s="184" t="s">
        <v>192</v>
      </c>
      <c r="D152" s="184" t="s">
        <v>999</v>
      </c>
      <c r="E152" s="183">
        <v>43081.951608796298</v>
      </c>
      <c r="F152" s="183">
        <v>43081.958865740744</v>
      </c>
      <c r="G152" s="182">
        <v>66</v>
      </c>
      <c r="H152" s="184" t="s">
        <v>938</v>
      </c>
      <c r="I152" s="183">
        <v>43081.982141203705</v>
      </c>
      <c r="J152" s="182">
        <v>0</v>
      </c>
      <c r="K152" s="190" t="str">
        <f t="shared" si="79"/>
        <v>4005/4006</v>
      </c>
      <c r="L152" s="196" t="str">
        <f>VLOOKUP(A152,'Trips&amp;Operators'!$C$1:$G$99911,5,FALSE)</f>
        <v>RESPASS AARON</v>
      </c>
      <c r="M152" s="181">
        <f t="shared" si="80"/>
        <v>2.3275462961464655E-2</v>
      </c>
      <c r="N152" s="182">
        <f t="shared" si="88"/>
        <v>33.516666664509103</v>
      </c>
      <c r="O152" s="182"/>
      <c r="P152" s="182"/>
      <c r="Q152" s="185"/>
      <c r="R152" s="197"/>
      <c r="S152" s="241">
        <f t="shared" si="78"/>
        <v>1</v>
      </c>
      <c r="T152" s="220" t="str">
        <f t="shared" si="81"/>
        <v>NorthBound</v>
      </c>
      <c r="U152" s="22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21" t="str">
        <f t="shared" si="82"/>
        <v>https://d0f6bd738d7f1b3e5a7ca70fe4ff75f0.us-east-1.aws.found.io/app/kibana#/discover/Steve-Slow-Train-Analysis-(2080s-and-2083s)?_g=(refreshInterval:(display:Off,pause:!f,section:0,value:0),time:(from:'2017-12-12T21:50:19-0700',mode:absolute,to:'2017-12-13T00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222" t="str">
        <f>IF(AA152&lt;VLOOKUP(AG152,Variables!$AC$3:$AD$8,2,FALSE),"Y","N")</f>
        <v>N</v>
      </c>
      <c r="X152" s="222">
        <f t="shared" si="96"/>
        <v>1</v>
      </c>
      <c r="Y152" s="222">
        <f t="shared" si="94"/>
        <v>5.5300000000000002E-2</v>
      </c>
      <c r="Z152" s="222">
        <f t="shared" si="95"/>
        <v>23.324000000000002</v>
      </c>
      <c r="AA152" s="222">
        <f t="shared" si="83"/>
        <v>23.268700000000003</v>
      </c>
      <c r="AB152" s="231" t="e">
        <f>VLOOKUP(A152,Enforcements!$C$7:$K$9,8,0)</f>
        <v>#N/A</v>
      </c>
      <c r="AC152" s="231" t="e">
        <f>VLOOKUP(A152,Enforcements!$C$7:$E$9,3,0)</f>
        <v>#N/A</v>
      </c>
      <c r="AD152" s="232">
        <f t="shared" si="84"/>
        <v>237</v>
      </c>
      <c r="AE152" s="233" t="str">
        <f t="shared" si="85"/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AF152" s="234" t="str">
        <f t="shared" si="86"/>
        <v>"C:\Program Files (x86)\AstroGrep\AstroGrep.exe" /e /r /s /spath="%USERPROFILE%\AppData\Local\Temp\OnboardLogs" /stypes="app*4006*20171213*" /stext=" 06:.+((SYSTEM_STATE.+slice.+state.+changed )|(ment ac)|(multiple cpu faults)|(system.+state.+changed )|(\[timeout)|(PRM\|1\|D)|(kpr)|(kdp)|(train st.+moving)|(\|lc)|(penalty))"</v>
      </c>
      <c r="AG152" s="226" t="str">
        <f t="shared" si="87"/>
        <v>EC</v>
      </c>
      <c r="AH152" s="189" t="str">
        <f t="shared" si="89"/>
        <v>"%USERPROFILE%\Documents\GitHub\eaglep3\Utilities\RefineRTDCRunTimes.py" --tripid 237-12 --locoid 4006 --swversion DE.1.0.9.0 --startMP 204:553 --initTime 2017-12-12T22:50:19 --startdatetime 2017-12-12T23:00:46 --delay 66 --endMP 204:233240 --enddatetime 2017-12-12T23:34:17 --enforcementcount 0 &gt;&gt;%USERPROFILE%\Documents\GitHub\eaglep3-reporting\EC\2017-12-12-refined-times.txt</v>
      </c>
      <c r="AI152" s="191" t="str">
        <f t="shared" si="90"/>
        <v>echo {"issue":{"subject":"","project_id":79,"tracker_id":40,"status_id":1,"priority_id":2,"assigned_to_id":338,"start_date":"2017-12-12","description":"","custom_fields":[{"id":1,"name":"Subdivision","value":"EC"},{"id":4,"name":"Milepost","value":"23.324"},{"id":17,"name":"Train ID","value":"237-12"},{"id":16,"name":"Locomotive ID","value":"4006"},{"id":130,"name":"Impact","value":""},{"id":150,"name":"Time of Event (Mountain Time)","value":"23:34:17"},{"id":151,"name":"Denver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188"/>
      <c r="AL152" s="188"/>
      <c r="AM152" s="193" t="str">
        <f t="shared" si="91"/>
        <v>start /low /b %USERPROFILE%\Documents\GitHub\eaglep3\Utilities\DownloadLogsFromS3.py --loco 4006 --day 2017-12-12</v>
      </c>
      <c r="AN152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06:34:17"},{"id":29,"name":"Sharepoint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87" t="str">
        <f t="shared" si="93"/>
        <v>https://d0f6bd738d7f1b3e5a7ca70fe4ff75f0.us-east-1.aws.found.io/app/kibana#/discover/Steve-Slow-Train-Analysis-(2080s-and-2083s)?_g=(refreshInterval:(display:Off,pause:!f,section:0,value:0),time:(from:'2017-12-12T21:50:19-0700',mode:absolute,to:'2017-12-13T00:34:17-0700'))&amp;_a=(columns:!('Message%20ID',Summary),filters:!(),index:'emp_*',interval:auto,query:(query_string:(analyze_wildcard:!t,query:'%22rtdc.l.rtdc.4006%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180" customFormat="1" x14ac:dyDescent="0.25">
      <c r="A153" s="186" t="s">
        <v>892</v>
      </c>
      <c r="B153" s="182">
        <v>4005</v>
      </c>
      <c r="C153" s="184" t="s">
        <v>192</v>
      </c>
      <c r="D153" s="184" t="s">
        <v>583</v>
      </c>
      <c r="E153" s="183">
        <v>43081.994976851849</v>
      </c>
      <c r="F153" s="183">
        <v>43081.998124999998</v>
      </c>
      <c r="G153" s="182">
        <v>75</v>
      </c>
      <c r="H153" s="184" t="s">
        <v>579</v>
      </c>
      <c r="I153" s="183">
        <v>43082.023275462961</v>
      </c>
      <c r="J153" s="182">
        <v>0</v>
      </c>
      <c r="K153" s="190" t="str">
        <f t="shared" si="79"/>
        <v>4005/4006</v>
      </c>
      <c r="L153" s="196" t="str">
        <f>VLOOKUP(A153,'Trips&amp;Operators'!$C$1:$G$99911,5,FALSE)</f>
        <v>RESPASS AARON</v>
      </c>
      <c r="M153" s="181">
        <f t="shared" si="80"/>
        <v>2.5150462963210884E-2</v>
      </c>
      <c r="N153" s="182">
        <f t="shared" si="88"/>
        <v>36.216666667023674</v>
      </c>
      <c r="O153" s="182"/>
      <c r="P153" s="182"/>
      <c r="Q153" s="185"/>
      <c r="R153" s="197"/>
      <c r="S153" s="241">
        <f t="shared" si="78"/>
        <v>1</v>
      </c>
      <c r="T153" s="220" t="str">
        <f t="shared" si="81"/>
        <v>Southbound</v>
      </c>
      <c r="U153" s="22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21" t="str">
        <f t="shared" si="82"/>
        <v>https://d0f6bd738d7f1b3e5a7ca70fe4ff75f0.us-east-1.aws.found.io/app/kibana#/discover/Steve-Slow-Train-Analysis-(2080s-and-2083s)?_g=(refreshInterval:(display:Off,pause:!f,section:0,value:0),time:(from:'2017-12-12T22:52:46-0700',mode:absolute,to:'2017-12-13T01:33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222" t="str">
        <f>IF(AA153&lt;VLOOKUP(AG153,Variables!$AC$3:$AD$8,2,FALSE),"Y","N")</f>
        <v>N</v>
      </c>
      <c r="X153" s="222">
        <f t="shared" si="96"/>
        <v>1</v>
      </c>
      <c r="Y153" s="222">
        <f t="shared" si="94"/>
        <v>23.2925</v>
      </c>
      <c r="Z153" s="222">
        <f t="shared" si="95"/>
        <v>2.4500000000000001E-2</v>
      </c>
      <c r="AA153" s="222">
        <f t="shared" si="83"/>
        <v>23.268000000000001</v>
      </c>
      <c r="AB153" s="231" t="e">
        <f>VLOOKUP(A153,Enforcements!$C$7:$K$9,8,0)</f>
        <v>#N/A</v>
      </c>
      <c r="AC153" s="231" t="e">
        <f>VLOOKUP(A153,Enforcements!$C$7:$E$9,3,0)</f>
        <v>#N/A</v>
      </c>
      <c r="AD153" s="232">
        <f t="shared" si="84"/>
        <v>238</v>
      </c>
      <c r="AE153" s="233" t="str">
        <f t="shared" si="85"/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AF153" s="234" t="str">
        <f t="shared" si="86"/>
        <v>"C:\Program Files (x86)\AstroGrep\AstroGrep.exe" /e /r /s /spath="%USERPROFILE%\AppData\Local\Temp\OnboardLogs" /stypes="app*4005*20171213*" /stext=" 07:.+((SYSTEM_STATE.+slice.+state.+changed )|(ment ac)|(multiple cpu faults)|(system.+state.+changed )|(\[timeout)|(PRM\|1\|D)|(kpr)|(kdp)|(train st.+moving)|(\|lc)|(penalty))"</v>
      </c>
      <c r="AG153" s="226" t="str">
        <f t="shared" si="87"/>
        <v>EC</v>
      </c>
      <c r="AH153" s="189" t="str">
        <f t="shared" si="89"/>
        <v>"%USERPROFILE%\Documents\GitHub\eaglep3\Utilities\RefineRTDCRunTimes.py" --tripid 238-12 --locoid 4005 --swversion DE.1.0.9.0 --startMP 204:232925 --initTime 2017-12-12T23:52:46 --startdatetime 2017-12-12T23:57:18 --delay 75 --endMP 204:245 --enddatetime 2017-12-13T00:33:31 --enforcementcount 0 &gt;&gt;%USERPROFILE%\Documents\GitHub\eaglep3-reporting\EC\2017-12-12-refined-times.txt</v>
      </c>
      <c r="AI153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{"issue":{"subject":"","project_id":79,"tracker_id":40,"status_id":1,"priority_id":2,"assigned_to_id":338,"start_date":"2017-12-13","description":"","custom_fields":[{"id":1,"name":"Subdivision","value":"EC"},{"id":4,"name":"Milepost","value":"0.0245"},{"id":17,"name":"Train ID","value":"238-12"},{"id":16,"name":"Locomotive ID","value":"4005"},{"id":130,"name":"Impact","value":""},{"id":150,"name":"Time of Event (Mountain Time)","value":"00:33:31"},{"id":151,"name":"Denver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188"/>
      <c r="AL153" s="188"/>
      <c r="AM153" s="193" t="str">
        <f t="shared" si="91"/>
        <v>start /low /b %USERPROFILE%\Documents\GitHub\eaglep3\Utilities\DownloadLogsFromS3.py --loco 4005 --day 2017-12-12</v>
      </c>
      <c r="AN153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07:33:31"},{"id":29,"name":"Sharepoint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87" t="str">
        <f t="shared" si="93"/>
        <v>https://d0f6bd738d7f1b3e5a7ca70fe4ff75f0.us-east-1.aws.found.io/app/kibana#/discover/Steve-Slow-Train-Analysis-(2080s-and-2083s)?_g=(refreshInterval:(display:Off,pause:!f,section:0,value:0),time:(from:'2017-12-12T22:52:46-0700',mode:absolute,to:'2017-12-13T01:33:31-0700'))&amp;_a=(columns:!('Message%20ID',Summary),filters:!(),index:'emp_*',interval:auto,query:(query_string:(analyze_wildcard:!t,query:'%22rtdc.l.rtdc.4005%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180" customFormat="1" x14ac:dyDescent="0.25">
      <c r="A154" s="186" t="s">
        <v>890</v>
      </c>
      <c r="B154" s="182">
        <v>4012</v>
      </c>
      <c r="C154" s="184" t="s">
        <v>192</v>
      </c>
      <c r="D154" s="184" t="s">
        <v>999</v>
      </c>
      <c r="E154" s="183">
        <v>43081.976504629631</v>
      </c>
      <c r="F154" s="183">
        <v>43081.979421296295</v>
      </c>
      <c r="G154" s="182">
        <v>71</v>
      </c>
      <c r="H154" s="184" t="s">
        <v>471</v>
      </c>
      <c r="I154" s="183">
        <v>43082.004016203704</v>
      </c>
      <c r="J154" s="182">
        <v>0</v>
      </c>
      <c r="K154" s="190" t="str">
        <f t="shared" si="79"/>
        <v>4011/4012</v>
      </c>
      <c r="L154" s="196" t="str">
        <f>VLOOKUP(A154,'Trips&amp;Operators'!$C$1:$G$99911,5,FALSE)</f>
        <v>LORI SANTOS</v>
      </c>
      <c r="M154" s="181">
        <f t="shared" si="80"/>
        <v>2.4594907408754807E-2</v>
      </c>
      <c r="N154" s="182">
        <f t="shared" si="88"/>
        <v>35.416666668606922</v>
      </c>
      <c r="O154" s="182"/>
      <c r="P154" s="182"/>
      <c r="Q154" s="185"/>
      <c r="R154" s="197"/>
      <c r="S154" s="241">
        <f t="shared" si="78"/>
        <v>1</v>
      </c>
      <c r="T154" s="220" t="str">
        <f t="shared" si="81"/>
        <v>NorthBound</v>
      </c>
      <c r="U154" s="22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21" t="str">
        <f t="shared" si="82"/>
        <v>https://d0f6bd738d7f1b3e5a7ca70fe4ff75f0.us-east-1.aws.found.io/app/kibana#/discover/Steve-Slow-Train-Analysis-(2080s-and-2083s)?_g=(refreshInterval:(display:Off,pause:!f,section:0,value:0),time:(from:'2017-12-12T22:26:10-0700',mode:absolute,to:'2017-12-13T01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222" t="str">
        <f>IF(AA154&lt;VLOOKUP(AG154,Variables!$AC$3:$AD$8,2,FALSE),"Y","N")</f>
        <v>N</v>
      </c>
      <c r="X154" s="222">
        <f t="shared" si="96"/>
        <v>1</v>
      </c>
      <c r="Y154" s="222">
        <f t="shared" si="94"/>
        <v>5.5300000000000002E-2</v>
      </c>
      <c r="Z154" s="222">
        <f t="shared" si="95"/>
        <v>23.3264</v>
      </c>
      <c r="AA154" s="222">
        <f t="shared" si="83"/>
        <v>23.271100000000001</v>
      </c>
      <c r="AB154" s="231" t="e">
        <f>VLOOKUP(A154,Enforcements!$C$7:$K$9,8,0)</f>
        <v>#N/A</v>
      </c>
      <c r="AC154" s="231" t="e">
        <f>VLOOKUP(A154,Enforcements!$C$7:$E$9,3,0)</f>
        <v>#N/A</v>
      </c>
      <c r="AD154" s="232">
        <f t="shared" si="84"/>
        <v>239</v>
      </c>
      <c r="AE154" s="233" t="str">
        <f t="shared" si="85"/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AF154" s="234" t="str">
        <f t="shared" si="86"/>
        <v>"C:\Program Files (x86)\AstroGrep\AstroGrep.exe" /e /r /s /spath="%USERPROFILE%\AppData\Local\Temp\OnboardLogs" /stypes="app*4012*20171213*" /stext=" 07:.+((SYSTEM_STATE.+slice.+state.+changed )|(ment ac)|(multiple cpu faults)|(system.+state.+changed )|(\[timeout)|(PRM\|1\|D)|(kpr)|(kdp)|(train st.+moving)|(\|lc)|(penalty))"</v>
      </c>
      <c r="AG154" s="226" t="str">
        <f t="shared" si="87"/>
        <v>EC</v>
      </c>
      <c r="AH154" s="189" t="str">
        <f t="shared" si="89"/>
        <v>"%USERPROFILE%\Documents\GitHub\eaglep3\Utilities\RefineRTDCRunTimes.py" --tripid 239-12 --locoid 4012 --swversion DE.1.0.9.0 --startMP 204:553 --initTime 2017-12-12T23:26:10 --startdatetime 2017-12-12T23:30:22 --delay 71 --endMP 204:233264 --enddatetime 2017-12-13T00:05:47 --enforcementcount 0 &gt;&gt;%USERPROFILE%\Documents\GitHub\eaglep3-reporting\EC\2017-12-12-refined-times.txt</v>
      </c>
      <c r="AI154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{"issue":{"subject":"","project_id":79,"tracker_id":40,"status_id":1,"priority_id":2,"assigned_to_id":338,"start_date":"2017-12-13","description":"","custom_fields":[{"id":1,"name":"Subdivision","value":"EC"},{"id":4,"name":"Milepost","value":"23.3264"},{"id":17,"name":"Train ID","value":"239-12"},{"id":16,"name":"Locomotive ID","value":"4012"},{"id":130,"name":"Impact","value":""},{"id":150,"name":"Time of Event (Mountain Time)","value":"00:05:47"},{"id":151,"name":"Denver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188"/>
      <c r="AL154" s="188"/>
      <c r="AM154" s="193" t="str">
        <f t="shared" si="91"/>
        <v>start /low /b %USERPROFILE%\Documents\GitHub\eaglep3\Utilities\DownloadLogsFromS3.py --loco 4012 --day 2017-12-12</v>
      </c>
      <c r="AN154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07:05:47"},{"id":29,"name":"Sharepoint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87" t="str">
        <f t="shared" si="93"/>
        <v>https://d0f6bd738d7f1b3e5a7ca70fe4ff75f0.us-east-1.aws.found.io/app/kibana#/discover/Steve-Slow-Train-Analysis-(2080s-and-2083s)?_g=(refreshInterval:(display:Off,pause:!f,section:0,value:0),time:(from:'2017-12-12T22:26:10-0700',mode:absolute,to:'2017-12-13T01:05:47-0700'))&amp;_a=(columns:!('Message%20ID',Summary),filters:!(),index:'emp_*',interval:auto,query:(query_string:(analyze_wildcard:!t,query:'%22rtdc.l.rtdc.4012%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186" t="s">
        <v>894</v>
      </c>
      <c r="B155" s="182">
        <v>4011</v>
      </c>
      <c r="C155" s="184" t="s">
        <v>192</v>
      </c>
      <c r="D155" s="184" t="s">
        <v>636</v>
      </c>
      <c r="E155" s="183">
        <v>43082.016701388886</v>
      </c>
      <c r="F155" s="183">
        <v>43082.018969907411</v>
      </c>
      <c r="G155" s="182">
        <v>51</v>
      </c>
      <c r="H155" s="184" t="s">
        <v>959</v>
      </c>
      <c r="I155" s="183">
        <v>43082.044618055559</v>
      </c>
      <c r="J155" s="182">
        <v>0</v>
      </c>
      <c r="K155" s="190" t="str">
        <f t="shared" si="79"/>
        <v>4011/4012</v>
      </c>
      <c r="L155" s="196" t="str">
        <f>VLOOKUP(A155,'Trips&amp;Operators'!$C$1:$G$99911,5,FALSE)</f>
        <v>LORI SANTOS</v>
      </c>
      <c r="M155" s="181">
        <f t="shared" si="80"/>
        <v>2.5648148148320615E-2</v>
      </c>
      <c r="N155" s="182">
        <f t="shared" si="88"/>
        <v>36.933333333581686</v>
      </c>
      <c r="O155" s="182"/>
      <c r="P155" s="182"/>
      <c r="Q155" s="185"/>
      <c r="R155" s="197"/>
      <c r="S155" s="241">
        <f t="shared" si="78"/>
        <v>1</v>
      </c>
      <c r="T155" s="220" t="str">
        <f t="shared" si="81"/>
        <v>Southbound</v>
      </c>
      <c r="U155" s="22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21" t="str">
        <f t="shared" si="82"/>
        <v>https://d0f6bd738d7f1b3e5a7ca70fe4ff75f0.us-east-1.aws.found.io/app/kibana#/discover/Steve-Slow-Train-Analysis-(2080s-and-2083s)?_g=(refreshInterval:(display:Off,pause:!f,section:0,value:0),time:(from:'2017-12-12T23:24:03-0700',mode:absolute,to:'2017-12-13T02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222" t="str">
        <f>IF(AA155&lt;VLOOKUP(AG155,Variables!$AC$3:$AD$8,2,FALSE),"Y","N")</f>
        <v>N</v>
      </c>
      <c r="X155" s="222">
        <f t="shared" si="96"/>
        <v>1</v>
      </c>
      <c r="Y155" s="222">
        <f t="shared" si="94"/>
        <v>23.2943</v>
      </c>
      <c r="Z155" s="222">
        <f t="shared" si="95"/>
        <v>2.3199999999999998E-2</v>
      </c>
      <c r="AA155" s="222">
        <f t="shared" si="83"/>
        <v>23.271100000000001</v>
      </c>
      <c r="AB155" s="231" t="e">
        <f>VLOOKUP(A155,Enforcements!$C$7:$K$9,8,0)</f>
        <v>#N/A</v>
      </c>
      <c r="AC155" s="231" t="e">
        <f>VLOOKUP(A155,Enforcements!$C$7:$E$9,3,0)</f>
        <v>#N/A</v>
      </c>
      <c r="AD155" s="232">
        <f t="shared" si="84"/>
        <v>240</v>
      </c>
      <c r="AE155" s="233" t="str">
        <f t="shared" si="85"/>
        <v>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 &amp; aws s3 cp s3://rtdc.mdm.uploadarchive.raw/RTDC4011/ "%USERPROFILE%\AppData\Local\Temp\OnboardLogs"\RTDC4011\2017-12-14 --exclude "*" --recursive --include "*20171214*" &amp; "%USERPROFILE%\Documents\GitHub\mrs-test-scripts\Headless Mode &amp; Sideloading\WalkAndUnGZ.bat" "%USERPROFILE%\AppData\Local\Temp\OnboardLogs"\RTDC4011\2017-12-14</v>
      </c>
      <c r="AF155" s="234" t="str">
        <f t="shared" si="86"/>
        <v>"C:\Program Files (x86)\AstroGrep\AstroGrep.exe" /e /r /s /spath="%USERPROFILE%\AppData\Local\Temp\OnboardLogs" /stypes="app*4011*20171213*" /stext=" 08:.+((SYSTEM_STATE.+slice.+state.+changed )|(ment ac)|(multiple cpu faults)|(system.+state.+changed )|(\[timeout)|(PRM\|1\|D)|(kpr)|(kdp)|(train st.+moving)|(\|lc)|(penalty))"</v>
      </c>
      <c r="AG155" s="226" t="str">
        <f t="shared" si="87"/>
        <v>EC</v>
      </c>
      <c r="AH155" s="189" t="str">
        <f t="shared" si="89"/>
        <v>"%USERPROFILE%\Documents\GitHub\eaglep3\Utilities\RefineRTDCRunTimes.py" --tripid 240-12 --locoid 4011 --swversion DE.1.0.9.0 --startMP 204:232943 --initTime 2017-12-13T00:24:03 --startdatetime 2017-12-13T00:27:19 --delay 51 --endMP 204:232 --enddatetime 2017-12-13T01:04:15 --enforcementcount 0 &gt;&gt;%USERPROFILE%\Documents\GitHub\eaglep3-reporting\EC\2017-12-12-refined-times.txt</v>
      </c>
      <c r="AI155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{"issue":{"subject":"","project_id":79,"tracker_id":40,"status_id":1,"priority_id":2,"assigned_to_id":338,"start_date":"2017-12-13","description":"","custom_fields":[{"id":1,"name":"Subdivision","value":"EC"},{"id":4,"name":"Milepost","value":"0.0232"},{"id":17,"name":"Train ID","value":"240-12"},{"id":16,"name":"Locomotive ID","value":"4011"},{"id":130,"name":"Impact","value":""},{"id":150,"name":"Time of Event (Mountain Time)","value":"01:04:15"},{"id":151,"name":"Denver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180"/>
      <c r="AK155" s="188"/>
      <c r="AL155" s="188"/>
      <c r="AM155" s="193" t="str">
        <f t="shared" si="91"/>
        <v>start /low /b %USERPROFILE%\Documents\GitHub\eaglep3\Utilities\DownloadLogsFromS3.py --loco 4011 --day 2017-12-13</v>
      </c>
      <c r="AN155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08:04:15"},{"id":29,"name":"Sharepoint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87" t="str">
        <f t="shared" si="93"/>
        <v>https://d0f6bd738d7f1b3e5a7ca70fe4ff75f0.us-east-1.aws.found.io/app/kibana#/discover/Steve-Slow-Train-Analysis-(2080s-and-2083s)?_g=(refreshInterval:(display:Off,pause:!f,section:0,value:0),time:(from:'2017-12-12T23:24:03-0700',mode:absolute,to:'2017-12-13T02:04:15-0700'))&amp;_a=(columns:!('Message%20ID',Summary),filters:!(),index:'emp_*',interval:auto,query:(query_string:(analyze_wildcard:!t,query:'%22rtdc.l.rtdc.4011%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180" customFormat="1" x14ac:dyDescent="0.25">
      <c r="A156" s="186" t="s">
        <v>891</v>
      </c>
      <c r="B156" s="182">
        <v>4030</v>
      </c>
      <c r="C156" s="184" t="s">
        <v>192</v>
      </c>
      <c r="D156" s="184" t="s">
        <v>489</v>
      </c>
      <c r="E156" s="183">
        <v>43081.990277777775</v>
      </c>
      <c r="F156" s="183">
        <v>43082.000219907408</v>
      </c>
      <c r="G156" s="182">
        <v>55</v>
      </c>
      <c r="H156" s="184" t="s">
        <v>1002</v>
      </c>
      <c r="I156" s="183">
        <v>43082.025335648148</v>
      </c>
      <c r="J156" s="182">
        <v>0</v>
      </c>
      <c r="K156" s="190" t="str">
        <f t="shared" si="79"/>
        <v>4029/4030</v>
      </c>
      <c r="L156" s="196" t="str">
        <f>VLOOKUP(A156,'Trips&amp;Operators'!$C$1:$G$99911,5,FALSE)</f>
        <v>NICHOLSON WESLEY</v>
      </c>
      <c r="M156" s="181">
        <f t="shared" si="80"/>
        <v>2.5115740740147885E-2</v>
      </c>
      <c r="N156" s="182">
        <f t="shared" si="88"/>
        <v>36.166666665812954</v>
      </c>
      <c r="O156" s="182"/>
      <c r="P156" s="182"/>
      <c r="Q156" s="185"/>
      <c r="R156" s="197"/>
      <c r="S156" s="241">
        <f t="shared" si="78"/>
        <v>1</v>
      </c>
      <c r="T156" s="220" t="str">
        <f t="shared" si="81"/>
        <v>NorthBound</v>
      </c>
      <c r="U156" s="22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21" t="str">
        <f t="shared" si="82"/>
        <v>https://d0f6bd738d7f1b3e5a7ca70fe4ff75f0.us-east-1.aws.found.io/app/kibana#/discover/Steve-Slow-Train-Analysis-(2080s-and-2083s)?_g=(refreshInterval:(display:Off,pause:!f,section:0,value:0),time:(from:'2017-12-12T22:46:00-0700',mode:absolute,to:'2017-12-13T01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222" t="str">
        <f>IF(AA156&lt;VLOOKUP(AG156,Variables!$AC$3:$AD$8,2,FALSE),"Y","N")</f>
        <v>N</v>
      </c>
      <c r="X156" s="222">
        <f t="shared" si="96"/>
        <v>1</v>
      </c>
      <c r="Y156" s="222">
        <f t="shared" si="94"/>
        <v>5.5100000000000003E-2</v>
      </c>
      <c r="Z156" s="222">
        <f t="shared" si="95"/>
        <v>23.3184</v>
      </c>
      <c r="AA156" s="222">
        <f t="shared" si="83"/>
        <v>23.263300000000001</v>
      </c>
      <c r="AB156" s="231" t="e">
        <f>VLOOKUP(A156,Enforcements!$C$7:$K$9,8,0)</f>
        <v>#N/A</v>
      </c>
      <c r="AC156" s="231" t="e">
        <f>VLOOKUP(A156,Enforcements!$C$7:$E$9,3,0)</f>
        <v>#N/A</v>
      </c>
      <c r="AD156" s="232">
        <f t="shared" si="84"/>
        <v>241</v>
      </c>
      <c r="AE156" s="233" t="str">
        <f t="shared" si="85"/>
        <v>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 &amp; 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</v>
      </c>
      <c r="AF156" s="234" t="str">
        <f t="shared" si="86"/>
        <v>"C:\Program Files (x86)\AstroGrep\AstroGrep.exe" /e /r /s /spath="%USERPROFILE%\AppData\Local\Temp\OnboardLogs" /stypes="app*4030*20171213*" /stext=" 07:.+((SYSTEM_STATE.+slice.+state.+changed )|(ment ac)|(multiple cpu faults)|(system.+state.+changed )|(\[timeout)|(PRM\|1\|D)|(kpr)|(kdp)|(train st.+moving)|(\|lc)|(penalty))"</v>
      </c>
      <c r="AG156" s="226" t="str">
        <f t="shared" si="87"/>
        <v>EC</v>
      </c>
      <c r="AH156" s="189" t="str">
        <f t="shared" si="89"/>
        <v>"%USERPROFILE%\Documents\GitHub\eaglep3\Utilities\RefineRTDCRunTimes.py" --tripid 241-12 --locoid 4030 --swversion DE.1.0.9.0 --startMP 204:551 --initTime 2017-12-12T23:46:00 --startdatetime 2017-12-13T00:00:19 --delay 55 --endMP 204:233184 --enddatetime 2017-12-13T00:36:29 --enforcementcount 0 &gt;&gt;%USERPROFILE%\Documents\GitHub\eaglep3-reporting\EC\2017-12-12-refined-times.txt</v>
      </c>
      <c r="AI156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{"issue":{"subject":"","project_id":79,"tracker_id":40,"status_id":1,"priority_id":2,"assigned_to_id":338,"start_date":"2017-12-13","description":"","custom_fields":[{"id":1,"name":"Subdivision","value":"EC"},{"id":4,"name":"Milepost","value":"23.3184"},{"id":17,"name":"Train ID","value":"241-12"},{"id":16,"name":"Locomotive ID","value":"4030"},{"id":130,"name":"Impact","value":""},{"id":150,"name":"Time of Event (Mountain Time)","value":"00:36:29"},{"id":151,"name":"Denver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188"/>
      <c r="AL156" s="188"/>
      <c r="AM156" s="193" t="str">
        <f t="shared" si="91"/>
        <v>start /low /b %USERPROFILE%\Documents\GitHub\eaglep3\Utilities\DownloadLogsFromS3.py --loco 4030 --day 2017-12-13</v>
      </c>
      <c r="AN156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07:36:29"},{"id":29,"name":"Sharepoint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87" t="str">
        <f t="shared" si="93"/>
        <v>https://d0f6bd738d7f1b3e5a7ca70fe4ff75f0.us-east-1.aws.found.io/app/kibana#/discover/Steve-Slow-Train-Analysis-(2080s-and-2083s)?_g=(refreshInterval:(display:Off,pause:!f,section:0,value:0),time:(from:'2017-12-12T22:46:00-0700',mode:absolute,to:'2017-12-13T01:36:29-0700'))&amp;_a=(columns:!('Message%20ID',Summary),filters:!(),index:'emp_*',interval:auto,query:(query_string:(analyze_wildcard:!t,query:'%22rtdc.l.rtdc.4030%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180" customFormat="1" x14ac:dyDescent="0.25">
      <c r="A157" s="186" t="s">
        <v>896</v>
      </c>
      <c r="B157" s="182">
        <v>4029</v>
      </c>
      <c r="C157" s="184" t="s">
        <v>192</v>
      </c>
      <c r="D157" s="184" t="s">
        <v>1003</v>
      </c>
      <c r="E157" s="183">
        <v>43082.037557870368</v>
      </c>
      <c r="F157" s="183">
        <v>43082.040162037039</v>
      </c>
      <c r="G157" s="182">
        <v>101</v>
      </c>
      <c r="H157" s="184" t="s">
        <v>580</v>
      </c>
      <c r="I157" s="183">
        <v>43082.07099537037</v>
      </c>
      <c r="J157" s="182">
        <v>0</v>
      </c>
      <c r="K157" s="190" t="str">
        <f t="shared" si="79"/>
        <v>4029/4030</v>
      </c>
      <c r="L157" s="196" t="str">
        <f>VLOOKUP(A157,'Trips&amp;Operators'!$C$1:$G$99911,5,FALSE)</f>
        <v>NICHOLSON WESLEY</v>
      </c>
      <c r="M157" s="181">
        <f t="shared" si="80"/>
        <v>3.0833333330519963E-2</v>
      </c>
      <c r="N157" s="182">
        <f t="shared" si="88"/>
        <v>44.399999995948747</v>
      </c>
      <c r="O157" s="182"/>
      <c r="P157" s="182"/>
      <c r="Q157" s="185"/>
      <c r="R157" s="197"/>
      <c r="S157" s="241">
        <f t="shared" si="78"/>
        <v>1</v>
      </c>
      <c r="T157" s="220" t="str">
        <f t="shared" si="81"/>
        <v>Southbound</v>
      </c>
      <c r="U157" s="22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21" t="str">
        <f t="shared" si="82"/>
        <v>https://d0f6bd738d7f1b3e5a7ca70fe4ff75f0.us-east-1.aws.found.io/app/kibana#/discover/Steve-Slow-Train-Analysis-(2080s-and-2083s)?_g=(refreshInterval:(display:Off,pause:!f,section:0,value:0),time:(from:'2017-12-12T23:54:05-0700',mode:absolute,to:'2017-12-13T02:42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222" t="str">
        <f>IF(AA157&lt;VLOOKUP(AG157,Variables!$AC$3:$AD$8,2,FALSE),"Y","N")</f>
        <v>N</v>
      </c>
      <c r="X157" s="222">
        <f t="shared" ref="X157:X159" si="97">VALUE(LEFT(AD157,4))-VALUE(LEFT(AD156,4))</f>
        <v>1</v>
      </c>
      <c r="Y157" s="222">
        <f t="shared" si="94"/>
        <v>23.286100000000001</v>
      </c>
      <c r="Z157" s="222">
        <f t="shared" si="95"/>
        <v>2.3400000000000001E-2</v>
      </c>
      <c r="AA157" s="222">
        <f t="shared" si="83"/>
        <v>23.262700000000002</v>
      </c>
      <c r="AB157" s="231" t="e">
        <f>VLOOKUP(A157,Enforcements!$C$7:$K$9,8,0)</f>
        <v>#N/A</v>
      </c>
      <c r="AC157" s="231" t="e">
        <f>VLOOKUP(A157,Enforcements!$C$7:$E$9,3,0)</f>
        <v>#N/A</v>
      </c>
      <c r="AD157" s="232">
        <f t="shared" si="84"/>
        <v>242</v>
      </c>
      <c r="AE157" s="233" t="str">
        <f t="shared" si="85"/>
        <v>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 &amp; 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</v>
      </c>
      <c r="AF157" s="234" t="str">
        <f t="shared" si="86"/>
        <v>"C:\Program Files (x86)\AstroGrep\AstroGrep.exe" /e /r /s /spath="%USERPROFILE%\AppData\Local\Temp\OnboardLogs" /stypes="app*4029*20171213*" /stext=" 08:.+((SYSTEM_STATE.+slice.+state.+changed )|(ment ac)|(multiple cpu faults)|(system.+state.+changed )|(\[timeout)|(PRM\|1\|D)|(kpr)|(kdp)|(train st.+moving)|(\|lc)|(penalty))"</v>
      </c>
      <c r="AG157" s="226" t="str">
        <f t="shared" si="87"/>
        <v>EC</v>
      </c>
      <c r="AH157" s="189" t="str">
        <f t="shared" si="89"/>
        <v>"%USERPROFILE%\Documents\GitHub\eaglep3\Utilities\RefineRTDCRunTimes.py" --tripid 242-12 --locoid 4029 --swversion DE.1.0.9.0 --startMP 204:232861 --initTime 2017-12-13T00:54:05 --startdatetime 2017-12-13T00:57:50 --delay 101 --endMP 204:234 --enddatetime 2017-12-13T01:42:14 --enforcementcount 0 &gt;&gt;%USERPROFILE%\Documents\GitHub\eaglep3-reporting\EC\2017-12-12-refined-times.txt</v>
      </c>
      <c r="AI157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{"issue":{"subject":"","project_id":79,"tracker_id":40,"status_id":1,"priority_id":2,"assigned_to_id":338,"start_date":"2017-12-13","description":"","custom_fields":[{"id":1,"name":"Subdivision","value":"EC"},{"id":4,"name":"Milepost","value":"0.0234"},{"id":17,"name":"Train ID","value":"242-12"},{"id":16,"name":"Locomotive ID","value":"4029"},{"id":130,"name":"Impact","value":""},{"id":150,"name":"Time of Event (Mountain Time)","value":"01:42:14"},{"id":151,"name":"Denver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188"/>
      <c r="AL157" s="188"/>
      <c r="AM157" s="193" t="str">
        <f t="shared" si="91"/>
        <v>start /low /b %USERPROFILE%\Documents\GitHub\eaglep3\Utilities\DownloadLogsFromS3.py --loco 4029 --day 2017-12-13</v>
      </c>
      <c r="AN157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08:42:14"},{"id":29,"name":"Sharepoint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87" t="str">
        <f t="shared" si="93"/>
        <v>https://d0f6bd738d7f1b3e5a7ca70fe4ff75f0.us-east-1.aws.found.io/app/kibana#/discover/Steve-Slow-Train-Analysis-(2080s-and-2083s)?_g=(refreshInterval:(display:Off,pause:!f,section:0,value:0),time:(from:'2017-12-12T23:54:05-0700',mode:absolute,to:'2017-12-13T02:42:14-0700'))&amp;_a=(columns:!('Message%20ID',Summary),filters:!(),index:'emp_*',interval:auto,query:(query_string:(analyze_wildcard:!t,query:'%22rtdc.l.rtdc.4029%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186" t="s">
        <v>893</v>
      </c>
      <c r="B158" s="182">
        <v>4016</v>
      </c>
      <c r="C158" s="184" t="s">
        <v>192</v>
      </c>
      <c r="D158" s="184" t="s">
        <v>573</v>
      </c>
      <c r="E158" s="183">
        <v>43082.008981481478</v>
      </c>
      <c r="F158" s="183">
        <v>43082.021307870367</v>
      </c>
      <c r="G158" s="182">
        <v>61</v>
      </c>
      <c r="H158" s="184" t="s">
        <v>981</v>
      </c>
      <c r="I158" s="183">
        <v>43082.046724537038</v>
      </c>
      <c r="J158" s="182">
        <v>0</v>
      </c>
      <c r="K158" s="190" t="str">
        <f t="shared" si="79"/>
        <v>4015/4016</v>
      </c>
      <c r="L158" s="196" t="str">
        <f>VLOOKUP(A158,'Trips&amp;Operators'!$C$1:$G$99911,5,FALSE)</f>
        <v>ANDERS STEVEN</v>
      </c>
      <c r="M158" s="181">
        <f t="shared" si="80"/>
        <v>2.5416666670935228E-2</v>
      </c>
      <c r="N158" s="182">
        <f t="shared" si="88"/>
        <v>36.600000006146729</v>
      </c>
      <c r="O158" s="182"/>
      <c r="P158" s="182"/>
      <c r="Q158" s="185"/>
      <c r="R158" s="197"/>
      <c r="S158" s="241">
        <f t="shared" si="78"/>
        <v>1</v>
      </c>
      <c r="T158" s="220" t="str">
        <f t="shared" si="81"/>
        <v>NorthBound</v>
      </c>
      <c r="U158" s="22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21" t="str">
        <f t="shared" si="82"/>
        <v>https://d0f6bd738d7f1b3e5a7ca70fe4ff75f0.us-east-1.aws.found.io/app/kibana#/discover/Steve-Slow-Train-Analysis-(2080s-and-2083s)?_g=(refreshInterval:(display:Off,pause:!f,section:0,value:0),time:(from:'2017-12-12T23:12:56-0700',mode:absolute,to:'2017-12-13T02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222" t="str">
        <f>IF(AA158&lt;VLOOKUP(AG158,Variables!$AC$3:$AD$8,2,FALSE),"Y","N")</f>
        <v>N</v>
      </c>
      <c r="X158" s="222">
        <f t="shared" si="97"/>
        <v>1</v>
      </c>
      <c r="Y158" s="222">
        <f t="shared" si="94"/>
        <v>5.0900000000000001E-2</v>
      </c>
      <c r="Z158" s="222">
        <f t="shared" si="95"/>
        <v>23.322700000000001</v>
      </c>
      <c r="AA158" s="222">
        <f t="shared" si="83"/>
        <v>23.271800000000002</v>
      </c>
      <c r="AB158" s="231" t="e">
        <f>VLOOKUP(A158,Enforcements!$C$7:$K$9,8,0)</f>
        <v>#N/A</v>
      </c>
      <c r="AC158" s="231" t="e">
        <f>VLOOKUP(A158,Enforcements!$C$7:$E$9,3,0)</f>
        <v>#N/A</v>
      </c>
      <c r="AD158" s="232">
        <f t="shared" si="84"/>
        <v>243</v>
      </c>
      <c r="AE158" s="233" t="str">
        <f t="shared" si="85"/>
        <v>aws s3 cp s3://rtdc.mdm.uploadarchive.raw/RTDC4016/ "%USERPROFILE%\AppData\Local\Temp\OnboardLogs"\RTDC4016\2017-12-13 --exclude "*" --recursive --include "*20171213*" &amp; "%USERPROFILE%\Documents\GitHub\mrs-test-scripts\Headless Mode &amp; Sideloading\WalkAndUnGZ.bat" "%USERPROFILE%\AppData\Local\Temp\OnboardLogs"\RTDC4016\2017-12-13 &amp; 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</v>
      </c>
      <c r="AF158" s="234" t="str">
        <f t="shared" si="86"/>
        <v>"C:\Program Files (x86)\AstroGrep\AstroGrep.exe" /e /r /s /spath="%USERPROFILE%\AppData\Local\Temp\OnboardLogs" /stypes="app*4016*20171213*" /stext=" 08:.+((SYSTEM_STATE.+slice.+state.+changed )|(ment ac)|(multiple cpu faults)|(system.+state.+changed )|(\[timeout)|(PRM\|1\|D)|(kpr)|(kdp)|(train st.+moving)|(\|lc)|(penalty))"</v>
      </c>
      <c r="AG158" s="226" t="str">
        <f t="shared" si="87"/>
        <v>EC</v>
      </c>
      <c r="AH158" s="189" t="str">
        <f t="shared" si="89"/>
        <v>"%USERPROFILE%\Documents\GitHub\eaglep3\Utilities\RefineRTDCRunTimes.py" --tripid 243-12 --locoid 4016 --swversion DE.1.0.9.0 --startMP 204:509 --initTime 2017-12-13T00:12:56 --startdatetime 2017-12-13T00:30:41 --delay 61 --endMP 204:233227 --enddatetime 2017-12-13T01:07:17 --enforcementcount 0 &gt;&gt;%USERPROFILE%\Documents\GitHub\eaglep3-reporting\EC\2017-12-12-refined-times.txt</v>
      </c>
      <c r="AI158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{"issue":{"subject":"","project_id":79,"tracker_id":40,"status_id":1,"priority_id":2,"assigned_to_id":338,"start_date":"2017-12-13","description":"","custom_fields":[{"id":1,"name":"Subdivision","value":"EC"},{"id":4,"name":"Milepost","value":"23.3227"},{"id":17,"name":"Train ID","value":"243-12"},{"id":16,"name":"Locomotive ID","value":"4016"},{"id":130,"name":"Impact","value":""},{"id":150,"name":"Time of Event (Mountain Time)","value":"01:07:17"},{"id":151,"name":"Denver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180"/>
      <c r="AK158" s="188"/>
      <c r="AL158" s="188"/>
      <c r="AM158" s="193" t="str">
        <f t="shared" si="91"/>
        <v>start /low /b %USERPROFILE%\Documents\GitHub\eaglep3\Utilities\DownloadLogsFromS3.py --loco 4016 --day 2017-12-13</v>
      </c>
      <c r="AN158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87" t="str">
        <f t="shared" si="93"/>
        <v>https://d0f6bd738d7f1b3e5a7ca70fe4ff75f0.us-east-1.aws.found.io/app/kibana#/discover/Steve-Slow-Train-Analysis-(2080s-and-2083s)?_g=(refreshInterval:(display:Off,pause:!f,section:0,value:0),time:(from:'2017-12-12T23:12:56-0700',mode:absolute,to:'2017-12-13T02:07:17-0700'))&amp;_a=(columns:!('Message%20ID',Summary),filters:!(),index:'emp_*',interval:auto,query:(query_string:(analyze_wildcard:!t,query:'%22rtdc.l.rtdc.4016%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180" customFormat="1" x14ac:dyDescent="0.25">
      <c r="A159" s="186" t="s">
        <v>898</v>
      </c>
      <c r="B159" s="182">
        <v>4015</v>
      </c>
      <c r="C159" s="184" t="s">
        <v>192</v>
      </c>
      <c r="D159" s="184" t="s">
        <v>557</v>
      </c>
      <c r="E159" s="183">
        <v>43082.056562500002</v>
      </c>
      <c r="F159" s="183">
        <v>43082.061342592591</v>
      </c>
      <c r="G159" s="182">
        <v>82</v>
      </c>
      <c r="H159" s="184" t="s">
        <v>501</v>
      </c>
      <c r="I159" s="183">
        <v>43082.088113425925</v>
      </c>
      <c r="J159" s="182">
        <v>0</v>
      </c>
      <c r="K159" s="190" t="str">
        <f t="shared" si="79"/>
        <v>4015/4016</v>
      </c>
      <c r="L159" s="196" t="str">
        <f>VLOOKUP(A159,'Trips&amp;Operators'!$C$1:$G$99911,5,FALSE)</f>
        <v>ANDERS STEVEN</v>
      </c>
      <c r="M159" s="181">
        <f t="shared" si="80"/>
        <v>2.6770833334012423E-2</v>
      </c>
      <c r="N159" s="182">
        <f t="shared" si="88"/>
        <v>38.550000000977889</v>
      </c>
      <c r="O159" s="182"/>
      <c r="P159" s="182"/>
      <c r="Q159" s="185"/>
      <c r="R159" s="197"/>
      <c r="S159" s="241">
        <f t="shared" si="78"/>
        <v>1</v>
      </c>
      <c r="T159" s="220" t="str">
        <f t="shared" si="81"/>
        <v>Southbound</v>
      </c>
      <c r="U159" s="22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21" t="str">
        <f t="shared" si="82"/>
        <v>https://d0f6bd738d7f1b3e5a7ca70fe4ff75f0.us-east-1.aws.found.io/app/kibana#/discover/Steve-Slow-Train-Analysis-(2080s-and-2083s)?_g=(refreshInterval:(display:Off,pause:!f,section:0,value:0),time:(from:'2017-12-13T00:21:27-0700',mode:absolute,to:'2017-12-13T03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222" t="str">
        <f>IF(AA159&lt;VLOOKUP(AG159,Variables!$AC$3:$AD$8,2,FALSE),"Y","N")</f>
        <v>N</v>
      </c>
      <c r="X159" s="222">
        <f t="shared" si="97"/>
        <v>1</v>
      </c>
      <c r="Y159" s="222">
        <f t="shared" si="94"/>
        <v>23.290400000000002</v>
      </c>
      <c r="Z159" s="222">
        <f t="shared" si="95"/>
        <v>2.2100000000000002E-2</v>
      </c>
      <c r="AA159" s="222">
        <f t="shared" si="83"/>
        <v>23.268300000000004</v>
      </c>
      <c r="AB159" s="231" t="e">
        <f>VLOOKUP(A159,Enforcements!$C$7:$K$9,8,0)</f>
        <v>#N/A</v>
      </c>
      <c r="AC159" s="231" t="e">
        <f>VLOOKUP(A159,Enforcements!$C$7:$E$9,3,0)</f>
        <v>#N/A</v>
      </c>
      <c r="AD159" s="232">
        <f t="shared" si="84"/>
        <v>244</v>
      </c>
      <c r="AE159" s="233" t="str">
        <f t="shared" si="85"/>
        <v>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 &amp; 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</v>
      </c>
      <c r="AF159" s="234" t="str">
        <f t="shared" si="86"/>
        <v>"C:\Program Files (x86)\AstroGrep\AstroGrep.exe" /e /r /s /spath="%USERPROFILE%\AppData\Local\Temp\OnboardLogs" /stypes="app*4015*20171213*" /stext=" 09:.+((SYSTEM_STATE.+slice.+state.+changed )|(ment ac)|(multiple cpu faults)|(system.+state.+changed )|(\[timeout)|(PRM\|1\|D)|(kpr)|(kdp)|(train st.+moving)|(\|lc)|(penalty))"</v>
      </c>
      <c r="AG159" s="226" t="str">
        <f t="shared" si="87"/>
        <v>EC</v>
      </c>
      <c r="AH159" s="189" t="str">
        <f t="shared" si="89"/>
        <v>"%USERPROFILE%\Documents\GitHub\eaglep3\Utilities\RefineRTDCRunTimes.py" --tripid 244-12 --locoid 4015 --swversion DE.1.0.9.0 --startMP 204:232904 --initTime 2017-12-13T01:21:27 --startdatetime 2017-12-13T01:28:20 --delay 82 --endMP 204:221 --enddatetime 2017-12-13T02:06:53 --enforcementcount 0 &gt;&gt;%USERPROFILE%\Documents\GitHub\eaglep3-reporting\EC\2017-12-12-refined-times.txt</v>
      </c>
      <c r="AI159" s="191" t="str">
        <f t="shared" si="90"/>
        <v>echo {"issue":{"subject":"","project_id":79,"tracker_id":40,"status_id":1,"priority_id":2,"assigned_to_id":338,"start_date":"2017-12-13","description":"","custom_fields":[{"id":1,"name":"Subdivision","value":"EC"},{"id":4,"name":"Milepost","value":"0.0221"},{"id":17,"name":"Train ID","value":"244-12"},{"id":16,"name":"Locomotive ID","value":"4015"},{"id":130,"name":"Impact","value":""},{"id":150,"name":"Time of Event (Mountain Time)","value":"02:06:53"},{"id":151,"name":"Denver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188"/>
      <c r="AL159" s="188"/>
      <c r="AM159" s="193" t="str">
        <f t="shared" si="91"/>
        <v>start /low /b %USERPROFILE%\Documents\GitHub\eaglep3\Utilities\DownloadLogsFromS3.py --loco 4015 --day 2017-12-13</v>
      </c>
      <c r="AN159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09:06:53"},{"id":29,"name":"Sharepoint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87" t="str">
        <f t="shared" si="93"/>
        <v>https://d0f6bd738d7f1b3e5a7ca70fe4ff75f0.us-east-1.aws.found.io/app/kibana#/discover/Steve-Slow-Train-Analysis-(2080s-and-2083s)?_g=(refreshInterval:(display:Off,pause:!f,section:0,value:0),time:(from:'2017-12-13T00:21:27-0700',mode:absolute,to:'2017-12-13T03:06:53-0700'))&amp;_a=(columns:!('Message%20ID',Summary),filters:!(),index:'emp_*',interval:auto,query:(query_string:(analyze_wildcard:!t,query:'%22rtdc.l.rtdc.4015%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180" customFormat="1" x14ac:dyDescent="0.25">
      <c r="A160" s="186" t="s">
        <v>709</v>
      </c>
      <c r="B160" s="182">
        <v>4055</v>
      </c>
      <c r="C160" s="184" t="s">
        <v>192</v>
      </c>
      <c r="D160" s="184" t="s">
        <v>653</v>
      </c>
      <c r="E160" s="183">
        <v>43081.211504629631</v>
      </c>
      <c r="F160" s="183">
        <v>43081.213877314818</v>
      </c>
      <c r="G160" s="182">
        <v>74</v>
      </c>
      <c r="H160" s="184" t="s">
        <v>661</v>
      </c>
      <c r="I160" s="183">
        <v>43081.2266087963</v>
      </c>
      <c r="J160" s="182">
        <v>0</v>
      </c>
      <c r="K160" s="190" t="str">
        <f t="shared" si="79"/>
        <v>4055/4056</v>
      </c>
      <c r="L160" s="196" t="str">
        <f>VLOOKUP(A160,'Trips&amp;Operators'!$C$1:$G$99911,5,FALSE)</f>
        <v>DAVIDSON DAVID</v>
      </c>
      <c r="M160" s="181">
        <f t="shared" si="80"/>
        <v>1.2731481481750961E-2</v>
      </c>
      <c r="N160" s="182">
        <f t="shared" si="88"/>
        <v>18.333333333721384</v>
      </c>
      <c r="O160" s="182"/>
      <c r="P160" s="182"/>
      <c r="Q160" s="185"/>
      <c r="R160" s="197"/>
      <c r="S160" s="241">
        <f t="shared" si="78"/>
        <v>1</v>
      </c>
      <c r="T160" s="220" t="str">
        <f t="shared" si="81"/>
        <v>Southbound</v>
      </c>
      <c r="U160" s="22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21" t="str">
        <f t="shared" si="82"/>
        <v>https://d0f6bd738d7f1b3e5a7ca70fe4ff75f0.us-east-1.aws.found.io/app/kibana#/discover/Steve-Slow-Train-Analysis-(2080s-and-2083s)?_g=(refreshInterval:(display:Off,pause:!f,section:0,value:0),time:(from:'2017-12-12T04:04:34-0700',mode:absolute,to:'2017-12-12T06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222" t="str">
        <f>IF(AA160&lt;VLOOKUP(AG160,Variables!$AC$3:$AD$8,2,FALSE),"Y","N")</f>
        <v>N</v>
      </c>
      <c r="X160" s="222">
        <f t="shared" ref="X160:X191" si="98">VALUE(LEFT(AD160,4))-VALUE(LEFT(AD159,4))</f>
        <v>556</v>
      </c>
      <c r="Y160" s="222">
        <f t="shared" si="94"/>
        <v>5.8616999999999999</v>
      </c>
      <c r="Z160" s="222">
        <f t="shared" si="95"/>
        <v>1.0200000000000001E-2</v>
      </c>
      <c r="AA160" s="222">
        <f t="shared" si="83"/>
        <v>5.8514999999999997</v>
      </c>
      <c r="AB160" s="231" t="e">
        <f>VLOOKUP(A160,Enforcements!$C$7:$K$9,8,0)</f>
        <v>#N/A</v>
      </c>
      <c r="AC160" s="231" t="e">
        <f>VLOOKUP(A160,Enforcements!$C$7:$E$9,3,0)</f>
        <v>#N/A</v>
      </c>
      <c r="AD160" s="232">
        <f t="shared" si="84"/>
        <v>800</v>
      </c>
      <c r="AE160" s="233" t="str">
        <f t="shared" si="85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160" s="234" t="str">
        <f t="shared" si="86"/>
        <v>"C:\Program Files (x86)\AstroGrep\AstroGrep.exe" /e /r /s /spath="%USERPROFILE%\AppData\Local\Temp\OnboardLogs" /stypes="app*4055*20171212*" /stext=" 12:.+((SYSTEM_STATE.+slice.+state.+changed )|(ment ac)|(multiple cpu faults)|(system.+state.+changed )|(\[timeout)|(PRM\|1\|D)|(kpr)|(kdp)|(train st.+moving)|(\|lc)|(penalty))"</v>
      </c>
      <c r="AG160" s="226" t="str">
        <f t="shared" si="87"/>
        <v>NW</v>
      </c>
      <c r="AH160" s="189" t="str">
        <f t="shared" si="89"/>
        <v>"%USERPROFILE%\Documents\GitHub\eaglep3\Utilities\RefineRTDCRunTimes.py" --tripid 800-12 --locoid 4055 --swversion DE.1.0.9.0 --startMP 300:58617 --initTime 2017-12-12T05:04:34 --startdatetime 2017-12-12T05:07:59 --delay 74 --endMP 204:102 --enddatetime 2017-12-12T05:26:19 --enforcementcount 0 &gt;&gt;%USERPROFILE%\Documents\GitHub\eaglep3-reporting\EC\2017-12-12-refined-times.txt</v>
      </c>
      <c r="AI160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{"issue":{"subject":"","project_id":79,"tracker_id":40,"status_id":1,"priority_id":2,"assigned_to_id":338,"start_date":"2017-12-12","description":"","custom_fields":[{"id":1,"name":"Subdivision","value":"NW"},{"id":4,"name":"Milepost","value":"0.0102"},{"id":17,"name":"Train ID","value":"800-12"},{"id":16,"name":"Locomotive ID","value":"4055"},{"id":130,"name":"Impact","value":""},{"id":150,"name":"Time of Event (Mountain Time)","value":"05:26:19"},{"id":151,"name":"Denver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188"/>
      <c r="AL160" s="188"/>
      <c r="AM160" s="193" t="str">
        <f t="shared" si="91"/>
        <v>start /low /b %USERPROFILE%\Documents\GitHub\eaglep3\Utilities\DownloadLogsFromS3.py --loco 4055 --day 2017-12-12</v>
      </c>
      <c r="AN160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87" t="str">
        <f t="shared" si="93"/>
        <v>https://d0f6bd738d7f1b3e5a7ca70fe4ff75f0.us-east-1.aws.found.io/app/kibana#/discover/Steve-Slow-Train-Analysis-(2080s-and-2083s)?_g=(refreshInterval:(display:Off,pause:!f,section:0,value:0),time:(from:'2017-12-12T04:04:34-0700',mode:absolute,to:'2017-12-12T06:26:19-0700'))&amp;_a=(columns:!('Message%20ID',Summary),filters:!(),index:'emp_*',interval:auto,query:(query_string:(analyze_wildcard:!t,query:'%22rtdc.l.rtdc.4055%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180" customFormat="1" x14ac:dyDescent="0.25">
      <c r="A161" s="186" t="s">
        <v>713</v>
      </c>
      <c r="B161" s="182">
        <v>4056</v>
      </c>
      <c r="C161" s="184" t="s">
        <v>192</v>
      </c>
      <c r="D161" s="184" t="s">
        <v>1021</v>
      </c>
      <c r="E161" s="183">
        <v>43081.230023148149</v>
      </c>
      <c r="F161" s="183">
        <v>43081.236307870371</v>
      </c>
      <c r="G161" s="182">
        <v>71</v>
      </c>
      <c r="H161" s="184" t="s">
        <v>1022</v>
      </c>
      <c r="I161" s="183">
        <v>43081.246296296296</v>
      </c>
      <c r="J161" s="182">
        <v>0</v>
      </c>
      <c r="K161" s="190" t="str">
        <f t="shared" si="79"/>
        <v>4055/4056</v>
      </c>
      <c r="L161" s="196" t="str">
        <f>VLOOKUP(A161,'Trips&amp;Operators'!$C$1:$G$99911,5,FALSE)</f>
        <v>DAVIDSON DAVID</v>
      </c>
      <c r="M161" s="181">
        <f t="shared" si="80"/>
        <v>9.9884259252576157E-3</v>
      </c>
      <c r="N161" s="182">
        <f t="shared" si="88"/>
        <v>14.383333332370967</v>
      </c>
      <c r="O161" s="182"/>
      <c r="P161" s="182"/>
      <c r="Q161" s="185"/>
      <c r="R161" s="197"/>
      <c r="S161" s="241">
        <f t="shared" si="78"/>
        <v>1</v>
      </c>
      <c r="T161" s="220" t="str">
        <f t="shared" si="81"/>
        <v>NorthBound</v>
      </c>
      <c r="U161" s="22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21" t="str">
        <f t="shared" si="82"/>
        <v>https://d0f6bd738d7f1b3e5a7ca70fe4ff75f0.us-east-1.aws.found.io/app/kibana#/discover/Steve-Slow-Train-Analysis-(2080s-and-2083s)?_g=(refreshInterval:(display:Off,pause:!f,section:0,value:0),time:(from:'2017-12-12T04:31:14-0700',mode:absolute,to:'2017-12-12T06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1" s="222" t="str">
        <f>IF(AA161&lt;VLOOKUP(AG161,Variables!$AC$3:$AD$8,2,FALSE),"Y","N")</f>
        <v>N</v>
      </c>
      <c r="X161" s="222">
        <f t="shared" si="98"/>
        <v>1</v>
      </c>
      <c r="Y161" s="222">
        <f t="shared" si="94"/>
        <v>4.1000000000000002E-2</v>
      </c>
      <c r="Z161" s="222">
        <f t="shared" si="95"/>
        <v>5.8921999999999999</v>
      </c>
      <c r="AA161" s="222">
        <f t="shared" si="83"/>
        <v>5.8511999999999995</v>
      </c>
      <c r="AB161" s="231" t="e">
        <f>VLOOKUP(A161,Enforcements!$C$7:$K$9,8,0)</f>
        <v>#N/A</v>
      </c>
      <c r="AC161" s="231" t="e">
        <f>VLOOKUP(A161,Enforcements!$C$7:$E$9,3,0)</f>
        <v>#N/A</v>
      </c>
      <c r="AD161" s="232">
        <f t="shared" si="84"/>
        <v>801</v>
      </c>
      <c r="AE161" s="233" t="str">
        <f t="shared" si="85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161" s="234" t="str">
        <f t="shared" si="86"/>
        <v>"C:\Program Files (x86)\AstroGrep\AstroGrep.exe" /e /r /s /spath="%USERPROFILE%\AppData\Local\Temp\OnboardLogs" /stypes="app*4056*20171212*" /stext=" 12:.+((SYSTEM_STATE.+slice.+state.+changed )|(ment ac)|(multiple cpu faults)|(system.+state.+changed )|(\[timeout)|(PRM\|1\|D)|(kpr)|(kdp)|(train st.+moving)|(\|lc)|(penalty))"</v>
      </c>
      <c r="AG161" s="226" t="str">
        <f t="shared" si="87"/>
        <v>NW</v>
      </c>
      <c r="AH161" s="189" t="str">
        <f t="shared" si="89"/>
        <v>"%USERPROFILE%\Documents\GitHub\eaglep3\Utilities\RefineRTDCRunTimes.py" --tripid 801-12 --locoid 4056 --swversion DE.1.0.9.0 --startMP 204:410 --initTime 2017-12-12T05:31:14 --startdatetime 2017-12-12T05:40:17 --delay 71 --endMP 300:58922 --enddatetime 2017-12-12T05:54:40 --enforcementcount 0 &gt;&gt;%USERPROFILE%\Documents\GitHub\eaglep3-reporting\EC\2017-12-12-refined-times.txt</v>
      </c>
      <c r="AI161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{"issue":{"subject":"","project_id":79,"tracker_id":40,"status_id":1,"priority_id":2,"assigned_to_id":338,"start_date":"2017-12-12","description":"","custom_fields":[{"id":1,"name":"Subdivision","value":"NW"},{"id":4,"name":"Milepost","value":"5.8922"},{"id":17,"name":"Train ID","value":"801-12"},{"id":16,"name":"Locomotive ID","value":"4056"},{"id":130,"name":"Impact","value":""},{"id":150,"name":"Time of Event (Mountain Time)","value":"05:54:40"},{"id":151,"name":"Denver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188"/>
      <c r="AL161" s="188"/>
      <c r="AM161" s="193" t="str">
        <f t="shared" si="91"/>
        <v>start /low /b %USERPROFILE%\Documents\GitHub\eaglep3\Utilities\DownloadLogsFromS3.py --loco 4056 --day 2017-12-12</v>
      </c>
      <c r="AN161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87" t="str">
        <f t="shared" si="93"/>
        <v>https://d0f6bd738d7f1b3e5a7ca70fe4ff75f0.us-east-1.aws.found.io/app/kibana#/discover/Steve-Slow-Train-Analysis-(2080s-and-2083s)?_g=(refreshInterval:(display:Off,pause:!f,section:0,value:0),time:(from:'2017-12-12T04:31:14-0700',mode:absolute,to:'2017-12-12T06:54:40-0700'))&amp;_a=(columns:!('Message%20ID',Summary),filters:!(),index:'emp_*',interval:auto,query:(query_string:(analyze_wildcard:!t,query:'%22rtdc.l.rtdc.4056%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186" t="s">
        <v>724</v>
      </c>
      <c r="B162" s="182">
        <v>4055</v>
      </c>
      <c r="C162" s="184" t="s">
        <v>192</v>
      </c>
      <c r="D162" s="184" t="s">
        <v>656</v>
      </c>
      <c r="E162" s="183">
        <v>43081.247499999998</v>
      </c>
      <c r="F162" s="183">
        <v>43081.258333333331</v>
      </c>
      <c r="G162" s="182">
        <v>49</v>
      </c>
      <c r="H162" s="184" t="s">
        <v>1023</v>
      </c>
      <c r="I162" s="183">
        <v>43081.267442129632</v>
      </c>
      <c r="J162" s="182">
        <v>0</v>
      </c>
      <c r="K162" s="190" t="str">
        <f t="shared" si="79"/>
        <v>4055/4056</v>
      </c>
      <c r="L162" s="196" t="str">
        <f>VLOOKUP(A162,'Trips&amp;Operators'!$C$1:$G$99911,5,FALSE)</f>
        <v>DAVIDSON DAVID</v>
      </c>
      <c r="M162" s="181">
        <f t="shared" si="80"/>
        <v>9.1087963010068052E-3</v>
      </c>
      <c r="N162" s="182">
        <f t="shared" si="88"/>
        <v>13.116666673449799</v>
      </c>
      <c r="O162" s="182"/>
      <c r="P162" s="182"/>
      <c r="Q162" s="185"/>
      <c r="R162" s="197"/>
      <c r="S162" s="241">
        <f t="shared" si="78"/>
        <v>1</v>
      </c>
      <c r="T162" s="220" t="str">
        <f t="shared" si="81"/>
        <v>Southbound</v>
      </c>
      <c r="U162" s="22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1" t="str">
        <f t="shared" si="82"/>
        <v>https://d0f6bd738d7f1b3e5a7ca70fe4ff75f0.us-east-1.aws.found.io/app/kibana#/discover/Steve-Slow-Train-Analysis-(2080s-and-2083s)?_g=(refreshInterval:(display:Off,pause:!f,section:0,value:0),time:(from:'2017-12-12T04:56:24-0700',mode:absolute,to:'2017-12-12T07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2" s="222" t="str">
        <f>IF(AA162&lt;VLOOKUP(AG162,Variables!$AC$3:$AD$8,2,FALSE),"Y","N")</f>
        <v>N</v>
      </c>
      <c r="X162" s="222">
        <f t="shared" si="98"/>
        <v>1</v>
      </c>
      <c r="Y162" s="222">
        <f t="shared" si="94"/>
        <v>5.8624000000000001</v>
      </c>
      <c r="Z162" s="222">
        <f t="shared" si="95"/>
        <v>1.1900000000000001E-2</v>
      </c>
      <c r="AA162" s="222">
        <f t="shared" si="83"/>
        <v>5.8505000000000003</v>
      </c>
      <c r="AB162" s="231" t="e">
        <f>VLOOKUP(A162,Enforcements!$C$7:$K$9,8,0)</f>
        <v>#N/A</v>
      </c>
      <c r="AC162" s="231" t="e">
        <f>VLOOKUP(A162,Enforcements!$C$7:$E$9,3,0)</f>
        <v>#N/A</v>
      </c>
      <c r="AD162" s="232">
        <f t="shared" si="84"/>
        <v>802</v>
      </c>
      <c r="AE162" s="233" t="str">
        <f t="shared" si="85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162" s="234" t="str">
        <f t="shared" si="86"/>
        <v>"C:\Program Files (x86)\AstroGrep\AstroGrep.exe" /e /r /s /spath="%USERPROFILE%\AppData\Local\Temp\OnboardLogs" /stypes="app*4055*20171212*" /stext=" 13:.+((SYSTEM_STATE.+slice.+state.+changed )|(ment ac)|(multiple cpu faults)|(system.+state.+changed )|(\[timeout)|(PRM\|1\|D)|(kpr)|(kdp)|(train st.+moving)|(\|lc)|(penalty))"</v>
      </c>
      <c r="AG162" s="226" t="str">
        <f t="shared" si="87"/>
        <v>NW</v>
      </c>
      <c r="AH162" s="189" t="str">
        <f t="shared" si="89"/>
        <v>"%USERPROFILE%\Documents\GitHub\eaglep3\Utilities\RefineRTDCRunTimes.py" --tripid 802-12 --locoid 4055 --swversion DE.1.0.9.0 --startMP 300:58624 --initTime 2017-12-12T05:56:24 --startdatetime 2017-12-12T06:12:00 --delay 49 --endMP 204:119 --enddatetime 2017-12-12T06:25:07 --enforcementcount 0 &gt;&gt;%USERPROFILE%\Documents\GitHub\eaglep3-reporting\EC\2017-12-12-refined-times.txt</v>
      </c>
      <c r="AI162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{"issue":{"subject":"","project_id":79,"tracker_id":40,"status_id":1,"priority_id":2,"assigned_to_id":338,"start_date":"2017-12-12","description":"","custom_fields":[{"id":1,"name":"Subdivision","value":"NW"},{"id":4,"name":"Milepost","value":"0.0119"},{"id":17,"name":"Train ID","value":"802-12"},{"id":16,"name":"Locomotive ID","value":"4055"},{"id":130,"name":"Impact","value":""},{"id":150,"name":"Time of Event (Mountain Time)","value":"06:25:07"},{"id":151,"name":"Denver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180"/>
      <c r="AK162" s="188"/>
      <c r="AL162" s="188"/>
      <c r="AM162" s="193" t="str">
        <f t="shared" si="91"/>
        <v>start /low /b %USERPROFILE%\Documents\GitHub\eaglep3\Utilities\DownloadLogsFromS3.py --loco 4055 --day 2017-12-12</v>
      </c>
      <c r="AN162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87" t="str">
        <f t="shared" si="93"/>
        <v>https://d0f6bd738d7f1b3e5a7ca70fe4ff75f0.us-east-1.aws.found.io/app/kibana#/discover/Steve-Slow-Train-Analysis-(2080s-and-2083s)?_g=(refreshInterval:(display:Off,pause:!f,section:0,value:0),time:(from:'2017-12-12T04:56:24-0700',mode:absolute,to:'2017-12-12T07:25:07-0700'))&amp;_a=(columns:!('Message%20ID',Summary),filters:!(),index:'emp_*',interval:auto,query:(query_string:(analyze_wildcard:!t,query:'%22rtdc.l.rtdc.4055%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186" t="s">
        <v>723</v>
      </c>
      <c r="B163" s="182">
        <v>4032</v>
      </c>
      <c r="C163" s="184" t="s">
        <v>192</v>
      </c>
      <c r="D163" s="184" t="s">
        <v>1024</v>
      </c>
      <c r="E163" s="183">
        <v>43081.246099537035</v>
      </c>
      <c r="F163" s="183">
        <v>43081.25640046296</v>
      </c>
      <c r="G163" s="182">
        <v>90</v>
      </c>
      <c r="H163" s="184" t="s">
        <v>1025</v>
      </c>
      <c r="I163" s="183">
        <v>43081.266736111109</v>
      </c>
      <c r="J163" s="182">
        <v>0</v>
      </c>
      <c r="K163" s="190" t="str">
        <f t="shared" si="79"/>
        <v>4031/4032</v>
      </c>
      <c r="L163" s="196" t="str">
        <f>VLOOKUP(A163,'Trips&amp;Operators'!$C$1:$G$99911,5,FALSE)</f>
        <v>FORTUNATO FRANK</v>
      </c>
      <c r="M163" s="181">
        <f t="shared" si="80"/>
        <v>1.0335648148611654E-2</v>
      </c>
      <c r="N163" s="182">
        <f t="shared" si="88"/>
        <v>14.883333334000781</v>
      </c>
      <c r="O163" s="182"/>
      <c r="P163" s="182"/>
      <c r="Q163" s="185"/>
      <c r="R163" s="197"/>
      <c r="S163" s="241">
        <f t="shared" si="78"/>
        <v>1</v>
      </c>
      <c r="T163" s="220" t="str">
        <f t="shared" si="81"/>
        <v>NorthBound</v>
      </c>
      <c r="U163" s="22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1" t="str">
        <f t="shared" si="82"/>
        <v>https://d0f6bd738d7f1b3e5a7ca70fe4ff75f0.us-east-1.aws.found.io/app/kibana#/discover/Steve-Slow-Train-Analysis-(2080s-and-2083s)?_g=(refreshInterval:(display:Off,pause:!f,section:0,value:0),time:(from:'2017-12-12T04:54:23-0700',mode:absolute,to:'2017-12-12T07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222" t="str">
        <f>IF(AA163&lt;VLOOKUP(AG163,Variables!$AC$3:$AD$8,2,FALSE),"Y","N")</f>
        <v>N</v>
      </c>
      <c r="X163" s="222">
        <f t="shared" si="98"/>
        <v>1</v>
      </c>
      <c r="Y163" s="222">
        <f t="shared" si="94"/>
        <v>4.5900000000000003E-2</v>
      </c>
      <c r="Z163" s="222">
        <f t="shared" si="95"/>
        <v>5.8956</v>
      </c>
      <c r="AA163" s="222">
        <f t="shared" si="83"/>
        <v>5.8497000000000003</v>
      </c>
      <c r="AB163" s="231" t="e">
        <f>VLOOKUP(A163,Enforcements!$C$7:$K$9,8,0)</f>
        <v>#N/A</v>
      </c>
      <c r="AC163" s="231" t="e">
        <f>VLOOKUP(A163,Enforcements!$C$7:$E$9,3,0)</f>
        <v>#N/A</v>
      </c>
      <c r="AD163" s="232">
        <f t="shared" si="84"/>
        <v>803</v>
      </c>
      <c r="AE163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63" s="234" t="str">
        <f t="shared" si="86"/>
        <v>"C:\Program Files (x86)\AstroGrep\AstroGrep.exe" /e /r /s /spath="%USERPROFILE%\AppData\Local\Temp\OnboardLogs" /stypes="app*4032*20171212*" /stext=" 13:.+((SYSTEM_STATE.+slice.+state.+changed )|(ment ac)|(multiple cpu faults)|(system.+state.+changed )|(\[timeout)|(PRM\|1\|D)|(kpr)|(kdp)|(train st.+moving)|(\|lc)|(penalty))"</v>
      </c>
      <c r="AG163" s="226" t="str">
        <f t="shared" si="87"/>
        <v>NW</v>
      </c>
      <c r="AH163" s="189" t="str">
        <f t="shared" si="89"/>
        <v>"%USERPROFILE%\Documents\GitHub\eaglep3\Utilities\RefineRTDCRunTimes.py" --tripid 803-12 --locoid 4032 --swversion DE.1.0.9.0 --startMP 204:459 --initTime 2017-12-12T05:54:23 --startdatetime 2017-12-12T06:09:13 --delay 90 --endMP 300:58956 --enddatetime 2017-12-12T06:24:06 --enforcementcount 0 &gt;&gt;%USERPROFILE%\Documents\GitHub\eaglep3-reporting\EC\2017-12-12-refined-times.txt</v>
      </c>
      <c r="AI163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{"issue":{"subject":"","project_id":79,"tracker_id":40,"status_id":1,"priority_id":2,"assigned_to_id":338,"start_date":"2017-12-12","description":"","custom_fields":[{"id":1,"name":"Subdivision","value":"NW"},{"id":4,"name":"Milepost","value":"5.8956"},{"id":17,"name":"Train ID","value":"803-12"},{"id":16,"name":"Locomotive ID","value":"4032"},{"id":130,"name":"Impact","value":""},{"id":150,"name":"Time of Event (Mountain Time)","value":"06:24:06"},{"id":151,"name":"Denver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180"/>
      <c r="AK163" s="188"/>
      <c r="AL163" s="188"/>
      <c r="AM163" s="193" t="str">
        <f t="shared" si="91"/>
        <v>start /low /b %USERPROFILE%\Documents\GitHub\eaglep3\Utilities\DownloadLogsFromS3.py --loco 4032 --day 2017-12-12</v>
      </c>
      <c r="AN163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87" t="str">
        <f t="shared" si="93"/>
        <v>https://d0f6bd738d7f1b3e5a7ca70fe4ff75f0.us-east-1.aws.found.io/app/kibana#/discover/Steve-Slow-Train-Analysis-(2080s-and-2083s)?_g=(refreshInterval:(display:Off,pause:!f,section:0,value:0),time:(from:'2017-12-12T04:54:23-0700',mode:absolute,to:'2017-12-12T07:24:06-0700'))&amp;_a=(columns:!('Message%20ID',Summary),filters:!(),index:'emp_*',interval:auto,query:(query_string:(analyze_wildcard:!t,query:'%22rtdc.l.rtdc.4032%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186" t="s">
        <v>727</v>
      </c>
      <c r="B164" s="182">
        <v>4031</v>
      </c>
      <c r="C164" s="184" t="s">
        <v>192</v>
      </c>
      <c r="D164" s="184" t="s">
        <v>591</v>
      </c>
      <c r="E164" s="183">
        <v>43081.267951388887</v>
      </c>
      <c r="F164" s="183">
        <v>43081.279166666667</v>
      </c>
      <c r="G164" s="182">
        <v>52</v>
      </c>
      <c r="H164" s="184" t="s">
        <v>564</v>
      </c>
      <c r="I164" s="183">
        <v>43081.288136574076</v>
      </c>
      <c r="J164" s="182">
        <v>0</v>
      </c>
      <c r="K164" s="190" t="str">
        <f t="shared" si="79"/>
        <v>4031/4032</v>
      </c>
      <c r="L164" s="196" t="str">
        <f>VLOOKUP(A164,'Trips&amp;Operators'!$C$1:$G$99911,5,FALSE)</f>
        <v>FORTUNATO FRANK</v>
      </c>
      <c r="M164" s="181">
        <f t="shared" si="80"/>
        <v>8.969907408754807E-3</v>
      </c>
      <c r="N164" s="182">
        <f t="shared" si="88"/>
        <v>12.916666668606922</v>
      </c>
      <c r="O164" s="182"/>
      <c r="P164" s="182"/>
      <c r="Q164" s="185"/>
      <c r="R164" s="197"/>
      <c r="S164" s="241">
        <f t="shared" si="78"/>
        <v>1</v>
      </c>
      <c r="T164" s="220" t="str">
        <f t="shared" si="81"/>
        <v>Southbound</v>
      </c>
      <c r="U164" s="22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21" t="str">
        <f t="shared" si="82"/>
        <v>https://d0f6bd738d7f1b3e5a7ca70fe4ff75f0.us-east-1.aws.found.io/app/kibana#/discover/Steve-Slow-Train-Analysis-(2080s-and-2083s)?_g=(refreshInterval:(display:Off,pause:!f,section:0,value:0),time:(from:'2017-12-12T05:25:51-0700',mode:absolute,to:'2017-12-12T07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222" t="str">
        <f>IF(AA164&lt;VLOOKUP(AG164,Variables!$AC$3:$AD$8,2,FALSE),"Y","N")</f>
        <v>N</v>
      </c>
      <c r="X164" s="222">
        <f t="shared" si="98"/>
        <v>1</v>
      </c>
      <c r="Y164" s="222">
        <f t="shared" si="94"/>
        <v>5.8647</v>
      </c>
      <c r="Z164" s="222">
        <f t="shared" si="95"/>
        <v>1.4800000000000001E-2</v>
      </c>
      <c r="AA164" s="222">
        <f t="shared" si="83"/>
        <v>5.8498999999999999</v>
      </c>
      <c r="AB164" s="231" t="e">
        <f>VLOOKUP(A164,Enforcements!$C$7:$K$9,8,0)</f>
        <v>#N/A</v>
      </c>
      <c r="AC164" s="231" t="e">
        <f>VLOOKUP(A164,Enforcements!$C$7:$E$9,3,0)</f>
        <v>#N/A</v>
      </c>
      <c r="AD164" s="232">
        <f t="shared" si="84"/>
        <v>804</v>
      </c>
      <c r="AE164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64" s="234" t="str">
        <f t="shared" si="86"/>
        <v>"C:\Program Files (x86)\AstroGrep\AstroGrep.exe" /e /r /s /spath="%USERPROFILE%\AppData\Local\Temp\OnboardLogs" /stypes="app*4031*20171212*" /stext=" 13:.+((SYSTEM_STATE.+slice.+state.+changed )|(ment ac)|(multiple cpu faults)|(system.+state.+changed )|(\[timeout)|(PRM\|1\|D)|(kpr)|(kdp)|(train st.+moving)|(\|lc)|(penalty))"</v>
      </c>
      <c r="AG164" s="226" t="str">
        <f t="shared" si="87"/>
        <v>NW</v>
      </c>
      <c r="AH164" s="189" t="str">
        <f t="shared" si="89"/>
        <v>"%USERPROFILE%\Documents\GitHub\eaglep3\Utilities\RefineRTDCRunTimes.py" --tripid 804-12 --locoid 4031 --swversion DE.1.0.9.0 --startMP 300:58647 --initTime 2017-12-12T06:25:51 --startdatetime 2017-12-12T06:42:00 --delay 52 --endMP 204:148 --enddatetime 2017-12-12T06:54:55 --enforcementcount 0 &gt;&gt;%USERPROFILE%\Documents\GitHub\eaglep3-reporting\EC\2017-12-12-refined-times.txt</v>
      </c>
      <c r="AI164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{"issue":{"subject":"","project_id":79,"tracker_id":40,"status_id":1,"priority_id":2,"assigned_to_id":338,"start_date":"2017-12-12","description":"","custom_fields":[{"id":1,"name":"Subdivision","value":"NW"},{"id":4,"name":"Milepost","value":"0.0148"},{"id":17,"name":"Train ID","value":"804-12"},{"id":16,"name":"Locomotive ID","value":"4031"},{"id":130,"name":"Impact","value":""},{"id":150,"name":"Time of Event (Mountain Time)","value":"06:54:55"},{"id":151,"name":"Denver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180"/>
      <c r="AK164" s="188"/>
      <c r="AL164" s="188"/>
      <c r="AM164" s="193" t="str">
        <f t="shared" si="91"/>
        <v>start /low /b %USERPROFILE%\Documents\GitHub\eaglep3\Utilities\DownloadLogsFromS3.py --loco 4031 --day 2017-12-12</v>
      </c>
      <c r="AN164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87" t="str">
        <f t="shared" si="93"/>
        <v>https://d0f6bd738d7f1b3e5a7ca70fe4ff75f0.us-east-1.aws.found.io/app/kibana#/discover/Steve-Slow-Train-Analysis-(2080s-and-2083s)?_g=(refreshInterval:(display:Off,pause:!f,section:0,value:0),time:(from:'2017-12-12T05:25:51-0700',mode:absolute,to:'2017-12-12T07:54:55-0700'))&amp;_a=(columns:!('Message%20ID',Summary),filters:!(),index:'emp_*',interval:auto,query:(query_string:(analyze_wildcard:!t,query:'%22rtdc.l.rtdc.4031%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186" t="s">
        <v>728</v>
      </c>
      <c r="B165" s="182">
        <v>4056</v>
      </c>
      <c r="C165" s="184" t="s">
        <v>192</v>
      </c>
      <c r="D165" s="184" t="s">
        <v>654</v>
      </c>
      <c r="E165" s="183">
        <v>43081.269004629627</v>
      </c>
      <c r="F165" s="183">
        <v>43081.277314814812</v>
      </c>
      <c r="G165" s="182">
        <v>69</v>
      </c>
      <c r="H165" s="184" t="s">
        <v>1026</v>
      </c>
      <c r="I165" s="183">
        <v>43081.287719907406</v>
      </c>
      <c r="J165" s="182">
        <v>0</v>
      </c>
      <c r="K165" s="190" t="str">
        <f t="shared" si="79"/>
        <v>4055/4056</v>
      </c>
      <c r="L165" s="196" t="str">
        <f>VLOOKUP(A165,'Trips&amp;Operators'!$C$1:$G$99911,5,FALSE)</f>
        <v>DAVIDSON DAVID</v>
      </c>
      <c r="M165" s="181">
        <f t="shared" si="80"/>
        <v>1.0405092594737653E-2</v>
      </c>
      <c r="N165" s="182">
        <f t="shared" si="88"/>
        <v>14.98333333642222</v>
      </c>
      <c r="O165" s="182"/>
      <c r="P165" s="182"/>
      <c r="Q165" s="185"/>
      <c r="R165" s="197"/>
      <c r="S165" s="241">
        <f t="shared" si="78"/>
        <v>1</v>
      </c>
      <c r="T165" s="220" t="str">
        <f t="shared" si="81"/>
        <v>NorthBound</v>
      </c>
      <c r="U165" s="22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1" t="str">
        <f t="shared" si="82"/>
        <v>https://d0f6bd738d7f1b3e5a7ca70fe4ff75f0.us-east-1.aws.found.io/app/kibana#/discover/Steve-Slow-Train-Analysis-(2080s-and-2083s)?_g=(refreshInterval:(display:Off,pause:!f,section:0,value:0),time:(from:'2017-12-12T05:27:22-0700',mode:absolute,to:'2017-12-12T07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222" t="str">
        <f>IF(AA165&lt;VLOOKUP(AG165,Variables!$AC$3:$AD$8,2,FALSE),"Y","N")</f>
        <v>N</v>
      </c>
      <c r="X165" s="222">
        <f t="shared" si="98"/>
        <v>1</v>
      </c>
      <c r="Y165" s="222">
        <f t="shared" si="94"/>
        <v>4.2599999999999999E-2</v>
      </c>
      <c r="Z165" s="222">
        <f t="shared" si="95"/>
        <v>5.8943000000000003</v>
      </c>
      <c r="AA165" s="222">
        <f t="shared" si="83"/>
        <v>5.8517000000000001</v>
      </c>
      <c r="AB165" s="231" t="e">
        <f>VLOOKUP(A165,Enforcements!$C$7:$K$9,8,0)</f>
        <v>#N/A</v>
      </c>
      <c r="AC165" s="231" t="e">
        <f>VLOOKUP(A165,Enforcements!$C$7:$E$9,3,0)</f>
        <v>#N/A</v>
      </c>
      <c r="AD165" s="232">
        <f t="shared" si="84"/>
        <v>805</v>
      </c>
      <c r="AE165" s="233" t="str">
        <f t="shared" si="85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165" s="234" t="str">
        <f t="shared" si="86"/>
        <v>"C:\Program Files (x86)\AstroGrep\AstroGrep.exe" /e /r /s /spath="%USERPROFILE%\AppData\Local\Temp\OnboardLogs" /stypes="app*4056*20171212*" /stext=" 13:.+((SYSTEM_STATE.+slice.+state.+changed )|(ment ac)|(multiple cpu faults)|(system.+state.+changed )|(\[timeout)|(PRM\|1\|D)|(kpr)|(kdp)|(train st.+moving)|(\|lc)|(penalty))"</v>
      </c>
      <c r="AG165" s="226" t="str">
        <f t="shared" si="87"/>
        <v>NW</v>
      </c>
      <c r="AH165" s="189" t="str">
        <f t="shared" si="89"/>
        <v>"%USERPROFILE%\Documents\GitHub\eaglep3\Utilities\RefineRTDCRunTimes.py" --tripid 805-12 --locoid 4056 --swversion DE.1.0.9.0 --startMP 204:426 --initTime 2017-12-12T06:27:22 --startdatetime 2017-12-12T06:39:20 --delay 69 --endMP 300:58943 --enddatetime 2017-12-12T06:54:19 --enforcementcount 0 &gt;&gt;%USERPROFILE%\Documents\GitHub\eaglep3-reporting\EC\2017-12-12-refined-times.txt</v>
      </c>
      <c r="AI165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{"issue":{"subject":"","project_id":79,"tracker_id":40,"status_id":1,"priority_id":2,"assigned_to_id":338,"start_date":"2017-12-12","description":"","custom_fields":[{"id":1,"name":"Subdivision","value":"NW"},{"id":4,"name":"Milepost","value":"5.8943"},{"id":17,"name":"Train ID","value":"805-12"},{"id":16,"name":"Locomotive ID","value":"4056"},{"id":130,"name":"Impact","value":""},{"id":150,"name":"Time of Event (Mountain Time)","value":"06:54:19"},{"id":151,"name":"Denver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180"/>
      <c r="AK165" s="188"/>
      <c r="AL165" s="188"/>
      <c r="AM165" s="193" t="str">
        <f t="shared" si="91"/>
        <v>start /low /b %USERPROFILE%\Documents\GitHub\eaglep3\Utilities\DownloadLogsFromS3.py --loco 4056 --day 2017-12-12</v>
      </c>
      <c r="AN165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13:54:19"},{"id":29,"name":"Sharepoint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87" t="str">
        <f t="shared" si="93"/>
        <v>https://d0f6bd738d7f1b3e5a7ca70fe4ff75f0.us-east-1.aws.found.io/app/kibana#/discover/Steve-Slow-Train-Analysis-(2080s-and-2083s)?_g=(refreshInterval:(display:Off,pause:!f,section:0,value:0),time:(from:'2017-12-12T05:27:22-0700',mode:absolute,to:'2017-12-12T07:54:19-0700'))&amp;_a=(columns:!('Message%20ID',Summary),filters:!(),index:'emp_*',interval:auto,query:(query_string:(analyze_wildcard:!t,query:'%22rtdc.l.rtdc.4056%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186" t="s">
        <v>733</v>
      </c>
      <c r="B166" s="182">
        <v>4055</v>
      </c>
      <c r="C166" s="184" t="s">
        <v>192</v>
      </c>
      <c r="D166" s="184" t="s">
        <v>653</v>
      </c>
      <c r="E166" s="183">
        <v>43081.2890625</v>
      </c>
      <c r="F166" s="183">
        <v>43081.3</v>
      </c>
      <c r="G166" s="182">
        <v>57</v>
      </c>
      <c r="H166" s="184" t="s">
        <v>664</v>
      </c>
      <c r="I166" s="183">
        <v>43081.309247685182</v>
      </c>
      <c r="J166" s="182">
        <v>0</v>
      </c>
      <c r="K166" s="190" t="str">
        <f t="shared" si="79"/>
        <v>4055/4056</v>
      </c>
      <c r="L166" s="196" t="str">
        <f>VLOOKUP(A166,'Trips&amp;Operators'!$C$1:$G$99911,5,FALSE)</f>
        <v>DAVIDSON DAVID</v>
      </c>
      <c r="M166" s="181">
        <f t="shared" si="80"/>
        <v>9.2476851787068881E-3</v>
      </c>
      <c r="N166" s="182">
        <f t="shared" si="88"/>
        <v>13.316666657337919</v>
      </c>
      <c r="O166" s="182"/>
      <c r="P166" s="182"/>
      <c r="Q166" s="185"/>
      <c r="R166" s="197"/>
      <c r="S166" s="241">
        <f t="shared" si="78"/>
        <v>1</v>
      </c>
      <c r="T166" s="220" t="str">
        <f t="shared" si="81"/>
        <v>Southbound</v>
      </c>
      <c r="U166" s="22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1" t="str">
        <f t="shared" si="82"/>
        <v>https://d0f6bd738d7f1b3e5a7ca70fe4ff75f0.us-east-1.aws.found.io/app/kibana#/discover/Steve-Slow-Train-Analysis-(2080s-and-2083s)?_g=(refreshInterval:(display:Off,pause:!f,section:0,value:0),time:(from:'2017-12-12T05:56:15-0700',mode:absolute,to:'2017-12-12T08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222" t="str">
        <f>IF(AA166&lt;VLOOKUP(AG166,Variables!$AC$3:$AD$8,2,FALSE),"Y","N")</f>
        <v>N</v>
      </c>
      <c r="X166" s="222">
        <f t="shared" si="98"/>
        <v>1</v>
      </c>
      <c r="Y166" s="222">
        <f t="shared" si="94"/>
        <v>5.8616999999999999</v>
      </c>
      <c r="Z166" s="222">
        <f t="shared" si="95"/>
        <v>1.26E-2</v>
      </c>
      <c r="AA166" s="222">
        <f t="shared" si="83"/>
        <v>5.8491</v>
      </c>
      <c r="AB166" s="231" t="e">
        <f>VLOOKUP(A166,Enforcements!$C$7:$K$9,8,0)</f>
        <v>#N/A</v>
      </c>
      <c r="AC166" s="231" t="e">
        <f>VLOOKUP(A166,Enforcements!$C$7:$E$9,3,0)</f>
        <v>#N/A</v>
      </c>
      <c r="AD166" s="232">
        <f t="shared" si="84"/>
        <v>806</v>
      </c>
      <c r="AE166" s="233" t="str">
        <f t="shared" si="85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166" s="234" t="str">
        <f t="shared" si="86"/>
        <v>"C:\Program Files (x86)\AstroGrep\AstroGrep.exe" /e /r /s /spath="%USERPROFILE%\AppData\Local\Temp\OnboardLogs" /stypes="app*4055*20171212*" /stext=" 14:.+((SYSTEM_STATE.+slice.+state.+changed )|(ment ac)|(multiple cpu faults)|(system.+state.+changed )|(\[timeout)|(PRM\|1\|D)|(kpr)|(kdp)|(train st.+moving)|(\|lc)|(penalty))"</v>
      </c>
      <c r="AG166" s="226" t="str">
        <f t="shared" si="87"/>
        <v>NW</v>
      </c>
      <c r="AH166" s="189" t="str">
        <f t="shared" si="89"/>
        <v>"%USERPROFILE%\Documents\GitHub\eaglep3\Utilities\RefineRTDCRunTimes.py" --tripid 806-12 --locoid 4055 --swversion DE.1.0.9.0 --startMP 300:58617 --initTime 2017-12-12T06:56:15 --startdatetime 2017-12-12T07:12:00 --delay 57 --endMP 204:126 --enddatetime 2017-12-12T07:25:19 --enforcementcount 0 &gt;&gt;%USERPROFILE%\Documents\GitHub\eaglep3-reporting\EC\2017-12-12-refined-times.txt</v>
      </c>
      <c r="AI166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{"issue":{"subject":"","project_id":79,"tracker_id":40,"status_id":1,"priority_id":2,"assigned_to_id":338,"start_date":"2017-12-12","description":"","custom_fields":[{"id":1,"name":"Subdivision","value":"NW"},{"id":4,"name":"Milepost","value":"0.0126"},{"id":17,"name":"Train ID","value":"806-12"},{"id":16,"name":"Locomotive ID","value":"4055"},{"id":130,"name":"Impact","value":""},{"id":150,"name":"Time of Event (Mountain Time)","value":"07:25:19"},{"id":151,"name":"Denver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180"/>
      <c r="AK166" s="188"/>
      <c r="AL166" s="188"/>
      <c r="AM166" s="193" t="str">
        <f t="shared" si="91"/>
        <v>start /low /b %USERPROFILE%\Documents\GitHub\eaglep3\Utilities\DownloadLogsFromS3.py --loco 4055 --day 2017-12-12</v>
      </c>
      <c r="AN166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87" t="str">
        <f t="shared" si="93"/>
        <v>https://d0f6bd738d7f1b3e5a7ca70fe4ff75f0.us-east-1.aws.found.io/app/kibana#/discover/Steve-Slow-Train-Analysis-(2080s-and-2083s)?_g=(refreshInterval:(display:Off,pause:!f,section:0,value:0),time:(from:'2017-12-12T05:56:15-0700',mode:absolute,to:'2017-12-12T08:25:19-0700'))&amp;_a=(columns:!('Message%20ID',Summary),filters:!(),index:'emp_*',interval:auto,query:(query_string:(analyze_wildcard:!t,query:'%22rtdc.l.rtdc.4055%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186" t="s">
        <v>734</v>
      </c>
      <c r="B167" s="182">
        <v>4032</v>
      </c>
      <c r="C167" s="184" t="s">
        <v>192</v>
      </c>
      <c r="D167" s="184" t="s">
        <v>553</v>
      </c>
      <c r="E167" s="183">
        <v>43081.289756944447</v>
      </c>
      <c r="F167" s="183">
        <v>43081.298078703701</v>
      </c>
      <c r="G167" s="182">
        <v>57</v>
      </c>
      <c r="H167" s="184" t="s">
        <v>593</v>
      </c>
      <c r="I167" s="183">
        <v>43081.308344907404</v>
      </c>
      <c r="J167" s="182">
        <v>0</v>
      </c>
      <c r="K167" s="190" t="str">
        <f t="shared" si="79"/>
        <v>4031/4032</v>
      </c>
      <c r="L167" s="196" t="str">
        <f>VLOOKUP(A167,'Trips&amp;Operators'!$C$1:$G$99911,5,FALSE)</f>
        <v>FORTUNATO FRANK</v>
      </c>
      <c r="M167" s="181">
        <f t="shared" si="80"/>
        <v>1.0266203702485655E-2</v>
      </c>
      <c r="N167" s="182">
        <f t="shared" si="88"/>
        <v>14.783333331579342</v>
      </c>
      <c r="O167" s="182"/>
      <c r="P167" s="182"/>
      <c r="Q167" s="185"/>
      <c r="R167" s="197"/>
      <c r="S167" s="241">
        <f t="shared" si="78"/>
        <v>1</v>
      </c>
      <c r="T167" s="220" t="str">
        <f t="shared" si="81"/>
        <v>NorthBound</v>
      </c>
      <c r="U167" s="22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1" t="str">
        <f t="shared" si="82"/>
        <v>https://d0f6bd738d7f1b3e5a7ca70fe4ff75f0.us-east-1.aws.found.io/app/kibana#/discover/Steve-Slow-Train-Analysis-(2080s-and-2083s)?_g=(refreshInterval:(display:Off,pause:!f,section:0,value:0),time:(from:'2017-12-12T05:57:15-0700',mode:absolute,to:'2017-12-12T08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222" t="str">
        <f>IF(AA167&lt;VLOOKUP(AG167,Variables!$AC$3:$AD$8,2,FALSE),"Y","N")</f>
        <v>N</v>
      </c>
      <c r="X167" s="222">
        <f t="shared" si="98"/>
        <v>1</v>
      </c>
      <c r="Y167" s="222">
        <f t="shared" si="94"/>
        <v>4.5100000000000001E-2</v>
      </c>
      <c r="Z167" s="222">
        <f t="shared" si="95"/>
        <v>5.8997000000000002</v>
      </c>
      <c r="AA167" s="222">
        <f t="shared" si="83"/>
        <v>5.8546000000000005</v>
      </c>
      <c r="AB167" s="231" t="e">
        <f>VLOOKUP(A167,Enforcements!$C$7:$K$9,8,0)</f>
        <v>#N/A</v>
      </c>
      <c r="AC167" s="231" t="e">
        <f>VLOOKUP(A167,Enforcements!$C$7:$E$9,3,0)</f>
        <v>#N/A</v>
      </c>
      <c r="AD167" s="232">
        <f t="shared" si="84"/>
        <v>807</v>
      </c>
      <c r="AE167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67" s="234" t="str">
        <f t="shared" si="86"/>
        <v>"C:\Program Files (x86)\AstroGrep\AstroGrep.exe" /e /r /s /spath="%USERPROFILE%\AppData\Local\Temp\OnboardLogs" /stypes="app*4032*20171212*" /stext=" 14:.+((SYSTEM_STATE.+slice.+state.+changed )|(ment ac)|(multiple cpu faults)|(system.+state.+changed )|(\[timeout)|(PRM\|1\|D)|(kpr)|(kdp)|(train st.+moving)|(\|lc)|(penalty))"</v>
      </c>
      <c r="AG167" s="226" t="str">
        <f t="shared" si="87"/>
        <v>NW</v>
      </c>
      <c r="AH167" s="189" t="str">
        <f t="shared" si="89"/>
        <v>"%USERPROFILE%\Documents\GitHub\eaglep3\Utilities\RefineRTDCRunTimes.py" --tripid 807-12 --locoid 4032 --swversion DE.1.0.9.0 --startMP 204:451 --initTime 2017-12-12T06:57:15 --startdatetime 2017-12-12T07:09:14 --delay 57 --endMP 300:58997 --enddatetime 2017-12-12T07:24:01 --enforcementcount 0 &gt;&gt;%USERPROFILE%\Documents\GitHub\eaglep3-reporting\EC\2017-12-12-refined-times.txt</v>
      </c>
      <c r="AI167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{"issue":{"subject":"","project_id":79,"tracker_id":40,"status_id":1,"priority_id":2,"assigned_to_id":338,"start_date":"2017-12-12","description":"","custom_fields":[{"id":1,"name":"Subdivision","value":"NW"},{"id":4,"name":"Milepost","value":"5.8997"},{"id":17,"name":"Train ID","value":"807-12"},{"id":16,"name":"Locomotive ID","value":"4032"},{"id":130,"name":"Impact","value":""},{"id":150,"name":"Time of Event (Mountain Time)","value":"07:24:01"},{"id":151,"name":"Denver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180"/>
      <c r="AK167" s="188"/>
      <c r="AL167" s="188"/>
      <c r="AM167" s="193" t="str">
        <f t="shared" si="91"/>
        <v>start /low /b %USERPROFILE%\Documents\GitHub\eaglep3\Utilities\DownloadLogsFromS3.py --loco 4032 --day 2017-12-12</v>
      </c>
      <c r="AN167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87" t="str">
        <f t="shared" si="93"/>
        <v>https://d0f6bd738d7f1b3e5a7ca70fe4ff75f0.us-east-1.aws.found.io/app/kibana#/discover/Steve-Slow-Train-Analysis-(2080s-and-2083s)?_g=(refreshInterval:(display:Off,pause:!f,section:0,value:0),time:(from:'2017-12-12T05:57:15-0700',mode:absolute,to:'2017-12-12T08:24:01-0700'))&amp;_a=(columns:!('Message%20ID',Summary),filters:!(),index:'emp_*',interval:auto,query:(query_string:(analyze_wildcard:!t,query:'%22rtdc.l.rtdc.4032%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180" customFormat="1" x14ac:dyDescent="0.25">
      <c r="A168" s="186" t="s">
        <v>674</v>
      </c>
      <c r="B168" s="182">
        <v>4031</v>
      </c>
      <c r="C168" s="184" t="s">
        <v>192</v>
      </c>
      <c r="D168" s="184" t="s">
        <v>1027</v>
      </c>
      <c r="E168" s="183">
        <v>43081.309884259259</v>
      </c>
      <c r="F168" s="183">
        <v>43081.320833333331</v>
      </c>
      <c r="G168" s="182">
        <v>55</v>
      </c>
      <c r="H168" s="184" t="s">
        <v>448</v>
      </c>
      <c r="I168" s="183">
        <v>43081.329814814817</v>
      </c>
      <c r="J168" s="182">
        <v>0</v>
      </c>
      <c r="K168" s="190" t="str">
        <f t="shared" si="79"/>
        <v>4031/4032</v>
      </c>
      <c r="L168" s="196" t="str">
        <f>VLOOKUP(A168,'Trips&amp;Operators'!$C$1:$G$99911,5,FALSE)</f>
        <v>FORTUNATO FRANK</v>
      </c>
      <c r="M168" s="181">
        <f t="shared" si="80"/>
        <v>8.9814814855344594E-3</v>
      </c>
      <c r="N168" s="182">
        <f t="shared" si="88"/>
        <v>12.933333339169621</v>
      </c>
      <c r="O168" s="182"/>
      <c r="P168" s="182"/>
      <c r="Q168" s="185"/>
      <c r="R168" s="197"/>
      <c r="S168" s="241">
        <f t="shared" si="78"/>
        <v>1</v>
      </c>
      <c r="T168" s="220" t="str">
        <f t="shared" si="81"/>
        <v>Southbound</v>
      </c>
      <c r="U168" s="22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1" t="str">
        <f t="shared" si="82"/>
        <v>https://d0f6bd738d7f1b3e5a7ca70fe4ff75f0.us-east-1.aws.found.io/app/kibana#/discover/Steve-Slow-Train-Analysis-(2080s-and-2083s)?_g=(refreshInterval:(display:Off,pause:!f,section:0,value:0),time:(from:'2017-12-12T06:26:14-0700',mode:absolute,to:'2017-12-12T08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222" t="str">
        <f>IF(AA168&lt;VLOOKUP(AG168,Variables!$AC$3:$AD$8,2,FALSE),"Y","N")</f>
        <v>N</v>
      </c>
      <c r="X168" s="222">
        <f t="shared" si="98"/>
        <v>1</v>
      </c>
      <c r="Y168" s="222">
        <f t="shared" si="94"/>
        <v>5.8674999999999997</v>
      </c>
      <c r="Z168" s="222">
        <f t="shared" si="95"/>
        <v>1.5800000000000002E-2</v>
      </c>
      <c r="AA168" s="222">
        <f t="shared" si="83"/>
        <v>5.8517000000000001</v>
      </c>
      <c r="AB168" s="231" t="e">
        <f>VLOOKUP(A168,Enforcements!$C$7:$K$9,8,0)</f>
        <v>#N/A</v>
      </c>
      <c r="AC168" s="231" t="e">
        <f>VLOOKUP(A168,Enforcements!$C$7:$E$9,3,0)</f>
        <v>#N/A</v>
      </c>
      <c r="AD168" s="232">
        <f t="shared" si="84"/>
        <v>808</v>
      </c>
      <c r="AE168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68" s="234" t="str">
        <f t="shared" si="86"/>
        <v>"C:\Program Files (x86)\AstroGrep\AstroGrep.exe" /e /r /s /spath="%USERPROFILE%\AppData\Local\Temp\OnboardLogs" /stypes="app*4031*20171212*" /stext=" 14:.+((SYSTEM_STATE.+slice.+state.+changed )|(ment ac)|(multiple cpu faults)|(system.+state.+changed )|(\[timeout)|(PRM\|1\|D)|(kpr)|(kdp)|(train st.+moving)|(\|lc)|(penalty))"</v>
      </c>
      <c r="AG168" s="226" t="str">
        <f t="shared" si="87"/>
        <v>NW</v>
      </c>
      <c r="AH168" s="189" t="str">
        <f t="shared" si="89"/>
        <v>"%USERPROFILE%\Documents\GitHub\eaglep3\Utilities\RefineRTDCRunTimes.py" --tripid 808-12 --locoid 4031 --swversion DE.1.0.9.0 --startMP 300:58675 --initTime 2017-12-12T07:26:14 --startdatetime 2017-12-12T07:42:00 --delay 55 --endMP 204:158 --enddatetime 2017-12-12T07:54:56 --enforcementcount 0 &gt;&gt;%USERPROFILE%\Documents\GitHub\eaglep3-reporting\EC\2017-12-12-refined-times.txt</v>
      </c>
      <c r="AI168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{"issue":{"subject":"","project_id":79,"tracker_id":40,"status_id":1,"priority_id":2,"assigned_to_id":338,"start_date":"2017-12-12","description":"","custom_fields":[{"id":1,"name":"Subdivision","value":"NW"},{"id":4,"name":"Milepost","value":"0.0158"},{"id":17,"name":"Train ID","value":"808-12"},{"id":16,"name":"Locomotive ID","value":"4031"},{"id":130,"name":"Impact","value":""},{"id":150,"name":"Time of Event (Mountain Time)","value":"07:54:56"},{"id":151,"name":"Denver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188"/>
      <c r="AL168" s="188"/>
      <c r="AM168" s="193" t="str">
        <f t="shared" si="91"/>
        <v>start /low /b %USERPROFILE%\Documents\GitHub\eaglep3\Utilities\DownloadLogsFromS3.py --loco 4031 --day 2017-12-12</v>
      </c>
      <c r="AN168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87" t="str">
        <f t="shared" si="93"/>
        <v>https://d0f6bd738d7f1b3e5a7ca70fe4ff75f0.us-east-1.aws.found.io/app/kibana#/discover/Steve-Slow-Train-Analysis-(2080s-and-2083s)?_g=(refreshInterval:(display:Off,pause:!f,section:0,value:0),time:(from:'2017-12-12T06:26:14-0700',mode:absolute,to:'2017-12-12T08:54:56-0700'))&amp;_a=(columns:!('Message%20ID',Summary),filters:!(),index:'emp_*',interval:auto,query:(query_string:(analyze_wildcard:!t,query:'%22rtdc.l.rtdc.4031%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186" t="s">
        <v>738</v>
      </c>
      <c r="B169" s="182">
        <v>4056</v>
      </c>
      <c r="C169" s="184" t="s">
        <v>192</v>
      </c>
      <c r="D169" s="184" t="s">
        <v>1028</v>
      </c>
      <c r="E169" s="183">
        <v>43081.31145833333</v>
      </c>
      <c r="F169" s="183">
        <v>43081.319039351853</v>
      </c>
      <c r="G169" s="182">
        <v>60</v>
      </c>
      <c r="H169" s="184" t="s">
        <v>594</v>
      </c>
      <c r="I169" s="183">
        <v>43081.329432870371</v>
      </c>
      <c r="J169" s="182">
        <v>0</v>
      </c>
      <c r="K169" s="190" t="str">
        <f t="shared" si="79"/>
        <v>4055/4056</v>
      </c>
      <c r="L169" s="196" t="str">
        <f>VLOOKUP(A169,'Trips&amp;Operators'!$C$1:$G$99911,5,FALSE)</f>
        <v>DAVIDSON DAVID</v>
      </c>
      <c r="M169" s="181">
        <f t="shared" si="80"/>
        <v>1.0393518517958E-2</v>
      </c>
      <c r="N169" s="182">
        <f t="shared" si="88"/>
        <v>14.96666666585952</v>
      </c>
      <c r="O169" s="182"/>
      <c r="P169" s="182"/>
      <c r="Q169" s="185"/>
      <c r="R169" s="197"/>
      <c r="S169" s="241">
        <f t="shared" si="78"/>
        <v>1</v>
      </c>
      <c r="T169" s="220" t="str">
        <f t="shared" si="81"/>
        <v>NorthBound</v>
      </c>
      <c r="U169" s="22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1" t="str">
        <f t="shared" si="82"/>
        <v>https://d0f6bd738d7f1b3e5a7ca70fe4ff75f0.us-east-1.aws.found.io/app/kibana#/discover/Steve-Slow-Train-Analysis-(2080s-and-2083s)?_g=(refreshInterval:(display:Off,pause:!f,section:0,value:0),time:(from:'2017-12-12T06:28:30-0700',mode:absolute,to:'2017-12-12T08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222" t="str">
        <f>IF(AA169&lt;VLOOKUP(AG169,Variables!$AC$3:$AD$8,2,FALSE),"Y","N")</f>
        <v>N</v>
      </c>
      <c r="X169" s="222">
        <f t="shared" si="98"/>
        <v>1</v>
      </c>
      <c r="Y169" s="222">
        <f t="shared" si="94"/>
        <v>4.41E-2</v>
      </c>
      <c r="Z169" s="222">
        <f t="shared" si="95"/>
        <v>5.8928000000000003</v>
      </c>
      <c r="AA169" s="222">
        <f t="shared" si="83"/>
        <v>5.8487</v>
      </c>
      <c r="AB169" s="231" t="e">
        <f>VLOOKUP(A169,Enforcements!$C$7:$K$9,8,0)</f>
        <v>#N/A</v>
      </c>
      <c r="AC169" s="231" t="e">
        <f>VLOOKUP(A169,Enforcements!$C$7:$E$9,3,0)</f>
        <v>#N/A</v>
      </c>
      <c r="AD169" s="232">
        <f t="shared" si="84"/>
        <v>809</v>
      </c>
      <c r="AE169" s="233" t="str">
        <f t="shared" si="85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169" s="234" t="str">
        <f t="shared" si="86"/>
        <v>"C:\Program Files (x86)\AstroGrep\AstroGrep.exe" /e /r /s /spath="%USERPROFILE%\AppData\Local\Temp\OnboardLogs" /stypes="app*4056*20171212*" /stext=" 14:.+((SYSTEM_STATE.+slice.+state.+changed )|(ment ac)|(multiple cpu faults)|(system.+state.+changed )|(\[timeout)|(PRM\|1\|D)|(kpr)|(kdp)|(train st.+moving)|(\|lc)|(penalty))"</v>
      </c>
      <c r="AG169" s="226" t="str">
        <f t="shared" si="87"/>
        <v>NW</v>
      </c>
      <c r="AH169" s="189" t="str">
        <f t="shared" si="89"/>
        <v>"%USERPROFILE%\Documents\GitHub\eaglep3\Utilities\RefineRTDCRunTimes.py" --tripid 809-12 --locoid 4056 --swversion DE.1.0.9.0 --startMP 204:441 --initTime 2017-12-12T07:28:30 --startdatetime 2017-12-12T07:39:25 --delay 60 --endMP 300:58928 --enddatetime 2017-12-12T07:54:23 --enforcementcount 0 &gt;&gt;%USERPROFILE%\Documents\GitHub\eaglep3-reporting\EC\2017-12-12-refined-times.txt</v>
      </c>
      <c r="AI169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{"issue":{"subject":"","project_id":79,"tracker_id":40,"status_id":1,"priority_id":2,"assigned_to_id":338,"start_date":"2017-12-12","description":"","custom_fields":[{"id":1,"name":"Subdivision","value":"NW"},{"id":4,"name":"Milepost","value":"5.8928"},{"id":17,"name":"Train ID","value":"809-12"},{"id":16,"name":"Locomotive ID","value":"4056"},{"id":130,"name":"Impact","value":""},{"id":150,"name":"Time of Event (Mountain Time)","value":"07:54:23"},{"id":151,"name":"Denver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180"/>
      <c r="AK169" s="188"/>
      <c r="AL169" s="188"/>
      <c r="AM169" s="193" t="str">
        <f t="shared" si="91"/>
        <v>start /low /b %USERPROFILE%\Documents\GitHub\eaglep3\Utilities\DownloadLogsFromS3.py --loco 4056 --day 2017-12-12</v>
      </c>
      <c r="AN169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14:54:23"},{"id":29,"name":"Sharepoint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87" t="str">
        <f t="shared" si="93"/>
        <v>https://d0f6bd738d7f1b3e5a7ca70fe4ff75f0.us-east-1.aws.found.io/app/kibana#/discover/Steve-Slow-Train-Analysis-(2080s-and-2083s)?_g=(refreshInterval:(display:Off,pause:!f,section:0,value:0),time:(from:'2017-12-12T06:28:30-0700',mode:absolute,to:'2017-12-12T08:54:23-0700'))&amp;_a=(columns:!('Message%20ID',Summary),filters:!(),index:'emp_*',interval:auto,query:(query_string:(analyze_wildcard:!t,query:'%22rtdc.l.rtdc.4056%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186" t="s">
        <v>742</v>
      </c>
      <c r="B170" s="182">
        <v>4055</v>
      </c>
      <c r="C170" s="184" t="s">
        <v>192</v>
      </c>
      <c r="D170" s="184" t="s">
        <v>1029</v>
      </c>
      <c r="E170" s="183">
        <v>43081.330763888887</v>
      </c>
      <c r="F170" s="183">
        <v>43081.341666666667</v>
      </c>
      <c r="G170" s="182">
        <v>52</v>
      </c>
      <c r="H170" s="184" t="s">
        <v>1030</v>
      </c>
      <c r="I170" s="183">
        <v>43081.350729166668</v>
      </c>
      <c r="J170" s="182">
        <v>0</v>
      </c>
      <c r="K170" s="190" t="str">
        <f t="shared" si="79"/>
        <v>4055/4056</v>
      </c>
      <c r="L170" s="196" t="str">
        <f>VLOOKUP(A170,'Trips&amp;Operators'!$C$1:$G$99911,5,FALSE)</f>
        <v>DAVIDSON DAVID</v>
      </c>
      <c r="M170" s="181">
        <f t="shared" si="80"/>
        <v>9.0625000011641532E-3</v>
      </c>
      <c r="N170" s="182">
        <f t="shared" si="88"/>
        <v>13.050000001676381</v>
      </c>
      <c r="O170" s="182"/>
      <c r="P170" s="182"/>
      <c r="Q170" s="185"/>
      <c r="R170" s="197"/>
      <c r="S170" s="241">
        <f t="shared" si="78"/>
        <v>1</v>
      </c>
      <c r="T170" s="220" t="str">
        <f t="shared" si="81"/>
        <v>Southbound</v>
      </c>
      <c r="U170" s="22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1" t="str">
        <f t="shared" si="82"/>
        <v>https://d0f6bd738d7f1b3e5a7ca70fe4ff75f0.us-east-1.aws.found.io/app/kibana#/discover/Steve-Slow-Train-Analysis-(2080s-and-2083s)?_g=(refreshInterval:(display:Off,pause:!f,section:0,value:0),time:(from:'2017-12-12T06:56:18-0700',mode:absolute,to:'2017-12-12T09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222" t="str">
        <f>IF(AA170&lt;VLOOKUP(AG170,Variables!$AC$3:$AD$8,2,FALSE),"Y","N")</f>
        <v>N</v>
      </c>
      <c r="X170" s="222">
        <f t="shared" si="98"/>
        <v>1</v>
      </c>
      <c r="Y170" s="222">
        <f t="shared" si="94"/>
        <v>5.8601999999999999</v>
      </c>
      <c r="Z170" s="222">
        <f t="shared" si="95"/>
        <v>1.29E-2</v>
      </c>
      <c r="AA170" s="222">
        <f t="shared" si="83"/>
        <v>5.8472999999999997</v>
      </c>
      <c r="AB170" s="231" t="e">
        <f>VLOOKUP(A170,Enforcements!$C$7:$K$9,8,0)</f>
        <v>#N/A</v>
      </c>
      <c r="AC170" s="231" t="e">
        <f>VLOOKUP(A170,Enforcements!$C$7:$E$9,3,0)</f>
        <v>#N/A</v>
      </c>
      <c r="AD170" s="232">
        <f t="shared" si="84"/>
        <v>810</v>
      </c>
      <c r="AE170" s="233" t="str">
        <f t="shared" si="85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170" s="234" t="str">
        <f t="shared" si="86"/>
        <v>"C:\Program Files (x86)\AstroGrep\AstroGrep.exe" /e /r /s /spath="%USERPROFILE%\AppData\Local\Temp\OnboardLogs" /stypes="app*4055*20171212*" /stext=" 15:.+((SYSTEM_STATE.+slice.+state.+changed )|(ment ac)|(multiple cpu faults)|(system.+state.+changed )|(\[timeout)|(PRM\|1\|D)|(kpr)|(kdp)|(train st.+moving)|(\|lc)|(penalty))"</v>
      </c>
      <c r="AG170" s="226" t="str">
        <f t="shared" si="87"/>
        <v>NW</v>
      </c>
      <c r="AH170" s="189" t="str">
        <f t="shared" si="89"/>
        <v>"%USERPROFILE%\Documents\GitHub\eaglep3\Utilities\RefineRTDCRunTimes.py" --tripid 810-12 --locoid 4055 --swversion DE.1.0.9.0 --startMP 300:58602 --initTime 2017-12-12T07:56:18 --startdatetime 2017-12-12T08:12:00 --delay 52 --endMP 204:129 --enddatetime 2017-12-12T08:25:03 --enforcementcount 0 &gt;&gt;%USERPROFILE%\Documents\GitHub\eaglep3-reporting\EC\2017-12-12-refined-times.txt</v>
      </c>
      <c r="AI170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{"issue":{"subject":"","project_id":79,"tracker_id":40,"status_id":1,"priority_id":2,"assigned_to_id":338,"start_date":"2017-12-12","description":"","custom_fields":[{"id":1,"name":"Subdivision","value":"NW"},{"id":4,"name":"Milepost","value":"0.0129"},{"id":17,"name":"Train ID","value":"810-12"},{"id":16,"name":"Locomotive ID","value":"4055"},{"id":130,"name":"Impact","value":""},{"id":150,"name":"Time of Event (Mountain Time)","value":"08:25:03"},{"id":151,"name":"Denver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180"/>
      <c r="AK170" s="188"/>
      <c r="AL170" s="188"/>
      <c r="AM170" s="193" t="str">
        <f t="shared" si="91"/>
        <v>start /low /b %USERPROFILE%\Documents\GitHub\eaglep3\Utilities\DownloadLogsFromS3.py --loco 4055 --day 2017-12-12</v>
      </c>
      <c r="AN170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87" t="str">
        <f t="shared" si="93"/>
        <v>https://d0f6bd738d7f1b3e5a7ca70fe4ff75f0.us-east-1.aws.found.io/app/kibana#/discover/Steve-Slow-Train-Analysis-(2080s-and-2083s)?_g=(refreshInterval:(display:Off,pause:!f,section:0,value:0),time:(from:'2017-12-12T06:56:18-0700',mode:absolute,to:'2017-12-12T09:25:03-0700'))&amp;_a=(columns:!('Message%20ID',Summary),filters:!(),index:'emp_*',interval:auto,query:(query_string:(analyze_wildcard:!t,query:'%22rtdc.l.rtdc.4055%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180" customFormat="1" x14ac:dyDescent="0.25">
      <c r="A171" s="186" t="s">
        <v>743</v>
      </c>
      <c r="B171" s="182">
        <v>4032</v>
      </c>
      <c r="C171" s="184" t="s">
        <v>192</v>
      </c>
      <c r="D171" s="184" t="s">
        <v>488</v>
      </c>
      <c r="E171" s="183">
        <v>43081.333483796298</v>
      </c>
      <c r="F171" s="183">
        <v>43081.339733796296</v>
      </c>
      <c r="G171" s="182">
        <v>53</v>
      </c>
      <c r="H171" s="184" t="s">
        <v>1031</v>
      </c>
      <c r="I171" s="183">
        <v>43081.350405092591</v>
      </c>
      <c r="J171" s="182">
        <v>0</v>
      </c>
      <c r="K171" s="190" t="str">
        <f t="shared" si="79"/>
        <v>4031/4032</v>
      </c>
      <c r="L171" s="196" t="str">
        <f>VLOOKUP(A171,'Trips&amp;Operators'!$C$1:$G$99911,5,FALSE)</f>
        <v>FORTUNATO FRANK</v>
      </c>
      <c r="M171" s="181">
        <f t="shared" si="80"/>
        <v>1.0671296295186039E-2</v>
      </c>
      <c r="N171" s="182">
        <f t="shared" si="88"/>
        <v>15.366666665067896</v>
      </c>
      <c r="O171" s="182"/>
      <c r="P171" s="182"/>
      <c r="Q171" s="185"/>
      <c r="R171" s="197"/>
      <c r="S171" s="241">
        <f t="shared" ref="S171:S202" si="99">1/IF(AG171="EC",12,1)*SUM(U171:U171)</f>
        <v>1</v>
      </c>
      <c r="T171" s="220" t="str">
        <f t="shared" si="81"/>
        <v>NorthBound</v>
      </c>
      <c r="U171" s="22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1" t="str">
        <f t="shared" si="82"/>
        <v>https://d0f6bd738d7f1b3e5a7ca70fe4ff75f0.us-east-1.aws.found.io/app/kibana#/discover/Steve-Slow-Train-Analysis-(2080s-and-2083s)?_g=(refreshInterval:(display:Off,pause:!f,section:0,value:0),time:(from:'2017-12-12T07:00:13-0700',mode:absolute,to:'2017-12-12T09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222" t="str">
        <f>IF(AA171&lt;VLOOKUP(AG171,Variables!$AC$3:$AD$8,2,FALSE),"Y","N")</f>
        <v>N</v>
      </c>
      <c r="X171" s="222">
        <f t="shared" si="98"/>
        <v>1</v>
      </c>
      <c r="Y171" s="222">
        <f t="shared" si="94"/>
        <v>4.6399999999999997E-2</v>
      </c>
      <c r="Z171" s="222">
        <f t="shared" si="95"/>
        <v>5.8975999999999997</v>
      </c>
      <c r="AA171" s="222">
        <f t="shared" si="83"/>
        <v>5.8511999999999995</v>
      </c>
      <c r="AB171" s="231" t="e">
        <f>VLOOKUP(A171,Enforcements!$C$7:$K$9,8,0)</f>
        <v>#N/A</v>
      </c>
      <c r="AC171" s="231" t="e">
        <f>VLOOKUP(A171,Enforcements!$C$7:$E$9,3,0)</f>
        <v>#N/A</v>
      </c>
      <c r="AD171" s="232">
        <f t="shared" si="84"/>
        <v>811</v>
      </c>
      <c r="AE171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71" s="234" t="str">
        <f t="shared" si="86"/>
        <v>"C:\Program Files (x86)\AstroGrep\AstroGrep.exe" /e /r /s /spath="%USERPROFILE%\AppData\Local\Temp\OnboardLogs" /stypes="app*4032*20171212*" /stext=" 15:.+((SYSTEM_STATE.+slice.+state.+changed )|(ment ac)|(multiple cpu faults)|(system.+state.+changed )|(\[timeout)|(PRM\|1\|D)|(kpr)|(kdp)|(train st.+moving)|(\|lc)|(penalty))"</v>
      </c>
      <c r="AG171" s="226" t="str">
        <f t="shared" si="87"/>
        <v>NW</v>
      </c>
      <c r="AH171" s="189" t="str">
        <f t="shared" si="89"/>
        <v>"%USERPROFILE%\Documents\GitHub\eaglep3\Utilities\RefineRTDCRunTimes.py" --tripid 811-12 --locoid 4032 --swversion DE.1.0.9.0 --startMP 204:464 --initTime 2017-12-12T08:00:13 --startdatetime 2017-12-12T08:09:13 --delay 53 --endMP 300:58976 --enddatetime 2017-12-12T08:24:35 --enforcementcount 0 &gt;&gt;%USERPROFILE%\Documents\GitHub\eaglep3-reporting\EC\2017-12-12-refined-times.txt</v>
      </c>
      <c r="AI171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{"issue":{"subject":"","project_id":79,"tracker_id":40,"status_id":1,"priority_id":2,"assigned_to_id":338,"start_date":"2017-12-12","description":"","custom_fields":[{"id":1,"name":"Subdivision","value":"NW"},{"id":4,"name":"Milepost","value":"5.8976"},{"id":17,"name":"Train ID","value":"811-12"},{"id":16,"name":"Locomotive ID","value":"4032"},{"id":130,"name":"Impact","value":""},{"id":150,"name":"Time of Event (Mountain Time)","value":"08:24:35"},{"id":151,"name":"Denver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188"/>
      <c r="AL171" s="188"/>
      <c r="AM171" s="193" t="str">
        <f t="shared" si="91"/>
        <v>start /low /b %USERPROFILE%\Documents\GitHub\eaglep3\Utilities\DownloadLogsFromS3.py --loco 4032 --day 2017-12-12</v>
      </c>
      <c r="AN171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87" t="str">
        <f t="shared" si="93"/>
        <v>https://d0f6bd738d7f1b3e5a7ca70fe4ff75f0.us-east-1.aws.found.io/app/kibana#/discover/Steve-Slow-Train-Analysis-(2080s-and-2083s)?_g=(refreshInterval:(display:Off,pause:!f,section:0,value:0),time:(from:'2017-12-12T07:00:13-0700',mode:absolute,to:'2017-12-12T09:24:35-0700'))&amp;_a=(columns:!('Message%20ID',Summary),filters:!(),index:'emp_*',interval:auto,query:(query_string:(analyze_wildcard:!t,query:'%22rtdc.l.rtdc.4032%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180" customFormat="1" x14ac:dyDescent="0.25">
      <c r="A172" s="186" t="s">
        <v>748</v>
      </c>
      <c r="B172" s="182">
        <v>4031</v>
      </c>
      <c r="C172" s="184" t="s">
        <v>192</v>
      </c>
      <c r="D172" s="184" t="s">
        <v>1032</v>
      </c>
      <c r="E172" s="183">
        <v>43081.351504629631</v>
      </c>
      <c r="F172" s="183">
        <v>43081.362500000003</v>
      </c>
      <c r="G172" s="182">
        <v>55</v>
      </c>
      <c r="H172" s="184" t="s">
        <v>590</v>
      </c>
      <c r="I172" s="183">
        <v>43081.371516203704</v>
      </c>
      <c r="J172" s="182">
        <v>0</v>
      </c>
      <c r="K172" s="190" t="str">
        <f t="shared" si="79"/>
        <v>4031/4032</v>
      </c>
      <c r="L172" s="196" t="str">
        <f>VLOOKUP(A172,'Trips&amp;Operators'!$C$1:$G$99911,5,FALSE)</f>
        <v>FORTUNATO FRANK</v>
      </c>
      <c r="M172" s="181">
        <f t="shared" si="80"/>
        <v>9.0162037013215013E-3</v>
      </c>
      <c r="N172" s="182">
        <f t="shared" si="88"/>
        <v>12.983333329902962</v>
      </c>
      <c r="O172" s="182"/>
      <c r="P172" s="182"/>
      <c r="Q172" s="185"/>
      <c r="R172" s="197"/>
      <c r="S172" s="241">
        <f t="shared" si="99"/>
        <v>1</v>
      </c>
      <c r="T172" s="220" t="str">
        <f t="shared" si="81"/>
        <v>Southbound</v>
      </c>
      <c r="U172" s="22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1" t="str">
        <f t="shared" si="82"/>
        <v>https://d0f6bd738d7f1b3e5a7ca70fe4ff75f0.us-east-1.aws.found.io/app/kibana#/discover/Steve-Slow-Train-Analysis-(2080s-and-2083s)?_g=(refreshInterval:(display:Off,pause:!f,section:0,value:0),time:(from:'2017-12-12T07:26:10-0700',mode:absolute,to:'2017-12-12T09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222" t="str">
        <f>IF(AA172&lt;VLOOKUP(AG172,Variables!$AC$3:$AD$8,2,FALSE),"Y","N")</f>
        <v>N</v>
      </c>
      <c r="X172" s="222">
        <f t="shared" si="98"/>
        <v>1</v>
      </c>
      <c r="Y172" s="222">
        <f t="shared" si="94"/>
        <v>5.8663999999999996</v>
      </c>
      <c r="Z172" s="222">
        <f t="shared" si="95"/>
        <v>1.38E-2</v>
      </c>
      <c r="AA172" s="222">
        <f t="shared" si="83"/>
        <v>5.8525999999999998</v>
      </c>
      <c r="AB172" s="231" t="e">
        <f>VLOOKUP(A172,Enforcements!$C$7:$K$9,8,0)</f>
        <v>#N/A</v>
      </c>
      <c r="AC172" s="231" t="e">
        <f>VLOOKUP(A172,Enforcements!$C$7:$E$9,3,0)</f>
        <v>#N/A</v>
      </c>
      <c r="AD172" s="232">
        <f t="shared" si="84"/>
        <v>812</v>
      </c>
      <c r="AE172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72" s="234" t="str">
        <f t="shared" si="86"/>
        <v>"C:\Program Files (x86)\AstroGrep\AstroGrep.exe" /e /r /s /spath="%USERPROFILE%\AppData\Local\Temp\OnboardLogs" /stypes="app*4031*20171212*" /stext=" 15:.+((SYSTEM_STATE.+slice.+state.+changed )|(ment ac)|(multiple cpu faults)|(system.+state.+changed )|(\[timeout)|(PRM\|1\|D)|(kpr)|(kdp)|(train st.+moving)|(\|lc)|(penalty))"</v>
      </c>
      <c r="AG172" s="226" t="str">
        <f t="shared" si="87"/>
        <v>NW</v>
      </c>
      <c r="AH172" s="189" t="str">
        <f t="shared" si="89"/>
        <v>"%USERPROFILE%\Documents\GitHub\eaglep3\Utilities\RefineRTDCRunTimes.py" --tripid 812-12 --locoid 4031 --swversion DE.1.0.9.0 --startMP 300:58664 --initTime 2017-12-12T08:26:10 --startdatetime 2017-12-12T08:42:00 --delay 55 --endMP 204:138 --enddatetime 2017-12-12T08:54:59 --enforcementcount 0 &gt;&gt;%USERPROFILE%\Documents\GitHub\eaglep3-reporting\EC\2017-12-12-refined-times.txt</v>
      </c>
      <c r="AI172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{"issue":{"subject":"","project_id":79,"tracker_id":40,"status_id":1,"priority_id":2,"assigned_to_id":338,"start_date":"2017-12-12","description":"","custom_fields":[{"id":1,"name":"Subdivision","value":"NW"},{"id":4,"name":"Milepost","value":"0.0138"},{"id":17,"name":"Train ID","value":"812-12"},{"id":16,"name":"Locomotive ID","value":"4031"},{"id":130,"name":"Impact","value":""},{"id":150,"name":"Time of Event (Mountain Time)","value":"08:54:59"},{"id":151,"name":"Denver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188"/>
      <c r="AL172" s="188"/>
      <c r="AM172" s="193" t="str">
        <f t="shared" si="91"/>
        <v>start /low /b %USERPROFILE%\Documents\GitHub\eaglep3\Utilities\DownloadLogsFromS3.py --loco 4031 --day 2017-12-12</v>
      </c>
      <c r="AN172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87" t="str">
        <f t="shared" si="93"/>
        <v>https://d0f6bd738d7f1b3e5a7ca70fe4ff75f0.us-east-1.aws.found.io/app/kibana#/discover/Steve-Slow-Train-Analysis-(2080s-and-2083s)?_g=(refreshInterval:(display:Off,pause:!f,section:0,value:0),time:(from:'2017-12-12T07:26:10-0700',mode:absolute,to:'2017-12-12T09:54:59-0700'))&amp;_a=(columns:!('Message%20ID',Summary),filters:!(),index:'emp_*',interval:auto,query:(query_string:(analyze_wildcard:!t,query:'%22rtdc.l.rtdc.4031%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180" customFormat="1" x14ac:dyDescent="0.25">
      <c r="A173" s="186" t="s">
        <v>753</v>
      </c>
      <c r="B173" s="182">
        <v>4032</v>
      </c>
      <c r="C173" s="184" t="s">
        <v>192</v>
      </c>
      <c r="D173" s="184" t="s">
        <v>551</v>
      </c>
      <c r="E173" s="183">
        <v>43081.373252314814</v>
      </c>
      <c r="F173" s="183">
        <v>43081.38140046296</v>
      </c>
      <c r="G173" s="182">
        <v>54</v>
      </c>
      <c r="H173" s="184" t="s">
        <v>1033</v>
      </c>
      <c r="I173" s="183">
        <v>43081.391250000001</v>
      </c>
      <c r="J173" s="182">
        <v>0</v>
      </c>
      <c r="K173" s="190" t="str">
        <f t="shared" si="79"/>
        <v>4031/4032</v>
      </c>
      <c r="L173" s="196" t="str">
        <f>VLOOKUP(A173,'Trips&amp;Operators'!$C$1:$G$99911,5,FALSE)</f>
        <v>FORTUNATO FRANK</v>
      </c>
      <c r="M173" s="181">
        <f t="shared" si="80"/>
        <v>9.8495370402815752E-3</v>
      </c>
      <c r="N173" s="182">
        <f t="shared" si="88"/>
        <v>14.183333338005468</v>
      </c>
      <c r="O173" s="182"/>
      <c r="P173" s="182"/>
      <c r="Q173" s="185"/>
      <c r="R173" s="197"/>
      <c r="S173" s="241">
        <f t="shared" si="99"/>
        <v>1</v>
      </c>
      <c r="T173" s="220" t="str">
        <f t="shared" si="81"/>
        <v>NorthBound</v>
      </c>
      <c r="U173" s="22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1" t="str">
        <f t="shared" si="82"/>
        <v>https://d0f6bd738d7f1b3e5a7ca70fe4ff75f0.us-east-1.aws.found.io/app/kibana#/discover/Steve-Slow-Train-Analysis-(2080s-and-2083s)?_g=(refreshInterval:(display:Off,pause:!f,section:0,value:0),time:(from:'2017-12-12T07:57:29-0700',mode:absolute,to:'2017-12-12T10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222" t="str">
        <f>IF(AA173&lt;VLOOKUP(AG173,Variables!$AC$3:$AD$8,2,FALSE),"Y","N")</f>
        <v>N</v>
      </c>
      <c r="X173" s="222">
        <f t="shared" si="98"/>
        <v>1</v>
      </c>
      <c r="Y173" s="222">
        <f t="shared" si="94"/>
        <v>4.53E-2</v>
      </c>
      <c r="Z173" s="222">
        <f t="shared" si="95"/>
        <v>5.899</v>
      </c>
      <c r="AA173" s="222">
        <f t="shared" si="83"/>
        <v>5.8536999999999999</v>
      </c>
      <c r="AB173" s="231" t="e">
        <f>VLOOKUP(A173,Enforcements!$C$7:$K$9,8,0)</f>
        <v>#N/A</v>
      </c>
      <c r="AC173" s="231" t="e">
        <f>VLOOKUP(A173,Enforcements!$C$7:$E$9,3,0)</f>
        <v>#N/A</v>
      </c>
      <c r="AD173" s="232">
        <f t="shared" si="84"/>
        <v>813</v>
      </c>
      <c r="AE173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73" s="234" t="str">
        <f t="shared" si="86"/>
        <v>"C:\Program Files (x86)\AstroGrep\AstroGrep.exe" /e /r /s /spath="%USERPROFILE%\AppData\Local\Temp\OnboardLogs" /stypes="app*4032*20171212*" /stext=" 16:.+((SYSTEM_STATE.+slice.+state.+changed )|(ment ac)|(multiple cpu faults)|(system.+state.+changed )|(\[timeout)|(PRM\|1\|D)|(kpr)|(kdp)|(train st.+moving)|(\|lc)|(penalty))"</v>
      </c>
      <c r="AG173" s="226" t="str">
        <f t="shared" si="87"/>
        <v>NW</v>
      </c>
      <c r="AH173" s="189" t="str">
        <f t="shared" si="89"/>
        <v>"%USERPROFILE%\Documents\GitHub\eaglep3\Utilities\RefineRTDCRunTimes.py" --tripid 813-12 --locoid 4032 --swversion DE.1.0.9.0 --startMP 204:453 --initTime 2017-12-12T08:57:29 --startdatetime 2017-12-12T09:09:13 --delay 54 --endMP 300:58990 --enddatetime 2017-12-12T09:23:24 --enforcementcount 0 &gt;&gt;%USERPROFILE%\Documents\GitHub\eaglep3-reporting\EC\2017-12-12-refined-times.txt</v>
      </c>
      <c r="AI173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{"issue":{"subject":"","project_id":79,"tracker_id":40,"status_id":1,"priority_id":2,"assigned_to_id":338,"start_date":"2017-12-12","description":"","custom_fields":[{"id":1,"name":"Subdivision","value":"NW"},{"id":4,"name":"Milepost","value":"5.899"},{"id":17,"name":"Train ID","value":"813-12"},{"id":16,"name":"Locomotive ID","value":"4032"},{"id":130,"name":"Impact","value":""},{"id":150,"name":"Time of Event (Mountain Time)","value":"09:23:24"},{"id":151,"name":"Denver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188"/>
      <c r="AL173" s="188"/>
      <c r="AM173" s="193" t="str">
        <f t="shared" si="91"/>
        <v>start /low /b %USERPROFILE%\Documents\GitHub\eaglep3\Utilities\DownloadLogsFromS3.py --loco 4032 --day 2017-12-12</v>
      </c>
      <c r="AN173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87" t="str">
        <f t="shared" si="93"/>
        <v>https://d0f6bd738d7f1b3e5a7ca70fe4ff75f0.us-east-1.aws.found.io/app/kibana#/discover/Steve-Slow-Train-Analysis-(2080s-and-2083s)?_g=(refreshInterval:(display:Off,pause:!f,section:0,value:0),time:(from:'2017-12-12T07:57:29-0700',mode:absolute,to:'2017-12-12T10:23:24-0700'))&amp;_a=(columns:!('Message%20ID',Summary),filters:!(),index:'emp_*',interval:auto,query:(query_string:(analyze_wildcard:!t,query:'%22rtdc.l.rtdc.4032%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180" customFormat="1" x14ac:dyDescent="0.25">
      <c r="A174" s="186" t="s">
        <v>758</v>
      </c>
      <c r="B174" s="182">
        <v>4031</v>
      </c>
      <c r="C174" s="184" t="s">
        <v>192</v>
      </c>
      <c r="D174" s="184" t="s">
        <v>1034</v>
      </c>
      <c r="E174" s="183">
        <v>43081.392534722225</v>
      </c>
      <c r="F174" s="183">
        <v>43081.404166666667</v>
      </c>
      <c r="G174" s="182">
        <v>84</v>
      </c>
      <c r="H174" s="184" t="s">
        <v>592</v>
      </c>
      <c r="I174" s="183">
        <v>43081.413043981483</v>
      </c>
      <c r="J174" s="182">
        <v>0</v>
      </c>
      <c r="K174" s="190" t="str">
        <f t="shared" si="79"/>
        <v>4031/4032</v>
      </c>
      <c r="L174" s="196" t="str">
        <f>VLOOKUP(A174,'Trips&amp;Operators'!$C$1:$G$99911,5,FALSE)</f>
        <v>FORTUNATO FRANK</v>
      </c>
      <c r="M174" s="181">
        <f t="shared" si="80"/>
        <v>8.8773148163454607E-3</v>
      </c>
      <c r="N174" s="182">
        <f t="shared" si="88"/>
        <v>12.783333335537463</v>
      </c>
      <c r="O174" s="182"/>
      <c r="P174" s="182"/>
      <c r="Q174" s="185"/>
      <c r="R174" s="197"/>
      <c r="S174" s="241">
        <f t="shared" si="99"/>
        <v>1</v>
      </c>
      <c r="T174" s="220" t="str">
        <f t="shared" si="81"/>
        <v>Southbound</v>
      </c>
      <c r="U174" s="22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1" t="str">
        <f t="shared" si="82"/>
        <v>https://d0f6bd738d7f1b3e5a7ca70fe4ff75f0.us-east-1.aws.found.io/app/kibana#/discover/Steve-Slow-Train-Analysis-(2080s-and-2083s)?_g=(refreshInterval:(display:Off,pause:!f,section:0,value:0),time:(from:'2017-12-12T08:25:15-0700',mode:absolute,to:'2017-12-12T10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222" t="str">
        <f>IF(AA174&lt;VLOOKUP(AG174,Variables!$AC$3:$AD$8,2,FALSE),"Y","N")</f>
        <v>N</v>
      </c>
      <c r="X174" s="222">
        <f t="shared" si="98"/>
        <v>1</v>
      </c>
      <c r="Y174" s="222">
        <f t="shared" si="94"/>
        <v>5.8672000000000004</v>
      </c>
      <c r="Z174" s="222">
        <f t="shared" si="95"/>
        <v>1.5699999999999999E-2</v>
      </c>
      <c r="AA174" s="222">
        <f t="shared" si="83"/>
        <v>5.8515000000000006</v>
      </c>
      <c r="AB174" s="231" t="e">
        <f>VLOOKUP(A174,Enforcements!$C$7:$K$9,8,0)</f>
        <v>#N/A</v>
      </c>
      <c r="AC174" s="231" t="e">
        <f>VLOOKUP(A174,Enforcements!$C$7:$E$9,3,0)</f>
        <v>#N/A</v>
      </c>
      <c r="AD174" s="232">
        <f t="shared" si="84"/>
        <v>814</v>
      </c>
      <c r="AE174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74" s="234" t="str">
        <f t="shared" si="86"/>
        <v>"C:\Program Files (x86)\AstroGrep\AstroGrep.exe" /e /r /s /spath="%USERPROFILE%\AppData\Local\Temp\OnboardLogs" /stypes="app*4031*20171212*" /stext=" 16:.+((SYSTEM_STATE.+slice.+state.+changed )|(ment ac)|(multiple cpu faults)|(system.+state.+changed )|(\[timeout)|(PRM\|1\|D)|(kpr)|(kdp)|(train st.+moving)|(\|lc)|(penalty))"</v>
      </c>
      <c r="AG174" s="226" t="str">
        <f t="shared" si="87"/>
        <v>NW</v>
      </c>
      <c r="AH174" s="189" t="str">
        <f t="shared" si="89"/>
        <v>"%USERPROFILE%\Documents\GitHub\eaglep3\Utilities\RefineRTDCRunTimes.py" --tripid 814-12 --locoid 4031 --swversion DE.1.0.9.0 --startMP 300:58672 --initTime 2017-12-12T09:25:15 --startdatetime 2017-12-12T09:42:00 --delay 84 --endMP 204:157 --enddatetime 2017-12-12T09:54:47 --enforcementcount 0 &gt;&gt;%USERPROFILE%\Documents\GitHub\eaglep3-reporting\EC\2017-12-12-refined-times.txt</v>
      </c>
      <c r="AI174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{"issue":{"subject":"","project_id":79,"tracker_id":40,"status_id":1,"priority_id":2,"assigned_to_id":338,"start_date":"2017-12-12","description":"","custom_fields":[{"id":1,"name":"Subdivision","value":"NW"},{"id":4,"name":"Milepost","value":"0.0157"},{"id":17,"name":"Train ID","value":"814-12"},{"id":16,"name":"Locomotive ID","value":"4031"},{"id":130,"name":"Impact","value":""},{"id":150,"name":"Time of Event (Mountain Time)","value":"09:54:47"},{"id":151,"name":"Denver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188"/>
      <c r="AL174" s="188"/>
      <c r="AM174" s="193" t="str">
        <f t="shared" si="91"/>
        <v>start /low /b %USERPROFILE%\Documents\GitHub\eaglep3\Utilities\DownloadLogsFromS3.py --loco 4031 --day 2017-12-12</v>
      </c>
      <c r="AN174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16:54:47"},{"id":29,"name":"Sharepoint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87" t="str">
        <f t="shared" si="93"/>
        <v>https://d0f6bd738d7f1b3e5a7ca70fe4ff75f0.us-east-1.aws.found.io/app/kibana#/discover/Steve-Slow-Train-Analysis-(2080s-and-2083s)?_g=(refreshInterval:(display:Off,pause:!f,section:0,value:0),time:(from:'2017-12-12T08:25:15-0700',mode:absolute,to:'2017-12-12T10:54:47-0700'))&amp;_a=(columns:!('Message%20ID',Summary),filters:!(),index:'emp_*',interval:auto,query:(query_string:(analyze_wildcard:!t,query:'%22rtdc.l.rtdc.4031%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186" t="s">
        <v>763</v>
      </c>
      <c r="B175" s="182">
        <v>4032</v>
      </c>
      <c r="C175" s="184" t="s">
        <v>192</v>
      </c>
      <c r="D175" s="184" t="s">
        <v>553</v>
      </c>
      <c r="E175" s="183">
        <v>43081.414594907408</v>
      </c>
      <c r="F175" s="183">
        <v>43081.423067129632</v>
      </c>
      <c r="G175" s="182">
        <v>50</v>
      </c>
      <c r="H175" s="184" t="s">
        <v>1035</v>
      </c>
      <c r="I175" s="183">
        <v>43081.433055555557</v>
      </c>
      <c r="J175" s="182">
        <v>0</v>
      </c>
      <c r="K175" s="190" t="str">
        <f t="shared" si="79"/>
        <v>4031/4032</v>
      </c>
      <c r="L175" s="196" t="str">
        <f>VLOOKUP(A175,'Trips&amp;Operators'!$C$1:$G$99911,5,FALSE)</f>
        <v>FORTUNATO FRANK</v>
      </c>
      <c r="M175" s="181">
        <f t="shared" si="80"/>
        <v>9.9884259252576157E-3</v>
      </c>
      <c r="N175" s="182">
        <f t="shared" ref="N175:N206" si="100">24*60*SUM($M175:$M175)</f>
        <v>14.383333332370967</v>
      </c>
      <c r="O175" s="182"/>
      <c r="P175" s="182"/>
      <c r="Q175" s="185"/>
      <c r="R175" s="197"/>
      <c r="S175" s="241">
        <f t="shared" si="99"/>
        <v>1</v>
      </c>
      <c r="T175" s="220" t="str">
        <f t="shared" si="81"/>
        <v>NorthBound</v>
      </c>
      <c r="U175" s="22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1" t="str">
        <f t="shared" si="82"/>
        <v>https://d0f6bd738d7f1b3e5a7ca70fe4ff75f0.us-east-1.aws.found.io/app/kibana#/discover/Steve-Slow-Train-Analysis-(2080s-and-2083s)?_g=(refreshInterval:(display:Off,pause:!f,section:0,value:0),time:(from:'2017-12-12T08:57:01-0700',mode:absolute,to:'2017-12-12T11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222" t="str">
        <f>IF(AA175&lt;VLOOKUP(AG175,Variables!$AC$3:$AD$8,2,FALSE),"Y","N")</f>
        <v>N</v>
      </c>
      <c r="X175" s="222">
        <f t="shared" si="98"/>
        <v>1</v>
      </c>
      <c r="Y175" s="222">
        <f t="shared" si="94"/>
        <v>4.5100000000000001E-2</v>
      </c>
      <c r="Z175" s="222">
        <f t="shared" si="95"/>
        <v>5.8994999999999997</v>
      </c>
      <c r="AA175" s="222">
        <f t="shared" si="83"/>
        <v>5.8544</v>
      </c>
      <c r="AB175" s="231" t="e">
        <f>VLOOKUP(A175,Enforcements!$C$7:$K$9,8,0)</f>
        <v>#N/A</v>
      </c>
      <c r="AC175" s="231" t="e">
        <f>VLOOKUP(A175,Enforcements!$C$7:$E$9,3,0)</f>
        <v>#N/A</v>
      </c>
      <c r="AD175" s="232">
        <f t="shared" si="84"/>
        <v>815</v>
      </c>
      <c r="AE175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75" s="234" t="str">
        <f t="shared" si="86"/>
        <v>"C:\Program Files (x86)\AstroGrep\AstroGrep.exe" /e /r /s /spath="%USERPROFILE%\AppData\Local\Temp\OnboardLogs" /stypes="app*4032*20171212*" /stext=" 17:.+((SYSTEM_STATE.+slice.+state.+changed )|(ment ac)|(multiple cpu faults)|(system.+state.+changed )|(\[timeout)|(PRM\|1\|D)|(kpr)|(kdp)|(train st.+moving)|(\|lc)|(penalty))"</v>
      </c>
      <c r="AG175" s="226" t="str">
        <f t="shared" si="87"/>
        <v>NW</v>
      </c>
      <c r="AH175" s="189" t="str">
        <f t="shared" si="89"/>
        <v>"%USERPROFILE%\Documents\GitHub\eaglep3\Utilities\RefineRTDCRunTimes.py" --tripid 815-12 --locoid 4032 --swversion DE.1.0.9.0 --startMP 204:451 --initTime 2017-12-12T09:57:01 --startdatetime 2017-12-12T10:09:13 --delay 50 --endMP 300:58995 --enddatetime 2017-12-12T10:23:36 --enforcementcount 0 &gt;&gt;%USERPROFILE%\Documents\GitHub\eaglep3-reporting\EC\2017-12-12-refined-times.txt</v>
      </c>
      <c r="AI175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{"issue":{"subject":"","project_id":79,"tracker_id":40,"status_id":1,"priority_id":2,"assigned_to_id":338,"start_date":"2017-12-12","description":"","custom_fields":[{"id":1,"name":"Subdivision","value":"NW"},{"id":4,"name":"Milepost","value":"5.8995"},{"id":17,"name":"Train ID","value":"815-12"},{"id":16,"name":"Locomotive ID","value":"4032"},{"id":130,"name":"Impact","value":""},{"id":150,"name":"Time of Event (Mountain Time)","value":"10:23:36"},{"id":151,"name":"Denver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180"/>
      <c r="AK175" s="188"/>
      <c r="AL175" s="188"/>
      <c r="AM175" s="193" t="str">
        <f t="shared" si="91"/>
        <v>start /low /b %USERPROFILE%\Documents\GitHub\eaglep3\Utilities\DownloadLogsFromS3.py --loco 4032 --day 2017-12-12</v>
      </c>
      <c r="AN175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87" t="str">
        <f t="shared" si="93"/>
        <v>https://d0f6bd738d7f1b3e5a7ca70fe4ff75f0.us-east-1.aws.found.io/app/kibana#/discover/Steve-Slow-Train-Analysis-(2080s-and-2083s)?_g=(refreshInterval:(display:Off,pause:!f,section:0,value:0),time:(from:'2017-12-12T08:57:01-0700',mode:absolute,to:'2017-12-12T11:23:36-0700'))&amp;_a=(columns:!('Message%20ID',Summary),filters:!(),index:'emp_*',interval:auto,query:(query_string:(analyze_wildcard:!t,query:'%22rtdc.l.rtdc.4032%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180" customFormat="1" x14ac:dyDescent="0.25">
      <c r="A176" s="186" t="s">
        <v>768</v>
      </c>
      <c r="B176" s="182">
        <v>4031</v>
      </c>
      <c r="C176" s="184" t="s">
        <v>192</v>
      </c>
      <c r="D176" s="184" t="s">
        <v>1036</v>
      </c>
      <c r="E176" s="183">
        <v>43081.434282407405</v>
      </c>
      <c r="F176" s="183">
        <v>43081.445833333331</v>
      </c>
      <c r="G176" s="182">
        <v>59</v>
      </c>
      <c r="H176" s="184" t="s">
        <v>1037</v>
      </c>
      <c r="I176" s="183">
        <v>43081.454872685186</v>
      </c>
      <c r="J176" s="182">
        <v>0</v>
      </c>
      <c r="K176" s="190" t="str">
        <f t="shared" si="79"/>
        <v>4031/4032</v>
      </c>
      <c r="L176" s="196" t="str">
        <f>VLOOKUP(A176,'Trips&amp;Operators'!$C$1:$G$99911,5,FALSE)</f>
        <v>FORTUNATO FRANK</v>
      </c>
      <c r="M176" s="181">
        <f t="shared" si="80"/>
        <v>9.0393518548808061E-3</v>
      </c>
      <c r="N176" s="182">
        <f t="shared" si="100"/>
        <v>13.016666671028361</v>
      </c>
      <c r="O176" s="182"/>
      <c r="P176" s="182"/>
      <c r="Q176" s="185"/>
      <c r="R176" s="197"/>
      <c r="S176" s="241">
        <f t="shared" si="99"/>
        <v>1</v>
      </c>
      <c r="T176" s="220" t="str">
        <f t="shared" si="81"/>
        <v>Southbound</v>
      </c>
      <c r="U176" s="22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1" t="str">
        <f t="shared" si="82"/>
        <v>https://d0f6bd738d7f1b3e5a7ca70fe4ff75f0.us-east-1.aws.found.io/app/kibana#/discover/Steve-Slow-Train-Analysis-(2080s-and-2083s)?_g=(refreshInterval:(display:Off,pause:!f,section:0,value:0),time:(from:'2017-12-12T09:25:22-0700',mode:absolute,to:'2017-12-12T11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222" t="str">
        <f>IF(AA176&lt;VLOOKUP(AG176,Variables!$AC$3:$AD$8,2,FALSE),"Y","N")</f>
        <v>N</v>
      </c>
      <c r="X176" s="222">
        <f t="shared" si="98"/>
        <v>1</v>
      </c>
      <c r="Y176" s="222">
        <f t="shared" si="94"/>
        <v>5.8685</v>
      </c>
      <c r="Z176" s="222">
        <f t="shared" si="95"/>
        <v>1.46E-2</v>
      </c>
      <c r="AA176" s="222">
        <f t="shared" si="83"/>
        <v>5.8539000000000003</v>
      </c>
      <c r="AB176" s="231" t="e">
        <f>VLOOKUP(A176,Enforcements!$C$7:$K$9,8,0)</f>
        <v>#N/A</v>
      </c>
      <c r="AC176" s="231" t="e">
        <f>VLOOKUP(A176,Enforcements!$C$7:$E$9,3,0)</f>
        <v>#N/A</v>
      </c>
      <c r="AD176" s="232">
        <f t="shared" si="84"/>
        <v>816</v>
      </c>
      <c r="AE176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76" s="234" t="str">
        <f t="shared" si="86"/>
        <v>"C:\Program Files (x86)\AstroGrep\AstroGrep.exe" /e /r /s /spath="%USERPROFILE%\AppData\Local\Temp\OnboardLogs" /stypes="app*4031*20171212*" /stext=" 17:.+((SYSTEM_STATE.+slice.+state.+changed )|(ment ac)|(multiple cpu faults)|(system.+state.+changed )|(\[timeout)|(PRM\|1\|D)|(kpr)|(kdp)|(train st.+moving)|(\|lc)|(penalty))"</v>
      </c>
      <c r="AG176" s="226" t="str">
        <f t="shared" si="87"/>
        <v>NW</v>
      </c>
      <c r="AH176" s="189" t="str">
        <f t="shared" si="89"/>
        <v>"%USERPROFILE%\Documents\GitHub\eaglep3\Utilities\RefineRTDCRunTimes.py" --tripid 816-12 --locoid 4031 --swversion DE.1.0.9.0 --startMP 300:58685 --initTime 2017-12-12T10:25:22 --startdatetime 2017-12-12T10:42:00 --delay 59 --endMP 204:146 --enddatetime 2017-12-12T10:55:01 --enforcementcount 0 &gt;&gt;%USERPROFILE%\Documents\GitHub\eaglep3-reporting\EC\2017-12-12-refined-times.txt</v>
      </c>
      <c r="AI176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{"issue":{"subject":"","project_id":79,"tracker_id":40,"status_id":1,"priority_id":2,"assigned_to_id":338,"start_date":"2017-12-12","description":"","custom_fields":[{"id":1,"name":"Subdivision","value":"NW"},{"id":4,"name":"Milepost","value":"0.0146"},{"id":17,"name":"Train ID","value":"816-12"},{"id":16,"name":"Locomotive ID","value":"4031"},{"id":130,"name":"Impact","value":""},{"id":150,"name":"Time of Event (Mountain Time)","value":"10:55:01"},{"id":151,"name":"Denver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188"/>
      <c r="AL176" s="188"/>
      <c r="AM176" s="193" t="str">
        <f t="shared" si="91"/>
        <v>start /low /b %USERPROFILE%\Documents\GitHub\eaglep3\Utilities\DownloadLogsFromS3.py --loco 4031 --day 2017-12-12</v>
      </c>
      <c r="AN176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87" t="str">
        <f t="shared" si="93"/>
        <v>https://d0f6bd738d7f1b3e5a7ca70fe4ff75f0.us-east-1.aws.found.io/app/kibana#/discover/Steve-Slow-Train-Analysis-(2080s-and-2083s)?_g=(refreshInterval:(display:Off,pause:!f,section:0,value:0),time:(from:'2017-12-12T09:25:22-0700',mode:absolute,to:'2017-12-12T11:55:01-0700'))&amp;_a=(columns:!('Message%20ID',Summary),filters:!(),index:'emp_*',interval:auto,query:(query_string:(analyze_wildcard:!t,query:'%22rtdc.l.rtdc.4031%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180" customFormat="1" x14ac:dyDescent="0.25">
      <c r="A177" s="186" t="s">
        <v>773</v>
      </c>
      <c r="B177" s="182">
        <v>4032</v>
      </c>
      <c r="C177" s="184" t="s">
        <v>192</v>
      </c>
      <c r="D177" s="184" t="s">
        <v>491</v>
      </c>
      <c r="E177" s="183">
        <v>43081.456550925926</v>
      </c>
      <c r="F177" s="183">
        <v>43081.464745370373</v>
      </c>
      <c r="G177" s="182">
        <v>60</v>
      </c>
      <c r="H177" s="184" t="s">
        <v>1038</v>
      </c>
      <c r="I177" s="183">
        <v>43081.474872685183</v>
      </c>
      <c r="J177" s="182">
        <v>0</v>
      </c>
      <c r="K177" s="190" t="str">
        <f t="shared" si="79"/>
        <v>4031/4032</v>
      </c>
      <c r="L177" s="196" t="str">
        <f>VLOOKUP(A177,'Trips&amp;Operators'!$C$1:$G$99911,5,FALSE)</f>
        <v>FORTUNATO FRANK</v>
      </c>
      <c r="M177" s="181">
        <f t="shared" si="80"/>
        <v>1.0127314810233656E-2</v>
      </c>
      <c r="N177" s="182">
        <f t="shared" si="100"/>
        <v>14.583333326736465</v>
      </c>
      <c r="O177" s="182"/>
      <c r="P177" s="182"/>
      <c r="Q177" s="185"/>
      <c r="R177" s="197"/>
      <c r="S177" s="241">
        <f t="shared" si="99"/>
        <v>1</v>
      </c>
      <c r="T177" s="220" t="str">
        <f t="shared" si="81"/>
        <v>NorthBound</v>
      </c>
      <c r="U177" s="22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1" t="str">
        <f t="shared" si="82"/>
        <v>https://d0f6bd738d7f1b3e5a7ca70fe4ff75f0.us-east-1.aws.found.io/app/kibana#/discover/Steve-Slow-Train-Analysis-(2080s-and-2083s)?_g=(refreshInterval:(display:Off,pause:!f,section:0,value:0),time:(from:'2017-12-12T09:57:26-0700',mode:absolute,to:'2017-12-12T12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222" t="str">
        <f>IF(AA177&lt;VLOOKUP(AG177,Variables!$AC$3:$AD$8,2,FALSE),"Y","N")</f>
        <v>N</v>
      </c>
      <c r="X177" s="222">
        <f t="shared" si="98"/>
        <v>1</v>
      </c>
      <c r="Y177" s="222">
        <f t="shared" si="94"/>
        <v>4.4999999999999998E-2</v>
      </c>
      <c r="Z177" s="222">
        <f t="shared" si="95"/>
        <v>5.8091999999999997</v>
      </c>
      <c r="AA177" s="222">
        <f t="shared" si="83"/>
        <v>5.7641999999999998</v>
      </c>
      <c r="AB177" s="231" t="e">
        <f>VLOOKUP(A177,Enforcements!$C$7:$K$9,8,0)</f>
        <v>#N/A</v>
      </c>
      <c r="AC177" s="231" t="e">
        <f>VLOOKUP(A177,Enforcements!$C$7:$E$9,3,0)</f>
        <v>#N/A</v>
      </c>
      <c r="AD177" s="232">
        <f t="shared" si="84"/>
        <v>817</v>
      </c>
      <c r="AE177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77" s="234" t="str">
        <f t="shared" si="86"/>
        <v>"C:\Program Files (x86)\AstroGrep\AstroGrep.exe" /e /r /s /spath="%USERPROFILE%\AppData\Local\Temp\OnboardLogs" /stypes="app*4032*20171212*" /stext=" 18:.+((SYSTEM_STATE.+slice.+state.+changed )|(ment ac)|(multiple cpu faults)|(system.+state.+changed )|(\[timeout)|(PRM\|1\|D)|(kpr)|(kdp)|(train st.+moving)|(\|lc)|(penalty))"</v>
      </c>
      <c r="AG177" s="226" t="str">
        <f t="shared" si="87"/>
        <v>NW</v>
      </c>
      <c r="AH177" s="189" t="str">
        <f t="shared" si="89"/>
        <v>"%USERPROFILE%\Documents\GitHub\eaglep3\Utilities\RefineRTDCRunTimes.py" --tripid 817-12 --locoid 4032 --swversion DE.1.0.9.0 --startMP 204:450 --initTime 2017-12-12T10:57:26 --startdatetime 2017-12-12T11:09:14 --delay 60 --endMP 300:58092 --enddatetime 2017-12-12T11:23:49 --enforcementcount 0 &gt;&gt;%USERPROFILE%\Documents\GitHub\eaglep3-reporting\EC\2017-12-12-refined-times.txt</v>
      </c>
      <c r="AI177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{"issue":{"subject":"","project_id":79,"tracker_id":40,"status_id":1,"priority_id":2,"assigned_to_id":338,"start_date":"2017-12-12","description":"","custom_fields":[{"id":1,"name":"Subdivision","value":"NW"},{"id":4,"name":"Milepost","value":"5.8092"},{"id":17,"name":"Train ID","value":"817-12"},{"id":16,"name":"Locomotive ID","value":"4032"},{"id":130,"name":"Impact","value":""},{"id":150,"name":"Time of Event (Mountain Time)","value":"11:23:49"},{"id":151,"name":"Denver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188"/>
      <c r="AL177" s="188"/>
      <c r="AM177" s="193" t="str">
        <f t="shared" si="91"/>
        <v>start /low /b %USERPROFILE%\Documents\GitHub\eaglep3\Utilities\DownloadLogsFromS3.py --loco 4032 --day 2017-12-12</v>
      </c>
      <c r="AN177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87" t="str">
        <f t="shared" si="93"/>
        <v>https://d0f6bd738d7f1b3e5a7ca70fe4ff75f0.us-east-1.aws.found.io/app/kibana#/discover/Steve-Slow-Train-Analysis-(2080s-and-2083s)?_g=(refreshInterval:(display:Off,pause:!f,section:0,value:0),time:(from:'2017-12-12T09:57:26-0700',mode:absolute,to:'2017-12-12T12:23:49-0700'))&amp;_a=(columns:!('Message%20ID',Summary),filters:!(),index:'emp_*',interval:auto,query:(query_string:(analyze_wildcard:!t,query:'%22rtdc.l.rtdc.4032%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186" t="s">
        <v>779</v>
      </c>
      <c r="B178" s="182">
        <v>4031</v>
      </c>
      <c r="C178" s="184" t="s">
        <v>192</v>
      </c>
      <c r="D178" s="184" t="s">
        <v>1039</v>
      </c>
      <c r="E178" s="183">
        <v>43081.476400462961</v>
      </c>
      <c r="F178" s="183">
        <v>43081.487500000003</v>
      </c>
      <c r="G178" s="182">
        <v>50</v>
      </c>
      <c r="H178" s="184" t="s">
        <v>652</v>
      </c>
      <c r="I178" s="183">
        <v>43081.496331018519</v>
      </c>
      <c r="J178" s="182">
        <v>0</v>
      </c>
      <c r="K178" s="190" t="str">
        <f t="shared" si="79"/>
        <v>4031/4032</v>
      </c>
      <c r="L178" s="196" t="str">
        <f>VLOOKUP(A178,'Trips&amp;Operators'!$C$1:$G$99911,5,FALSE)</f>
        <v>FORTUNATO FRANK</v>
      </c>
      <c r="M178" s="181">
        <f t="shared" si="80"/>
        <v>8.8310185165028088E-3</v>
      </c>
      <c r="N178" s="182">
        <f t="shared" si="100"/>
        <v>12.716666663764045</v>
      </c>
      <c r="O178" s="182"/>
      <c r="P178" s="182"/>
      <c r="Q178" s="185"/>
      <c r="R178" s="197"/>
      <c r="S178" s="241">
        <f t="shared" si="99"/>
        <v>1</v>
      </c>
      <c r="T178" s="220" t="str">
        <f t="shared" si="81"/>
        <v>Southbound</v>
      </c>
      <c r="U178" s="22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21" t="str">
        <f t="shared" si="82"/>
        <v>https://d0f6bd738d7f1b3e5a7ca70fe4ff75f0.us-east-1.aws.found.io/app/kibana#/discover/Steve-Slow-Train-Analysis-(2080s-and-2083s)?_g=(refreshInterval:(display:Off,pause:!f,section:0,value:0),time:(from:'2017-12-12T10:26:01-0700',mode:absolute,to:'2017-12-12T12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222" t="str">
        <f>IF(AA178&lt;VLOOKUP(AG178,Variables!$AC$3:$AD$8,2,FALSE),"Y","N")</f>
        <v>N</v>
      </c>
      <c r="X178" s="222">
        <f t="shared" si="98"/>
        <v>1</v>
      </c>
      <c r="Y178" s="222">
        <f t="shared" si="94"/>
        <v>5.8653000000000004</v>
      </c>
      <c r="Z178" s="222">
        <f t="shared" si="95"/>
        <v>1.5100000000000001E-2</v>
      </c>
      <c r="AA178" s="222">
        <f t="shared" si="83"/>
        <v>5.8502000000000001</v>
      </c>
      <c r="AB178" s="231" t="e">
        <f>VLOOKUP(A178,Enforcements!$C$7:$K$9,8,0)</f>
        <v>#N/A</v>
      </c>
      <c r="AC178" s="231" t="e">
        <f>VLOOKUP(A178,Enforcements!$C$7:$E$9,3,0)</f>
        <v>#N/A</v>
      </c>
      <c r="AD178" s="232">
        <f t="shared" si="84"/>
        <v>818</v>
      </c>
      <c r="AE178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78" s="234" t="str">
        <f t="shared" si="86"/>
        <v>"C:\Program Files (x86)\AstroGrep\AstroGrep.exe" /e /r /s /spath="%USERPROFILE%\AppData\Local\Temp\OnboardLogs" /stypes="app*4031*20171212*" /stext=" 18:.+((SYSTEM_STATE.+slice.+state.+changed )|(ment ac)|(multiple cpu faults)|(system.+state.+changed )|(\[timeout)|(PRM\|1\|D)|(kpr)|(kdp)|(train st.+moving)|(\|lc)|(penalty))"</v>
      </c>
      <c r="AG178" s="226" t="str">
        <f t="shared" si="87"/>
        <v>NW</v>
      </c>
      <c r="AH178" s="189" t="str">
        <f t="shared" si="89"/>
        <v>"%USERPROFILE%\Documents\GitHub\eaglep3\Utilities\RefineRTDCRunTimes.py" --tripid 818-12 --locoid 4031 --swversion DE.1.0.9.0 --startMP 300:58653 --initTime 2017-12-12T11:26:01 --startdatetime 2017-12-12T11:42:00 --delay 50 --endMP 204:151 --enddatetime 2017-12-12T11:54:43 --enforcementcount 0 &gt;&gt;%USERPROFILE%\Documents\GitHub\eaglep3-reporting\EC\2017-12-12-refined-times.txt</v>
      </c>
      <c r="AI178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{"issue":{"subject":"","project_id":79,"tracker_id":40,"status_id":1,"priority_id":2,"assigned_to_id":338,"start_date":"2017-12-12","description":"","custom_fields":[{"id":1,"name":"Subdivision","value":"NW"},{"id":4,"name":"Milepost","value":"0.0151"},{"id":17,"name":"Train ID","value":"818-12"},{"id":16,"name":"Locomotive ID","value":"4031"},{"id":130,"name":"Impact","value":""},{"id":150,"name":"Time of Event (Mountain Time)","value":"11:54:43"},{"id":151,"name":"Denver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180"/>
      <c r="AK178" s="188"/>
      <c r="AL178" s="188"/>
      <c r="AM178" s="193" t="str">
        <f t="shared" si="91"/>
        <v>start /low /b %USERPROFILE%\Documents\GitHub\eaglep3\Utilities\DownloadLogsFromS3.py --loco 4031 --day 2017-12-12</v>
      </c>
      <c r="AN178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18:54:43"},{"id":29,"name":"Sharepoint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87" t="str">
        <f t="shared" si="93"/>
        <v>https://d0f6bd738d7f1b3e5a7ca70fe4ff75f0.us-east-1.aws.found.io/app/kibana#/discover/Steve-Slow-Train-Analysis-(2080s-and-2083s)?_g=(refreshInterval:(display:Off,pause:!f,section:0,value:0),time:(from:'2017-12-12T10:26:01-0700',mode:absolute,to:'2017-12-12T12:54:43-0700'))&amp;_a=(columns:!('Message%20ID',Summary),filters:!(),index:'emp_*',interval:auto,query:(query_string:(analyze_wildcard:!t,query:'%22rtdc.l.rtdc.4031%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186" t="s">
        <v>679</v>
      </c>
      <c r="B179" s="182">
        <v>4032</v>
      </c>
      <c r="C179" s="184" t="s">
        <v>192</v>
      </c>
      <c r="D179" s="184" t="s">
        <v>1040</v>
      </c>
      <c r="E179" s="183">
        <v>43081.499918981484</v>
      </c>
      <c r="F179" s="183">
        <v>43081.506412037037</v>
      </c>
      <c r="G179" s="182">
        <v>53</v>
      </c>
      <c r="H179" s="184" t="s">
        <v>660</v>
      </c>
      <c r="I179" s="183">
        <v>43081.516238425924</v>
      </c>
      <c r="J179" s="182">
        <v>0</v>
      </c>
      <c r="K179" s="190" t="str">
        <f t="shared" si="79"/>
        <v>4031/4032</v>
      </c>
      <c r="L179" s="196" t="str">
        <f>VLOOKUP(A179,'Trips&amp;Operators'!$C$1:$G$99911,5,FALSE)</f>
        <v>FORTUNATO FRANK</v>
      </c>
      <c r="M179" s="181">
        <f t="shared" si="80"/>
        <v>9.8263888867222704E-3</v>
      </c>
      <c r="N179" s="182">
        <f t="shared" si="100"/>
        <v>14.149999996880069</v>
      </c>
      <c r="O179" s="182"/>
      <c r="P179" s="182"/>
      <c r="Q179" s="185"/>
      <c r="R179" s="197"/>
      <c r="S179" s="241">
        <f t="shared" si="99"/>
        <v>1</v>
      </c>
      <c r="T179" s="220" t="str">
        <f t="shared" si="81"/>
        <v>NorthBound</v>
      </c>
      <c r="U179" s="22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1" t="str">
        <f t="shared" si="82"/>
        <v>https://d0f6bd738d7f1b3e5a7ca70fe4ff75f0.us-east-1.aws.found.io/app/kibana#/discover/Steve-Slow-Train-Analysis-(2080s-and-2083s)?_g=(refreshInterval:(display:Off,pause:!f,section:0,value:0),time:(from:'2017-12-12T10:59:53-0700',mode:absolute,to:'2017-12-12T13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222" t="str">
        <f>IF(AA179&lt;VLOOKUP(AG179,Variables!$AC$3:$AD$8,2,FALSE),"Y","N")</f>
        <v>N</v>
      </c>
      <c r="X179" s="222">
        <f t="shared" si="98"/>
        <v>1</v>
      </c>
      <c r="Y179" s="222">
        <f t="shared" si="94"/>
        <v>4.3900000000000002E-2</v>
      </c>
      <c r="Z179" s="222">
        <f t="shared" si="95"/>
        <v>5.8960999999999997</v>
      </c>
      <c r="AA179" s="222">
        <f t="shared" si="83"/>
        <v>5.8521999999999998</v>
      </c>
      <c r="AB179" s="231" t="e">
        <f>VLOOKUP(A179,Enforcements!$C$7:$K$9,8,0)</f>
        <v>#N/A</v>
      </c>
      <c r="AC179" s="231" t="e">
        <f>VLOOKUP(A179,Enforcements!$C$7:$E$9,3,0)</f>
        <v>#N/A</v>
      </c>
      <c r="AD179" s="232">
        <f t="shared" si="84"/>
        <v>819</v>
      </c>
      <c r="AE179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79" s="234" t="str">
        <f t="shared" si="86"/>
        <v>"C:\Program Files (x86)\AstroGrep\AstroGrep.exe" /e /r /s /spath="%USERPROFILE%\AppData\Local\Temp\OnboardLogs" /stypes="app*4032*20171212*" /stext=" 19:.+((SYSTEM_STATE.+slice.+state.+changed )|(ment ac)|(multiple cpu faults)|(system.+state.+changed )|(\[timeout)|(PRM\|1\|D)|(kpr)|(kdp)|(train st.+moving)|(\|lc)|(penalty))"</v>
      </c>
      <c r="AG179" s="226" t="str">
        <f t="shared" si="87"/>
        <v>NW</v>
      </c>
      <c r="AH179" s="189" t="str">
        <f t="shared" si="89"/>
        <v>"%USERPROFILE%\Documents\GitHub\eaglep3\Utilities\RefineRTDCRunTimes.py" --tripid 819-12 --locoid 4032 --swversion DE.1.0.9.0 --startMP 204:439 --initTime 2017-12-12T11:59:53 --startdatetime 2017-12-12T12:09:14 --delay 53 --endMP 300:58961 --enddatetime 2017-12-12T12:23:23 --enforcementcount 0 &gt;&gt;%USERPROFILE%\Documents\GitHub\eaglep3-reporting\EC\2017-12-12-refined-times.txt</v>
      </c>
      <c r="AI179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{"issue":{"subject":"","project_id":79,"tracker_id":40,"status_id":1,"priority_id":2,"assigned_to_id":338,"start_date":"2017-12-12","description":"","custom_fields":[{"id":1,"name":"Subdivision","value":"NW"},{"id":4,"name":"Milepost","value":"5.8961"},{"id":17,"name":"Train ID","value":"819-12"},{"id":16,"name":"Locomotive ID","value":"4032"},{"id":130,"name":"Impact","value":""},{"id":150,"name":"Time of Event (Mountain Time)","value":"12:23:23"},{"id":151,"name":"Denver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180"/>
      <c r="AK179" s="188"/>
      <c r="AL179" s="188"/>
      <c r="AM179" s="193" t="str">
        <f t="shared" si="91"/>
        <v>start /low /b %USERPROFILE%\Documents\GitHub\eaglep3\Utilities\DownloadLogsFromS3.py --loco 4032 --day 2017-12-12</v>
      </c>
      <c r="AN179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87" t="str">
        <f t="shared" si="93"/>
        <v>https://d0f6bd738d7f1b3e5a7ca70fe4ff75f0.us-east-1.aws.found.io/app/kibana#/discover/Steve-Slow-Train-Analysis-(2080s-and-2083s)?_g=(refreshInterval:(display:Off,pause:!f,section:0,value:0),time:(from:'2017-12-12T10:59:53-0700',mode:absolute,to:'2017-12-12T13:23:23-0700'))&amp;_a=(columns:!('Message%20ID',Summary),filters:!(),index:'emp_*',interval:auto,query:(query_string:(analyze_wildcard:!t,query:'%22rtdc.l.rtdc.4032%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186" t="s">
        <v>787</v>
      </c>
      <c r="B180" s="182">
        <v>4031</v>
      </c>
      <c r="C180" s="184" t="s">
        <v>192</v>
      </c>
      <c r="D180" s="184" t="s">
        <v>1041</v>
      </c>
      <c r="E180" s="183">
        <v>43081.517766203702</v>
      </c>
      <c r="F180" s="183">
        <v>43081.529166666667</v>
      </c>
      <c r="G180" s="182">
        <v>71</v>
      </c>
      <c r="H180" s="184" t="s">
        <v>658</v>
      </c>
      <c r="I180" s="183">
        <v>43081.538113425922</v>
      </c>
      <c r="J180" s="182">
        <v>0</v>
      </c>
      <c r="K180" s="190" t="str">
        <f t="shared" si="79"/>
        <v>4031/4032</v>
      </c>
      <c r="L180" s="196" t="str">
        <f>VLOOKUP(A180,'Trips&amp;Operators'!$C$1:$G$99911,5,FALSE)</f>
        <v>FORTUNATO FRANK</v>
      </c>
      <c r="M180" s="181">
        <f t="shared" si="80"/>
        <v>8.9467592551955022E-3</v>
      </c>
      <c r="N180" s="182">
        <f t="shared" si="100"/>
        <v>12.883333327481523</v>
      </c>
      <c r="O180" s="182"/>
      <c r="P180" s="182"/>
      <c r="Q180" s="185"/>
      <c r="R180" s="197"/>
      <c r="S180" s="241">
        <f t="shared" si="99"/>
        <v>1</v>
      </c>
      <c r="T180" s="220" t="str">
        <f t="shared" si="81"/>
        <v>Southbound</v>
      </c>
      <c r="U180" s="22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1" t="str">
        <f t="shared" si="82"/>
        <v>https://d0f6bd738d7f1b3e5a7ca70fe4ff75f0.us-east-1.aws.found.io/app/kibana#/discover/Steve-Slow-Train-Analysis-(2080s-and-2083s)?_g=(refreshInterval:(display:Off,pause:!f,section:0,value:0),time:(from:'2017-12-12T11:25:35-0700',mode:absolute,to:'2017-12-12T13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222" t="str">
        <f>IF(AA180&lt;VLOOKUP(AG180,Variables!$AC$3:$AD$8,2,FALSE),"Y","N")</f>
        <v>N</v>
      </c>
      <c r="X180" s="222">
        <f t="shared" si="98"/>
        <v>1</v>
      </c>
      <c r="Y180" s="222">
        <f t="shared" ref="Y180:Y211" si="101">RIGHT(D180,LEN(D180)-4)/10000</f>
        <v>5.8648999999999996</v>
      </c>
      <c r="Z180" s="222">
        <f t="shared" ref="Z180:Z211" si="102">RIGHT(H180,LEN(H180)-4)/10000</f>
        <v>1.37E-2</v>
      </c>
      <c r="AA180" s="222">
        <f t="shared" si="83"/>
        <v>5.8511999999999995</v>
      </c>
      <c r="AB180" s="231" t="e">
        <f>VLOOKUP(A180,Enforcements!$C$7:$K$9,8,0)</f>
        <v>#N/A</v>
      </c>
      <c r="AC180" s="231" t="e">
        <f>VLOOKUP(A180,Enforcements!$C$7:$E$9,3,0)</f>
        <v>#N/A</v>
      </c>
      <c r="AD180" s="232">
        <f t="shared" si="84"/>
        <v>820</v>
      </c>
      <c r="AE180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80" s="234" t="str">
        <f t="shared" si="86"/>
        <v>"C:\Program Files (x86)\AstroGrep\AstroGrep.exe" /e /r /s /spath="%USERPROFILE%\AppData\Local\Temp\OnboardLogs" /stypes="app*4031*20171212*" /stext=" 19:.+((SYSTEM_STATE.+slice.+state.+changed )|(ment ac)|(multiple cpu faults)|(system.+state.+changed )|(\[timeout)|(PRM\|1\|D)|(kpr)|(kdp)|(train st.+moving)|(\|lc)|(penalty))"</v>
      </c>
      <c r="AG180" s="226" t="str">
        <f t="shared" si="87"/>
        <v>NW</v>
      </c>
      <c r="AH180" s="189" t="str">
        <f t="shared" si="89"/>
        <v>"%USERPROFILE%\Documents\GitHub\eaglep3\Utilities\RefineRTDCRunTimes.py" --tripid 820-12 --locoid 4031 --swversion DE.1.0.9.0 --startMP 300:58649 --initTime 2017-12-12T12:25:35 --startdatetime 2017-12-12T12:42:00 --delay 71 --endMP 204:137 --enddatetime 2017-12-12T12:54:53 --enforcementcount 0 &gt;&gt;%USERPROFILE%\Documents\GitHub\eaglep3-reporting\EC\2017-12-12-refined-times.txt</v>
      </c>
      <c r="AI180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{"issue":{"subject":"","project_id":79,"tracker_id":40,"status_id":1,"priority_id":2,"assigned_to_id":338,"start_date":"2017-12-12","description":"","custom_fields":[{"id":1,"name":"Subdivision","value":"NW"},{"id":4,"name":"Milepost","value":"0.0137"},{"id":17,"name":"Train ID","value":"820-12"},{"id":16,"name":"Locomotive ID","value":"4031"},{"id":130,"name":"Impact","value":""},{"id":150,"name":"Time of Event (Mountain Time)","value":"12:54:53"},{"id":151,"name":"Denver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180"/>
      <c r="AK180" s="188"/>
      <c r="AL180" s="188"/>
      <c r="AM180" s="193" t="str">
        <f t="shared" si="91"/>
        <v>start /low /b %USERPROFILE%\Documents\GitHub\eaglep3\Utilities\DownloadLogsFromS3.py --loco 4031 --day 2017-12-12</v>
      </c>
      <c r="AN180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19:54:53"},{"id":29,"name":"Sharepoint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87" t="str">
        <f t="shared" si="93"/>
        <v>https://d0f6bd738d7f1b3e5a7ca70fe4ff75f0.us-east-1.aws.found.io/app/kibana#/discover/Steve-Slow-Train-Analysis-(2080s-and-2083s)?_g=(refreshInterval:(display:Off,pause:!f,section:0,value:0),time:(from:'2017-12-12T11:25:35-0700',mode:absolute,to:'2017-12-12T13:54:53-0700'))&amp;_a=(columns:!('Message%20ID',Summary),filters:!(),index:'emp_*',interval:auto,query:(query_string:(analyze_wildcard:!t,query:'%22rtdc.l.rtdc.4031%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180" customFormat="1" x14ac:dyDescent="0.25">
      <c r="A181" s="186" t="s">
        <v>682</v>
      </c>
      <c r="B181" s="182">
        <v>4032</v>
      </c>
      <c r="C181" s="184" t="s">
        <v>192</v>
      </c>
      <c r="D181" s="184" t="s">
        <v>549</v>
      </c>
      <c r="E181" s="183">
        <v>43081.540405092594</v>
      </c>
      <c r="F181" s="183">
        <v>43081.548090277778</v>
      </c>
      <c r="G181" s="182">
        <v>77</v>
      </c>
      <c r="H181" s="184" t="s">
        <v>562</v>
      </c>
      <c r="I181" s="183">
        <v>43081.558055555557</v>
      </c>
      <c r="J181" s="182">
        <v>0</v>
      </c>
      <c r="K181" s="190" t="str">
        <f t="shared" si="79"/>
        <v>4031/4032</v>
      </c>
      <c r="L181" s="196" t="str">
        <f>VLOOKUP(A181,'Trips&amp;Operators'!$C$1:$G$99911,5,FALSE)</f>
        <v>GUZMAN DANNY</v>
      </c>
      <c r="M181" s="181">
        <f t="shared" si="80"/>
        <v>9.9652777789742686E-3</v>
      </c>
      <c r="N181" s="182">
        <f t="shared" si="100"/>
        <v>14.350000001722947</v>
      </c>
      <c r="O181" s="182"/>
      <c r="P181" s="182"/>
      <c r="Q181" s="185"/>
      <c r="R181" s="197"/>
      <c r="S181" s="241">
        <f t="shared" si="99"/>
        <v>1</v>
      </c>
      <c r="T181" s="220" t="str">
        <f t="shared" si="81"/>
        <v>NorthBound</v>
      </c>
      <c r="U181" s="22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21" t="str">
        <f t="shared" si="82"/>
        <v>https://d0f6bd738d7f1b3e5a7ca70fe4ff75f0.us-east-1.aws.found.io/app/kibana#/discover/Steve-Slow-Train-Analysis-(2080s-and-2083s)?_g=(refreshInterval:(display:Off,pause:!f,section:0,value:0),time:(from:'2017-12-12T11:58:11-0700',mode:absolute,to:'2017-12-12T14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222" t="str">
        <f>IF(AA181&lt;VLOOKUP(AG181,Variables!$AC$3:$AD$8,2,FALSE),"Y","N")</f>
        <v>N</v>
      </c>
      <c r="X181" s="222">
        <f t="shared" si="98"/>
        <v>1</v>
      </c>
      <c r="Y181" s="222">
        <f t="shared" si="101"/>
        <v>4.4200000000000003E-2</v>
      </c>
      <c r="Z181" s="222">
        <f t="shared" si="102"/>
        <v>5.8935000000000004</v>
      </c>
      <c r="AA181" s="222">
        <f t="shared" si="83"/>
        <v>5.8493000000000004</v>
      </c>
      <c r="AB181" s="231" t="e">
        <f>VLOOKUP(A181,Enforcements!$C$7:$K$9,8,0)</f>
        <v>#N/A</v>
      </c>
      <c r="AC181" s="231" t="e">
        <f>VLOOKUP(A181,Enforcements!$C$7:$E$9,3,0)</f>
        <v>#N/A</v>
      </c>
      <c r="AD181" s="232">
        <f t="shared" si="84"/>
        <v>821</v>
      </c>
      <c r="AE181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81" s="234" t="str">
        <f t="shared" si="86"/>
        <v>"C:\Program Files (x86)\AstroGrep\AstroGrep.exe" /e /r /s /spath="%USERPROFILE%\AppData\Local\Temp\OnboardLogs" /stypes="app*4032*20171212*" /stext=" 20:.+((SYSTEM_STATE.+slice.+state.+changed )|(ment ac)|(multiple cpu faults)|(system.+state.+changed )|(\[timeout)|(PRM\|1\|D)|(kpr)|(kdp)|(train st.+moving)|(\|lc)|(penalty))"</v>
      </c>
      <c r="AG181" s="226" t="str">
        <f t="shared" si="87"/>
        <v>NW</v>
      </c>
      <c r="AH181" s="189" t="str">
        <f t="shared" si="89"/>
        <v>"%USERPROFILE%\Documents\GitHub\eaglep3\Utilities\RefineRTDCRunTimes.py" --tripid 821-12 --locoid 4032 --swversion DE.1.0.9.0 --startMP 204:442 --initTime 2017-12-12T12:58:11 --startdatetime 2017-12-12T13:09:15 --delay 77 --endMP 300:58935 --enddatetime 2017-12-12T13:23:36 --enforcementcount 0 &gt;&gt;%USERPROFILE%\Documents\GitHub\eaglep3-reporting\EC\2017-12-12-refined-times.txt</v>
      </c>
      <c r="AI181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{"issue":{"subject":"","project_id":79,"tracker_id":40,"status_id":1,"priority_id":2,"assigned_to_id":338,"start_date":"2017-12-12","description":"","custom_fields":[{"id":1,"name":"Subdivision","value":"NW"},{"id":4,"name":"Milepost","value":"5.8935"},{"id":17,"name":"Train ID","value":"821-12"},{"id":16,"name":"Locomotive ID","value":"4032"},{"id":130,"name":"Impact","value":""},{"id":150,"name":"Time of Event (Mountain Time)","value":"13:23:36"},{"id":151,"name":"Denver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188"/>
      <c r="AL181" s="188"/>
      <c r="AM181" s="193" t="str">
        <f t="shared" si="91"/>
        <v>start /low /b %USERPROFILE%\Documents\GitHub\eaglep3\Utilities\DownloadLogsFromS3.py --loco 4032 --day 2017-12-12</v>
      </c>
      <c r="AN181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87" t="str">
        <f t="shared" si="93"/>
        <v>https://d0f6bd738d7f1b3e5a7ca70fe4ff75f0.us-east-1.aws.found.io/app/kibana#/discover/Steve-Slow-Train-Analysis-(2080s-and-2083s)?_g=(refreshInterval:(display:Off,pause:!f,section:0,value:0),time:(from:'2017-12-12T11:58:11-0700',mode:absolute,to:'2017-12-12T14:23:36-0700'))&amp;_a=(columns:!('Message%20ID',Summary),filters:!(),index:'emp_*',interval:auto,query:(query_string:(analyze_wildcard:!t,query:'%22rtdc.l.rtdc.4032%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180" customFormat="1" x14ac:dyDescent="0.25">
      <c r="A182" s="186" t="s">
        <v>794</v>
      </c>
      <c r="B182" s="182">
        <v>4031</v>
      </c>
      <c r="C182" s="184" t="s">
        <v>192</v>
      </c>
      <c r="D182" s="184" t="s">
        <v>1042</v>
      </c>
      <c r="E182" s="183">
        <v>43081.560914351852</v>
      </c>
      <c r="F182" s="183">
        <v>43081.570833333331</v>
      </c>
      <c r="G182" s="182">
        <v>62</v>
      </c>
      <c r="H182" s="184" t="s">
        <v>949</v>
      </c>
      <c r="I182" s="183">
        <v>43081.579965277779</v>
      </c>
      <c r="J182" s="182">
        <v>0</v>
      </c>
      <c r="K182" s="190" t="str">
        <f t="shared" si="79"/>
        <v>4031/4032</v>
      </c>
      <c r="L182" s="196" t="str">
        <f>VLOOKUP(A182,'Trips&amp;Operators'!$C$1:$G$99911,5,FALSE)</f>
        <v>GUZMAN DANNY</v>
      </c>
      <c r="M182" s="181">
        <f t="shared" si="80"/>
        <v>9.1319444472901523E-3</v>
      </c>
      <c r="N182" s="182">
        <f t="shared" si="100"/>
        <v>13.150000004097819</v>
      </c>
      <c r="O182" s="182"/>
      <c r="P182" s="182"/>
      <c r="Q182" s="185"/>
      <c r="R182" s="197"/>
      <c r="S182" s="241">
        <f t="shared" si="99"/>
        <v>1</v>
      </c>
      <c r="T182" s="220" t="str">
        <f t="shared" si="81"/>
        <v>Southbound</v>
      </c>
      <c r="U182" s="22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1" t="str">
        <f t="shared" si="82"/>
        <v>https://d0f6bd738d7f1b3e5a7ca70fe4ff75f0.us-east-1.aws.found.io/app/kibana#/discover/Steve-Slow-Train-Analysis-(2080s-and-2083s)?_g=(refreshInterval:(display:Off,pause:!f,section:0,value:0),time:(from:'2017-12-12T12:27:43-0700',mode:absolute,to:'2017-12-12T14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222" t="str">
        <f>IF(AA182&lt;VLOOKUP(AG182,Variables!$AC$3:$AD$8,2,FALSE),"Y","N")</f>
        <v>N</v>
      </c>
      <c r="X182" s="222">
        <f t="shared" si="98"/>
        <v>1</v>
      </c>
      <c r="Y182" s="222">
        <f t="shared" si="101"/>
        <v>5.8623000000000003</v>
      </c>
      <c r="Z182" s="222">
        <f t="shared" si="102"/>
        <v>1.6899999999999998E-2</v>
      </c>
      <c r="AA182" s="222">
        <f t="shared" si="83"/>
        <v>5.8454000000000006</v>
      </c>
      <c r="AB182" s="231" t="e">
        <f>VLOOKUP(A182,Enforcements!$C$7:$K$9,8,0)</f>
        <v>#N/A</v>
      </c>
      <c r="AC182" s="231" t="e">
        <f>VLOOKUP(A182,Enforcements!$C$7:$E$9,3,0)</f>
        <v>#N/A</v>
      </c>
      <c r="AD182" s="232">
        <f t="shared" si="84"/>
        <v>822</v>
      </c>
      <c r="AE182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82" s="234" t="str">
        <f t="shared" si="86"/>
        <v>"C:\Program Files (x86)\AstroGrep\AstroGrep.exe" /e /r /s /spath="%USERPROFILE%\AppData\Local\Temp\OnboardLogs" /stypes="app*4031*20171212*" /stext=" 20:.+((SYSTEM_STATE.+slice.+state.+changed )|(ment ac)|(multiple cpu faults)|(system.+state.+changed )|(\[timeout)|(PRM\|1\|D)|(kpr)|(kdp)|(train st.+moving)|(\|lc)|(penalty))"</v>
      </c>
      <c r="AG182" s="226" t="str">
        <f t="shared" si="87"/>
        <v>NW</v>
      </c>
      <c r="AH182" s="189" t="str">
        <f t="shared" si="89"/>
        <v>"%USERPROFILE%\Documents\GitHub\eaglep3\Utilities\RefineRTDCRunTimes.py" --tripid 822-12 --locoid 4031 --swversion DE.1.0.9.0 --startMP 300:58623 --initTime 2017-12-12T13:27:43 --startdatetime 2017-12-12T13:42:00 --delay 62 --endMP 204:169 --enddatetime 2017-12-12T13:55:09 --enforcementcount 0 &gt;&gt;%USERPROFILE%\Documents\GitHub\eaglep3-reporting\EC\2017-12-12-refined-times.txt</v>
      </c>
      <c r="AI182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{"issue":{"subject":"","project_id":79,"tracker_id":40,"status_id":1,"priority_id":2,"assigned_to_id":338,"start_date":"2017-12-12","description":"","custom_fields":[{"id":1,"name":"Subdivision","value":"NW"},{"id":4,"name":"Milepost","value":"0.0169"},{"id":17,"name":"Train ID","value":"822-12"},{"id":16,"name":"Locomotive ID","value":"4031"},{"id":130,"name":"Impact","value":""},{"id":150,"name":"Time of Event (Mountain Time)","value":"13:55:09"},{"id":151,"name":"Denver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188"/>
      <c r="AL182" s="188"/>
      <c r="AM182" s="193" t="str">
        <f t="shared" si="91"/>
        <v>start /low /b %USERPROFILE%\Documents\GitHub\eaglep3\Utilities\DownloadLogsFromS3.py --loco 4031 --day 2017-12-12</v>
      </c>
      <c r="AN182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20:55:09"},{"id":29,"name":"Sharepoint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87" t="str">
        <f t="shared" si="93"/>
        <v>https://d0f6bd738d7f1b3e5a7ca70fe4ff75f0.us-east-1.aws.found.io/app/kibana#/discover/Steve-Slow-Train-Analysis-(2080s-and-2083s)?_g=(refreshInterval:(display:Off,pause:!f,section:0,value:0),time:(from:'2017-12-12T12:27:43-0700',mode:absolute,to:'2017-12-12T14:55:09-0700'))&amp;_a=(columns:!('Message%20ID',Summary),filters:!(),index:'emp_*',interval:auto,query:(query_string:(analyze_wildcard:!t,query:'%22rtdc.l.rtdc.4031%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186" t="s">
        <v>800</v>
      </c>
      <c r="B183" s="182">
        <v>4032</v>
      </c>
      <c r="C183" s="184" t="s">
        <v>192</v>
      </c>
      <c r="D183" s="184" t="s">
        <v>491</v>
      </c>
      <c r="E183" s="183">
        <v>43081.584687499999</v>
      </c>
      <c r="F183" s="183">
        <v>43081.589756944442</v>
      </c>
      <c r="G183" s="182">
        <v>51</v>
      </c>
      <c r="H183" s="184" t="s">
        <v>655</v>
      </c>
      <c r="I183" s="183">
        <v>43081.599456018521</v>
      </c>
      <c r="J183" s="182">
        <v>0</v>
      </c>
      <c r="K183" s="190" t="str">
        <f t="shared" si="79"/>
        <v>4031/4032</v>
      </c>
      <c r="L183" s="196" t="str">
        <f>VLOOKUP(A183,'Trips&amp;Operators'!$C$1:$G$99911,5,FALSE)</f>
        <v>GUZMAN DANNY</v>
      </c>
      <c r="M183" s="181">
        <f t="shared" si="80"/>
        <v>9.6990740785258822E-3</v>
      </c>
      <c r="N183" s="182">
        <f t="shared" si="100"/>
        <v>13.96666667307727</v>
      </c>
      <c r="O183" s="182"/>
      <c r="P183" s="182"/>
      <c r="Q183" s="185"/>
      <c r="R183" s="197"/>
      <c r="S183" s="241">
        <f t="shared" si="99"/>
        <v>1</v>
      </c>
      <c r="T183" s="220" t="str">
        <f t="shared" si="81"/>
        <v>NorthBound</v>
      </c>
      <c r="U183" s="22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1" t="str">
        <f t="shared" si="82"/>
        <v>https://d0f6bd738d7f1b3e5a7ca70fe4ff75f0.us-east-1.aws.found.io/app/kibana#/discover/Steve-Slow-Train-Analysis-(2080s-and-2083s)?_g=(refreshInterval:(display:Off,pause:!f,section:0,value:0),time:(from:'2017-12-12T13:01:57-0700',mode:absolute,to:'2017-12-12T15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222" t="str">
        <f>IF(AA183&lt;VLOOKUP(AG183,Variables!$AC$3:$AD$8,2,FALSE),"Y","N")</f>
        <v>N</v>
      </c>
      <c r="X183" s="222">
        <f t="shared" si="98"/>
        <v>1</v>
      </c>
      <c r="Y183" s="222">
        <f t="shared" si="101"/>
        <v>4.4999999999999998E-2</v>
      </c>
      <c r="Z183" s="222">
        <f t="shared" si="102"/>
        <v>5.8936999999999999</v>
      </c>
      <c r="AA183" s="222">
        <f t="shared" si="83"/>
        <v>5.8487</v>
      </c>
      <c r="AB183" s="231" t="e">
        <f>VLOOKUP(A183,Enforcements!$C$7:$K$9,8,0)</f>
        <v>#N/A</v>
      </c>
      <c r="AC183" s="231" t="e">
        <f>VLOOKUP(A183,Enforcements!$C$7:$E$9,3,0)</f>
        <v>#N/A</v>
      </c>
      <c r="AD183" s="232">
        <f t="shared" si="84"/>
        <v>823</v>
      </c>
      <c r="AE183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83" s="234" t="str">
        <f t="shared" si="86"/>
        <v>"C:\Program Files (x86)\AstroGrep\AstroGrep.exe" /e /r /s /spath="%USERPROFILE%\AppData\Local\Temp\OnboardLogs" /stypes="app*4032*20171212*" /stext=" 21:.+((SYSTEM_STATE.+slice.+state.+changed )|(ment ac)|(multiple cpu faults)|(system.+state.+changed )|(\[timeout)|(PRM\|1\|D)|(kpr)|(kdp)|(train st.+moving)|(\|lc)|(penalty))"</v>
      </c>
      <c r="AG183" s="226" t="str">
        <f t="shared" si="87"/>
        <v>NW</v>
      </c>
      <c r="AH183" s="189" t="str">
        <f t="shared" si="89"/>
        <v>"%USERPROFILE%\Documents\GitHub\eaglep3\Utilities\RefineRTDCRunTimes.py" --tripid 823-12 --locoid 4032 --swversion DE.1.0.9.0 --startMP 204:450 --initTime 2017-12-12T14:01:57 --startdatetime 2017-12-12T14:09:15 --delay 51 --endMP 300:58937 --enddatetime 2017-12-12T14:23:13 --enforcementcount 0 &gt;&gt;%USERPROFILE%\Documents\GitHub\eaglep3-reporting\EC\2017-12-12-refined-times.txt</v>
      </c>
      <c r="AI183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{"issue":{"subject":"","project_id":79,"tracker_id":40,"status_id":1,"priority_id":2,"assigned_to_id":338,"start_date":"2017-12-12","description":"","custom_fields":[{"id":1,"name":"Subdivision","value":"NW"},{"id":4,"name":"Milepost","value":"5.8937"},{"id":17,"name":"Train ID","value":"823-12"},{"id":16,"name":"Locomotive ID","value":"4032"},{"id":130,"name":"Impact","value":""},{"id":150,"name":"Time of Event (Mountain Time)","value":"14:23:13"},{"id":151,"name":"Denver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180"/>
      <c r="AK183" s="188"/>
      <c r="AL183" s="188"/>
      <c r="AM183" s="193" t="str">
        <f t="shared" si="91"/>
        <v>start /low /b %USERPROFILE%\Documents\GitHub\eaglep3\Utilities\DownloadLogsFromS3.py --loco 4032 --day 2017-12-12</v>
      </c>
      <c r="AN183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87" t="str">
        <f t="shared" si="93"/>
        <v>https://d0f6bd738d7f1b3e5a7ca70fe4ff75f0.us-east-1.aws.found.io/app/kibana#/discover/Steve-Slow-Train-Analysis-(2080s-and-2083s)?_g=(refreshInterval:(display:Off,pause:!f,section:0,value:0),time:(from:'2017-12-12T13:01:57-0700',mode:absolute,to:'2017-12-12T15:23:13-0700'))&amp;_a=(columns:!('Message%20ID',Summary),filters:!(),index:'emp_*',interval:auto,query:(query_string:(analyze_wildcard:!t,query:'%22rtdc.l.rtdc.4032%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186" t="s">
        <v>805</v>
      </c>
      <c r="B184" s="182">
        <v>4031</v>
      </c>
      <c r="C184" s="184" t="s">
        <v>192</v>
      </c>
      <c r="D184" s="184" t="s">
        <v>659</v>
      </c>
      <c r="E184" s="183">
        <v>43081.600300925929</v>
      </c>
      <c r="F184" s="183">
        <v>43081.612500000003</v>
      </c>
      <c r="G184" s="182">
        <v>53</v>
      </c>
      <c r="H184" s="184" t="s">
        <v>1043</v>
      </c>
      <c r="I184" s="183">
        <v>43081.622824074075</v>
      </c>
      <c r="J184" s="182">
        <v>0</v>
      </c>
      <c r="K184" s="190" t="str">
        <f t="shared" si="79"/>
        <v>4031/4032</v>
      </c>
      <c r="L184" s="196" t="str">
        <f>VLOOKUP(A184,'Trips&amp;Operators'!$C$1:$G$99911,5,FALSE)</f>
        <v>GUZMAN DANNY</v>
      </c>
      <c r="M184" s="181">
        <f t="shared" si="80"/>
        <v>1.0324074071832001E-2</v>
      </c>
      <c r="N184" s="182">
        <f t="shared" si="100"/>
        <v>14.866666663438082</v>
      </c>
      <c r="O184" s="182"/>
      <c r="P184" s="182"/>
      <c r="Q184" s="185"/>
      <c r="R184" s="197"/>
      <c r="S184" s="241">
        <f t="shared" si="99"/>
        <v>1</v>
      </c>
      <c r="T184" s="220" t="str">
        <f t="shared" si="81"/>
        <v>Southbound</v>
      </c>
      <c r="U184" s="22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21" t="str">
        <f t="shared" si="82"/>
        <v>https://d0f6bd738d7f1b3e5a7ca70fe4ff75f0.us-east-1.aws.found.io/app/kibana#/discover/Steve-Slow-Train-Analysis-(2080s-and-2083s)?_g=(refreshInterval:(display:Off,pause:!f,section:0,value:0),time:(from:'2017-12-12T13:24:26-0700',mode:absolute,to:'2017-12-12T15:56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222" t="str">
        <f>IF(AA184&lt;VLOOKUP(AG184,Variables!$AC$3:$AD$8,2,FALSE),"Y","N")</f>
        <v>N</v>
      </c>
      <c r="X184" s="222">
        <f t="shared" si="98"/>
        <v>1</v>
      </c>
      <c r="Y184" s="222">
        <f t="shared" si="101"/>
        <v>5.8620999999999999</v>
      </c>
      <c r="Z184" s="222">
        <f t="shared" si="102"/>
        <v>1.3299999999999999E-2</v>
      </c>
      <c r="AA184" s="222">
        <f t="shared" si="83"/>
        <v>5.8487999999999998</v>
      </c>
      <c r="AB184" s="231" t="e">
        <f>VLOOKUP(A184,Enforcements!$C$7:$K$9,8,0)</f>
        <v>#N/A</v>
      </c>
      <c r="AC184" s="231" t="e">
        <f>VLOOKUP(A184,Enforcements!$C$7:$E$9,3,0)</f>
        <v>#N/A</v>
      </c>
      <c r="AD184" s="232">
        <f t="shared" si="84"/>
        <v>824</v>
      </c>
      <c r="AE184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84" s="234" t="str">
        <f t="shared" si="86"/>
        <v>"C:\Program Files (x86)\AstroGrep\AstroGrep.exe" /e /r /s /spath="%USERPROFILE%\AppData\Local\Temp\OnboardLogs" /stypes="app*4031*20171212*" /stext=" 21:.+((SYSTEM_STATE.+slice.+state.+changed )|(ment ac)|(multiple cpu faults)|(system.+state.+changed )|(\[timeout)|(PRM\|1\|D)|(kpr)|(kdp)|(train st.+moving)|(\|lc)|(penalty))"</v>
      </c>
      <c r="AG184" s="226" t="str">
        <f t="shared" si="87"/>
        <v>NW</v>
      </c>
      <c r="AH184" s="189" t="str">
        <f t="shared" si="89"/>
        <v>"%USERPROFILE%\Documents\GitHub\eaglep3\Utilities\RefineRTDCRunTimes.py" --tripid 824-12 --locoid 4031 --swversion DE.1.0.9.0 --startMP 300:58621 --initTime 2017-12-12T14:24:26 --startdatetime 2017-12-12T14:42:00 --delay 53 --endMP 204:133 --enddatetime 2017-12-12T14:56:52 --enforcementcount 0 &gt;&gt;%USERPROFILE%\Documents\GitHub\eaglep3-reporting\EC\2017-12-12-refined-times.txt</v>
      </c>
      <c r="AI184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{"issue":{"subject":"","project_id":79,"tracker_id":40,"status_id":1,"priority_id":2,"assigned_to_id":338,"start_date":"2017-12-12","description":"","custom_fields":[{"id":1,"name":"Subdivision","value":"NW"},{"id":4,"name":"Milepost","value":"0.0133"},{"id":17,"name":"Train ID","value":"824-12"},{"id":16,"name":"Locomotive ID","value":"4031"},{"id":130,"name":"Impact","value":""},{"id":150,"name":"Time of Event (Mountain Time)","value":"14:56:52"},{"id":151,"name":"Denver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180"/>
      <c r="AK184" s="188"/>
      <c r="AL184" s="188"/>
      <c r="AM184" s="193" t="str">
        <f t="shared" si="91"/>
        <v>start /low /b %USERPROFILE%\Documents\GitHub\eaglep3\Utilities\DownloadLogsFromS3.py --loco 4031 --day 2017-12-12</v>
      </c>
      <c r="AN184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21:56:52"},{"id":29,"name":"Sharepoint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87" t="str">
        <f t="shared" si="93"/>
        <v>https://d0f6bd738d7f1b3e5a7ca70fe4ff75f0.us-east-1.aws.found.io/app/kibana#/discover/Steve-Slow-Train-Analysis-(2080s-and-2083s)?_g=(refreshInterval:(display:Off,pause:!f,section:0,value:0),time:(from:'2017-12-12T13:24:26-0700',mode:absolute,to:'2017-12-12T15:56:52-0700'))&amp;_a=(columns:!('Message%20ID',Summary),filters:!(),index:'emp_*',interval:auto,query:(query_string:(analyze_wildcard:!t,query:'%22rtdc.l.rtdc.4031%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186" t="s">
        <v>810</v>
      </c>
      <c r="B185" s="182">
        <v>4032</v>
      </c>
      <c r="C185" s="184" t="s">
        <v>192</v>
      </c>
      <c r="D185" s="184" t="s">
        <v>457</v>
      </c>
      <c r="E185" s="183">
        <v>43081.628310185188</v>
      </c>
      <c r="F185" s="183">
        <v>43081.631423611114</v>
      </c>
      <c r="G185" s="182">
        <v>53</v>
      </c>
      <c r="H185" s="184" t="s">
        <v>1044</v>
      </c>
      <c r="I185" s="183">
        <v>43081.641145833331</v>
      </c>
      <c r="J185" s="182">
        <v>0</v>
      </c>
      <c r="K185" s="190" t="str">
        <f t="shared" si="79"/>
        <v>4031/4032</v>
      </c>
      <c r="L185" s="196" t="str">
        <f>VLOOKUP(A185,'Trips&amp;Operators'!$C$1:$G$99911,5,FALSE)</f>
        <v>GUZMAN DANNY</v>
      </c>
      <c r="M185" s="181">
        <f t="shared" si="80"/>
        <v>9.7222222175332718E-3</v>
      </c>
      <c r="N185" s="182">
        <f t="shared" si="100"/>
        <v>13.999999993247911</v>
      </c>
      <c r="O185" s="182"/>
      <c r="P185" s="182"/>
      <c r="Q185" s="185"/>
      <c r="R185" s="197"/>
      <c r="S185" s="241">
        <f t="shared" si="99"/>
        <v>1</v>
      </c>
      <c r="T185" s="220" t="str">
        <f t="shared" si="81"/>
        <v>NorthBound</v>
      </c>
      <c r="U185" s="22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1" t="str">
        <f t="shared" si="82"/>
        <v>https://d0f6bd738d7f1b3e5a7ca70fe4ff75f0.us-east-1.aws.found.io/app/kibana#/discover/Steve-Slow-Train-Analysis-(2080s-and-2083s)?_g=(refreshInterval:(display:Off,pause:!f,section:0,value:0),time:(from:'2017-12-12T14:04:46-0700',mode:absolute,to:'2017-12-12T16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222" t="str">
        <f>IF(AA185&lt;VLOOKUP(AG185,Variables!$AC$3:$AD$8,2,FALSE),"Y","N")</f>
        <v>N</v>
      </c>
      <c r="X185" s="222">
        <f t="shared" si="98"/>
        <v>1</v>
      </c>
      <c r="Y185" s="222">
        <f t="shared" si="101"/>
        <v>4.5699999999999998E-2</v>
      </c>
      <c r="Z185" s="222">
        <f t="shared" si="102"/>
        <v>5.8930999999999996</v>
      </c>
      <c r="AA185" s="222">
        <f t="shared" si="83"/>
        <v>5.8473999999999995</v>
      </c>
      <c r="AB185" s="231" t="e">
        <f>VLOOKUP(A185,Enforcements!$C$7:$K$9,8,0)</f>
        <v>#N/A</v>
      </c>
      <c r="AC185" s="231" t="e">
        <f>VLOOKUP(A185,Enforcements!$C$7:$E$9,3,0)</f>
        <v>#N/A</v>
      </c>
      <c r="AD185" s="232">
        <f t="shared" si="84"/>
        <v>825</v>
      </c>
      <c r="AE185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85" s="234" t="str">
        <f t="shared" si="86"/>
        <v>"C:\Program Files (x86)\AstroGrep\AstroGrep.exe" /e /r /s /spath="%USERPROFILE%\AppData\Local\Temp\OnboardLogs" /stypes="app*4032*20171212*" /stext=" 22:.+((SYSTEM_STATE.+slice.+state.+changed )|(ment ac)|(multiple cpu faults)|(system.+state.+changed )|(\[timeout)|(PRM\|1\|D)|(kpr)|(kdp)|(train st.+moving)|(\|lc)|(penalty))"</v>
      </c>
      <c r="AG185" s="226" t="str">
        <f t="shared" si="87"/>
        <v>NW</v>
      </c>
      <c r="AH185" s="189" t="str">
        <f t="shared" si="89"/>
        <v>"%USERPROFILE%\Documents\GitHub\eaglep3\Utilities\RefineRTDCRunTimes.py" --tripid 825-12 --locoid 4032 --swversion DE.1.0.9.0 --startMP 204:457 --initTime 2017-12-12T15:04:46 --startdatetime 2017-12-12T15:09:15 --delay 53 --endMP 300:58931 --enddatetime 2017-12-12T15:23:15 --enforcementcount 0 &gt;&gt;%USERPROFILE%\Documents\GitHub\eaglep3-reporting\EC\2017-12-12-refined-times.txt</v>
      </c>
      <c r="AI185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{"issue":{"subject":"","project_id":79,"tracker_id":40,"status_id":1,"priority_id":2,"assigned_to_id":338,"start_date":"2017-12-12","description":"","custom_fields":[{"id":1,"name":"Subdivision","value":"NW"},{"id":4,"name":"Milepost","value":"5.8931"},{"id":17,"name":"Train ID","value":"825-12"},{"id":16,"name":"Locomotive ID","value":"4032"},{"id":130,"name":"Impact","value":""},{"id":150,"name":"Time of Event (Mountain Time)","value":"15:23:15"},{"id":151,"name":"Denver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180"/>
      <c r="AK185" s="188"/>
      <c r="AL185" s="188"/>
      <c r="AM185" s="193" t="str">
        <f t="shared" si="91"/>
        <v>start /low /b %USERPROFILE%\Documents\GitHub\eaglep3\Utilities\DownloadLogsFromS3.py --loco 4032 --day 2017-12-12</v>
      </c>
      <c r="AN185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87" t="str">
        <f t="shared" si="93"/>
        <v>https://d0f6bd738d7f1b3e5a7ca70fe4ff75f0.us-east-1.aws.found.io/app/kibana#/discover/Steve-Slow-Train-Analysis-(2080s-and-2083s)?_g=(refreshInterval:(display:Off,pause:!f,section:0,value:0),time:(from:'2017-12-12T14:04:46-0700',mode:absolute,to:'2017-12-12T16:23:15-0700'))&amp;_a=(columns:!('Message%20ID',Summary),filters:!(),index:'emp_*',interval:auto,query:(query_string:(analyze_wildcard:!t,query:'%22rtdc.l.rtdc.4032%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186" t="s">
        <v>815</v>
      </c>
      <c r="B186" s="182">
        <v>4031</v>
      </c>
      <c r="C186" s="184" t="s">
        <v>192</v>
      </c>
      <c r="D186" s="184" t="s">
        <v>1045</v>
      </c>
      <c r="E186" s="183">
        <v>43081.64199074074</v>
      </c>
      <c r="F186" s="183">
        <v>43081.654166666667</v>
      </c>
      <c r="G186" s="182">
        <v>55</v>
      </c>
      <c r="H186" s="184" t="s">
        <v>664</v>
      </c>
      <c r="I186" s="183">
        <v>43081.663437499999</v>
      </c>
      <c r="J186" s="182">
        <v>0</v>
      </c>
      <c r="K186" s="190" t="str">
        <f t="shared" si="79"/>
        <v>4031/4032</v>
      </c>
      <c r="L186" s="196" t="str">
        <f>VLOOKUP(A186,'Trips&amp;Operators'!$C$1:$G$99911,5,FALSE)</f>
        <v>GUZMAN DANNY</v>
      </c>
      <c r="M186" s="181">
        <f t="shared" si="80"/>
        <v>9.2708333322661929E-3</v>
      </c>
      <c r="N186" s="182">
        <f t="shared" si="100"/>
        <v>13.349999998463318</v>
      </c>
      <c r="O186" s="182"/>
      <c r="P186" s="182"/>
      <c r="Q186" s="185"/>
      <c r="R186" s="197"/>
      <c r="S186" s="241">
        <f t="shared" si="99"/>
        <v>1</v>
      </c>
      <c r="T186" s="220" t="str">
        <f t="shared" si="81"/>
        <v>Southbound</v>
      </c>
      <c r="U186" s="22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1" t="str">
        <f t="shared" si="82"/>
        <v>https://d0f6bd738d7f1b3e5a7ca70fe4ff75f0.us-east-1.aws.found.io/app/kibana#/discover/Steve-Slow-Train-Analysis-(2080s-and-2083s)?_g=(refreshInterval:(display:Off,pause:!f,section:0,value:0),time:(from:'2017-12-12T14:24:28-0700',mode:absolute,to:'2017-12-12T16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222" t="str">
        <f>IF(AA186&lt;VLOOKUP(AG186,Variables!$AC$3:$AD$8,2,FALSE),"Y","N")</f>
        <v>N</v>
      </c>
      <c r="X186" s="222">
        <f t="shared" si="98"/>
        <v>1</v>
      </c>
      <c r="Y186" s="222">
        <f t="shared" si="101"/>
        <v>5.8615000000000004</v>
      </c>
      <c r="Z186" s="222">
        <f t="shared" si="102"/>
        <v>1.26E-2</v>
      </c>
      <c r="AA186" s="222">
        <f t="shared" si="83"/>
        <v>5.8489000000000004</v>
      </c>
      <c r="AB186" s="231" t="e">
        <f>VLOOKUP(A186,Enforcements!$C$7:$K$9,8,0)</f>
        <v>#N/A</v>
      </c>
      <c r="AC186" s="231" t="e">
        <f>VLOOKUP(A186,Enforcements!$C$7:$E$9,3,0)</f>
        <v>#N/A</v>
      </c>
      <c r="AD186" s="232">
        <f t="shared" si="84"/>
        <v>826</v>
      </c>
      <c r="AE186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86" s="234" t="str">
        <f t="shared" si="86"/>
        <v>"C:\Program Files (x86)\AstroGrep\AstroGrep.exe" /e /r /s /spath="%USERPROFILE%\AppData\Local\Temp\OnboardLogs" /stypes="app*4031*20171212*" /stext=" 22:.+((SYSTEM_STATE.+slice.+state.+changed )|(ment ac)|(multiple cpu faults)|(system.+state.+changed )|(\[timeout)|(PRM\|1\|D)|(kpr)|(kdp)|(train st.+moving)|(\|lc)|(penalty))"</v>
      </c>
      <c r="AG186" s="226" t="str">
        <f t="shared" si="87"/>
        <v>NW</v>
      </c>
      <c r="AH186" s="189" t="str">
        <f t="shared" si="89"/>
        <v>"%USERPROFILE%\Documents\GitHub\eaglep3\Utilities\RefineRTDCRunTimes.py" --tripid 826-12 --locoid 4031 --swversion DE.1.0.9.0 --startMP 300:58615 --initTime 2017-12-12T15:24:28 --startdatetime 2017-12-12T15:42:00 --delay 55 --endMP 204:126 --enddatetime 2017-12-12T15:55:21 --enforcementcount 0 &gt;&gt;%USERPROFILE%\Documents\GitHub\eaglep3-reporting\EC\2017-12-12-refined-times.txt</v>
      </c>
      <c r="AI186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{"issue":{"subject":"","project_id":79,"tracker_id":40,"status_id":1,"priority_id":2,"assigned_to_id":338,"start_date":"2017-12-12","description":"","custom_fields":[{"id":1,"name":"Subdivision","value":"NW"},{"id":4,"name":"Milepost","value":"0.0126"},{"id":17,"name":"Train ID","value":"826-12"},{"id":16,"name":"Locomotive ID","value":"4031"},{"id":130,"name":"Impact","value":""},{"id":150,"name":"Time of Event (Mountain Time)","value":"15:55:21"},{"id":151,"name":"Denver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180"/>
      <c r="AK186" s="188"/>
      <c r="AL186" s="188"/>
      <c r="AM186" s="193" t="str">
        <f t="shared" si="91"/>
        <v>start /low /b %USERPROFILE%\Documents\GitHub\eaglep3\Utilities\DownloadLogsFromS3.py --loco 4031 --day 2017-12-12</v>
      </c>
      <c r="AN186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87" t="str">
        <f t="shared" si="93"/>
        <v>https://d0f6bd738d7f1b3e5a7ca70fe4ff75f0.us-east-1.aws.found.io/app/kibana#/discover/Steve-Slow-Train-Analysis-(2080s-and-2083s)?_g=(refreshInterval:(display:Off,pause:!f,section:0,value:0),time:(from:'2017-12-12T14:24:28-0700',mode:absolute,to:'2017-12-12T16:55:21-0700'))&amp;_a=(columns:!('Message%20ID',Summary),filters:!(),index:'emp_*',interval:auto,query:(query_string:(analyze_wildcard:!t,query:'%22rtdc.l.rtdc.4031%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186" t="s">
        <v>683</v>
      </c>
      <c r="B187" s="182">
        <v>4056</v>
      </c>
      <c r="C187" s="184" t="s">
        <v>192</v>
      </c>
      <c r="D187" s="184" t="s">
        <v>1046</v>
      </c>
      <c r="E187" s="183">
        <v>43081.64775462963</v>
      </c>
      <c r="F187" s="183">
        <v>43081.652372685188</v>
      </c>
      <c r="G187" s="182">
        <v>64</v>
      </c>
      <c r="H187" s="184" t="s">
        <v>562</v>
      </c>
      <c r="I187" s="183">
        <v>43081.66207175926</v>
      </c>
      <c r="J187" s="182">
        <v>0</v>
      </c>
      <c r="K187" s="190" t="str">
        <f t="shared" si="79"/>
        <v>4055/4056</v>
      </c>
      <c r="L187" s="196" t="str">
        <f>VLOOKUP(A187,'Trips&amp;Operators'!$C$1:$G$99911,5,FALSE)</f>
        <v>STAMBAUGH JAMES</v>
      </c>
      <c r="M187" s="181">
        <f t="shared" si="80"/>
        <v>9.6990740712499246E-3</v>
      </c>
      <c r="N187" s="182">
        <f t="shared" si="100"/>
        <v>13.966666662599891</v>
      </c>
      <c r="O187" s="182"/>
      <c r="P187" s="182"/>
      <c r="Q187" s="185"/>
      <c r="R187" s="197"/>
      <c r="S187" s="241">
        <f t="shared" si="99"/>
        <v>1</v>
      </c>
      <c r="T187" s="220" t="str">
        <f t="shared" si="81"/>
        <v>NorthBound</v>
      </c>
      <c r="U187" s="22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1" t="str">
        <f t="shared" si="82"/>
        <v>https://d0f6bd738d7f1b3e5a7ca70fe4ff75f0.us-east-1.aws.found.io/app/kibana#/discover/Steve-Slow-Train-Analysis-(2080s-and-2083s)?_g=(refreshInterval:(display:Off,pause:!f,section:0,value:0),time:(from:'2017-12-12T14:32:46-0700',mode:absolute,to:'2017-12-12T16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7" s="222" t="str">
        <f>IF(AA187&lt;VLOOKUP(AG187,Variables!$AC$3:$AD$8,2,FALSE),"Y","N")</f>
        <v>N</v>
      </c>
      <c r="X187" s="222">
        <f t="shared" si="98"/>
        <v>1</v>
      </c>
      <c r="Y187" s="222">
        <f t="shared" si="101"/>
        <v>4.2799999999999998E-2</v>
      </c>
      <c r="Z187" s="222">
        <f t="shared" si="102"/>
        <v>5.8935000000000004</v>
      </c>
      <c r="AA187" s="222">
        <f t="shared" si="83"/>
        <v>5.8507000000000007</v>
      </c>
      <c r="AB187" s="231" t="e">
        <f>VLOOKUP(A187,Enforcements!$C$7:$K$9,8,0)</f>
        <v>#N/A</v>
      </c>
      <c r="AC187" s="231" t="e">
        <f>VLOOKUP(A187,Enforcements!$C$7:$E$9,3,0)</f>
        <v>#N/A</v>
      </c>
      <c r="AD187" s="232">
        <f t="shared" si="84"/>
        <v>827</v>
      </c>
      <c r="AE187" s="233" t="str">
        <f t="shared" si="85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187" s="234" t="str">
        <f t="shared" si="86"/>
        <v>"C:\Program Files (x86)\AstroGrep\AstroGrep.exe" /e /r /s /spath="%USERPROFILE%\AppData\Local\Temp\OnboardLogs" /stypes="app*4056*20171212*" /stext=" 22:.+((SYSTEM_STATE.+slice.+state.+changed )|(ment ac)|(multiple cpu faults)|(system.+state.+changed )|(\[timeout)|(PRM\|1\|D)|(kpr)|(kdp)|(train st.+moving)|(\|lc)|(penalty))"</v>
      </c>
      <c r="AG187" s="226" t="str">
        <f t="shared" si="87"/>
        <v>NW</v>
      </c>
      <c r="AH187" s="189" t="str">
        <f t="shared" si="89"/>
        <v>"%USERPROFILE%\Documents\GitHub\eaglep3\Utilities\RefineRTDCRunTimes.py" --tripid 827-12 --locoid 4056 --swversion DE.1.0.9.0 --startMP 204:428 --initTime 2017-12-12T15:32:46 --startdatetime 2017-12-12T15:39:25 --delay 64 --endMP 300:58935 --enddatetime 2017-12-12T15:53:23 --enforcementcount 0 &gt;&gt;%USERPROFILE%\Documents\GitHub\eaglep3-reporting\EC\2017-12-12-refined-times.txt</v>
      </c>
      <c r="AI187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{"issue":{"subject":"","project_id":79,"tracker_id":40,"status_id":1,"priority_id":2,"assigned_to_id":338,"start_date":"2017-12-12","description":"","custom_fields":[{"id":1,"name":"Subdivision","value":"NW"},{"id":4,"name":"Milepost","value":"5.8935"},{"id":17,"name":"Train ID","value":"827-12"},{"id":16,"name":"Locomotive ID","value":"4056"},{"id":130,"name":"Impact","value":""},{"id":150,"name":"Time of Event (Mountain Time)","value":"15:53:23"},{"id":151,"name":"Denver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180"/>
      <c r="AK187" s="188"/>
      <c r="AL187" s="188"/>
      <c r="AM187" s="193" t="str">
        <f t="shared" si="91"/>
        <v>start /low /b %USERPROFILE%\Documents\GitHub\eaglep3\Utilities\DownloadLogsFromS3.py --loco 4056 --day 2017-12-12</v>
      </c>
      <c r="AN187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87" t="str">
        <f t="shared" si="93"/>
        <v>https://d0f6bd738d7f1b3e5a7ca70fe4ff75f0.us-east-1.aws.found.io/app/kibana#/discover/Steve-Slow-Train-Analysis-(2080s-and-2083s)?_g=(refreshInterval:(display:Off,pause:!f,section:0,value:0),time:(from:'2017-12-12T14:32:46-0700',mode:absolute,to:'2017-12-12T16:53:23-0700'))&amp;_a=(columns:!('Message%20ID',Summary),filters:!(),index:'emp_*',interval:auto,query:(query_string:(analyze_wildcard:!t,query:'%22rtdc.l.rtdc.4056%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180" customFormat="1" x14ac:dyDescent="0.25">
      <c r="A188" s="186" t="s">
        <v>820</v>
      </c>
      <c r="B188" s="182">
        <v>4055</v>
      </c>
      <c r="C188" s="184" t="s">
        <v>192</v>
      </c>
      <c r="D188" s="184" t="s">
        <v>653</v>
      </c>
      <c r="E188" s="183">
        <v>43081.662870370368</v>
      </c>
      <c r="F188" s="183">
        <v>43081.675000000003</v>
      </c>
      <c r="G188" s="182">
        <v>48</v>
      </c>
      <c r="H188" s="184" t="s">
        <v>657</v>
      </c>
      <c r="I188" s="183">
        <v>43081.683564814812</v>
      </c>
      <c r="J188" s="182">
        <v>0</v>
      </c>
      <c r="K188" s="190" t="str">
        <f t="shared" si="79"/>
        <v>4055/4056</v>
      </c>
      <c r="L188" s="196" t="str">
        <f>VLOOKUP(A188,'Trips&amp;Operators'!$C$1:$G$99911,5,FALSE)</f>
        <v>STAMBAUGH JAMES</v>
      </c>
      <c r="M188" s="181">
        <f t="shared" si="80"/>
        <v>8.5648148087784648E-3</v>
      </c>
      <c r="N188" s="182">
        <f t="shared" si="100"/>
        <v>12.333333324640989</v>
      </c>
      <c r="O188" s="182"/>
      <c r="P188" s="182"/>
      <c r="Q188" s="185"/>
      <c r="R188" s="197"/>
      <c r="S188" s="241">
        <f t="shared" si="99"/>
        <v>1</v>
      </c>
      <c r="T188" s="220" t="str">
        <f t="shared" si="81"/>
        <v>Southbound</v>
      </c>
      <c r="U188" s="22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1" t="str">
        <f t="shared" si="82"/>
        <v>https://d0f6bd738d7f1b3e5a7ca70fe4ff75f0.us-east-1.aws.found.io/app/kibana#/discover/Steve-Slow-Train-Analysis-(2080s-and-2083s)?_g=(refreshInterval:(display:Off,pause:!f,section:0,value:0),time:(from:'2017-12-12T14:54:32-0700',mode:absolute,to:'2017-12-12T17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8" s="222" t="str">
        <f>IF(AA188&lt;VLOOKUP(AG188,Variables!$AC$3:$AD$8,2,FALSE),"Y","N")</f>
        <v>N</v>
      </c>
      <c r="X188" s="222">
        <f t="shared" si="98"/>
        <v>1</v>
      </c>
      <c r="Y188" s="222">
        <f t="shared" si="101"/>
        <v>5.8616999999999999</v>
      </c>
      <c r="Z188" s="222">
        <f t="shared" si="102"/>
        <v>1.44E-2</v>
      </c>
      <c r="AA188" s="222">
        <f t="shared" si="83"/>
        <v>5.8472999999999997</v>
      </c>
      <c r="AB188" s="231" t="e">
        <f>VLOOKUP(A188,Enforcements!$C$7:$K$9,8,0)</f>
        <v>#N/A</v>
      </c>
      <c r="AC188" s="231" t="e">
        <f>VLOOKUP(A188,Enforcements!$C$7:$E$9,3,0)</f>
        <v>#N/A</v>
      </c>
      <c r="AD188" s="232">
        <f t="shared" si="84"/>
        <v>828</v>
      </c>
      <c r="AE188" s="233" t="str">
        <f t="shared" si="85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188" s="234" t="str">
        <f t="shared" si="86"/>
        <v>"C:\Program Files (x86)\AstroGrep\AstroGrep.exe" /e /r /s /spath="%USERPROFILE%\AppData\Local\Temp\OnboardLogs" /stypes="app*4055*20171212*" /stext=" 23:.+((SYSTEM_STATE.+slice.+state.+changed )|(ment ac)|(multiple cpu faults)|(system.+state.+changed )|(\[timeout)|(PRM\|1\|D)|(kpr)|(kdp)|(train st.+moving)|(\|lc)|(penalty))"</v>
      </c>
      <c r="AG188" s="226" t="str">
        <f t="shared" si="87"/>
        <v>NW</v>
      </c>
      <c r="AH188" s="189" t="str">
        <f t="shared" si="89"/>
        <v>"%USERPROFILE%\Documents\GitHub\eaglep3\Utilities\RefineRTDCRunTimes.py" --tripid 828-12 --locoid 4055 --swversion DE.1.0.9.0 --startMP 300:58617 --initTime 2017-12-12T15:54:32 --startdatetime 2017-12-12T16:12:00 --delay 48 --endMP 204:144 --enddatetime 2017-12-12T16:24:20 --enforcementcount 0 &gt;&gt;%USERPROFILE%\Documents\GitHub\eaglep3-reporting\EC\2017-12-12-refined-times.txt</v>
      </c>
      <c r="AI188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{"issue":{"subject":"","project_id":79,"tracker_id":40,"status_id":1,"priority_id":2,"assigned_to_id":338,"start_date":"2017-12-12","description":"","custom_fields":[{"id":1,"name":"Subdivision","value":"NW"},{"id":4,"name":"Milepost","value":"0.0144"},{"id":17,"name":"Train ID","value":"828-12"},{"id":16,"name":"Locomotive ID","value":"4055"},{"id":130,"name":"Impact","value":""},{"id":150,"name":"Time of Event (Mountain Time)","value":"16:24:20"},{"id":151,"name":"Denver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188"/>
      <c r="AL188" s="188"/>
      <c r="AM188" s="193" t="str">
        <f t="shared" si="91"/>
        <v>start /low /b %USERPROFILE%\Documents\GitHub\eaglep3\Utilities\DownloadLogsFromS3.py --loco 4055 --day 2017-12-12</v>
      </c>
      <c r="AN188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87" t="str">
        <f t="shared" si="93"/>
        <v>https://d0f6bd738d7f1b3e5a7ca70fe4ff75f0.us-east-1.aws.found.io/app/kibana#/discover/Steve-Slow-Train-Analysis-(2080s-and-2083s)?_g=(refreshInterval:(display:Off,pause:!f,section:0,value:0),time:(from:'2017-12-12T14:54:32-0700',mode:absolute,to:'2017-12-12T17:24:20-0700'))&amp;_a=(columns:!('Message%20ID',Summary),filters:!(),index:'emp_*',interval:auto,query:(query_string:(analyze_wildcard:!t,query:'%22rtdc.l.rtdc.4055%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186" t="s">
        <v>822</v>
      </c>
      <c r="B189" s="182">
        <v>4032</v>
      </c>
      <c r="C189" s="184" t="s">
        <v>192</v>
      </c>
      <c r="D189" s="184" t="s">
        <v>458</v>
      </c>
      <c r="E189" s="183">
        <v>43081.664687500001</v>
      </c>
      <c r="F189" s="183">
        <v>43081.673090277778</v>
      </c>
      <c r="G189" s="182">
        <v>56</v>
      </c>
      <c r="H189" s="184" t="s">
        <v>594</v>
      </c>
      <c r="I189" s="183">
        <v>43081.683194444442</v>
      </c>
      <c r="J189" s="182">
        <v>0</v>
      </c>
      <c r="K189" s="190" t="str">
        <f t="shared" si="79"/>
        <v>4031/4032</v>
      </c>
      <c r="L189" s="196" t="str">
        <f>VLOOKUP(A189,'Trips&amp;Operators'!$C$1:$G$99911,5,FALSE)</f>
        <v>GUZMAN DANNY</v>
      </c>
      <c r="M189" s="181">
        <f t="shared" si="80"/>
        <v>1.0104166663950309E-2</v>
      </c>
      <c r="N189" s="182">
        <f t="shared" si="100"/>
        <v>14.549999996088445</v>
      </c>
      <c r="O189" s="182"/>
      <c r="P189" s="182"/>
      <c r="Q189" s="185"/>
      <c r="R189" s="197"/>
      <c r="S189" s="241">
        <f t="shared" si="99"/>
        <v>1</v>
      </c>
      <c r="T189" s="220" t="str">
        <f t="shared" si="81"/>
        <v>NorthBound</v>
      </c>
      <c r="U189" s="22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1" t="str">
        <f t="shared" si="82"/>
        <v>https://d0f6bd738d7f1b3e5a7ca70fe4ff75f0.us-east-1.aws.found.io/app/kibana#/discover/Steve-Slow-Train-Analysis-(2080s-and-2083s)?_g=(refreshInterval:(display:Off,pause:!f,section:0,value:0),time:(from:'2017-12-12T14:57:09-0700',mode:absolute,to:'2017-12-12T17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222" t="str">
        <f>IF(AA189&lt;VLOOKUP(AG189,Variables!$AC$3:$AD$8,2,FALSE),"Y","N")</f>
        <v>N</v>
      </c>
      <c r="X189" s="222">
        <f t="shared" si="98"/>
        <v>1</v>
      </c>
      <c r="Y189" s="222">
        <f t="shared" si="101"/>
        <v>4.4400000000000002E-2</v>
      </c>
      <c r="Z189" s="222">
        <f t="shared" si="102"/>
        <v>5.8928000000000003</v>
      </c>
      <c r="AA189" s="222">
        <f t="shared" si="83"/>
        <v>5.8483999999999998</v>
      </c>
      <c r="AB189" s="231" t="e">
        <f>VLOOKUP(A189,Enforcements!$C$7:$K$9,8,0)</f>
        <v>#N/A</v>
      </c>
      <c r="AC189" s="231" t="e">
        <f>VLOOKUP(A189,Enforcements!$C$7:$E$9,3,0)</f>
        <v>#N/A</v>
      </c>
      <c r="AD189" s="232">
        <f t="shared" si="84"/>
        <v>829</v>
      </c>
      <c r="AE189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89" s="234" t="str">
        <f t="shared" si="86"/>
        <v>"C:\Program Files (x86)\AstroGrep\AstroGrep.exe" /e /r /s /spath="%USERPROFILE%\AppData\Local\Temp\OnboardLogs" /stypes="app*4032*20171212*" /stext=" 23:.+((SYSTEM_STATE.+slice.+state.+changed )|(ment ac)|(multiple cpu faults)|(system.+state.+changed )|(\[timeout)|(PRM\|1\|D)|(kpr)|(kdp)|(train st.+moving)|(\|lc)|(penalty))"</v>
      </c>
      <c r="AG189" s="226" t="str">
        <f t="shared" si="87"/>
        <v>NW</v>
      </c>
      <c r="AH189" s="189" t="str">
        <f t="shared" si="89"/>
        <v>"%USERPROFILE%\Documents\GitHub\eaglep3\Utilities\RefineRTDCRunTimes.py" --tripid 829-12 --locoid 4032 --swversion DE.1.0.9.0 --startMP 204:444 --initTime 2017-12-12T15:57:09 --startdatetime 2017-12-12T16:09:15 --delay 56 --endMP 300:58928 --enddatetime 2017-12-12T16:23:48 --enforcementcount 0 &gt;&gt;%USERPROFILE%\Documents\GitHub\eaglep3-reporting\EC\2017-12-12-refined-times.txt</v>
      </c>
      <c r="AI189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{"issue":{"subject":"","project_id":79,"tracker_id":40,"status_id":1,"priority_id":2,"assigned_to_id":338,"start_date":"2017-12-12","description":"","custom_fields":[{"id":1,"name":"Subdivision","value":"NW"},{"id":4,"name":"Milepost","value":"5.8928"},{"id":17,"name":"Train ID","value":"829-12"},{"id":16,"name":"Locomotive ID","value":"4032"},{"id":130,"name":"Impact","value":""},{"id":150,"name":"Time of Event (Mountain Time)","value":"16:23:48"},{"id":151,"name":"Denver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180"/>
      <c r="AK189" s="188"/>
      <c r="AL189" s="188"/>
      <c r="AM189" s="193" t="str">
        <f t="shared" si="91"/>
        <v>start /low /b %USERPROFILE%\Documents\GitHub\eaglep3\Utilities\DownloadLogsFromS3.py --loco 4032 --day 2017-12-12</v>
      </c>
      <c r="AN189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87" t="str">
        <f t="shared" si="93"/>
        <v>https://d0f6bd738d7f1b3e5a7ca70fe4ff75f0.us-east-1.aws.found.io/app/kibana#/discover/Steve-Slow-Train-Analysis-(2080s-and-2083s)?_g=(refreshInterval:(display:Off,pause:!f,section:0,value:0),time:(from:'2017-12-12T14:57:09-0700',mode:absolute,to:'2017-12-12T17:23:48-0700'))&amp;_a=(columns:!('Message%20ID',Summary),filters:!(),index:'emp_*',interval:auto,query:(query_string:(analyze_wildcard:!t,query:'%22rtdc.l.rtdc.4032%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186" t="s">
        <v>830</v>
      </c>
      <c r="B190" s="182">
        <v>4031</v>
      </c>
      <c r="C190" s="184" t="s">
        <v>192</v>
      </c>
      <c r="D190" s="184" t="s">
        <v>1047</v>
      </c>
      <c r="E190" s="183">
        <v>43081.684108796297</v>
      </c>
      <c r="F190" s="183">
        <v>43081.695833333331</v>
      </c>
      <c r="G190" s="182">
        <v>53</v>
      </c>
      <c r="H190" s="184" t="s">
        <v>1048</v>
      </c>
      <c r="I190" s="183">
        <v>43081.705231481479</v>
      </c>
      <c r="J190" s="182">
        <v>0</v>
      </c>
      <c r="K190" s="190" t="str">
        <f t="shared" si="79"/>
        <v>4031/4032</v>
      </c>
      <c r="L190" s="196" t="str">
        <f>VLOOKUP(A190,'Trips&amp;Operators'!$C$1:$G$99911,5,FALSE)</f>
        <v>GUZMAN DANNY</v>
      </c>
      <c r="M190" s="181">
        <f t="shared" si="80"/>
        <v>9.3981481477385387E-3</v>
      </c>
      <c r="N190" s="182">
        <f t="shared" si="100"/>
        <v>13.533333332743496</v>
      </c>
      <c r="O190" s="182"/>
      <c r="P190" s="182"/>
      <c r="Q190" s="185"/>
      <c r="R190" s="197"/>
      <c r="S190" s="241">
        <f t="shared" si="99"/>
        <v>1</v>
      </c>
      <c r="T190" s="220" t="str">
        <f t="shared" si="81"/>
        <v>Southbound</v>
      </c>
      <c r="U190" s="22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1" t="str">
        <f t="shared" si="82"/>
        <v>https://d0f6bd738d7f1b3e5a7ca70fe4ff75f0.us-east-1.aws.found.io/app/kibana#/discover/Steve-Slow-Train-Analysis-(2080s-and-2083s)?_g=(refreshInterval:(display:Off,pause:!f,section:0,value:0),time:(from:'2017-12-12T15:25:07-0700',mode:absolute,to:'2017-12-12T17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222" t="str">
        <f>IF(AA190&lt;VLOOKUP(AG190,Variables!$AC$3:$AD$8,2,FALSE),"Y","N")</f>
        <v>N</v>
      </c>
      <c r="X190" s="222">
        <f t="shared" si="98"/>
        <v>1</v>
      </c>
      <c r="Y190" s="222">
        <f t="shared" si="101"/>
        <v>5.8619000000000003</v>
      </c>
      <c r="Z190" s="222">
        <f t="shared" si="102"/>
        <v>1.24E-2</v>
      </c>
      <c r="AA190" s="222">
        <f t="shared" si="83"/>
        <v>5.8494999999999999</v>
      </c>
      <c r="AB190" s="231" t="e">
        <f>VLOOKUP(A190,Enforcements!$C$7:$K$9,8,0)</f>
        <v>#N/A</v>
      </c>
      <c r="AC190" s="231" t="e">
        <f>VLOOKUP(A190,Enforcements!$C$7:$E$9,3,0)</f>
        <v>#N/A</v>
      </c>
      <c r="AD190" s="232">
        <f t="shared" si="84"/>
        <v>830</v>
      </c>
      <c r="AE190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90" s="234" t="str">
        <f t="shared" si="86"/>
        <v>"C:\Program Files (x86)\AstroGrep\AstroGrep.exe" /e /r /s /spath="%USERPROFILE%\AppData\Local\Temp\OnboardLogs" /stypes="app*4031*20171212*" /stext=" 23:.+((SYSTEM_STATE.+slice.+state.+changed )|(ment ac)|(multiple cpu faults)|(system.+state.+changed )|(\[timeout)|(PRM\|1\|D)|(kpr)|(kdp)|(train st.+moving)|(\|lc)|(penalty))"</v>
      </c>
      <c r="AG190" s="226" t="str">
        <f t="shared" si="87"/>
        <v>NW</v>
      </c>
      <c r="AH190" s="189" t="str">
        <f t="shared" si="89"/>
        <v>"%USERPROFILE%\Documents\GitHub\eaglep3\Utilities\RefineRTDCRunTimes.py" --tripid 830-12 --locoid 4031 --swversion DE.1.0.9.0 --startMP 300:58619 --initTime 2017-12-12T16:25:07 --startdatetime 2017-12-12T16:42:00 --delay 53 --endMP 204:124 --enddatetime 2017-12-12T16:55:32 --enforcementcount 0 &gt;&gt;%USERPROFILE%\Documents\GitHub\eaglep3-reporting\EC\2017-12-12-refined-times.txt</v>
      </c>
      <c r="AI190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{"issue":{"subject":"","project_id":79,"tracker_id":40,"status_id":1,"priority_id":2,"assigned_to_id":338,"start_date":"2017-12-12","description":"","custom_fields":[{"id":1,"name":"Subdivision","value":"NW"},{"id":4,"name":"Milepost","value":"0.0124"},{"id":17,"name":"Train ID","value":"830-12"},{"id":16,"name":"Locomotive ID","value":"4031"},{"id":130,"name":"Impact","value":""},{"id":150,"name":"Time of Event (Mountain Time)","value":"16:55:32"},{"id":151,"name":"Denver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180"/>
      <c r="AK190" s="188"/>
      <c r="AL190" s="188"/>
      <c r="AM190" s="193" t="str">
        <f t="shared" si="91"/>
        <v>start /low /b %USERPROFILE%\Documents\GitHub\eaglep3\Utilities\DownloadLogsFromS3.py --loco 4031 --day 2017-12-12</v>
      </c>
      <c r="AN190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87" t="str">
        <f t="shared" si="93"/>
        <v>https://d0f6bd738d7f1b3e5a7ca70fe4ff75f0.us-east-1.aws.found.io/app/kibana#/discover/Steve-Slow-Train-Analysis-(2080s-and-2083s)?_g=(refreshInterval:(display:Off,pause:!f,section:0,value:0),time:(from:'2017-12-12T15:25:07-0700',mode:absolute,to:'2017-12-12T17:55:32-0700'))&amp;_a=(columns:!('Message%20ID',Summary),filters:!(),index:'emp_*',interval:auto,query:(query_string:(analyze_wildcard:!t,query:'%22rtdc.l.rtdc.4031%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186" t="s">
        <v>832</v>
      </c>
      <c r="B191" s="182">
        <v>4056</v>
      </c>
      <c r="C191" s="184" t="s">
        <v>192</v>
      </c>
      <c r="D191" s="184" t="s">
        <v>662</v>
      </c>
      <c r="E191" s="183">
        <v>43081.685381944444</v>
      </c>
      <c r="F191" s="183">
        <v>43081.693923611114</v>
      </c>
      <c r="G191" s="182">
        <v>447</v>
      </c>
      <c r="H191" s="184" t="s">
        <v>1049</v>
      </c>
      <c r="I191" s="183">
        <v>43081.704594907409</v>
      </c>
      <c r="J191" s="182">
        <v>0</v>
      </c>
      <c r="K191" s="190" t="str">
        <f t="shared" si="79"/>
        <v>4055/4056</v>
      </c>
      <c r="L191" s="196" t="str">
        <f>VLOOKUP(A191,'Trips&amp;Operators'!$C$1:$G$99911,5,FALSE)</f>
        <v>STAMBAUGH JAMES</v>
      </c>
      <c r="M191" s="181">
        <f t="shared" si="80"/>
        <v>1.0671296295186039E-2</v>
      </c>
      <c r="N191" s="182">
        <f t="shared" si="100"/>
        <v>15.366666665067896</v>
      </c>
      <c r="O191" s="182"/>
      <c r="P191" s="182"/>
      <c r="Q191" s="185"/>
      <c r="R191" s="197"/>
      <c r="S191" s="241">
        <f t="shared" si="99"/>
        <v>1</v>
      </c>
      <c r="T191" s="220" t="str">
        <f t="shared" si="81"/>
        <v>NorthBound</v>
      </c>
      <c r="U191" s="22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1" t="str">
        <f t="shared" si="82"/>
        <v>https://d0f6bd738d7f1b3e5a7ca70fe4ff75f0.us-east-1.aws.found.io/app/kibana#/discover/Steve-Slow-Train-Analysis-(2080s-and-2083s)?_g=(refreshInterval:(display:Off,pause:!f,section:0,value:0),time:(from:'2017-12-12T15:26:57-0700',mode:absolute,to:'2017-12-12T17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222" t="str">
        <f>IF(AA191&lt;VLOOKUP(AG191,Variables!$AC$3:$AD$8,2,FALSE),"Y","N")</f>
        <v>N</v>
      </c>
      <c r="X191" s="222">
        <f t="shared" si="98"/>
        <v>1</v>
      </c>
      <c r="Y191" s="222">
        <f t="shared" si="101"/>
        <v>4.2999999999999997E-2</v>
      </c>
      <c r="Z191" s="222">
        <f t="shared" si="102"/>
        <v>5.8948</v>
      </c>
      <c r="AA191" s="222">
        <f t="shared" si="83"/>
        <v>5.8517999999999999</v>
      </c>
      <c r="AB191" s="231" t="e">
        <f>VLOOKUP(A191,Enforcements!$C$7:$K$9,8,0)</f>
        <v>#N/A</v>
      </c>
      <c r="AC191" s="231" t="e">
        <f>VLOOKUP(A191,Enforcements!$C$7:$E$9,3,0)</f>
        <v>#N/A</v>
      </c>
      <c r="AD191" s="232">
        <f t="shared" si="84"/>
        <v>831</v>
      </c>
      <c r="AE191" s="233" t="str">
        <f t="shared" si="85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191" s="234" t="str">
        <f t="shared" si="86"/>
        <v>"C:\Program Files (x86)\AstroGrep\AstroGrep.exe" /e /r /s /spath="%USERPROFILE%\AppData\Local\Temp\OnboardLogs" /stypes="app*4056*20171212*" /stext=" 23:.+((SYSTEM_STATE.+slice.+state.+changed )|(ment ac)|(multiple cpu faults)|(system.+state.+changed )|(\[timeout)|(PRM\|1\|D)|(kpr)|(kdp)|(train st.+moving)|(\|lc)|(penalty))"</v>
      </c>
      <c r="AG191" s="226" t="str">
        <f t="shared" si="87"/>
        <v>NW</v>
      </c>
      <c r="AH191" s="189" t="str">
        <f t="shared" si="89"/>
        <v>"%USERPROFILE%\Documents\GitHub\eaglep3\Utilities\RefineRTDCRunTimes.py" --tripid 831-12 --locoid 4056 --swversion DE.1.0.9.0 --startMP 204:430 --initTime 2017-12-12T16:26:57 --startdatetime 2017-12-12T16:39:15 --delay 447 --endMP 300:58948 --enddatetime 2017-12-12T16:54:37 --enforcementcount 0 &gt;&gt;%USERPROFILE%\Documents\GitHub\eaglep3-reporting\EC\2017-12-12-refined-times.txt</v>
      </c>
      <c r="AI191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{"issue":{"subject":"","project_id":79,"tracker_id":40,"status_id":1,"priority_id":2,"assigned_to_id":338,"start_date":"2017-12-12","description":"","custom_fields":[{"id":1,"name":"Subdivision","value":"NW"},{"id":4,"name":"Milepost","value":"5.8948"},{"id":17,"name":"Train ID","value":"831-12"},{"id":16,"name":"Locomotive ID","value":"4056"},{"id":130,"name":"Impact","value":""},{"id":150,"name":"Time of Event (Mountain Time)","value":"16:54:37"},{"id":151,"name":"Denver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180"/>
      <c r="AK191" s="188"/>
      <c r="AL191" s="188"/>
      <c r="AM191" s="193" t="str">
        <f t="shared" si="91"/>
        <v>start /low /b %USERPROFILE%\Documents\GitHub\eaglep3\Utilities\DownloadLogsFromS3.py --loco 4056 --day 2017-12-12</v>
      </c>
      <c r="AN191" s="194" t="str">
        <f t="shared" si="92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87" t="str">
        <f t="shared" si="93"/>
        <v>https://d0f6bd738d7f1b3e5a7ca70fe4ff75f0.us-east-1.aws.found.io/app/kibana#/discover/Steve-Slow-Train-Analysis-(2080s-and-2083s)?_g=(refreshInterval:(display:Off,pause:!f,section:0,value:0),time:(from:'2017-12-12T15:26:57-0700',mode:absolute,to:'2017-12-12T17:54:37-0700'))&amp;_a=(columns:!('Message%20ID',Summary),filters:!(),index:'emp_*',interval:auto,query:(query_string:(analyze_wildcard:!t,query:'%22rtdc.l.rtdc.4056%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180" customFormat="1" x14ac:dyDescent="0.25">
      <c r="A192" s="186" t="s">
        <v>684</v>
      </c>
      <c r="B192" s="182">
        <v>4055</v>
      </c>
      <c r="C192" s="184" t="s">
        <v>192</v>
      </c>
      <c r="D192" s="184" t="s">
        <v>1050</v>
      </c>
      <c r="E192" s="183">
        <v>43081.706076388888</v>
      </c>
      <c r="F192" s="183">
        <v>43081.716666666667</v>
      </c>
      <c r="G192" s="182">
        <v>107</v>
      </c>
      <c r="H192" s="184" t="s">
        <v>657</v>
      </c>
      <c r="I192" s="183">
        <v>43081.727083333331</v>
      </c>
      <c r="J192" s="182">
        <v>0</v>
      </c>
      <c r="K192" s="190" t="str">
        <f t="shared" si="79"/>
        <v>4055/4056</v>
      </c>
      <c r="L192" s="196" t="str">
        <f>VLOOKUP(A192,'Trips&amp;Operators'!$C$1:$G$99911,5,FALSE)</f>
        <v>HAMMOND JUSTYNN</v>
      </c>
      <c r="M192" s="181">
        <f t="shared" si="80"/>
        <v>1.0416666664241347E-2</v>
      </c>
      <c r="N192" s="182">
        <f t="shared" si="100"/>
        <v>14.99999999650754</v>
      </c>
      <c r="O192" s="182"/>
      <c r="P192" s="182"/>
      <c r="Q192" s="185"/>
      <c r="R192" s="197"/>
      <c r="S192" s="241">
        <f t="shared" si="99"/>
        <v>1</v>
      </c>
      <c r="T192" s="220" t="str">
        <f t="shared" si="81"/>
        <v>Southbound</v>
      </c>
      <c r="U192" s="22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1" t="str">
        <f t="shared" si="82"/>
        <v>https://d0f6bd738d7f1b3e5a7ca70fe4ff75f0.us-east-1.aws.found.io/app/kibana#/discover/Steve-Slow-Train-Analysis-(2080s-and-2083s)?_g=(refreshInterval:(display:Off,pause:!f,section:0,value:0),time:(from:'2017-12-12T15:56:45-0700',mode:absolute,to:'2017-12-12T18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222" t="str">
        <f>IF(AA192&lt;VLOOKUP(AG192,Variables!$AC$3:$AD$8,2,FALSE),"Y","N")</f>
        <v>N</v>
      </c>
      <c r="X192" s="222">
        <f t="shared" ref="X192:X223" si="103">VALUE(LEFT(AD192,4))-VALUE(LEFT(AD191,4))</f>
        <v>1</v>
      </c>
      <c r="Y192" s="222">
        <f t="shared" si="101"/>
        <v>5.8638000000000003</v>
      </c>
      <c r="Z192" s="222">
        <f t="shared" si="102"/>
        <v>1.44E-2</v>
      </c>
      <c r="AA192" s="222">
        <f t="shared" si="83"/>
        <v>5.8494000000000002</v>
      </c>
      <c r="AB192" s="231" t="e">
        <f>VLOOKUP(A192,Enforcements!$C$7:$K$9,8,0)</f>
        <v>#N/A</v>
      </c>
      <c r="AC192" s="231" t="e">
        <f>VLOOKUP(A192,Enforcements!$C$7:$E$9,3,0)</f>
        <v>#N/A</v>
      </c>
      <c r="AD192" s="232">
        <f t="shared" si="84"/>
        <v>832</v>
      </c>
      <c r="AE192" s="233" t="str">
        <f t="shared" si="85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192" s="234" t="str">
        <f t="shared" si="86"/>
        <v>"C:\Program Files (x86)\AstroGrep\AstroGrep.exe" /e /r /s /spath="%USERPROFILE%\AppData\Local\Temp\OnboardLogs" /stypes="app*4055*20171213*" /stext=" 00:.+((SYSTEM_STATE.+slice.+state.+changed )|(ment ac)|(multiple cpu faults)|(system.+state.+changed )|(\[timeout)|(PRM\|1\|D)|(kpr)|(kdp)|(train st.+moving)|(\|lc)|(penalty))"</v>
      </c>
      <c r="AG192" s="226" t="str">
        <f t="shared" si="87"/>
        <v>NW</v>
      </c>
      <c r="AH192" s="189" t="str">
        <f t="shared" si="89"/>
        <v>"%USERPROFILE%\Documents\GitHub\eaglep3\Utilities\RefineRTDCRunTimes.py" --tripid 832-12 --locoid 4055 --swversion DE.1.0.9.0 --startMP 300:58638 --initTime 2017-12-12T16:56:45 --startdatetime 2017-12-12T17:12:00 --delay 107 --endMP 204:144 --enddatetime 2017-12-12T17:27:00 --enforcementcount 0 &gt;&gt;%USERPROFILE%\Documents\GitHub\eaglep3-reporting\EC\2017-12-12-refined-times.txt</v>
      </c>
      <c r="AI192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{"issue":{"subject":"","project_id":79,"tracker_id":40,"status_id":1,"priority_id":2,"assigned_to_id":338,"start_date":"2017-12-12","description":"","custom_fields":[{"id":1,"name":"Subdivision","value":"NW"},{"id":4,"name":"Milepost","value":"0.0144"},{"id":17,"name":"Train ID","value":"832-12"},{"id":16,"name":"Locomotive ID","value":"4055"},{"id":130,"name":"Impact","value":""},{"id":150,"name":"Time of Event (Mountain Time)","value":"17:27:00"},{"id":151,"name":"Denver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188"/>
      <c r="AL192" s="188"/>
      <c r="AM192" s="193" t="str">
        <f t="shared" si="91"/>
        <v>start /low /b %USERPROFILE%\Documents\GitHub\eaglep3\Utilities\DownloadLogsFromS3.py --loco 4055 --day 2017-12-12</v>
      </c>
      <c r="AN192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00:27:00"},{"id":29,"name":"Sharepoint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87" t="str">
        <f t="shared" si="93"/>
        <v>https://d0f6bd738d7f1b3e5a7ca70fe4ff75f0.us-east-1.aws.found.io/app/kibana#/discover/Steve-Slow-Train-Analysis-(2080s-and-2083s)?_g=(refreshInterval:(display:Off,pause:!f,section:0,value:0),time:(from:'2017-12-12T15:56:45-0700',mode:absolute,to:'2017-12-12T18:27:00-0700'))&amp;_a=(columns:!('Message%20ID',Summary),filters:!(),index:'emp_*',interval:auto,query:(query_string:(analyze_wildcard:!t,query:'%22rtdc.l.rtdc.4055%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180" customFormat="1" x14ac:dyDescent="0.25">
      <c r="A193" s="186" t="s">
        <v>837</v>
      </c>
      <c r="B193" s="182">
        <v>4032</v>
      </c>
      <c r="C193" s="184" t="s">
        <v>192</v>
      </c>
      <c r="D193" s="184" t="s">
        <v>662</v>
      </c>
      <c r="E193" s="183">
        <v>43081.711724537039</v>
      </c>
      <c r="F193" s="183">
        <v>43081.714780092596</v>
      </c>
      <c r="G193" s="182">
        <v>65</v>
      </c>
      <c r="H193" s="184" t="s">
        <v>469</v>
      </c>
      <c r="I193" s="183">
        <v>43081.725393518522</v>
      </c>
      <c r="J193" s="182">
        <v>0</v>
      </c>
      <c r="K193" s="190" t="str">
        <f t="shared" si="79"/>
        <v>4031/4032</v>
      </c>
      <c r="L193" s="196" t="str">
        <f>VLOOKUP(A193,'Trips&amp;Operators'!$C$1:$G$99911,5,FALSE)</f>
        <v>GUZMAN DANNY</v>
      </c>
      <c r="M193" s="181">
        <f t="shared" si="80"/>
        <v>1.0613425925839692E-2</v>
      </c>
      <c r="N193" s="182">
        <f t="shared" si="100"/>
        <v>15.283333333209157</v>
      </c>
      <c r="O193" s="182"/>
      <c r="P193" s="182"/>
      <c r="Q193" s="185"/>
      <c r="R193" s="197"/>
      <c r="S193" s="241">
        <f t="shared" si="99"/>
        <v>1</v>
      </c>
      <c r="T193" s="220" t="str">
        <f t="shared" si="81"/>
        <v>NorthBound</v>
      </c>
      <c r="U193" s="22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1" t="str">
        <f t="shared" si="82"/>
        <v>https://d0f6bd738d7f1b3e5a7ca70fe4ff75f0.us-east-1.aws.found.io/app/kibana#/discover/Steve-Slow-Train-Analysis-(2080s-and-2083s)?_g=(refreshInterval:(display:Off,pause:!f,section:0,value:0),time:(from:'2017-12-12T16:04:53-0700',mode:absolute,to:'2017-12-12T18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222" t="str">
        <f>IF(AA193&lt;VLOOKUP(AG193,Variables!$AC$3:$AD$8,2,FALSE),"Y","N")</f>
        <v>N</v>
      </c>
      <c r="X193" s="222">
        <f t="shared" si="103"/>
        <v>1</v>
      </c>
      <c r="Y193" s="222">
        <f t="shared" si="101"/>
        <v>4.2999999999999997E-2</v>
      </c>
      <c r="Z193" s="222">
        <f t="shared" si="102"/>
        <v>5.8925999999999998</v>
      </c>
      <c r="AA193" s="222">
        <f t="shared" si="83"/>
        <v>5.8495999999999997</v>
      </c>
      <c r="AB193" s="231" t="e">
        <f>VLOOKUP(A193,Enforcements!$C$7:$K$9,8,0)</f>
        <v>#N/A</v>
      </c>
      <c r="AC193" s="231" t="e">
        <f>VLOOKUP(A193,Enforcements!$C$7:$E$9,3,0)</f>
        <v>#N/A</v>
      </c>
      <c r="AD193" s="232">
        <f t="shared" si="84"/>
        <v>833</v>
      </c>
      <c r="AE193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93" s="234" t="str">
        <f t="shared" si="86"/>
        <v>"C:\Program Files (x86)\AstroGrep\AstroGrep.exe" /e /r /s /spath="%USERPROFILE%\AppData\Local\Temp\OnboardLogs" /stypes="app*4032*20171213*" /stext=" 00:.+((SYSTEM_STATE.+slice.+state.+changed )|(ment ac)|(multiple cpu faults)|(system.+state.+changed )|(\[timeout)|(PRM\|1\|D)|(kpr)|(kdp)|(train st.+moving)|(\|lc)|(penalty))"</v>
      </c>
      <c r="AG193" s="226" t="str">
        <f t="shared" si="87"/>
        <v>NW</v>
      </c>
      <c r="AH193" s="189" t="str">
        <f t="shared" si="89"/>
        <v>"%USERPROFILE%\Documents\GitHub\eaglep3\Utilities\RefineRTDCRunTimes.py" --tripid 833-12 --locoid 4032 --swversion DE.1.0.9.0 --startMP 204:430 --initTime 2017-12-12T17:04:53 --startdatetime 2017-12-12T17:09:17 --delay 65 --endMP 300:58926 --enddatetime 2017-12-12T17:24:34 --enforcementcount 0 &gt;&gt;%USERPROFILE%\Documents\GitHub\eaglep3-reporting\EC\2017-12-12-refined-times.txt</v>
      </c>
      <c r="AI193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{"issue":{"subject":"","project_id":79,"tracker_id":40,"status_id":1,"priority_id":2,"assigned_to_id":338,"start_date":"2017-12-12","description":"","custom_fields":[{"id":1,"name":"Subdivision","value":"NW"},{"id":4,"name":"Milepost","value":"5.8926"},{"id":17,"name":"Train ID","value":"833-12"},{"id":16,"name":"Locomotive ID","value":"4032"},{"id":130,"name":"Impact","value":""},{"id":150,"name":"Time of Event (Mountain Time)","value":"17:24:34"},{"id":151,"name":"Denver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188"/>
      <c r="AL193" s="188"/>
      <c r="AM193" s="193" t="str">
        <f t="shared" si="91"/>
        <v>start /low /b %USERPROFILE%\Documents\GitHub\eaglep3\Utilities\DownloadLogsFromS3.py --loco 4032 --day 2017-12-12</v>
      </c>
      <c r="AN193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87" t="str">
        <f t="shared" si="93"/>
        <v>https://d0f6bd738d7f1b3e5a7ca70fe4ff75f0.us-east-1.aws.found.io/app/kibana#/discover/Steve-Slow-Train-Analysis-(2080s-and-2083s)?_g=(refreshInterval:(display:Off,pause:!f,section:0,value:0),time:(from:'2017-12-12T16:04:53-0700',mode:absolute,to:'2017-12-12T18:24:34-0700'))&amp;_a=(columns:!('Message%20ID',Summary),filters:!(),index:'emp_*',interval:auto,query:(query_string:(analyze_wildcard:!t,query:'%22rtdc.l.rtdc.4032%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180" customFormat="1" x14ac:dyDescent="0.25">
      <c r="A194" s="186" t="s">
        <v>840</v>
      </c>
      <c r="B194" s="182">
        <v>4031</v>
      </c>
      <c r="C194" s="184" t="s">
        <v>192</v>
      </c>
      <c r="D194" s="184" t="s">
        <v>595</v>
      </c>
      <c r="E194" s="183">
        <v>43081.726319444446</v>
      </c>
      <c r="F194" s="183">
        <v>43081.737500000003</v>
      </c>
      <c r="G194" s="182">
        <v>53</v>
      </c>
      <c r="H194" s="184" t="s">
        <v>1051</v>
      </c>
      <c r="I194" s="183">
        <v>43081.748831018522</v>
      </c>
      <c r="J194" s="182">
        <v>0</v>
      </c>
      <c r="K194" s="190" t="str">
        <f t="shared" si="79"/>
        <v>4031/4032</v>
      </c>
      <c r="L194" s="196" t="str">
        <f>VLOOKUP(A194,'Trips&amp;Operators'!$C$1:$G$99911,5,FALSE)</f>
        <v>GUZMAN DANNY</v>
      </c>
      <c r="M194" s="181">
        <f t="shared" si="80"/>
        <v>1.1331018518831115E-2</v>
      </c>
      <c r="N194" s="182">
        <f t="shared" si="100"/>
        <v>16.316666667116806</v>
      </c>
      <c r="O194" s="182"/>
      <c r="P194" s="182"/>
      <c r="Q194" s="185"/>
      <c r="R194" s="197"/>
      <c r="S194" s="241">
        <f t="shared" si="99"/>
        <v>1</v>
      </c>
      <c r="T194" s="220" t="str">
        <f t="shared" si="81"/>
        <v>Southbound</v>
      </c>
      <c r="U194" s="22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1" t="str">
        <f t="shared" si="82"/>
        <v>https://d0f6bd738d7f1b3e5a7ca70fe4ff75f0.us-east-1.aws.found.io/app/kibana#/discover/Steve-Slow-Train-Analysis-(2080s-and-2083s)?_g=(refreshInterval:(display:Off,pause:!f,section:0,value:0),time:(from:'2017-12-12T16:25:54-0700',mode:absolute,to:'2017-12-12T18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4" s="222" t="str">
        <f>IF(AA194&lt;VLOOKUP(AG194,Variables!$AC$3:$AD$8,2,FALSE),"Y","N")</f>
        <v>N</v>
      </c>
      <c r="X194" s="222">
        <f t="shared" si="103"/>
        <v>1</v>
      </c>
      <c r="Y194" s="222">
        <f t="shared" si="101"/>
        <v>5.8613</v>
      </c>
      <c r="Z194" s="222">
        <f t="shared" si="102"/>
        <v>1.5299999999999999E-2</v>
      </c>
      <c r="AA194" s="222">
        <f t="shared" si="83"/>
        <v>5.8460000000000001</v>
      </c>
      <c r="AB194" s="231" t="e">
        <f>VLOOKUP(A194,Enforcements!$C$7:$K$9,8,0)</f>
        <v>#N/A</v>
      </c>
      <c r="AC194" s="231" t="e">
        <f>VLOOKUP(A194,Enforcements!$C$7:$E$9,3,0)</f>
        <v>#N/A</v>
      </c>
      <c r="AD194" s="232">
        <f t="shared" si="84"/>
        <v>834</v>
      </c>
      <c r="AE194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94" s="234" t="str">
        <f t="shared" si="86"/>
        <v>"C:\Program Files (x86)\AstroGrep\AstroGrep.exe" /e /r /s /spath="%USERPROFILE%\AppData\Local\Temp\OnboardLogs" /stypes="app*4031*20171213*" /stext=" 00:.+((SYSTEM_STATE.+slice.+state.+changed )|(ment ac)|(multiple cpu faults)|(system.+state.+changed )|(\[timeout)|(PRM\|1\|D)|(kpr)|(kdp)|(train st.+moving)|(\|lc)|(penalty))"</v>
      </c>
      <c r="AG194" s="226" t="str">
        <f t="shared" si="87"/>
        <v>NW</v>
      </c>
      <c r="AH194" s="189" t="str">
        <f t="shared" si="89"/>
        <v>"%USERPROFILE%\Documents\GitHub\eaglep3\Utilities\RefineRTDCRunTimes.py" --tripid 834-12 --locoid 4031 --swversion DE.1.0.9.0 --startMP 300:58613 --initTime 2017-12-12T17:25:54 --startdatetime 2017-12-12T17:42:00 --delay 53 --endMP 204:153 --enddatetime 2017-12-12T17:58:19 --enforcementcount 0 &gt;&gt;%USERPROFILE%\Documents\GitHub\eaglep3-reporting\EC\2017-12-12-refined-times.txt</v>
      </c>
      <c r="AI194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{"issue":{"subject":"","project_id":79,"tracker_id":40,"status_id":1,"priority_id":2,"assigned_to_id":338,"start_date":"2017-12-12","description":"","custom_fields":[{"id":1,"name":"Subdivision","value":"NW"},{"id":4,"name":"Milepost","value":"0.0153"},{"id":17,"name":"Train ID","value":"834-12"},{"id":16,"name":"Locomotive ID","value":"4031"},{"id":130,"name":"Impact","value":""},{"id":150,"name":"Time of Event (Mountain Time)","value":"17:58:19"},{"id":151,"name":"Denver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188"/>
      <c r="AL194" s="188"/>
      <c r="AM194" s="193" t="str">
        <f t="shared" si="91"/>
        <v>start /low /b %USERPROFILE%\Documents\GitHub\eaglep3\Utilities\DownloadLogsFromS3.py --loco 4031 --day 2017-12-12</v>
      </c>
      <c r="AN194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00:58:19"},{"id":29,"name":"Sharepoint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87" t="str">
        <f t="shared" si="93"/>
        <v>https://d0f6bd738d7f1b3e5a7ca70fe4ff75f0.us-east-1.aws.found.io/app/kibana#/discover/Steve-Slow-Train-Analysis-(2080s-and-2083s)?_g=(refreshInterval:(display:Off,pause:!f,section:0,value:0),time:(from:'2017-12-12T16:25:54-0700',mode:absolute,to:'2017-12-12T18:58:19-0700'))&amp;_a=(columns:!('Message%20ID',Summary),filters:!(),index:'emp_*',interval:auto,query:(query_string:(analyze_wildcard:!t,query:'%22rtdc.l.rtdc.4031%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180" customFormat="1" x14ac:dyDescent="0.25">
      <c r="A195" s="186" t="s">
        <v>842</v>
      </c>
      <c r="B195" s="182">
        <v>4056</v>
      </c>
      <c r="C195" s="184" t="s">
        <v>192</v>
      </c>
      <c r="D195" s="184" t="s">
        <v>565</v>
      </c>
      <c r="E195" s="183">
        <v>43081.732916666668</v>
      </c>
      <c r="F195" s="183">
        <v>43081.735636574071</v>
      </c>
      <c r="G195" s="182">
        <v>80</v>
      </c>
      <c r="H195" s="184" t="s">
        <v>563</v>
      </c>
      <c r="I195" s="183">
        <v>43081.746493055558</v>
      </c>
      <c r="J195" s="182">
        <v>0</v>
      </c>
      <c r="K195" s="190" t="str">
        <f t="shared" si="79"/>
        <v>4055/4056</v>
      </c>
      <c r="L195" s="196" t="str">
        <f>VLOOKUP(A195,'Trips&amp;Operators'!$C$1:$G$99911,5,FALSE)</f>
        <v>HAMMOND JUSTYNN</v>
      </c>
      <c r="M195" s="181">
        <f t="shared" si="80"/>
        <v>1.0856481487280689E-2</v>
      </c>
      <c r="N195" s="182">
        <f t="shared" si="100"/>
        <v>15.633333341684192</v>
      </c>
      <c r="O195" s="182"/>
      <c r="P195" s="182"/>
      <c r="Q195" s="185"/>
      <c r="R195" s="197"/>
      <c r="S195" s="241">
        <f t="shared" si="99"/>
        <v>1</v>
      </c>
      <c r="T195" s="220" t="str">
        <f t="shared" si="81"/>
        <v>NorthBound</v>
      </c>
      <c r="U195" s="22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1" t="str">
        <f t="shared" si="82"/>
        <v>https://d0f6bd738d7f1b3e5a7ca70fe4ff75f0.us-east-1.aws.found.io/app/kibana#/discover/Steve-Slow-Train-Analysis-(2080s-and-2083s)?_g=(refreshInterval:(display:Off,pause:!f,section:0,value:0),time:(from:'2017-12-12T16:35:24-0700',mode:absolute,to:'2017-12-12T18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222" t="str">
        <f>IF(AA195&lt;VLOOKUP(AG195,Variables!$AC$3:$AD$8,2,FALSE),"Y","N")</f>
        <v>N</v>
      </c>
      <c r="X195" s="222">
        <f t="shared" si="103"/>
        <v>1</v>
      </c>
      <c r="Y195" s="222">
        <f t="shared" si="101"/>
        <v>4.5499999999999999E-2</v>
      </c>
      <c r="Z195" s="222">
        <f t="shared" si="102"/>
        <v>5.8939000000000004</v>
      </c>
      <c r="AA195" s="222">
        <f t="shared" si="83"/>
        <v>5.8484000000000007</v>
      </c>
      <c r="AB195" s="231" t="e">
        <f>VLOOKUP(A195,Enforcements!$C$7:$K$9,8,0)</f>
        <v>#N/A</v>
      </c>
      <c r="AC195" s="231" t="e">
        <f>VLOOKUP(A195,Enforcements!$C$7:$E$9,3,0)</f>
        <v>#N/A</v>
      </c>
      <c r="AD195" s="232">
        <f t="shared" si="84"/>
        <v>835</v>
      </c>
      <c r="AE195" s="233" t="str">
        <f t="shared" si="85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195" s="234" t="str">
        <f t="shared" si="86"/>
        <v>"C:\Program Files (x86)\AstroGrep\AstroGrep.exe" /e /r /s /spath="%USERPROFILE%\AppData\Local\Temp\OnboardLogs" /stypes="app*4056*20171213*" /stext=" 00:.+((SYSTEM_STATE.+slice.+state.+changed )|(ment ac)|(multiple cpu faults)|(system.+state.+changed )|(\[timeout)|(PRM\|1\|D)|(kpr)|(kdp)|(train st.+moving)|(\|lc)|(penalty))"</v>
      </c>
      <c r="AG195" s="226" t="str">
        <f t="shared" si="87"/>
        <v>NW</v>
      </c>
      <c r="AH195" s="189" t="str">
        <f t="shared" si="89"/>
        <v>"%USERPROFILE%\Documents\GitHub\eaglep3\Utilities\RefineRTDCRunTimes.py" --tripid 835-12 --locoid 4056 --swversion DE.1.0.9.0 --startMP 204:455 --initTime 2017-12-12T17:35:24 --startdatetime 2017-12-12T17:39:19 --delay 80 --endMP 300:58939 --enddatetime 2017-12-12T17:54:57 --enforcementcount 0 &gt;&gt;%USERPROFILE%\Documents\GitHub\eaglep3-reporting\EC\2017-12-12-refined-times.txt</v>
      </c>
      <c r="AI195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{"issue":{"subject":"","project_id":79,"tracker_id":40,"status_id":1,"priority_id":2,"assigned_to_id":338,"start_date":"2017-12-12","description":"","custom_fields":[{"id":1,"name":"Subdivision","value":"NW"},{"id":4,"name":"Milepost","value":"5.8939"},{"id":17,"name":"Train ID","value":"835-12"},{"id":16,"name":"Locomotive ID","value":"4056"},{"id":130,"name":"Impact","value":""},{"id":150,"name":"Time of Event (Mountain Time)","value":"17:54:57"},{"id":151,"name":"Denver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188"/>
      <c r="AL195" s="188"/>
      <c r="AM195" s="193" t="str">
        <f t="shared" si="91"/>
        <v>start /low /b %USERPROFILE%\Documents\GitHub\eaglep3\Utilities\DownloadLogsFromS3.py --loco 4056 --day 2017-12-12</v>
      </c>
      <c r="AN195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87" t="str">
        <f t="shared" si="93"/>
        <v>https://d0f6bd738d7f1b3e5a7ca70fe4ff75f0.us-east-1.aws.found.io/app/kibana#/discover/Steve-Slow-Train-Analysis-(2080s-and-2083s)?_g=(refreshInterval:(display:Off,pause:!f,section:0,value:0),time:(from:'2017-12-12T16:35:24-0700',mode:absolute,to:'2017-12-12T18:54:57-0700'))&amp;_a=(columns:!('Message%20ID',Summary),filters:!(),index:'emp_*',interval:auto,query:(query_string:(analyze_wildcard:!t,query:'%22rtdc.l.rtdc.4056%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180" customFormat="1" x14ac:dyDescent="0.25">
      <c r="A196" s="186" t="s">
        <v>849</v>
      </c>
      <c r="B196" s="182">
        <v>4055</v>
      </c>
      <c r="C196" s="184" t="s">
        <v>192</v>
      </c>
      <c r="D196" s="184" t="s">
        <v>1052</v>
      </c>
      <c r="E196" s="183">
        <v>43081.747789351852</v>
      </c>
      <c r="F196" s="183">
        <v>43081.758333333331</v>
      </c>
      <c r="G196" s="182">
        <v>89</v>
      </c>
      <c r="H196" s="184" t="s">
        <v>663</v>
      </c>
      <c r="I196" s="183">
        <v>43081.768148148149</v>
      </c>
      <c r="J196" s="182">
        <v>0</v>
      </c>
      <c r="K196" s="190" t="str">
        <f t="shared" si="79"/>
        <v>4055/4056</v>
      </c>
      <c r="L196" s="196" t="str">
        <f>VLOOKUP(A196,'Trips&amp;Operators'!$C$1:$G$99911,5,FALSE)</f>
        <v>HAMMOND JUSTYNN</v>
      </c>
      <c r="M196" s="181">
        <f t="shared" si="80"/>
        <v>9.8148148172185756E-3</v>
      </c>
      <c r="N196" s="182">
        <f t="shared" si="100"/>
        <v>14.133333336794749</v>
      </c>
      <c r="O196" s="182"/>
      <c r="P196" s="182"/>
      <c r="Q196" s="185"/>
      <c r="R196" s="197"/>
      <c r="S196" s="241">
        <f t="shared" si="99"/>
        <v>1</v>
      </c>
      <c r="T196" s="220" t="str">
        <f t="shared" si="81"/>
        <v>Southbound</v>
      </c>
      <c r="U196" s="22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1" t="str">
        <f t="shared" si="82"/>
        <v>https://d0f6bd738d7f1b3e5a7ca70fe4ff75f0.us-east-1.aws.found.io/app/kibana#/discover/Steve-Slow-Train-Analysis-(2080s-and-2083s)?_g=(refreshInterval:(display:Off,pause:!f,section:0,value:0),time:(from:'2017-12-12T16:56:49-0700',mode:absolute,to:'2017-12-12T19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6" s="222" t="str">
        <f>IF(AA196&lt;VLOOKUP(AG196,Variables!$AC$3:$AD$8,2,FALSE),"Y","N")</f>
        <v>N</v>
      </c>
      <c r="X196" s="222">
        <f t="shared" si="103"/>
        <v>1</v>
      </c>
      <c r="Y196" s="222">
        <f t="shared" si="101"/>
        <v>5.8625999999999996</v>
      </c>
      <c r="Z196" s="222">
        <f t="shared" si="102"/>
        <v>1.55E-2</v>
      </c>
      <c r="AA196" s="222">
        <f t="shared" si="83"/>
        <v>5.8470999999999993</v>
      </c>
      <c r="AB196" s="231" t="e">
        <f>VLOOKUP(A196,Enforcements!$C$7:$K$9,8,0)</f>
        <v>#N/A</v>
      </c>
      <c r="AC196" s="231" t="e">
        <f>VLOOKUP(A196,Enforcements!$C$7:$E$9,3,0)</f>
        <v>#N/A</v>
      </c>
      <c r="AD196" s="232">
        <f t="shared" si="84"/>
        <v>836</v>
      </c>
      <c r="AE196" s="233" t="str">
        <f t="shared" si="85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196" s="234" t="str">
        <f t="shared" si="86"/>
        <v>"C:\Program Files (x86)\AstroGrep\AstroGrep.exe" /e /r /s /spath="%USERPROFILE%\AppData\Local\Temp\OnboardLogs" /stypes="app*4055*20171213*" /stext=" 01:.+((SYSTEM_STATE.+slice.+state.+changed )|(ment ac)|(multiple cpu faults)|(system.+state.+changed )|(\[timeout)|(PRM\|1\|D)|(kpr)|(kdp)|(train st.+moving)|(\|lc)|(penalty))"</v>
      </c>
      <c r="AG196" s="226" t="str">
        <f t="shared" si="87"/>
        <v>NW</v>
      </c>
      <c r="AH196" s="189" t="str">
        <f t="shared" si="89"/>
        <v>"%USERPROFILE%\Documents\GitHub\eaglep3\Utilities\RefineRTDCRunTimes.py" --tripid 836-12 --locoid 4055 --swversion DE.1.0.9.0 --startMP 300:58626 --initTime 2017-12-12T17:56:49 --startdatetime 2017-12-12T18:12:00 --delay 89 --endMP 204:155 --enddatetime 2017-12-12T18:26:08 --enforcementcount 0 &gt;&gt;%USERPROFILE%\Documents\GitHub\eaglep3-reporting\EC\2017-12-12-refined-times.txt</v>
      </c>
      <c r="AI196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{"issue":{"subject":"","project_id":79,"tracker_id":40,"status_id":1,"priority_id":2,"assigned_to_id":338,"start_date":"2017-12-12","description":"","custom_fields":[{"id":1,"name":"Subdivision","value":"NW"},{"id":4,"name":"Milepost","value":"0.0155"},{"id":17,"name":"Train ID","value":"836-12"},{"id":16,"name":"Locomotive ID","value":"4055"},{"id":130,"name":"Impact","value":""},{"id":150,"name":"Time of Event (Mountain Time)","value":"18:26:08"},{"id":151,"name":"Denver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188"/>
      <c r="AL196" s="188"/>
      <c r="AM196" s="193" t="str">
        <f t="shared" si="91"/>
        <v>start /low /b %USERPROFILE%\Documents\GitHub\eaglep3\Utilities\DownloadLogsFromS3.py --loco 4055 --day 2017-12-12</v>
      </c>
      <c r="AN196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87" t="str">
        <f t="shared" si="93"/>
        <v>https://d0f6bd738d7f1b3e5a7ca70fe4ff75f0.us-east-1.aws.found.io/app/kibana#/discover/Steve-Slow-Train-Analysis-(2080s-and-2083s)?_g=(refreshInterval:(display:Off,pause:!f,section:0,value:0),time:(from:'2017-12-12T16:56:49-0700',mode:absolute,to:'2017-12-12T19:26:08-0700'))&amp;_a=(columns:!('Message%20ID',Summary),filters:!(),index:'emp_*',interval:auto,query:(query_string:(analyze_wildcard:!t,query:'%22rtdc.l.rtdc.4055%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186" t="s">
        <v>850</v>
      </c>
      <c r="B197" s="182">
        <v>4032</v>
      </c>
      <c r="C197" s="184" t="s">
        <v>192</v>
      </c>
      <c r="D197" s="184" t="s">
        <v>488</v>
      </c>
      <c r="E197" s="183">
        <v>43081.753564814811</v>
      </c>
      <c r="F197" s="183">
        <v>43081.756469907406</v>
      </c>
      <c r="G197" s="182">
        <v>67</v>
      </c>
      <c r="H197" s="184" t="s">
        <v>469</v>
      </c>
      <c r="I197" s="183">
        <v>43081.766597222224</v>
      </c>
      <c r="J197" s="182">
        <v>0</v>
      </c>
      <c r="K197" s="190" t="str">
        <f t="shared" si="79"/>
        <v>4031/4032</v>
      </c>
      <c r="L197" s="196" t="str">
        <f>VLOOKUP(A197,'Trips&amp;Operators'!$C$1:$G$99911,5,FALSE)</f>
        <v>GUZMAN DANNY</v>
      </c>
      <c r="M197" s="181">
        <f t="shared" si="80"/>
        <v>1.0127314817509614E-2</v>
      </c>
      <c r="N197" s="182">
        <f t="shared" si="100"/>
        <v>14.583333337213844</v>
      </c>
      <c r="O197" s="182"/>
      <c r="P197" s="182"/>
      <c r="Q197" s="185"/>
      <c r="R197" s="197"/>
      <c r="S197" s="241">
        <f t="shared" si="99"/>
        <v>1</v>
      </c>
      <c r="T197" s="220" t="str">
        <f t="shared" si="81"/>
        <v>NorthBound</v>
      </c>
      <c r="U197" s="22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21" t="str">
        <f t="shared" si="82"/>
        <v>https://d0f6bd738d7f1b3e5a7ca70fe4ff75f0.us-east-1.aws.found.io/app/kibana#/discover/Steve-Slow-Train-Analysis-(2080s-and-2083s)?_g=(refreshInterval:(display:Off,pause:!f,section:0,value:0),time:(from:'2017-12-12T17:05:08-0700',mode:absolute,to:'2017-12-12T19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7" s="222" t="str">
        <f>IF(AA197&lt;VLOOKUP(AG197,Variables!$AC$3:$AD$8,2,FALSE),"Y","N")</f>
        <v>N</v>
      </c>
      <c r="X197" s="222">
        <f t="shared" si="103"/>
        <v>1</v>
      </c>
      <c r="Y197" s="222">
        <f t="shared" si="101"/>
        <v>4.6399999999999997E-2</v>
      </c>
      <c r="Z197" s="222">
        <f t="shared" si="102"/>
        <v>5.8925999999999998</v>
      </c>
      <c r="AA197" s="222">
        <f t="shared" si="83"/>
        <v>5.8461999999999996</v>
      </c>
      <c r="AB197" s="231" t="e">
        <f>VLOOKUP(A197,Enforcements!$C$7:$K$9,8,0)</f>
        <v>#N/A</v>
      </c>
      <c r="AC197" s="231" t="e">
        <f>VLOOKUP(A197,Enforcements!$C$7:$E$9,3,0)</f>
        <v>#N/A</v>
      </c>
      <c r="AD197" s="232">
        <f t="shared" si="84"/>
        <v>837</v>
      </c>
      <c r="AE197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197" s="234" t="str">
        <f t="shared" si="86"/>
        <v>"C:\Program Files (x86)\AstroGrep\AstroGrep.exe" /e /r /s /spath="%USERPROFILE%\AppData\Local\Temp\OnboardLogs" /stypes="app*4032*20171213*" /stext=" 01:.+((SYSTEM_STATE.+slice.+state.+changed )|(ment ac)|(multiple cpu faults)|(system.+state.+changed )|(\[timeout)|(PRM\|1\|D)|(kpr)|(kdp)|(train st.+moving)|(\|lc)|(penalty))"</v>
      </c>
      <c r="AG197" s="226" t="str">
        <f t="shared" si="87"/>
        <v>NW</v>
      </c>
      <c r="AH197" s="189" t="str">
        <f t="shared" si="89"/>
        <v>"%USERPROFILE%\Documents\GitHub\eaglep3\Utilities\RefineRTDCRunTimes.py" --tripid 837-12 --locoid 4032 --swversion DE.1.0.9.0 --startMP 204:464 --initTime 2017-12-12T18:05:08 --startdatetime 2017-12-12T18:09:19 --delay 67 --endMP 300:58926 --enddatetime 2017-12-12T18:23:54 --enforcementcount 0 &gt;&gt;%USERPROFILE%\Documents\GitHub\eaglep3-reporting\EC\2017-12-12-refined-times.txt</v>
      </c>
      <c r="AI197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{"issue":{"subject":"","project_id":79,"tracker_id":40,"status_id":1,"priority_id":2,"assigned_to_id":338,"start_date":"2017-12-12","description":"","custom_fields":[{"id":1,"name":"Subdivision","value":"NW"},{"id":4,"name":"Milepost","value":"5.8926"},{"id":17,"name":"Train ID","value":"837-12"},{"id":16,"name":"Locomotive ID","value":"4032"},{"id":130,"name":"Impact","value":""},{"id":150,"name":"Time of Event (Mountain Time)","value":"18:23:54"},{"id":151,"name":"Denver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180"/>
      <c r="AK197" s="188"/>
      <c r="AL197" s="188"/>
      <c r="AM197" s="193" t="str">
        <f t="shared" si="91"/>
        <v>start /low /b %USERPROFILE%\Documents\GitHub\eaglep3\Utilities\DownloadLogsFromS3.py --loco 4032 --day 2017-12-12</v>
      </c>
      <c r="AN197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87" t="str">
        <f t="shared" si="93"/>
        <v>https://d0f6bd738d7f1b3e5a7ca70fe4ff75f0.us-east-1.aws.found.io/app/kibana#/discover/Steve-Slow-Train-Analysis-(2080s-and-2083s)?_g=(refreshInterval:(display:Off,pause:!f,section:0,value:0),time:(from:'2017-12-12T17:05:08-0700',mode:absolute,to:'2017-12-12T19:23:54-0700'))&amp;_a=(columns:!('Message%20ID',Summary),filters:!(),index:'emp_*',interval:auto,query:(query_string:(analyze_wildcard:!t,query:'%22rtdc.l.rtdc.4032%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186" t="s">
        <v>854</v>
      </c>
      <c r="B198" s="182">
        <v>4031</v>
      </c>
      <c r="C198" s="184" t="s">
        <v>192</v>
      </c>
      <c r="D198" s="184" t="s">
        <v>561</v>
      </c>
      <c r="E198" s="183">
        <v>43081.767557870371</v>
      </c>
      <c r="F198" s="183">
        <v>43081.779166666667</v>
      </c>
      <c r="G198" s="182">
        <v>248</v>
      </c>
      <c r="H198" s="184" t="s">
        <v>1053</v>
      </c>
      <c r="I198" s="183">
        <v>43081.788935185185</v>
      </c>
      <c r="J198" s="182">
        <v>0</v>
      </c>
      <c r="K198" s="190" t="str">
        <f t="shared" si="79"/>
        <v>4031/4032</v>
      </c>
      <c r="L198" s="196" t="str">
        <f>VLOOKUP(A198,'Trips&amp;Operators'!$C$1:$G$99911,5,FALSE)</f>
        <v>GUZMAN DANNY</v>
      </c>
      <c r="M198" s="181">
        <f t="shared" si="80"/>
        <v>9.7685185173759237E-3</v>
      </c>
      <c r="N198" s="182">
        <f t="shared" si="100"/>
        <v>14.06666666502133</v>
      </c>
      <c r="O198" s="182"/>
      <c r="P198" s="182"/>
      <c r="Q198" s="185"/>
      <c r="R198" s="197"/>
      <c r="S198" s="241">
        <f t="shared" si="99"/>
        <v>1</v>
      </c>
      <c r="T198" s="220" t="str">
        <f t="shared" si="81"/>
        <v>Southbound</v>
      </c>
      <c r="U198" s="22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1" t="str">
        <f t="shared" si="82"/>
        <v>https://d0f6bd738d7f1b3e5a7ca70fe4ff75f0.us-east-1.aws.found.io/app/kibana#/discover/Steve-Slow-Train-Analysis-(2080s-and-2083s)?_g=(refreshInterval:(display:Off,pause:!f,section:0,value:0),time:(from:'2017-12-12T17:25:17-0700',mode:absolute,to:'2017-12-12T19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222" t="str">
        <f>IF(AA198&lt;VLOOKUP(AG198,Variables!$AC$3:$AD$8,2,FALSE),"Y","N")</f>
        <v>N</v>
      </c>
      <c r="X198" s="222">
        <f t="shared" si="103"/>
        <v>1</v>
      </c>
      <c r="Y198" s="222">
        <f t="shared" si="101"/>
        <v>5.8608000000000002</v>
      </c>
      <c r="Z198" s="222">
        <f t="shared" si="102"/>
        <v>1.67E-2</v>
      </c>
      <c r="AA198" s="222">
        <f t="shared" si="83"/>
        <v>5.8441000000000001</v>
      </c>
      <c r="AB198" s="231" t="e">
        <f>VLOOKUP(A198,Enforcements!$C$7:$K$9,8,0)</f>
        <v>#N/A</v>
      </c>
      <c r="AC198" s="231" t="e">
        <f>VLOOKUP(A198,Enforcements!$C$7:$E$9,3,0)</f>
        <v>#N/A</v>
      </c>
      <c r="AD198" s="232">
        <f t="shared" si="84"/>
        <v>838</v>
      </c>
      <c r="AE198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198" s="234" t="str">
        <f t="shared" si="86"/>
        <v>"C:\Program Files (x86)\AstroGrep\AstroGrep.exe" /e /r /s /spath="%USERPROFILE%\AppData\Local\Temp\OnboardLogs" /stypes="app*4031*20171213*" /stext=" 01:.+((SYSTEM_STATE.+slice.+state.+changed )|(ment ac)|(multiple cpu faults)|(system.+state.+changed )|(\[timeout)|(PRM\|1\|D)|(kpr)|(kdp)|(train st.+moving)|(\|lc)|(penalty))"</v>
      </c>
      <c r="AG198" s="226" t="str">
        <f t="shared" si="87"/>
        <v>NW</v>
      </c>
      <c r="AH198" s="189" t="str">
        <f t="shared" si="89"/>
        <v>"%USERPROFILE%\Documents\GitHub\eaglep3\Utilities\RefineRTDCRunTimes.py" --tripid 838-12 --locoid 4031 --swversion DE.1.0.9.0 --startMP 300:58608 --initTime 2017-12-12T18:25:17 --startdatetime 2017-12-12T18:42:00 --delay 248 --endMP 204:167 --enddatetime 2017-12-12T18:56:04 --enforcementcount 0 &gt;&gt;%USERPROFILE%\Documents\GitHub\eaglep3-reporting\EC\2017-12-12-refined-times.txt</v>
      </c>
      <c r="AI198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{"issue":{"subject":"","project_id":79,"tracker_id":40,"status_id":1,"priority_id":2,"assigned_to_id":338,"start_date":"2017-12-12","description":"","custom_fields":[{"id":1,"name":"Subdivision","value":"NW"},{"id":4,"name":"Milepost","value":"0.0167"},{"id":17,"name":"Train ID","value":"838-12"},{"id":16,"name":"Locomotive ID","value":"4031"},{"id":130,"name":"Impact","value":""},{"id":150,"name":"Time of Event (Mountain Time)","value":"18:56:04"},{"id":151,"name":"Denver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180"/>
      <c r="AK198" s="188"/>
      <c r="AL198" s="188"/>
      <c r="AM198" s="193" t="str">
        <f t="shared" si="91"/>
        <v>start /low /b %USERPROFILE%\Documents\GitHub\eaglep3\Utilities\DownloadLogsFromS3.py --loco 4031 --day 2017-12-12</v>
      </c>
      <c r="AN198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87" t="str">
        <f t="shared" si="93"/>
        <v>https://d0f6bd738d7f1b3e5a7ca70fe4ff75f0.us-east-1.aws.found.io/app/kibana#/discover/Steve-Slow-Train-Analysis-(2080s-and-2083s)?_g=(refreshInterval:(display:Off,pause:!f,section:0,value:0),time:(from:'2017-12-12T17:25:17-0700',mode:absolute,to:'2017-12-12T19:56:04-0700'))&amp;_a=(columns:!('Message%20ID',Summary),filters:!(),index:'emp_*',interval:auto,query:(query_string:(analyze_wildcard:!t,query:'%22rtdc.l.rtdc.4031%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180" customFormat="1" x14ac:dyDescent="0.25">
      <c r="A199" s="186" t="s">
        <v>689</v>
      </c>
      <c r="B199" s="182">
        <v>4056</v>
      </c>
      <c r="C199" s="184" t="s">
        <v>192</v>
      </c>
      <c r="D199" s="184" t="s">
        <v>487</v>
      </c>
      <c r="E199" s="183">
        <v>43081.772835648146</v>
      </c>
      <c r="F199" s="183">
        <v>43081.777418981481</v>
      </c>
      <c r="G199" s="182">
        <v>153</v>
      </c>
      <c r="H199" s="184" t="s">
        <v>492</v>
      </c>
      <c r="I199" s="183">
        <v>43081.788726851853</v>
      </c>
      <c r="J199" s="182">
        <v>0</v>
      </c>
      <c r="K199" s="190" t="str">
        <f t="shared" si="79"/>
        <v>4055/4056</v>
      </c>
      <c r="L199" s="196" t="str">
        <f>VLOOKUP(A199,'Trips&amp;Operators'!$C$1:$G$99911,5,FALSE)</f>
        <v>HAMMOND JUSTYNN</v>
      </c>
      <c r="M199" s="181">
        <f t="shared" si="80"/>
        <v>1.1307870372547768E-2</v>
      </c>
      <c r="N199" s="182">
        <f t="shared" si="100"/>
        <v>16.283333336468786</v>
      </c>
      <c r="O199" s="182"/>
      <c r="P199" s="182"/>
      <c r="Q199" s="185"/>
      <c r="R199" s="197"/>
      <c r="S199" s="241">
        <f t="shared" si="99"/>
        <v>1</v>
      </c>
      <c r="T199" s="220" t="str">
        <f t="shared" si="81"/>
        <v>NorthBound</v>
      </c>
      <c r="U199" s="22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21" t="str">
        <f t="shared" si="82"/>
        <v>https://d0f6bd738d7f1b3e5a7ca70fe4ff75f0.us-east-1.aws.found.io/app/kibana#/discover/Steve-Slow-Train-Analysis-(2080s-and-2083s)?_g=(refreshInterval:(display:Off,pause:!f,section:0,value:0),time:(from:'2017-12-12T17:32:53-0700',mode:absolute,to:'2017-12-12T19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9" s="222" t="str">
        <f>IF(AA199&lt;VLOOKUP(AG199,Variables!$AC$3:$AD$8,2,FALSE),"Y","N")</f>
        <v>N</v>
      </c>
      <c r="X199" s="222">
        <f t="shared" si="103"/>
        <v>1</v>
      </c>
      <c r="Y199" s="222">
        <f t="shared" si="101"/>
        <v>4.3499999999999997E-2</v>
      </c>
      <c r="Z199" s="222">
        <f t="shared" si="102"/>
        <v>5.8940999999999999</v>
      </c>
      <c r="AA199" s="222">
        <f t="shared" si="83"/>
        <v>5.8506</v>
      </c>
      <c r="AB199" s="231" t="e">
        <f>VLOOKUP(A199,Enforcements!$C$7:$K$9,8,0)</f>
        <v>#N/A</v>
      </c>
      <c r="AC199" s="231" t="e">
        <f>VLOOKUP(A199,Enforcements!$C$7:$E$9,3,0)</f>
        <v>#N/A</v>
      </c>
      <c r="AD199" s="232">
        <f t="shared" si="84"/>
        <v>839</v>
      </c>
      <c r="AE199" s="233" t="str">
        <f t="shared" si="85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199" s="234" t="str">
        <f t="shared" si="86"/>
        <v>"C:\Program Files (x86)\AstroGrep\AstroGrep.exe" /e /r /s /spath="%USERPROFILE%\AppData\Local\Temp\OnboardLogs" /stypes="app*4056*20171213*" /stext=" 01:.+((SYSTEM_STATE.+slice.+state.+changed )|(ment ac)|(multiple cpu faults)|(system.+state.+changed )|(\[timeout)|(PRM\|1\|D)|(kpr)|(kdp)|(train st.+moving)|(\|lc)|(penalty))"</v>
      </c>
      <c r="AG199" s="226" t="str">
        <f t="shared" si="87"/>
        <v>NW</v>
      </c>
      <c r="AH199" s="189" t="str">
        <f t="shared" si="89"/>
        <v>"%USERPROFILE%\Documents\GitHub\eaglep3\Utilities\RefineRTDCRunTimes.py" --tripid 839-12 --locoid 4056 --swversion DE.1.0.9.0 --startMP 204:435 --initTime 2017-12-12T18:32:53 --startdatetime 2017-12-12T18:39:29 --delay 153 --endMP 300:58941 --enddatetime 2017-12-12T18:55:46 --enforcementcount 0 &gt;&gt;%USERPROFILE%\Documents\GitHub\eaglep3-reporting\EC\2017-12-12-refined-times.txt</v>
      </c>
      <c r="AI199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{"issue":{"subject":"","project_id":79,"tracker_id":40,"status_id":1,"priority_id":2,"assigned_to_id":338,"start_date":"2017-12-12","description":"","custom_fields":[{"id":1,"name":"Subdivision","value":"NW"},{"id":4,"name":"Milepost","value":"5.8941"},{"id":17,"name":"Train ID","value":"839-12"},{"id":16,"name":"Locomotive ID","value":"4056"},{"id":130,"name":"Impact","value":""},{"id":150,"name":"Time of Event (Mountain Time)","value":"18:55:46"},{"id":151,"name":"Denver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188"/>
      <c r="AL199" s="188"/>
      <c r="AM199" s="193" t="str">
        <f t="shared" si="91"/>
        <v>start /low /b %USERPROFILE%\Documents\GitHub\eaglep3\Utilities\DownloadLogsFromS3.py --loco 4056 --day 2017-12-12</v>
      </c>
      <c r="AN199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87" t="str">
        <f t="shared" si="93"/>
        <v>https://d0f6bd738d7f1b3e5a7ca70fe4ff75f0.us-east-1.aws.found.io/app/kibana#/discover/Steve-Slow-Train-Analysis-(2080s-and-2083s)?_g=(refreshInterval:(display:Off,pause:!f,section:0,value:0),time:(from:'2017-12-12T17:32:53-0700',mode:absolute,to:'2017-12-12T19:55:46-0700'))&amp;_a=(columns:!('Message%20ID',Summary),filters:!(),index:'emp_*',interval:auto,query:(query_string:(analyze_wildcard:!t,query:'%22rtdc.l.rtdc.4056%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180" customFormat="1" x14ac:dyDescent="0.25">
      <c r="A200" s="186" t="s">
        <v>863</v>
      </c>
      <c r="B200" s="182">
        <v>4031</v>
      </c>
      <c r="C200" s="184" t="s">
        <v>192</v>
      </c>
      <c r="D200" s="184" t="s">
        <v>1047</v>
      </c>
      <c r="E200" s="183">
        <v>43081.809548611112</v>
      </c>
      <c r="F200" s="183">
        <v>43081.820833333331</v>
      </c>
      <c r="G200" s="182">
        <v>60</v>
      </c>
      <c r="H200" s="184" t="s">
        <v>499</v>
      </c>
      <c r="I200" s="183">
        <v>43081.830659722225</v>
      </c>
      <c r="J200" s="182">
        <v>0</v>
      </c>
      <c r="K200" s="190" t="str">
        <f t="shared" si="79"/>
        <v>4031/4032</v>
      </c>
      <c r="L200" s="196" t="str">
        <f>VLOOKUP(A200,'Trips&amp;Operators'!$C$1:$G$99911,5,FALSE)</f>
        <v>GUZMAN DANNY</v>
      </c>
      <c r="M200" s="181">
        <f t="shared" si="80"/>
        <v>9.826388893998228E-3</v>
      </c>
      <c r="N200" s="182">
        <f t="shared" si="100"/>
        <v>14.150000007357448</v>
      </c>
      <c r="O200" s="182"/>
      <c r="P200" s="182"/>
      <c r="Q200" s="185"/>
      <c r="R200" s="197"/>
      <c r="S200" s="241">
        <f t="shared" si="99"/>
        <v>1</v>
      </c>
      <c r="T200" s="220" t="str">
        <f t="shared" si="81"/>
        <v>Southbound</v>
      </c>
      <c r="U200" s="22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21" t="str">
        <f t="shared" si="82"/>
        <v>https://d0f6bd738d7f1b3e5a7ca70fe4ff75f0.us-east-1.aws.found.io/app/kibana#/discover/Steve-Slow-Train-Analysis-(2080s-and-2083s)?_g=(refreshInterval:(display:Off,pause:!f,section:0,value:0),time:(from:'2017-12-12T18:25:45-0700',mode:absolute,to:'2017-12-12T20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222" t="str">
        <f>IF(AA200&lt;VLOOKUP(AG200,Variables!$AC$3:$AD$8,2,FALSE),"Y","N")</f>
        <v>N</v>
      </c>
      <c r="X200" s="222">
        <f t="shared" si="103"/>
        <v>1</v>
      </c>
      <c r="Y200" s="222">
        <f t="shared" si="101"/>
        <v>5.8619000000000003</v>
      </c>
      <c r="Z200" s="222">
        <f t="shared" si="102"/>
        <v>1.49E-2</v>
      </c>
      <c r="AA200" s="222">
        <f t="shared" si="83"/>
        <v>5.8470000000000004</v>
      </c>
      <c r="AB200" s="231" t="e">
        <f>VLOOKUP(A200,Enforcements!$C$7:$K$9,8,0)</f>
        <v>#N/A</v>
      </c>
      <c r="AC200" s="231" t="e">
        <f>VLOOKUP(A200,Enforcements!$C$7:$E$9,3,0)</f>
        <v>#N/A</v>
      </c>
      <c r="AD200" s="232">
        <f t="shared" si="84"/>
        <v>840</v>
      </c>
      <c r="AE200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200" s="234" t="str">
        <f t="shared" si="86"/>
        <v>"C:\Program Files (x86)\AstroGrep\AstroGrep.exe" /e /r /s /spath="%USERPROFILE%\AppData\Local\Temp\OnboardLogs" /stypes="app*4031*20171213*" /stext=" 02:.+((SYSTEM_STATE.+slice.+state.+changed )|(ment ac)|(multiple cpu faults)|(system.+state.+changed )|(\[timeout)|(PRM\|1\|D)|(kpr)|(kdp)|(train st.+moving)|(\|lc)|(penalty))"</v>
      </c>
      <c r="AG200" s="226" t="str">
        <f t="shared" si="87"/>
        <v>NW</v>
      </c>
      <c r="AH200" s="189" t="str">
        <f t="shared" si="89"/>
        <v>"%USERPROFILE%\Documents\GitHub\eaglep3\Utilities\RefineRTDCRunTimes.py" --tripid 840-12 --locoid 4031 --swversion DE.1.0.9.0 --startMP 300:58619 --initTime 2017-12-12T19:25:45 --startdatetime 2017-12-12T19:42:00 --delay 60 --endMP 204:149 --enddatetime 2017-12-12T19:56:09 --enforcementcount 0 &gt;&gt;%USERPROFILE%\Documents\GitHub\eaglep3-reporting\EC\2017-12-12-refined-times.txt</v>
      </c>
      <c r="AI200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{"issue":{"subject":"","project_id":79,"tracker_id":40,"status_id":1,"priority_id":2,"assigned_to_id":338,"start_date":"2017-12-12","description":"","custom_fields":[{"id":1,"name":"Subdivision","value":"NW"},{"id":4,"name":"Milepost","value":"0.0149"},{"id":17,"name":"Train ID","value":"840-12"},{"id":16,"name":"Locomotive ID","value":"4031"},{"id":130,"name":"Impact","value":""},{"id":150,"name":"Time of Event (Mountain Time)","value":"19:56:09"},{"id":151,"name":"Denver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188"/>
      <c r="AL200" s="188"/>
      <c r="AM200" s="193" t="str">
        <f t="shared" si="91"/>
        <v>start /low /b %USERPROFILE%\Documents\GitHub\eaglep3\Utilities\DownloadLogsFromS3.py --loco 4031 --day 2017-12-12</v>
      </c>
      <c r="AN200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87" t="str">
        <f t="shared" si="93"/>
        <v>https://d0f6bd738d7f1b3e5a7ca70fe4ff75f0.us-east-1.aws.found.io/app/kibana#/discover/Steve-Slow-Train-Analysis-(2080s-and-2083s)?_g=(refreshInterval:(display:Off,pause:!f,section:0,value:0),time:(from:'2017-12-12T18:25:45-0700',mode:absolute,to:'2017-12-12T20:56:09-0700'))&amp;_a=(columns:!('Message%20ID',Summary),filters:!(),index:'emp_*',interval:auto,query:(query_string:(analyze_wildcard:!t,query:'%22rtdc.l.rtdc.4031%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186" t="s">
        <v>860</v>
      </c>
      <c r="B201" s="182">
        <v>4032</v>
      </c>
      <c r="C201" s="184" t="s">
        <v>192</v>
      </c>
      <c r="D201" s="184" t="s">
        <v>654</v>
      </c>
      <c r="E201" s="183">
        <v>43081.792615740742</v>
      </c>
      <c r="F201" s="183">
        <v>43081.798090277778</v>
      </c>
      <c r="G201" s="182">
        <v>52</v>
      </c>
      <c r="H201" s="184" t="s">
        <v>562</v>
      </c>
      <c r="I201" s="183">
        <v>43081.808310185188</v>
      </c>
      <c r="J201" s="182">
        <v>0</v>
      </c>
      <c r="K201" s="190" t="str">
        <f t="shared" si="79"/>
        <v>4031/4032</v>
      </c>
      <c r="L201" s="196" t="str">
        <f>VLOOKUP(A201,'Trips&amp;Operators'!$C$1:$G$99911,5,FALSE)</f>
        <v>GUZMAN DANNY</v>
      </c>
      <c r="M201" s="181">
        <f t="shared" si="80"/>
        <v>1.021990740991896E-2</v>
      </c>
      <c r="N201" s="182">
        <f t="shared" si="100"/>
        <v>14.716666670283303</v>
      </c>
      <c r="O201" s="182"/>
      <c r="P201" s="182"/>
      <c r="Q201" s="185"/>
      <c r="R201" s="197"/>
      <c r="S201" s="241">
        <f t="shared" si="99"/>
        <v>1</v>
      </c>
      <c r="T201" s="220" t="str">
        <f t="shared" si="81"/>
        <v>NorthBound</v>
      </c>
      <c r="U201" s="22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1" t="str">
        <f t="shared" si="82"/>
        <v>https://d0f6bd738d7f1b3e5a7ca70fe4ff75f0.us-east-1.aws.found.io/app/kibana#/discover/Steve-Slow-Train-Analysis-(2080s-and-2083s)?_g=(refreshInterval:(display:Off,pause:!f,section:0,value:0),time:(from:'2017-12-12T18:01:22-0700',mode:absolute,to:'2017-12-12T20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1" s="222" t="str">
        <f>IF(AA201&lt;VLOOKUP(AG201,Variables!$AC$3:$AD$8,2,FALSE),"Y","N")</f>
        <v>N</v>
      </c>
      <c r="X201" s="222">
        <f t="shared" si="103"/>
        <v>1</v>
      </c>
      <c r="Y201" s="222">
        <f t="shared" si="101"/>
        <v>4.2599999999999999E-2</v>
      </c>
      <c r="Z201" s="222">
        <f t="shared" si="102"/>
        <v>5.8935000000000004</v>
      </c>
      <c r="AA201" s="222">
        <f t="shared" si="83"/>
        <v>5.8509000000000002</v>
      </c>
      <c r="AB201" s="231" t="e">
        <f>VLOOKUP(A201,Enforcements!$C$7:$K$9,8,0)</f>
        <v>#N/A</v>
      </c>
      <c r="AC201" s="231" t="e">
        <f>VLOOKUP(A201,Enforcements!$C$7:$E$9,3,0)</f>
        <v>#N/A</v>
      </c>
      <c r="AD201" s="232">
        <f t="shared" si="84"/>
        <v>841</v>
      </c>
      <c r="AE201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201" s="234" t="str">
        <f t="shared" si="86"/>
        <v>"C:\Program Files (x86)\AstroGrep\AstroGrep.exe" /e /r /s /spath="%USERPROFILE%\AppData\Local\Temp\OnboardLogs" /stypes="app*4032*20171213*" /stext=" 02:.+((SYSTEM_STATE.+slice.+state.+changed )|(ment ac)|(multiple cpu faults)|(system.+state.+changed )|(\[timeout)|(PRM\|1\|D)|(kpr)|(kdp)|(train st.+moving)|(\|lc)|(penalty))"</v>
      </c>
      <c r="AG201" s="226" t="str">
        <f t="shared" si="87"/>
        <v>NW</v>
      </c>
      <c r="AH201" s="189" t="str">
        <f t="shared" si="89"/>
        <v>"%USERPROFILE%\Documents\GitHub\eaglep3\Utilities\RefineRTDCRunTimes.py" --tripid 841-12 --locoid 4032 --swversion DE.1.0.9.0 --startMP 204:426 --initTime 2017-12-12T19:01:22 --startdatetime 2017-12-12T19:09:15 --delay 52 --endMP 300:58935 --enddatetime 2017-12-12T19:23:58 --enforcementcount 0 &gt;&gt;%USERPROFILE%\Documents\GitHub\eaglep3-reporting\EC\2017-12-12-refined-times.txt</v>
      </c>
      <c r="AI201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{"issue":{"subject":"","project_id":79,"tracker_id":40,"status_id":1,"priority_id":2,"assigned_to_id":338,"start_date":"2017-12-12","description":"","custom_fields":[{"id":1,"name":"Subdivision","value":"NW"},{"id":4,"name":"Milepost","value":"5.8935"},{"id":17,"name":"Train ID","value":"841-12"},{"id":16,"name":"Locomotive ID","value":"4032"},{"id":130,"name":"Impact","value":""},{"id":150,"name":"Time of Event (Mountain Time)","value":"19:23:58"},{"id":151,"name":"Denver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180"/>
      <c r="AK201" s="188"/>
      <c r="AL201" s="188"/>
      <c r="AM201" s="193" t="str">
        <f t="shared" si="91"/>
        <v>start /low /b %USERPROFILE%\Documents\GitHub\eaglep3\Utilities\DownloadLogsFromS3.py --loco 4032 --day 2017-12-12</v>
      </c>
      <c r="AN201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87" t="str">
        <f t="shared" si="93"/>
        <v>https://d0f6bd738d7f1b3e5a7ca70fe4ff75f0.us-east-1.aws.found.io/app/kibana#/discover/Steve-Slow-Train-Analysis-(2080s-and-2083s)?_g=(refreshInterval:(display:Off,pause:!f,section:0,value:0),time:(from:'2017-12-12T18:01:22-0700',mode:absolute,to:'2017-12-12T20:23:58-0700'))&amp;_a=(columns:!('Message%20ID',Summary),filters:!(),index:'emp_*',interval:auto,query:(query_string:(analyze_wildcard:!t,query:'%22rtdc.l.rtdc.4032%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180" customFormat="1" x14ac:dyDescent="0.25">
      <c r="A202" s="186" t="s">
        <v>869</v>
      </c>
      <c r="B202" s="182">
        <v>4031</v>
      </c>
      <c r="C202" s="184" t="s">
        <v>192</v>
      </c>
      <c r="D202" s="184" t="s">
        <v>1054</v>
      </c>
      <c r="E202" s="183">
        <v>43081.85119212963</v>
      </c>
      <c r="F202" s="183">
        <v>43081.862500000003</v>
      </c>
      <c r="G202" s="182">
        <v>66</v>
      </c>
      <c r="H202" s="184" t="s">
        <v>1051</v>
      </c>
      <c r="I202" s="183">
        <v>43081.87190972222</v>
      </c>
      <c r="J202" s="182">
        <v>0</v>
      </c>
      <c r="K202" s="190" t="str">
        <f t="shared" si="79"/>
        <v>4031/4032</v>
      </c>
      <c r="L202" s="196" t="str">
        <f>VLOOKUP(A202,'Trips&amp;Operators'!$C$1:$G$99911,5,FALSE)</f>
        <v>MAGEE KENYA</v>
      </c>
      <c r="M202" s="181">
        <f t="shared" si="80"/>
        <v>9.4097222172422335E-3</v>
      </c>
      <c r="N202" s="182">
        <f t="shared" si="100"/>
        <v>13.549999992828816</v>
      </c>
      <c r="O202" s="182"/>
      <c r="P202" s="182"/>
      <c r="Q202" s="185"/>
      <c r="R202" s="197"/>
      <c r="S202" s="241">
        <f t="shared" si="99"/>
        <v>1</v>
      </c>
      <c r="T202" s="220" t="str">
        <f t="shared" si="81"/>
        <v>Southbound</v>
      </c>
      <c r="U202" s="22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1" t="str">
        <f t="shared" si="82"/>
        <v>https://d0f6bd738d7f1b3e5a7ca70fe4ff75f0.us-east-1.aws.found.io/app/kibana#/discover/Steve-Slow-Train-Analysis-(2080s-and-2083s)?_g=(refreshInterval:(display:Off,pause:!f,section:0,value:0),time:(from:'2017-12-12T19:25:43-0700',mode:absolute,to:'2017-12-12T21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222" t="str">
        <f>IF(AA202&lt;VLOOKUP(AG202,Variables!$AC$3:$AD$8,2,FALSE),"Y","N")</f>
        <v>N</v>
      </c>
      <c r="X202" s="222">
        <f t="shared" si="103"/>
        <v>1</v>
      </c>
      <c r="Y202" s="222">
        <f t="shared" si="101"/>
        <v>5.8659999999999997</v>
      </c>
      <c r="Z202" s="222">
        <f t="shared" si="102"/>
        <v>1.5299999999999999E-2</v>
      </c>
      <c r="AA202" s="222">
        <f t="shared" si="83"/>
        <v>5.8506999999999998</v>
      </c>
      <c r="AB202" s="231" t="e">
        <f>VLOOKUP(A202,Enforcements!$C$7:$K$9,8,0)</f>
        <v>#N/A</v>
      </c>
      <c r="AC202" s="231" t="e">
        <f>VLOOKUP(A202,Enforcements!$C$7:$E$9,3,0)</f>
        <v>#N/A</v>
      </c>
      <c r="AD202" s="232">
        <f t="shared" si="84"/>
        <v>842</v>
      </c>
      <c r="AE202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202" s="234" t="str">
        <f t="shared" si="86"/>
        <v>"C:\Program Files (x86)\AstroGrep\AstroGrep.exe" /e /r /s /spath="%USERPROFILE%\AppData\Local\Temp\OnboardLogs" /stypes="app*4031*20171213*" /stext=" 03:.+((SYSTEM_STATE.+slice.+state.+changed )|(ment ac)|(multiple cpu faults)|(system.+state.+changed )|(\[timeout)|(PRM\|1\|D)|(kpr)|(kdp)|(train st.+moving)|(\|lc)|(penalty))"</v>
      </c>
      <c r="AG202" s="226" t="str">
        <f t="shared" si="87"/>
        <v>NW</v>
      </c>
      <c r="AH202" s="189" t="str">
        <f t="shared" si="89"/>
        <v>"%USERPROFILE%\Documents\GitHub\eaglep3\Utilities\RefineRTDCRunTimes.py" --tripid 842-12 --locoid 4031 --swversion DE.1.0.9.0 --startMP 300:58660 --initTime 2017-12-12T20:25:43 --startdatetime 2017-12-12T20:42:00 --delay 66 --endMP 204:153 --enddatetime 2017-12-12T20:55:33 --enforcementcount 0 &gt;&gt;%USERPROFILE%\Documents\GitHub\eaglep3-reporting\EC\2017-12-12-refined-times.txt</v>
      </c>
      <c r="AI202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{"issue":{"subject":"","project_id":79,"tracker_id":40,"status_id":1,"priority_id":2,"assigned_to_id":338,"start_date":"2017-12-12","description":"","custom_fields":[{"id":1,"name":"Subdivision","value":"NW"},{"id":4,"name":"Milepost","value":"0.0153"},{"id":17,"name":"Train ID","value":"842-12"},{"id":16,"name":"Locomotive ID","value":"4031"},{"id":130,"name":"Impact","value":""},{"id":150,"name":"Time of Event (Mountain Time)","value":"20:55:33"},{"id":151,"name":"Denver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188"/>
      <c r="AL202" s="188"/>
      <c r="AM202" s="193" t="str">
        <f t="shared" si="91"/>
        <v>start /low /b %USERPROFILE%\Documents\GitHub\eaglep3\Utilities\DownloadLogsFromS3.py --loco 4031 --day 2017-12-12</v>
      </c>
      <c r="AN202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87" t="str">
        <f t="shared" si="93"/>
        <v>https://d0f6bd738d7f1b3e5a7ca70fe4ff75f0.us-east-1.aws.found.io/app/kibana#/discover/Steve-Slow-Train-Analysis-(2080s-and-2083s)?_g=(refreshInterval:(display:Off,pause:!f,section:0,value:0),time:(from:'2017-12-12T19:25:43-0700',mode:absolute,to:'2017-12-12T21:55:33-0700'))&amp;_a=(columns:!('Message%20ID',Summary),filters:!(),index:'emp_*',interval:auto,query:(query_string:(analyze_wildcard:!t,query:'%22rtdc.l.rtdc.4031%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180" customFormat="1" x14ac:dyDescent="0.25">
      <c r="A203" s="186" t="s">
        <v>867</v>
      </c>
      <c r="B203" s="182">
        <v>4032</v>
      </c>
      <c r="C203" s="184" t="s">
        <v>192</v>
      </c>
      <c r="D203" s="184" t="s">
        <v>458</v>
      </c>
      <c r="E203" s="183">
        <v>43081.833240740743</v>
      </c>
      <c r="F203" s="183">
        <v>43081.839756944442</v>
      </c>
      <c r="G203" s="182">
        <v>65</v>
      </c>
      <c r="H203" s="184" t="s">
        <v>1031</v>
      </c>
      <c r="I203" s="183">
        <v>43081.849965277775</v>
      </c>
      <c r="J203" s="182">
        <v>0</v>
      </c>
      <c r="K203" s="190" t="str">
        <f t="shared" si="79"/>
        <v>4031/4032</v>
      </c>
      <c r="L203" s="196" t="str">
        <f>VLOOKUP(A203,'Trips&amp;Operators'!$C$1:$G$99911,5,FALSE)</f>
        <v>MAGEE KENYA</v>
      </c>
      <c r="M203" s="181">
        <f t="shared" si="80"/>
        <v>1.0208333333139308E-2</v>
      </c>
      <c r="N203" s="182">
        <f t="shared" si="100"/>
        <v>14.699999999720603</v>
      </c>
      <c r="O203" s="182"/>
      <c r="P203" s="182"/>
      <c r="Q203" s="185"/>
      <c r="R203" s="197"/>
      <c r="S203" s="241">
        <f t="shared" ref="S203:S231" si="104">1/IF(AG203="EC",12,1)*SUM(U203:U203)</f>
        <v>1</v>
      </c>
      <c r="T203" s="220" t="str">
        <f t="shared" si="81"/>
        <v>NorthBound</v>
      </c>
      <c r="U203" s="22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1" t="str">
        <f t="shared" si="82"/>
        <v>https://d0f6bd738d7f1b3e5a7ca70fe4ff75f0.us-east-1.aws.found.io/app/kibana#/discover/Steve-Slow-Train-Analysis-(2080s-and-2083s)?_g=(refreshInterval:(display:Off,pause:!f,section:0,value:0),time:(from:'2017-12-12T18:59:52-0700',mode:absolute,to:'2017-12-12T21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222" t="str">
        <f>IF(AA203&lt;VLOOKUP(AG203,Variables!$AC$3:$AD$8,2,FALSE),"Y","N")</f>
        <v>N</v>
      </c>
      <c r="X203" s="222">
        <f t="shared" si="103"/>
        <v>1</v>
      </c>
      <c r="Y203" s="222">
        <f t="shared" si="101"/>
        <v>4.4400000000000002E-2</v>
      </c>
      <c r="Z203" s="222">
        <f t="shared" si="102"/>
        <v>5.8975999999999997</v>
      </c>
      <c r="AA203" s="222">
        <f t="shared" si="83"/>
        <v>5.8531999999999993</v>
      </c>
      <c r="AB203" s="231" t="e">
        <f>VLOOKUP(A203,Enforcements!$C$7:$K$9,8,0)</f>
        <v>#N/A</v>
      </c>
      <c r="AC203" s="231" t="e">
        <f>VLOOKUP(A203,Enforcements!$C$7:$E$9,3,0)</f>
        <v>#N/A</v>
      </c>
      <c r="AD203" s="232">
        <f t="shared" si="84"/>
        <v>843</v>
      </c>
      <c r="AE203" s="233" t="str">
        <f t="shared" si="85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203" s="234" t="str">
        <f t="shared" si="86"/>
        <v>"C:\Program Files (x86)\AstroGrep\AstroGrep.exe" /e /r /s /spath="%USERPROFILE%\AppData\Local\Temp\OnboardLogs" /stypes="app*4032*20171213*" /stext=" 03:.+((SYSTEM_STATE.+slice.+state.+changed )|(ment ac)|(multiple cpu faults)|(system.+state.+changed )|(\[timeout)|(PRM\|1\|D)|(kpr)|(kdp)|(train st.+moving)|(\|lc)|(penalty))"</v>
      </c>
      <c r="AG203" s="226" t="str">
        <f t="shared" si="87"/>
        <v>NW</v>
      </c>
      <c r="AH203" s="189" t="str">
        <f t="shared" si="89"/>
        <v>"%USERPROFILE%\Documents\GitHub\eaglep3\Utilities\RefineRTDCRunTimes.py" --tripid 843-12 --locoid 4032 --swversion DE.1.0.9.0 --startMP 204:444 --initTime 2017-12-12T19:59:52 --startdatetime 2017-12-12T20:09:15 --delay 65 --endMP 300:58976 --enddatetime 2017-12-12T20:23:57 --enforcementcount 0 &gt;&gt;%USERPROFILE%\Documents\GitHub\eaglep3-reporting\EC\2017-12-12-refined-times.txt</v>
      </c>
      <c r="AI203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{"issue":{"subject":"","project_id":79,"tracker_id":40,"status_id":1,"priority_id":2,"assigned_to_id":338,"start_date":"2017-12-12","description":"","custom_fields":[{"id":1,"name":"Subdivision","value":"NW"},{"id":4,"name":"Milepost","value":"5.8976"},{"id":17,"name":"Train ID","value":"843-12"},{"id":16,"name":"Locomotive ID","value":"4032"},{"id":130,"name":"Impact","value":""},{"id":150,"name":"Time of Event (Mountain Time)","value":"20:23:57"},{"id":151,"name":"Denver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188"/>
      <c r="AL203" s="188"/>
      <c r="AM203" s="193" t="str">
        <f t="shared" si="91"/>
        <v>start /low /b %USERPROFILE%\Documents\GitHub\eaglep3\Utilities\DownloadLogsFromS3.py --loco 4032 --day 2017-12-12</v>
      </c>
      <c r="AN203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03:23:57"},{"id":29,"name":"Sharepoint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87" t="str">
        <f t="shared" si="93"/>
        <v>https://d0f6bd738d7f1b3e5a7ca70fe4ff75f0.us-east-1.aws.found.io/app/kibana#/discover/Steve-Slow-Train-Analysis-(2080s-and-2083s)?_g=(refreshInterval:(display:Off,pause:!f,section:0,value:0),time:(from:'2017-12-12T18:59:52-0700',mode:absolute,to:'2017-12-12T21:23:57-0700'))&amp;_a=(columns:!('Message%20ID',Summary),filters:!(),index:'emp_*',interval:auto,query:(query_string:(analyze_wildcard:!t,query:'%22rtdc.l.rtdc.4032%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186" t="s">
        <v>878</v>
      </c>
      <c r="B204" s="182">
        <v>4031</v>
      </c>
      <c r="C204" s="184" t="s">
        <v>192</v>
      </c>
      <c r="D204" s="184" t="s">
        <v>1045</v>
      </c>
      <c r="E204" s="183">
        <v>43081.891192129631</v>
      </c>
      <c r="F204" s="183">
        <v>43081.904166666667</v>
      </c>
      <c r="G204" s="182">
        <v>56</v>
      </c>
      <c r="H204" s="184" t="s">
        <v>657</v>
      </c>
      <c r="I204" s="183">
        <v>43081.912430555552</v>
      </c>
      <c r="J204" s="182">
        <v>0</v>
      </c>
      <c r="K204" s="190" t="str">
        <f t="shared" si="79"/>
        <v>4031/4032</v>
      </c>
      <c r="L204" s="196" t="str">
        <f>VLOOKUP(A204,'Trips&amp;Operators'!$C$1:$G$99911,5,FALSE)</f>
        <v>STAMBAUGH JAMES</v>
      </c>
      <c r="M204" s="181">
        <f t="shared" si="80"/>
        <v>8.2638888852670789E-3</v>
      </c>
      <c r="N204" s="182">
        <f t="shared" si="100"/>
        <v>11.899999994784594</v>
      </c>
      <c r="O204" s="182"/>
      <c r="P204" s="182"/>
      <c r="Q204" s="185"/>
      <c r="R204" s="197"/>
      <c r="S204" s="241">
        <f t="shared" si="104"/>
        <v>1</v>
      </c>
      <c r="T204" s="220" t="str">
        <f t="shared" si="81"/>
        <v>Southbound</v>
      </c>
      <c r="U204" s="22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1" t="str">
        <f t="shared" si="82"/>
        <v>https://d0f6bd738d7f1b3e5a7ca70fe4ff75f0.us-east-1.aws.found.io/app/kibana#/discover/Steve-Slow-Train-Analysis-(2080s-and-2083s)?_g=(refreshInterval:(display:Off,pause:!f,section:0,value:0),time:(from:'2017-12-12T20:23:19-0700',mode:absolute,to:'2017-12-12T22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4" s="222" t="str">
        <f>IF(AA204&lt;VLOOKUP(AG204,Variables!$AC$3:$AD$8,2,FALSE),"Y","N")</f>
        <v>N</v>
      </c>
      <c r="X204" s="222">
        <f t="shared" si="103"/>
        <v>1</v>
      </c>
      <c r="Y204" s="222">
        <f t="shared" si="101"/>
        <v>5.8615000000000004</v>
      </c>
      <c r="Z204" s="222">
        <f t="shared" si="102"/>
        <v>1.44E-2</v>
      </c>
      <c r="AA204" s="222">
        <f t="shared" si="83"/>
        <v>5.8471000000000002</v>
      </c>
      <c r="AB204" s="231" t="e">
        <f>VLOOKUP(A204,Enforcements!$C$7:$K$9,8,0)</f>
        <v>#N/A</v>
      </c>
      <c r="AC204" s="231" t="e">
        <f>VLOOKUP(A204,Enforcements!$C$7:$E$9,3,0)</f>
        <v>#N/A</v>
      </c>
      <c r="AD204" s="232">
        <f t="shared" si="84"/>
        <v>844</v>
      </c>
      <c r="AE204" s="233" t="str">
        <f t="shared" si="85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204" s="234" t="str">
        <f t="shared" si="86"/>
        <v>"C:\Program Files (x86)\AstroGrep\AstroGrep.exe" /e /r /s /spath="%USERPROFILE%\AppData\Local\Temp\OnboardLogs" /stypes="app*4031*20171213*" /stext=" 04:.+((SYSTEM_STATE.+slice.+state.+changed )|(ment ac)|(multiple cpu faults)|(system.+state.+changed )|(\[timeout)|(PRM\|1\|D)|(kpr)|(kdp)|(train st.+moving)|(\|lc)|(penalty))"</v>
      </c>
      <c r="AG204" s="226" t="str">
        <f t="shared" si="87"/>
        <v>NW</v>
      </c>
      <c r="AH204" s="189" t="str">
        <f t="shared" si="89"/>
        <v>"%USERPROFILE%\Documents\GitHub\eaglep3\Utilities\RefineRTDCRunTimes.py" --tripid 844-12 --locoid 4031 --swversion DE.1.0.9.0 --startMP 300:58615 --initTime 2017-12-12T21:23:19 --startdatetime 2017-12-12T21:42:00 --delay 56 --endMP 204:144 --enddatetime 2017-12-12T21:53:54 --enforcementcount 0 &gt;&gt;%USERPROFILE%\Documents\GitHub\eaglep3-reporting\EC\2017-12-12-refined-times.txt</v>
      </c>
      <c r="AI204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{"issue":{"subject":"","project_id":79,"tracker_id":40,"status_id":1,"priority_id":2,"assigned_to_id":338,"start_date":"2017-12-12","description":"","custom_fields":[{"id":1,"name":"Subdivision","value":"NW"},{"id":4,"name":"Milepost","value":"0.0144"},{"id":17,"name":"Train ID","value":"844-12"},{"id":16,"name":"Locomotive ID","value":"4031"},{"id":130,"name":"Impact","value":""},{"id":150,"name":"Time of Event (Mountain Time)","value":"21:53:54"},{"id":151,"name":"Denver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180"/>
      <c r="AK204" s="188"/>
      <c r="AL204" s="188"/>
      <c r="AM204" s="193" t="str">
        <f t="shared" si="91"/>
        <v>start /low /b %USERPROFILE%\Documents\GitHub\eaglep3\Utilities\DownloadLogsFromS3.py --loco 4031 --day 2017-12-12</v>
      </c>
      <c r="AN204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04:53:54"},{"id":29,"name":"Sharepoint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87" t="str">
        <f t="shared" si="93"/>
        <v>https://d0f6bd738d7f1b3e5a7ca70fe4ff75f0.us-east-1.aws.found.io/app/kibana#/discover/Steve-Slow-Train-Analysis-(2080s-and-2083s)?_g=(refreshInterval:(display:Off,pause:!f,section:0,value:0),time:(from:'2017-12-12T20:23:19-0700',mode:absolute,to:'2017-12-12T22:53:54-0700'))&amp;_a=(columns:!('Message%20ID',Summary),filters:!(),index:'emp_*',interval:auto,query:(query_string:(analyze_wildcard:!t,query:'%22rtdc.l.rtdc.4031%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186" t="s">
        <v>875</v>
      </c>
      <c r="B205" s="182">
        <v>4032</v>
      </c>
      <c r="C205" s="184" t="s">
        <v>192</v>
      </c>
      <c r="D205" s="184" t="s">
        <v>553</v>
      </c>
      <c r="E205" s="183">
        <v>43081.876585648148</v>
      </c>
      <c r="F205" s="183">
        <v>43081.881585648145</v>
      </c>
      <c r="G205" s="182">
        <v>61</v>
      </c>
      <c r="H205" s="184" t="s">
        <v>563</v>
      </c>
      <c r="I205" s="183">
        <v>43081.890462962961</v>
      </c>
      <c r="J205" s="182">
        <v>0</v>
      </c>
      <c r="K205" s="190" t="str">
        <f t="shared" ref="K205:K231" si="105">IF(ISEVEN(B205),(B205-1)&amp;"/"&amp;B205,B205&amp;"/"&amp;(B205+1))</f>
        <v>4031/4032</v>
      </c>
      <c r="L205" s="196" t="str">
        <f>VLOOKUP(A205,'Trips&amp;Operators'!$C$1:$G$99911,5,FALSE)</f>
        <v>STAMBAUGH JAMES</v>
      </c>
      <c r="M205" s="181">
        <f t="shared" ref="M205:M231" si="106">I205-F205</f>
        <v>8.8773148163454607E-3</v>
      </c>
      <c r="N205" s="182">
        <f t="shared" si="100"/>
        <v>12.783333335537463</v>
      </c>
      <c r="O205" s="182"/>
      <c r="P205" s="182"/>
      <c r="Q205" s="185"/>
      <c r="R205" s="197"/>
      <c r="S205" s="241">
        <f t="shared" si="104"/>
        <v>1</v>
      </c>
      <c r="T205" s="220" t="str">
        <f t="shared" ref="T205:T231" si="107">IF(ISEVEN(LEFT(AD205,4)),"Southbound","NorthBound")</f>
        <v>NorthBound</v>
      </c>
      <c r="U205" s="22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1" t="str">
        <f t="shared" ref="V205:V231" si="10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-12T20:02:17-0700',mode:absolute,to:'2017-12-12T22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222" t="str">
        <f>IF(AA205&lt;VLOOKUP(AG205,Variables!$AC$3:$AD$8,2,FALSE),"Y","N")</f>
        <v>N</v>
      </c>
      <c r="X205" s="222">
        <f t="shared" si="103"/>
        <v>1</v>
      </c>
      <c r="Y205" s="222">
        <f t="shared" si="101"/>
        <v>4.5100000000000001E-2</v>
      </c>
      <c r="Z205" s="222">
        <f t="shared" si="102"/>
        <v>5.8939000000000004</v>
      </c>
      <c r="AA205" s="222">
        <f t="shared" ref="AA205:AA268" si="109">ABS(Z205-Y205)</f>
        <v>5.8488000000000007</v>
      </c>
      <c r="AB205" s="231" t="e">
        <f>VLOOKUP(A205,Enforcements!$C$7:$K$9,8,0)</f>
        <v>#N/A</v>
      </c>
      <c r="AC205" s="231" t="e">
        <f>VLOOKUP(A205,Enforcements!$C$7:$E$9,3,0)</f>
        <v>#N/A</v>
      </c>
      <c r="AD205" s="232">
        <f t="shared" ref="AD205:AD231" si="110">VALUE(LEFT(A205,LEN(A205)-3))</f>
        <v>845</v>
      </c>
      <c r="AE205" s="233" t="str">
        <f t="shared" ref="AE205:AE231" si="11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205" s="234" t="str">
        <f t="shared" ref="AF205:AF231" si="11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/stypes="app*4032*20171213*" /stext=" 04:.+((SYSTEM_STATE.+slice.+state.+changed )|(ment ac)|(multiple cpu faults)|(system.+state.+changed )|(\[timeout)|(PRM\|1\|D)|(kpr)|(kdp)|(train st.+moving)|(\|lc)|(penalty))"</v>
      </c>
      <c r="AG205" s="226" t="str">
        <f t="shared" ref="AG205:AG231" si="113">DetSubdiv(A205)</f>
        <v>NW</v>
      </c>
      <c r="AH205" s="189" t="str">
        <f t="shared" si="89"/>
        <v>"%USERPROFILE%\Documents\GitHub\eaglep3\Utilities\RefineRTDCRunTimes.py" --tripid 845-12 --locoid 4032 --swversion DE.1.0.9.0 --startMP 204:451 --initTime 2017-12-12T21:02:17 --startdatetime 2017-12-12T21:09:29 --delay 61 --endMP 300:58939 --enddatetime 2017-12-12T21:22:16 --enforcementcount 0 &gt;&gt;%USERPROFILE%\Documents\GitHub\eaglep3-reporting\EC\2017-12-12-refined-times.txt</v>
      </c>
      <c r="AI205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{"issue":{"subject":"","project_id":79,"tracker_id":40,"status_id":1,"priority_id":2,"assigned_to_id":338,"start_date":"2017-12-12","description":"","custom_fields":[{"id":1,"name":"Subdivision","value":"NW"},{"id":4,"name":"Milepost","value":"5.8939"},{"id":17,"name":"Train ID","value":"845-12"},{"id":16,"name":"Locomotive ID","value":"4032"},{"id":130,"name":"Impact","value":""},{"id":150,"name":"Time of Event (Mountain Time)","value":"21:22:16"},{"id":151,"name":"Denver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180"/>
      <c r="AK205" s="188"/>
      <c r="AL205" s="188"/>
      <c r="AM205" s="193" t="str">
        <f t="shared" si="91"/>
        <v>start /low /b %USERPROFILE%\Documents\GitHub\eaglep3\Utilities\DownloadLogsFromS3.py --loco 4032 --day 2017-12-12</v>
      </c>
      <c r="AN205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04:22:16"},{"id":29,"name":"Sharepoint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87" t="str">
        <f t="shared" si="93"/>
        <v>https://d0f6bd738d7f1b3e5a7ca70fe4ff75f0.us-east-1.aws.found.io/app/kibana#/discover/Steve-Slow-Train-Analysis-(2080s-and-2083s)?_g=(refreshInterval:(display:Off,pause:!f,section:0,value:0),time:(from:'2017-12-12T20:02:17-0700',mode:absolute,to:'2017-12-12T22:22:16-0700'))&amp;_a=(columns:!('Message%20ID',Summary),filters:!(),index:'emp_*',interval:auto,query:(query_string:(analyze_wildcard:!t,query:'%22rtdc.l.rtdc.4032%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180" customFormat="1" x14ac:dyDescent="0.25">
      <c r="A206" s="186" t="s">
        <v>883</v>
      </c>
      <c r="B206" s="182">
        <v>4031</v>
      </c>
      <c r="C206" s="184" t="s">
        <v>192</v>
      </c>
      <c r="D206" s="184" t="s">
        <v>1055</v>
      </c>
      <c r="E206" s="183">
        <v>43081.933229166665</v>
      </c>
      <c r="F206" s="183">
        <v>43081.945833333331</v>
      </c>
      <c r="G206" s="182">
        <v>57</v>
      </c>
      <c r="H206" s="184" t="s">
        <v>657</v>
      </c>
      <c r="I206" s="183">
        <v>43081.954328703701</v>
      </c>
      <c r="J206" s="182">
        <v>0</v>
      </c>
      <c r="K206" s="190" t="str">
        <f t="shared" si="105"/>
        <v>4031/4032</v>
      </c>
      <c r="L206" s="196" t="str">
        <f>VLOOKUP(A206,'Trips&amp;Operators'!$C$1:$G$99911,5,FALSE)</f>
        <v>STAMBAUGH JAMES</v>
      </c>
      <c r="M206" s="181">
        <f t="shared" si="106"/>
        <v>8.4953703699284233E-3</v>
      </c>
      <c r="N206" s="182">
        <f t="shared" si="100"/>
        <v>12.23333333269693</v>
      </c>
      <c r="O206" s="182"/>
      <c r="P206" s="182"/>
      <c r="Q206" s="185"/>
      <c r="R206" s="197"/>
      <c r="S206" s="241">
        <f t="shared" si="104"/>
        <v>1</v>
      </c>
      <c r="T206" s="220" t="str">
        <f t="shared" si="107"/>
        <v>Southbound</v>
      </c>
      <c r="U206" s="22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1" t="str">
        <f t="shared" si="108"/>
        <v>https://d0f6bd738d7f1b3e5a7ca70fe4ff75f0.us-east-1.aws.found.io/app/kibana#/discover/Steve-Slow-Train-Analysis-(2080s-and-2083s)?_g=(refreshInterval:(display:Off,pause:!f,section:0,value:0),time:(from:'2017-12-12T21:23:51-0700',mode:absolute,to:'2017-12-12T23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22" t="str">
        <f>IF(AA206&lt;VLOOKUP(AG206,Variables!$AC$3:$AD$8,2,FALSE),"Y","N")</f>
        <v>N</v>
      </c>
      <c r="X206" s="222">
        <f t="shared" si="103"/>
        <v>1</v>
      </c>
      <c r="Y206" s="222">
        <f t="shared" si="101"/>
        <v>5.8605999999999998</v>
      </c>
      <c r="Z206" s="222">
        <f t="shared" si="102"/>
        <v>1.44E-2</v>
      </c>
      <c r="AA206" s="222">
        <f t="shared" si="109"/>
        <v>5.8461999999999996</v>
      </c>
      <c r="AB206" s="231" t="e">
        <f>VLOOKUP(A206,Enforcements!$C$7:$K$9,8,0)</f>
        <v>#N/A</v>
      </c>
      <c r="AC206" s="231" t="e">
        <f>VLOOKUP(A206,Enforcements!$C$7:$E$9,3,0)</f>
        <v>#N/A</v>
      </c>
      <c r="AD206" s="232">
        <f t="shared" si="110"/>
        <v>846</v>
      </c>
      <c r="AE206" s="233" t="str">
        <f t="shared" si="111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206" s="234" t="str">
        <f t="shared" si="112"/>
        <v>"C:\Program Files (x86)\AstroGrep\AstroGrep.exe" /e /r /s /spath="%USERPROFILE%\AppData\Local\Temp\OnboardLogs" /stypes="app*4031*20171213*" /stext=" 05:.+((SYSTEM_STATE.+slice.+state.+changed )|(ment ac)|(multiple cpu faults)|(system.+state.+changed )|(\[timeout)|(PRM\|1\|D)|(kpr)|(kdp)|(train st.+moving)|(\|lc)|(penalty))"</v>
      </c>
      <c r="AG206" s="226" t="str">
        <f t="shared" si="113"/>
        <v>NW</v>
      </c>
      <c r="AH206" s="189" t="str">
        <f t="shared" si="89"/>
        <v>"%USERPROFILE%\Documents\GitHub\eaglep3\Utilities\RefineRTDCRunTimes.py" --tripid 846-12 --locoid 4031 --swversion DE.1.0.9.0 --startMP 300:58606 --initTime 2017-12-12T22:23:51 --startdatetime 2017-12-12T22:42:00 --delay 57 --endMP 204:144 --enddatetime 2017-12-12T22:54:14 --enforcementcount 0 &gt;&gt;%USERPROFILE%\Documents\GitHub\eaglep3-reporting\EC\2017-12-12-refined-times.txt</v>
      </c>
      <c r="AI206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{"issue":{"subject":"","project_id":79,"tracker_id":40,"status_id":1,"priority_id":2,"assigned_to_id":338,"start_date":"2017-12-12","description":"","custom_fields":[{"id":1,"name":"Subdivision","value":"NW"},{"id":4,"name":"Milepost","value":"0.0144"},{"id":17,"name":"Train ID","value":"846-12"},{"id":16,"name":"Locomotive ID","value":"4031"},{"id":130,"name":"Impact","value":""},{"id":150,"name":"Time of Event (Mountain Time)","value":"22:54:14"},{"id":151,"name":"Denver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188"/>
      <c r="AL206" s="188"/>
      <c r="AM206" s="193" t="str">
        <f t="shared" si="91"/>
        <v>start /low /b %USERPROFILE%\Documents\GitHub\eaglep3\Utilities\DownloadLogsFromS3.py --loco 4031 --day 2017-12-12</v>
      </c>
      <c r="AN206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05:54:14"},{"id":29,"name":"Sharepoint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87" t="str">
        <f t="shared" si="93"/>
        <v>https://d0f6bd738d7f1b3e5a7ca70fe4ff75f0.us-east-1.aws.found.io/app/kibana#/discover/Steve-Slow-Train-Analysis-(2080s-and-2083s)?_g=(refreshInterval:(display:Off,pause:!f,section:0,value:0),time:(from:'2017-12-12T21:23:51-0700',mode:absolute,to:'2017-12-12T23:54:14-0700'))&amp;_a=(columns:!('Message%20ID',Summary),filters:!(),index:'emp_*',interval:auto,query:(query_string:(analyze_wildcard:!t,query:'%22rtdc.l.rtdc.4031%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186" t="s">
        <v>881</v>
      </c>
      <c r="B207" s="182">
        <v>4032</v>
      </c>
      <c r="C207" s="184" t="s">
        <v>192</v>
      </c>
      <c r="D207" s="184" t="s">
        <v>553</v>
      </c>
      <c r="E207" s="183">
        <v>43081.921087962961</v>
      </c>
      <c r="F207" s="183">
        <v>43081.923125000001</v>
      </c>
      <c r="G207" s="182">
        <v>87</v>
      </c>
      <c r="H207" s="184" t="s">
        <v>1056</v>
      </c>
      <c r="I207" s="183">
        <v>43081.93246527778</v>
      </c>
      <c r="J207" s="182">
        <v>0</v>
      </c>
      <c r="K207" s="190" t="str">
        <f t="shared" si="105"/>
        <v>4031/4032</v>
      </c>
      <c r="L207" s="196" t="str">
        <f>VLOOKUP(A207,'Trips&amp;Operators'!$C$1:$G$99911,5,FALSE)</f>
        <v>STAMBAUGH JAMES</v>
      </c>
      <c r="M207" s="181">
        <f t="shared" si="106"/>
        <v>9.340277778392192E-3</v>
      </c>
      <c r="N207" s="182">
        <f t="shared" ref="N207:N231" si="114">24*60*SUM($M207:$M207)</f>
        <v>13.450000000884756</v>
      </c>
      <c r="O207" s="182"/>
      <c r="P207" s="182"/>
      <c r="Q207" s="185"/>
      <c r="R207" s="197"/>
      <c r="S207" s="241">
        <f t="shared" si="104"/>
        <v>1</v>
      </c>
      <c r="T207" s="220" t="str">
        <f t="shared" si="107"/>
        <v>NorthBound</v>
      </c>
      <c r="U207" s="22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1" t="str">
        <f t="shared" si="108"/>
        <v>https://d0f6bd738d7f1b3e5a7ca70fe4ff75f0.us-east-1.aws.found.io/app/kibana#/discover/Steve-Slow-Train-Analysis-(2080s-and-2083s)?_g=(refreshInterval:(display:Off,pause:!f,section:0,value:0),time:(from:'2017-12-12T21:06:22-0700',mode:absolute,to:'2017-12-12T23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22" t="str">
        <f>IF(AA207&lt;VLOOKUP(AG207,Variables!$AC$3:$AD$8,2,FALSE),"Y","N")</f>
        <v>N</v>
      </c>
      <c r="X207" s="222">
        <f t="shared" si="103"/>
        <v>1</v>
      </c>
      <c r="Y207" s="222">
        <f t="shared" si="101"/>
        <v>4.5100000000000001E-2</v>
      </c>
      <c r="Z207" s="222">
        <f t="shared" si="102"/>
        <v>5.8933</v>
      </c>
      <c r="AA207" s="222">
        <f t="shared" si="109"/>
        <v>5.8482000000000003</v>
      </c>
      <c r="AB207" s="231" t="e">
        <f>VLOOKUP(A207,Enforcements!$C$7:$K$9,8,0)</f>
        <v>#N/A</v>
      </c>
      <c r="AC207" s="231" t="e">
        <f>VLOOKUP(A207,Enforcements!$C$7:$E$9,3,0)</f>
        <v>#N/A</v>
      </c>
      <c r="AD207" s="232">
        <f t="shared" si="110"/>
        <v>847</v>
      </c>
      <c r="AE207" s="233" t="str">
        <f t="shared" si="111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207" s="234" t="str">
        <f t="shared" si="112"/>
        <v>"C:\Program Files (x86)\AstroGrep\AstroGrep.exe" /e /r /s /spath="%USERPROFILE%\AppData\Local\Temp\OnboardLogs" /stypes="app*4032*20171213*" /stext=" 05:.+((SYSTEM_STATE.+slice.+state.+changed )|(ment ac)|(multiple cpu faults)|(system.+state.+changed )|(\[timeout)|(PRM\|1\|D)|(kpr)|(kdp)|(train st.+moving)|(\|lc)|(penalty))"</v>
      </c>
      <c r="AG207" s="226" t="str">
        <f t="shared" si="113"/>
        <v>NW</v>
      </c>
      <c r="AH207" s="189" t="str">
        <f t="shared" si="89"/>
        <v>"%USERPROFILE%\Documents\GitHub\eaglep3\Utilities\RefineRTDCRunTimes.py" --tripid 847-12 --locoid 4032 --swversion DE.1.0.9.0 --startMP 204:451 --initTime 2017-12-12T22:06:22 --startdatetime 2017-12-12T22:09:18 --delay 87 --endMP 300:58933 --enddatetime 2017-12-12T22:22:45 --enforcementcount 0 &gt;&gt;%USERPROFILE%\Documents\GitHub\eaglep3-reporting\EC\2017-12-12-refined-times.txt</v>
      </c>
      <c r="AI207" s="191" t="str">
        <f t="shared" si="90"/>
        <v>echo {"issue":{"subject":"","project_id":79,"tracker_id":40,"status_id":1,"priority_id":2,"assigned_to_id":338,"start_date":"2017-12-12","description":"","custom_fields":[{"id":1,"name":"Subdivision","value":"NW"},{"id":4,"name":"Milepost","value":"5.8933"},{"id":17,"name":"Train ID","value":"847-12"},{"id":16,"name":"Locomotive ID","value":"4032"},{"id":130,"name":"Impact","value":""},{"id":150,"name":"Time of Event (Mountain Time)","value":"22:22:45"},{"id":151,"name":"Denver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180"/>
      <c r="AK207" s="188"/>
      <c r="AL207" s="188"/>
      <c r="AM207" s="193" t="str">
        <f t="shared" si="91"/>
        <v>start /low /b %USERPROFILE%\Documents\GitHub\eaglep3\Utilities\DownloadLogsFromS3.py --loco 4032 --day 2017-12-12</v>
      </c>
      <c r="AN207" s="194" t="str">
        <f t="shared" si="92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05:22:45"},{"id":29,"name":"Sharepoint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87" t="str">
        <f t="shared" si="93"/>
        <v>https://d0f6bd738d7f1b3e5a7ca70fe4ff75f0.us-east-1.aws.found.io/app/kibana#/discover/Steve-Slow-Train-Analysis-(2080s-and-2083s)?_g=(refreshInterval:(display:Off,pause:!f,section:0,value:0),time:(from:'2017-12-12T21:06:22-0700',mode:absolute,to:'2017-12-12T23:22:45-0700'))&amp;_a=(columns:!('Message%20ID',Summary),filters:!(),index:'emp_*',interval:auto,query:(query_string:(analyze_wildcard:!t,query:'%22rtdc.l.rtdc.4032%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186" t="s">
        <v>887</v>
      </c>
      <c r="B208" s="182">
        <v>4032</v>
      </c>
      <c r="C208" s="184" t="s">
        <v>192</v>
      </c>
      <c r="D208" s="184" t="s">
        <v>442</v>
      </c>
      <c r="E208" s="183">
        <v>43081.961701388886</v>
      </c>
      <c r="F208" s="183">
        <v>43081.964814814812</v>
      </c>
      <c r="G208" s="182">
        <v>62</v>
      </c>
      <c r="H208" s="184" t="s">
        <v>562</v>
      </c>
      <c r="I208" s="183">
        <v>43081.973668981482</v>
      </c>
      <c r="J208" s="182">
        <v>0</v>
      </c>
      <c r="K208" s="190" t="str">
        <f t="shared" si="105"/>
        <v>4031/4032</v>
      </c>
      <c r="L208" s="196" t="str">
        <f>VLOOKUP(A208,'Trips&amp;Operators'!$C$1:$G$99911,5,FALSE)</f>
        <v>STAMBAUGH JAMES</v>
      </c>
      <c r="M208" s="181">
        <f t="shared" si="106"/>
        <v>8.8541666700621136E-3</v>
      </c>
      <c r="N208" s="182">
        <f t="shared" si="114"/>
        <v>12.750000004889444</v>
      </c>
      <c r="O208" s="182"/>
      <c r="P208" s="182"/>
      <c r="Q208" s="185"/>
      <c r="R208" s="197"/>
      <c r="S208" s="241">
        <f t="shared" si="104"/>
        <v>1</v>
      </c>
      <c r="T208" s="220" t="str">
        <f t="shared" si="107"/>
        <v>NorthBound</v>
      </c>
      <c r="U208" s="22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1" t="str">
        <f t="shared" si="108"/>
        <v>https://d0f6bd738d7f1b3e5a7ca70fe4ff75f0.us-east-1.aws.found.io/app/kibana#/discover/Steve-Slow-Train-Analysis-(2080s-and-2083s)?_g=(refreshInterval:(display:Off,pause:!f,section:0,value:0),time:(from:'2017-12-12T22:04:51-0700',mode:absolute,to:'2017-12-13T00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222" t="str">
        <f>IF(AA208&lt;VLOOKUP(AG208,Variables!$AC$3:$AD$8,2,FALSE),"Y","N")</f>
        <v>N</v>
      </c>
      <c r="X208" s="222">
        <f t="shared" si="103"/>
        <v>2</v>
      </c>
      <c r="Y208" s="222">
        <f t="shared" si="101"/>
        <v>4.4600000000000001E-2</v>
      </c>
      <c r="Z208" s="222">
        <f t="shared" si="102"/>
        <v>5.8935000000000004</v>
      </c>
      <c r="AA208" s="222">
        <f t="shared" si="109"/>
        <v>5.8489000000000004</v>
      </c>
      <c r="AB208" s="231" t="e">
        <f>VLOOKUP(A208,Enforcements!$C$7:$K$9,8,0)</f>
        <v>#N/A</v>
      </c>
      <c r="AC208" s="231" t="e">
        <f>VLOOKUP(A208,Enforcements!$C$7:$E$9,3,0)</f>
        <v>#N/A</v>
      </c>
      <c r="AD208" s="232">
        <f t="shared" si="110"/>
        <v>849</v>
      </c>
      <c r="AE208" s="233" t="str">
        <f t="shared" si="111"/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AF208" s="234" t="str">
        <f t="shared" si="112"/>
        <v>"C:\Program Files (x86)\AstroGrep\AstroGrep.exe" /e /r /s /spath="%USERPROFILE%\AppData\Local\Temp\OnboardLogs" /stypes="app*4032*20171213*" /stext=" 06:.+((SYSTEM_STATE.+slice.+state.+changed )|(ment ac)|(multiple cpu faults)|(system.+state.+changed )|(\[timeout)|(PRM\|1\|D)|(kpr)|(kdp)|(train st.+moving)|(\|lc)|(penalty))"</v>
      </c>
      <c r="AG208" s="226" t="str">
        <f t="shared" si="113"/>
        <v>NW</v>
      </c>
      <c r="AH208" s="189" t="str">
        <f t="shared" ref="AH208:AH231" si="115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849-12 --locoid 4032 --swversion DE.1.0.9.0 --startMP 204:446 --initTime 2017-12-12T23:04:51 --startdatetime 2017-12-12T23:09:20 --delay 62 --endMP 300:58935 --enddatetime 2017-12-12T23:22:05 --enforcementcount 0 &gt;&gt;%USERPROFILE%\Documents\GitHub\eaglep3-reporting\EC\2017-12-12-refined-times.txt</v>
      </c>
      <c r="AI208" s="191" t="str">
        <f t="shared" ref="AI208:AI231" si="116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{"issue":{"subject":"","project_id":79,"tracker_id":40,"status_id":1,"priority_id":2,"assigned_to_id":338,"start_date":"2017-12-12","description":"","custom_fields":[{"id":1,"name":"Subdivision","value":"NW"},{"id":4,"name":"Milepost","value":"5.8935"},{"id":17,"name":"Train ID","value":"849-12"},{"id":16,"name":"Locomotive ID","value":"4032"},{"id":130,"name":"Impact","value":""},{"id":150,"name":"Time of Event (Mountain Time)","value":"23:22:05"},{"id":151,"name":"Denver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180"/>
      <c r="AK208" s="188"/>
      <c r="AL208" s="188"/>
      <c r="AM208" s="193" t="str">
        <f t="shared" ref="AM208:AM231" si="117">"start /low /b "&amp;dls3logs&amp;" --loco "&amp;B208&amp;" --day "&amp;TEXT(F208,"YYYY-MM-DD")</f>
        <v>start /low /b %USERPROFILE%\Documents\GitHub\eaglep3\Utilities\DownloadLogsFromS3.py --loco 4032 --day 2017-12-12</v>
      </c>
      <c r="AN208" s="194" t="str">
        <f t="shared" ref="AN208:AN231" si="118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06:22:05"},{"id":29,"name":"Sharepoint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87" t="str">
        <f t="shared" ref="AO208:AO231" si="119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-12T22:04:51-0700',mode:absolute,to:'2017-12-13T00:22:05-0700'))&amp;_a=(columns:!('Message%20ID',Summary),filters:!(),index:'emp_*',interval:auto,query:(query_string:(analyze_wildcard:!t,query:'%22rtdc.l.rtdc.4032%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186" t="s">
        <v>691</v>
      </c>
      <c r="B209" s="182">
        <v>4027</v>
      </c>
      <c r="C209" s="184" t="s">
        <v>192</v>
      </c>
      <c r="D209" s="184" t="s">
        <v>1004</v>
      </c>
      <c r="E209" s="183">
        <v>43081.115023148152</v>
      </c>
      <c r="F209" s="183">
        <v>43081.117847222224</v>
      </c>
      <c r="G209" s="182">
        <v>61</v>
      </c>
      <c r="H209" s="184" t="s">
        <v>467</v>
      </c>
      <c r="I209" s="183">
        <v>43081.121874999997</v>
      </c>
      <c r="J209" s="182">
        <v>0</v>
      </c>
      <c r="K209" s="190" t="str">
        <f t="shared" si="105"/>
        <v>4027/4028</v>
      </c>
      <c r="L209" s="196" t="str">
        <f>VLOOKUP(A209,'Trips&amp;Operators'!$C$1:$G$99911,5,FALSE)</f>
        <v>YORK EDGAR</v>
      </c>
      <c r="M209" s="181">
        <f t="shared" si="106"/>
        <v>4.0277777734445408E-3</v>
      </c>
      <c r="N209" s="182">
        <f t="shared" si="114"/>
        <v>5.7999999937601388</v>
      </c>
      <c r="O209" s="182"/>
      <c r="P209" s="182"/>
      <c r="Q209" s="185"/>
      <c r="R209" s="197"/>
      <c r="S209" s="241">
        <f t="shared" si="104"/>
        <v>1</v>
      </c>
      <c r="T209" s="220" t="str">
        <f t="shared" si="107"/>
        <v>Southbound</v>
      </c>
      <c r="U209" s="22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1" t="str">
        <f t="shared" si="108"/>
        <v>https://d0f6bd738d7f1b3e5a7ca70fe4ff75f0.us-east-1.aws.found.io/app/kibana#/discover/Steve-Slow-Train-Analysis-(2080s-and-2083s)?_g=(refreshInterval:(display:Off,pause:!f,section:0,value:0),time:(from:'2017-12-12T01:45:38-0700',mode:absolute,to:'2017-12-12T03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9" s="222" t="str">
        <f>IF(AA209&lt;VLOOKUP(AG209,Variables!$AC$3:$AD$8,2,FALSE),"Y","N")</f>
        <v>Y</v>
      </c>
      <c r="X209" s="222">
        <f t="shared" si="103"/>
        <v>-549</v>
      </c>
      <c r="Y209" s="222">
        <f t="shared" si="101"/>
        <v>1.9864999999999999</v>
      </c>
      <c r="Z209" s="222">
        <f t="shared" si="102"/>
        <v>1.4999999999999999E-2</v>
      </c>
      <c r="AA209" s="222">
        <f t="shared" si="109"/>
        <v>1.9715</v>
      </c>
      <c r="AB209" s="231" t="e">
        <f>VLOOKUP(A209,Enforcements!$C$7:$K$9,8,0)</f>
        <v>#N/A</v>
      </c>
      <c r="AC209" s="231" t="e">
        <f>VLOOKUP(A209,Enforcements!$C$7:$E$9,3,0)</f>
        <v>#N/A</v>
      </c>
      <c r="AD209" s="232">
        <f t="shared" si="110"/>
        <v>300</v>
      </c>
      <c r="AE209" s="233" t="str">
        <f t="shared" si="111"/>
        <v>aws s3 cp s3://rtdc.mdm.uploadarchive.raw/RTDC4027/ "%USERPROFILE%\AppData\Local\Temp\OnboardLogs"\RTDC4027\2017-12-12 --exclude "*" --recursive --include "*20171212*" &amp; "%USERPROFILE%\Documents\GitHub\mrs-test-scripts\Headless Mode &amp; Sideloading\WalkAndUnGZ.bat" "%USERPROFILE%\AppData\Local\Temp\OnboardLogs"\RTDC4027\2017-12-12 &amp; aws s3 cp s3://rtdc.mdm.uploadarchive.raw/RTDC4027/ "%USERPROFILE%\AppData\Local\Temp\OnboardLogs"\RTDC4027\2017-12-13 --exclude "*" --recursive --include "*20171213*" &amp; "%USERPROFILE%\Documents\GitHub\mrs-test-scripts\Headless Mode &amp; Sideloading\WalkAndUnGZ.bat" "%USERPROFILE%\AppData\Local\Temp\OnboardLogs"\RTDC4027\2017-12-13</v>
      </c>
      <c r="AF209" s="234" t="str">
        <f t="shared" si="112"/>
        <v>"C:\Program Files (x86)\AstroGrep\AstroGrep.exe" /e /r /s /spath="%USERPROFILE%\AppData\Local\Temp\OnboardLogs" /stypes="app*4027*20171212*" /stext=" 09:.+((SYSTEM_STATE.+slice.+state.+changed )|(ment ac)|(multiple cpu faults)|(system.+state.+changed )|(\[timeout)|(PRM\|1\|D)|(kpr)|(kdp)|(train st.+moving)|(\|lc)|(penalty))"</v>
      </c>
      <c r="AG209" s="226" t="str">
        <f t="shared" si="113"/>
        <v>Other</v>
      </c>
      <c r="AH209" s="189" t="str">
        <f t="shared" si="115"/>
        <v>"%USERPROFILE%\Documents\GitHub\eaglep3\Utilities\RefineRTDCRunTimes.py" --tripid 300-12 --locoid 4027 --swversion DE.1.0.9.0 --startMP 300:19865 --initTime 2017-12-12T02:45:38 --startdatetime 2017-12-12T02:49:42 --delay 61 --endMP 204:150 --enddatetime 2017-12-12T02:55:30 --enforcementcount 0 &gt;&gt;%USERPROFILE%\Documents\GitHub\eaglep3-reporting\EC\2017-12-12-refined-times.txt</v>
      </c>
      <c r="AI209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{"issue":{"subject":"","project_id":79,"tracker_id":40,"status_id":1,"priority_id":2,"assigned_to_id":338,"start_date":"2017-12-12","description":"","custom_fields":[{"id":1,"name":"Subdivision","value":"Other"},{"id":4,"name":"Milepost","value":"0.015"},{"id":17,"name":"Train ID","value":"300-12"},{"id":16,"name":"Locomotive ID","value":"4027"},{"id":130,"name":"Impact","value":""},{"id":150,"name":"Time of Event (Mountain Time)","value":"02:55:30"},{"id":151,"name":"Denver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180"/>
      <c r="AK209" s="188"/>
      <c r="AL209" s="188"/>
      <c r="AM209" s="193" t="str">
        <f t="shared" si="117"/>
        <v>start /low /b %USERPROFILE%\Documents\GitHub\eaglep3\Utilities\DownloadLogsFromS3.py --loco 4027 --day 2017-12-12</v>
      </c>
      <c r="AN209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09:55:30"},{"id":29,"name":"Sharepoint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87" t="str">
        <f t="shared" si="119"/>
        <v>https://d0f6bd738d7f1b3e5a7ca70fe4ff75f0.us-east-1.aws.found.io/app/kibana#/discover/Steve-Slow-Train-Analysis-(2080s-and-2083s)?_g=(refreshInterval:(display:Off,pause:!f,section:0,value:0),time:(from:'2017-12-12T01:45:38-0700',mode:absolute,to:'2017-12-12T03:55:30-0700'))&amp;_a=(columns:!('Message%20ID',Summary),filters:!(),index:'emp_*',interval:auto,query:(query_string:(analyze_wildcard:!t,query:'%22rtdc.l.rtdc.4027%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180" customFormat="1" x14ac:dyDescent="0.25">
      <c r="A210" s="186" t="s">
        <v>695</v>
      </c>
      <c r="B210" s="182">
        <v>4011</v>
      </c>
      <c r="C210" s="184" t="s">
        <v>192</v>
      </c>
      <c r="D210" s="184" t="s">
        <v>1005</v>
      </c>
      <c r="E210" s="183">
        <v>43081.140115740738</v>
      </c>
      <c r="F210" s="183">
        <v>43081.145173611112</v>
      </c>
      <c r="G210" s="182">
        <v>71</v>
      </c>
      <c r="H210" s="184" t="s">
        <v>1006</v>
      </c>
      <c r="I210" s="183">
        <v>43081.150439814817</v>
      </c>
      <c r="J210" s="182">
        <v>0</v>
      </c>
      <c r="K210" s="190" t="str">
        <f t="shared" si="105"/>
        <v>4011/4012</v>
      </c>
      <c r="L210" s="196" t="str">
        <f>VLOOKUP(A210,'Trips&amp;Operators'!$C$1:$G$99911,5,FALSE)</f>
        <v>STARKS ANGELINA</v>
      </c>
      <c r="M210" s="181">
        <f t="shared" si="106"/>
        <v>5.2662037051049992E-3</v>
      </c>
      <c r="N210" s="182">
        <f t="shared" si="114"/>
        <v>7.5833333353511989</v>
      </c>
      <c r="O210" s="182"/>
      <c r="P210" s="182"/>
      <c r="Q210" s="185"/>
      <c r="R210" s="197"/>
      <c r="S210" s="241">
        <f t="shared" si="104"/>
        <v>1</v>
      </c>
      <c r="T210" s="220" t="str">
        <f t="shared" si="107"/>
        <v>Southbound</v>
      </c>
      <c r="U210" s="22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1" t="str">
        <f t="shared" si="108"/>
        <v>https://d0f6bd738d7f1b3e5a7ca70fe4ff75f0.us-east-1.aws.found.io/app/kibana#/discover/Steve-Slow-Train-Analysis-(2080s-and-2083s)?_g=(refreshInterval:(display:Off,pause:!f,section:0,value:0),time:(from:'2017-12-12T02:21:46-0700',mode:absolute,to:'2017-12-12T04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222" t="str">
        <f>IF(AA210&lt;VLOOKUP(AG210,Variables!$AC$3:$AD$8,2,FALSE),"Y","N")</f>
        <v>Y</v>
      </c>
      <c r="X210" s="222">
        <f t="shared" si="103"/>
        <v>2</v>
      </c>
      <c r="Y210" s="222">
        <f t="shared" si="101"/>
        <v>2.1791</v>
      </c>
      <c r="Z210" s="222">
        <f t="shared" si="102"/>
        <v>1.52E-2</v>
      </c>
      <c r="AA210" s="222">
        <f t="shared" si="109"/>
        <v>2.1638999999999999</v>
      </c>
      <c r="AB210" s="231" t="e">
        <f>VLOOKUP(A210,Enforcements!$C$7:$K$9,8,0)</f>
        <v>#N/A</v>
      </c>
      <c r="AC210" s="231" t="e">
        <f>VLOOKUP(A210,Enforcements!$C$7:$E$9,3,0)</f>
        <v>#N/A</v>
      </c>
      <c r="AD210" s="232">
        <f t="shared" si="110"/>
        <v>302</v>
      </c>
      <c r="AE210" s="233" t="str">
        <f t="shared" si="111"/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AF210" s="234" t="str">
        <f t="shared" si="112"/>
        <v>"C:\Program Files (x86)\AstroGrep\AstroGrep.exe" /e /r /s /spath="%USERPROFILE%\AppData\Local\Temp\OnboardLogs" /stypes="app*4011*20171212*" /stext=" 10:.+((SYSTEM_STATE.+slice.+state.+changed )|(ment ac)|(multiple cpu faults)|(system.+state.+changed )|(\[timeout)|(PRM\|1\|D)|(kpr)|(kdp)|(train st.+moving)|(\|lc)|(penalty))"</v>
      </c>
      <c r="AG210" s="226" t="str">
        <f t="shared" si="113"/>
        <v>Other</v>
      </c>
      <c r="AH210" s="189" t="str">
        <f t="shared" si="115"/>
        <v>"%USERPROFILE%\Documents\GitHub\eaglep3\Utilities\RefineRTDCRunTimes.py" --tripid 302-12 --locoid 4011 --swversion DE.1.0.9.0 --startMP 300:21791 --initTime 2017-12-12T03:21:46 --startdatetime 2017-12-12T03:29:03 --delay 71 --endMP 204:152 --enddatetime 2017-12-12T03:36:38 --enforcementcount 0 &gt;&gt;%USERPROFILE%\Documents\GitHub\eaglep3-reporting\EC\2017-12-12-refined-times.txt</v>
      </c>
      <c r="AI210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{"issue":{"subject":"","project_id":79,"tracker_id":40,"status_id":1,"priority_id":2,"assigned_to_id":338,"start_date":"2017-12-12","description":"","custom_fields":[{"id":1,"name":"Subdivision","value":"Other"},{"id":4,"name":"Milepost","value":"0.0152"},{"id":17,"name":"Train ID","value":"302-12"},{"id":16,"name":"Locomotive ID","value":"4011"},{"id":130,"name":"Impact","value":""},{"id":150,"name":"Time of Event (Mountain Time)","value":"03:36:38"},{"id":151,"name":"Denver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188"/>
      <c r="AL210" s="188"/>
      <c r="AM210" s="193" t="str">
        <f t="shared" si="117"/>
        <v>start /low /b %USERPROFILE%\Documents\GitHub\eaglep3\Utilities\DownloadLogsFromS3.py --loco 4011 --day 2017-12-12</v>
      </c>
      <c r="AN210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87" t="str">
        <f t="shared" si="119"/>
        <v>https://d0f6bd738d7f1b3e5a7ca70fe4ff75f0.us-east-1.aws.found.io/app/kibana#/discover/Steve-Slow-Train-Analysis-(2080s-and-2083s)?_g=(refreshInterval:(display:Off,pause:!f,section:0,value:0),time:(from:'2017-12-12T02:21:46-0700',mode:absolute,to:'2017-12-12T04:36:38-0700'))&amp;_a=(columns:!('Message%20ID',Summary),filters:!(),index:'emp_*',interval:auto,query:(query_string:(analyze_wildcard:!t,query:'%22rtdc.l.rtdc.4011%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180" customFormat="1" x14ac:dyDescent="0.25">
      <c r="A211" s="186" t="s">
        <v>861</v>
      </c>
      <c r="B211" s="182">
        <v>4022</v>
      </c>
      <c r="C211" s="184" t="s">
        <v>192</v>
      </c>
      <c r="D211" s="184" t="s">
        <v>961</v>
      </c>
      <c r="E211" s="183">
        <v>43081.796689814815</v>
      </c>
      <c r="F211" s="183">
        <v>43081.801874999997</v>
      </c>
      <c r="G211" s="182">
        <v>298</v>
      </c>
      <c r="H211" s="184" t="s">
        <v>1007</v>
      </c>
      <c r="I211" s="183">
        <v>43081.808252314811</v>
      </c>
      <c r="J211" s="182">
        <v>0</v>
      </c>
      <c r="K211" s="190" t="str">
        <f t="shared" si="105"/>
        <v>4021/4022</v>
      </c>
      <c r="L211" s="196" t="str">
        <f>VLOOKUP(A211,'Trips&amp;Operators'!$C$1:$G$99911,5,FALSE)</f>
        <v>SAFIEF AEIMEN</v>
      </c>
      <c r="M211" s="181">
        <f t="shared" si="106"/>
        <v>6.3773148140171543E-3</v>
      </c>
      <c r="N211" s="182">
        <f t="shared" si="114"/>
        <v>9.1833333321847022</v>
      </c>
      <c r="O211" s="182"/>
      <c r="P211" s="182"/>
      <c r="Q211" s="185"/>
      <c r="R211" s="197"/>
      <c r="S211" s="241">
        <f t="shared" si="104"/>
        <v>1</v>
      </c>
      <c r="T211" s="220" t="str">
        <f t="shared" si="107"/>
        <v>NorthBound</v>
      </c>
      <c r="U211" s="22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1" t="str">
        <f t="shared" si="108"/>
        <v>https://d0f6bd738d7f1b3e5a7ca70fe4ff75f0.us-east-1.aws.found.io/app/kibana#/discover/Steve-Slow-Train-Analysis-(2080s-and-2083s)?_g=(refreshInterval:(display:Off,pause:!f,section:0,value:0),time:(from:'2017-12-12T18:07:14-0700',mode:absolute,to:'2017-12-12T20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1" s="222" t="str">
        <f>IF(AA211&lt;VLOOKUP(AG211,Variables!$AC$3:$AD$8,2,FALSE),"Y","N")</f>
        <v>Y</v>
      </c>
      <c r="X211" s="222">
        <f t="shared" si="103"/>
        <v>1</v>
      </c>
      <c r="Y211" s="222">
        <f t="shared" si="101"/>
        <v>4.9299999999999997E-2</v>
      </c>
      <c r="Z211" s="222">
        <f t="shared" si="102"/>
        <v>2.3294999999999999</v>
      </c>
      <c r="AA211" s="222">
        <f t="shared" si="109"/>
        <v>2.2801999999999998</v>
      </c>
      <c r="AB211" s="231" t="e">
        <f>VLOOKUP(A211,Enforcements!$C$7:$K$9,8,0)</f>
        <v>#N/A</v>
      </c>
      <c r="AC211" s="231" t="e">
        <f>VLOOKUP(A211,Enforcements!$C$7:$E$9,3,0)</f>
        <v>#N/A</v>
      </c>
      <c r="AD211" s="232">
        <f t="shared" si="110"/>
        <v>303</v>
      </c>
      <c r="AE211" s="233" t="str">
        <f t="shared" si="111"/>
        <v>aws s3 cp s3://rtdc.mdm.uploadarchive.raw/RTDC4022/ "%USERPROFILE%\AppData\Local\Temp\OnboardLogs"\RTDC4022\2017-12-12 --exclude "*" --recursive --include "*20171212*" &amp; "%USERPROFILE%\Documents\GitHub\mrs-test-scripts\Headless Mode &amp; Sideloading\WalkAndUnGZ.bat" "%USERPROFILE%\AppData\Local\Temp\OnboardLogs"\RTDC4022\2017-12-12 &amp; aws s3 cp s3://rtdc.mdm.uploadarchive.raw/RTDC4022/ "%USERPROFILE%\AppData\Local\Temp\OnboardLogs"\RTDC4022\2017-12-13 --exclude "*" --recursive --include "*20171213*" &amp; "%USERPROFILE%\Documents\GitHub\mrs-test-scripts\Headless Mode &amp; Sideloading\WalkAndUnGZ.bat" "%USERPROFILE%\AppData\Local\Temp\OnboardLogs"\RTDC4022\2017-12-13</v>
      </c>
      <c r="AF211" s="234" t="str">
        <f t="shared" si="112"/>
        <v>"C:\Program Files (x86)\AstroGrep\AstroGrep.exe" /e /r /s /spath="%USERPROFILE%\AppData\Local\Temp\OnboardLogs" /stypes="app*4022*20171213*" /stext=" 02:.+((SYSTEM_STATE.+slice.+state.+changed )|(ment ac)|(multiple cpu faults)|(system.+state.+changed )|(\[timeout)|(PRM\|1\|D)|(kpr)|(kdp)|(train st.+moving)|(\|lc)|(penalty))"</v>
      </c>
      <c r="AG211" s="226" t="str">
        <f t="shared" si="113"/>
        <v>Other</v>
      </c>
      <c r="AH211" s="189" t="str">
        <f t="shared" si="115"/>
        <v>"%USERPROFILE%\Documents\GitHub\eaglep3\Utilities\RefineRTDCRunTimes.py" --tripid 303-12 --locoid 4022 --swversion DE.1.0.9.0 --startMP 204:493 --initTime 2017-12-12T19:07:14 --startdatetime 2017-12-12T19:14:42 --delay 298 --endMP 300:23295 --enddatetime 2017-12-12T19:23:53 --enforcementcount 0 &gt;&gt;%USERPROFILE%\Documents\GitHub\eaglep3-reporting\EC\2017-12-12-refined-times.txt</v>
      </c>
      <c r="AI211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{"issue":{"subject":"","project_id":79,"tracker_id":40,"status_id":1,"priority_id":2,"assigned_to_id":338,"start_date":"2017-12-12","description":"","custom_fields":[{"id":1,"name":"Subdivision","value":"Other"},{"id":4,"name":"Milepost","value":"2.3295"},{"id":17,"name":"Train ID","value":"303-12"},{"id":16,"name":"Locomotive ID","value":"4022"},{"id":130,"name":"Impact","value":""},{"id":150,"name":"Time of Event (Mountain Time)","value":"19:23:53"},{"id":151,"name":"Denver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188"/>
      <c r="AL211" s="188"/>
      <c r="AM211" s="193" t="str">
        <f t="shared" si="117"/>
        <v>start /low /b %USERPROFILE%\Documents\GitHub\eaglep3\Utilities\DownloadLogsFromS3.py --loco 4022 --day 2017-12-12</v>
      </c>
      <c r="AN211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87" t="str">
        <f t="shared" si="119"/>
        <v>https://d0f6bd738d7f1b3e5a7ca70fe4ff75f0.us-east-1.aws.found.io/app/kibana#/discover/Steve-Slow-Train-Analysis-(2080s-and-2083s)?_g=(refreshInterval:(display:Off,pause:!f,section:0,value:0),time:(from:'2017-12-12T18:07:14-0700',mode:absolute,to:'2017-12-12T20:23:53-0700'))&amp;_a=(columns:!('Message%20ID',Summary),filters:!(),index:'emp_*',interval:auto,query:(query_string:(analyze_wildcard:!t,query:'%22rtdc.l.rtdc.4022%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180" customFormat="1" x14ac:dyDescent="0.25">
      <c r="A212" s="186" t="s">
        <v>697</v>
      </c>
      <c r="B212" s="182">
        <v>4029</v>
      </c>
      <c r="C212" s="184" t="s">
        <v>192</v>
      </c>
      <c r="D212" s="184" t="s">
        <v>1008</v>
      </c>
      <c r="E212" s="183">
        <v>43081.160358796296</v>
      </c>
      <c r="F212" s="183">
        <v>43081.165543981479</v>
      </c>
      <c r="G212" s="182">
        <v>64</v>
      </c>
      <c r="H212" s="184" t="s">
        <v>552</v>
      </c>
      <c r="I212" s="183">
        <v>43081.171388888892</v>
      </c>
      <c r="J212" s="182">
        <v>0</v>
      </c>
      <c r="K212" s="190" t="str">
        <f t="shared" si="105"/>
        <v>4029/4030</v>
      </c>
      <c r="L212" s="196" t="str">
        <f>VLOOKUP(A212,'Trips&amp;Operators'!$C$1:$G$99911,5,FALSE)</f>
        <v>THOMPSON LESTER</v>
      </c>
      <c r="M212" s="181">
        <f t="shared" si="106"/>
        <v>5.8449074131203815E-3</v>
      </c>
      <c r="N212" s="182">
        <f t="shared" si="114"/>
        <v>8.4166666748933494</v>
      </c>
      <c r="O212" s="182"/>
      <c r="P212" s="182"/>
      <c r="Q212" s="185"/>
      <c r="R212" s="197"/>
      <c r="S212" s="241">
        <f t="shared" si="104"/>
        <v>1</v>
      </c>
      <c r="T212" s="220" t="str">
        <f t="shared" si="107"/>
        <v>Southbound</v>
      </c>
      <c r="U212" s="22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1" t="str">
        <f t="shared" si="108"/>
        <v>https://d0f6bd738d7f1b3e5a7ca70fe4ff75f0.us-east-1.aws.found.io/app/kibana#/discover/Steve-Slow-Train-Analysis-(2080s-and-2083s)?_g=(refreshInterval:(display:Off,pause:!f,section:0,value:0),time:(from:'2017-12-12T02:50:55-0700',mode:absolute,to:'2017-12-12T05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222" t="str">
        <f>IF(AA212&lt;VLOOKUP(AG212,Variables!$AC$3:$AD$8,2,FALSE),"Y","N")</f>
        <v>Y</v>
      </c>
      <c r="X212" s="222">
        <f t="shared" si="103"/>
        <v>1</v>
      </c>
      <c r="Y212" s="222">
        <f t="shared" ref="Y212:Y231" si="120">RIGHT(D212,LEN(D212)-4)/10000</f>
        <v>2.3540000000000001</v>
      </c>
      <c r="Z212" s="222">
        <f t="shared" ref="Z212:Z231" si="121">RIGHT(H212,LEN(H212)-4)/10000</f>
        <v>2.0299999999999999E-2</v>
      </c>
      <c r="AA212" s="222">
        <f t="shared" si="109"/>
        <v>2.3336999999999999</v>
      </c>
      <c r="AB212" s="231" t="e">
        <f>VLOOKUP(A212,Enforcements!$C$7:$K$9,8,0)</f>
        <v>#N/A</v>
      </c>
      <c r="AC212" s="231" t="e">
        <f>VLOOKUP(A212,Enforcements!$C$7:$E$9,3,0)</f>
        <v>#N/A</v>
      </c>
      <c r="AD212" s="232">
        <f t="shared" si="110"/>
        <v>304</v>
      </c>
      <c r="AE212" s="233" t="str">
        <f t="shared" si="111"/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AF212" s="234" t="str">
        <f t="shared" si="112"/>
        <v>"C:\Program Files (x86)\AstroGrep\AstroGrep.exe" /e /r /s /spath="%USERPROFILE%\AppData\Local\Temp\OnboardLogs" /stypes="app*4029*20171212*" /stext=" 11:.+((SYSTEM_STATE.+slice.+state.+changed )|(ment ac)|(multiple cpu faults)|(system.+state.+changed )|(\[timeout)|(PRM\|1\|D)|(kpr)|(kdp)|(train st.+moving)|(\|lc)|(penalty))"</v>
      </c>
      <c r="AG212" s="226" t="str">
        <f t="shared" si="113"/>
        <v>Other</v>
      </c>
      <c r="AH212" s="189" t="str">
        <f t="shared" si="115"/>
        <v>"%USERPROFILE%\Documents\GitHub\eaglep3\Utilities\RefineRTDCRunTimes.py" --tripid 304-12 --locoid 4029 --swversion DE.1.0.9.0 --startMP 300:23540 --initTime 2017-12-12T03:50:55 --startdatetime 2017-12-12T03:58:23 --delay 64 --endMP 204:203 --enddatetime 2017-12-12T04:06:48 --enforcementcount 0 &gt;&gt;%USERPROFILE%\Documents\GitHub\eaglep3-reporting\EC\2017-12-12-refined-times.txt</v>
      </c>
      <c r="AI212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{"issue":{"subject":"","project_id":79,"tracker_id":40,"status_id":1,"priority_id":2,"assigned_to_id":338,"start_date":"2017-12-12","description":"","custom_fields":[{"id":1,"name":"Subdivision","value":"Other"},{"id":4,"name":"Milepost","value":"0.0203"},{"id":17,"name":"Train ID","value":"304-12"},{"id":16,"name":"Locomotive ID","value":"4029"},{"id":130,"name":"Impact","value":""},{"id":150,"name":"Time of Event (Mountain Time)","value":"04:06:48"},{"id":151,"name":"Denver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188"/>
      <c r="AL212" s="188"/>
      <c r="AM212" s="193" t="str">
        <f t="shared" si="117"/>
        <v>start /low /b %USERPROFILE%\Documents\GitHub\eaglep3\Utilities\DownloadLogsFromS3.py --loco 4029 --day 2017-12-12</v>
      </c>
      <c r="AN212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87" t="str">
        <f t="shared" si="119"/>
        <v>https://d0f6bd738d7f1b3e5a7ca70fe4ff75f0.us-east-1.aws.found.io/app/kibana#/discover/Steve-Slow-Train-Analysis-(2080s-and-2083s)?_g=(refreshInterval:(display:Off,pause:!f,section:0,value:0),time:(from:'2017-12-12T02:50:55-0700',mode:absolute,to:'2017-12-12T05:06:48-0700'))&amp;_a=(columns:!('Message%20ID',Summary),filters:!(),index:'emp_*',interval:auto,query:(query_string:(analyze_wildcard:!t,query:'%22rtdc.l.rtdc.4029%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186" t="s">
        <v>865</v>
      </c>
      <c r="B213" s="182">
        <v>4010</v>
      </c>
      <c r="C213" s="184" t="s">
        <v>192</v>
      </c>
      <c r="D213" s="184" t="s">
        <v>628</v>
      </c>
      <c r="E213" s="183">
        <v>43081.818391203706</v>
      </c>
      <c r="F213" s="183">
        <v>43081.820104166669</v>
      </c>
      <c r="G213" s="182">
        <v>60</v>
      </c>
      <c r="H213" s="184" t="s">
        <v>1009</v>
      </c>
      <c r="I213" s="183">
        <v>43081.827407407407</v>
      </c>
      <c r="J213" s="182">
        <v>0</v>
      </c>
      <c r="K213" s="190" t="str">
        <f t="shared" si="105"/>
        <v>4009/4010</v>
      </c>
      <c r="L213" s="196" t="str">
        <f>VLOOKUP(A213,'Trips&amp;Operators'!$C$1:$G$99911,5,FALSE)</f>
        <v>SMITH MICHAEL</v>
      </c>
      <c r="M213" s="181">
        <f t="shared" si="106"/>
        <v>7.3032407381106168E-3</v>
      </c>
      <c r="N213" s="182">
        <f t="shared" si="114"/>
        <v>10.516666662879288</v>
      </c>
      <c r="O213" s="182"/>
      <c r="P213" s="182"/>
      <c r="Q213" s="185"/>
      <c r="R213" s="197"/>
      <c r="S213" s="241">
        <f t="shared" si="104"/>
        <v>1</v>
      </c>
      <c r="T213" s="220" t="str">
        <f t="shared" si="107"/>
        <v>NorthBound</v>
      </c>
      <c r="U213" s="22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1" t="str">
        <f t="shared" si="108"/>
        <v>https://d0f6bd738d7f1b3e5a7ca70fe4ff75f0.us-east-1.aws.found.io/app/kibana#/discover/Steve-Slow-Train-Analysis-(2080s-and-2083s)?_g=(refreshInterval:(display:Off,pause:!f,section:0,value:0),time:(from:'2017-12-12T18:38:29-0700',mode:absolute,to:'2017-12-12T20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222" t="str">
        <f>IF(AA213&lt;VLOOKUP(AG213,Variables!$AC$3:$AD$8,2,FALSE),"Y","N")</f>
        <v>Y</v>
      </c>
      <c r="X213" s="222">
        <f t="shared" si="103"/>
        <v>1</v>
      </c>
      <c r="Y213" s="222">
        <f t="shared" si="120"/>
        <v>5.4600000000000003E-2</v>
      </c>
      <c r="Z213" s="222">
        <f t="shared" si="121"/>
        <v>2.331</v>
      </c>
      <c r="AA213" s="222">
        <f t="shared" si="109"/>
        <v>2.2763999999999998</v>
      </c>
      <c r="AB213" s="231" t="e">
        <f>VLOOKUP(A213,Enforcements!$C$7:$K$9,8,0)</f>
        <v>#N/A</v>
      </c>
      <c r="AC213" s="231" t="e">
        <f>VLOOKUP(A213,Enforcements!$C$7:$E$9,3,0)</f>
        <v>#N/A</v>
      </c>
      <c r="AD213" s="232">
        <f t="shared" si="110"/>
        <v>305</v>
      </c>
      <c r="AE213" s="233" t="str">
        <f t="shared" si="111"/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AF213" s="234" t="str">
        <f t="shared" si="112"/>
        <v>"C:\Program Files (x86)\AstroGrep\AstroGrep.exe" /e /r /s /spath="%USERPROFILE%\AppData\Local\Temp\OnboardLogs" /stypes="app*4010*20171213*" /stext=" 02:.+((SYSTEM_STATE.+slice.+state.+changed )|(ment ac)|(multiple cpu faults)|(system.+state.+changed )|(\[timeout)|(PRM\|1\|D)|(kpr)|(kdp)|(train st.+moving)|(\|lc)|(penalty))"</v>
      </c>
      <c r="AG213" s="226" t="str">
        <f t="shared" si="113"/>
        <v>Other</v>
      </c>
      <c r="AH213" s="189" t="str">
        <f t="shared" si="115"/>
        <v>"%USERPROFILE%\Documents\GitHub\eaglep3\Utilities\RefineRTDCRunTimes.py" --tripid 305-12 --locoid 4010 --swversion DE.1.0.9.0 --startMP 204:546 --initTime 2017-12-12T19:38:29 --startdatetime 2017-12-12T19:40:57 --delay 60 --endMP 300:23310 --enddatetime 2017-12-12T19:51:28 --enforcementcount 0 &gt;&gt;%USERPROFILE%\Documents\GitHub\eaglep3-reporting\EC\2017-12-12-refined-times.txt</v>
      </c>
      <c r="AI213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{"issue":{"subject":"","project_id":79,"tracker_id":40,"status_id":1,"priority_id":2,"assigned_to_id":338,"start_date":"2017-12-12","description":"","custom_fields":[{"id":1,"name":"Subdivision","value":"Other"},{"id":4,"name":"Milepost","value":"2.331"},{"id":17,"name":"Train ID","value":"305-12"},{"id":16,"name":"Locomotive ID","value":"4010"},{"id":130,"name":"Impact","value":""},{"id":150,"name":"Time of Event (Mountain Time)","value":"19:51:28"},{"id":151,"name":"Denver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180"/>
      <c r="AK213" s="188"/>
      <c r="AL213" s="188"/>
      <c r="AM213" s="193" t="str">
        <f t="shared" si="117"/>
        <v>start /low /b %USERPROFILE%\Documents\GitHub\eaglep3\Utilities\DownloadLogsFromS3.py --loco 4010 --day 2017-12-12</v>
      </c>
      <c r="AN213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87" t="str">
        <f t="shared" si="119"/>
        <v>https://d0f6bd738d7f1b3e5a7ca70fe4ff75f0.us-east-1.aws.found.io/app/kibana#/discover/Steve-Slow-Train-Analysis-(2080s-and-2083s)?_g=(refreshInterval:(display:Off,pause:!f,section:0,value:0),time:(from:'2017-12-12T18:38:29-0700',mode:absolute,to:'2017-12-12T20:51:28-0700'))&amp;_a=(columns:!('Message%20ID',Summary),filters:!(),index:'emp_*',interval:auto,query:(query_string:(analyze_wildcard:!t,query:'%22rtdc.l.rtdc.4010%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186" t="s">
        <v>666</v>
      </c>
      <c r="B214" s="182">
        <v>4015</v>
      </c>
      <c r="C214" s="184" t="s">
        <v>192</v>
      </c>
      <c r="D214" s="184" t="s">
        <v>1010</v>
      </c>
      <c r="E214" s="183">
        <v>43081.17046296296</v>
      </c>
      <c r="F214" s="183">
        <v>43081.173692129632</v>
      </c>
      <c r="G214" s="182">
        <v>58</v>
      </c>
      <c r="H214" s="184" t="s">
        <v>1011</v>
      </c>
      <c r="I214" s="183">
        <v>43081.179143518515</v>
      </c>
      <c r="J214" s="182">
        <v>0</v>
      </c>
      <c r="K214" s="190" t="str">
        <f t="shared" si="105"/>
        <v>4015/4016</v>
      </c>
      <c r="L214" s="196" t="str">
        <f>VLOOKUP(A214,'Trips&amp;Operators'!$C$1:$G$99911,5,FALSE)</f>
        <v>BEAM ROSS</v>
      </c>
      <c r="M214" s="181">
        <f t="shared" si="106"/>
        <v>5.4513888826477341E-3</v>
      </c>
      <c r="N214" s="182">
        <f t="shared" si="114"/>
        <v>7.8499999910127372</v>
      </c>
      <c r="O214" s="182"/>
      <c r="P214" s="182"/>
      <c r="Q214" s="185"/>
      <c r="R214" s="197"/>
      <c r="S214" s="241">
        <f t="shared" si="104"/>
        <v>1</v>
      </c>
      <c r="T214" s="220" t="str">
        <f t="shared" si="107"/>
        <v>Southbound</v>
      </c>
      <c r="U214" s="22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1" t="str">
        <f t="shared" si="108"/>
        <v>https://d0f6bd738d7f1b3e5a7ca70fe4ff75f0.us-east-1.aws.found.io/app/kibana#/discover/Steve-Slow-Train-Analysis-(2080s-and-2083s)?_g=(refreshInterval:(display:Off,pause:!f,section:0,value:0),time:(from:'2017-12-12T03:05:28-0700',mode:absolute,to:'2017-12-12T05:17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4" s="222" t="str">
        <f>IF(AA214&lt;VLOOKUP(AG214,Variables!$AC$3:$AD$8,2,FALSE),"Y","N")</f>
        <v>Y</v>
      </c>
      <c r="X214" s="222">
        <f t="shared" si="103"/>
        <v>1</v>
      </c>
      <c r="Y214" s="222">
        <f t="shared" si="120"/>
        <v>1.9716</v>
      </c>
      <c r="Z214" s="222">
        <f t="shared" si="121"/>
        <v>0.49109999999999998</v>
      </c>
      <c r="AA214" s="222">
        <f t="shared" si="109"/>
        <v>1.4805000000000001</v>
      </c>
      <c r="AB214" s="231" t="e">
        <f>VLOOKUP(A214,Enforcements!$C$7:$K$9,8,0)</f>
        <v>#N/A</v>
      </c>
      <c r="AC214" s="231" t="e">
        <f>VLOOKUP(A214,Enforcements!$C$7:$E$9,3,0)</f>
        <v>#N/A</v>
      </c>
      <c r="AD214" s="232">
        <f t="shared" si="110"/>
        <v>306</v>
      </c>
      <c r="AE214" s="233" t="str">
        <f t="shared" si="111"/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AF214" s="234" t="str">
        <f t="shared" si="112"/>
        <v>"C:\Program Files (x86)\AstroGrep\AstroGrep.exe" /e /r /s /spath="%USERPROFILE%\AppData\Local\Temp\OnboardLogs" /stypes="app*4015*20171212*" /stext=" 11:.+((SYSTEM_STATE.+slice.+state.+changed )|(ment ac)|(multiple cpu faults)|(system.+state.+changed )|(\[timeout)|(PRM\|1\|D)|(kpr)|(kdp)|(train st.+moving)|(\|lc)|(penalty))"</v>
      </c>
      <c r="AG214" s="226" t="str">
        <f t="shared" si="113"/>
        <v>Other</v>
      </c>
      <c r="AH214" s="189" t="str">
        <f t="shared" si="115"/>
        <v>"%USERPROFILE%\Documents\GitHub\eaglep3\Utilities\RefineRTDCRunTimes.py" --tripid 306-12 --locoid 4015 --swversion DE.1.0.9.0 --startMP 300:19716 --initTime 2017-12-12T04:05:28 --startdatetime 2017-12-12T04:10:07 --delay 58 --endMP 300:4911 --enddatetime 2017-12-12T04:17:58 --enforcementcount 0 &gt;&gt;%USERPROFILE%\Documents\GitHub\eaglep3-reporting\EC\2017-12-12-refined-times.txt</v>
      </c>
      <c r="AI214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{"issue":{"subject":"","project_id":79,"tracker_id":40,"status_id":1,"priority_id":2,"assigned_to_id":338,"start_date":"2017-12-12","description":"","custom_fields":[{"id":1,"name":"Subdivision","value":"Other"},{"id":4,"name":"Milepost","value":"0.4911"},{"id":17,"name":"Train ID","value":"306-12"},{"id":16,"name":"Locomotive ID","value":"4015"},{"id":130,"name":"Impact","value":""},{"id":150,"name":"Time of Event (Mountain Time)","value":"04:17:58"},{"id":151,"name":"Denver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180"/>
      <c r="AK214" s="188"/>
      <c r="AL214" s="188"/>
      <c r="AM214" s="193" t="str">
        <f t="shared" si="117"/>
        <v>start /low /b %USERPROFILE%\Documents\GitHub\eaglep3\Utilities\DownloadLogsFromS3.py --loco 4015 --day 2017-12-12</v>
      </c>
      <c r="AN214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11:17:58"},{"id":29,"name":"Sharepoint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87" t="str">
        <f t="shared" si="119"/>
        <v>https://d0f6bd738d7f1b3e5a7ca70fe4ff75f0.us-east-1.aws.found.io/app/kibana#/discover/Steve-Slow-Train-Analysis-(2080s-and-2083s)?_g=(refreshInterval:(display:Off,pause:!f,section:0,value:0),time:(from:'2017-12-12T03:05:28-0700',mode:absolute,to:'2017-12-12T05:17:58-0700'))&amp;_a=(columns:!('Message%20ID',Summary),filters:!(),index:'emp_*',interval:auto,query:(query_string:(analyze_wildcard:!t,query:'%22rtdc.l.rtdc.4015%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186" t="s">
        <v>897</v>
      </c>
      <c r="B215" s="182">
        <v>4012</v>
      </c>
      <c r="C215" s="184" t="s">
        <v>192</v>
      </c>
      <c r="D215" s="184" t="s">
        <v>502</v>
      </c>
      <c r="E215" s="183">
        <v>43082.046909722223</v>
      </c>
      <c r="F215" s="183">
        <v>43082.049201388887</v>
      </c>
      <c r="G215" s="182">
        <v>86</v>
      </c>
      <c r="H215" s="184" t="s">
        <v>1009</v>
      </c>
      <c r="I215" s="183">
        <v>43082.056886574072</v>
      </c>
      <c r="J215" s="182">
        <v>0</v>
      </c>
      <c r="K215" s="190" t="str">
        <f t="shared" si="105"/>
        <v>4011/4012</v>
      </c>
      <c r="L215" s="196" t="str">
        <f>VLOOKUP(A215,'Trips&amp;Operators'!$C$1:$G$99911,5,FALSE)</f>
        <v>LOZA FIDEL</v>
      </c>
      <c r="M215" s="181">
        <f t="shared" si="106"/>
        <v>7.6851851845276542E-3</v>
      </c>
      <c r="N215" s="182">
        <f t="shared" si="114"/>
        <v>11.066666665719822</v>
      </c>
      <c r="O215" s="182"/>
      <c r="P215" s="182"/>
      <c r="Q215" s="185"/>
      <c r="R215" s="197"/>
      <c r="S215" s="241">
        <f t="shared" si="104"/>
        <v>1</v>
      </c>
      <c r="T215" s="220" t="str">
        <f t="shared" si="107"/>
        <v>NorthBound</v>
      </c>
      <c r="U215" s="22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1" t="str">
        <f t="shared" si="108"/>
        <v>https://d0f6bd738d7f1b3e5a7ca70fe4ff75f0.us-east-1.aws.found.io/app/kibana#/discover/Steve-Slow-Train-Analysis-(2080s-and-2083s)?_g=(refreshInterval:(display:Off,pause:!f,section:0,value:0),time:(from:'2017-12-13T00:07:33-0700',mode:absolute,to:'2017-12-13T02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222" t="str">
        <f>IF(AA215&lt;VLOOKUP(AG215,Variables!$AC$3:$AD$8,2,FALSE),"Y","N")</f>
        <v>Y</v>
      </c>
      <c r="X215" s="222">
        <f t="shared" si="103"/>
        <v>1</v>
      </c>
      <c r="Y215" s="222">
        <f t="shared" si="120"/>
        <v>5.33E-2</v>
      </c>
      <c r="Z215" s="222">
        <f t="shared" si="121"/>
        <v>2.331</v>
      </c>
      <c r="AA215" s="222">
        <f t="shared" si="109"/>
        <v>2.2776999999999998</v>
      </c>
      <c r="AB215" s="231" t="e">
        <f>VLOOKUP(A215,Enforcements!$C$7:$K$9,8,0)</f>
        <v>#N/A</v>
      </c>
      <c r="AC215" s="231" t="e">
        <f>VLOOKUP(A215,Enforcements!$C$7:$E$9,3,0)</f>
        <v>#N/A</v>
      </c>
      <c r="AD215" s="232">
        <f t="shared" si="110"/>
        <v>307</v>
      </c>
      <c r="AE215" s="233" t="str">
        <f t="shared" si="111"/>
        <v>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 &amp; aws s3 cp s3://rtdc.mdm.uploadarchive.raw/RTDC4012/ "%USERPROFILE%\AppData\Local\Temp\OnboardLogs"\RTDC4012\2017-12-14 --exclude "*" --recursive --include "*20171214*" &amp; "%USERPROFILE%\Documents\GitHub\mrs-test-scripts\Headless Mode &amp; Sideloading\WalkAndUnGZ.bat" "%USERPROFILE%\AppData\Local\Temp\OnboardLogs"\RTDC4012\2017-12-14</v>
      </c>
      <c r="AF215" s="234" t="str">
        <f t="shared" si="112"/>
        <v>"C:\Program Files (x86)\AstroGrep\AstroGrep.exe" /e /r /s /spath="%USERPROFILE%\AppData\Local\Temp\OnboardLogs" /stypes="app*4012*20171213*" /stext=" 08:.+((SYSTEM_STATE.+slice.+state.+changed )|(ment ac)|(multiple cpu faults)|(system.+state.+changed )|(\[timeout)|(PRM\|1\|D)|(kpr)|(kdp)|(train st.+moving)|(\|lc)|(penalty))"</v>
      </c>
      <c r="AG215" s="226" t="str">
        <f t="shared" si="113"/>
        <v>Other</v>
      </c>
      <c r="AH215" s="189" t="str">
        <f t="shared" si="115"/>
        <v>"%USERPROFILE%\Documents\GitHub\eaglep3\Utilities\RefineRTDCRunTimes.py" --tripid 307-12 --locoid 4012 --swversion DE.1.0.9.0 --startMP 204:533 --initTime 2017-12-13T01:07:33 --startdatetime 2017-12-13T01:10:51 --delay 86 --endMP 300:23310 --enddatetime 2017-12-13T01:21:55 --enforcementcount 0 &gt;&gt;%USERPROFILE%\Documents\GitHub\eaglep3-reporting\EC\2017-12-12-refined-times.txt</v>
      </c>
      <c r="AI215" s="191" t="str">
        <f t="shared" si="116"/>
        <v>echo {"issue":{"subject":"","project_id":79,"tracker_id":40,"status_id":1,"priority_id":2,"assigned_to_id":338,"start_date":"2017-12-13","description":"","custom_fields":[{"id":1,"name":"Subdivision","value":"Other"},{"id":4,"name":"Milepost","value":"2.331"},{"id":17,"name":"Train ID","value":"307-12"},{"id":16,"name":"Locomotive ID","value":"4012"},{"id":130,"name":"Impact","value":""},{"id":150,"name":"Time of Event (Mountain Time)","value":"01:21:55"},{"id":151,"name":"Denver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180"/>
      <c r="AK215" s="188"/>
      <c r="AL215" s="188"/>
      <c r="AM215" s="193" t="str">
        <f t="shared" si="117"/>
        <v>start /low /b %USERPROFILE%\Documents\GitHub\eaglep3\Utilities\DownloadLogsFromS3.py --loco 4012 --day 2017-12-13</v>
      </c>
      <c r="AN215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08:21:55"},{"id":29,"name":"Sharepoint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87" t="str">
        <f t="shared" si="119"/>
        <v>https://d0f6bd738d7f1b3e5a7ca70fe4ff75f0.us-east-1.aws.found.io/app/kibana#/discover/Steve-Slow-Train-Analysis-(2080s-and-2083s)?_g=(refreshInterval:(display:Off,pause:!f,section:0,value:0),time:(from:'2017-12-13T00:07:33-0700',mode:absolute,to:'2017-12-13T02:21:55-0700'))&amp;_a=(columns:!('Message%20ID',Summary),filters:!(),index:'emp_*',interval:auto,query:(query_string:(analyze_wildcard:!t,query:'%22rtdc.l.rtdc.4012%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186" t="s">
        <v>701</v>
      </c>
      <c r="B216" s="182">
        <v>4057</v>
      </c>
      <c r="C216" s="184" t="s">
        <v>192</v>
      </c>
      <c r="D216" s="184" t="s">
        <v>1012</v>
      </c>
      <c r="E216" s="183">
        <v>43081.182256944441</v>
      </c>
      <c r="F216" s="183">
        <v>43081.186111111114</v>
      </c>
      <c r="G216" s="182">
        <v>73</v>
      </c>
      <c r="H216" s="184" t="s">
        <v>1013</v>
      </c>
      <c r="I216" s="183">
        <v>43081.191018518519</v>
      </c>
      <c r="J216" s="182">
        <v>0</v>
      </c>
      <c r="K216" s="190" t="str">
        <f t="shared" si="105"/>
        <v>4057/4058</v>
      </c>
      <c r="L216" s="196" t="str">
        <f>VLOOKUP(A216,'Trips&amp;Operators'!$C$1:$G$99911,5,FALSE)</f>
        <v>LAMAR NEKESHA</v>
      </c>
      <c r="M216" s="181">
        <f t="shared" si="106"/>
        <v>4.907407404971309E-3</v>
      </c>
      <c r="N216" s="182">
        <f t="shared" si="114"/>
        <v>7.066666663158685</v>
      </c>
      <c r="O216" s="182"/>
      <c r="P216" s="182"/>
      <c r="Q216" s="185"/>
      <c r="R216" s="197"/>
      <c r="S216" s="241">
        <f t="shared" si="104"/>
        <v>1</v>
      </c>
      <c r="T216" s="220" t="str">
        <f t="shared" si="107"/>
        <v>Southbound</v>
      </c>
      <c r="U216" s="22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1" t="str">
        <f t="shared" si="108"/>
        <v>https://d0f6bd738d7f1b3e5a7ca70fe4ff75f0.us-east-1.aws.found.io/app/kibana#/discover/Steve-Slow-Train-Analysis-(2080s-and-2083s)?_g=(refreshInterval:(display:Off,pause:!f,section:0,value:0),time:(from:'2017-12-12T03:22:27-0700',mode:absolute,to:'2017-12-12T05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6" s="222" t="str">
        <f>IF(AA216&lt;VLOOKUP(AG216,Variables!$AC$3:$AD$8,2,FALSE),"Y","N")</f>
        <v>Y</v>
      </c>
      <c r="X216" s="222">
        <f t="shared" si="103"/>
        <v>1</v>
      </c>
      <c r="Y216" s="222">
        <f t="shared" si="120"/>
        <v>2.2210000000000001</v>
      </c>
      <c r="Z216" s="222">
        <f t="shared" si="121"/>
        <v>1.7999999999999999E-2</v>
      </c>
      <c r="AA216" s="222">
        <f t="shared" si="109"/>
        <v>2.2030000000000003</v>
      </c>
      <c r="AB216" s="231" t="e">
        <f>VLOOKUP(A216,Enforcements!$C$7:$K$9,8,0)</f>
        <v>#N/A</v>
      </c>
      <c r="AC216" s="231" t="e">
        <f>VLOOKUP(A216,Enforcements!$C$7:$E$9,3,0)</f>
        <v>#N/A</v>
      </c>
      <c r="AD216" s="232">
        <f t="shared" si="110"/>
        <v>308</v>
      </c>
      <c r="AE216" s="233" t="str">
        <f t="shared" si="111"/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AF216" s="234" t="str">
        <f t="shared" si="112"/>
        <v>"C:\Program Files (x86)\AstroGrep\AstroGrep.exe" /e /r /s /spath="%USERPROFILE%\AppData\Local\Temp\OnboardLogs" /stypes="app*4057*20171212*" /stext=" 11:.+((SYSTEM_STATE.+slice.+state.+changed )|(ment ac)|(multiple cpu faults)|(system.+state.+changed )|(\[timeout)|(PRM\|1\|D)|(kpr)|(kdp)|(train st.+moving)|(\|lc)|(penalty))"</v>
      </c>
      <c r="AG216" s="226" t="str">
        <f t="shared" si="113"/>
        <v>Other</v>
      </c>
      <c r="AH216" s="189" t="str">
        <f t="shared" si="115"/>
        <v>"%USERPROFILE%\Documents\GitHub\eaglep3\Utilities\RefineRTDCRunTimes.py" --tripid 308-12 --locoid 4057 --swversion DE.1.0.9.0 --startMP 300:22210 --initTime 2017-12-12T04:22:27 --startdatetime 2017-12-12T04:28:00 --delay 73 --endMP 204:180 --enddatetime 2017-12-12T04:35:04 --enforcementcount 0 &gt;&gt;%USERPROFILE%\Documents\GitHub\eaglep3-reporting\EC\2017-12-12-refined-times.txt</v>
      </c>
      <c r="AI216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{"issue":{"subject":"","project_id":79,"tracker_id":40,"status_id":1,"priority_id":2,"assigned_to_id":338,"start_date":"2017-12-12","description":"","custom_fields":[{"id":1,"name":"Subdivision","value":"Other"},{"id":4,"name":"Milepost","value":"0.018"},{"id":17,"name":"Train ID","value":"308-12"},{"id":16,"name":"Locomotive ID","value":"4057"},{"id":130,"name":"Impact","value":""},{"id":150,"name":"Time of Event (Mountain Time)","value":"04:35:04"},{"id":151,"name":"Denver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180"/>
      <c r="AK216" s="188"/>
      <c r="AL216" s="188"/>
      <c r="AM216" s="193" t="str">
        <f t="shared" si="117"/>
        <v>start /low /b %USERPROFILE%\Documents\GitHub\eaglep3\Utilities\DownloadLogsFromS3.py --loco 4057 --day 2017-12-12</v>
      </c>
      <c r="AN216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87" t="str">
        <f t="shared" si="119"/>
        <v>https://d0f6bd738d7f1b3e5a7ca70fe4ff75f0.us-east-1.aws.found.io/app/kibana#/discover/Steve-Slow-Train-Analysis-(2080s-and-2083s)?_g=(refreshInterval:(display:Off,pause:!f,section:0,value:0),time:(from:'2017-12-12T03:22:27-0700',mode:absolute,to:'2017-12-12T05:35:04-0700'))&amp;_a=(columns:!('Message%20ID',Summary),filters:!(),index:'emp_*',interval:auto,query:(query_string:(analyze_wildcard:!t,query:'%22rtdc.l.rtdc.4057%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186" t="s">
        <v>899</v>
      </c>
      <c r="B217" s="182">
        <v>4030</v>
      </c>
      <c r="C217" s="184" t="s">
        <v>192</v>
      </c>
      <c r="D217" s="184" t="s">
        <v>502</v>
      </c>
      <c r="E217" s="183">
        <v>43082.073692129627</v>
      </c>
      <c r="F217" s="183">
        <v>43082.075613425928</v>
      </c>
      <c r="G217" s="182">
        <v>77</v>
      </c>
      <c r="H217" s="184" t="s">
        <v>1014</v>
      </c>
      <c r="I217" s="183">
        <v>43082.087025462963</v>
      </c>
      <c r="J217" s="182">
        <v>0</v>
      </c>
      <c r="K217" s="190" t="str">
        <f t="shared" si="105"/>
        <v>4029/4030</v>
      </c>
      <c r="L217" s="196" t="str">
        <f>VLOOKUP(A217,'Trips&amp;Operators'!$C$1:$G$99911,5,FALSE)</f>
        <v>NICHOLSON WESLEY</v>
      </c>
      <c r="M217" s="181">
        <f t="shared" si="106"/>
        <v>1.1412037034460809E-2</v>
      </c>
      <c r="N217" s="182">
        <f t="shared" si="114"/>
        <v>16.433333329623565</v>
      </c>
      <c r="O217" s="182"/>
      <c r="P217" s="182"/>
      <c r="Q217" s="185"/>
      <c r="R217" s="197"/>
      <c r="S217" s="241">
        <f t="shared" si="104"/>
        <v>1</v>
      </c>
      <c r="T217" s="220" t="str">
        <f t="shared" si="107"/>
        <v>NorthBound</v>
      </c>
      <c r="U217" s="22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1" t="str">
        <f t="shared" si="108"/>
        <v>https://d0f6bd738d7f1b3e5a7ca70fe4ff75f0.us-east-1.aws.found.io/app/kibana#/discover/Steve-Slow-Train-Analysis-(2080s-and-2083s)?_g=(refreshInterval:(display:Off,pause:!f,section:0,value:0),time:(from:'2017-12-13T00:46:07-0700',mode:absolute,to:'2017-12-13T03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222" t="str">
        <f>IF(AA217&lt;VLOOKUP(AG217,Variables!$AC$3:$AD$8,2,FALSE),"Y","N")</f>
        <v>Y</v>
      </c>
      <c r="X217" s="222">
        <f t="shared" si="103"/>
        <v>1</v>
      </c>
      <c r="Y217" s="222">
        <f t="shared" si="120"/>
        <v>5.33E-2</v>
      </c>
      <c r="Z217" s="222">
        <f t="shared" si="121"/>
        <v>2.3304</v>
      </c>
      <c r="AA217" s="222">
        <f t="shared" si="109"/>
        <v>2.2770999999999999</v>
      </c>
      <c r="AB217" s="231" t="e">
        <f>VLOOKUP(A217,Enforcements!$C$7:$K$9,8,0)</f>
        <v>#N/A</v>
      </c>
      <c r="AC217" s="231" t="e">
        <f>VLOOKUP(A217,Enforcements!$C$7:$E$9,3,0)</f>
        <v>#N/A</v>
      </c>
      <c r="AD217" s="232">
        <f t="shared" si="110"/>
        <v>309</v>
      </c>
      <c r="AE217" s="233" t="str">
        <f t="shared" si="111"/>
        <v>aws s3 cp s3://rtdc.mdm.uploadarchive.raw/RTDC4030/ "%USERPROFILE%\AppData\Local\Temp\OnboardLogs"\RTDC4030\2017-12-13 --exclude "*" --recursive --include "*20171213*" &amp; "%USERPROFILE%\Documents\GitHub\mrs-test-scripts\Headless Mode &amp; Sideloading\WalkAndUnGZ.bat" "%USERPROFILE%\AppData\Local\Temp\OnboardLogs"\RTDC4030\2017-12-13 &amp; 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</v>
      </c>
      <c r="AF217" s="234" t="str">
        <f t="shared" si="112"/>
        <v>"C:\Program Files (x86)\AstroGrep\AstroGrep.exe" /e /r /s /spath="%USERPROFILE%\AppData\Local\Temp\OnboardLogs" /stypes="app*4030*20171213*" /stext=" 09:.+((SYSTEM_STATE.+slice.+state.+changed )|(ment ac)|(multiple cpu faults)|(system.+state.+changed )|(\[timeout)|(PRM\|1\|D)|(kpr)|(kdp)|(train st.+moving)|(\|lc)|(penalty))"</v>
      </c>
      <c r="AG217" s="226" t="str">
        <f t="shared" si="113"/>
        <v>Other</v>
      </c>
      <c r="AH217" s="189" t="str">
        <f t="shared" si="115"/>
        <v>"%USERPROFILE%\Documents\GitHub\eaglep3\Utilities\RefineRTDCRunTimes.py" --tripid 309-12 --locoid 4030 --swversion DE.1.0.9.0 --startMP 204:533 --initTime 2017-12-13T01:46:07 --startdatetime 2017-12-13T01:48:53 --delay 77 --endMP 300:23304 --enddatetime 2017-12-13T02:05:19 --enforcementcount 0 &gt;&gt;%USERPROFILE%\Documents\GitHub\eaglep3-reporting\EC\2017-12-12-refined-times.txt</v>
      </c>
      <c r="AI217" s="191" t="str">
        <f t="shared" si="116"/>
        <v>echo {"issue":{"subject":"","project_id":79,"tracker_id":40,"status_id":1,"priority_id":2,"assigned_to_id":338,"start_date":"2017-12-13","description":"","custom_fields":[{"id":1,"name":"Subdivision","value":"Other"},{"id":4,"name":"Milepost","value":"2.3304"},{"id":17,"name":"Train ID","value":"309-12"},{"id":16,"name":"Locomotive ID","value":"4030"},{"id":130,"name":"Impact","value":""},{"id":150,"name":"Time of Event (Mountain Time)","value":"02:05:19"},{"id":151,"name":"Denver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180"/>
      <c r="AK217" s="188"/>
      <c r="AL217" s="188"/>
      <c r="AM217" s="193" t="str">
        <f t="shared" si="117"/>
        <v>start /low /b %USERPROFILE%\Documents\GitHub\eaglep3\Utilities\DownloadLogsFromS3.py --loco 4030 --day 2017-12-13</v>
      </c>
      <c r="AN217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87" t="str">
        <f t="shared" si="119"/>
        <v>https://d0f6bd738d7f1b3e5a7ca70fe4ff75f0.us-east-1.aws.found.io/app/kibana#/discover/Steve-Slow-Train-Analysis-(2080s-and-2083s)?_g=(refreshInterval:(display:Off,pause:!f,section:0,value:0),time:(from:'2017-12-13T00:46:07-0700',mode:absolute,to:'2017-12-13T03:05:19-0700'))&amp;_a=(columns:!('Message%20ID',Summary),filters:!(),index:'emp_*',interval:auto,query:(query_string:(analyze_wildcard:!t,query:'%22rtdc.l.rtdc.4030%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186" t="s">
        <v>704</v>
      </c>
      <c r="B218" s="182">
        <v>4021</v>
      </c>
      <c r="C218" s="184" t="s">
        <v>192</v>
      </c>
      <c r="D218" s="184" t="s">
        <v>1015</v>
      </c>
      <c r="E218" s="183">
        <v>43081.196631944447</v>
      </c>
      <c r="F218" s="183">
        <v>43081.199097222219</v>
      </c>
      <c r="G218" s="182">
        <v>82</v>
      </c>
      <c r="H218" s="184" t="s">
        <v>634</v>
      </c>
      <c r="I218" s="183">
        <v>43081.204189814816</v>
      </c>
      <c r="J218" s="182">
        <v>0</v>
      </c>
      <c r="K218" s="190" t="str">
        <f t="shared" si="105"/>
        <v>4021/4022</v>
      </c>
      <c r="L218" s="196" t="str">
        <f>VLOOKUP(A218,'Trips&amp;Operators'!$C$1:$G$99911,5,FALSE)</f>
        <v>YANAI IAN</v>
      </c>
      <c r="M218" s="181">
        <f t="shared" si="106"/>
        <v>5.0925925970659591E-3</v>
      </c>
      <c r="N218" s="182">
        <f t="shared" si="114"/>
        <v>7.3333333397749811</v>
      </c>
      <c r="O218" s="182"/>
      <c r="P218" s="182"/>
      <c r="Q218" s="185"/>
      <c r="R218" s="197"/>
      <c r="S218" s="241">
        <f t="shared" si="104"/>
        <v>1</v>
      </c>
      <c r="T218" s="220" t="str">
        <f t="shared" si="107"/>
        <v>Southbound</v>
      </c>
      <c r="U218" s="22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1" t="str">
        <f t="shared" si="108"/>
        <v>https://d0f6bd738d7f1b3e5a7ca70fe4ff75f0.us-east-1.aws.found.io/app/kibana#/discover/Steve-Slow-Train-Analysis-(2080s-and-2083s)?_g=(refreshInterval:(display:Off,pause:!f,section:0,value:0),time:(from:'2017-12-12T03:43:09-0700',mode:absolute,to:'2017-12-12T05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8" s="222" t="str">
        <f>IF(AA218&lt;VLOOKUP(AG218,Variables!$AC$3:$AD$8,2,FALSE),"Y","N")</f>
        <v>Y</v>
      </c>
      <c r="X218" s="222">
        <f t="shared" si="103"/>
        <v>1</v>
      </c>
      <c r="Y218" s="222">
        <f t="shared" si="120"/>
        <v>2.3746999999999998</v>
      </c>
      <c r="Z218" s="222">
        <f t="shared" si="121"/>
        <v>2.5100000000000001E-2</v>
      </c>
      <c r="AA218" s="222">
        <f t="shared" si="109"/>
        <v>2.3495999999999997</v>
      </c>
      <c r="AB218" s="231" t="e">
        <f>VLOOKUP(A218,Enforcements!$C$7:$K$9,8,0)</f>
        <v>#N/A</v>
      </c>
      <c r="AC218" s="231" t="e">
        <f>VLOOKUP(A218,Enforcements!$C$7:$E$9,3,0)</f>
        <v>#N/A</v>
      </c>
      <c r="AD218" s="232">
        <f t="shared" si="110"/>
        <v>310</v>
      </c>
      <c r="AE218" s="233" t="str">
        <f t="shared" si="111"/>
        <v>aws s3 cp s3://rtdc.mdm.uploadarchive.raw/RTDC4021/ "%USERPROFILE%\AppData\Local\Temp\OnboardLogs"\RTDC4021\2017-12-12 --exclude "*" --recursive --include "*20171212*" &amp; "%USERPROFILE%\Documents\GitHub\mrs-test-scripts\Headless Mode &amp; Sideloading\WalkAndUnGZ.bat" "%USERPROFILE%\AppData\Local\Temp\OnboardLogs"\RTDC4021\2017-12-12 &amp; aws s3 cp s3://rtdc.mdm.uploadarchive.raw/RTDC4021/ "%USERPROFILE%\AppData\Local\Temp\OnboardLogs"\RTDC4021\2017-12-13 --exclude "*" --recursive --include "*20171213*" &amp; "%USERPROFILE%\Documents\GitHub\mrs-test-scripts\Headless Mode &amp; Sideloading\WalkAndUnGZ.bat" "%USERPROFILE%\AppData\Local\Temp\OnboardLogs"\RTDC4021\2017-12-13</v>
      </c>
      <c r="AF218" s="234" t="str">
        <f t="shared" si="112"/>
        <v>"C:\Program Files (x86)\AstroGrep\AstroGrep.exe" /e /r /s /spath="%USERPROFILE%\AppData\Local\Temp\OnboardLogs" /stypes="app*4021*20171212*" /stext=" 11:.+((SYSTEM_STATE.+slice.+state.+changed )|(ment ac)|(multiple cpu faults)|(system.+state.+changed )|(\[timeout)|(PRM\|1\|D)|(kpr)|(kdp)|(train st.+moving)|(\|lc)|(penalty))"</v>
      </c>
      <c r="AG218" s="226" t="str">
        <f t="shared" si="113"/>
        <v>Other</v>
      </c>
      <c r="AH218" s="189" t="str">
        <f t="shared" si="115"/>
        <v>"%USERPROFILE%\Documents\GitHub\eaglep3\Utilities\RefineRTDCRunTimes.py" --tripid 310-12 --locoid 4021 --swversion DE.1.0.9.0 --startMP 300:23747 --initTime 2017-12-12T04:43:09 --startdatetime 2017-12-12T04:46:42 --delay 82 --endMP 204:251 --enddatetime 2017-12-12T04:54:02 --enforcementcount 0 &gt;&gt;%USERPROFILE%\Documents\GitHub\eaglep3-reporting\EC\2017-12-12-refined-times.txt</v>
      </c>
      <c r="AI218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{"issue":{"subject":"","project_id":79,"tracker_id":40,"status_id":1,"priority_id":2,"assigned_to_id":338,"start_date":"2017-12-12","description":"","custom_fields":[{"id":1,"name":"Subdivision","value":"Other"},{"id":4,"name":"Milepost","value":"0.0251"},{"id":17,"name":"Train ID","value":"310-12"},{"id":16,"name":"Locomotive ID","value":"4021"},{"id":130,"name":"Impact","value":""},{"id":150,"name":"Time of Event (Mountain Time)","value":"04:54:02"},{"id":151,"name":"Denver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180"/>
      <c r="AK218" s="188"/>
      <c r="AL218" s="188"/>
      <c r="AM218" s="193" t="str">
        <f t="shared" si="117"/>
        <v>start /low /b %USERPROFILE%\Documents\GitHub\eaglep3\Utilities\DownloadLogsFromS3.py --loco 4021 --day 2017-12-12</v>
      </c>
      <c r="AN218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11:54:02"},{"id":29,"name":"Sharepoint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87" t="str">
        <f t="shared" si="119"/>
        <v>https://d0f6bd738d7f1b3e5a7ca70fe4ff75f0.us-east-1.aws.found.io/app/kibana#/discover/Steve-Slow-Train-Analysis-(2080s-and-2083s)?_g=(refreshInterval:(display:Off,pause:!f,section:0,value:0),time:(from:'2017-12-12T03:43:09-0700',mode:absolute,to:'2017-12-12T05:54:02-0700'))&amp;_a=(columns:!('Message%20ID',Summary),filters:!(),index:'emp_*',interval:auto,query:(query_string:(analyze_wildcard:!t,query:'%22rtdc.l.rtdc.4021%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186" t="s">
        <v>712</v>
      </c>
      <c r="B219" s="182">
        <v>4009</v>
      </c>
      <c r="C219" s="184" t="s">
        <v>192</v>
      </c>
      <c r="D219" s="184" t="s">
        <v>665</v>
      </c>
      <c r="E219" s="183">
        <v>43081.219965277778</v>
      </c>
      <c r="F219" s="183">
        <v>43081.222743055558</v>
      </c>
      <c r="G219" s="182">
        <v>68</v>
      </c>
      <c r="H219" s="184" t="s">
        <v>934</v>
      </c>
      <c r="I219" s="183">
        <v>43081.227986111109</v>
      </c>
      <c r="J219" s="182">
        <v>0</v>
      </c>
      <c r="K219" s="190" t="str">
        <f t="shared" si="105"/>
        <v>4009/4010</v>
      </c>
      <c r="L219" s="196" t="str">
        <f>VLOOKUP(A219,'Trips&amp;Operators'!$C$1:$G$99911,5,FALSE)</f>
        <v>MACDONALD THOMAS</v>
      </c>
      <c r="M219" s="181">
        <f t="shared" si="106"/>
        <v>5.2430555515456945E-3</v>
      </c>
      <c r="N219" s="182">
        <f t="shared" si="114"/>
        <v>7.5499999942258</v>
      </c>
      <c r="O219" s="182"/>
      <c r="P219" s="182"/>
      <c r="Q219" s="185"/>
      <c r="R219" s="197"/>
      <c r="S219" s="241">
        <f t="shared" si="104"/>
        <v>1</v>
      </c>
      <c r="T219" s="220" t="str">
        <f t="shared" si="107"/>
        <v>Southbound</v>
      </c>
      <c r="U219" s="22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21" t="str">
        <f t="shared" si="108"/>
        <v>https://d0f6bd738d7f1b3e5a7ca70fe4ff75f0.us-east-1.aws.found.io/app/kibana#/discover/Steve-Slow-Train-Analysis-(2080s-and-2083s)?_g=(refreshInterval:(display:Off,pause:!f,section:0,value:0),time:(from:'2017-12-12T04:16:45-0700',mode:absolute,to:'2017-12-12T06:28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222" t="str">
        <f>IF(AA219&lt;VLOOKUP(AG219,Variables!$AC$3:$AD$8,2,FALSE),"Y","N")</f>
        <v>Y</v>
      </c>
      <c r="X219" s="222">
        <f t="shared" si="103"/>
        <v>2</v>
      </c>
      <c r="Y219" s="222">
        <f t="shared" si="120"/>
        <v>2.3203</v>
      </c>
      <c r="Z219" s="222">
        <f t="shared" si="121"/>
        <v>2.29E-2</v>
      </c>
      <c r="AA219" s="222">
        <f t="shared" si="109"/>
        <v>2.2974000000000001</v>
      </c>
      <c r="AB219" s="231" t="e">
        <f>VLOOKUP(A219,Enforcements!$C$7:$K$9,8,0)</f>
        <v>#N/A</v>
      </c>
      <c r="AC219" s="231" t="e">
        <f>VLOOKUP(A219,Enforcements!$C$7:$E$9,3,0)</f>
        <v>#N/A</v>
      </c>
      <c r="AD219" s="232">
        <f t="shared" si="110"/>
        <v>312</v>
      </c>
      <c r="AE219" s="233" t="str">
        <f t="shared" si="111"/>
        <v>aws s3 cp s3://rtdc.mdm.uploadarchive.raw/RTDC4009/ "%USERPROFILE%\AppData\Local\Temp\OnboardLogs"\RTDC4009\2017-12-12 --exclude "*" --recursive --include "*20171212*" &amp; "%USERPROFILE%\Documents\GitHub\mrs-test-scripts\Headless Mode &amp; Sideloading\WalkAndUnGZ.bat" "%USERPROFILE%\AppData\Local\Temp\OnboardLogs"\RTDC4009\2017-12-12 &amp; aws s3 cp s3://rtdc.mdm.uploadarchive.raw/RTDC4009/ "%USERPROFILE%\AppData\Local\Temp\OnboardLogs"\RTDC4009\2017-12-13 --exclude "*" --recursive --include "*20171213*" &amp; "%USERPROFILE%\Documents\GitHub\mrs-test-scripts\Headless Mode &amp; Sideloading\WalkAndUnGZ.bat" "%USERPROFILE%\AppData\Local\Temp\OnboardLogs"\RTDC4009\2017-12-13</v>
      </c>
      <c r="AF219" s="234" t="str">
        <f t="shared" si="112"/>
        <v>"C:\Program Files (x86)\AstroGrep\AstroGrep.exe" /e /r /s /spath="%USERPROFILE%\AppData\Local\Temp\OnboardLogs" /stypes="app*4009*20171212*" /stext=" 12:.+((SYSTEM_STATE.+slice.+state.+changed )|(ment ac)|(multiple cpu faults)|(system.+state.+changed )|(\[timeout)|(PRM\|1\|D)|(kpr)|(kdp)|(train st.+moving)|(\|lc)|(penalty))"</v>
      </c>
      <c r="AG219" s="226" t="str">
        <f t="shared" si="113"/>
        <v>Other</v>
      </c>
      <c r="AH219" s="189" t="str">
        <f t="shared" si="115"/>
        <v>"%USERPROFILE%\Documents\GitHub\eaglep3\Utilities\RefineRTDCRunTimes.py" --tripid 312-12 --locoid 4009 --swversion DE.1.0.9.0 --startMP 300:23203 --initTime 2017-12-12T05:16:45 --startdatetime 2017-12-12T05:20:45 --delay 68 --endMP 204:229 --enddatetime 2017-12-12T05:28:18 --enforcementcount 0 &gt;&gt;%USERPROFILE%\Documents\GitHub\eaglep3-reporting\EC\2017-12-12-refined-times.txt</v>
      </c>
      <c r="AI219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{"issue":{"subject":"","project_id":79,"tracker_id":40,"status_id":1,"priority_id":2,"assigned_to_id":338,"start_date":"2017-12-12","description":"","custom_fields":[{"id":1,"name":"Subdivision","value":"Other"},{"id":4,"name":"Milepost","value":"0.0229"},{"id":17,"name":"Train ID","value":"312-12"},{"id":16,"name":"Locomotive ID","value":"4009"},{"id":130,"name":"Impact","value":""},{"id":150,"name":"Time of Event (Mountain Time)","value":"05:28:18"},{"id":151,"name":"Denver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180"/>
      <c r="AK219" s="188"/>
      <c r="AL219" s="188"/>
      <c r="AM219" s="193" t="str">
        <f t="shared" si="117"/>
        <v>start /low /b %USERPROFILE%\Documents\GitHub\eaglep3\Utilities\DownloadLogsFromS3.py --loco 4009 --day 2017-12-12</v>
      </c>
      <c r="AN219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12:28:18"},{"id":29,"name":"Sharepoint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87" t="str">
        <f t="shared" si="119"/>
        <v>https://d0f6bd738d7f1b3e5a7ca70fe4ff75f0.us-east-1.aws.found.io/app/kibana#/discover/Steve-Slow-Train-Analysis-(2080s-and-2083s)?_g=(refreshInterval:(display:Off,pause:!f,section:0,value:0),time:(from:'2017-12-12T04:16:45-0700',mode:absolute,to:'2017-12-12T06:28:18-0700'))&amp;_a=(columns:!('Message%20ID',Summary),filters:!(),index:'emp_*',interval:auto,query:(query_string:(analyze_wildcard:!t,query:'%22rtdc.l.rtdc.4009%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186" t="s">
        <v>895</v>
      </c>
      <c r="B220" s="182">
        <v>4006</v>
      </c>
      <c r="C220" s="184" t="s">
        <v>192</v>
      </c>
      <c r="D220" s="184" t="s">
        <v>1016</v>
      </c>
      <c r="E220" s="183">
        <v>43082.024583333332</v>
      </c>
      <c r="F220" s="183">
        <v>43082.026134259257</v>
      </c>
      <c r="G220" s="182">
        <v>61</v>
      </c>
      <c r="H220" s="184" t="s">
        <v>1007</v>
      </c>
      <c r="I220" s="183">
        <v>43082.034178240741</v>
      </c>
      <c r="J220" s="182">
        <v>0</v>
      </c>
      <c r="K220" s="190" t="str">
        <f t="shared" si="105"/>
        <v>4005/4006</v>
      </c>
      <c r="L220" s="196" t="str">
        <f>VLOOKUP(A220,'Trips&amp;Operators'!$C$1:$G$99911,5,FALSE)</f>
        <v>RESPASS AARON</v>
      </c>
      <c r="M220" s="181">
        <f t="shared" si="106"/>
        <v>8.0439814846613444E-3</v>
      </c>
      <c r="N220" s="182">
        <f t="shared" si="114"/>
        <v>11.583333337912336</v>
      </c>
      <c r="O220" s="182"/>
      <c r="P220" s="182"/>
      <c r="Q220" s="185"/>
      <c r="R220" s="197"/>
      <c r="S220" s="241">
        <f t="shared" si="104"/>
        <v>1</v>
      </c>
      <c r="T220" s="220" t="str">
        <f t="shared" si="107"/>
        <v>NorthBound</v>
      </c>
      <c r="U220" s="22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1" t="str">
        <f t="shared" si="108"/>
        <v>https://d0f6bd738d7f1b3e5a7ca70fe4ff75f0.us-east-1.aws.found.io/app/kibana#/discover/Steve-Slow-Train-Analysis-(2080s-and-2083s)?_g=(refreshInterval:(display:Off,pause:!f,section:0,value:0),time:(from:'2017-12-12T23:35:24-0700',mode:absolute,to:'2017-12-13T01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222" t="str">
        <f>IF(AA220&lt;VLOOKUP(AG220,Variables!$AC$3:$AD$8,2,FALSE),"Y","N")</f>
        <v>Y</v>
      </c>
      <c r="X220" s="222">
        <f t="shared" si="103"/>
        <v>1</v>
      </c>
      <c r="Y220" s="222">
        <f t="shared" si="120"/>
        <v>5.62E-2</v>
      </c>
      <c r="Z220" s="222">
        <f t="shared" si="121"/>
        <v>2.3294999999999999</v>
      </c>
      <c r="AA220" s="222">
        <f t="shared" si="109"/>
        <v>2.2732999999999999</v>
      </c>
      <c r="AB220" s="231" t="e">
        <f>VLOOKUP(A220,Enforcements!$C$7:$K$9,8,0)</f>
        <v>#N/A</v>
      </c>
      <c r="AC220" s="231" t="e">
        <f>VLOOKUP(A220,Enforcements!$C$7:$E$9,3,0)</f>
        <v>#N/A</v>
      </c>
      <c r="AD220" s="232">
        <f t="shared" si="110"/>
        <v>313</v>
      </c>
      <c r="AE220" s="233" t="str">
        <f t="shared" si="111"/>
        <v>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 &amp; 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</v>
      </c>
      <c r="AF220" s="234" t="str">
        <f t="shared" si="112"/>
        <v>"C:\Program Files (x86)\AstroGrep\AstroGrep.exe" /e /r /s /spath="%USERPROFILE%\AppData\Local\Temp\OnboardLogs" /stypes="app*4006*20171213*" /stext=" 07:.+((SYSTEM_STATE.+slice.+state.+changed )|(ment ac)|(multiple cpu faults)|(system.+state.+changed )|(\[timeout)|(PRM\|1\|D)|(kpr)|(kdp)|(train st.+moving)|(\|lc)|(penalty))"</v>
      </c>
      <c r="AG220" s="226" t="str">
        <f t="shared" si="113"/>
        <v>Other</v>
      </c>
      <c r="AH220" s="189" t="str">
        <f t="shared" si="115"/>
        <v>"%USERPROFILE%\Documents\GitHub\eaglep3\Utilities\RefineRTDCRunTimes.py" --tripid 313-12 --locoid 4006 --swversion DE.1.0.9.0 --startMP 204:562 --initTime 2017-12-13T00:35:24 --startdatetime 2017-12-13T00:37:38 --delay 61 --endMP 300:23295 --enddatetime 2017-12-13T00:49:13 --enforcementcount 0 &gt;&gt;%USERPROFILE%\Documents\GitHub\eaglep3-reporting\EC\2017-12-12-refined-times.txt</v>
      </c>
      <c r="AI220" s="191" t="str">
        <f t="shared" si="116"/>
        <v>echo {"issue":{"subject":"","project_id":79,"tracker_id":40,"status_id":1,"priority_id":2,"assigned_to_id":338,"start_date":"2017-12-13","description":"","custom_fields":[{"id":1,"name":"Subdivision","value":"Other"},{"id":4,"name":"Milepost","value":"2.3295"},{"id":17,"name":"Train ID","value":"313-12"},{"id":16,"name":"Locomotive ID","value":"4006"},{"id":130,"name":"Impact","value":""},{"id":150,"name":"Time of Event (Mountain Time)","value":"00:49:13"},{"id":151,"name":"Denver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180"/>
      <c r="AK220" s="188"/>
      <c r="AL220" s="188"/>
      <c r="AM220" s="193" t="str">
        <f t="shared" si="117"/>
        <v>start /low /b %USERPROFILE%\Documents\GitHub\eaglep3\Utilities\DownloadLogsFromS3.py --loco 4006 --day 2017-12-13</v>
      </c>
      <c r="AN220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07:49:13"},{"id":29,"name":"Sharepoint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87" t="str">
        <f t="shared" si="119"/>
        <v>https://d0f6bd738d7f1b3e5a7ca70fe4ff75f0.us-east-1.aws.found.io/app/kibana#/discover/Steve-Slow-Train-Analysis-(2080s-and-2083s)?_g=(refreshInterval:(display:Off,pause:!f,section:0,value:0),time:(from:'2017-12-12T23:35:24-0700',mode:absolute,to:'2017-12-13T01:49:13-0700'))&amp;_a=(columns:!('Message%20ID',Summary),filters:!(),index:'emp_*',interval:auto,query:(query_string:(analyze_wildcard:!t,query:'%22rtdc.l.rtdc.4006%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186" t="s">
        <v>706</v>
      </c>
      <c r="B221" s="182">
        <v>4056</v>
      </c>
      <c r="C221" s="184" t="s">
        <v>192</v>
      </c>
      <c r="D221" s="184" t="s">
        <v>1021</v>
      </c>
      <c r="E221" s="183">
        <v>43081.198587962965</v>
      </c>
      <c r="F221" s="183">
        <v>25568.708333333332</v>
      </c>
      <c r="G221" s="182">
        <v>101</v>
      </c>
      <c r="H221" s="184" t="s">
        <v>1022</v>
      </c>
      <c r="I221" s="183">
        <v>25568.708333333332</v>
      </c>
      <c r="J221" s="182">
        <v>0</v>
      </c>
      <c r="K221" s="190" t="str">
        <f t="shared" si="105"/>
        <v>4055/4056</v>
      </c>
      <c r="L221" s="196" t="str">
        <f>VLOOKUP(A221,'Trips&amp;Operators'!$C$1:$G$99911,5,FALSE)</f>
        <v>DAVIDSON DAVID</v>
      </c>
      <c r="M221" s="181">
        <f t="shared" si="106"/>
        <v>0</v>
      </c>
      <c r="N221" s="182">
        <f t="shared" si="114"/>
        <v>0</v>
      </c>
      <c r="O221" s="182"/>
      <c r="P221" s="182"/>
      <c r="Q221" s="185"/>
      <c r="R221" s="197"/>
      <c r="S221" s="241">
        <f t="shared" si="104"/>
        <v>1</v>
      </c>
      <c r="T221" s="220" t="str">
        <f t="shared" si="107"/>
        <v>NorthBound</v>
      </c>
      <c r="U221" s="22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21" t="str">
        <f t="shared" si="108"/>
        <v>https://d0f6bd738d7f1b3e5a7ca70fe4ff75f0.us-east-1.aws.found.io/app/kibana#/discover/Steve-Slow-Train-Analysis-(2080s-and-2083s)?_g=(refreshInterval:(display:Off,pause:!f,section:0,value:0),time:(from:'2017-12-12T03:45:58-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1" s="222" t="str">
        <f>IF(AA221&lt;VLOOKUP(AG221,Variables!$AC$3:$AD$8,2,FALSE),"Y","N")</f>
        <v>Y</v>
      </c>
      <c r="X221" s="222">
        <f t="shared" si="103"/>
        <v>588</v>
      </c>
      <c r="Y221" s="222">
        <f t="shared" si="120"/>
        <v>4.1000000000000002E-2</v>
      </c>
      <c r="Z221" s="222">
        <f t="shared" si="121"/>
        <v>5.8921999999999999</v>
      </c>
      <c r="AA221" s="222">
        <f t="shared" si="109"/>
        <v>5.8511999999999995</v>
      </c>
      <c r="AB221" s="231" t="e">
        <f>VLOOKUP(A221,Enforcements!$C$7:$K$9,8,0)</f>
        <v>#N/A</v>
      </c>
      <c r="AC221" s="231" t="e">
        <f>VLOOKUP(A221,Enforcements!$C$7:$E$9,3,0)</f>
        <v>#N/A</v>
      </c>
      <c r="AD221" s="232">
        <f t="shared" si="110"/>
        <v>901</v>
      </c>
      <c r="AE221" s="233" t="str">
        <f t="shared" si="111"/>
        <v>aws s3 cp s3://rtdc.mdm.uploadarchive.raw/RTDC4056/ "%USERPROFILE%\AppData\Local\Temp\OnboardLogs"\RTDC4056\1969-12-31 --exclude "*" --recursive --include "*19691231*" &amp; "%USERPROFILE%\Documents\GitHub\mrs-test-scripts\Headless Mode &amp; Sideloading\WalkAndUnGZ.bat" "%USERPROFILE%\AppData\Local\Temp\OnboardLogs"\RTDC4056\1969-12-31 &amp; aws s3 cp s3://rtdc.mdm.uploadarchive.raw/RTDC4056/ "%USERPROFILE%\AppData\Local\Temp\OnboardLogs"\RTDC4056\1970-01-01 --exclude "*" --recursive --include "*19700101*" &amp; "%USERPROFILE%\Documents\GitHub\mrs-test-scripts\Headless Mode &amp; Sideloading\WalkAndUnGZ.bat" "%USERPROFILE%\AppData\Local\Temp\OnboardLogs"\RTDC4056\1970-01-01</v>
      </c>
      <c r="AF221" s="234" t="str">
        <f t="shared" si="112"/>
        <v>"C:\Program Files (x86)\AstroGrep\AstroGrep.exe" /e /r /s /spath="%USERPROFILE%\AppData\Local\Temp\OnboardLogs" /stypes="app*4056*19700101*" /stext=" 00:.+((SYSTEM_STATE.+slice.+state.+changed )|(ment ac)|(multiple cpu faults)|(system.+state.+changed )|(\[timeout)|(PRM\|1\|D)|(kpr)|(kdp)|(train st.+moving)|(\|lc)|(penalty))"</v>
      </c>
      <c r="AG221" s="226" t="str">
        <f t="shared" si="113"/>
        <v>Other</v>
      </c>
      <c r="AH221" s="189" t="str">
        <f t="shared" si="115"/>
        <v>"%USERPROFILE%\Documents\GitHub\eaglep3\Utilities\RefineRTDCRunTimes.py" --tripid 901-12 --locoid 4056 --swversion DE.1.0.9.0 --startMP 204:410 --initTime 2017-12-12T04:45:58 --startdatetime 1969-12-31T17:00:00 --delay 101 --endMP 300:58922 --enddatetime 1969-12-31T17:00:00 --enforcementcount 0 &gt;&gt;%USERPROFILE%\Documents\GitHub\eaglep3-reporting\EC\2017-12-12-refined-times.txt</v>
      </c>
      <c r="AI221" s="191" t="str">
        <f t="shared" si="116"/>
        <v>echo {"issue":{"subject":"","project_id":79,"tracker_id":40,"status_id":1,"priority_id":2,"assigned_to_id":338,"start_date":"1969-12-31","description":"","custom_fields":[{"id":1,"name":"Subdivision","value":"Other"},{"id":4,"name":"Milepost","value":"5.8922"},{"id":17,"name":"Train ID","value":"901-12"},{"id":16,"name":"Locomotive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180"/>
      <c r="AK221" s="188"/>
      <c r="AL221" s="188"/>
      <c r="AM221" s="193" t="str">
        <f t="shared" si="117"/>
        <v>start /low /b %USERPROFILE%\Documents\GitHub\eaglep3\Utilities\DownloadLogsFromS3.py --loco 4056 --day 1969-12-31</v>
      </c>
      <c r="AN221" s="194" t="str">
        <f t="shared" si="118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87" t="str">
        <f t="shared" si="119"/>
        <v>https://d0f6bd738d7f1b3e5a7ca70fe4ff75f0.us-east-1.aws.found.io/app/kibana#/discover/Steve-Slow-Train-Analysis-(2080s-and-2083s)?_g=(refreshInterval:(display:Off,pause:!f,section:0,value:0),time:(from:'2017-12-12T03:45:58-0700',mode:absolute,to:'1969-12-31T18:00:00-0700'))&amp;_a=(columns:!('Message%20ID',Summary),filters:!(),index:'emp_*',interval:auto,query:(query_string:(analyze_wildcard:!t,query:'%22rtdc.l.rtdc.4056%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186" t="s">
        <v>718</v>
      </c>
      <c r="B222" s="182">
        <v>4031</v>
      </c>
      <c r="C222" s="184" t="s">
        <v>192</v>
      </c>
      <c r="D222" s="184" t="s">
        <v>1061</v>
      </c>
      <c r="E222" s="183">
        <v>43081.234490740739</v>
      </c>
      <c r="F222" s="183">
        <v>43081.237916666665</v>
      </c>
      <c r="G222" s="182">
        <v>75</v>
      </c>
      <c r="H222" s="184" t="s">
        <v>1062</v>
      </c>
      <c r="I222" s="183">
        <v>43081.240081018521</v>
      </c>
      <c r="J222" s="182">
        <v>0</v>
      </c>
      <c r="K222" s="190" t="str">
        <f t="shared" si="105"/>
        <v>4031/4032</v>
      </c>
      <c r="L222" s="196" t="str">
        <f>VLOOKUP(A222,'Trips&amp;Operators'!$C$1:$G$99911,5,FALSE)</f>
        <v>FORTUNATO FRANK</v>
      </c>
      <c r="M222" s="181">
        <f t="shared" si="106"/>
        <v>2.164351855753921E-3</v>
      </c>
      <c r="N222" s="182">
        <f t="shared" si="114"/>
        <v>3.1166666722856462</v>
      </c>
      <c r="O222" s="182"/>
      <c r="P222" s="182"/>
      <c r="Q222" s="185"/>
      <c r="R222" s="197"/>
      <c r="S222" s="241">
        <f t="shared" si="104"/>
        <v>0</v>
      </c>
      <c r="T222" s="220" t="str">
        <f t="shared" si="107"/>
        <v>Southbound</v>
      </c>
      <c r="U222" s="22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21" t="str">
        <f t="shared" si="108"/>
        <v>https://d0f6bd738d7f1b3e5a7ca70fe4ff75f0.us-east-1.aws.found.io/app/kibana#/discover/Steve-Slow-Train-Analysis-(2080s-and-2083s)?_g=(refreshInterval:(display:Off,pause:!f,section:0,value:0),time:(from:'2017-12-12T04:37:40-0700',mode:absolute,to:'2017-12-12T06:45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2" s="222" t="str">
        <f>IF(AA222&lt;VLOOKUP(AG222,Variables!$AC$3:$AD$8,2,FALSE),"Y","N")</f>
        <v>Y</v>
      </c>
      <c r="X222" s="222">
        <f t="shared" si="103"/>
        <v>1</v>
      </c>
      <c r="Y222" s="222">
        <f t="shared" si="120"/>
        <v>2.3820000000000001</v>
      </c>
      <c r="Z222" s="222">
        <f t="shared" si="121"/>
        <v>1.9302999999999999</v>
      </c>
      <c r="AA222" s="222">
        <f t="shared" si="109"/>
        <v>0.45170000000000021</v>
      </c>
      <c r="AB222" s="231" t="e">
        <f>VLOOKUP(A222,Enforcements!$C$7:$K$9,8,0)</f>
        <v>#N/A</v>
      </c>
      <c r="AC222" s="231" t="e">
        <f>VLOOKUP(A222,Enforcements!$C$7:$E$9,3,0)</f>
        <v>#N/A</v>
      </c>
      <c r="AD222" s="232">
        <f t="shared" si="110"/>
        <v>902</v>
      </c>
      <c r="AE222" s="233" t="str">
        <f t="shared" si="111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222" s="234" t="str">
        <f t="shared" si="112"/>
        <v>"C:\Program Files (x86)\AstroGrep\AstroGrep.exe" /e /r /s /spath="%USERPROFILE%\AppData\Local\Temp\OnboardLogs" /stypes="app*4031*20171212*" /stext=" 12:.+((SYSTEM_STATE.+slice.+state.+changed )|(ment ac)|(multiple cpu faults)|(system.+state.+changed )|(\[timeout)|(PRM\|1\|D)|(kpr)|(kdp)|(train st.+moving)|(\|lc)|(penalty))"</v>
      </c>
      <c r="AG222" s="226" t="str">
        <f t="shared" si="113"/>
        <v>Other</v>
      </c>
      <c r="AH222" s="189" t="str">
        <f t="shared" si="115"/>
        <v>"%USERPROFILE%\Documents\GitHub\eaglep3\Utilities\RefineRTDCRunTimes.py" --tripid 902-12 --locoid 4031 --swversion DE.1.0.9.0 --startMP 300:23820 --initTime 2017-12-12T05:37:40 --startdatetime 2017-12-12T05:42:36 --delay 75 --endMP 300:19303 --enddatetime 2017-12-12T05:45:43 --enforcementcount 0 &gt;&gt;%USERPROFILE%\Documents\GitHub\eaglep3-reporting\EC\2017-12-12-refined-times.txt</v>
      </c>
      <c r="AI222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{"issue":{"subject":"","project_id":79,"tracker_id":40,"status_id":1,"priority_id":2,"assigned_to_id":338,"start_date":"2017-12-12","description":"","custom_fields":[{"id":1,"name":"Subdivision","value":"Other"},{"id":4,"name":"Milepost","value":"1.9303"},{"id":17,"name":"Train ID","value":"902-12"},{"id":16,"name":"Locomotive ID","value":"4031"},{"id":130,"name":"Impact","value":""},{"id":150,"name":"Time of Event (Mountain Time)","value":"05:45:43"},{"id":151,"name":"Denver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180"/>
      <c r="AK222" s="188"/>
      <c r="AL222" s="188"/>
      <c r="AM222" s="193" t="str">
        <f t="shared" si="117"/>
        <v>start /low /b %USERPROFILE%\Documents\GitHub\eaglep3\Utilities\DownloadLogsFromS3.py --loco 4031 --day 2017-12-12</v>
      </c>
      <c r="AN222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12:45:43"},{"id":29,"name":"Sharepoint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87" t="str">
        <f t="shared" si="119"/>
        <v>https://d0f6bd738d7f1b3e5a7ca70fe4ff75f0.us-east-1.aws.found.io/app/kibana#/discover/Steve-Slow-Train-Analysis-(2080s-and-2083s)?_g=(refreshInterval:(display:Off,pause:!f,section:0,value:0),time:(from:'2017-12-12T04:37:40-0700',mode:absolute,to:'2017-12-12T06:45:43-0700'))&amp;_a=(columns:!('Message%20ID',Summary),filters:!(),index:'emp_*',interval:auto,query:(query_string:(analyze_wildcard:!t,query:'%22rtdc.l.rtdc.4031%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186" t="s">
        <v>749</v>
      </c>
      <c r="B223" s="182">
        <v>4056</v>
      </c>
      <c r="C223" s="184" t="s">
        <v>192</v>
      </c>
      <c r="D223" s="184" t="s">
        <v>1046</v>
      </c>
      <c r="E223" s="183">
        <v>43081.352962962963</v>
      </c>
      <c r="F223" s="183">
        <v>43081.354398148149</v>
      </c>
      <c r="G223" s="182">
        <v>51</v>
      </c>
      <c r="H223" s="184" t="s">
        <v>1063</v>
      </c>
      <c r="I223" s="183">
        <v>43081.364942129629</v>
      </c>
      <c r="J223" s="182">
        <v>0</v>
      </c>
      <c r="K223" s="190" t="str">
        <f t="shared" si="105"/>
        <v>4055/4056</v>
      </c>
      <c r="L223" s="196" t="str">
        <f>VLOOKUP(A223,'Trips&amp;Operators'!$C$1:$G$99911,5,FALSE)</f>
        <v>DAVIDSON DAVID</v>
      </c>
      <c r="M223" s="181">
        <f t="shared" si="106"/>
        <v>1.0543981479713693E-2</v>
      </c>
      <c r="N223" s="182">
        <f t="shared" si="114"/>
        <v>15.183333330787718</v>
      </c>
      <c r="O223" s="182"/>
      <c r="P223" s="182"/>
      <c r="Q223" s="185"/>
      <c r="R223" s="197"/>
      <c r="S223" s="241">
        <f t="shared" si="104"/>
        <v>1</v>
      </c>
      <c r="T223" s="220" t="str">
        <f t="shared" si="107"/>
        <v>NorthBound</v>
      </c>
      <c r="U223" s="22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21" t="str">
        <f t="shared" si="108"/>
        <v>https://d0f6bd738d7f1b3e5a7ca70fe4ff75f0.us-east-1.aws.found.io/app/kibana#/discover/Steve-Slow-Train-Analysis-(2080s-and-2083s)?_g=(refreshInterval:(display:Off,pause:!f,section:0,value:0),time:(from:'2017-12-12T07:28:16-0700',mode:absolute,to:'2017-12-12T09:45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3" s="222" t="str">
        <f>IF(AA223&lt;VLOOKUP(AG223,Variables!$AC$3:$AD$8,2,FALSE),"Y","N")</f>
        <v>Y</v>
      </c>
      <c r="X223" s="222">
        <f t="shared" si="103"/>
        <v>1</v>
      </c>
      <c r="Y223" s="222">
        <f t="shared" si="120"/>
        <v>4.2799999999999998E-2</v>
      </c>
      <c r="Z223" s="222">
        <f t="shared" si="121"/>
        <v>2.4203000000000001</v>
      </c>
      <c r="AA223" s="222">
        <f t="shared" si="109"/>
        <v>2.3774999999999999</v>
      </c>
      <c r="AB223" s="231" t="e">
        <f>VLOOKUP(A223,Enforcements!$C$7:$K$9,8,0)</f>
        <v>#N/A</v>
      </c>
      <c r="AC223" s="231" t="e">
        <f>VLOOKUP(A223,Enforcements!$C$7:$E$9,3,0)</f>
        <v>#N/A</v>
      </c>
      <c r="AD223" s="232">
        <f t="shared" si="110"/>
        <v>903</v>
      </c>
      <c r="AE223" s="233" t="str">
        <f t="shared" si="111"/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AF223" s="234" t="str">
        <f t="shared" si="112"/>
        <v>"C:\Program Files (x86)\AstroGrep\AstroGrep.exe" /e /r /s /spath="%USERPROFILE%\AppData\Local\Temp\OnboardLogs" /stypes="app*4056*20171212*" /stext=" 15:.+((SYSTEM_STATE.+slice.+state.+changed )|(ment ac)|(multiple cpu faults)|(system.+state.+changed )|(\[timeout)|(PRM\|1\|D)|(kpr)|(kdp)|(train st.+moving)|(\|lc)|(penalty))"</v>
      </c>
      <c r="AG223" s="226" t="str">
        <f t="shared" si="113"/>
        <v>Other</v>
      </c>
      <c r="AH223" s="189" t="str">
        <f t="shared" si="115"/>
        <v>"%USERPROFILE%\Documents\GitHub\eaglep3\Utilities\RefineRTDCRunTimes.py" --tripid 903-12 --locoid 4056 --swversion DE.1.0.9.0 --startMP 204:428 --initTime 2017-12-12T08:28:16 --startdatetime 2017-12-12T08:30:20 --delay 51 --endMP 300:24203 --enddatetime 2017-12-12T08:45:31 --enforcementcount 0 &gt;&gt;%USERPROFILE%\Documents\GitHub\eaglep3-reporting\EC\2017-12-12-refined-times.txt</v>
      </c>
      <c r="AI223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{"issue":{"subject":"","project_id":79,"tracker_id":40,"status_id":1,"priority_id":2,"assigned_to_id":338,"start_date":"2017-12-12","description":"","custom_fields":[{"id":1,"name":"Subdivision","value":"Other"},{"id":4,"name":"Milepost","value":"2.4203"},{"id":17,"name":"Train ID","value":"903-12"},{"id":16,"name":"Locomotive ID","value":"4056"},{"id":130,"name":"Impact","value":""},{"id":150,"name":"Time of Event (Mountain Time)","value":"08:45:31"},{"id":151,"name":"Denver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180"/>
      <c r="AK223" s="188"/>
      <c r="AL223" s="188"/>
      <c r="AM223" s="193" t="str">
        <f t="shared" si="117"/>
        <v>start /low /b %USERPROFILE%\Documents\GitHub\eaglep3\Utilities\DownloadLogsFromS3.py --loco 4056 --day 2017-12-12</v>
      </c>
      <c r="AN223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15:45:31"},{"id":29,"name":"Sharepoint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87" t="str">
        <f t="shared" si="119"/>
        <v>https://d0f6bd738d7f1b3e5a7ca70fe4ff75f0.us-east-1.aws.found.io/app/kibana#/discover/Steve-Slow-Train-Analysis-(2080s-and-2083s)?_g=(refreshInterval:(display:Off,pause:!f,section:0,value:0),time:(from:'2017-12-12T07:28:16-0700',mode:absolute,to:'2017-12-12T09:45:31-0700'))&amp;_a=(columns:!('Message%20ID',Summary),filters:!(),index:'emp_*',interval:auto,query:(query_string:(analyze_wildcard:!t,query:'%22rtdc.l.rtdc.4056%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180" customFormat="1" x14ac:dyDescent="0.25">
      <c r="A224" s="186" t="s">
        <v>813</v>
      </c>
      <c r="B224" s="182">
        <v>4055</v>
      </c>
      <c r="C224" s="184" t="s">
        <v>192</v>
      </c>
      <c r="D224" s="184" t="s">
        <v>1064</v>
      </c>
      <c r="E224" s="183">
        <v>43081.633692129632</v>
      </c>
      <c r="F224" s="183">
        <v>43081.63722222222</v>
      </c>
      <c r="G224" s="182">
        <v>98</v>
      </c>
      <c r="H224" s="184" t="s">
        <v>592</v>
      </c>
      <c r="I224" s="183">
        <v>43081.642083333332</v>
      </c>
      <c r="J224" s="182">
        <v>0</v>
      </c>
      <c r="K224" s="190" t="str">
        <f t="shared" si="105"/>
        <v>4055/4056</v>
      </c>
      <c r="L224" s="196" t="str">
        <f>VLOOKUP(A224,'Trips&amp;Operators'!$C$1:$G$99911,5,FALSE)</f>
        <v>STAMBAUGH JAMES</v>
      </c>
      <c r="M224" s="181">
        <f t="shared" si="106"/>
        <v>4.8611111124046147E-3</v>
      </c>
      <c r="N224" s="182">
        <f t="shared" si="114"/>
        <v>7.0000000018626451</v>
      </c>
      <c r="O224" s="182"/>
      <c r="P224" s="182"/>
      <c r="Q224" s="185"/>
      <c r="R224" s="197"/>
      <c r="S224" s="241">
        <f t="shared" si="104"/>
        <v>1</v>
      </c>
      <c r="T224" s="220" t="str">
        <f t="shared" si="107"/>
        <v>Southbound</v>
      </c>
      <c r="U224" s="22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21" t="str">
        <f t="shared" si="108"/>
        <v>https://d0f6bd738d7f1b3e5a7ca70fe4ff75f0.us-east-1.aws.found.io/app/kibana#/discover/Steve-Slow-Train-Analysis-(2080s-and-2083s)?_g=(refreshInterval:(display:Off,pause:!f,section:0,value:0),time:(from:'2017-12-12T14:12:31-0700',mode:absolute,to:'2017-12-12T16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4" s="222" t="str">
        <f>IF(AA224&lt;VLOOKUP(AG224,Variables!$AC$3:$AD$8,2,FALSE),"Y","N")</f>
        <v>Y</v>
      </c>
      <c r="X224" s="222">
        <f t="shared" ref="X224:X231" si="122">VALUE(LEFT(AD224,4))-VALUE(LEFT(AD223,4))</f>
        <v>1</v>
      </c>
      <c r="Y224" s="222">
        <f t="shared" si="120"/>
        <v>2.355</v>
      </c>
      <c r="Z224" s="222">
        <f t="shared" si="121"/>
        <v>1.5699999999999999E-2</v>
      </c>
      <c r="AA224" s="222">
        <f t="shared" si="109"/>
        <v>2.3393000000000002</v>
      </c>
      <c r="AB224" s="231" t="e">
        <f>VLOOKUP(A224,Enforcements!$C$7:$K$9,8,0)</f>
        <v>#N/A</v>
      </c>
      <c r="AC224" s="231" t="e">
        <f>VLOOKUP(A224,Enforcements!$C$7:$E$9,3,0)</f>
        <v>#N/A</v>
      </c>
      <c r="AD224" s="232">
        <f t="shared" si="110"/>
        <v>904</v>
      </c>
      <c r="AE224" s="233" t="str">
        <f t="shared" si="111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224" s="234" t="str">
        <f t="shared" si="112"/>
        <v>"C:\Program Files (x86)\AstroGrep\AstroGrep.exe" /e /r /s /spath="%USERPROFILE%\AppData\Local\Temp\OnboardLogs" /stypes="app*4055*20171212*" /stext=" 22:.+((SYSTEM_STATE.+slice.+state.+changed )|(ment ac)|(multiple cpu faults)|(system.+state.+changed )|(\[timeout)|(PRM\|1\|D)|(kpr)|(kdp)|(train st.+moving)|(\|lc)|(penalty))"</v>
      </c>
      <c r="AG224" s="226" t="str">
        <f t="shared" si="113"/>
        <v>Other</v>
      </c>
      <c r="AH224" s="189" t="str">
        <f t="shared" si="115"/>
        <v>"%USERPROFILE%\Documents\GitHub\eaglep3\Utilities\RefineRTDCRunTimes.py" --tripid 904-12 --locoid 4055 --swversion DE.1.0.9.0 --startMP 300:23550 --initTime 2017-12-12T15:12:31 --startdatetime 2017-12-12T15:17:36 --delay 98 --endMP 204:157 --enddatetime 2017-12-12T15:24:36 --enforcementcount 0 &gt;&gt;%USERPROFILE%\Documents\GitHub\eaglep3-reporting\EC\2017-12-12-refined-times.txt</v>
      </c>
      <c r="AI224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{"issue":{"subject":"","project_id":79,"tracker_id":40,"status_id":1,"priority_id":2,"assigned_to_id":338,"start_date":"2017-12-12","description":"","custom_fields":[{"id":1,"name":"Subdivision","value":"Other"},{"id":4,"name":"Milepost","value":"0.0157"},{"id":17,"name":"Train ID","value":"904-12"},{"id":16,"name":"Locomotive ID","value":"4055"},{"id":130,"name":"Impact","value":""},{"id":150,"name":"Time of Event (Mountain Time)","value":"15:24:36"},{"id":151,"name":"Denver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188"/>
      <c r="AL224" s="188"/>
      <c r="AM224" s="193" t="str">
        <f t="shared" si="117"/>
        <v>start /low /b %USERPROFILE%\Documents\GitHub\eaglep3\Utilities\DownloadLogsFromS3.py --loco 4055 --day 2017-12-12</v>
      </c>
      <c r="AN224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22:24:36"},{"id":29,"name":"Sharepoint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87" t="str">
        <f t="shared" si="119"/>
        <v>https://d0f6bd738d7f1b3e5a7ca70fe4ff75f0.us-east-1.aws.found.io/app/kibana#/discover/Steve-Slow-Train-Analysis-(2080s-and-2083s)?_g=(refreshInterval:(display:Off,pause:!f,section:0,value:0),time:(from:'2017-12-12T14:12:31-0700',mode:absolute,to:'2017-12-12T16:24:36-0700'))&amp;_a=(columns:!('Message%20ID',Summary),filters:!(),index:'emp_*',interval:auto,query:(query_string:(analyze_wildcard:!t,query:'%22rtdc.l.rtdc.4055%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186" t="s">
        <v>859</v>
      </c>
      <c r="B225" s="182">
        <v>4055</v>
      </c>
      <c r="C225" s="184" t="s">
        <v>192</v>
      </c>
      <c r="D225" s="184" t="s">
        <v>653</v>
      </c>
      <c r="E225" s="183">
        <v>43081.790706018517</v>
      </c>
      <c r="F225" s="183">
        <v>43081.792430555557</v>
      </c>
      <c r="G225" s="182">
        <v>72</v>
      </c>
      <c r="H225" s="184" t="s">
        <v>1065</v>
      </c>
      <c r="I225" s="183">
        <v>43081.799791666665</v>
      </c>
      <c r="J225" s="182">
        <v>0</v>
      </c>
      <c r="K225" s="190" t="str">
        <f t="shared" si="105"/>
        <v>4055/4056</v>
      </c>
      <c r="L225" s="196" t="str">
        <f>VLOOKUP(A225,'Trips&amp;Operators'!$C$1:$G$99911,5,FALSE)</f>
        <v>HAMMOND JUSTYNN</v>
      </c>
      <c r="M225" s="181">
        <f t="shared" si="106"/>
        <v>7.3611111074569635E-3</v>
      </c>
      <c r="N225" s="182">
        <f t="shared" si="114"/>
        <v>10.599999994738027</v>
      </c>
      <c r="O225" s="182"/>
      <c r="P225" s="182"/>
      <c r="Q225" s="185"/>
      <c r="R225" s="197"/>
      <c r="S225" s="241">
        <f t="shared" si="104"/>
        <v>0</v>
      </c>
      <c r="T225" s="220" t="str">
        <f t="shared" si="107"/>
        <v>Southbound</v>
      </c>
      <c r="U225" s="22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21" t="str">
        <f t="shared" si="108"/>
        <v>https://d0f6bd738d7f1b3e5a7ca70fe4ff75f0.us-east-1.aws.found.io/app/kibana#/discover/Steve-Slow-Train-Analysis-(2080s-and-2083s)?_g=(refreshInterval:(display:Off,pause:!f,section:0,value:0),time:(from:'2017-12-12T17:58:37-0700',mode:absolute,to:'2017-12-12T20:11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5" s="222" t="str">
        <f>IF(AA225&lt;VLOOKUP(AG225,Variables!$AC$3:$AD$8,2,FALSE),"Y","N")</f>
        <v>Y</v>
      </c>
      <c r="X225" s="222">
        <f t="shared" si="122"/>
        <v>2</v>
      </c>
      <c r="Y225" s="222">
        <f t="shared" si="120"/>
        <v>5.8616999999999999</v>
      </c>
      <c r="Z225" s="222">
        <f t="shared" si="121"/>
        <v>2.8774000000000002</v>
      </c>
      <c r="AA225" s="222">
        <f t="shared" si="109"/>
        <v>2.9842999999999997</v>
      </c>
      <c r="AB225" s="231" t="e">
        <f>VLOOKUP(A225,Enforcements!$C$7:$K$9,8,0)</f>
        <v>#N/A</v>
      </c>
      <c r="AC225" s="231" t="e">
        <f>VLOOKUP(A225,Enforcements!$C$7:$E$9,3,0)</f>
        <v>#N/A</v>
      </c>
      <c r="AD225" s="232">
        <f t="shared" si="110"/>
        <v>906</v>
      </c>
      <c r="AE225" s="233" t="str">
        <f t="shared" si="111"/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AF225" s="234" t="str">
        <f t="shared" si="112"/>
        <v>"C:\Program Files (x86)\AstroGrep\AstroGrep.exe" /e /r /s /spath="%USERPROFILE%\AppData\Local\Temp\OnboardLogs" /stypes="app*4055*20171213*" /stext=" 02:.+((SYSTEM_STATE.+slice.+state.+changed )|(ment ac)|(multiple cpu faults)|(system.+state.+changed )|(\[timeout)|(PRM\|1\|D)|(kpr)|(kdp)|(train st.+moving)|(\|lc)|(penalty))"</v>
      </c>
      <c r="AG225" s="226" t="str">
        <f t="shared" si="113"/>
        <v>Other</v>
      </c>
      <c r="AH225" s="189" t="str">
        <f t="shared" si="115"/>
        <v>"%USERPROFILE%\Documents\GitHub\eaglep3\Utilities\RefineRTDCRunTimes.py" --tripid 906-12 --locoid 4055 --swversion DE.1.0.9.0 --startMP 300:58617 --initTime 2017-12-12T18:58:37 --startdatetime 2017-12-12T19:01:06 --delay 72 --endMP 300:28774 --enddatetime 2017-12-12T19:11:42 --enforcementcount 0 &gt;&gt;%USERPROFILE%\Documents\GitHub\eaglep3-reporting\EC\2017-12-12-refined-times.txt</v>
      </c>
      <c r="AI225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{"issue":{"subject":"","project_id":79,"tracker_id":40,"status_id":1,"priority_id":2,"assigned_to_id":338,"start_date":"2017-12-12","description":"","custom_fields":[{"id":1,"name":"Subdivision","value":"Other"},{"id":4,"name":"Milepost","value":"2.8774"},{"id":17,"name":"Train ID","value":"906-12"},{"id":16,"name":"Locomotive ID","value":"4055"},{"id":130,"name":"Impact","value":""},{"id":150,"name":"Time of Event (Mountain Time)","value":"19:11:42"},{"id":151,"name":"Denver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180"/>
      <c r="AK225" s="188"/>
      <c r="AL225" s="188"/>
      <c r="AM225" s="193" t="str">
        <f t="shared" si="117"/>
        <v>start /low /b %USERPROFILE%\Documents\GitHub\eaglep3\Utilities\DownloadLogsFromS3.py --loco 4055 --day 2017-12-12</v>
      </c>
      <c r="AN225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02:11:42"},{"id":29,"name":"Sharepoint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87" t="str">
        <f t="shared" si="119"/>
        <v>https://d0f6bd738d7f1b3e5a7ca70fe4ff75f0.us-east-1.aws.found.io/app/kibana#/discover/Steve-Slow-Train-Analysis-(2080s-and-2083s)?_g=(refreshInterval:(display:Off,pause:!f,section:0,value:0),time:(from:'2017-12-12T17:58:37-0700',mode:absolute,to:'2017-12-12T20:11:42-0700'))&amp;_a=(columns:!('Message%20ID',Summary),filters:!(),index:'emp_*',interval:auto,query:(query_string:(analyze_wildcard:!t,query:'%22rtdc.l.rtdc.4055%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186" t="s">
        <v>888</v>
      </c>
      <c r="B226" s="182">
        <v>4031</v>
      </c>
      <c r="C226" s="184" t="s">
        <v>192</v>
      </c>
      <c r="D226" s="184" t="s">
        <v>1066</v>
      </c>
      <c r="E226" s="183">
        <v>43081.974293981482</v>
      </c>
      <c r="F226" s="183">
        <v>43081.975439814814</v>
      </c>
      <c r="G226" s="182">
        <v>49</v>
      </c>
      <c r="H226" s="184" t="s">
        <v>1067</v>
      </c>
      <c r="I226" s="183">
        <v>43081.982222222221</v>
      </c>
      <c r="J226" s="182">
        <v>0</v>
      </c>
      <c r="K226" s="190" t="str">
        <f t="shared" si="105"/>
        <v>4031/4032</v>
      </c>
      <c r="L226" s="196" t="str">
        <f>VLOOKUP(A226,'Trips&amp;Operators'!$C$1:$G$99911,5,FALSE)</f>
        <v>STAMBAUGH JAMES</v>
      </c>
      <c r="M226" s="181">
        <f t="shared" si="106"/>
        <v>6.7824074067175388E-3</v>
      </c>
      <c r="N226" s="182">
        <f t="shared" si="114"/>
        <v>9.7666666656732559</v>
      </c>
      <c r="O226" s="182"/>
      <c r="P226" s="182"/>
      <c r="Q226" s="185"/>
      <c r="R226" s="197"/>
      <c r="S226" s="241">
        <f t="shared" si="104"/>
        <v>0</v>
      </c>
      <c r="T226" s="220" t="str">
        <f t="shared" si="107"/>
        <v>Southbound</v>
      </c>
      <c r="U226" s="22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21" t="str">
        <f t="shared" si="108"/>
        <v>https://d0f6bd738d7f1b3e5a7ca70fe4ff75f0.us-east-1.aws.found.io/app/kibana#/discover/Steve-Slow-Train-Analysis-(2080s-and-2083s)?_g=(refreshInterval:(display:Off,pause:!f,section:0,value:0),time:(from:'2017-12-12T22:22:59-0700',mode:absolute,to:'2017-12-13T00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222" t="str">
        <f>IF(AA226&lt;VLOOKUP(AG226,Variables!$AC$3:$AD$8,2,FALSE),"Y","N")</f>
        <v>Y</v>
      </c>
      <c r="X226" s="222">
        <f t="shared" si="122"/>
        <v>2</v>
      </c>
      <c r="Y226" s="222">
        <f t="shared" si="120"/>
        <v>5.8609</v>
      </c>
      <c r="Z226" s="222">
        <f t="shared" si="121"/>
        <v>2.8778000000000001</v>
      </c>
      <c r="AA226" s="222">
        <f t="shared" si="109"/>
        <v>2.9830999999999999</v>
      </c>
      <c r="AB226" s="231" t="e">
        <f>VLOOKUP(A226,Enforcements!$C$7:$K$9,8,0)</f>
        <v>#N/A</v>
      </c>
      <c r="AC226" s="231" t="e">
        <f>VLOOKUP(A226,Enforcements!$C$7:$E$9,3,0)</f>
        <v>#N/A</v>
      </c>
      <c r="AD226" s="232">
        <f t="shared" si="110"/>
        <v>908</v>
      </c>
      <c r="AE226" s="233" t="str">
        <f t="shared" si="111"/>
        <v>aws s3 cp s3://rtdc.mdm.uploadarchive.raw/RTDC4031/ "%USERPROFILE%\AppData\Local\Temp\OnboardLogs"\RTDC4031\2017-12-12 --exclude "*" --recursive --include "*20171212*" &amp; "%USERPROFILE%\Documents\GitHub\mrs-test-scripts\Headless Mode &amp; Sideloading\WalkAndUnGZ.bat" "%USERPROFILE%\AppData\Local\Temp\OnboardLogs"\RTDC4031\2017-12-12 &amp; aws s3 cp s3://rtdc.mdm.uploadarchive.raw/RTDC4031/ "%USERPROFILE%\AppData\Local\Temp\OnboardLogs"\RTDC4031\2017-12-13 --exclude "*" --recursive --include "*20171213*" &amp; "%USERPROFILE%\Documents\GitHub\mrs-test-scripts\Headless Mode &amp; Sideloading\WalkAndUnGZ.bat" "%USERPROFILE%\AppData\Local\Temp\OnboardLogs"\RTDC4031\2017-12-13</v>
      </c>
      <c r="AF226" s="234" t="str">
        <f t="shared" si="112"/>
        <v>"C:\Program Files (x86)\AstroGrep\AstroGrep.exe" /e /r /s /spath="%USERPROFILE%\AppData\Local\Temp\OnboardLogs" /stypes="app*4031*20171213*" /stext=" 06:.+((SYSTEM_STATE.+slice.+state.+changed )|(ment ac)|(multiple cpu faults)|(system.+state.+changed )|(\[timeout)|(PRM\|1\|D)|(kpr)|(kdp)|(train st.+moving)|(\|lc)|(penalty))"</v>
      </c>
      <c r="AG226" s="226" t="str">
        <f t="shared" si="113"/>
        <v>Other</v>
      </c>
      <c r="AH226" s="189" t="str">
        <f t="shared" si="115"/>
        <v>"%USERPROFILE%\Documents\GitHub\eaglep3\Utilities\RefineRTDCRunTimes.py" --tripid 908-12 --locoid 4031 --swversion DE.1.0.9.0 --startMP 300:58609 --initTime 2017-12-12T23:22:59 --startdatetime 2017-12-12T23:24:38 --delay 49 --endMP 300:28778 --enddatetime 2017-12-12T23:34:24 --enforcementcount 0 &gt;&gt;%USERPROFILE%\Documents\GitHub\eaglep3-reporting\EC\2017-12-12-refined-times.txt</v>
      </c>
      <c r="AI226" s="191" t="str">
        <f t="shared" si="116"/>
        <v>echo {"issue":{"subject":"","project_id":79,"tracker_id":40,"status_id":1,"priority_id":2,"assigned_to_id":338,"start_date":"2017-12-12","description":"","custom_fields":[{"id":1,"name":"Subdivision","value":"Other"},{"id":4,"name":"Milepost","value":"2.8778"},{"id":17,"name":"Train ID","value":"908-12"},{"id":16,"name":"Locomotive ID","value":"4031"},{"id":130,"name":"Impact","value":""},{"id":150,"name":"Time of Event (Mountain Time)","value":"23:34:24"},{"id":151,"name":"Denver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180"/>
      <c r="AK226" s="188"/>
      <c r="AL226" s="188"/>
      <c r="AM226" s="193" t="str">
        <f t="shared" si="117"/>
        <v>start /low /b %USERPROFILE%\Documents\GitHub\eaglep3\Utilities\DownloadLogsFromS3.py --loco 4031 --day 2017-12-12</v>
      </c>
      <c r="AN226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06:34:24"},{"id":29,"name":"Sharepoint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87" t="str">
        <f t="shared" si="119"/>
        <v>https://d0f6bd738d7f1b3e5a7ca70fe4ff75f0.us-east-1.aws.found.io/app/kibana#/discover/Steve-Slow-Train-Analysis-(2080s-and-2083s)?_g=(refreshInterval:(display:Off,pause:!f,section:0,value:0),time:(from:'2017-12-12T22:22:59-0700',mode:absolute,to:'2017-12-13T00:34:24-0700'))&amp;_a=(columns:!('Message%20ID',Summary),filters:!(),index:'emp_*',interval:auto,query:(query_string:(analyze_wildcard:!t,query:'%22rtdc.l.rtdc.4031%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186" t="s">
        <v>844</v>
      </c>
      <c r="B227" s="182">
        <v>4013</v>
      </c>
      <c r="C227" s="184" t="s">
        <v>192</v>
      </c>
      <c r="D227" s="184" t="s">
        <v>1017</v>
      </c>
      <c r="E227" s="183">
        <v>43081.736250000002</v>
      </c>
      <c r="F227" s="183">
        <v>43081.742268518516</v>
      </c>
      <c r="G227" s="182">
        <v>109</v>
      </c>
      <c r="H227" s="184" t="s">
        <v>1018</v>
      </c>
      <c r="I227" s="183">
        <v>43081.753761574073</v>
      </c>
      <c r="J227" s="182">
        <v>0</v>
      </c>
      <c r="K227" s="190" t="str">
        <f t="shared" si="105"/>
        <v>4013/4014</v>
      </c>
      <c r="L227" s="196" t="str">
        <f>VLOOKUP(A227,'Trips&amp;Operators'!$C$1:$G$99911,5,FALSE)</f>
        <v>MAGEE KENYA</v>
      </c>
      <c r="M227" s="181">
        <f t="shared" si="106"/>
        <v>1.1493055557366461E-2</v>
      </c>
      <c r="N227" s="182">
        <f t="shared" si="114"/>
        <v>16.550000002607703</v>
      </c>
      <c r="O227" s="182"/>
      <c r="P227" s="182"/>
      <c r="Q227" s="185"/>
      <c r="R227" s="197"/>
      <c r="S227" s="241">
        <f t="shared" si="104"/>
        <v>1</v>
      </c>
      <c r="T227" s="220" t="str">
        <f t="shared" si="107"/>
        <v>Southbound</v>
      </c>
      <c r="U227" s="22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21" t="str">
        <f t="shared" si="108"/>
        <v>https://d0f6bd738d7f1b3e5a7ca70fe4ff75f0.us-east-1.aws.found.io/app/kibana#/discover/Steve-Slow-Train-Analysis-(2080s-and-2083s)?_g=(refreshInterval:(display:Off,pause:!f,section:0,value:0),time:(from:'2017-12-12T16:40:12-0700',mode:absolute,to:'2017-12-12T19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7" s="222" t="str">
        <f>IF(AA227&lt;VLOOKUP(AG227,Variables!$AC$3:$AD$8,2,FALSE),"Y","N")</f>
        <v>Y</v>
      </c>
      <c r="X227" s="222">
        <f t="shared" si="122"/>
        <v>-832</v>
      </c>
      <c r="Y227" s="222">
        <f t="shared" si="120"/>
        <v>2.0129000000000001</v>
      </c>
      <c r="Z227" s="222">
        <f t="shared" si="121"/>
        <v>0.22189999999999999</v>
      </c>
      <c r="AA227" s="222">
        <f t="shared" si="109"/>
        <v>1.7910000000000001</v>
      </c>
      <c r="AB227" s="231" t="e">
        <f>VLOOKUP(A227,Enforcements!$C$7:$K$9,8,0)</f>
        <v>#N/A</v>
      </c>
      <c r="AC227" s="231" t="e">
        <f>VLOOKUP(A227,Enforcements!$C$7:$E$9,3,0)</f>
        <v>#N/A</v>
      </c>
      <c r="AD227" s="232">
        <f t="shared" si="110"/>
        <v>76</v>
      </c>
      <c r="AE227" s="233" t="str">
        <f t="shared" si="111"/>
        <v>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 &amp; aws s3 cp s3://rtdc.mdm.uploadarchive.raw/RTDC4013/ "%USERPROFILE%\AppData\Local\Temp\OnboardLogs"\RTDC4013\2017-12-13 --exclude "*" --recursive --include "*20171213*" &amp; "%USERPROFILE%\Documents\GitHub\mrs-test-scripts\Headless Mode &amp; Sideloading\WalkAndUnGZ.bat" "%USERPROFILE%\AppData\Local\Temp\OnboardLogs"\RTDC4013\2017-12-13</v>
      </c>
      <c r="AF227" s="234" t="str">
        <f t="shared" si="112"/>
        <v>"C:\Program Files (x86)\AstroGrep\AstroGrep.exe" /e /r /s /spath="%USERPROFILE%\AppData\Local\Temp\OnboardLogs" /stypes="app*4013*20171213*" /stext=" 01:.+((SYSTEM_STATE.+slice.+state.+changed )|(ment ac)|(multiple cpu faults)|(system.+state.+changed )|(\[timeout)|(PRM\|1\|D)|(kpr)|(kdp)|(train st.+moving)|(\|lc)|(penalty))"</v>
      </c>
      <c r="AG227" s="226" t="str">
        <f t="shared" si="113"/>
        <v>Shuttle/Test</v>
      </c>
      <c r="AH227" s="189" t="str">
        <f t="shared" si="115"/>
        <v>"%USERPROFILE%\Documents\GitHub\eaglep3\Utilities\RefineRTDCRunTimes.py" --tripid 76-12 --locoid 4013 --swversion DE.1.0.9.0 --startMP 300:20129 --initTime 2017-12-12T17:40:12 --startdatetime 2017-12-12T17:48:52 --delay 109 --endMP 204:2219 --enddatetime 2017-12-12T18:05:25 --enforcementcount 0 &gt;&gt;%USERPROFILE%\Documents\GitHub\eaglep3-reporting\EC\2017-12-12-refined-times.txt</v>
      </c>
      <c r="AI227" s="191" t="str">
        <f t="shared" si="116"/>
        <v>echo {"issue":{"subject":"","project_id":79,"tracker_id":40,"status_id":1,"priority_id":2,"assigned_to_id":338,"start_date":"2017-12-12","description":"","custom_fields":[{"id":1,"name":"Subdivision","value":"Shuttle/Test"},{"id":4,"name":"Milepost","value":"0.2219"},{"id":17,"name":"Train ID","value":"76-12"},{"id":16,"name":"Locomotive ID","value":"4013"},{"id":130,"name":"Impact","value":""},{"id":150,"name":"Time of Event (Mountain Time)","value":"18:05:25"},{"id":151,"name":"Denver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180"/>
      <c r="AK227" s="188"/>
      <c r="AL227" s="188"/>
      <c r="AM227" s="193" t="str">
        <f t="shared" si="117"/>
        <v>start /low /b %USERPROFILE%\Documents\GitHub\eaglep3\Utilities\DownloadLogsFromS3.py --loco 4013 --day 2017-12-12</v>
      </c>
      <c r="AN227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01:05:25"},{"id":29,"name":"Sharepoint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87" t="str">
        <f t="shared" si="119"/>
        <v>https://d0f6bd738d7f1b3e5a7ca70fe4ff75f0.us-east-1.aws.found.io/app/kibana#/discover/Steve-Slow-Train-Analysis-(2080s-and-2083s)?_g=(refreshInterval:(display:Off,pause:!f,section:0,value:0),time:(from:'2017-12-12T16:40:12-0700',mode:absolute,to:'2017-12-12T19:05:25-0700'))&amp;_a=(columns:!('Message%20ID',Summary),filters:!(),index:'emp_*',interval:auto,query:(query_string:(analyze_wildcard:!t,query:'%22rtdc.l.rtdc.4013%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186" t="s">
        <v>685</v>
      </c>
      <c r="B228" s="182">
        <v>4064</v>
      </c>
      <c r="C228" s="184" t="s">
        <v>192</v>
      </c>
      <c r="D228" s="184" t="s">
        <v>1019</v>
      </c>
      <c r="E228" s="183">
        <v>43081.726550925923</v>
      </c>
      <c r="F228" s="183">
        <v>43081.737974537034</v>
      </c>
      <c r="G228" s="182">
        <v>99</v>
      </c>
      <c r="H228" s="184" t="s">
        <v>1020</v>
      </c>
      <c r="I228" s="183">
        <v>43081.745520833334</v>
      </c>
      <c r="J228" s="182">
        <v>0</v>
      </c>
      <c r="K228" s="190" t="str">
        <f t="shared" si="105"/>
        <v>4063/4064</v>
      </c>
      <c r="L228" s="196" t="str">
        <f>VLOOKUP(A228,'Trips&amp;Operators'!$C$1:$G$99911,5,FALSE)</f>
        <v>MOSES BRADLEY</v>
      </c>
      <c r="M228" s="181">
        <f t="shared" si="106"/>
        <v>7.5462962995516136E-3</v>
      </c>
      <c r="N228" s="182">
        <f t="shared" si="114"/>
        <v>10.866666671354324</v>
      </c>
      <c r="O228" s="182"/>
      <c r="P228" s="182"/>
      <c r="Q228" s="185"/>
      <c r="R228" s="197"/>
      <c r="S228" s="241">
        <f t="shared" si="104"/>
        <v>1</v>
      </c>
      <c r="T228" s="220" t="str">
        <f t="shared" si="107"/>
        <v>NorthBound</v>
      </c>
      <c r="U228" s="22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21" t="str">
        <f t="shared" si="108"/>
        <v>https://d0f6bd738d7f1b3e5a7ca70fe4ff75f0.us-east-1.aws.found.io/app/kibana#/discover/Steve-Slow-Train-Analysis-(2080s-and-2083s)?_g=(refreshInterval:(display:Off,pause:!f,section:0,value:0),time:(from:'2017-12-12T16:26:14-0700',mode:absolute,to:'2017-12-12T18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222" t="str">
        <f>IF(AA228&lt;VLOOKUP(AG228,Variables!$AC$3:$AD$8,2,FALSE),"Y","N")</f>
        <v>Y</v>
      </c>
      <c r="X228" s="222">
        <f t="shared" si="122"/>
        <v>3</v>
      </c>
      <c r="Y228" s="222">
        <f t="shared" si="120"/>
        <v>0.1148</v>
      </c>
      <c r="Z228" s="222">
        <f t="shared" si="121"/>
        <v>2.3313999999999999</v>
      </c>
      <c r="AA228" s="222">
        <f t="shared" si="109"/>
        <v>2.2166000000000001</v>
      </c>
      <c r="AB228" s="231" t="e">
        <f>VLOOKUP(A228,Enforcements!$C$7:$K$9,8,0)</f>
        <v>#N/A</v>
      </c>
      <c r="AC228" s="231" t="e">
        <f>VLOOKUP(A228,Enforcements!$C$7:$E$9,3,0)</f>
        <v>#N/A</v>
      </c>
      <c r="AD228" s="232">
        <f t="shared" si="110"/>
        <v>79</v>
      </c>
      <c r="AE228" s="233" t="str">
        <f t="shared" si="111"/>
        <v>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 &amp; aws s3 cp s3://rtdc.mdm.uploadarchive.raw/RTDC4064/ "%USERPROFILE%\AppData\Local\Temp\OnboardLogs"\RTDC4064\2017-12-13 --exclude "*" --recursive --include "*20171213*" &amp; "%USERPROFILE%\Documents\GitHub\mrs-test-scripts\Headless Mode &amp; Sideloading\WalkAndUnGZ.bat" "%USERPROFILE%\AppData\Local\Temp\OnboardLogs"\RTDC4064\2017-12-13</v>
      </c>
      <c r="AF228" s="234" t="str">
        <f t="shared" si="112"/>
        <v>"C:\Program Files (x86)\AstroGrep\AstroGrep.exe" /e /r /s /spath="%USERPROFILE%\AppData\Local\Temp\OnboardLogs" /stypes="app*4064*20171213*" /stext=" 00:.+((SYSTEM_STATE.+slice.+state.+changed )|(ment ac)|(multiple cpu faults)|(system.+state.+changed )|(\[timeout)|(PRM\|1\|D)|(kpr)|(kdp)|(train st.+moving)|(\|lc)|(penalty))"</v>
      </c>
      <c r="AG228" s="226" t="str">
        <f t="shared" si="113"/>
        <v>Shuttle/Test</v>
      </c>
      <c r="AH228" s="189" t="str">
        <f t="shared" si="115"/>
        <v>"%USERPROFILE%\Documents\GitHub\eaglep3\Utilities\RefineRTDCRunTimes.py" --tripid 79-12 --locoid 4064 --swversion DE.1.0.9.0 --startMP 204:1148 --initTime 2017-12-12T17:26:14 --startdatetime 2017-12-12T17:42:41 --delay 99 --endMP 300:23314 --enddatetime 2017-12-12T17:53:33 --enforcementcount 0 &gt;&gt;%USERPROFILE%\Documents\GitHub\eaglep3-reporting\EC\2017-12-12-refined-times.txt</v>
      </c>
      <c r="AI228" s="191" t="str">
        <f t="shared" si="116"/>
        <v>echo {"issue":{"subject":"","project_id":79,"tracker_id":40,"status_id":1,"priority_id":2,"assigned_to_id":338,"start_date":"2017-12-12","description":"","custom_fields":[{"id":1,"name":"Subdivision","value":"Shuttle/Test"},{"id":4,"name":"Milepost","value":"2.3314"},{"id":17,"name":"Train ID","value":"79-12"},{"id":16,"name":"Locomotive ID","value":"4064"},{"id":130,"name":"Impact","value":""},{"id":150,"name":"Time of Event (Mountain Time)","value":"17:53:33"},{"id":151,"name":"Denver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180"/>
      <c r="AK228" s="188"/>
      <c r="AL228" s="188"/>
      <c r="AM228" s="193" t="str">
        <f t="shared" si="117"/>
        <v>start /low /b %USERPROFILE%\Documents\GitHub\eaglep3\Utilities\DownloadLogsFromS3.py --loco 4064 --day 2017-12-12</v>
      </c>
      <c r="AN228" s="194" t="str">
        <f t="shared" si="118"/>
        <v>echo {"issue":{"subject":"","project_id":30,"tracker_id":4,"status_id":1,"priority_id":1,"assigned_to_id":10,"start_date":"2017-12-13","description":"","custom_fields":[{"id":30,"name":"Category","value":"Issue"},{"id":3,"name":"Functional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UTC","value":"2017-12-13 00:53:33"},{"id":29,"name":"Sharepoint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87" t="str">
        <f t="shared" si="119"/>
        <v>https://d0f6bd738d7f1b3e5a7ca70fe4ff75f0.us-east-1.aws.found.io/app/kibana#/discover/Steve-Slow-Train-Analysis-(2080s-and-2083s)?_g=(refreshInterval:(display:Off,pause:!f,section:0,value:0),time:(from:'2017-12-12T16:26:14-0700',mode:absolute,to:'2017-12-12T18:53:33-0700'))&amp;_a=(columns:!('Message%20ID',Summary),filters:!(),index:'emp_*',interval:auto,query:(query_string:(analyze_wildcard:!t,query:'%22rtdc.l.rtdc.4064%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180" customFormat="1" x14ac:dyDescent="0.25">
      <c r="A229" s="186" t="s">
        <v>828</v>
      </c>
      <c r="B229" s="182">
        <v>4028</v>
      </c>
      <c r="C229" s="184" t="s">
        <v>192</v>
      </c>
      <c r="D229" s="184" t="s">
        <v>1057</v>
      </c>
      <c r="E229" s="183">
        <v>43081.669386574074</v>
      </c>
      <c r="F229" s="183">
        <v>43081.686516203707</v>
      </c>
      <c r="G229" s="182">
        <v>1320</v>
      </c>
      <c r="H229" s="184" t="s">
        <v>1009</v>
      </c>
      <c r="I229" s="183">
        <v>43081.696319444447</v>
      </c>
      <c r="J229" s="182">
        <v>0</v>
      </c>
      <c r="K229" s="190" t="str">
        <f t="shared" si="105"/>
        <v>4027/4028</v>
      </c>
      <c r="L229" s="196" t="str">
        <f>VLOOKUP(A229,'Trips&amp;Operators'!$C$1:$G$99911,5,FALSE)</f>
        <v>NEWELL JAMES</v>
      </c>
      <c r="M229" s="181">
        <f t="shared" si="106"/>
        <v>9.8032407404389232E-3</v>
      </c>
      <c r="N229" s="182">
        <f t="shared" si="114"/>
        <v>14.116666666232049</v>
      </c>
      <c r="O229" s="182"/>
      <c r="P229" s="182"/>
      <c r="Q229" s="185"/>
      <c r="R229" s="197"/>
      <c r="S229" s="241">
        <f t="shared" si="104"/>
        <v>0</v>
      </c>
      <c r="T229" s="220" t="str">
        <f t="shared" si="107"/>
        <v>Southbound</v>
      </c>
      <c r="U229" s="22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21" t="str">
        <f t="shared" si="108"/>
        <v>https://d0f6bd738d7f1b3e5a7ca70fe4ff75f0.us-east-1.aws.found.io/app/kibana#/discover/Steve-Slow-Train-Analysis-(2080s-and-2083s)?_g=(refreshInterval:(display:Off,pause:!f,section:0,value:0),time:(from:'2017-12-12T15:03:55-0700',mode:absolute,to:'2017-12-12T17:42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9" s="222" t="str">
        <f>IF(AA229&lt;VLOOKUP(AG229,Variables!$AC$3:$AD$8,2,FALSE),"Y","N")</f>
        <v>Y</v>
      </c>
      <c r="X229" s="222">
        <f t="shared" si="122"/>
        <v>7</v>
      </c>
      <c r="Y229" s="222">
        <f t="shared" si="120"/>
        <v>0.14960000000000001</v>
      </c>
      <c r="Z229" s="222">
        <f t="shared" si="121"/>
        <v>2.331</v>
      </c>
      <c r="AA229" s="222">
        <f t="shared" si="109"/>
        <v>2.1814</v>
      </c>
      <c r="AB229" s="231" t="e">
        <f>VLOOKUP(A229,Enforcements!$C$7:$K$9,8,0)</f>
        <v>#N/A</v>
      </c>
      <c r="AC229" s="231" t="e">
        <f>VLOOKUP(A229,Enforcements!$C$7:$E$9,3,0)</f>
        <v>#N/A</v>
      </c>
      <c r="AD229" s="232">
        <f t="shared" si="110"/>
        <v>86</v>
      </c>
      <c r="AE229" s="233" t="str">
        <f t="shared" si="111"/>
        <v>aws s3 cp s3://rtdc.mdm.uploadarchive.raw/RTDC4028/ "%USERPROFILE%\AppData\Local\Temp\OnboardLogs"\RTDC4028\2017-12-12 --exclude "*" --recursive --include "*20171212*" &amp; "%USERPROFILE%\Documents\GitHub\mrs-test-scripts\Headless Mode &amp; Sideloading\WalkAndUnGZ.bat" "%USERPROFILE%\AppData\Local\Temp\OnboardLogs"\RTDC4028\2017-12-12 &amp; aws s3 cp s3://rtdc.mdm.uploadarchive.raw/RTDC4028/ "%USERPROFILE%\AppData\Local\Temp\OnboardLogs"\RTDC4028\2017-12-13 --exclude "*" --recursive --include "*20171213*" &amp; "%USERPROFILE%\Documents\GitHub\mrs-test-scripts\Headless Mode &amp; Sideloading\WalkAndUnGZ.bat" "%USERPROFILE%\AppData\Local\Temp\OnboardLogs"\RTDC4028\2017-12-13</v>
      </c>
      <c r="AF229" s="234" t="str">
        <f t="shared" si="112"/>
        <v>"C:\Program Files (x86)\AstroGrep\AstroGrep.exe" /e /r /s /spath="%USERPROFILE%\AppData\Local\Temp\OnboardLogs" /stypes="app*4028*20171212*" /stext=" 23:.+((SYSTEM_STATE.+slice.+state.+changed )|(ment ac)|(multiple cpu faults)|(system.+state.+changed )|(\[timeout)|(PRM\|1\|D)|(kpr)|(kdp)|(train st.+moving)|(\|lc)|(penalty))"</v>
      </c>
      <c r="AG229" s="226" t="str">
        <f t="shared" si="113"/>
        <v>Shuttle/Test</v>
      </c>
      <c r="AH229" s="189" t="str">
        <f t="shared" si="115"/>
        <v>"%USERPROFILE%\Documents\GitHub\eaglep3\Utilities\RefineRTDCRunTimes.py" --tripid 86-12 --locoid 4028 --swversion DE.1.0.9.0 --startMP 204:1496 --initTime 2017-12-12T16:03:55 --startdatetime 2017-12-12T16:28:35 --delay 1320 --endMP 300:23310 --enddatetime 2017-12-12T16:42:42 --enforcementcount 0 &gt;&gt;%USERPROFILE%\Documents\GitHub\eaglep3-reporting\EC\2017-12-12-refined-times.txt</v>
      </c>
      <c r="AI229" s="191" t="str">
        <f t="shared" si="116"/>
        <v>echo {"issue":{"subject":"","project_id":79,"tracker_id":40,"status_id":1,"priority_id":2,"assigned_to_id":338,"start_date":"2017-12-12","description":"","custom_fields":[{"id":1,"name":"Subdivision","value":"Shuttle/Test"},{"id":4,"name":"Milepost","value":"2.331"},{"id":17,"name":"Train ID","value":"86-12"},{"id":16,"name":"Locomotive ID","value":"4028"},{"id":130,"name":"Impact","value":""},{"id":150,"name":"Time of Event (Mountain Time)","value":"16:42:42"},{"id":151,"name":"Denver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188"/>
      <c r="AL229" s="188"/>
      <c r="AM229" s="193" t="str">
        <f t="shared" si="117"/>
        <v>start /low /b %USERPROFILE%\Documents\GitHub\eaglep3\Utilities\DownloadLogsFromS3.py --loco 4028 --day 2017-12-12</v>
      </c>
      <c r="AN229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23:42:42"},{"id":29,"name":"Sharepoint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87" t="str">
        <f t="shared" si="119"/>
        <v>https://d0f6bd738d7f1b3e5a7ca70fe4ff75f0.us-east-1.aws.found.io/app/kibana#/discover/Steve-Slow-Train-Analysis-(2080s-and-2083s)?_g=(refreshInterval:(display:Off,pause:!f,section:0,value:0),time:(from:'2017-12-12T15:03:55-0700',mode:absolute,to:'2017-12-12T17:42:42-0700'))&amp;_a=(columns:!('Message%20ID',Summary),filters:!(),index:'emp_*',interval:auto,query:(query_string:(analyze_wildcard:!t,query:'%22rtdc.l.rtdc.4028%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186" t="s">
        <v>694</v>
      </c>
      <c r="B230" s="182">
        <v>4027</v>
      </c>
      <c r="C230" s="184" t="s">
        <v>192</v>
      </c>
      <c r="D230" s="184" t="s">
        <v>1058</v>
      </c>
      <c r="E230" s="183">
        <v>43081.138819444444</v>
      </c>
      <c r="F230" s="183">
        <v>43081.140462962961</v>
      </c>
      <c r="G230" s="182">
        <v>68</v>
      </c>
      <c r="H230" s="184" t="s">
        <v>1059</v>
      </c>
      <c r="I230" s="183">
        <v>43081.141574074078</v>
      </c>
      <c r="J230" s="182">
        <v>0</v>
      </c>
      <c r="K230" s="190" t="str">
        <f t="shared" si="105"/>
        <v>4027/4028</v>
      </c>
      <c r="L230" s="196" t="str">
        <f>VLOOKUP(A230,'Trips&amp;Operators'!$C$1:$G$99911,5,FALSE)</f>
        <v>SPECTOR MICHAEL</v>
      </c>
      <c r="M230" s="181">
        <f t="shared" si="106"/>
        <v>1.1111111161881126E-3</v>
      </c>
      <c r="N230" s="182">
        <f t="shared" si="114"/>
        <v>1.6000000073108822</v>
      </c>
      <c r="O230" s="182"/>
      <c r="P230" s="182"/>
      <c r="Q230" s="185"/>
      <c r="R230" s="197"/>
      <c r="S230" s="241">
        <f t="shared" si="104"/>
        <v>0</v>
      </c>
      <c r="T230" s="220" t="str">
        <f t="shared" si="107"/>
        <v>Southbound</v>
      </c>
      <c r="U230" s="22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21" t="str">
        <f t="shared" si="108"/>
        <v>https://d0f6bd738d7f1b3e5a7ca70fe4ff75f0.us-east-1.aws.found.io/app/kibana#/discover/Steve-Slow-Train-Analysis-(2080s-and-2083s)?_g=(refreshInterval:(display:Off,pause:!f,section:0,value:0),time:(from:'2017-12-12T02:19:54-0700',mode:absolute,to:'2017-12-12T04:23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0" s="222" t="str">
        <f>IF(AA230&lt;VLOOKUP(AG230,Variables!$AC$3:$AD$8,2,FALSE),"Y","N")</f>
        <v>Y</v>
      </c>
      <c r="X230" s="222">
        <f t="shared" si="122"/>
        <v>2</v>
      </c>
      <c r="Y230" s="222">
        <f t="shared" si="120"/>
        <v>0.32429999999999998</v>
      </c>
      <c r="Z230" s="222">
        <f t="shared" si="121"/>
        <v>0.1179</v>
      </c>
      <c r="AA230" s="222">
        <f t="shared" si="109"/>
        <v>0.20639999999999997</v>
      </c>
      <c r="AB230" s="231" t="e">
        <f>VLOOKUP(A230,Enforcements!$C$7:$K$9,8,0)</f>
        <v>#N/A</v>
      </c>
      <c r="AC230" s="231" t="e">
        <f>VLOOKUP(A230,Enforcements!$C$7:$E$9,3,0)</f>
        <v>#N/A</v>
      </c>
      <c r="AD230" s="232">
        <f t="shared" si="110"/>
        <v>88</v>
      </c>
      <c r="AE230" s="233" t="str">
        <f t="shared" si="111"/>
        <v>aws s3 cp s3://rtdc.mdm.uploadarchive.raw/RTDC4027/ "%USERPROFILE%\AppData\Local\Temp\OnboardLogs"\RTDC4027\2017-12-12 --exclude "*" --recursive --include "*20171212*" &amp; "%USERPROFILE%\Documents\GitHub\mrs-test-scripts\Headless Mode &amp; Sideloading\WalkAndUnGZ.bat" "%USERPROFILE%\AppData\Local\Temp\OnboardLogs"\RTDC4027\2017-12-12 &amp; aws s3 cp s3://rtdc.mdm.uploadarchive.raw/RTDC4027/ "%USERPROFILE%\AppData\Local\Temp\OnboardLogs"\RTDC4027\2017-12-13 --exclude "*" --recursive --include "*20171213*" &amp; "%USERPROFILE%\Documents\GitHub\mrs-test-scripts\Headless Mode &amp; Sideloading\WalkAndUnGZ.bat" "%USERPROFILE%\AppData\Local\Temp\OnboardLogs"\RTDC4027\2017-12-13</v>
      </c>
      <c r="AF230" s="234" t="str">
        <f t="shared" si="112"/>
        <v>"C:\Program Files (x86)\AstroGrep\AstroGrep.exe" /e /r /s /spath="%USERPROFILE%\AppData\Local\Temp\OnboardLogs" /stypes="app*4027*20171212*" /stext=" 10:.+((SYSTEM_STATE.+slice.+state.+changed )|(ment ac)|(multiple cpu faults)|(system.+state.+changed )|(\[timeout)|(PRM\|1\|D)|(kpr)|(kdp)|(train st.+moving)|(\|lc)|(penalty))"</v>
      </c>
      <c r="AG230" s="226" t="str">
        <f t="shared" si="113"/>
        <v>Shuttle/Test</v>
      </c>
      <c r="AH230" s="189" t="str">
        <f t="shared" si="115"/>
        <v>"%USERPROFILE%\Documents\GitHub\eaglep3\Utilities\RefineRTDCRunTimes.py" --tripid 88-12 --locoid 4027 --swversion DE.1.0.9.0 --startMP 204:3243 --initTime 2017-12-12T03:19:54 --startdatetime 2017-12-12T03:22:16 --delay 68 --endMP 204:1179 --enddatetime 2017-12-12T03:23:52 --enforcementcount 0 &gt;&gt;%USERPROFILE%\Documents\GitHub\eaglep3-reporting\EC\2017-12-12-refined-times.txt</v>
      </c>
      <c r="AI230" s="191" t="str">
        <f t="shared" si="116"/>
        <v>echo {"issue":{"subject":"","project_id":79,"tracker_id":40,"status_id":1,"priority_id":2,"assigned_to_id":338,"start_date":"2017-12-12","description":"","custom_fields":[{"id":1,"name":"Subdivision","value":"Shuttle/Test"},{"id":4,"name":"Milepost","value":"0.1179"},{"id":17,"name":"Train ID","value":"88-12"},{"id":16,"name":"Locomotive ID","value":"4027"},{"id":130,"name":"Impact","value":""},{"id":150,"name":"Time of Event (Mountain Time)","value":"03:23:52"},{"id":151,"name":"Denver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180"/>
      <c r="AK230" s="188"/>
      <c r="AL230" s="188"/>
      <c r="AM230" s="193" t="str">
        <f t="shared" si="117"/>
        <v>start /low /b %USERPROFILE%\Documents\GitHub\eaglep3\Utilities\DownloadLogsFromS3.py --loco 4027 --day 2017-12-12</v>
      </c>
      <c r="AN230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10:23:52"},{"id":29,"name":"Sharepoint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87" t="str">
        <f t="shared" si="119"/>
        <v>https://d0f6bd738d7f1b3e5a7ca70fe4ff75f0.us-east-1.aws.found.io/app/kibana#/discover/Steve-Slow-Train-Analysis-(2080s-and-2083s)?_g=(refreshInterval:(display:Off,pause:!f,section:0,value:0),time:(from:'2017-12-12T02:19:54-0700',mode:absolute,to:'2017-12-12T04:23:52-0700'))&amp;_a=(columns:!('Message%20ID',Summary),filters:!(),index:'emp_*',interval:auto,query:(query_string:(analyze_wildcard:!t,query:'%22rtdc.l.rtdc.4027%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186" t="s">
        <v>692</v>
      </c>
      <c r="B231" s="182">
        <v>4028</v>
      </c>
      <c r="C231" s="184" t="s">
        <v>192</v>
      </c>
      <c r="D231" s="184" t="s">
        <v>654</v>
      </c>
      <c r="E231" s="183">
        <v>43081.123703703706</v>
      </c>
      <c r="F231" s="183">
        <v>43081.136689814812</v>
      </c>
      <c r="G231" s="182">
        <v>77</v>
      </c>
      <c r="H231" s="184" t="s">
        <v>1060</v>
      </c>
      <c r="I231" s="183">
        <v>43081.13784722222</v>
      </c>
      <c r="J231" s="182">
        <v>0</v>
      </c>
      <c r="K231" s="190" t="str">
        <f t="shared" si="105"/>
        <v>4027/4028</v>
      </c>
      <c r="L231" s="196" t="str">
        <f>VLOOKUP(A231,'Trips&amp;Operators'!$C$1:$G$99911,5,FALSE)</f>
        <v>SPECTOR MICHAEL</v>
      </c>
      <c r="M231" s="181">
        <f t="shared" si="106"/>
        <v>1.157407408754807E-3</v>
      </c>
      <c r="N231" s="182">
        <f t="shared" si="114"/>
        <v>1.666666668606922</v>
      </c>
      <c r="O231" s="182"/>
      <c r="P231" s="182"/>
      <c r="Q231" s="185"/>
      <c r="R231" s="197"/>
      <c r="S231" s="241">
        <f t="shared" si="104"/>
        <v>0</v>
      </c>
      <c r="T231" s="220" t="str">
        <f t="shared" si="107"/>
        <v>NorthBound</v>
      </c>
      <c r="U231" s="22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21" t="str">
        <f t="shared" si="108"/>
        <v>https://d0f6bd738d7f1b3e5a7ca70fe4ff75f0.us-east-1.aws.found.io/app/kibana#/discover/Steve-Slow-Train-Analysis-(2080s-and-2083s)?_g=(refreshInterval:(display:Off,pause:!f,section:0,value:0),time:(from:'2017-12-12T01:58:08-0700',mode:absolute,to:'2017-12-12T04:18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1" s="222" t="str">
        <f>IF(AA231&lt;VLOOKUP(AG231,Variables!$AC$3:$AD$8,2,FALSE),"Y","N")</f>
        <v>Y</v>
      </c>
      <c r="X231" s="222">
        <f t="shared" si="122"/>
        <v>1</v>
      </c>
      <c r="Y231" s="222">
        <f t="shared" si="120"/>
        <v>4.2599999999999999E-2</v>
      </c>
      <c r="Z231" s="222">
        <f t="shared" si="121"/>
        <v>0.35620000000000002</v>
      </c>
      <c r="AA231" s="222">
        <f t="shared" si="109"/>
        <v>0.31359999999999999</v>
      </c>
      <c r="AB231" s="231" t="e">
        <f>VLOOKUP(A231,Enforcements!$C$7:$K$9,8,0)</f>
        <v>#N/A</v>
      </c>
      <c r="AC231" s="231" t="e">
        <f>VLOOKUP(A231,Enforcements!$C$7:$E$9,3,0)</f>
        <v>#N/A</v>
      </c>
      <c r="AD231" s="232">
        <f t="shared" si="110"/>
        <v>89</v>
      </c>
      <c r="AE231" s="233" t="str">
        <f t="shared" si="111"/>
        <v>aws s3 cp s3://rtdc.mdm.uploadarchive.raw/RTDC4028/ "%USERPROFILE%\AppData\Local\Temp\OnboardLogs"\RTDC4028\2017-12-12 --exclude "*" --recursive --include "*20171212*" &amp; "%USERPROFILE%\Documents\GitHub\mrs-test-scripts\Headless Mode &amp; Sideloading\WalkAndUnGZ.bat" "%USERPROFILE%\AppData\Local\Temp\OnboardLogs"\RTDC4028\2017-12-12 &amp; aws s3 cp s3://rtdc.mdm.uploadarchive.raw/RTDC4028/ "%USERPROFILE%\AppData\Local\Temp\OnboardLogs"\RTDC4028\2017-12-13 --exclude "*" --recursive --include "*20171213*" &amp; "%USERPROFILE%\Documents\GitHub\mrs-test-scripts\Headless Mode &amp; Sideloading\WalkAndUnGZ.bat" "%USERPROFILE%\AppData\Local\Temp\OnboardLogs"\RTDC4028\2017-12-13</v>
      </c>
      <c r="AF231" s="234" t="str">
        <f t="shared" si="112"/>
        <v>"C:\Program Files (x86)\AstroGrep\AstroGrep.exe" /e /r /s /spath="%USERPROFILE%\AppData\Local\Temp\OnboardLogs" /stypes="app*4028*20171212*" /stext=" 10:.+((SYSTEM_STATE.+slice.+state.+changed )|(ment ac)|(multiple cpu faults)|(system.+state.+changed )|(\[timeout)|(PRM\|1\|D)|(kpr)|(kdp)|(train st.+moving)|(\|lc)|(penalty))"</v>
      </c>
      <c r="AG231" s="226" t="str">
        <f t="shared" si="113"/>
        <v>Shuttle/Test</v>
      </c>
      <c r="AH231" s="189" t="str">
        <f t="shared" si="115"/>
        <v>"%USERPROFILE%\Documents\GitHub\eaglep3\Utilities\RefineRTDCRunTimes.py" --tripid 89-12 --locoid 4028 --swversion DE.1.0.9.0 --startMP 204:426 --initTime 2017-12-12T02:58:08 --startdatetime 2017-12-12T03:16:50 --delay 77 --endMP 204:3562 --enddatetime 2017-12-12T03:18:30 --enforcementcount 0 &gt;&gt;%USERPROFILE%\Documents\GitHub\eaglep3-reporting\EC\2017-12-12-refined-times.txt</v>
      </c>
      <c r="AI231" s="191" t="str">
        <f t="shared" si="116"/>
        <v>echo {"issue":{"subject":"","project_id":79,"tracker_id":40,"status_id":1,"priority_id":2,"assigned_to_id":338,"start_date":"2017-12-12","description":"","custom_fields":[{"id":1,"name":"Subdivision","value":"Shuttle/Test"},{"id":4,"name":"Milepost","value":"0.3562"},{"id":17,"name":"Train ID","value":"89-12"},{"id":16,"name":"Locomotive ID","value":"4028"},{"id":130,"name":"Impact","value":""},{"id":150,"name":"Time of Event (Mountain Time)","value":"03:18:30"},{"id":151,"name":"Denver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180"/>
      <c r="AK231" s="188"/>
      <c r="AL231" s="188"/>
      <c r="AM231" s="193" t="str">
        <f t="shared" si="117"/>
        <v>start /low /b %USERPROFILE%\Documents\GitHub\eaglep3\Utilities\DownloadLogsFromS3.py --loco 4028 --day 2017-12-12</v>
      </c>
      <c r="AN231" s="194" t="str">
        <f t="shared" si="118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10:18:30"},{"id":29,"name":"Sharepoint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87" t="str">
        <f t="shared" si="119"/>
        <v>https://d0f6bd738d7f1b3e5a7ca70fe4ff75f0.us-east-1.aws.found.io/app/kibana#/discover/Steve-Slow-Train-Analysis-(2080s-and-2083s)?_g=(refreshInterval:(display:Off,pause:!f,section:0,value:0),time:(from:'2017-12-12T01:58:08-0700',mode:absolute,to:'2017-12-12T04:18:30-0700'))&amp;_a=(columns:!('Message%20ID',Summary),filters:!(),index:'emp_*',interval:auto,query:(query_string:(analyze_wildcard:!t,query:'%22rtdc.l.rtdc.4028%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 s="239"/>
      <c r="T232"/>
      <c r="U232"/>
      <c r="V232"/>
      <c r="W232"/>
      <c r="X232" s="200"/>
      <c r="Y232" s="200"/>
      <c r="Z232" s="200"/>
      <c r="AA232" s="200"/>
      <c r="AB232" s="200"/>
      <c r="AC232" s="200"/>
      <c r="AD232" s="200"/>
      <c r="AE232" s="200"/>
      <c r="AF232" s="200"/>
      <c r="AG232" s="200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 s="239"/>
      <c r="T233"/>
      <c r="U233"/>
      <c r="V233"/>
      <c r="W233"/>
      <c r="X233" s="200"/>
      <c r="Y233" s="200"/>
      <c r="Z233" s="200"/>
      <c r="AA233" s="200"/>
      <c r="AB233" s="200"/>
      <c r="AC233" s="200"/>
      <c r="AD233" s="200"/>
      <c r="AE233" s="200"/>
      <c r="AF233" s="200"/>
      <c r="AG233" s="200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 s="239"/>
      <c r="T234"/>
      <c r="U234"/>
      <c r="V234"/>
      <c r="W234"/>
      <c r="X234" s="200"/>
      <c r="Y234" s="200"/>
      <c r="Z234" s="200"/>
      <c r="AA234" s="200"/>
      <c r="AB234" s="200"/>
      <c r="AC234" s="200"/>
      <c r="AD234" s="200"/>
      <c r="AE234" s="200"/>
      <c r="AF234" s="200"/>
      <c r="AG234" s="200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239"/>
      <c r="T235"/>
      <c r="U235"/>
      <c r="V235"/>
      <c r="W235"/>
      <c r="X235" s="200"/>
      <c r="Y235" s="200"/>
      <c r="Z235" s="200"/>
      <c r="AA235" s="200"/>
      <c r="AB235" s="200"/>
      <c r="AC235" s="200"/>
      <c r="AD235" s="200"/>
      <c r="AE235" s="200"/>
      <c r="AF235" s="200"/>
      <c r="AG235" s="200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 s="239"/>
      <c r="T236"/>
      <c r="U236"/>
      <c r="V236"/>
      <c r="W236"/>
      <c r="X236" s="200"/>
      <c r="Y236" s="200"/>
      <c r="Z236" s="200"/>
      <c r="AA236" s="200"/>
      <c r="AB236" s="200"/>
      <c r="AC236" s="200"/>
      <c r="AD236" s="200"/>
      <c r="AE236" s="200"/>
      <c r="AF236" s="200"/>
      <c r="AG236" s="200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18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239"/>
      <c r="T237"/>
      <c r="U237"/>
      <c r="V237"/>
      <c r="W237"/>
      <c r="X237" s="200"/>
      <c r="Y237" s="200"/>
      <c r="Z237" s="200"/>
      <c r="AA237" s="200"/>
      <c r="AB237" s="200"/>
      <c r="AC237" s="200"/>
      <c r="AD237" s="200"/>
      <c r="AE237" s="200"/>
      <c r="AF237" s="200"/>
      <c r="AG237" s="200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 s="239"/>
      <c r="T238"/>
      <c r="U238"/>
      <c r="V238"/>
      <c r="W238"/>
      <c r="X238" s="200"/>
      <c r="Y238" s="200"/>
      <c r="Z238" s="200"/>
      <c r="AA238" s="200"/>
      <c r="AB238" s="200"/>
      <c r="AC238" s="200"/>
      <c r="AD238" s="200"/>
      <c r="AE238" s="200"/>
      <c r="AF238" s="200"/>
      <c r="AG238" s="200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 s="239"/>
      <c r="T239"/>
      <c r="U239"/>
      <c r="V239"/>
      <c r="W239"/>
      <c r="X239" s="200"/>
      <c r="Y239" s="200"/>
      <c r="Z239" s="200"/>
      <c r="AA239" s="200"/>
      <c r="AB239" s="200"/>
      <c r="AC239" s="200"/>
      <c r="AD239" s="200"/>
      <c r="AE239" s="200"/>
      <c r="AF239" s="200"/>
      <c r="AG239" s="200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 s="239"/>
      <c r="T240"/>
      <c r="U240"/>
      <c r="V240"/>
      <c r="W240"/>
      <c r="X240" s="200"/>
      <c r="Y240" s="200"/>
      <c r="Z240" s="200"/>
      <c r="AA240" s="200"/>
      <c r="AB240" s="200"/>
      <c r="AC240" s="200"/>
      <c r="AD240" s="200"/>
      <c r="AE240" s="200"/>
      <c r="AF240" s="200"/>
      <c r="AG240" s="20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18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 s="239"/>
      <c r="T241"/>
      <c r="U241"/>
      <c r="V241"/>
      <c r="W241"/>
      <c r="X241" s="200"/>
      <c r="Y241" s="200"/>
      <c r="Z241" s="200"/>
      <c r="AA241" s="200"/>
      <c r="AB241" s="200"/>
      <c r="AC241" s="200"/>
      <c r="AD241" s="200"/>
      <c r="AE241" s="200"/>
      <c r="AF241" s="200"/>
      <c r="AG241" s="200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 s="239"/>
      <c r="T242"/>
      <c r="U242"/>
      <c r="V242"/>
      <c r="W242"/>
      <c r="X242" s="200"/>
      <c r="Y242" s="200"/>
      <c r="Z242" s="200"/>
      <c r="AA242" s="200"/>
      <c r="AB242" s="200"/>
      <c r="AC242" s="200"/>
      <c r="AD242" s="200"/>
      <c r="AE242" s="200"/>
      <c r="AF242" s="200"/>
      <c r="AG242" s="200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 s="239"/>
      <c r="T243"/>
      <c r="U243"/>
      <c r="V243"/>
      <c r="W243"/>
      <c r="X243" s="200"/>
      <c r="Y243" s="200"/>
      <c r="Z243" s="200"/>
      <c r="AA243" s="200"/>
      <c r="AB243" s="200"/>
      <c r="AC243" s="200"/>
      <c r="AD243" s="200"/>
      <c r="AE243" s="200"/>
      <c r="AF243" s="200"/>
      <c r="AG243" s="200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 s="239"/>
      <c r="T244"/>
      <c r="U244"/>
      <c r="V244"/>
      <c r="W244"/>
      <c r="X244" s="200"/>
      <c r="Y244" s="200"/>
      <c r="Z244" s="200"/>
      <c r="AA244" s="200"/>
      <c r="AB244" s="200"/>
      <c r="AC244" s="200"/>
      <c r="AD244" s="200"/>
      <c r="AE244" s="200"/>
      <c r="AF244" s="200"/>
      <c r="AG244" s="200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 s="239"/>
      <c r="T245"/>
      <c r="U245"/>
      <c r="V245"/>
      <c r="W245"/>
      <c r="X245" s="200"/>
      <c r="Y245" s="200"/>
      <c r="Z245" s="200"/>
      <c r="AA245" s="200"/>
      <c r="AB245" s="200"/>
      <c r="AC245" s="200"/>
      <c r="AD245" s="200"/>
      <c r="AE245" s="200"/>
      <c r="AF245" s="200"/>
      <c r="AG245" s="200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18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 s="239"/>
      <c r="T246"/>
      <c r="U246"/>
      <c r="V246"/>
      <c r="W246"/>
      <c r="X246" s="200"/>
      <c r="Y246" s="200"/>
      <c r="Z246" s="200"/>
      <c r="AA246" s="200"/>
      <c r="AB246" s="200"/>
      <c r="AC246" s="200"/>
      <c r="AD246" s="200"/>
      <c r="AE246" s="200"/>
      <c r="AF246" s="200"/>
      <c r="AG246" s="200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239"/>
      <c r="T247"/>
      <c r="U247"/>
      <c r="V247"/>
      <c r="W247"/>
      <c r="X247" s="200"/>
      <c r="Y247" s="200"/>
      <c r="Z247" s="200"/>
      <c r="AA247" s="200"/>
      <c r="AB247" s="200"/>
      <c r="AC247" s="200"/>
      <c r="AD247" s="200"/>
      <c r="AE247" s="200"/>
      <c r="AF247" s="200"/>
      <c r="AG247" s="200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239"/>
      <c r="T248"/>
      <c r="U248"/>
      <c r="V248"/>
      <c r="W248"/>
      <c r="X248" s="200"/>
      <c r="Y248" s="200"/>
      <c r="Z248" s="200"/>
      <c r="AA248" s="200"/>
      <c r="AB248" s="200"/>
      <c r="AC248" s="200"/>
      <c r="AD248" s="200"/>
      <c r="AE248" s="200"/>
      <c r="AF248" s="200"/>
      <c r="AG248" s="200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 s="239"/>
      <c r="T249"/>
      <c r="U249"/>
      <c r="V249"/>
      <c r="W249"/>
      <c r="X249" s="200"/>
      <c r="Y249" s="200"/>
      <c r="Z249" s="200"/>
      <c r="AA249" s="200"/>
      <c r="AB249" s="200"/>
      <c r="AC249" s="200"/>
      <c r="AD249" s="200"/>
      <c r="AE249" s="200"/>
      <c r="AF249" s="200"/>
      <c r="AG249" s="200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 s="239"/>
      <c r="T250"/>
      <c r="U250"/>
      <c r="V250"/>
      <c r="W250"/>
      <c r="X250" s="200"/>
      <c r="Y250" s="200"/>
      <c r="Z250" s="200"/>
      <c r="AA250" s="200"/>
      <c r="AB250" s="200"/>
      <c r="AC250" s="200"/>
      <c r="AD250" s="200"/>
      <c r="AE250" s="200"/>
      <c r="AF250" s="200"/>
      <c r="AG250" s="20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239"/>
      <c r="T251"/>
      <c r="U251"/>
      <c r="V251"/>
      <c r="W251"/>
      <c r="X251" s="200"/>
      <c r="Y251" s="200"/>
      <c r="Z251" s="200"/>
      <c r="AA251" s="200"/>
      <c r="AB251" s="200"/>
      <c r="AC251" s="200"/>
      <c r="AD251" s="200"/>
      <c r="AE251" s="200"/>
      <c r="AF251" s="200"/>
      <c r="AG251" s="200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 s="239"/>
      <c r="T252"/>
      <c r="U252"/>
      <c r="V252"/>
      <c r="W252"/>
      <c r="X252" s="200"/>
      <c r="Y252" s="200"/>
      <c r="Z252" s="200"/>
      <c r="AA252" s="200"/>
      <c r="AB252" s="200"/>
      <c r="AC252" s="200"/>
      <c r="AD252" s="200"/>
      <c r="AE252" s="200"/>
      <c r="AF252" s="200"/>
      <c r="AG252" s="200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239"/>
      <c r="T253"/>
      <c r="U253"/>
      <c r="V253"/>
      <c r="W253"/>
      <c r="X253" s="200"/>
      <c r="Y253" s="200"/>
      <c r="Z253" s="200"/>
      <c r="AA253" s="200"/>
      <c r="AB253" s="200"/>
      <c r="AC253" s="200"/>
      <c r="AD253" s="200"/>
      <c r="AE253" s="200"/>
      <c r="AF253" s="200"/>
      <c r="AG253" s="200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239"/>
      <c r="T254"/>
      <c r="U254"/>
      <c r="V254"/>
      <c r="W254"/>
      <c r="X254" s="200"/>
      <c r="Y254" s="200"/>
      <c r="Z254" s="200"/>
      <c r="AA254" s="200"/>
      <c r="AB254" s="200"/>
      <c r="AC254" s="200"/>
      <c r="AD254" s="200"/>
      <c r="AE254" s="200"/>
      <c r="AF254" s="200"/>
      <c r="AG254" s="200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 s="239"/>
      <c r="T255"/>
      <c r="U255"/>
      <c r="V255"/>
      <c r="W255"/>
      <c r="X255" s="200"/>
      <c r="Y255" s="200"/>
      <c r="Z255" s="200"/>
      <c r="AA255" s="200"/>
      <c r="AB255" s="200"/>
      <c r="AC255" s="200"/>
      <c r="AD255" s="200"/>
      <c r="AE255" s="200"/>
      <c r="AF255" s="200"/>
      <c r="AG255" s="200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18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 s="239"/>
      <c r="T256"/>
      <c r="U256"/>
      <c r="V256"/>
      <c r="W256"/>
      <c r="X256" s="200"/>
      <c r="Y256" s="200"/>
      <c r="Z256" s="200"/>
      <c r="AA256" s="200"/>
      <c r="AB256" s="200"/>
      <c r="AC256" s="200"/>
      <c r="AD256" s="200"/>
      <c r="AE256" s="200"/>
      <c r="AF256" s="200"/>
      <c r="AG256" s="200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 s="239"/>
      <c r="T257"/>
      <c r="U257"/>
      <c r="V257"/>
      <c r="W257"/>
      <c r="X257" s="200"/>
      <c r="Y257" s="200"/>
      <c r="Z257" s="200"/>
      <c r="AA257" s="200"/>
      <c r="AB257" s="200"/>
      <c r="AC257" s="200"/>
      <c r="AD257" s="200"/>
      <c r="AE257" s="200"/>
      <c r="AF257" s="200"/>
      <c r="AG257" s="200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 s="239"/>
      <c r="T258"/>
      <c r="U258"/>
      <c r="V258"/>
      <c r="W258"/>
      <c r="X258" s="200"/>
      <c r="Y258" s="200"/>
      <c r="Z258" s="200"/>
      <c r="AA258" s="200"/>
      <c r="AB258" s="200"/>
      <c r="AC258" s="200"/>
      <c r="AD258" s="200"/>
      <c r="AE258" s="200"/>
      <c r="AF258" s="200"/>
      <c r="AG258" s="200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 s="239"/>
      <c r="T259"/>
      <c r="U259"/>
      <c r="V259"/>
      <c r="W259"/>
      <c r="X259" s="200"/>
      <c r="Y259" s="200"/>
      <c r="Z259" s="200"/>
      <c r="AA259" s="200"/>
      <c r="AB259" s="200"/>
      <c r="AC259" s="200"/>
      <c r="AD259" s="200"/>
      <c r="AE259" s="200"/>
      <c r="AF259" s="200"/>
      <c r="AG259" s="200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 s="239"/>
      <c r="T260"/>
      <c r="U260"/>
      <c r="V260"/>
      <c r="W260"/>
      <c r="X260" s="200"/>
      <c r="Y260" s="200"/>
      <c r="Z260" s="200"/>
      <c r="AA260" s="200"/>
      <c r="AB260" s="200"/>
      <c r="AC260" s="200"/>
      <c r="AD260" s="200"/>
      <c r="AE260" s="200"/>
      <c r="AF260" s="200"/>
      <c r="AG260" s="20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18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 s="239"/>
      <c r="T261"/>
      <c r="U261"/>
      <c r="V261"/>
      <c r="W261"/>
      <c r="X261" s="200"/>
      <c r="Y261" s="200"/>
      <c r="Z261" s="200"/>
      <c r="AA261" s="200"/>
      <c r="AB261" s="200"/>
      <c r="AC261" s="200"/>
      <c r="AD261" s="200"/>
      <c r="AE261" s="200"/>
      <c r="AF261" s="200"/>
      <c r="AG261" s="200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 s="239"/>
      <c r="T262"/>
      <c r="U262"/>
      <c r="V262"/>
      <c r="W262"/>
      <c r="X262" s="200"/>
      <c r="Y262" s="200"/>
      <c r="Z262" s="200"/>
      <c r="AA262" s="200"/>
      <c r="AB262" s="200"/>
      <c r="AC262" s="200"/>
      <c r="AD262" s="200"/>
      <c r="AE262" s="200"/>
      <c r="AF262" s="200"/>
      <c r="AG262" s="200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 s="239"/>
      <c r="T263"/>
      <c r="U263"/>
      <c r="V263"/>
      <c r="W263"/>
      <c r="X263" s="200"/>
      <c r="Y263" s="200"/>
      <c r="Z263" s="200"/>
      <c r="AA263" s="200"/>
      <c r="AB263" s="200"/>
      <c r="AC263" s="200"/>
      <c r="AD263" s="200"/>
      <c r="AE263" s="200"/>
      <c r="AF263" s="200"/>
      <c r="AG263" s="200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 s="239"/>
      <c r="T264"/>
      <c r="U264"/>
      <c r="V264"/>
      <c r="W264"/>
      <c r="X264" s="200"/>
      <c r="Y264" s="200"/>
      <c r="Z264" s="200"/>
      <c r="AA264" s="200"/>
      <c r="AB264" s="200"/>
      <c r="AC264" s="200"/>
      <c r="AD264" s="200"/>
      <c r="AE264" s="200"/>
      <c r="AF264" s="200"/>
      <c r="AG264" s="200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 s="239"/>
      <c r="T265"/>
      <c r="U265"/>
      <c r="V265"/>
      <c r="W265"/>
      <c r="X265" s="200"/>
      <c r="Y265" s="200"/>
      <c r="Z265" s="200"/>
      <c r="AA265" s="200"/>
      <c r="AB265" s="200"/>
      <c r="AC265" s="200"/>
      <c r="AD265" s="200"/>
      <c r="AE265" s="200"/>
      <c r="AF265" s="200"/>
      <c r="AG265" s="200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 s="239"/>
      <c r="T266"/>
      <c r="U266"/>
      <c r="V266"/>
      <c r="W266"/>
      <c r="X266" s="200"/>
      <c r="Y266" s="200"/>
      <c r="Z266" s="200"/>
      <c r="AA266" s="200"/>
      <c r="AB266" s="200"/>
      <c r="AC266" s="200"/>
      <c r="AD266" s="200"/>
      <c r="AE266" s="200"/>
      <c r="AF266" s="200"/>
      <c r="AG266" s="200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 s="239"/>
      <c r="T267"/>
      <c r="U267"/>
      <c r="V267"/>
      <c r="W267"/>
      <c r="X267" s="200"/>
      <c r="Y267" s="200"/>
      <c r="Z267" s="200"/>
      <c r="AA267" s="200"/>
      <c r="AB267" s="200"/>
      <c r="AC267" s="200"/>
      <c r="AD267" s="200"/>
      <c r="AE267" s="200"/>
      <c r="AF267" s="200"/>
      <c r="AG267" s="200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 s="239"/>
      <c r="T268"/>
      <c r="U268"/>
      <c r="V268"/>
      <c r="W268"/>
      <c r="X268" s="200"/>
      <c r="Y268" s="200"/>
      <c r="Z268" s="200"/>
      <c r="AA268" s="200"/>
      <c r="AB268" s="200"/>
      <c r="AC268" s="200"/>
      <c r="AD268" s="200"/>
      <c r="AE268" s="200"/>
      <c r="AF268" s="200"/>
      <c r="AG268" s="200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 s="239"/>
      <c r="T269"/>
      <c r="U269"/>
      <c r="V269"/>
      <c r="W269"/>
      <c r="X269" s="200"/>
      <c r="Y269" s="200"/>
      <c r="Z269" s="200"/>
      <c r="AA269" s="200"/>
      <c r="AB269" s="200"/>
      <c r="AC269" s="200"/>
      <c r="AD269" s="200"/>
      <c r="AE269" s="200"/>
      <c r="AF269" s="200"/>
      <c r="AG269" s="200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 s="239"/>
      <c r="T270"/>
      <c r="U270"/>
      <c r="V270"/>
      <c r="W270"/>
      <c r="X270" s="200"/>
      <c r="Y270" s="200"/>
      <c r="Z270" s="200"/>
      <c r="AA270" s="200"/>
      <c r="AB270" s="200"/>
      <c r="AC270" s="200"/>
      <c r="AD270" s="200"/>
      <c r="AE270" s="200"/>
      <c r="AF270" s="200"/>
      <c r="AG270" s="20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 s="239"/>
      <c r="T271"/>
      <c r="U271"/>
      <c r="V271"/>
      <c r="W271"/>
      <c r="X271" s="200"/>
      <c r="Y271" s="200"/>
      <c r="Z271" s="200"/>
      <c r="AA271" s="200"/>
      <c r="AB271" s="200"/>
      <c r="AC271" s="200"/>
      <c r="AD271" s="200"/>
      <c r="AE271" s="200"/>
      <c r="AF271" s="200"/>
      <c r="AG271" s="200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 s="239"/>
      <c r="T272"/>
      <c r="U272"/>
      <c r="V272"/>
      <c r="W272"/>
      <c r="X272" s="200"/>
      <c r="Y272" s="200"/>
      <c r="Z272" s="200"/>
      <c r="AA272" s="200"/>
      <c r="AB272" s="200"/>
      <c r="AC272" s="200"/>
      <c r="AD272" s="200"/>
      <c r="AE272" s="200"/>
      <c r="AF272" s="200"/>
      <c r="AG272" s="200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 s="239"/>
      <c r="T273"/>
      <c r="U273"/>
      <c r="V273"/>
      <c r="W273"/>
      <c r="X273" s="200"/>
      <c r="Y273" s="200"/>
      <c r="Z273" s="200"/>
      <c r="AA273" s="200"/>
      <c r="AB273" s="200"/>
      <c r="AC273" s="200"/>
      <c r="AD273" s="200"/>
      <c r="AE273" s="200"/>
      <c r="AF273" s="200"/>
      <c r="AG273" s="200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239"/>
      <c r="T274"/>
      <c r="U274"/>
      <c r="V274"/>
      <c r="W274"/>
      <c r="X274" s="200"/>
      <c r="Y274" s="200"/>
      <c r="Z274" s="200"/>
      <c r="AA274" s="200"/>
      <c r="AB274" s="200"/>
      <c r="AC274" s="200"/>
      <c r="AD274" s="200"/>
      <c r="AE274" s="200"/>
      <c r="AF274" s="200"/>
      <c r="AG274" s="200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 s="239"/>
      <c r="T275"/>
      <c r="U275"/>
      <c r="V275"/>
      <c r="W275"/>
      <c r="X275" s="200"/>
      <c r="Y275" s="200"/>
      <c r="Z275" s="200"/>
      <c r="AA275" s="200"/>
      <c r="AB275" s="200"/>
      <c r="AC275" s="200"/>
      <c r="AD275" s="200"/>
      <c r="AE275" s="200"/>
      <c r="AF275" s="200"/>
      <c r="AG275" s="200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 s="239"/>
      <c r="T276"/>
      <c r="U276"/>
      <c r="V276"/>
      <c r="W276"/>
      <c r="X276" s="200"/>
      <c r="Y276" s="200"/>
      <c r="Z276" s="200"/>
      <c r="AA276" s="200"/>
      <c r="AB276" s="200"/>
      <c r="AC276" s="200"/>
      <c r="AD276" s="200"/>
      <c r="AE276" s="200"/>
      <c r="AF276" s="200"/>
      <c r="AG276" s="200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 s="239"/>
      <c r="T277"/>
      <c r="U277"/>
      <c r="V277"/>
      <c r="W277"/>
      <c r="X277" s="200"/>
      <c r="Y277" s="200"/>
      <c r="Z277" s="200"/>
      <c r="AA277" s="200"/>
      <c r="AB277" s="200"/>
      <c r="AC277" s="200"/>
      <c r="AD277" s="200"/>
      <c r="AE277" s="200"/>
      <c r="AF277" s="200"/>
      <c r="AG277" s="200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 s="239"/>
      <c r="T278"/>
      <c r="U278"/>
      <c r="V278"/>
      <c r="W278"/>
      <c r="X278" s="200"/>
      <c r="Y278" s="200"/>
      <c r="Z278" s="200"/>
      <c r="AA278" s="200"/>
      <c r="AB278" s="200"/>
      <c r="AC278" s="200"/>
      <c r="AD278" s="200"/>
      <c r="AE278" s="200"/>
      <c r="AF278" s="200"/>
      <c r="AG278" s="200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 s="239"/>
      <c r="T279"/>
      <c r="U279"/>
      <c r="V279"/>
      <c r="W279"/>
      <c r="X279" s="200"/>
      <c r="Y279" s="200"/>
      <c r="Z279" s="200"/>
      <c r="AA279" s="200"/>
      <c r="AB279" s="200"/>
      <c r="AC279" s="200"/>
      <c r="AD279" s="200"/>
      <c r="AE279" s="200"/>
      <c r="AF279" s="200"/>
      <c r="AG279" s="200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 s="239"/>
      <c r="T280"/>
      <c r="U280"/>
      <c r="V280"/>
      <c r="W280"/>
      <c r="X280" s="200"/>
      <c r="Y280" s="200"/>
      <c r="Z280" s="200"/>
      <c r="AA280" s="200"/>
      <c r="AB280" s="200"/>
      <c r="AC280" s="200"/>
      <c r="AD280" s="200"/>
      <c r="AE280" s="200"/>
      <c r="AF280" s="200"/>
      <c r="AG280" s="20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 s="239"/>
      <c r="T281"/>
      <c r="U281"/>
      <c r="V281"/>
      <c r="W281"/>
      <c r="X281" s="200"/>
      <c r="Y281" s="200"/>
      <c r="Z281" s="200"/>
      <c r="AA281" s="200"/>
      <c r="AB281" s="200"/>
      <c r="AC281" s="200"/>
      <c r="AD281" s="200"/>
      <c r="AE281" s="200"/>
      <c r="AF281" s="200"/>
      <c r="AG281" s="200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 s="239"/>
      <c r="T282"/>
      <c r="U282"/>
      <c r="V282"/>
      <c r="W282"/>
      <c r="X282" s="200"/>
      <c r="Y282" s="200"/>
      <c r="Z282" s="200"/>
      <c r="AA282" s="200"/>
      <c r="AB282" s="200"/>
      <c r="AC282" s="200"/>
      <c r="AD282" s="200"/>
      <c r="AE282" s="200"/>
      <c r="AF282" s="200"/>
      <c r="AG282" s="200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 s="239"/>
      <c r="T283"/>
      <c r="U283"/>
      <c r="V283"/>
      <c r="W283"/>
      <c r="X283" s="200"/>
      <c r="Y283" s="200"/>
      <c r="Z283" s="200"/>
      <c r="AA283" s="200"/>
      <c r="AB283" s="200"/>
      <c r="AC283" s="200"/>
      <c r="AD283" s="200"/>
      <c r="AE283" s="200"/>
      <c r="AF283" s="200"/>
      <c r="AG283" s="200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 s="239"/>
      <c r="T284"/>
      <c r="U284"/>
      <c r="V284"/>
      <c r="W284"/>
      <c r="X284" s="200"/>
      <c r="Y284" s="200"/>
      <c r="Z284" s="200"/>
      <c r="AA284" s="200"/>
      <c r="AB284" s="200"/>
      <c r="AC284" s="200"/>
      <c r="AD284" s="200"/>
      <c r="AE284" s="200"/>
      <c r="AF284" s="200"/>
      <c r="AG284" s="200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 s="239"/>
      <c r="T285"/>
      <c r="U285"/>
      <c r="V285"/>
      <c r="W285"/>
      <c r="X285" s="200"/>
      <c r="Y285" s="200"/>
      <c r="Z285" s="200"/>
      <c r="AA285" s="200"/>
      <c r="AB285" s="200"/>
      <c r="AC285" s="200"/>
      <c r="AD285" s="200"/>
      <c r="AE285" s="200"/>
      <c r="AF285" s="200"/>
      <c r="AG285" s="200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 s="239"/>
      <c r="T286"/>
      <c r="U286"/>
      <c r="V286"/>
      <c r="W286"/>
      <c r="X286" s="200"/>
      <c r="Y286" s="200"/>
      <c r="Z286" s="200"/>
      <c r="AA286" s="200"/>
      <c r="AB286" s="200"/>
      <c r="AC286" s="200"/>
      <c r="AD286" s="200"/>
      <c r="AE286" s="200"/>
      <c r="AF286" s="200"/>
      <c r="AG286" s="200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 s="239"/>
      <c r="T287"/>
      <c r="U287"/>
      <c r="V287"/>
      <c r="W287"/>
      <c r="X287" s="200"/>
      <c r="Y287" s="200"/>
      <c r="Z287" s="200"/>
      <c r="AA287" s="200"/>
      <c r="AB287" s="200"/>
      <c r="AC287" s="200"/>
      <c r="AD287" s="200"/>
      <c r="AE287" s="200"/>
      <c r="AF287" s="200"/>
      <c r="AG287" s="200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 s="239"/>
      <c r="T288"/>
      <c r="U288"/>
      <c r="V288"/>
      <c r="W288"/>
      <c r="X288" s="200"/>
      <c r="Y288" s="200"/>
      <c r="Z288" s="200"/>
      <c r="AA288" s="200"/>
      <c r="AB288" s="200"/>
      <c r="AC288" s="200"/>
      <c r="AD288" s="200"/>
      <c r="AE288" s="200"/>
      <c r="AF288" s="200"/>
      <c r="AG288" s="200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 s="239"/>
      <c r="T289"/>
      <c r="U289"/>
      <c r="V289"/>
      <c r="W289"/>
      <c r="X289" s="200"/>
      <c r="Y289" s="200"/>
      <c r="Z289" s="200"/>
      <c r="AA289" s="200"/>
      <c r="AB289" s="200"/>
      <c r="AC289" s="200"/>
      <c r="AD289" s="200"/>
      <c r="AE289" s="200"/>
      <c r="AF289" s="200"/>
      <c r="AG289" s="200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 s="239"/>
      <c r="T290"/>
      <c r="U290"/>
      <c r="V290"/>
      <c r="W290"/>
      <c r="X290" s="200"/>
      <c r="Y290" s="200"/>
      <c r="Z290" s="200"/>
      <c r="AA290" s="200"/>
      <c r="AB290" s="200"/>
      <c r="AC290" s="200"/>
      <c r="AD290" s="200"/>
      <c r="AE290" s="200"/>
      <c r="AF290" s="200"/>
      <c r="AG290" s="20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 s="239"/>
      <c r="T291"/>
      <c r="U291"/>
      <c r="V291"/>
      <c r="W291"/>
      <c r="X291" s="200"/>
      <c r="Y291" s="200"/>
      <c r="Z291" s="200"/>
      <c r="AA291" s="200"/>
      <c r="AB291" s="200"/>
      <c r="AC291" s="200"/>
      <c r="AD291" s="200"/>
      <c r="AE291" s="200"/>
      <c r="AF291" s="200"/>
      <c r="AG291" s="200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 s="239"/>
      <c r="T292"/>
      <c r="U292"/>
      <c r="V292"/>
      <c r="W292"/>
      <c r="X292" s="200"/>
      <c r="Y292" s="200"/>
      <c r="Z292" s="200"/>
      <c r="AA292" s="200"/>
      <c r="AB292" s="200"/>
      <c r="AC292" s="200"/>
      <c r="AD292" s="200"/>
      <c r="AE292" s="200"/>
      <c r="AF292" s="200"/>
      <c r="AG292" s="200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 s="239"/>
      <c r="T293"/>
      <c r="U293"/>
      <c r="V293"/>
      <c r="W293"/>
      <c r="X293" s="200"/>
      <c r="Y293" s="200"/>
      <c r="Z293" s="200"/>
      <c r="AA293" s="200"/>
      <c r="AB293" s="200"/>
      <c r="AC293" s="200"/>
      <c r="AD293" s="200"/>
      <c r="AE293" s="200"/>
      <c r="AF293" s="200"/>
      <c r="AG293" s="200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 s="239"/>
      <c r="T294"/>
      <c r="U294"/>
      <c r="V294"/>
      <c r="W294"/>
      <c r="X294" s="200"/>
      <c r="Y294" s="200"/>
      <c r="Z294" s="200"/>
      <c r="AA294" s="200"/>
      <c r="AB294" s="200"/>
      <c r="AC294" s="200"/>
      <c r="AD294" s="200"/>
      <c r="AE294" s="200"/>
      <c r="AF294" s="200"/>
      <c r="AG294" s="200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 s="239"/>
      <c r="T295"/>
      <c r="U295"/>
      <c r="V295"/>
      <c r="W295"/>
      <c r="X295" s="200"/>
      <c r="Y295" s="200"/>
      <c r="Z295" s="200"/>
      <c r="AA295" s="200"/>
      <c r="AB295" s="200"/>
      <c r="AC295" s="200"/>
      <c r="AD295" s="200"/>
      <c r="AE295" s="200"/>
      <c r="AF295" s="200"/>
      <c r="AG295" s="200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 s="239"/>
      <c r="T296"/>
      <c r="U296"/>
      <c r="V296"/>
      <c r="W296"/>
      <c r="X296" s="200"/>
      <c r="Y296" s="200"/>
      <c r="Z296" s="200"/>
      <c r="AA296" s="200"/>
      <c r="AB296" s="200"/>
      <c r="AC296" s="200"/>
      <c r="AD296" s="200"/>
      <c r="AE296" s="200"/>
      <c r="AF296" s="200"/>
      <c r="AG296" s="200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 s="239"/>
      <c r="T297"/>
      <c r="U297"/>
      <c r="V297"/>
      <c r="W297"/>
      <c r="X297" s="200"/>
      <c r="Y297" s="200"/>
      <c r="Z297" s="200"/>
      <c r="AA297" s="200"/>
      <c r="AB297" s="200"/>
      <c r="AC297" s="200"/>
      <c r="AD297" s="200"/>
      <c r="AE297" s="200"/>
      <c r="AF297" s="200"/>
      <c r="AG297" s="200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 s="239"/>
      <c r="T298"/>
      <c r="U298"/>
      <c r="V298"/>
      <c r="W298"/>
      <c r="X298" s="200"/>
      <c r="Y298" s="200"/>
      <c r="Z298" s="200"/>
      <c r="AA298" s="200"/>
      <c r="AB298" s="200"/>
      <c r="AC298" s="200"/>
      <c r="AD298" s="200"/>
      <c r="AE298" s="200"/>
      <c r="AF298" s="200"/>
      <c r="AG298" s="200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 s="239"/>
      <c r="T299"/>
      <c r="U299"/>
      <c r="V299"/>
      <c r="W299"/>
      <c r="X299" s="200"/>
      <c r="Y299" s="200"/>
      <c r="Z299" s="200"/>
      <c r="AA299" s="200"/>
      <c r="AB299" s="200"/>
      <c r="AC299" s="200"/>
      <c r="AD299" s="200"/>
      <c r="AE299" s="200"/>
      <c r="AF299" s="200"/>
      <c r="AG299" s="200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 s="239"/>
      <c r="T300"/>
      <c r="U300"/>
      <c r="V300"/>
      <c r="W300"/>
      <c r="X300" s="200"/>
      <c r="Y300" s="200"/>
      <c r="Z300" s="200"/>
      <c r="AA300" s="200"/>
      <c r="AB300" s="200"/>
      <c r="AC300" s="200"/>
      <c r="AD300" s="200"/>
      <c r="AE300" s="200"/>
      <c r="AF300" s="200"/>
      <c r="AG300" s="2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 s="239"/>
      <c r="T301"/>
      <c r="U301"/>
      <c r="V301"/>
      <c r="W301"/>
      <c r="X301" s="200"/>
      <c r="Y301" s="200"/>
      <c r="Z301" s="200"/>
      <c r="AA301" s="200"/>
      <c r="AB301" s="200"/>
      <c r="AC301" s="200"/>
      <c r="AD301" s="200"/>
      <c r="AE301" s="200"/>
      <c r="AF301" s="200"/>
      <c r="AG301" s="200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 s="239"/>
      <c r="T302"/>
      <c r="U302"/>
      <c r="V302"/>
      <c r="W302"/>
      <c r="X302" s="200"/>
      <c r="Y302" s="200"/>
      <c r="Z302" s="200"/>
      <c r="AA302" s="200"/>
      <c r="AB302" s="200"/>
      <c r="AC302" s="200"/>
      <c r="AD302" s="200"/>
      <c r="AE302" s="200"/>
      <c r="AF302" s="200"/>
      <c r="AG302" s="200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 s="239"/>
      <c r="T303"/>
      <c r="U303"/>
      <c r="V303"/>
      <c r="W303"/>
      <c r="X303" s="200"/>
      <c r="Y303" s="200"/>
      <c r="Z303" s="200"/>
      <c r="AA303" s="200"/>
      <c r="AB303" s="200"/>
      <c r="AC303" s="200"/>
      <c r="AD303" s="200"/>
      <c r="AE303" s="200"/>
      <c r="AF303" s="200"/>
      <c r="AG303" s="200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 s="239"/>
      <c r="T304"/>
      <c r="U304"/>
      <c r="V304"/>
      <c r="W304"/>
      <c r="X304" s="200"/>
      <c r="Y304" s="200"/>
      <c r="Z304" s="200"/>
      <c r="AA304" s="200"/>
      <c r="AB304" s="200"/>
      <c r="AC304" s="200"/>
      <c r="AD304" s="200"/>
      <c r="AE304" s="200"/>
      <c r="AF304" s="200"/>
      <c r="AG304" s="200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 s="239"/>
      <c r="T305"/>
      <c r="U305"/>
      <c r="V305"/>
      <c r="W305"/>
      <c r="X305" s="200"/>
      <c r="Y305" s="200"/>
      <c r="Z305" s="200"/>
      <c r="AA305" s="200"/>
      <c r="AB305" s="200"/>
      <c r="AC305" s="200"/>
      <c r="AD305" s="200"/>
      <c r="AE305" s="200"/>
      <c r="AF305" s="200"/>
      <c r="AG305" s="200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 s="239"/>
      <c r="T306"/>
      <c r="U306"/>
      <c r="V306"/>
      <c r="W306"/>
      <c r="X306" s="200"/>
      <c r="Y306" s="200"/>
      <c r="Z306" s="200"/>
      <c r="AA306" s="200"/>
      <c r="AB306" s="200"/>
      <c r="AC306" s="200"/>
      <c r="AD306" s="200"/>
      <c r="AE306" s="200"/>
      <c r="AF306" s="200"/>
      <c r="AG306" s="200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 s="239"/>
      <c r="T307"/>
      <c r="U307"/>
      <c r="V307"/>
      <c r="W307"/>
      <c r="X307" s="200"/>
      <c r="Y307" s="200"/>
      <c r="Z307" s="200"/>
      <c r="AA307" s="200"/>
      <c r="AB307" s="200"/>
      <c r="AC307" s="200"/>
      <c r="AD307" s="200"/>
      <c r="AE307" s="200"/>
      <c r="AF307" s="200"/>
      <c r="AG307" s="200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 s="239"/>
      <c r="T308"/>
      <c r="U308"/>
      <c r="V308"/>
      <c r="W308"/>
      <c r="X308" s="200"/>
      <c r="Y308" s="200"/>
      <c r="Z308" s="200"/>
      <c r="AA308" s="200"/>
      <c r="AB308" s="200"/>
      <c r="AC308" s="200"/>
      <c r="AD308" s="200"/>
      <c r="AE308" s="200"/>
      <c r="AF308" s="200"/>
      <c r="AG308" s="200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 s="239"/>
      <c r="T309"/>
      <c r="U309"/>
      <c r="V309"/>
      <c r="W309"/>
      <c r="X309" s="200"/>
      <c r="Y309" s="200"/>
      <c r="Z309" s="200"/>
      <c r="AA309" s="200"/>
      <c r="AB309" s="200"/>
      <c r="AC309" s="200"/>
      <c r="AD309" s="200"/>
      <c r="AE309" s="200"/>
      <c r="AF309" s="200"/>
      <c r="AG309" s="200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 s="239"/>
      <c r="T310"/>
      <c r="U310"/>
      <c r="V310"/>
      <c r="W310"/>
      <c r="X310" s="200"/>
      <c r="Y310" s="200"/>
      <c r="Z310" s="200"/>
      <c r="AA310" s="200"/>
      <c r="AB310" s="200"/>
      <c r="AC310" s="200"/>
      <c r="AD310" s="200"/>
      <c r="AE310" s="200"/>
      <c r="AF310" s="200"/>
      <c r="AG310" s="20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 s="239"/>
      <c r="T311"/>
      <c r="U311"/>
      <c r="V311"/>
      <c r="W311"/>
      <c r="X311" s="200"/>
      <c r="Y311" s="200"/>
      <c r="Z311" s="200"/>
      <c r="AA311" s="200"/>
      <c r="AB311" s="200"/>
      <c r="AC311" s="200"/>
      <c r="AD311" s="200"/>
      <c r="AE311" s="200"/>
      <c r="AF311" s="200"/>
      <c r="AG311" s="200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 s="239"/>
      <c r="T312"/>
      <c r="U312"/>
      <c r="V312"/>
      <c r="W312"/>
      <c r="X312" s="200"/>
      <c r="Y312" s="200"/>
      <c r="Z312" s="200"/>
      <c r="AA312" s="200"/>
      <c r="AB312" s="200"/>
      <c r="AC312" s="200"/>
      <c r="AD312" s="200"/>
      <c r="AE312" s="200"/>
      <c r="AF312" s="200"/>
      <c r="AG312" s="200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 s="239"/>
      <c r="T313"/>
      <c r="U313"/>
      <c r="V313"/>
      <c r="W313"/>
      <c r="X313" s="200"/>
      <c r="Y313" s="200"/>
      <c r="Z313" s="200"/>
      <c r="AA313" s="200"/>
      <c r="AB313" s="200"/>
      <c r="AC313" s="200"/>
      <c r="AD313" s="200"/>
      <c r="AE313" s="200"/>
      <c r="AF313" s="200"/>
      <c r="AG313" s="200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 s="239"/>
      <c r="T314"/>
      <c r="U314"/>
      <c r="V314"/>
      <c r="W314"/>
      <c r="X314" s="200"/>
      <c r="Y314" s="200"/>
      <c r="Z314" s="200"/>
      <c r="AA314" s="200"/>
      <c r="AB314" s="200"/>
      <c r="AC314" s="200"/>
      <c r="AD314" s="200"/>
      <c r="AE314" s="200"/>
      <c r="AF314" s="200"/>
      <c r="AG314" s="200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 s="239"/>
      <c r="T315"/>
      <c r="U315"/>
      <c r="V315"/>
      <c r="W315"/>
      <c r="X315" s="200"/>
      <c r="Y315" s="200"/>
      <c r="Z315" s="200"/>
      <c r="AA315" s="200"/>
      <c r="AB315" s="200"/>
      <c r="AC315" s="200"/>
      <c r="AD315" s="200"/>
      <c r="AE315" s="200"/>
      <c r="AF315" s="200"/>
      <c r="AG315" s="200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 s="239"/>
      <c r="T316"/>
      <c r="U316"/>
      <c r="V316"/>
      <c r="W316"/>
      <c r="X316" s="200"/>
      <c r="Y316" s="200"/>
      <c r="Z316" s="200"/>
      <c r="AA316" s="200"/>
      <c r="AB316" s="200"/>
      <c r="AC316" s="200"/>
      <c r="AD316" s="200"/>
      <c r="AE316" s="200"/>
      <c r="AF316" s="200"/>
      <c r="AG316" s="200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 s="239"/>
      <c r="T317"/>
      <c r="U317"/>
      <c r="V317"/>
      <c r="W317"/>
      <c r="X317" s="200"/>
      <c r="Y317" s="200"/>
      <c r="Z317" s="200"/>
      <c r="AA317" s="200"/>
      <c r="AB317" s="200"/>
      <c r="AC317" s="200"/>
      <c r="AD317" s="200"/>
      <c r="AE317" s="200"/>
      <c r="AF317" s="200"/>
      <c r="AG317" s="200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 s="239"/>
      <c r="T318"/>
      <c r="U318"/>
      <c r="V318"/>
      <c r="W318"/>
      <c r="X318" s="200"/>
      <c r="Y318" s="200"/>
      <c r="Z318" s="200"/>
      <c r="AA318" s="200"/>
      <c r="AB318" s="200"/>
      <c r="AC318" s="200"/>
      <c r="AD318" s="200"/>
      <c r="AE318" s="200"/>
      <c r="AF318" s="200"/>
      <c r="AG318" s="200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 s="239"/>
      <c r="T319"/>
      <c r="U319"/>
      <c r="V319"/>
      <c r="W319"/>
      <c r="X319" s="200"/>
      <c r="Y319" s="200"/>
      <c r="Z319" s="200"/>
      <c r="AA319" s="200"/>
      <c r="AB319" s="200"/>
      <c r="AC319" s="200"/>
      <c r="AD319" s="200"/>
      <c r="AE319" s="200"/>
      <c r="AF319" s="200"/>
      <c r="AG319" s="200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 s="239"/>
      <c r="T320"/>
      <c r="U320"/>
      <c r="V320"/>
      <c r="W320"/>
      <c r="X320" s="200"/>
      <c r="Y320" s="200"/>
      <c r="Z320" s="200"/>
      <c r="AA320" s="200"/>
      <c r="AB320" s="200"/>
      <c r="AC320" s="200"/>
      <c r="AD320" s="200"/>
      <c r="AE320" s="200"/>
      <c r="AF320" s="200"/>
      <c r="AG320" s="20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 s="239"/>
      <c r="T321"/>
      <c r="U321"/>
      <c r="V321"/>
      <c r="W321"/>
      <c r="X321" s="200"/>
      <c r="Y321" s="200"/>
      <c r="Z321" s="200"/>
      <c r="AA321" s="200"/>
      <c r="AB321" s="200"/>
      <c r="AC321" s="200"/>
      <c r="AD321" s="200"/>
      <c r="AE321" s="200"/>
      <c r="AF321" s="200"/>
      <c r="AG321" s="200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 s="239"/>
      <c r="T322"/>
      <c r="U322"/>
      <c r="V322"/>
      <c r="W322"/>
      <c r="X322" s="200"/>
      <c r="Y322" s="200"/>
      <c r="Z322" s="200"/>
      <c r="AA322" s="200"/>
      <c r="AB322" s="200"/>
      <c r="AC322" s="200"/>
      <c r="AD322" s="200"/>
      <c r="AE322" s="200"/>
      <c r="AF322" s="200"/>
      <c r="AG322" s="200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 s="239"/>
      <c r="T323"/>
      <c r="U323"/>
      <c r="V323"/>
      <c r="W323"/>
      <c r="X323" s="200"/>
      <c r="Y323" s="200"/>
      <c r="Z323" s="200"/>
      <c r="AA323" s="200"/>
      <c r="AB323" s="200"/>
      <c r="AC323" s="200"/>
      <c r="AD323" s="200"/>
      <c r="AE323" s="200"/>
      <c r="AF323" s="200"/>
      <c r="AG323" s="200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 s="239"/>
      <c r="T324"/>
      <c r="U324"/>
      <c r="V324"/>
      <c r="W324"/>
      <c r="X324" s="200"/>
      <c r="Y324" s="200"/>
      <c r="Z324" s="200"/>
      <c r="AA324" s="200"/>
      <c r="AB324" s="200"/>
      <c r="AC324" s="200"/>
      <c r="AD324" s="200"/>
      <c r="AE324" s="200"/>
      <c r="AF324" s="200"/>
      <c r="AG324" s="200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 s="239"/>
      <c r="T325"/>
      <c r="U325"/>
      <c r="V325"/>
      <c r="W325"/>
      <c r="X325" s="200"/>
      <c r="Y325" s="200"/>
      <c r="Z325" s="200"/>
      <c r="AA325" s="200"/>
      <c r="AB325" s="200"/>
      <c r="AC325" s="200"/>
      <c r="AD325" s="200"/>
      <c r="AE325" s="200"/>
      <c r="AF325" s="200"/>
      <c r="AG325" s="200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 s="239"/>
      <c r="T326"/>
      <c r="U326"/>
      <c r="V326"/>
      <c r="W326"/>
      <c r="X326" s="200"/>
      <c r="Y326" s="200"/>
      <c r="Z326" s="200"/>
      <c r="AA326" s="200"/>
      <c r="AB326" s="200"/>
      <c r="AC326" s="200"/>
      <c r="AD326" s="200"/>
      <c r="AE326" s="200"/>
      <c r="AF326" s="200"/>
      <c r="AG326" s="200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 s="239"/>
      <c r="T327"/>
      <c r="U327"/>
      <c r="V327"/>
      <c r="W327"/>
      <c r="X327" s="200"/>
      <c r="Y327" s="200"/>
      <c r="Z327" s="200"/>
      <c r="AA327" s="200"/>
      <c r="AB327" s="200"/>
      <c r="AC327" s="200"/>
      <c r="AD327" s="200"/>
      <c r="AE327" s="200"/>
      <c r="AF327" s="200"/>
      <c r="AG327" s="200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 s="239"/>
      <c r="T328"/>
      <c r="U328"/>
      <c r="V328"/>
      <c r="W328"/>
      <c r="X328" s="200"/>
      <c r="Y328" s="200"/>
      <c r="Z328" s="200"/>
      <c r="AA328" s="200"/>
      <c r="AB328" s="200"/>
      <c r="AC328" s="200"/>
      <c r="AD328" s="200"/>
      <c r="AE328" s="200"/>
      <c r="AF328" s="200"/>
      <c r="AG328" s="200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 s="239"/>
      <c r="T329"/>
      <c r="U329"/>
      <c r="V329"/>
      <c r="W329"/>
      <c r="X329" s="200"/>
      <c r="Y329" s="200"/>
      <c r="Z329" s="200"/>
      <c r="AA329" s="200"/>
      <c r="AB329" s="200"/>
      <c r="AC329" s="200"/>
      <c r="AD329" s="200"/>
      <c r="AE329" s="200"/>
      <c r="AF329" s="200"/>
      <c r="AG329" s="200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 s="239"/>
      <c r="T330"/>
      <c r="U330"/>
      <c r="V330"/>
      <c r="W330"/>
      <c r="X330" s="200"/>
      <c r="Y330" s="200"/>
      <c r="Z330" s="200"/>
      <c r="AA330" s="200"/>
      <c r="AB330" s="200"/>
      <c r="AC330" s="200"/>
      <c r="AD330" s="200"/>
      <c r="AE330" s="200"/>
      <c r="AF330" s="200"/>
      <c r="AG330" s="20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 s="239"/>
      <c r="T331"/>
      <c r="U331"/>
      <c r="V331"/>
      <c r="W331"/>
      <c r="X331" s="200"/>
      <c r="Y331" s="200"/>
      <c r="Z331" s="200"/>
      <c r="AA331" s="200"/>
      <c r="AB331" s="200"/>
      <c r="AC331" s="200"/>
      <c r="AD331" s="200"/>
      <c r="AE331" s="200"/>
      <c r="AF331" s="200"/>
      <c r="AG331" s="200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 s="239"/>
      <c r="T332"/>
      <c r="U332"/>
      <c r="V332"/>
      <c r="W332"/>
      <c r="X332" s="200"/>
      <c r="Y332" s="200"/>
      <c r="Z332" s="200"/>
      <c r="AA332" s="200"/>
      <c r="AB332" s="200"/>
      <c r="AC332" s="200"/>
      <c r="AD332" s="200"/>
      <c r="AE332" s="200"/>
      <c r="AF332" s="200"/>
      <c r="AG332" s="200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 s="239"/>
      <c r="T333"/>
      <c r="U333"/>
      <c r="V333"/>
      <c r="W333"/>
      <c r="X333" s="200"/>
      <c r="Y333" s="200"/>
      <c r="Z333" s="200"/>
      <c r="AA333" s="200"/>
      <c r="AB333" s="200"/>
      <c r="AC333" s="200"/>
      <c r="AD333" s="200"/>
      <c r="AE333" s="200"/>
      <c r="AF333" s="200"/>
      <c r="AG333" s="200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 s="239"/>
      <c r="T334"/>
      <c r="U334"/>
      <c r="V334"/>
      <c r="W334"/>
      <c r="X334" s="200"/>
      <c r="Y334" s="200"/>
      <c r="Z334" s="200"/>
      <c r="AA334" s="200"/>
      <c r="AB334" s="200"/>
      <c r="AC334" s="200"/>
      <c r="AD334" s="200"/>
      <c r="AE334" s="200"/>
      <c r="AF334" s="200"/>
      <c r="AG334" s="200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 s="239"/>
      <c r="T335"/>
      <c r="U335"/>
      <c r="V335"/>
      <c r="W335"/>
      <c r="X335" s="200"/>
      <c r="Y335" s="200"/>
      <c r="Z335" s="200"/>
      <c r="AA335" s="200"/>
      <c r="AB335" s="200"/>
      <c r="AC335" s="200"/>
      <c r="AD335" s="200"/>
      <c r="AE335" s="200"/>
      <c r="AF335" s="200"/>
      <c r="AG335" s="200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 s="239"/>
      <c r="T336"/>
      <c r="U336"/>
      <c r="V336"/>
      <c r="W336"/>
      <c r="X336" s="200"/>
      <c r="Y336" s="200"/>
      <c r="Z336" s="200"/>
      <c r="AA336" s="200"/>
      <c r="AB336" s="200"/>
      <c r="AC336" s="200"/>
      <c r="AD336" s="200"/>
      <c r="AE336" s="200"/>
      <c r="AF336" s="200"/>
      <c r="AG336" s="200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 s="239"/>
      <c r="T337"/>
      <c r="U337"/>
      <c r="V337"/>
      <c r="W337"/>
      <c r="X337" s="200"/>
      <c r="Y337" s="200"/>
      <c r="Z337" s="200"/>
      <c r="AA337" s="200"/>
      <c r="AB337" s="200"/>
      <c r="AC337" s="200"/>
      <c r="AD337" s="200"/>
      <c r="AE337" s="200"/>
      <c r="AF337" s="200"/>
      <c r="AG337" s="200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 s="239"/>
      <c r="T338"/>
      <c r="U338"/>
      <c r="V338"/>
      <c r="W338"/>
      <c r="X338" s="200"/>
      <c r="Y338" s="200"/>
      <c r="Z338" s="200"/>
      <c r="AA338" s="200"/>
      <c r="AB338" s="200"/>
      <c r="AC338" s="200"/>
      <c r="AD338" s="200"/>
      <c r="AE338" s="200"/>
      <c r="AF338" s="200"/>
      <c r="AG338" s="200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 s="239"/>
      <c r="T339"/>
      <c r="U339"/>
      <c r="V339"/>
      <c r="W339"/>
      <c r="X339" s="200"/>
      <c r="Y339" s="200"/>
      <c r="Z339" s="200"/>
      <c r="AA339" s="200"/>
      <c r="AB339" s="200"/>
      <c r="AC339" s="200"/>
      <c r="AD339" s="200"/>
      <c r="AE339" s="200"/>
      <c r="AF339" s="200"/>
      <c r="AG339" s="200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 s="239"/>
      <c r="T340"/>
      <c r="U340"/>
      <c r="V340"/>
      <c r="W340"/>
      <c r="X340" s="200"/>
      <c r="Y340" s="200"/>
      <c r="Z340" s="200"/>
      <c r="AA340" s="200"/>
      <c r="AB340" s="200"/>
      <c r="AC340" s="200"/>
      <c r="AD340" s="200"/>
      <c r="AE340" s="200"/>
      <c r="AF340" s="200"/>
      <c r="AG340" s="20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 s="239"/>
      <c r="T341"/>
      <c r="U341"/>
      <c r="V341"/>
      <c r="W341"/>
      <c r="X341" s="200"/>
      <c r="Y341" s="200"/>
      <c r="Z341" s="200"/>
      <c r="AA341" s="200"/>
      <c r="AB341" s="200"/>
      <c r="AC341" s="200"/>
      <c r="AD341" s="200"/>
      <c r="AE341" s="200"/>
      <c r="AF341" s="200"/>
      <c r="AG341" s="200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 s="239"/>
      <c r="T342"/>
      <c r="U342"/>
      <c r="V342"/>
      <c r="W342"/>
      <c r="X342" s="200"/>
      <c r="Y342" s="200"/>
      <c r="Z342" s="200"/>
      <c r="AA342" s="200"/>
      <c r="AB342" s="200"/>
      <c r="AC342" s="200"/>
      <c r="AD342" s="200"/>
      <c r="AE342" s="200"/>
      <c r="AF342" s="200"/>
      <c r="AG342" s="200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 s="239"/>
      <c r="T343"/>
      <c r="U343"/>
      <c r="V343"/>
      <c r="W343"/>
      <c r="X343" s="200"/>
      <c r="Y343" s="200"/>
      <c r="Z343" s="200"/>
      <c r="AA343" s="200"/>
      <c r="AB343" s="200"/>
      <c r="AC343" s="200"/>
      <c r="AD343" s="200"/>
      <c r="AE343" s="200"/>
      <c r="AF343" s="200"/>
      <c r="AG343" s="200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 s="239"/>
      <c r="T344"/>
      <c r="U344"/>
      <c r="V344"/>
      <c r="W344"/>
      <c r="X344" s="200"/>
      <c r="Y344" s="200"/>
      <c r="Z344" s="200"/>
      <c r="AA344" s="200"/>
      <c r="AB344" s="200"/>
      <c r="AC344" s="200"/>
      <c r="AD344" s="200"/>
      <c r="AE344" s="200"/>
      <c r="AF344" s="200"/>
      <c r="AG344" s="200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 s="239"/>
      <c r="T345"/>
      <c r="U345"/>
      <c r="V345"/>
      <c r="W345"/>
      <c r="X345" s="200"/>
      <c r="Y345" s="200"/>
      <c r="Z345" s="200"/>
      <c r="AA345" s="200"/>
      <c r="AB345" s="200"/>
      <c r="AC345" s="200"/>
      <c r="AD345" s="200"/>
      <c r="AE345" s="200"/>
      <c r="AF345" s="200"/>
      <c r="AG345" s="200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 s="239"/>
      <c r="T346"/>
      <c r="U346"/>
      <c r="V346"/>
      <c r="W346"/>
      <c r="X346" s="200"/>
      <c r="Y346" s="200"/>
      <c r="Z346" s="200"/>
      <c r="AA346" s="200"/>
      <c r="AB346" s="200"/>
      <c r="AC346" s="200"/>
      <c r="AD346" s="200"/>
      <c r="AE346" s="200"/>
      <c r="AF346" s="200"/>
      <c r="AG346" s="200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 s="239"/>
      <c r="T347"/>
      <c r="U347"/>
      <c r="V347"/>
      <c r="W347"/>
      <c r="X347" s="200"/>
      <c r="Y347" s="200"/>
      <c r="Z347" s="200"/>
      <c r="AA347" s="200"/>
      <c r="AB347" s="200"/>
      <c r="AC347" s="200"/>
      <c r="AD347" s="200"/>
      <c r="AE347" s="200"/>
      <c r="AF347" s="200"/>
      <c r="AG347" s="200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 s="239"/>
      <c r="T348"/>
      <c r="U348"/>
      <c r="V348"/>
      <c r="W348"/>
      <c r="X348" s="200"/>
      <c r="Y348" s="200"/>
      <c r="Z348" s="200"/>
      <c r="AA348" s="200"/>
      <c r="AB348" s="200"/>
      <c r="AC348" s="200"/>
      <c r="AD348" s="200"/>
      <c r="AE348" s="200"/>
      <c r="AF348" s="200"/>
      <c r="AG348" s="200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 s="239"/>
      <c r="T349"/>
      <c r="U349"/>
      <c r="V349"/>
      <c r="W349"/>
      <c r="X349" s="200"/>
      <c r="Y349" s="200"/>
      <c r="Z349" s="200"/>
      <c r="AA349" s="200"/>
      <c r="AB349" s="200"/>
      <c r="AC349" s="200"/>
      <c r="AD349" s="200"/>
      <c r="AE349" s="200"/>
      <c r="AF349" s="200"/>
      <c r="AG349" s="200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 s="239"/>
      <c r="T350"/>
      <c r="U350"/>
      <c r="V350"/>
      <c r="W350"/>
      <c r="X350" s="200"/>
      <c r="Y350" s="200"/>
      <c r="Z350" s="200"/>
      <c r="AA350" s="200"/>
      <c r="AB350" s="200"/>
      <c r="AC350" s="200"/>
      <c r="AD350" s="200"/>
      <c r="AE350" s="200"/>
      <c r="AF350" s="200"/>
      <c r="AG350" s="20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 s="239"/>
      <c r="T351"/>
      <c r="U351"/>
      <c r="V351"/>
      <c r="W351"/>
      <c r="X351" s="200"/>
      <c r="Y351" s="200"/>
      <c r="Z351" s="200"/>
      <c r="AA351" s="200"/>
      <c r="AB351" s="200"/>
      <c r="AC351" s="200"/>
      <c r="AD351" s="200"/>
      <c r="AE351" s="200"/>
      <c r="AF351" s="200"/>
      <c r="AG351" s="200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 s="239"/>
      <c r="T352"/>
      <c r="U352"/>
      <c r="V352"/>
      <c r="W352"/>
      <c r="X352" s="200"/>
      <c r="Y352" s="200"/>
      <c r="Z352" s="200"/>
      <c r="AA352" s="200"/>
      <c r="AB352" s="200"/>
      <c r="AC352" s="200"/>
      <c r="AD352" s="200"/>
      <c r="AE352" s="200"/>
      <c r="AF352" s="200"/>
      <c r="AG352" s="200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 s="239"/>
      <c r="T353"/>
      <c r="U353"/>
      <c r="V353"/>
      <c r="W353"/>
      <c r="X353" s="200"/>
      <c r="Y353" s="200"/>
      <c r="Z353" s="200"/>
      <c r="AA353" s="200"/>
      <c r="AB353" s="200"/>
      <c r="AC353" s="200"/>
      <c r="AD353" s="200"/>
      <c r="AE353" s="200"/>
      <c r="AF353" s="200"/>
      <c r="AG353" s="200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 s="239"/>
      <c r="T354"/>
      <c r="U354"/>
      <c r="V354"/>
      <c r="W354"/>
      <c r="X354" s="200"/>
      <c r="Y354" s="200"/>
      <c r="Z354" s="200"/>
      <c r="AA354" s="200"/>
      <c r="AB354" s="200"/>
      <c r="AC354" s="200"/>
      <c r="AD354" s="200"/>
      <c r="AE354" s="200"/>
      <c r="AF354" s="200"/>
      <c r="AG354" s="200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 s="239"/>
      <c r="T355"/>
      <c r="U355"/>
      <c r="V355"/>
      <c r="W355"/>
      <c r="X355" s="200"/>
      <c r="Y355" s="200"/>
      <c r="Z355" s="200"/>
      <c r="AA355" s="200"/>
      <c r="AB355" s="200"/>
      <c r="AC355" s="200"/>
      <c r="AD355" s="200"/>
      <c r="AE355" s="200"/>
      <c r="AF355" s="200"/>
      <c r="AG355" s="200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 s="239"/>
      <c r="T356"/>
      <c r="U356"/>
      <c r="V356"/>
      <c r="W356"/>
      <c r="X356" s="200"/>
      <c r="Y356" s="200"/>
      <c r="Z356" s="200"/>
      <c r="AA356" s="200"/>
      <c r="AB356" s="200"/>
      <c r="AC356" s="200"/>
      <c r="AD356" s="200"/>
      <c r="AE356" s="200"/>
      <c r="AF356" s="200"/>
      <c r="AG356" s="200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 s="239"/>
      <c r="T357"/>
      <c r="U357"/>
      <c r="V357"/>
      <c r="W357"/>
      <c r="X357" s="200"/>
      <c r="Y357" s="200"/>
      <c r="Z357" s="200"/>
      <c r="AA357" s="200"/>
      <c r="AB357" s="200"/>
      <c r="AC357" s="200"/>
      <c r="AD357" s="200"/>
      <c r="AE357" s="200"/>
      <c r="AF357" s="200"/>
      <c r="AG357" s="200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 s="239"/>
      <c r="T358"/>
      <c r="U358"/>
      <c r="V358"/>
      <c r="W358"/>
      <c r="X358" s="200"/>
      <c r="Y358" s="200"/>
      <c r="Z358" s="200"/>
      <c r="AA358" s="200"/>
      <c r="AB358" s="200"/>
      <c r="AC358" s="200"/>
      <c r="AD358" s="200"/>
      <c r="AE358" s="200"/>
      <c r="AF358" s="200"/>
      <c r="AG358" s="200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 s="239"/>
      <c r="T359"/>
      <c r="U359"/>
      <c r="V359"/>
      <c r="W359"/>
      <c r="X359" s="200"/>
      <c r="Y359" s="200"/>
      <c r="Z359" s="200"/>
      <c r="AA359" s="200"/>
      <c r="AB359" s="200"/>
      <c r="AC359" s="200"/>
      <c r="AD359" s="200"/>
      <c r="AE359" s="200"/>
      <c r="AF359" s="200"/>
      <c r="AG359" s="200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 s="239"/>
      <c r="T360"/>
      <c r="U360"/>
      <c r="V360"/>
      <c r="W360"/>
      <c r="X360" s="200"/>
      <c r="Y360" s="200"/>
      <c r="Z360" s="200"/>
      <c r="AA360" s="200"/>
      <c r="AB360" s="200"/>
      <c r="AC360" s="200"/>
      <c r="AD360" s="200"/>
      <c r="AE360" s="200"/>
      <c r="AF360" s="200"/>
      <c r="AG360" s="20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 s="239"/>
      <c r="T361"/>
      <c r="U361"/>
      <c r="V361"/>
      <c r="W361"/>
      <c r="X361" s="200"/>
      <c r="Y361" s="200"/>
      <c r="Z361" s="200"/>
      <c r="AA361" s="200"/>
      <c r="AB361" s="200"/>
      <c r="AC361" s="200"/>
      <c r="AD361" s="200"/>
      <c r="AE361" s="200"/>
      <c r="AF361" s="200"/>
      <c r="AG361" s="200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 s="239"/>
      <c r="T362"/>
      <c r="U362"/>
      <c r="V362"/>
      <c r="W362"/>
      <c r="X362" s="200"/>
      <c r="Y362" s="200"/>
      <c r="Z362" s="200"/>
      <c r="AA362" s="200"/>
      <c r="AB362" s="200"/>
      <c r="AC362" s="200"/>
      <c r="AD362" s="200"/>
      <c r="AE362" s="200"/>
      <c r="AF362" s="200"/>
      <c r="AG362" s="200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 s="239"/>
      <c r="T363"/>
      <c r="U363"/>
      <c r="V363"/>
      <c r="W363"/>
      <c r="X363" s="200"/>
      <c r="Y363" s="200"/>
      <c r="Z363" s="200"/>
      <c r="AA363" s="200"/>
      <c r="AB363" s="200"/>
      <c r="AC363" s="200"/>
      <c r="AD363" s="200"/>
      <c r="AE363" s="200"/>
      <c r="AF363" s="200"/>
      <c r="AG363" s="200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 s="239"/>
      <c r="T364"/>
      <c r="U364"/>
      <c r="V364"/>
      <c r="W364"/>
      <c r="X364" s="200"/>
      <c r="Y364" s="200"/>
      <c r="Z364" s="200"/>
      <c r="AA364" s="200"/>
      <c r="AB364" s="200"/>
      <c r="AC364" s="200"/>
      <c r="AD364" s="200"/>
      <c r="AE364" s="200"/>
      <c r="AF364" s="200"/>
      <c r="AG364" s="200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 s="239"/>
      <c r="T365"/>
      <c r="U365"/>
      <c r="V365"/>
      <c r="W365"/>
      <c r="X365" s="200"/>
      <c r="Y365" s="200"/>
      <c r="Z365" s="200"/>
      <c r="AA365" s="200"/>
      <c r="AB365" s="200"/>
      <c r="AC365" s="200"/>
      <c r="AD365" s="200"/>
      <c r="AE365" s="200"/>
      <c r="AF365" s="200"/>
      <c r="AG365" s="200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 s="239"/>
      <c r="T366"/>
      <c r="U366"/>
      <c r="V366"/>
      <c r="W366"/>
      <c r="X366" s="200"/>
      <c r="Y366" s="200"/>
      <c r="Z366" s="200"/>
      <c r="AA366" s="200"/>
      <c r="AB366" s="200"/>
      <c r="AC366" s="200"/>
      <c r="AD366" s="200"/>
      <c r="AE366" s="200"/>
      <c r="AF366" s="200"/>
      <c r="AG366" s="200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 s="239"/>
      <c r="T367"/>
      <c r="U367"/>
      <c r="V367"/>
      <c r="W367"/>
      <c r="X367" s="200"/>
      <c r="Y367" s="200"/>
      <c r="Z367" s="200"/>
      <c r="AA367" s="200"/>
      <c r="AB367" s="200"/>
      <c r="AC367" s="200"/>
      <c r="AD367" s="200"/>
      <c r="AE367" s="200"/>
      <c r="AF367" s="200"/>
      <c r="AG367" s="200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 s="239"/>
      <c r="T368"/>
      <c r="U368"/>
      <c r="V368"/>
      <c r="W368"/>
      <c r="X368" s="200"/>
      <c r="Y368" s="200"/>
      <c r="Z368" s="200"/>
      <c r="AA368" s="200"/>
      <c r="AB368" s="200"/>
      <c r="AC368" s="200"/>
      <c r="AD368" s="200"/>
      <c r="AE368" s="200"/>
      <c r="AF368" s="200"/>
      <c r="AG368" s="200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 s="239"/>
      <c r="T369"/>
      <c r="U369"/>
      <c r="V369"/>
      <c r="W369"/>
      <c r="X369" s="200"/>
      <c r="Y369" s="200"/>
      <c r="Z369" s="200"/>
      <c r="AA369" s="200"/>
      <c r="AB369" s="200"/>
      <c r="AC369" s="200"/>
      <c r="AD369" s="200"/>
      <c r="AE369" s="200"/>
      <c r="AF369" s="200"/>
      <c r="AG369" s="200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 s="239"/>
      <c r="T370"/>
      <c r="U370"/>
      <c r="V370"/>
      <c r="W370"/>
      <c r="X370" s="200"/>
      <c r="Y370" s="200"/>
      <c r="Z370" s="200"/>
      <c r="AA370" s="200"/>
      <c r="AB370" s="200"/>
      <c r="AC370" s="200"/>
      <c r="AD370" s="200"/>
      <c r="AE370" s="200"/>
      <c r="AF370" s="200"/>
      <c r="AG370" s="20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 s="239"/>
      <c r="T371"/>
      <c r="U371"/>
      <c r="V371"/>
      <c r="W371"/>
      <c r="X371" s="200"/>
      <c r="Y371" s="200"/>
      <c r="Z371" s="200"/>
      <c r="AA371" s="200"/>
      <c r="AB371" s="200"/>
      <c r="AC371" s="200"/>
      <c r="AD371" s="200"/>
      <c r="AE371" s="200"/>
      <c r="AF371" s="200"/>
      <c r="AG371" s="200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 s="239"/>
      <c r="T372"/>
      <c r="U372"/>
      <c r="V372"/>
      <c r="W372"/>
      <c r="X372" s="200"/>
      <c r="Y372" s="200"/>
      <c r="Z372" s="200"/>
      <c r="AA372" s="200"/>
      <c r="AB372" s="200"/>
      <c r="AC372" s="200"/>
      <c r="AD372" s="200"/>
      <c r="AE372" s="200"/>
      <c r="AF372" s="200"/>
      <c r="AG372" s="200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 s="239"/>
      <c r="T373"/>
      <c r="U373"/>
      <c r="V373"/>
      <c r="W373"/>
      <c r="X373" s="200"/>
      <c r="Y373" s="200"/>
      <c r="Z373" s="200"/>
      <c r="AA373" s="200"/>
      <c r="AB373" s="200"/>
      <c r="AC373" s="200"/>
      <c r="AD373" s="200"/>
      <c r="AE373" s="200"/>
      <c r="AF373" s="200"/>
      <c r="AG373" s="200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 s="239"/>
      <c r="T374"/>
      <c r="U374"/>
      <c r="V374"/>
      <c r="W374"/>
      <c r="X374" s="200"/>
      <c r="Y374" s="200"/>
      <c r="Z374" s="200"/>
      <c r="AA374" s="200"/>
      <c r="AB374" s="200"/>
      <c r="AC374" s="200"/>
      <c r="AD374" s="200"/>
      <c r="AE374" s="200"/>
      <c r="AF374" s="200"/>
      <c r="AG374" s="200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 s="239"/>
      <c r="T375"/>
      <c r="U375"/>
      <c r="V375"/>
      <c r="W375"/>
      <c r="X375" s="200"/>
      <c r="Y375" s="200"/>
      <c r="Z375" s="200"/>
      <c r="AA375" s="200"/>
      <c r="AB375" s="200"/>
      <c r="AC375" s="200"/>
      <c r="AD375" s="200"/>
      <c r="AE375" s="200"/>
      <c r="AF375" s="200"/>
      <c r="AG375" s="200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 s="239"/>
      <c r="T376"/>
      <c r="U376"/>
      <c r="V376"/>
      <c r="W376"/>
      <c r="X376" s="200"/>
      <c r="Y376" s="200"/>
      <c r="Z376" s="200"/>
      <c r="AA376" s="200"/>
      <c r="AB376" s="200"/>
      <c r="AC376" s="200"/>
      <c r="AD376" s="200"/>
      <c r="AE376" s="200"/>
      <c r="AF376" s="200"/>
      <c r="AG376" s="200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 s="239"/>
      <c r="T377"/>
      <c r="U377"/>
      <c r="V377"/>
      <c r="W377"/>
      <c r="X377" s="200"/>
      <c r="Y377" s="200"/>
      <c r="Z377" s="200"/>
      <c r="AA377" s="200"/>
      <c r="AB377" s="200"/>
      <c r="AC377" s="200"/>
      <c r="AD377" s="200"/>
      <c r="AE377" s="200"/>
      <c r="AF377" s="200"/>
      <c r="AG377" s="200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 s="239"/>
      <c r="T378"/>
      <c r="U378"/>
      <c r="V378"/>
      <c r="W378"/>
      <c r="X378" s="200"/>
      <c r="Y378" s="200"/>
      <c r="Z378" s="200"/>
      <c r="AA378" s="200"/>
      <c r="AB378" s="200"/>
      <c r="AC378" s="200"/>
      <c r="AD378" s="200"/>
      <c r="AE378" s="200"/>
      <c r="AF378" s="200"/>
      <c r="AG378" s="200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 s="239"/>
      <c r="T379"/>
      <c r="U379"/>
      <c r="V379"/>
      <c r="W379"/>
      <c r="X379" s="200"/>
      <c r="Y379" s="200"/>
      <c r="Z379" s="200"/>
      <c r="AA379" s="200"/>
      <c r="AB379" s="200"/>
      <c r="AC379" s="200"/>
      <c r="AD379" s="200"/>
      <c r="AE379" s="200"/>
      <c r="AF379" s="200"/>
      <c r="AG379" s="200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 s="239"/>
      <c r="T380"/>
      <c r="U380"/>
      <c r="V380"/>
      <c r="W380"/>
      <c r="X380" s="200"/>
      <c r="Y380" s="200"/>
      <c r="Z380" s="200"/>
      <c r="AA380" s="200"/>
      <c r="AB380" s="200"/>
      <c r="AC380" s="200"/>
      <c r="AD380" s="200"/>
      <c r="AE380" s="200"/>
      <c r="AF380" s="200"/>
      <c r="AG380" s="20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 s="239"/>
      <c r="T381"/>
      <c r="U381"/>
      <c r="V381"/>
      <c r="W381"/>
      <c r="X381" s="200"/>
      <c r="Y381" s="200"/>
      <c r="Z381" s="200"/>
      <c r="AA381" s="200"/>
      <c r="AB381" s="200"/>
      <c r="AC381" s="200"/>
      <c r="AD381" s="200"/>
      <c r="AE381" s="200"/>
      <c r="AF381" s="200"/>
      <c r="AG381" s="200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 s="239"/>
      <c r="T382"/>
      <c r="U382"/>
      <c r="V382"/>
      <c r="W382"/>
      <c r="X382" s="200"/>
      <c r="Y382" s="200"/>
      <c r="Z382" s="200"/>
      <c r="AA382" s="200"/>
      <c r="AB382" s="200"/>
      <c r="AC382" s="200"/>
      <c r="AD382" s="200"/>
      <c r="AE382" s="200"/>
      <c r="AF382" s="200"/>
      <c r="AG382" s="200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 s="239"/>
      <c r="T383"/>
      <c r="U383"/>
      <c r="V383"/>
      <c r="W383"/>
      <c r="X383" s="200"/>
      <c r="Y383" s="200"/>
      <c r="Z383" s="200"/>
      <c r="AA383" s="200"/>
      <c r="AB383" s="200"/>
      <c r="AC383" s="200"/>
      <c r="AD383" s="200"/>
      <c r="AE383" s="200"/>
      <c r="AF383" s="200"/>
      <c r="AG383" s="200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 s="239"/>
      <c r="T384"/>
      <c r="U384"/>
      <c r="V384"/>
      <c r="W384"/>
      <c r="X384" s="200"/>
      <c r="Y384" s="200"/>
      <c r="Z384" s="200"/>
      <c r="AA384" s="200"/>
      <c r="AB384" s="200"/>
      <c r="AC384" s="200"/>
      <c r="AD384" s="200"/>
      <c r="AE384" s="200"/>
      <c r="AF384" s="200"/>
      <c r="AG384" s="200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 s="239"/>
      <c r="T385"/>
      <c r="U385"/>
      <c r="V385"/>
      <c r="W385"/>
      <c r="X385" s="200"/>
      <c r="Y385" s="200"/>
      <c r="Z385" s="200"/>
      <c r="AA385" s="200"/>
      <c r="AB385" s="200"/>
      <c r="AC385" s="200"/>
      <c r="AD385" s="200"/>
      <c r="AE385" s="200"/>
      <c r="AF385" s="200"/>
      <c r="AG385" s="200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 s="239"/>
      <c r="T386"/>
      <c r="U386"/>
      <c r="V386"/>
      <c r="W386"/>
      <c r="X386" s="200"/>
      <c r="Y386" s="200"/>
      <c r="Z386" s="200"/>
      <c r="AA386" s="200"/>
      <c r="AB386" s="200"/>
      <c r="AC386" s="200"/>
      <c r="AD386" s="200"/>
      <c r="AE386" s="200"/>
      <c r="AF386" s="200"/>
      <c r="AG386" s="200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 s="239"/>
      <c r="T387"/>
      <c r="U387"/>
      <c r="V387"/>
      <c r="W387"/>
      <c r="X387" s="200"/>
      <c r="Y387" s="200"/>
      <c r="Z387" s="200"/>
      <c r="AA387" s="200"/>
      <c r="AB387" s="200"/>
      <c r="AC387" s="200"/>
      <c r="AD387" s="200"/>
      <c r="AE387" s="200"/>
      <c r="AF387" s="200"/>
      <c r="AG387" s="200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 s="239"/>
      <c r="T388"/>
      <c r="U388"/>
      <c r="V388"/>
      <c r="W388"/>
      <c r="X388" s="200"/>
      <c r="Y388" s="200"/>
      <c r="Z388" s="200"/>
      <c r="AA388" s="200"/>
      <c r="AB388" s="200"/>
      <c r="AC388" s="200"/>
      <c r="AD388" s="200"/>
      <c r="AE388" s="200"/>
      <c r="AF388" s="200"/>
      <c r="AG388" s="200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 s="239"/>
      <c r="T389"/>
      <c r="U389"/>
      <c r="V389"/>
      <c r="W389"/>
      <c r="X389" s="200"/>
      <c r="Y389" s="200"/>
      <c r="Z389" s="200"/>
      <c r="AA389" s="200"/>
      <c r="AB389" s="200"/>
      <c r="AC389" s="200"/>
      <c r="AD389" s="200"/>
      <c r="AE389" s="200"/>
      <c r="AF389" s="200"/>
      <c r="AG389" s="200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 s="239"/>
      <c r="T390"/>
      <c r="U390"/>
      <c r="V390"/>
      <c r="W390"/>
      <c r="X390" s="200"/>
      <c r="Y390" s="200"/>
      <c r="Z390" s="200"/>
      <c r="AA390" s="200"/>
      <c r="AB390" s="200"/>
      <c r="AC390" s="200"/>
      <c r="AD390" s="200"/>
      <c r="AE390" s="200"/>
      <c r="AF390" s="200"/>
      <c r="AG390" s="20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 s="239"/>
      <c r="T391"/>
      <c r="U391"/>
      <c r="V391"/>
      <c r="W391"/>
      <c r="X391" s="200"/>
      <c r="Y391" s="200"/>
      <c r="Z391" s="200"/>
      <c r="AA391" s="200"/>
      <c r="AB391" s="200"/>
      <c r="AC391" s="200"/>
      <c r="AD391" s="200"/>
      <c r="AE391" s="200"/>
      <c r="AF391" s="200"/>
      <c r="AG391" s="200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 s="239"/>
      <c r="T392"/>
      <c r="U392"/>
      <c r="V392"/>
      <c r="W392"/>
      <c r="X392" s="200"/>
      <c r="Y392" s="200"/>
      <c r="Z392" s="200"/>
      <c r="AA392" s="200"/>
      <c r="AB392" s="200"/>
      <c r="AC392" s="200"/>
      <c r="AD392" s="200"/>
      <c r="AE392" s="200"/>
      <c r="AF392" s="200"/>
      <c r="AG392" s="200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 s="239"/>
      <c r="T393"/>
      <c r="U393"/>
      <c r="V393"/>
      <c r="W393"/>
      <c r="X393" s="200"/>
      <c r="Y393" s="200"/>
      <c r="Z393" s="200"/>
      <c r="AA393" s="200"/>
      <c r="AB393" s="200"/>
      <c r="AC393" s="200"/>
      <c r="AD393" s="200"/>
      <c r="AE393" s="200"/>
      <c r="AF393" s="200"/>
      <c r="AG393" s="200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 s="239"/>
      <c r="T394"/>
      <c r="U394"/>
      <c r="V394"/>
      <c r="W394"/>
      <c r="X394" s="200"/>
      <c r="Y394" s="200"/>
      <c r="Z394" s="200"/>
      <c r="AA394" s="200"/>
      <c r="AB394" s="200"/>
      <c r="AC394" s="200"/>
      <c r="AD394" s="200"/>
      <c r="AE394" s="200"/>
      <c r="AF394" s="200"/>
      <c r="AG394" s="200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 s="239"/>
      <c r="T395"/>
      <c r="U395"/>
      <c r="V395"/>
      <c r="W395"/>
      <c r="X395" s="200"/>
      <c r="Y395" s="200"/>
      <c r="Z395" s="200"/>
      <c r="AA395" s="200"/>
      <c r="AB395" s="200"/>
      <c r="AC395" s="200"/>
      <c r="AD395" s="200"/>
      <c r="AE395" s="200"/>
      <c r="AF395" s="200"/>
      <c r="AG395" s="200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 s="239"/>
      <c r="T396"/>
      <c r="U396"/>
      <c r="V396"/>
      <c r="W396"/>
      <c r="X396" s="200"/>
      <c r="Y396" s="200"/>
      <c r="Z396" s="200"/>
      <c r="AA396" s="200"/>
      <c r="AB396" s="200"/>
      <c r="AC396" s="200"/>
      <c r="AD396" s="200"/>
      <c r="AE396" s="200"/>
      <c r="AF396" s="200"/>
      <c r="AG396" s="200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 s="239"/>
      <c r="T397"/>
      <c r="U397"/>
      <c r="V397"/>
      <c r="W397"/>
      <c r="X397" s="200"/>
      <c r="Y397" s="200"/>
      <c r="Z397" s="200"/>
      <c r="AA397" s="200"/>
      <c r="AB397" s="200"/>
      <c r="AC397" s="200"/>
      <c r="AD397" s="200"/>
      <c r="AE397" s="200"/>
      <c r="AF397" s="200"/>
      <c r="AG397" s="200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 s="239"/>
      <c r="T398"/>
      <c r="U398"/>
      <c r="V398"/>
      <c r="W398"/>
      <c r="X398" s="200"/>
      <c r="Y398" s="200"/>
      <c r="Z398" s="200"/>
      <c r="AA398" s="200"/>
      <c r="AB398" s="200"/>
      <c r="AC398" s="200"/>
      <c r="AD398" s="200"/>
      <c r="AE398" s="200"/>
      <c r="AF398" s="200"/>
      <c r="AG398" s="200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 s="239"/>
      <c r="T399"/>
      <c r="U399"/>
      <c r="V399"/>
      <c r="W399"/>
      <c r="X399" s="200"/>
      <c r="Y399" s="200"/>
      <c r="Z399" s="200"/>
      <c r="AA399" s="200"/>
      <c r="AB399" s="200"/>
      <c r="AC399" s="200"/>
      <c r="AD399" s="200"/>
      <c r="AE399" s="200"/>
      <c r="AF399" s="200"/>
      <c r="AG399" s="200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 s="239"/>
      <c r="T400"/>
      <c r="U400"/>
      <c r="V400"/>
      <c r="W400"/>
      <c r="X400" s="200"/>
      <c r="Y400" s="200"/>
      <c r="Z400" s="200"/>
      <c r="AA400" s="200"/>
      <c r="AB400" s="200"/>
      <c r="AC400" s="200"/>
      <c r="AD400" s="200"/>
      <c r="AE400" s="200"/>
      <c r="AF400" s="200"/>
      <c r="AG400" s="2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 s="239"/>
      <c r="T401"/>
      <c r="U401"/>
      <c r="V401"/>
      <c r="W401"/>
      <c r="X401" s="200"/>
      <c r="Y401" s="200"/>
      <c r="Z401" s="200"/>
      <c r="AA401" s="200"/>
      <c r="AB401" s="200"/>
      <c r="AC401" s="200"/>
      <c r="AD401" s="200"/>
      <c r="AE401" s="200"/>
      <c r="AF401" s="200"/>
      <c r="AG401" s="200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 s="239"/>
      <c r="T402"/>
      <c r="U402"/>
      <c r="V402"/>
      <c r="W402"/>
      <c r="X402" s="200"/>
      <c r="Y402" s="200"/>
      <c r="Z402" s="200"/>
      <c r="AA402" s="200"/>
      <c r="AB402" s="200"/>
      <c r="AC402" s="200"/>
      <c r="AD402" s="200"/>
      <c r="AE402" s="200"/>
      <c r="AF402" s="200"/>
      <c r="AG402" s="200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 s="239"/>
      <c r="T403"/>
      <c r="U403"/>
      <c r="V403"/>
      <c r="W403"/>
      <c r="X403" s="200"/>
      <c r="Y403" s="200"/>
      <c r="Z403" s="200"/>
      <c r="AA403" s="200"/>
      <c r="AB403" s="200"/>
      <c r="AC403" s="200"/>
      <c r="AD403" s="200"/>
      <c r="AE403" s="200"/>
      <c r="AF403" s="200"/>
      <c r="AG403" s="200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 s="239"/>
      <c r="T404"/>
      <c r="U404"/>
      <c r="V404"/>
      <c r="W404"/>
      <c r="X404" s="200"/>
      <c r="Y404" s="200"/>
      <c r="Z404" s="200"/>
      <c r="AA404" s="200"/>
      <c r="AB404" s="200"/>
      <c r="AC404" s="200"/>
      <c r="AD404" s="200"/>
      <c r="AE404" s="200"/>
      <c r="AF404" s="200"/>
      <c r="AG404" s="200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 s="239"/>
      <c r="T405"/>
      <c r="U405"/>
      <c r="V405"/>
      <c r="W405"/>
      <c r="X405" s="200"/>
      <c r="Y405" s="200"/>
      <c r="Z405" s="200"/>
      <c r="AA405" s="200"/>
      <c r="AB405" s="200"/>
      <c r="AC405" s="200"/>
      <c r="AD405" s="200"/>
      <c r="AE405" s="200"/>
      <c r="AF405" s="200"/>
      <c r="AG405" s="200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 s="239"/>
      <c r="T406"/>
      <c r="U406"/>
      <c r="V406"/>
      <c r="W406"/>
      <c r="X406" s="200"/>
      <c r="Y406" s="200"/>
      <c r="Z406" s="200"/>
      <c r="AA406" s="200"/>
      <c r="AB406" s="200"/>
      <c r="AC406" s="200"/>
      <c r="AD406" s="200"/>
      <c r="AE406" s="200"/>
      <c r="AF406" s="200"/>
      <c r="AG406" s="200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 s="239"/>
      <c r="T407"/>
      <c r="U407"/>
      <c r="V407"/>
      <c r="W407"/>
      <c r="X407" s="200"/>
      <c r="Y407" s="200"/>
      <c r="Z407" s="200"/>
      <c r="AA407" s="200"/>
      <c r="AB407" s="200"/>
      <c r="AC407" s="200"/>
      <c r="AD407" s="200"/>
      <c r="AE407" s="200"/>
      <c r="AF407" s="200"/>
      <c r="AG407" s="200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 s="239"/>
      <c r="T408"/>
      <c r="U408"/>
      <c r="V408"/>
      <c r="W408"/>
      <c r="X408" s="200"/>
      <c r="Y408" s="200"/>
      <c r="Z408" s="200"/>
      <c r="AA408" s="200"/>
      <c r="AB408" s="200"/>
      <c r="AC408" s="200"/>
      <c r="AD408" s="200"/>
      <c r="AE408" s="200"/>
      <c r="AF408" s="200"/>
      <c r="AG408" s="200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 s="239"/>
      <c r="T409"/>
      <c r="U409"/>
      <c r="V409"/>
      <c r="W409"/>
      <c r="X409" s="200"/>
      <c r="Y409" s="200"/>
      <c r="Z409" s="200"/>
      <c r="AA409" s="200"/>
      <c r="AB409" s="200"/>
      <c r="AC409" s="200"/>
      <c r="AD409" s="200"/>
      <c r="AE409" s="200"/>
      <c r="AF409" s="200"/>
      <c r="AG409" s="200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 s="239"/>
      <c r="T410"/>
      <c r="U410"/>
      <c r="V410"/>
      <c r="W410"/>
      <c r="X410" s="200"/>
      <c r="Y410" s="200"/>
      <c r="Z410" s="200"/>
      <c r="AA410" s="200"/>
      <c r="AB410" s="200"/>
      <c r="AC410" s="200"/>
      <c r="AD410" s="200"/>
      <c r="AE410" s="200"/>
      <c r="AF410" s="200"/>
      <c r="AG410" s="20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 s="239"/>
      <c r="T411"/>
      <c r="U411"/>
      <c r="V411"/>
      <c r="W411"/>
      <c r="X411" s="200"/>
      <c r="Y411" s="200"/>
      <c r="Z411" s="200"/>
      <c r="AA411" s="200"/>
      <c r="AB411" s="200"/>
      <c r="AC411" s="200"/>
      <c r="AD411" s="200"/>
      <c r="AE411" s="200"/>
      <c r="AF411" s="200"/>
      <c r="AG411" s="200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 s="239"/>
      <c r="T412"/>
      <c r="U412"/>
      <c r="V412"/>
      <c r="W412"/>
      <c r="X412" s="200"/>
      <c r="Y412" s="200"/>
      <c r="Z412" s="200"/>
      <c r="AA412" s="200"/>
      <c r="AB412" s="200"/>
      <c r="AC412" s="200"/>
      <c r="AD412" s="200"/>
      <c r="AE412" s="200"/>
      <c r="AF412" s="200"/>
      <c r="AG412" s="200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 s="239"/>
      <c r="T413"/>
      <c r="U413"/>
      <c r="V413"/>
      <c r="W413"/>
      <c r="X413" s="200"/>
      <c r="Y413" s="200"/>
      <c r="Z413" s="200"/>
      <c r="AA413" s="200"/>
      <c r="AB413" s="200"/>
      <c r="AC413" s="200"/>
      <c r="AD413" s="200"/>
      <c r="AE413" s="200"/>
      <c r="AF413" s="200"/>
      <c r="AG413" s="200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 s="239"/>
      <c r="T414"/>
      <c r="U414"/>
      <c r="V414"/>
      <c r="W414"/>
      <c r="X414" s="200"/>
      <c r="Y414" s="200"/>
      <c r="Z414" s="200"/>
      <c r="AA414" s="200"/>
      <c r="AB414" s="200"/>
      <c r="AC414" s="200"/>
      <c r="AD414" s="200"/>
      <c r="AE414" s="200"/>
      <c r="AF414" s="200"/>
      <c r="AG414" s="200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 s="239"/>
      <c r="T415"/>
      <c r="U415"/>
      <c r="V415"/>
      <c r="W415"/>
      <c r="X415" s="200"/>
      <c r="Y415" s="200"/>
      <c r="Z415" s="200"/>
      <c r="AA415" s="200"/>
      <c r="AB415" s="200"/>
      <c r="AC415" s="200"/>
      <c r="AD415" s="200"/>
      <c r="AE415" s="200"/>
      <c r="AF415" s="200"/>
      <c r="AG415" s="200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 s="239"/>
      <c r="T416"/>
      <c r="U416"/>
      <c r="V416"/>
      <c r="W416"/>
      <c r="X416" s="200"/>
      <c r="Y416" s="200"/>
      <c r="Z416" s="200"/>
      <c r="AA416" s="200"/>
      <c r="AB416" s="200"/>
      <c r="AC416" s="200"/>
      <c r="AD416" s="200"/>
      <c r="AE416" s="200"/>
      <c r="AF416" s="200"/>
      <c r="AG416" s="200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 s="239"/>
      <c r="T417"/>
      <c r="U417"/>
      <c r="V417"/>
      <c r="W417"/>
      <c r="X417" s="200"/>
      <c r="Y417" s="200"/>
      <c r="Z417" s="200"/>
      <c r="AA417" s="200"/>
      <c r="AB417" s="200"/>
      <c r="AC417" s="200"/>
      <c r="AD417" s="200"/>
      <c r="AE417" s="200"/>
      <c r="AF417" s="200"/>
      <c r="AG417" s="200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 s="239"/>
      <c r="T418"/>
      <c r="U418"/>
      <c r="V418"/>
      <c r="W418"/>
      <c r="X418" s="200"/>
      <c r="Y418" s="200"/>
      <c r="Z418" s="200"/>
      <c r="AA418" s="200"/>
      <c r="AB418" s="200"/>
      <c r="AC418" s="200"/>
      <c r="AD418" s="200"/>
      <c r="AE418" s="200"/>
      <c r="AF418" s="200"/>
      <c r="AG418" s="200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 s="239"/>
      <c r="T419"/>
      <c r="U419"/>
      <c r="V419"/>
      <c r="W419"/>
      <c r="X419" s="200"/>
      <c r="Y419" s="200"/>
      <c r="Z419" s="200"/>
      <c r="AA419" s="200"/>
      <c r="AB419" s="200"/>
      <c r="AC419" s="200"/>
      <c r="AD419" s="200"/>
      <c r="AE419" s="200"/>
      <c r="AF419" s="200"/>
      <c r="AG419" s="200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 s="239"/>
      <c r="T420"/>
      <c r="U420"/>
      <c r="V420"/>
      <c r="W420"/>
      <c r="X420" s="200"/>
      <c r="Y420" s="200"/>
      <c r="Z420" s="200"/>
      <c r="AA420" s="200"/>
      <c r="AB420" s="200"/>
      <c r="AC420" s="200"/>
      <c r="AD420" s="200"/>
      <c r="AE420" s="200"/>
      <c r="AF420" s="200"/>
      <c r="AG420" s="20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 s="239"/>
      <c r="T421"/>
      <c r="U421"/>
      <c r="V421"/>
      <c r="W421"/>
      <c r="X421" s="200"/>
      <c r="Y421" s="200"/>
      <c r="Z421" s="200"/>
      <c r="AA421" s="200"/>
      <c r="AB421" s="200"/>
      <c r="AC421" s="200"/>
      <c r="AD421" s="200"/>
      <c r="AE421" s="200"/>
      <c r="AF421" s="200"/>
      <c r="AG421" s="200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 s="239"/>
      <c r="T422"/>
      <c r="U422"/>
      <c r="V422"/>
      <c r="W422"/>
      <c r="X422" s="200"/>
      <c r="Y422" s="200"/>
      <c r="Z422" s="200"/>
      <c r="AA422" s="200"/>
      <c r="AB422" s="200"/>
      <c r="AC422" s="200"/>
      <c r="AD422" s="200"/>
      <c r="AE422" s="200"/>
      <c r="AF422" s="200"/>
      <c r="AG422" s="200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 s="239"/>
      <c r="T423"/>
      <c r="U423"/>
      <c r="V423"/>
      <c r="W423"/>
      <c r="X423" s="200"/>
      <c r="Y423" s="200"/>
      <c r="Z423" s="200"/>
      <c r="AA423" s="200"/>
      <c r="AB423" s="200"/>
      <c r="AC423" s="200"/>
      <c r="AD423" s="200"/>
      <c r="AE423" s="200"/>
      <c r="AF423" s="200"/>
      <c r="AG423" s="200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T424"/>
      <c r="U424"/>
      <c r="V424"/>
      <c r="W424"/>
      <c r="X424" s="200"/>
      <c r="Y424" s="200"/>
      <c r="Z424" s="200"/>
      <c r="AA424" s="200"/>
      <c r="AB424" s="200"/>
      <c r="AC424" s="200"/>
      <c r="AE424" s="200"/>
      <c r="AF424" s="200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 s="239"/>
      <c r="T425"/>
      <c r="U425"/>
      <c r="V425"/>
      <c r="W425"/>
      <c r="X425" s="200"/>
      <c r="Y425" s="200"/>
      <c r="Z425" s="200"/>
      <c r="AA425" s="200"/>
      <c r="AB425" s="200"/>
      <c r="AC425" s="200"/>
      <c r="AD425" s="200"/>
      <c r="AE425" s="200"/>
      <c r="AF425" s="200"/>
      <c r="AG425" s="200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 s="239"/>
      <c r="T426"/>
      <c r="U426"/>
      <c r="V426"/>
      <c r="W426"/>
      <c r="X426" s="200"/>
      <c r="Y426" s="200"/>
      <c r="Z426" s="200"/>
      <c r="AA426" s="200"/>
      <c r="AB426" s="200"/>
      <c r="AC426" s="200"/>
      <c r="AD426" s="200"/>
      <c r="AE426" s="200"/>
      <c r="AF426" s="200"/>
      <c r="AG426" s="200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 s="239"/>
      <c r="T427"/>
      <c r="U427"/>
      <c r="V427"/>
      <c r="W427"/>
      <c r="X427" s="200"/>
      <c r="Y427" s="200"/>
      <c r="Z427" s="200"/>
      <c r="AA427" s="200"/>
      <c r="AB427" s="200"/>
      <c r="AC427" s="200"/>
      <c r="AD427" s="200"/>
      <c r="AE427" s="200"/>
      <c r="AF427" s="200"/>
      <c r="AG427" s="200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 s="239"/>
      <c r="T428"/>
      <c r="U428"/>
      <c r="V428"/>
      <c r="W428"/>
      <c r="X428" s="200"/>
      <c r="Y428" s="200"/>
      <c r="Z428" s="200"/>
      <c r="AA428" s="200"/>
      <c r="AB428" s="200"/>
      <c r="AC428" s="200"/>
      <c r="AD428" s="200"/>
      <c r="AE428" s="200"/>
      <c r="AF428" s="200"/>
      <c r="AG428" s="200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 s="239"/>
      <c r="T429"/>
      <c r="U429"/>
      <c r="V429"/>
      <c r="W429"/>
      <c r="X429" s="200"/>
      <c r="Y429" s="200"/>
      <c r="Z429" s="200"/>
      <c r="AA429" s="200"/>
      <c r="AB429" s="200"/>
      <c r="AC429" s="200"/>
      <c r="AD429" s="200"/>
      <c r="AE429" s="200"/>
      <c r="AF429" s="200"/>
      <c r="AG429" s="200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T430"/>
      <c r="U430"/>
      <c r="V430"/>
      <c r="W430"/>
      <c r="X430" s="200"/>
      <c r="Y430" s="200"/>
      <c r="Z430" s="200"/>
      <c r="AA430" s="200"/>
      <c r="AB430" s="200"/>
      <c r="AC430" s="200"/>
      <c r="AE430" s="200"/>
      <c r="AF430" s="20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T431"/>
      <c r="U431"/>
      <c r="V431"/>
      <c r="W431"/>
      <c r="X431" s="200"/>
      <c r="Y431" s="200"/>
      <c r="Z431" s="200"/>
      <c r="AA431" s="200"/>
      <c r="AB431" s="200"/>
      <c r="AC431" s="200"/>
      <c r="AE431" s="200"/>
      <c r="AF431" s="200"/>
      <c r="AH431"/>
      <c r="AI431"/>
      <c r="AM431"/>
      <c r="AO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 s="239"/>
      <c r="T432"/>
      <c r="U432"/>
      <c r="V432"/>
      <c r="W432"/>
      <c r="X432" s="200"/>
      <c r="Y432" s="200"/>
      <c r="Z432" s="200"/>
      <c r="AA432" s="200"/>
      <c r="AB432" s="200"/>
      <c r="AC432" s="200"/>
      <c r="AD432" s="200"/>
      <c r="AE432" s="200"/>
      <c r="AF432" s="200"/>
      <c r="AG432" s="200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 s="239"/>
      <c r="T433"/>
      <c r="U433"/>
      <c r="V433"/>
      <c r="W433"/>
      <c r="X433" s="200"/>
      <c r="Y433" s="200"/>
      <c r="Z433" s="200"/>
      <c r="AA433" s="200"/>
      <c r="AB433" s="200"/>
      <c r="AC433" s="200"/>
      <c r="AD433" s="200"/>
      <c r="AE433" s="200"/>
      <c r="AF433" s="200"/>
      <c r="AG433" s="200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 s="239"/>
      <c r="T434"/>
      <c r="U434"/>
      <c r="V434"/>
      <c r="W434"/>
      <c r="X434" s="200"/>
      <c r="Y434" s="200"/>
      <c r="Z434" s="200"/>
      <c r="AA434" s="200"/>
      <c r="AB434" s="200"/>
      <c r="AC434" s="200"/>
      <c r="AD434" s="200"/>
      <c r="AE434" s="200"/>
      <c r="AF434" s="200"/>
      <c r="AG434" s="200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 s="239"/>
      <c r="T435"/>
      <c r="U435"/>
      <c r="V435"/>
      <c r="W435"/>
      <c r="X435" s="200"/>
      <c r="Y435" s="200"/>
      <c r="Z435" s="200"/>
      <c r="AA435" s="200"/>
      <c r="AB435" s="200"/>
      <c r="AC435" s="200"/>
      <c r="AD435" s="200"/>
      <c r="AE435" s="200"/>
      <c r="AF435" s="200"/>
      <c r="AG435" s="200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 s="239"/>
      <c r="T436"/>
      <c r="U436"/>
      <c r="V436"/>
      <c r="W436"/>
      <c r="X436" s="200"/>
      <c r="Y436" s="200"/>
      <c r="Z436" s="200"/>
      <c r="AA436" s="200"/>
      <c r="AB436" s="200"/>
      <c r="AC436" s="200"/>
      <c r="AD436" s="200"/>
      <c r="AE436" s="200"/>
      <c r="AF436" s="200"/>
      <c r="AG436" s="200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 s="239"/>
      <c r="T437"/>
      <c r="U437"/>
      <c r="V437"/>
      <c r="W437"/>
      <c r="X437" s="200"/>
      <c r="Y437" s="200"/>
      <c r="Z437" s="200"/>
      <c r="AA437" s="200"/>
      <c r="AB437" s="200"/>
      <c r="AC437" s="200"/>
      <c r="AD437" s="200"/>
      <c r="AE437" s="200"/>
      <c r="AF437" s="200"/>
      <c r="AG437" s="200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T438"/>
      <c r="U438"/>
      <c r="V438"/>
      <c r="W438"/>
      <c r="X438" s="200"/>
      <c r="Y438" s="200"/>
      <c r="Z438" s="200"/>
      <c r="AA438" s="200"/>
      <c r="AB438" s="200"/>
      <c r="AC438" s="200"/>
      <c r="AE438" s="200"/>
      <c r="AF438" s="200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 s="239"/>
      <c r="T439"/>
      <c r="U439"/>
      <c r="V439"/>
      <c r="W439"/>
      <c r="X439" s="200"/>
      <c r="Y439" s="200"/>
      <c r="Z439" s="200"/>
      <c r="AA439" s="200"/>
      <c r="AB439" s="200"/>
      <c r="AC439" s="200"/>
      <c r="AD439" s="200"/>
      <c r="AE439" s="200"/>
      <c r="AF439" s="200"/>
      <c r="AG439" s="200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T440"/>
      <c r="U440"/>
      <c r="V440"/>
      <c r="W440"/>
      <c r="X440" s="200"/>
      <c r="Y440" s="200"/>
      <c r="Z440" s="200"/>
      <c r="AA440" s="200"/>
      <c r="AB440" s="200"/>
      <c r="AC440" s="200"/>
      <c r="AE440" s="200"/>
      <c r="AF440" s="20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 s="239"/>
      <c r="T441"/>
      <c r="U441"/>
      <c r="V441"/>
      <c r="W441"/>
      <c r="X441" s="200"/>
      <c r="Y441" s="200"/>
      <c r="Z441" s="200"/>
      <c r="AA441" s="200"/>
      <c r="AB441" s="200"/>
      <c r="AC441" s="200"/>
      <c r="AD441" s="200"/>
      <c r="AE441" s="200"/>
      <c r="AF441" s="200"/>
      <c r="AG441" s="200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T442"/>
      <c r="U442"/>
      <c r="V442"/>
      <c r="W442"/>
      <c r="X442" s="200"/>
      <c r="Y442" s="200"/>
      <c r="Z442" s="200"/>
      <c r="AA442" s="200"/>
      <c r="AB442" s="200"/>
      <c r="AC442" s="200"/>
      <c r="AE442" s="200"/>
      <c r="AF442" s="200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 s="239"/>
      <c r="T443"/>
      <c r="U443"/>
      <c r="V443"/>
      <c r="W443"/>
      <c r="X443" s="200"/>
      <c r="Y443" s="200"/>
      <c r="Z443" s="200"/>
      <c r="AA443" s="200"/>
      <c r="AB443" s="200"/>
      <c r="AC443" s="200"/>
      <c r="AD443" s="200"/>
      <c r="AE443" s="200"/>
      <c r="AF443" s="200"/>
      <c r="AG443" s="200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T444"/>
      <c r="U444"/>
      <c r="V444"/>
      <c r="W444"/>
      <c r="X444" s="200"/>
      <c r="Y444" s="200"/>
      <c r="Z444" s="200"/>
      <c r="AA444" s="200"/>
      <c r="AB444" s="200"/>
      <c r="AC444" s="200"/>
      <c r="AE444" s="200"/>
      <c r="AF444" s="200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 s="239"/>
      <c r="T445"/>
      <c r="U445"/>
      <c r="V445"/>
      <c r="W445"/>
      <c r="X445" s="200"/>
      <c r="Y445" s="200"/>
      <c r="Z445" s="200"/>
      <c r="AA445" s="200"/>
      <c r="AB445" s="200"/>
      <c r="AC445" s="200"/>
      <c r="AD445" s="200"/>
      <c r="AE445" s="200"/>
      <c r="AF445" s="200"/>
      <c r="AG445" s="200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 s="239"/>
      <c r="T446"/>
      <c r="U446"/>
      <c r="V446"/>
      <c r="W446"/>
      <c r="X446" s="200"/>
      <c r="Y446" s="200"/>
      <c r="Z446" s="200"/>
      <c r="AA446" s="200"/>
      <c r="AB446" s="200"/>
      <c r="AC446" s="200"/>
      <c r="AD446" s="200"/>
      <c r="AE446" s="200"/>
      <c r="AF446" s="200"/>
      <c r="AG446" s="200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T447"/>
      <c r="U447"/>
      <c r="V447"/>
      <c r="W447"/>
      <c r="X447" s="200"/>
      <c r="Y447" s="200"/>
      <c r="Z447" s="200"/>
      <c r="AA447" s="200"/>
      <c r="AB447" s="200"/>
      <c r="AC447" s="200"/>
      <c r="AE447" s="200"/>
      <c r="AF447" s="200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 s="239"/>
      <c r="T448"/>
      <c r="U448"/>
      <c r="V448"/>
      <c r="W448"/>
      <c r="X448" s="200"/>
      <c r="Y448" s="200"/>
      <c r="Z448" s="200"/>
      <c r="AA448" s="200"/>
      <c r="AB448" s="200"/>
      <c r="AC448" s="200"/>
      <c r="AD448" s="200"/>
      <c r="AE448" s="200"/>
      <c r="AF448" s="200"/>
      <c r="AG448" s="200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T449"/>
      <c r="U449"/>
      <c r="V449"/>
      <c r="W449"/>
      <c r="X449" s="200"/>
      <c r="Y449" s="200"/>
      <c r="Z449" s="200"/>
      <c r="AA449" s="200"/>
      <c r="AB449" s="200"/>
      <c r="AC449" s="200"/>
      <c r="AE449" s="200"/>
      <c r="AF449" s="200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 s="239"/>
      <c r="T450"/>
      <c r="U450"/>
      <c r="V450"/>
      <c r="W450"/>
      <c r="X450" s="200"/>
      <c r="Y450" s="200"/>
      <c r="Z450" s="200"/>
      <c r="AA450" s="200"/>
      <c r="AB450" s="200"/>
      <c r="AC450" s="200"/>
      <c r="AD450" s="200"/>
      <c r="AE450" s="200"/>
      <c r="AF450" s="200"/>
      <c r="AG450" s="20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 s="239"/>
      <c r="T451"/>
      <c r="U451"/>
      <c r="V451"/>
      <c r="W451"/>
      <c r="X451" s="200"/>
      <c r="Y451" s="200"/>
      <c r="Z451" s="200"/>
      <c r="AA451" s="200"/>
      <c r="AB451" s="200"/>
      <c r="AC451" s="200"/>
      <c r="AD451" s="200"/>
      <c r="AE451" s="200"/>
      <c r="AF451" s="200"/>
      <c r="AG451" s="200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 s="239"/>
      <c r="T452"/>
      <c r="U452"/>
      <c r="V452"/>
      <c r="W452"/>
      <c r="X452" s="200"/>
      <c r="Y452" s="200"/>
      <c r="Z452" s="200"/>
      <c r="AA452" s="200"/>
      <c r="AB452" s="200"/>
      <c r="AC452" s="200"/>
      <c r="AD452" s="200"/>
      <c r="AE452" s="200"/>
      <c r="AF452" s="200"/>
      <c r="AG452" s="200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T453"/>
      <c r="U453"/>
      <c r="V453"/>
      <c r="W453"/>
      <c r="X453" s="200"/>
      <c r="Y453" s="200"/>
      <c r="Z453" s="200"/>
      <c r="AA453" s="200"/>
      <c r="AB453" s="200"/>
      <c r="AC453" s="200"/>
      <c r="AE453" s="200"/>
      <c r="AF453" s="200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 s="239"/>
      <c r="T454"/>
      <c r="U454"/>
      <c r="V454"/>
      <c r="W454"/>
      <c r="X454" s="200"/>
      <c r="Y454" s="200"/>
      <c r="Z454" s="200"/>
      <c r="AA454" s="200"/>
      <c r="AB454" s="200"/>
      <c r="AC454" s="200"/>
      <c r="AD454" s="200"/>
      <c r="AE454" s="200"/>
      <c r="AF454" s="200"/>
      <c r="AG454" s="200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 s="239"/>
      <c r="T455"/>
      <c r="U455"/>
      <c r="V455"/>
      <c r="W455"/>
      <c r="X455" s="200"/>
      <c r="Y455" s="200"/>
      <c r="Z455" s="200"/>
      <c r="AA455" s="200"/>
      <c r="AB455" s="200"/>
      <c r="AC455" s="200"/>
      <c r="AD455" s="200"/>
      <c r="AE455" s="200"/>
      <c r="AF455" s="200"/>
      <c r="AG455" s="200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 s="239"/>
      <c r="T456"/>
      <c r="U456"/>
      <c r="V456"/>
      <c r="W456"/>
      <c r="X456" s="200"/>
      <c r="Y456" s="200"/>
      <c r="Z456" s="200"/>
      <c r="AA456" s="200"/>
      <c r="AB456" s="200"/>
      <c r="AC456" s="200"/>
      <c r="AD456" s="200"/>
      <c r="AE456" s="200"/>
      <c r="AF456" s="200"/>
      <c r="AG456" s="200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T457"/>
      <c r="U457"/>
      <c r="V457"/>
      <c r="W457"/>
      <c r="X457" s="200"/>
      <c r="Y457" s="200"/>
      <c r="Z457" s="200"/>
      <c r="AA457" s="200"/>
      <c r="AB457" s="200"/>
      <c r="AC457" s="200"/>
      <c r="AE457" s="200"/>
      <c r="AF457" s="200"/>
      <c r="AH457"/>
      <c r="AI457"/>
      <c r="AM457"/>
      <c r="AO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 s="239"/>
      <c r="T458"/>
      <c r="U458"/>
      <c r="V458"/>
      <c r="W458"/>
      <c r="X458" s="200"/>
      <c r="Y458" s="200"/>
      <c r="Z458" s="200"/>
      <c r="AA458" s="200"/>
      <c r="AB458" s="200"/>
      <c r="AC458" s="200"/>
      <c r="AD458" s="200"/>
      <c r="AE458" s="200"/>
      <c r="AF458" s="200"/>
      <c r="AG458" s="200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 s="239"/>
      <c r="T459"/>
      <c r="U459"/>
      <c r="V459"/>
      <c r="W459"/>
      <c r="X459" s="200"/>
      <c r="Y459" s="200"/>
      <c r="Z459" s="200"/>
      <c r="AA459" s="200"/>
      <c r="AB459" s="200"/>
      <c r="AC459" s="200"/>
      <c r="AD459" s="200"/>
      <c r="AE459" s="200"/>
      <c r="AF459" s="200"/>
      <c r="AG459" s="200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 s="239"/>
      <c r="T460"/>
      <c r="U460"/>
      <c r="V460"/>
      <c r="W460"/>
      <c r="X460" s="200"/>
      <c r="Y460" s="200"/>
      <c r="Z460" s="200"/>
      <c r="AA460" s="200"/>
      <c r="AB460" s="200"/>
      <c r="AC460" s="200"/>
      <c r="AD460" s="200"/>
      <c r="AE460" s="200"/>
      <c r="AF460" s="200"/>
      <c r="AG460" s="20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 s="239"/>
      <c r="T461"/>
      <c r="U461"/>
      <c r="V461"/>
      <c r="W461"/>
      <c r="X461" s="200"/>
      <c r="Y461" s="200"/>
      <c r="Z461" s="200"/>
      <c r="AA461" s="200"/>
      <c r="AB461" s="200"/>
      <c r="AC461" s="200"/>
      <c r="AD461" s="200"/>
      <c r="AE461" s="200"/>
      <c r="AF461" s="200"/>
      <c r="AG461" s="200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T462"/>
      <c r="U462"/>
      <c r="V462"/>
      <c r="W462"/>
      <c r="X462" s="200"/>
      <c r="Y462" s="200"/>
      <c r="Z462" s="200"/>
      <c r="AA462" s="200"/>
      <c r="AB462" s="200"/>
      <c r="AC462" s="200"/>
      <c r="AE462" s="200"/>
      <c r="AF462" s="200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T463"/>
      <c r="U463"/>
      <c r="V463"/>
      <c r="W463"/>
      <c r="X463" s="200"/>
      <c r="Y463" s="200"/>
      <c r="Z463" s="200"/>
      <c r="AA463" s="200"/>
      <c r="AB463" s="200"/>
      <c r="AC463" s="200"/>
      <c r="AE463" s="200"/>
      <c r="AF463" s="200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 s="239"/>
      <c r="T464"/>
      <c r="U464"/>
      <c r="V464"/>
      <c r="W464"/>
      <c r="X464" s="200"/>
      <c r="Y464" s="200"/>
      <c r="Z464" s="200"/>
      <c r="AA464" s="200"/>
      <c r="AB464" s="200"/>
      <c r="AC464" s="200"/>
      <c r="AD464" s="200"/>
      <c r="AE464" s="200"/>
      <c r="AF464" s="200"/>
      <c r="AG464" s="200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T465"/>
      <c r="U465"/>
      <c r="V465"/>
      <c r="W465"/>
      <c r="X465" s="200"/>
      <c r="Y465" s="200"/>
      <c r="Z465" s="200"/>
      <c r="AA465" s="200"/>
      <c r="AB465" s="200"/>
      <c r="AC465" s="200"/>
      <c r="AE465" s="200"/>
      <c r="AF465" s="200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 s="239"/>
      <c r="T466"/>
      <c r="U466"/>
      <c r="V466"/>
      <c r="W466"/>
      <c r="X466" s="200"/>
      <c r="Y466" s="200"/>
      <c r="Z466" s="200"/>
      <c r="AA466" s="200"/>
      <c r="AB466" s="200"/>
      <c r="AC466" s="200"/>
      <c r="AD466" s="200"/>
      <c r="AE466" s="200"/>
      <c r="AF466" s="200"/>
      <c r="AG466" s="200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 s="239"/>
      <c r="T467"/>
      <c r="U467"/>
      <c r="V467"/>
      <c r="W467"/>
      <c r="X467" s="200"/>
      <c r="Y467" s="200"/>
      <c r="Z467" s="200"/>
      <c r="AA467" s="200"/>
      <c r="AB467" s="200"/>
      <c r="AC467" s="200"/>
      <c r="AD467" s="200"/>
      <c r="AE467" s="200"/>
      <c r="AF467" s="200"/>
      <c r="AG467" s="200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 s="239"/>
      <c r="T468"/>
      <c r="U468"/>
      <c r="V468"/>
      <c r="W468"/>
      <c r="X468" s="200"/>
      <c r="Y468" s="200"/>
      <c r="Z468" s="200"/>
      <c r="AA468" s="200"/>
      <c r="AB468" s="200"/>
      <c r="AC468" s="200"/>
      <c r="AD468" s="200"/>
      <c r="AE468" s="200"/>
      <c r="AF468" s="200"/>
      <c r="AG468" s="200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T469"/>
      <c r="U469"/>
      <c r="V469"/>
      <c r="W469"/>
      <c r="X469" s="200"/>
      <c r="Y469" s="200"/>
      <c r="Z469" s="200"/>
      <c r="AA469" s="200"/>
      <c r="AB469" s="200"/>
      <c r="AC469" s="200"/>
      <c r="AE469" s="200"/>
      <c r="AF469" s="200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T470"/>
      <c r="U470"/>
      <c r="V470"/>
      <c r="W470"/>
      <c r="X470" s="200"/>
      <c r="Y470" s="200"/>
      <c r="Z470" s="200"/>
      <c r="AA470" s="200"/>
      <c r="AB470" s="200"/>
      <c r="AC470" s="200"/>
      <c r="AE470" s="200"/>
      <c r="AF470" s="20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T471"/>
      <c r="U471"/>
      <c r="V471"/>
      <c r="W471"/>
      <c r="X471" s="200"/>
      <c r="Y471" s="200"/>
      <c r="Z471" s="200"/>
      <c r="AA471" s="200"/>
      <c r="AB471" s="200"/>
      <c r="AC471" s="200"/>
      <c r="AE471" s="200"/>
      <c r="AF471" s="200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 s="239"/>
      <c r="T472"/>
      <c r="U472"/>
      <c r="V472"/>
      <c r="W472"/>
      <c r="X472" s="200"/>
      <c r="Y472" s="200"/>
      <c r="Z472" s="200"/>
      <c r="AA472" s="200"/>
      <c r="AB472" s="200"/>
      <c r="AC472" s="200"/>
      <c r="AD472" s="200"/>
      <c r="AE472" s="200"/>
      <c r="AF472" s="200"/>
      <c r="AG472" s="200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T473"/>
      <c r="U473"/>
      <c r="V473"/>
      <c r="W473"/>
      <c r="X473" s="200"/>
      <c r="Y473" s="200"/>
      <c r="Z473" s="200"/>
      <c r="AA473" s="200"/>
      <c r="AB473" s="200"/>
      <c r="AC473" s="200"/>
      <c r="AE473" s="200"/>
      <c r="AF473" s="200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T474"/>
      <c r="U474"/>
      <c r="V474"/>
      <c r="W474"/>
      <c r="X474" s="200"/>
      <c r="Y474" s="200"/>
      <c r="Z474" s="200"/>
      <c r="AA474" s="200"/>
      <c r="AB474" s="200"/>
      <c r="AC474" s="200"/>
      <c r="AE474" s="200"/>
      <c r="AF474" s="200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T475"/>
      <c r="U475"/>
      <c r="V475"/>
      <c r="W475"/>
      <c r="X475" s="200"/>
      <c r="Y475" s="200"/>
      <c r="Z475" s="200"/>
      <c r="AA475" s="200"/>
      <c r="AB475" s="200"/>
      <c r="AC475" s="200"/>
      <c r="AE475" s="200"/>
      <c r="AF475" s="200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T476"/>
      <c r="U476"/>
      <c r="V476"/>
      <c r="W476"/>
      <c r="X476" s="200"/>
      <c r="Y476" s="200"/>
      <c r="Z476" s="200"/>
      <c r="AA476" s="200"/>
      <c r="AB476" s="200"/>
      <c r="AC476" s="200"/>
      <c r="AE476" s="200"/>
      <c r="AF476" s="200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T477"/>
      <c r="U477"/>
      <c r="V477"/>
      <c r="W477"/>
      <c r="X477" s="200"/>
      <c r="Y477" s="200"/>
      <c r="Z477" s="200"/>
      <c r="AA477" s="200"/>
      <c r="AB477" s="200"/>
      <c r="AC477" s="200"/>
      <c r="AE477" s="200"/>
      <c r="AF477" s="200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 s="239"/>
      <c r="T478"/>
      <c r="U478"/>
      <c r="V478"/>
      <c r="W478"/>
      <c r="X478" s="200"/>
      <c r="Y478" s="200"/>
      <c r="Z478" s="200"/>
      <c r="AA478" s="200"/>
      <c r="AB478" s="200"/>
      <c r="AC478" s="200"/>
      <c r="AD478" s="200"/>
      <c r="AE478" s="200"/>
      <c r="AF478" s="200"/>
      <c r="AG478" s="200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 s="239"/>
      <c r="T479"/>
      <c r="U479"/>
      <c r="V479"/>
      <c r="W479"/>
      <c r="X479" s="200"/>
      <c r="Y479" s="200"/>
      <c r="Z479" s="200"/>
      <c r="AA479" s="200"/>
      <c r="AB479" s="200"/>
      <c r="AC479" s="200"/>
      <c r="AD479" s="200"/>
      <c r="AE479" s="200"/>
      <c r="AF479" s="200"/>
      <c r="AG479" s="200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T480"/>
      <c r="U480"/>
      <c r="V480"/>
      <c r="W480"/>
      <c r="X480" s="200"/>
      <c r="Y480" s="200"/>
      <c r="Z480" s="200"/>
      <c r="AA480" s="200"/>
      <c r="AB480" s="200"/>
      <c r="AC480" s="200"/>
      <c r="AE480" s="200"/>
      <c r="AF480" s="20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T481"/>
      <c r="U481"/>
      <c r="V481"/>
      <c r="W481"/>
      <c r="X481" s="200"/>
      <c r="Y481" s="200"/>
      <c r="Z481" s="200"/>
      <c r="AA481" s="200"/>
      <c r="AB481" s="200"/>
      <c r="AC481" s="200"/>
      <c r="AE481" s="200"/>
      <c r="AF481" s="200"/>
      <c r="AH481"/>
      <c r="AI481"/>
      <c r="AM481"/>
      <c r="AO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 s="239"/>
      <c r="T482"/>
      <c r="U482"/>
      <c r="V482"/>
      <c r="W482"/>
      <c r="X482" s="200"/>
      <c r="Y482" s="200"/>
      <c r="Z482" s="200"/>
      <c r="AA482" s="200"/>
      <c r="AB482" s="200"/>
      <c r="AC482" s="200"/>
      <c r="AD482" s="200"/>
      <c r="AE482" s="200"/>
      <c r="AF482" s="200"/>
      <c r="AG482" s="200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T483"/>
      <c r="U483"/>
      <c r="V483"/>
      <c r="W483"/>
      <c r="X483" s="200"/>
      <c r="Y483" s="200"/>
      <c r="Z483" s="200"/>
      <c r="AA483" s="200"/>
      <c r="AB483" s="200"/>
      <c r="AC483" s="200"/>
      <c r="AE483" s="200"/>
      <c r="AF483" s="200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T484"/>
      <c r="U484"/>
      <c r="V484"/>
      <c r="W484"/>
      <c r="X484" s="200"/>
      <c r="Y484" s="200"/>
      <c r="Z484" s="200"/>
      <c r="AA484" s="200"/>
      <c r="AB484" s="200"/>
      <c r="AC484" s="200"/>
      <c r="AE484" s="200"/>
      <c r="AF484" s="200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T485"/>
      <c r="U485"/>
      <c r="V485"/>
      <c r="W485"/>
      <c r="X485" s="200"/>
      <c r="Y485" s="200"/>
      <c r="Z485" s="200"/>
      <c r="AA485" s="200"/>
      <c r="AB485" s="200"/>
      <c r="AC485" s="200"/>
      <c r="AE485" s="200"/>
      <c r="AF485" s="200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T486"/>
      <c r="U486"/>
      <c r="V486"/>
      <c r="W486"/>
      <c r="X486" s="200"/>
      <c r="Y486" s="200"/>
      <c r="Z486" s="200"/>
      <c r="AA486" s="200"/>
      <c r="AB486" s="200"/>
      <c r="AC486" s="200"/>
      <c r="AE486" s="200"/>
      <c r="AF486" s="200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T487"/>
      <c r="U487"/>
      <c r="V487"/>
      <c r="W487"/>
      <c r="X487" s="200"/>
      <c r="Y487" s="200"/>
      <c r="Z487" s="200"/>
      <c r="AA487" s="200"/>
      <c r="AB487" s="200"/>
      <c r="AC487" s="200"/>
      <c r="AE487" s="200"/>
      <c r="AF487" s="200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T488"/>
      <c r="U488"/>
      <c r="V488"/>
      <c r="W488"/>
      <c r="X488" s="200"/>
      <c r="Y488" s="200"/>
      <c r="Z488" s="200"/>
      <c r="AA488" s="200"/>
      <c r="AB488" s="200"/>
      <c r="AC488" s="200"/>
      <c r="AE488" s="200"/>
      <c r="AF488" s="200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T489"/>
      <c r="U489"/>
      <c r="V489"/>
      <c r="W489"/>
      <c r="X489" s="200"/>
      <c r="Y489" s="200"/>
      <c r="Z489" s="200"/>
      <c r="AA489" s="200"/>
      <c r="AB489" s="200"/>
      <c r="AC489" s="200"/>
      <c r="AE489" s="200"/>
      <c r="AF489" s="200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T490"/>
      <c r="U490"/>
      <c r="V490"/>
      <c r="W490"/>
      <c r="X490" s="200"/>
      <c r="Y490" s="200"/>
      <c r="Z490" s="200"/>
      <c r="AA490" s="200"/>
      <c r="AB490" s="200"/>
      <c r="AC490" s="200"/>
      <c r="AE490" s="200"/>
      <c r="AF490" s="20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T491"/>
      <c r="U491"/>
      <c r="V491"/>
      <c r="W491"/>
      <c r="X491" s="200"/>
      <c r="Y491" s="200"/>
      <c r="Z491" s="200"/>
      <c r="AA491" s="200"/>
      <c r="AB491" s="200"/>
      <c r="AC491" s="200"/>
      <c r="AE491" s="200"/>
      <c r="AF491" s="200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T492"/>
      <c r="U492"/>
      <c r="V492"/>
      <c r="W492"/>
      <c r="X492" s="200"/>
      <c r="Y492" s="200"/>
      <c r="Z492" s="200"/>
      <c r="AA492" s="200"/>
      <c r="AB492" s="200"/>
      <c r="AC492" s="200"/>
      <c r="AE492" s="200"/>
      <c r="AF492" s="200"/>
      <c r="AH492"/>
      <c r="AI492"/>
      <c r="AM492"/>
      <c r="AO492"/>
    </row>
    <row r="493" spans="1:91" s="2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 s="239"/>
      <c r="T493"/>
      <c r="U493"/>
      <c r="V493"/>
      <c r="W493"/>
      <c r="X493" s="200"/>
      <c r="Y493" s="200"/>
      <c r="Z493" s="200"/>
      <c r="AA493" s="200"/>
      <c r="AB493" s="200"/>
      <c r="AC493" s="200"/>
      <c r="AD493" s="200"/>
      <c r="AE493" s="200"/>
      <c r="AF493" s="200"/>
      <c r="AG493" s="200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T494"/>
      <c r="U494"/>
      <c r="V494"/>
      <c r="W494"/>
      <c r="X494" s="200"/>
      <c r="Y494" s="200"/>
      <c r="Z494" s="200"/>
      <c r="AA494" s="200"/>
      <c r="AB494" s="200"/>
      <c r="AC494" s="200"/>
      <c r="AE494" s="200"/>
      <c r="AF494" s="200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T495"/>
      <c r="U495"/>
      <c r="V495"/>
      <c r="W495"/>
      <c r="X495" s="200"/>
      <c r="Y495" s="200"/>
      <c r="Z495" s="200"/>
      <c r="AA495" s="200"/>
      <c r="AB495" s="200"/>
      <c r="AC495" s="200"/>
      <c r="AE495" s="200"/>
      <c r="AF495" s="200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T496"/>
      <c r="U496"/>
      <c r="V496"/>
      <c r="W496"/>
      <c r="X496" s="200"/>
      <c r="Y496" s="200"/>
      <c r="Z496" s="200"/>
      <c r="AA496" s="200"/>
      <c r="AB496" s="200"/>
      <c r="AC496" s="200"/>
      <c r="AE496" s="200"/>
      <c r="AF496" s="200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T497"/>
      <c r="U497"/>
      <c r="V497"/>
      <c r="W497"/>
      <c r="X497" s="200"/>
      <c r="Y497" s="200"/>
      <c r="Z497" s="200"/>
      <c r="AA497" s="200"/>
      <c r="AB497" s="200"/>
      <c r="AC497" s="200"/>
      <c r="AE497" s="200"/>
      <c r="AF497" s="200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T498"/>
      <c r="U498"/>
      <c r="V498"/>
      <c r="W498"/>
      <c r="X498" s="200"/>
      <c r="Y498" s="200"/>
      <c r="Z498" s="200"/>
      <c r="AA498" s="200"/>
      <c r="AB498" s="200"/>
      <c r="AC498" s="200"/>
      <c r="AE498" s="200"/>
      <c r="AF498" s="200"/>
      <c r="AH498"/>
      <c r="AI498"/>
      <c r="AM498"/>
      <c r="AO498"/>
    </row>
    <row r="499" spans="1:91" s="2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 s="239"/>
      <c r="T499"/>
      <c r="U499"/>
      <c r="V499"/>
      <c r="W499"/>
      <c r="X499" s="200"/>
      <c r="Y499" s="200"/>
      <c r="Z499" s="200"/>
      <c r="AA499" s="200"/>
      <c r="AB499" s="200"/>
      <c r="AC499" s="200"/>
      <c r="AD499" s="200"/>
      <c r="AE499" s="200"/>
      <c r="AF499" s="200"/>
      <c r="AG499" s="200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T500"/>
      <c r="U500"/>
      <c r="V500"/>
      <c r="W500"/>
      <c r="X500" s="200"/>
      <c r="Y500" s="200"/>
      <c r="Z500" s="200"/>
      <c r="AA500" s="200"/>
      <c r="AB500" s="200"/>
      <c r="AC500" s="200"/>
      <c r="AE500" s="200"/>
      <c r="AF500" s="2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T501"/>
      <c r="U501"/>
      <c r="V501"/>
      <c r="W501"/>
      <c r="X501" s="200"/>
      <c r="Y501" s="200"/>
      <c r="Z501" s="200"/>
      <c r="AA501" s="200"/>
      <c r="AB501" s="200"/>
      <c r="AC501" s="200"/>
      <c r="AE501" s="200"/>
      <c r="AF501" s="200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T502"/>
      <c r="U502"/>
      <c r="V502"/>
      <c r="W502"/>
      <c r="X502" s="200"/>
      <c r="Y502" s="200"/>
      <c r="Z502" s="200"/>
      <c r="AA502" s="200"/>
      <c r="AB502" s="200"/>
      <c r="AC502" s="200"/>
      <c r="AE502" s="200"/>
      <c r="AF502" s="200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T503"/>
      <c r="U503"/>
      <c r="V503"/>
      <c r="W503"/>
      <c r="X503" s="200"/>
      <c r="Y503" s="200"/>
      <c r="Z503" s="200"/>
      <c r="AA503" s="200"/>
      <c r="AB503" s="200"/>
      <c r="AC503" s="200"/>
      <c r="AE503" s="200"/>
      <c r="AF503" s="200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T504"/>
      <c r="U504"/>
      <c r="V504"/>
      <c r="W504"/>
      <c r="X504" s="200"/>
      <c r="Y504" s="200"/>
      <c r="Z504" s="200"/>
      <c r="AA504" s="200"/>
      <c r="AB504" s="200"/>
      <c r="AC504" s="200"/>
      <c r="AE504" s="200"/>
      <c r="AF504" s="200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T505"/>
      <c r="U505"/>
      <c r="V505"/>
      <c r="W505"/>
      <c r="X505" s="200"/>
      <c r="Y505" s="200"/>
      <c r="Z505" s="200"/>
      <c r="AA505" s="200"/>
      <c r="AB505" s="200"/>
      <c r="AC505" s="200"/>
      <c r="AE505" s="200"/>
      <c r="AF505" s="200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T506"/>
      <c r="U506"/>
      <c r="V506"/>
      <c r="W506"/>
      <c r="X506" s="200"/>
      <c r="Y506" s="200"/>
      <c r="Z506" s="200"/>
      <c r="AA506" s="200"/>
      <c r="AB506" s="200"/>
      <c r="AC506" s="200"/>
      <c r="AE506" s="200"/>
      <c r="AF506" s="200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T507"/>
      <c r="U507"/>
      <c r="V507"/>
      <c r="W507"/>
      <c r="X507" s="200"/>
      <c r="Y507" s="200"/>
      <c r="Z507" s="200"/>
      <c r="AA507" s="200"/>
      <c r="AB507" s="200"/>
      <c r="AC507" s="200"/>
      <c r="AE507" s="200"/>
      <c r="AF507" s="200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T508"/>
      <c r="U508"/>
      <c r="V508"/>
      <c r="W508"/>
      <c r="X508" s="200"/>
      <c r="Y508" s="200"/>
      <c r="Z508" s="200"/>
      <c r="AA508" s="200"/>
      <c r="AB508" s="200"/>
      <c r="AC508" s="200"/>
      <c r="AE508" s="200"/>
      <c r="AF508" s="200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T509"/>
      <c r="U509"/>
      <c r="V509"/>
      <c r="W509"/>
      <c r="X509" s="200"/>
      <c r="Y509" s="200"/>
      <c r="Z509" s="200"/>
      <c r="AA509" s="200"/>
      <c r="AB509" s="200"/>
      <c r="AC509" s="200"/>
      <c r="AE509" s="200"/>
      <c r="AF509" s="200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T510"/>
      <c r="U510"/>
      <c r="V510"/>
      <c r="W510"/>
      <c r="X510" s="200"/>
      <c r="Y510" s="200"/>
      <c r="Z510" s="200"/>
      <c r="AA510" s="200"/>
      <c r="AB510" s="200"/>
      <c r="AC510" s="200"/>
      <c r="AE510" s="200"/>
      <c r="AF510" s="20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T511"/>
      <c r="U511"/>
      <c r="V511"/>
      <c r="W511"/>
      <c r="X511" s="200"/>
      <c r="Y511" s="200"/>
      <c r="Z511" s="200"/>
      <c r="AA511" s="200"/>
      <c r="AB511" s="200"/>
      <c r="AC511" s="200"/>
      <c r="AE511" s="200"/>
      <c r="AF511" s="200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T512"/>
      <c r="U512"/>
      <c r="V512"/>
      <c r="W512"/>
      <c r="X512" s="200"/>
      <c r="Y512" s="200"/>
      <c r="Z512" s="200"/>
      <c r="AA512" s="200"/>
      <c r="AB512" s="200"/>
      <c r="AC512" s="200"/>
      <c r="AE512" s="200"/>
      <c r="AF512" s="200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T513"/>
      <c r="U513"/>
      <c r="V513"/>
      <c r="W513"/>
      <c r="X513" s="200"/>
      <c r="Y513" s="200"/>
      <c r="Z513" s="200"/>
      <c r="AA513" s="200"/>
      <c r="AB513" s="200"/>
      <c r="AC513" s="200"/>
      <c r="AE513" s="200"/>
      <c r="AF513" s="200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T514"/>
      <c r="U514"/>
      <c r="V514"/>
      <c r="W514"/>
      <c r="X514" s="200"/>
      <c r="Y514" s="200"/>
      <c r="Z514" s="200"/>
      <c r="AA514" s="200"/>
      <c r="AB514" s="200"/>
      <c r="AC514" s="200"/>
      <c r="AE514" s="200"/>
      <c r="AF514" s="200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T515"/>
      <c r="U515"/>
      <c r="V515"/>
      <c r="W515"/>
      <c r="X515" s="200"/>
      <c r="Y515" s="200"/>
      <c r="Z515" s="200"/>
      <c r="AA515" s="200"/>
      <c r="AB515" s="200"/>
      <c r="AC515" s="200"/>
      <c r="AE515" s="200"/>
      <c r="AF515" s="200"/>
      <c r="AH515"/>
      <c r="AI515"/>
      <c r="AM515"/>
      <c r="AO515"/>
    </row>
    <row r="516" spans="1:91" s="20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 s="239"/>
      <c r="T516"/>
      <c r="U516"/>
      <c r="V516"/>
      <c r="W516"/>
      <c r="X516" s="200"/>
      <c r="Y516" s="200"/>
      <c r="Z516" s="200"/>
      <c r="AA516" s="200"/>
      <c r="AB516" s="200"/>
      <c r="AC516" s="200"/>
      <c r="AD516" s="200"/>
      <c r="AE516" s="200"/>
      <c r="AF516" s="200"/>
      <c r="AG516" s="200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T517"/>
      <c r="U517"/>
      <c r="V517"/>
      <c r="W517"/>
      <c r="X517" s="200"/>
      <c r="Y517" s="200"/>
      <c r="Z517" s="200"/>
      <c r="AA517" s="200"/>
      <c r="AB517" s="200"/>
      <c r="AC517" s="200"/>
      <c r="AE517" s="200"/>
      <c r="AF517" s="200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T518"/>
      <c r="U518"/>
      <c r="V518"/>
      <c r="W518"/>
      <c r="X518" s="200"/>
      <c r="Y518" s="200"/>
      <c r="Z518" s="200"/>
      <c r="AA518" s="200"/>
      <c r="AB518" s="200"/>
      <c r="AC518" s="200"/>
      <c r="AE518" s="200"/>
      <c r="AF518" s="200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T519"/>
      <c r="U519"/>
      <c r="V519"/>
      <c r="W519"/>
      <c r="X519" s="200"/>
      <c r="Y519" s="200"/>
      <c r="Z519" s="200"/>
      <c r="AA519" s="200"/>
      <c r="AB519" s="200"/>
      <c r="AC519" s="200"/>
      <c r="AE519" s="200"/>
      <c r="AF519" s="200"/>
      <c r="AH519"/>
      <c r="AI519"/>
      <c r="AM519"/>
      <c r="AO519"/>
    </row>
    <row r="520" spans="1:91" s="20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 s="239"/>
      <c r="T520"/>
      <c r="U520"/>
      <c r="V520"/>
      <c r="W520"/>
      <c r="X520" s="200"/>
      <c r="Y520" s="200"/>
      <c r="Z520" s="200"/>
      <c r="AA520" s="200"/>
      <c r="AB520" s="200"/>
      <c r="AC520" s="200"/>
      <c r="AD520" s="200"/>
      <c r="AE520" s="200"/>
      <c r="AF520" s="200"/>
      <c r="AG520" s="20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T521"/>
      <c r="U521"/>
      <c r="V521"/>
      <c r="W521"/>
      <c r="X521" s="200"/>
      <c r="Y521" s="200"/>
      <c r="Z521" s="200"/>
      <c r="AA521" s="200"/>
      <c r="AB521" s="200"/>
      <c r="AC521" s="200"/>
      <c r="AE521" s="200"/>
      <c r="AF521" s="200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T522"/>
      <c r="U522"/>
      <c r="V522"/>
      <c r="W522"/>
      <c r="X522" s="200"/>
      <c r="Y522" s="200"/>
      <c r="Z522" s="200"/>
      <c r="AA522" s="200"/>
      <c r="AB522" s="200"/>
      <c r="AC522" s="200"/>
      <c r="AE522" s="200"/>
      <c r="AF522" s="200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T523"/>
      <c r="U523"/>
      <c r="V523"/>
      <c r="W523"/>
      <c r="X523" s="200"/>
      <c r="Y523" s="200"/>
      <c r="Z523" s="200"/>
      <c r="AA523" s="200"/>
      <c r="AB523" s="200"/>
      <c r="AC523" s="200"/>
      <c r="AE523" s="200"/>
      <c r="AF523" s="200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T524"/>
      <c r="U524"/>
      <c r="V524"/>
      <c r="W524"/>
      <c r="X524" s="200"/>
      <c r="Y524" s="200"/>
      <c r="Z524" s="200"/>
      <c r="AA524" s="200"/>
      <c r="AB524" s="200"/>
      <c r="AC524" s="200"/>
      <c r="AE524" s="200"/>
      <c r="AF524" s="200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T525"/>
      <c r="U525"/>
      <c r="V525"/>
      <c r="W525"/>
      <c r="X525" s="200"/>
      <c r="Y525" s="200"/>
      <c r="Z525" s="200"/>
      <c r="AA525" s="200"/>
      <c r="AB525" s="200"/>
      <c r="AC525" s="200"/>
      <c r="AE525" s="200"/>
      <c r="AF525" s="200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T526"/>
      <c r="U526"/>
      <c r="V526"/>
      <c r="W526"/>
      <c r="X526" s="200"/>
      <c r="Y526" s="200"/>
      <c r="Z526" s="200"/>
      <c r="AA526" s="200"/>
      <c r="AB526" s="200"/>
      <c r="AC526" s="200"/>
      <c r="AE526" s="200"/>
      <c r="AF526" s="200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T527"/>
      <c r="U527"/>
      <c r="V527"/>
      <c r="W527"/>
      <c r="X527" s="200"/>
      <c r="Y527" s="200"/>
      <c r="Z527" s="200"/>
      <c r="AA527" s="200"/>
      <c r="AB527" s="200"/>
      <c r="AC527" s="200"/>
      <c r="AE527" s="200"/>
      <c r="AF527" s="200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T528"/>
      <c r="U528"/>
      <c r="V528"/>
      <c r="W528"/>
      <c r="X528" s="200"/>
      <c r="Y528" s="200"/>
      <c r="Z528" s="200"/>
      <c r="AA528" s="200"/>
      <c r="AB528" s="200"/>
      <c r="AC528" s="200"/>
      <c r="AE528" s="200"/>
      <c r="AF528" s="200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T529"/>
      <c r="U529"/>
      <c r="V529"/>
      <c r="W529"/>
      <c r="X529" s="200"/>
      <c r="Y529" s="200"/>
      <c r="Z529" s="200"/>
      <c r="AA529" s="200"/>
      <c r="AB529" s="200"/>
      <c r="AC529" s="200"/>
      <c r="AE529" s="200"/>
      <c r="AF529" s="200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T530"/>
      <c r="U530"/>
      <c r="V530"/>
      <c r="W530"/>
      <c r="X530" s="200"/>
      <c r="Y530" s="200"/>
      <c r="Z530" s="200"/>
      <c r="AA530" s="200"/>
      <c r="AB530" s="200"/>
      <c r="AC530" s="200"/>
      <c r="AE530" s="200"/>
      <c r="AF530" s="20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T531"/>
      <c r="U531"/>
      <c r="V531"/>
      <c r="W531"/>
      <c r="X531" s="200"/>
      <c r="Y531" s="200"/>
      <c r="Z531" s="200"/>
      <c r="AA531" s="200"/>
      <c r="AB531" s="200"/>
      <c r="AC531" s="200"/>
      <c r="AE531" s="200"/>
      <c r="AF531" s="200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T532"/>
      <c r="U532"/>
      <c r="V532"/>
      <c r="W532"/>
      <c r="X532" s="200"/>
      <c r="Y532" s="200"/>
      <c r="Z532" s="200"/>
      <c r="AA532" s="200"/>
      <c r="AB532" s="200"/>
      <c r="AC532" s="200"/>
      <c r="AE532" s="200"/>
      <c r="AF532" s="200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T533"/>
      <c r="U533"/>
      <c r="V533"/>
      <c r="W533"/>
      <c r="X533" s="200"/>
      <c r="Y533" s="200"/>
      <c r="Z533" s="200"/>
      <c r="AA533" s="200"/>
      <c r="AB533" s="200"/>
      <c r="AC533" s="200"/>
      <c r="AE533" s="200"/>
      <c r="AF533" s="200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T534"/>
      <c r="U534"/>
      <c r="V534"/>
      <c r="W534"/>
      <c r="X534" s="200"/>
      <c r="Y534" s="200"/>
      <c r="Z534" s="200"/>
      <c r="AA534" s="200"/>
      <c r="AB534" s="200"/>
      <c r="AC534" s="200"/>
      <c r="AE534" s="200"/>
      <c r="AF534" s="200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T535"/>
      <c r="U535"/>
      <c r="V535"/>
      <c r="W535"/>
      <c r="X535" s="200"/>
      <c r="Y535" s="200"/>
      <c r="Z535" s="200"/>
      <c r="AA535" s="200"/>
      <c r="AB535" s="200"/>
      <c r="AC535" s="200"/>
      <c r="AE535" s="200"/>
      <c r="AF535" s="200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T536"/>
      <c r="U536"/>
      <c r="V536"/>
      <c r="W536"/>
      <c r="X536" s="200"/>
      <c r="Y536" s="200"/>
      <c r="Z536" s="200"/>
      <c r="AA536" s="200"/>
      <c r="AB536" s="200"/>
      <c r="AC536" s="200"/>
      <c r="AE536" s="200"/>
      <c r="AF536" s="200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T537"/>
      <c r="U537"/>
      <c r="V537"/>
      <c r="W537"/>
      <c r="X537" s="200"/>
      <c r="Y537" s="200"/>
      <c r="Z537" s="200"/>
      <c r="AA537" s="200"/>
      <c r="AB537" s="200"/>
      <c r="AC537" s="200"/>
      <c r="AE537" s="200"/>
      <c r="AF537" s="200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T538"/>
      <c r="U538"/>
      <c r="V538"/>
      <c r="W538"/>
      <c r="X538" s="200"/>
      <c r="Y538" s="200"/>
      <c r="Z538" s="200"/>
      <c r="AA538" s="200"/>
      <c r="AB538" s="200"/>
      <c r="AC538" s="200"/>
      <c r="AE538" s="200"/>
      <c r="AF538" s="200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T539"/>
      <c r="U539"/>
      <c r="V539"/>
      <c r="W539"/>
      <c r="X539" s="200"/>
      <c r="Y539" s="200"/>
      <c r="Z539" s="200"/>
      <c r="AA539" s="200"/>
      <c r="AB539" s="200"/>
      <c r="AC539" s="200"/>
      <c r="AE539" s="200"/>
      <c r="AF539" s="200"/>
      <c r="AH539"/>
      <c r="AI539"/>
      <c r="AM539"/>
      <c r="AO539"/>
    </row>
    <row r="540" spans="1:4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T540"/>
      <c r="U540"/>
      <c r="V540"/>
      <c r="W540"/>
      <c r="X540" s="200"/>
      <c r="Y540" s="200"/>
      <c r="Z540" s="200"/>
      <c r="AA540" s="200"/>
      <c r="AB540" s="200"/>
      <c r="AC540" s="200"/>
      <c r="AE540" s="200"/>
      <c r="AF540" s="200"/>
      <c r="AH540"/>
      <c r="AI540"/>
      <c r="AM540"/>
      <c r="AO540"/>
    </row>
    <row r="541" spans="1:4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T541"/>
      <c r="U541"/>
      <c r="V541"/>
      <c r="W541"/>
      <c r="X541" s="200"/>
      <c r="Y541" s="200"/>
      <c r="Z541" s="200"/>
      <c r="AA541" s="200"/>
      <c r="AB541" s="200"/>
      <c r="AC541" s="200"/>
      <c r="AE541" s="200"/>
      <c r="AF541" s="200"/>
      <c r="AH541"/>
      <c r="AI541"/>
      <c r="AM541"/>
      <c r="AO541"/>
    </row>
  </sheetData>
  <autoFilter ref="A12:AG536">
    <sortState ref="A13:AG536">
      <sortCondition ref="AG13:AG231"/>
      <sortCondition ref="AD13:AD231"/>
    </sortState>
  </autoFilter>
  <sortState ref="A13:AN441">
    <sortCondition ref="AG13:AG441"/>
    <sortCondition ref="AD13:AD441"/>
  </sortState>
  <mergeCells count="1">
    <mergeCell ref="A11:P11"/>
  </mergeCells>
  <conditionalFormatting sqref="W11:W12 W542:X1048576 W13:X231">
    <cfRule type="cellIs" dxfId="10" priority="465" operator="equal">
      <formula>"Y"</formula>
    </cfRule>
  </conditionalFormatting>
  <conditionalFormatting sqref="X542:X1048576 X13:X231">
    <cfRule type="cellIs" dxfId="9" priority="448" operator="greaterThan">
      <formula>1</formula>
    </cfRule>
  </conditionalFormatting>
  <conditionalFormatting sqref="X542:X1048576 X12:X231">
    <cfRule type="cellIs" dxfId="8" priority="445" operator="equal">
      <formula>0</formula>
    </cfRule>
  </conditionalFormatting>
  <conditionalFormatting sqref="A13:S231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8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3" customWidth="1"/>
    <col min="5" max="5" width="29.42578125" style="103" customWidth="1"/>
    <col min="6" max="6" width="5.7109375" style="103" customWidth="1"/>
    <col min="7" max="7" width="5.85546875" style="103" customWidth="1"/>
    <col min="8" max="8" width="7.85546875" style="103" customWidth="1"/>
    <col min="9" max="9" width="9" style="103" customWidth="1"/>
    <col min="10" max="10" width="11.5703125" style="103" hidden="1" customWidth="1"/>
    <col min="11" max="11" width="9.140625" style="103" customWidth="1"/>
    <col min="12" max="12" width="4.85546875" style="103" customWidth="1"/>
    <col min="13" max="13" width="7.85546875" style="2" customWidth="1"/>
    <col min="14" max="14" width="15.5703125" style="102" customWidth="1"/>
    <col min="15" max="15" width="4.42578125" style="156" customWidth="1"/>
    <col min="16" max="16" width="24.7109375" style="103" customWidth="1"/>
    <col min="17" max="17" width="5" hidden="1" customWidth="1"/>
    <col min="18" max="18" width="5.5703125" style="67" customWidth="1"/>
    <col min="19" max="19" width="5.5703125" style="72" customWidth="1"/>
    <col min="20" max="20" width="6" style="66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46" customWidth="1"/>
    <col min="27" max="27" width="5.28515625" customWidth="1"/>
    <col min="28" max="28" width="5.5703125" customWidth="1"/>
    <col min="29" max="29" width="5.28515625" style="105" customWidth="1"/>
    <col min="30" max="30" width="6.7109375" customWidth="1"/>
    <col min="31" max="31" width="9.140625" style="131"/>
  </cols>
  <sheetData>
    <row r="1" spans="1:32" s="20" customFormat="1" ht="15.75" hidden="1" thickBot="1" x14ac:dyDescent="0.3">
      <c r="A1" s="8"/>
      <c r="D1" s="103"/>
      <c r="E1" s="103"/>
      <c r="F1" s="103"/>
      <c r="G1" s="103"/>
      <c r="H1" s="103"/>
      <c r="I1" s="103"/>
      <c r="J1" s="103"/>
      <c r="K1" s="103"/>
      <c r="L1" s="103"/>
      <c r="M1" s="2"/>
      <c r="N1" s="102"/>
      <c r="O1" s="156"/>
      <c r="P1" s="103"/>
      <c r="R1" s="67"/>
      <c r="S1" s="72"/>
      <c r="T1" s="66"/>
      <c r="V1" s="43"/>
      <c r="X1" s="2"/>
      <c r="Z1" s="146"/>
      <c r="AC1" s="105"/>
      <c r="AE1" s="131"/>
    </row>
    <row r="2" spans="1:32" s="20" customFormat="1" x14ac:dyDescent="0.25">
      <c r="A2" s="8"/>
      <c r="D2" s="103"/>
      <c r="E2" s="103"/>
      <c r="F2" s="103"/>
      <c r="G2" s="103"/>
      <c r="H2" s="103"/>
      <c r="I2" s="103"/>
      <c r="J2" s="103"/>
      <c r="K2" s="103"/>
      <c r="L2" s="114" t="s">
        <v>80</v>
      </c>
      <c r="M2" s="98"/>
      <c r="N2" s="115"/>
      <c r="O2" s="177">
        <f>COUNTIF($O$7:$O$111,"=Y")</f>
        <v>6</v>
      </c>
      <c r="P2" s="100"/>
      <c r="R2" s="67"/>
      <c r="S2" s="72"/>
      <c r="T2" s="66"/>
      <c r="V2" s="43"/>
      <c r="X2" s="2"/>
      <c r="Z2" s="146"/>
      <c r="AC2" s="106"/>
      <c r="AE2" s="131"/>
    </row>
    <row r="3" spans="1:32" s="20" customFormat="1" ht="15.75" thickBot="1" x14ac:dyDescent="0.3">
      <c r="A3" s="8"/>
      <c r="D3" s="103"/>
      <c r="E3" s="103"/>
      <c r="F3" s="103"/>
      <c r="G3" s="103"/>
      <c r="H3" s="103"/>
      <c r="I3" s="103"/>
      <c r="J3" s="103"/>
      <c r="K3" s="103"/>
      <c r="L3" s="116" t="s">
        <v>81</v>
      </c>
      <c r="M3" s="99"/>
      <c r="N3" s="117"/>
      <c r="O3" s="178">
        <f>COUNTA($O$7:$O$111)-O2</f>
        <v>12</v>
      </c>
      <c r="P3" s="100"/>
      <c r="R3" s="67"/>
      <c r="S3" s="72"/>
      <c r="T3" s="66"/>
      <c r="V3" s="43"/>
      <c r="X3" s="2"/>
      <c r="Z3" s="146"/>
      <c r="AC3" s="106"/>
      <c r="AE3" s="131"/>
    </row>
    <row r="4" spans="1:32" s="20" customFormat="1" x14ac:dyDescent="0.25">
      <c r="A4" s="8"/>
      <c r="D4" s="103"/>
      <c r="E4" s="103"/>
      <c r="F4" s="103"/>
      <c r="G4" s="103"/>
      <c r="H4" s="103"/>
      <c r="I4" s="103"/>
      <c r="J4" s="103"/>
      <c r="K4" s="103"/>
      <c r="L4" s="103"/>
      <c r="M4" s="2"/>
      <c r="N4" s="102"/>
      <c r="O4" s="176"/>
      <c r="P4" s="103"/>
      <c r="R4" s="67"/>
      <c r="S4" s="72"/>
      <c r="T4" s="66"/>
      <c r="V4" s="43"/>
      <c r="X4" s="2"/>
      <c r="Z4" s="146"/>
      <c r="AC4" s="106"/>
      <c r="AE4" s="131"/>
    </row>
    <row r="5" spans="1:32" s="10" customFormat="1" ht="15" customHeight="1" x14ac:dyDescent="0.25">
      <c r="A5" s="242" t="str">
        <f>"Eagle P3 Braking Events - "&amp;TEXT(Variables!$A$2,"YYYY-mm-dd")</f>
        <v>Eagle P3 Braking Events - 2017-12-12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118"/>
      <c r="R5" s="70"/>
      <c r="S5" s="73"/>
      <c r="T5" s="75"/>
      <c r="V5" s="44"/>
      <c r="X5" s="165"/>
      <c r="AC5" s="107"/>
      <c r="AE5" s="133"/>
    </row>
    <row r="6" spans="1:32" s="97" customFormat="1" ht="69.75" customHeight="1" x14ac:dyDescent="0.2">
      <c r="A6" s="87" t="s">
        <v>38</v>
      </c>
      <c r="B6" s="88" t="s">
        <v>37</v>
      </c>
      <c r="C6" s="88" t="s">
        <v>36</v>
      </c>
      <c r="D6" s="104" t="s">
        <v>35</v>
      </c>
      <c r="E6" s="104" t="s">
        <v>34</v>
      </c>
      <c r="F6" s="104" t="s">
        <v>33</v>
      </c>
      <c r="G6" s="104" t="s">
        <v>32</v>
      </c>
      <c r="H6" s="104" t="s">
        <v>31</v>
      </c>
      <c r="I6" s="104" t="s">
        <v>147</v>
      </c>
      <c r="J6" s="104" t="s">
        <v>30</v>
      </c>
      <c r="K6" s="104" t="s">
        <v>29</v>
      </c>
      <c r="L6" s="104" t="s">
        <v>28</v>
      </c>
      <c r="M6" s="89" t="s">
        <v>148</v>
      </c>
      <c r="N6" s="119" t="s">
        <v>47</v>
      </c>
      <c r="O6" s="162" t="s">
        <v>27</v>
      </c>
      <c r="P6" s="104" t="s">
        <v>24</v>
      </c>
      <c r="Q6" s="90"/>
      <c r="R6" s="91" t="s">
        <v>89</v>
      </c>
      <c r="S6" s="92" t="s">
        <v>55</v>
      </c>
      <c r="T6" s="93" t="s">
        <v>88</v>
      </c>
      <c r="U6" s="88" t="s">
        <v>83</v>
      </c>
      <c r="V6" s="94" t="s">
        <v>84</v>
      </c>
      <c r="W6" s="90" t="s">
        <v>343</v>
      </c>
      <c r="X6" s="166" t="s">
        <v>336</v>
      </c>
      <c r="Y6" s="95" t="s">
        <v>141</v>
      </c>
      <c r="Z6" s="147" t="s">
        <v>142</v>
      </c>
      <c r="AA6" s="96" t="s">
        <v>115</v>
      </c>
      <c r="AB6" s="96" t="s">
        <v>143</v>
      </c>
      <c r="AC6" s="108" t="s">
        <v>167</v>
      </c>
      <c r="AD6" s="97" t="s">
        <v>182</v>
      </c>
      <c r="AE6" s="132" t="s">
        <v>187</v>
      </c>
    </row>
    <row r="7" spans="1:32" s="1" customFormat="1" x14ac:dyDescent="0.25">
      <c r="A7" s="31">
        <v>43081.38386574074</v>
      </c>
      <c r="B7" s="30" t="s">
        <v>366</v>
      </c>
      <c r="C7" s="30" t="s">
        <v>677</v>
      </c>
      <c r="D7" s="30" t="s">
        <v>49</v>
      </c>
      <c r="E7" s="30" t="s">
        <v>183</v>
      </c>
      <c r="F7" s="42">
        <v>450</v>
      </c>
      <c r="G7" s="42">
        <v>518</v>
      </c>
      <c r="H7" s="42">
        <v>57602</v>
      </c>
      <c r="I7" s="42">
        <v>59435</v>
      </c>
      <c r="J7" s="30" t="s">
        <v>184</v>
      </c>
      <c r="K7" s="42">
        <v>58783</v>
      </c>
      <c r="L7" s="121" t="s">
        <v>50</v>
      </c>
      <c r="M7" s="122">
        <f t="shared" ref="M7:M24" si="0">CONVERT((I7-K7)/10000,"mi","ft")*IF(L7="Increasing Mileposts (1)",-1,1)</f>
        <v>-344.25599999999997</v>
      </c>
      <c r="N7" s="123" t="str">
        <f>VLOOKUP(C7,'Trips&amp;Operators'!$C$1:$G$99911,5,FALSE)</f>
        <v>STARKS ANGELINA</v>
      </c>
      <c r="O7" s="163" t="s">
        <v>178</v>
      </c>
      <c r="P7" s="192" t="s">
        <v>493</v>
      </c>
      <c r="Q7" s="30"/>
      <c r="R7" s="71" t="str">
        <f>VLOOKUP(C7,'Train Runs'!$A$13:$AE$10195,31,0)</f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S7" s="74" t="str">
        <f>VLOOKUP(C7,'Train Runs'!$A$13:$AE$10195,22,0)</f>
        <v>https://d0f6bd738d7f1b3e5a7ca70fe4ff75f0.us-east-1.aws.found.io/app/kibana#/discover/Steve-Slow-Train-Analysis-(2080s-and-2083s)?_g=(refreshInterval:(display:Off,pause:!f,section:0,value:0),time:(from:'2017-12-12T07:56:34-0700',mode:absolute,to:'2017-12-12T10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7" s="76" t="str">
        <f t="shared" ref="T7:T2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/stypes="*4012*201712121*" /stext=" 16:.+((SYSTEM_STATE.+slice.+state.+changed )|(ment ac)|(multiple cpu faults)|(system.+state.+changed )|(\[timeout)|(PRM\|1\|D)|(kpr)|(kdp)|(train st.+moving)|(\|lc)|(penalty))"</v>
      </c>
      <c r="U7" s="9" t="str">
        <f t="shared" ref="U7:U24" si="2">MID(B7,13,4)</f>
        <v>4012</v>
      </c>
      <c r="V7" s="31">
        <f t="shared" ref="V7:V24" si="3">A7-utc_offset/24</f>
        <v>43081.675532407404</v>
      </c>
      <c r="W7" s="45" t="str">
        <f t="shared" ref="W7:W24" si="4">DetSubdiv(C7)</f>
        <v>EC</v>
      </c>
      <c r="X7" s="22">
        <f t="shared" ref="X7:X24" si="5">VALUE(LEFT(C7,LEN(C7)-3))</f>
        <v>143</v>
      </c>
      <c r="Y7" s="86" t="str">
        <f t="shared" ref="Y7:Y2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Arrival","project_id":79,"tracker_id":40,"status_id":1,"priority_id":2,"assigned_to_id":338,"start_date":"2017-12-12","description":"","custom_fields":[{"id":1,"name":"Subdivision","value":"EC"},{"id":4,"name":"Milepost","value":"5.8783"},{"id":17,"name":"Train ID","value":"143-12"},{"id":16,"name":"Locomotive ID","value":"4012"},{"id":130,"name":"Impact","value":""},{"id":150,"name":"Time of Event (Mountain Time)","value":"09:12:46"},{"id":151,"name":"Denver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48"/>
      <c r="AA7" s="47"/>
      <c r="AB7" s="47"/>
      <c r="AC7" s="105" t="str">
        <f t="shared" ref="AC7:AC2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/c/Users/stu/AppData/Local/Temp/OnboardLogs/RTDC4012 --include="*4012*201712121*"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"%USERPROFILE%\AppData\Local\Temp\OnboardLogs"\RTDC4012\*4012*201712121* &gt;&gt; 2017-12-12-SliceDisagreementCheck.txt</v>
      </c>
      <c r="AE7" s="134" t="str">
        <f t="shared" ref="AE7" si="8">"start /low /b "&amp;dls3logs&amp;" --loco "&amp;U7&amp;" --day "&amp;TEXT(V7,"YYYY-MM-DD")</f>
        <v>start /low /b %USERPROFILE%\Documents\GitHub\eaglep3\Utilities\DownloadLogsFromS3.py --loco 4012 --day 2017-12-12</v>
      </c>
    </row>
    <row r="8" spans="1:32" s="1" customFormat="1" x14ac:dyDescent="0.25">
      <c r="A8" s="31">
        <v>43081.847291666665</v>
      </c>
      <c r="B8" s="30" t="s">
        <v>686</v>
      </c>
      <c r="C8" s="30" t="s">
        <v>690</v>
      </c>
      <c r="D8" s="30" t="s">
        <v>95</v>
      </c>
      <c r="E8" s="30" t="s">
        <v>183</v>
      </c>
      <c r="F8" s="42">
        <v>150</v>
      </c>
      <c r="G8" s="42">
        <v>211</v>
      </c>
      <c r="H8" s="42">
        <v>63079</v>
      </c>
      <c r="I8" s="42">
        <v>62617</v>
      </c>
      <c r="J8" s="30" t="s">
        <v>184</v>
      </c>
      <c r="K8" s="42">
        <v>63309</v>
      </c>
      <c r="L8" s="121" t="s">
        <v>51</v>
      </c>
      <c r="M8" s="122">
        <f t="shared" si="0"/>
        <v>-365.37599999999998</v>
      </c>
      <c r="N8" s="123" t="str">
        <f>VLOOKUP(C8,'Trips&amp;Operators'!$C$1:$G$99911,5,FALSE)</f>
        <v>RESPASS AARON</v>
      </c>
      <c r="O8" s="163" t="s">
        <v>178</v>
      </c>
      <c r="P8" s="192" t="s">
        <v>493</v>
      </c>
      <c r="Q8" s="30"/>
      <c r="R8" s="71" t="str">
        <f>VLOOKUP(C8,'Train Runs'!$A$13:$AE$10195,31,0)</f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S8" s="74" t="str">
        <f>VLOOKUP(C8,'Train Runs'!$A$13:$AE$10195,22,0)</f>
        <v>https://d0f6bd738d7f1b3e5a7ca70fe4ff75f0.us-east-1.aws.found.io/app/kibana#/discover/Steve-Slow-Train-Analysis-(2080s-and-2083s)?_g=(refreshInterval:(display:Off,pause:!f,section:0,value:0),time:(from:'2017-12-12T18:51:51-0700',mode:absolute,to:'2017-12-12T21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76" t="str">
        <f t="shared" si="1"/>
        <v>"C:\Program Files (x86)\AstroGrep\AstroGrep.exe" /e /r /s /spath="%USERPROFILE%\AppData\Local\Temp\OnboardLogs" /stypes="*4005*201712130*"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4005</v>
      </c>
      <c r="V8" s="31">
        <f t="shared" si="3"/>
        <v>43082.138958333329</v>
      </c>
      <c r="W8" s="45" t="str">
        <f t="shared" si="4"/>
        <v>EC</v>
      </c>
      <c r="X8" s="185">
        <f t="shared" si="5"/>
        <v>222</v>
      </c>
      <c r="Y8" s="191" t="str">
        <f t="shared" si="6"/>
        <v>echo {"issue":{"subject":"Early Arrival","project_id":79,"tracker_id":40,"status_id":1,"priority_id":2,"assigned_to_id":338,"start_date":"2017-12-12","description":"","custom_fields":[{"id":1,"name":"Subdivision","value":"EC"},{"id":4,"name":"Milepost","value":"6.3309"},{"id":17,"name":"Train ID","value":"222-12"},{"id":16,"name":"Locomotive ID","value":"4005"},{"id":130,"name":"Impact","value":""},{"id":150,"name":"Time of Event (Mountain Time)","value":"20:20:06"},{"id":151,"name":"Denver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48"/>
      <c r="AA8" s="188"/>
      <c r="AB8" s="188"/>
      <c r="AC8" s="105" t="str">
        <f t="shared" si="7"/>
        <v>grep -hrE -A400 "Enforcement Action" /c/Users/stu/AppData/Local/Temp/OnboardLogs/RTDC4005 --include="*4005*201712130*"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"%USERPROFILE%\AppData\Local\Temp\OnboardLogs"\RTDC4005\*4005*201712130* &gt;&gt; 2017-12-12-SliceDisagreementCheck.txt</v>
      </c>
      <c r="AE8" s="134" t="str">
        <f t="shared" ref="AE8:AE24" si="9">"start /low /b "&amp;dls3logs&amp;" --loco "&amp;U8&amp;" --day "&amp;TEXT(V8,"YYYY-MM-DD")</f>
        <v>start /low /b %USERPROFILE%\Documents\GitHub\eaglep3\Utilities\DownloadLogsFromS3.py --loco 4005 --day 2017-12-13</v>
      </c>
    </row>
    <row r="9" spans="1:32" s="1" customFormat="1" x14ac:dyDescent="0.25">
      <c r="A9" s="31">
        <v>43081.285208333335</v>
      </c>
      <c r="B9" s="30" t="s">
        <v>367</v>
      </c>
      <c r="C9" s="30" t="s">
        <v>671</v>
      </c>
      <c r="D9" s="30" t="s">
        <v>49</v>
      </c>
      <c r="E9" s="30" t="s">
        <v>183</v>
      </c>
      <c r="F9" s="42">
        <v>430</v>
      </c>
      <c r="G9" s="42">
        <v>482</v>
      </c>
      <c r="H9" s="42">
        <v>79596</v>
      </c>
      <c r="I9" s="42">
        <v>78216</v>
      </c>
      <c r="J9" s="30" t="s">
        <v>184</v>
      </c>
      <c r="K9" s="42">
        <v>78469</v>
      </c>
      <c r="L9" s="121" t="s">
        <v>51</v>
      </c>
      <c r="M9" s="122">
        <f t="shared" si="0"/>
        <v>-133.584</v>
      </c>
      <c r="N9" s="123" t="str">
        <f>VLOOKUP(C9,'Trips&amp;Operators'!$C$1:$G$99911,5,FALSE)</f>
        <v>STARKS ANGELINA</v>
      </c>
      <c r="O9" s="163" t="s">
        <v>178</v>
      </c>
      <c r="P9" s="192" t="s">
        <v>493</v>
      </c>
      <c r="Q9" s="30"/>
      <c r="R9" s="71" t="str">
        <f>VLOOKUP(C9,'Train Runs'!$A$13:$AE$10195,31,0)</f>
        <v>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 &amp; aws s3 cp s3://rtdc.mdm.uploadarchive.raw/RTDC4011/ "%USERPROFILE%\AppData\Local\Temp\OnboardLogs"\RTDC4011\2017-12-13 --exclude "*" --recursive --include "*20171213*" &amp; "%USERPROFILE%\Documents\GitHub\mrs-test-scripts\Headless Mode &amp; Sideloading\WalkAndUnGZ.bat" "%USERPROFILE%\AppData\Local\Temp\OnboardLogs"\RTDC4011\2017-12-13</v>
      </c>
      <c r="S9" s="74" t="str">
        <f>VLOOKUP(C9,'Train Runs'!$A$13:$AE$10195,22,0)</f>
        <v>https://d0f6bd738d7f1b3e5a7ca70fe4ff75f0.us-east-1.aws.found.io/app/kibana#/discover/Steve-Slow-Train-Analysis-(2080s-and-2083s)?_g=(refreshInterval:(display:Off,pause:!f,section:0,value:0),time:(from:'2017-12-12T05:25:07-0700',mode:absolute,to:'2017-12-12T08:09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76" t="str">
        <f t="shared" si="1"/>
        <v>"C:\Program Files (x86)\AstroGrep\AstroGrep.exe" /e /r /s /spath="%USERPROFILE%\AppData\Local\Temp\OnboardLogs" /stypes="*4011*201712121*"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4011</v>
      </c>
      <c r="V9" s="31">
        <f t="shared" si="3"/>
        <v>43081.576874999999</v>
      </c>
      <c r="W9" s="45" t="str">
        <f t="shared" si="4"/>
        <v>EC</v>
      </c>
      <c r="X9" s="185">
        <f t="shared" si="5"/>
        <v>116</v>
      </c>
      <c r="Y9" s="191" t="str">
        <f t="shared" si="6"/>
        <v>echo {"issue":{"subject":"Early Arrival","project_id":79,"tracker_id":40,"status_id":1,"priority_id":2,"assigned_to_id":338,"start_date":"2017-12-12","description":"","custom_fields":[{"id":1,"name":"Subdivision","value":"EC"},{"id":4,"name":"Milepost","value":"7.8469"},{"id":17,"name":"Train ID","value":"116-12"},{"id":16,"name":"Locomotive ID","value":"4011"},{"id":130,"name":"Impact","value":""},{"id":150,"name":"Time of Event (Mountain Time)","value":"06:50:42"},{"id":151,"name":"Denver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48"/>
      <c r="AA9" s="188"/>
      <c r="AB9" s="188"/>
      <c r="AC9" s="105" t="str">
        <f t="shared" si="7"/>
        <v>grep -hrE -A400 "Enforcement Action" /c/Users/stu/AppData/Local/Temp/OnboardLogs/RTDC4011 --include="*4011*201712121*"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"%USERPROFILE%\AppData\Local\Temp\OnboardLogs"\RTDC4011\*4011*201712121* &gt;&gt; 2017-12-12-SliceDisagreementCheck.txt</v>
      </c>
      <c r="AE9" s="134" t="str">
        <f t="shared" si="9"/>
        <v>start /low /b %USERPROFILE%\Documents\GitHub\eaglep3\Utilities\DownloadLogsFromS3.py --loco 4011 --day 2017-12-12</v>
      </c>
    </row>
    <row r="10" spans="1:32" x14ac:dyDescent="0.25">
      <c r="A10" s="31">
        <v>43081.302129629628</v>
      </c>
      <c r="B10" s="30" t="s">
        <v>376</v>
      </c>
      <c r="C10" s="30" t="s">
        <v>672</v>
      </c>
      <c r="D10" s="30" t="s">
        <v>49</v>
      </c>
      <c r="E10" s="30" t="s">
        <v>183</v>
      </c>
      <c r="F10" s="42">
        <v>0</v>
      </c>
      <c r="G10" s="42">
        <v>375</v>
      </c>
      <c r="H10" s="42">
        <v>109501</v>
      </c>
      <c r="I10" s="42">
        <v>109010</v>
      </c>
      <c r="J10" s="30" t="s">
        <v>184</v>
      </c>
      <c r="K10" s="42">
        <v>109135</v>
      </c>
      <c r="L10" s="121" t="s">
        <v>51</v>
      </c>
      <c r="M10" s="122">
        <f t="shared" si="0"/>
        <v>-66</v>
      </c>
      <c r="N10" s="123" t="str">
        <f>VLOOKUP(C10,'Trips&amp;Operators'!$C$1:$G$99911,5,FALSE)</f>
        <v>THOMPSON LESTER</v>
      </c>
      <c r="O10" s="163" t="s">
        <v>178</v>
      </c>
      <c r="P10" s="192" t="s">
        <v>493</v>
      </c>
      <c r="Q10" s="30"/>
      <c r="R10" s="71" t="str">
        <f>VLOOKUP(C10,'Train Runs'!$A$13:$AE$10195,31,0)</f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S10" s="74" t="str">
        <f>VLOOKUP(C10,'Train Runs'!$A$13:$AE$10195,22,0)</f>
        <v>https://d0f6bd738d7f1b3e5a7ca70fe4ff75f0.us-east-1.aws.found.io/app/kibana#/discover/Steve-Slow-Train-Analysis-(2080s-and-2083s)?_g=(refreshInterval:(display:Off,pause:!f,section:0,value:0),time:(from:'2017-12-12T05:55:46-0700',mode:absolute,to:'2017-12-12T08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76" t="str">
        <f t="shared" si="1"/>
        <v>"C:\Program Files (x86)\AstroGrep\AstroGrep.exe" /e /r /s /spath="%USERPROFILE%\AppData\Local\Temp\OnboardLogs" /stypes="*4029*201712121*"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4029</v>
      </c>
      <c r="V10" s="31">
        <f t="shared" si="3"/>
        <v>43081.593796296293</v>
      </c>
      <c r="W10" s="45" t="str">
        <f t="shared" si="4"/>
        <v>EC</v>
      </c>
      <c r="X10" s="185">
        <f t="shared" si="5"/>
        <v>120</v>
      </c>
      <c r="Y10" s="191" t="str">
        <f t="shared" si="6"/>
        <v>echo {"issue":{"subject":"Early Arrival","project_id":79,"tracker_id":40,"status_id":1,"priority_id":2,"assigned_to_id":338,"start_date":"2017-12-12","description":"","custom_fields":[{"id":1,"name":"Subdivision","value":"EC"},{"id":4,"name":"Milepost","value":"10.9135"},{"id":17,"name":"Train ID","value":"120-12"},{"id":16,"name":"Locomotive ID","value":"4029"},{"id":130,"name":"Impact","value":""},{"id":150,"name":"Time of Event (Mountain Time)","value":"07:15:04"},{"id":151,"name":"Denver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48"/>
      <c r="AA10" s="188"/>
      <c r="AB10" s="188"/>
      <c r="AC10" s="105" t="str">
        <f t="shared" si="7"/>
        <v>grep -hrE -A400 "Enforcement Action" /c/Users/stu/AppData/Local/Temp/OnboardLogs/RTDC4029 --include="*4029*201712121*"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"%USERPROFILE%\AppData\Local\Temp\OnboardLogs"\RTDC4029\*4029*201712121* &gt;&gt; 2017-12-12-SliceDisagreementCheck.txt</v>
      </c>
      <c r="AE10" s="134" t="str">
        <f t="shared" si="9"/>
        <v>start /low /b %USERPROFILE%\Documents\GitHub\eaglep3\Utilities\DownloadLogsFromS3.py --loco 4029 --day 2017-12-12</v>
      </c>
      <c r="AF10" s="1"/>
    </row>
    <row r="11" spans="1:32" x14ac:dyDescent="0.25">
      <c r="A11" s="31">
        <v>43081.230254629627</v>
      </c>
      <c r="B11" s="30" t="s">
        <v>366</v>
      </c>
      <c r="C11" s="30" t="s">
        <v>670</v>
      </c>
      <c r="D11" s="30" t="s">
        <v>95</v>
      </c>
      <c r="E11" s="30" t="s">
        <v>190</v>
      </c>
      <c r="F11" s="42">
        <v>150</v>
      </c>
      <c r="G11" s="42">
        <v>200</v>
      </c>
      <c r="H11" s="42">
        <v>3334</v>
      </c>
      <c r="I11" s="42">
        <v>3613</v>
      </c>
      <c r="J11" s="30" t="s">
        <v>191</v>
      </c>
      <c r="K11" s="42">
        <v>0</v>
      </c>
      <c r="L11" s="121" t="s">
        <v>50</v>
      </c>
      <c r="M11" s="122">
        <f t="shared" si="0"/>
        <v>-1907.664</v>
      </c>
      <c r="N11" s="123" t="str">
        <f>VLOOKUP(C11,'Trips&amp;Operators'!$C$1:$G$99911,5,FALSE)</f>
        <v>STARKS ANGELINA</v>
      </c>
      <c r="O11" s="163" t="s">
        <v>178</v>
      </c>
      <c r="P11" s="192"/>
      <c r="Q11" s="30"/>
      <c r="R11" s="71" t="str">
        <f>VLOOKUP(C11,'Train Runs'!$A$13:$AE$10195,31,0)</f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S11" s="74" t="str">
        <f>VLOOKUP(C11,'Train Runs'!$A$13:$AE$10195,22,0)</f>
        <v>https://d0f6bd738d7f1b3e5a7ca70fe4ff75f0.us-east-1.aws.found.io/app/kibana#/discover/Steve-Slow-Train-Analysis-(2080s-and-2083s)?_g=(refreshInterval:(display:Off,pause:!f,section:0,value:0),time:(from:'2017-12-12T04:26:21-0700',mode:absolute,to:'2017-12-12T07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76" t="str">
        <f t="shared" si="1"/>
        <v>"C:\Program Files (x86)\AstroGrep\AstroGrep.exe" /e /r /s /spath="%USERPROFILE%\AppData\Local\Temp\OnboardLogs" /stypes="*4012*201712121*"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4012</v>
      </c>
      <c r="V11" s="31">
        <f t="shared" si="3"/>
        <v>43081.521921296291</v>
      </c>
      <c r="W11" s="45" t="str">
        <f t="shared" si="4"/>
        <v>EC</v>
      </c>
      <c r="X11" s="185">
        <f t="shared" si="5"/>
        <v>115</v>
      </c>
      <c r="Y11" s="191" t="str">
        <f t="shared" si="6"/>
        <v>echo {"issue":{"subject":"","project_id":79,"tracker_id":40,"status_id":1,"priority_id":2,"assigned_to_id":338,"start_date":"2017-12-12","description":"","custom_fields":[{"id":1,"name":"Subdivision","value":"EC"},{"id":4,"name":"Milepost","value":"0"},{"id":17,"name":"Train ID","value":"115-12"},{"id":16,"name":"Locomotive ID","value":"4012"},{"id":130,"name":"Impact","value":""},{"id":150,"name":"Time of Event (Mountain Time)","value":"05:31:34"},{"id":151,"name":"Denver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48"/>
      <c r="AA11" s="188"/>
      <c r="AB11" s="188"/>
      <c r="AC11" s="105" t="str">
        <f t="shared" si="7"/>
        <v>grep -hrE -A400 "Enforcement Action" /c/Users/stu/AppData/Local/Temp/OnboardLogs/RTDC4012 --include="*4012*201712121*"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"%USERPROFILE%\AppData\Local\Temp\OnboardLogs"\RTDC4012\*4012*201712121* &gt;&gt; 2017-12-12-SliceDisagreementCheck.txt</v>
      </c>
      <c r="AE11" s="134" t="str">
        <f t="shared" si="9"/>
        <v>start /low /b %USERPROFILE%\Documents\GitHub\eaglep3\Utilities\DownloadLogsFromS3.py --loco 4012 --day 2017-12-12</v>
      </c>
      <c r="AF11" s="1"/>
    </row>
    <row r="12" spans="1:32" x14ac:dyDescent="0.25">
      <c r="A12" s="31">
        <v>43081.355729166666</v>
      </c>
      <c r="B12" s="30" t="s">
        <v>452</v>
      </c>
      <c r="C12" s="30" t="s">
        <v>675</v>
      </c>
      <c r="D12" s="30" t="s">
        <v>95</v>
      </c>
      <c r="E12" s="30" t="s">
        <v>190</v>
      </c>
      <c r="F12" s="42">
        <v>200</v>
      </c>
      <c r="G12" s="42">
        <v>257</v>
      </c>
      <c r="H12" s="42">
        <v>5492</v>
      </c>
      <c r="I12" s="42">
        <v>6107</v>
      </c>
      <c r="J12" s="30" t="s">
        <v>191</v>
      </c>
      <c r="K12" s="42">
        <v>4677</v>
      </c>
      <c r="L12" s="121" t="s">
        <v>50</v>
      </c>
      <c r="M12" s="122">
        <f t="shared" si="0"/>
        <v>-755.04</v>
      </c>
      <c r="N12" s="123" t="str">
        <f>VLOOKUP(C12,'Trips&amp;Operators'!$C$1:$G$99911,5,FALSE)</f>
        <v>ROMERO CHAD</v>
      </c>
      <c r="O12" s="163" t="s">
        <v>178</v>
      </c>
      <c r="P12" s="192"/>
      <c r="Q12" s="30"/>
      <c r="R12" s="71" t="str">
        <f>VLOOKUP(C12,'Train Runs'!$A$13:$AE$10195,31,0)</f>
        <v>aws s3 cp s3://rtdc.mdm.uploadarchive.raw/RTDC4006/ "%USERPROFILE%\AppData\Local\Temp\OnboardLogs"\RTDC4006\2017-12-12 --exclude "*" --recursive --include "*20171212*" &amp; "%USERPROFILE%\Documents\GitHub\mrs-test-scripts\Headless Mode &amp; Sideloading\WalkAndUnGZ.bat" "%USERPROFILE%\AppData\Local\Temp\OnboardLogs"\RTDC4006\2017-12-12 &amp; aws s3 cp s3://rtdc.mdm.uploadarchive.raw/RTDC4006/ "%USERPROFILE%\AppData\Local\Temp\OnboardLogs"\RTDC4006\2017-12-13 --exclude "*" --recursive --include "*20171213*" &amp; "%USERPROFILE%\Documents\GitHub\mrs-test-scripts\Headless Mode &amp; Sideloading\WalkAndUnGZ.bat" "%USERPROFILE%\AppData\Local\Temp\OnboardLogs"\RTDC4006\2017-12-13</v>
      </c>
      <c r="S12" s="74" t="str">
        <f>VLOOKUP(C12,'Train Runs'!$A$13:$AE$10195,22,0)</f>
        <v>https://d0f6bd738d7f1b3e5a7ca70fe4ff75f0.us-east-1.aws.found.io/app/kibana#/discover/Steve-Slow-Train-Analysis-(2080s-and-2083s)?_g=(refreshInterval:(display:Off,pause:!f,section:0,value:0),time:(from:'2017-12-12T07:22:58-0700',mode:absolute,to:'2017-12-12T10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2" s="76" t="str">
        <f t="shared" si="1"/>
        <v>"C:\Program Files (x86)\AstroGrep\AstroGrep.exe" /e /r /s /spath="%USERPROFILE%\AppData\Local\Temp\OnboardLogs" /stypes="*4006*201712121*"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4006</v>
      </c>
      <c r="V12" s="31">
        <f t="shared" si="3"/>
        <v>43081.64739583333</v>
      </c>
      <c r="W12" s="45" t="str">
        <f t="shared" si="4"/>
        <v>EC</v>
      </c>
      <c r="X12" s="185">
        <f t="shared" si="5"/>
        <v>139</v>
      </c>
      <c r="Y12" s="191" t="str">
        <f t="shared" si="6"/>
        <v>echo {"issue":{"subject":"","project_id":79,"tracker_id":40,"status_id":1,"priority_id":2,"assigned_to_id":338,"start_date":"2017-12-12","description":"","custom_fields":[{"id":1,"name":"Subdivision","value":"EC"},{"id":4,"name":"Milepost","value":"0.4677"},{"id":17,"name":"Train ID","value":"139-12"},{"id":16,"name":"Locomotive ID","value":"4006"},{"id":130,"name":"Impact","value":""},{"id":150,"name":"Time of Event (Mountain Time)","value":"08:32:15"},{"id":151,"name":"Denver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48"/>
      <c r="AA12" s="188"/>
      <c r="AB12" s="188"/>
      <c r="AC12" s="105" t="str">
        <f t="shared" si="7"/>
        <v>grep -hrE -A400 "Enforcement Action" /c/Users/stu/AppData/Local/Temp/OnboardLogs/RTDC4006 --include="*4006*201712121*"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"%USERPROFILE%\AppData\Local\Temp\OnboardLogs"\RTDC4006\*4006*201712121* &gt;&gt; 2017-12-12-SliceDisagreementCheck.txt</v>
      </c>
      <c r="AE12" s="134" t="str">
        <f t="shared" si="9"/>
        <v>start /low /b %USERPROFILE%\Documents\GitHub\eaglep3\Utilities\DownloadLogsFromS3.py --loco 4006 --day 2017-12-12</v>
      </c>
      <c r="AF12" s="1"/>
    </row>
    <row r="13" spans="1:32" x14ac:dyDescent="0.25">
      <c r="A13" s="31">
        <v>43081.458287037036</v>
      </c>
      <c r="B13" s="30" t="s">
        <v>376</v>
      </c>
      <c r="C13" s="30" t="s">
        <v>678</v>
      </c>
      <c r="D13" s="30" t="s">
        <v>49</v>
      </c>
      <c r="E13" s="30" t="s">
        <v>190</v>
      </c>
      <c r="F13" s="42">
        <v>300</v>
      </c>
      <c r="G13" s="42">
        <v>384</v>
      </c>
      <c r="H13" s="42">
        <v>22939</v>
      </c>
      <c r="I13" s="42">
        <v>21848</v>
      </c>
      <c r="J13" s="30" t="s">
        <v>191</v>
      </c>
      <c r="K13" s="42">
        <v>21848</v>
      </c>
      <c r="L13" s="121" t="s">
        <v>51</v>
      </c>
      <c r="M13" s="122">
        <f t="shared" si="0"/>
        <v>0</v>
      </c>
      <c r="N13" s="123" t="str">
        <f>VLOOKUP(C13,'Trips&amp;Operators'!$C$1:$G$99911,5,FALSE)</f>
        <v>THOMPSON LESTER</v>
      </c>
      <c r="O13" s="163" t="s">
        <v>178</v>
      </c>
      <c r="P13" s="192"/>
      <c r="Q13" s="30"/>
      <c r="R13" s="71" t="str">
        <f>VLOOKUP(C13,'Train Runs'!$A$13:$AE$10195,31,0)</f>
        <v>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 &amp; aws s3 cp s3://rtdc.mdm.uploadarchive.raw/RTDC4029/ "%USERPROFILE%\AppData\Local\Temp\OnboardLogs"\RTDC4029\2017-12-13 --exclude "*" --recursive --include "*20171213*" &amp; "%USERPROFILE%\Documents\GitHub\mrs-test-scripts\Headless Mode &amp; Sideloading\WalkAndUnGZ.bat" "%USERPROFILE%\AppData\Local\Temp\OnboardLogs"\RTDC4029\2017-12-13</v>
      </c>
      <c r="S13" s="74" t="str">
        <f>VLOOKUP(C13,'Train Runs'!$A$13:$AE$10195,22,0)</f>
        <v>https://d0f6bd738d7f1b3e5a7ca70fe4ff75f0.us-east-1.aws.found.io/app/kibana#/discover/Steve-Slow-Train-Analysis-(2080s-and-2083s)?_g=(refreshInterval:(display:Off,pause:!f,section:0,value:0),time:(from:'2017-12-12T09:25:43-0700',mode:absolute,to:'2017-12-12T12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76" t="str">
        <f t="shared" si="1"/>
        <v>"C:\Program Files (x86)\AstroGrep\AstroGrep.exe" /e /r /s /spath="%USERPROFILE%\AppData\Local\Temp\OnboardLogs" /stypes="*4029*201712121*"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4029</v>
      </c>
      <c r="V13" s="31">
        <f t="shared" si="3"/>
        <v>43081.7499537037</v>
      </c>
      <c r="W13" s="45" t="str">
        <f t="shared" si="4"/>
        <v>EC</v>
      </c>
      <c r="X13" s="185">
        <f t="shared" si="5"/>
        <v>148</v>
      </c>
      <c r="Y13" s="191" t="str">
        <f t="shared" si="6"/>
        <v>echo {"issue":{"subject":"","project_id":79,"tracker_id":40,"status_id":1,"priority_id":2,"assigned_to_id":338,"start_date":"2017-12-12","description":"","custom_fields":[{"id":1,"name":"Subdivision","value":"EC"},{"id":4,"name":"Milepost","value":"2.1848"},{"id":17,"name":"Train ID","value":"148-12"},{"id":16,"name":"Locomotive ID","value":"4029"},{"id":130,"name":"Impact","value":""},{"id":150,"name":"Time of Event (Mountain Time)","value":"10:59:56"},{"id":151,"name":"Denver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48"/>
      <c r="AA13" s="188"/>
      <c r="AB13" s="188"/>
      <c r="AC13" s="105" t="str">
        <f t="shared" si="7"/>
        <v>grep -hrE -A400 "Enforcement Action" /c/Users/stu/AppData/Local/Temp/OnboardLogs/RTDC4029 --include="*4029*201712121*"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"%USERPROFILE%\AppData\Local\Temp\OnboardLogs"\RTDC4029\*4029*201712121* &gt;&gt; 2017-12-12-SliceDisagreementCheck.txt</v>
      </c>
      <c r="AE13" s="134" t="str">
        <f t="shared" si="9"/>
        <v>start /low /b %USERPROFILE%\Documents\GitHub\eaglep3\Utilities\DownloadLogsFromS3.py --loco 4029 --day 2017-12-12</v>
      </c>
      <c r="AF13" s="1"/>
    </row>
    <row r="14" spans="1:32" x14ac:dyDescent="0.25">
      <c r="A14" s="31">
        <v>43081.765057870369</v>
      </c>
      <c r="B14" s="30" t="s">
        <v>478</v>
      </c>
      <c r="C14" s="30" t="s">
        <v>688</v>
      </c>
      <c r="D14" s="30" t="s">
        <v>49</v>
      </c>
      <c r="E14" s="30" t="s">
        <v>354</v>
      </c>
      <c r="F14" s="42">
        <v>0</v>
      </c>
      <c r="G14" s="42">
        <v>586</v>
      </c>
      <c r="H14" s="42">
        <v>81966</v>
      </c>
      <c r="I14" s="42">
        <v>79140</v>
      </c>
      <c r="J14" s="30" t="s">
        <v>355</v>
      </c>
      <c r="K14" s="42">
        <v>81751</v>
      </c>
      <c r="L14" s="121" t="s">
        <v>51</v>
      </c>
      <c r="M14" s="122">
        <f t="shared" si="0"/>
        <v>-1378.6079999999999</v>
      </c>
      <c r="N14" s="123" t="str">
        <f>VLOOKUP(C14,'Trips&amp;Operators'!$C$1:$G$99911,5,FALSE)</f>
        <v>LEVIN SCOTT</v>
      </c>
      <c r="O14" s="163" t="s">
        <v>348</v>
      </c>
      <c r="P14" s="192" t="s">
        <v>443</v>
      </c>
      <c r="Q14" s="30"/>
      <c r="R14" s="71" t="str">
        <f>VLOOKUP(C14,'Train Runs'!$A$13:$AE$10195,31,0)</f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S14" s="74" t="str">
        <f>VLOOKUP(C14,'Train Runs'!$A$13:$AE$10195,22,0)</f>
        <v>https://d0f6bd738d7f1b3e5a7ca70fe4ff75f0.us-east-1.aws.found.io/app/kibana#/discover/Steve-Slow-Train-Analysis-(2080s-and-2083s)?_g=(refreshInterval:(display:Off,pause:!f,section:0,value:0),time:(from:'2017-12-12T16:43:23-0700',mode:absolute,to:'2017-12-12T19:40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4" s="76" t="str">
        <f t="shared" si="1"/>
        <v>"C:\Program Files (x86)\AstroGrep\AstroGrep.exe" /e /r /s /spath="%USERPROFILE%\AppData\Local\Temp\OnboardLogs" /stypes="*4057*201712130*"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4057</v>
      </c>
      <c r="V14" s="31">
        <f t="shared" si="3"/>
        <v>43082.056724537033</v>
      </c>
      <c r="W14" s="45" t="str">
        <f t="shared" si="4"/>
        <v>EC</v>
      </c>
      <c r="X14" s="185">
        <f t="shared" si="5"/>
        <v>208</v>
      </c>
      <c r="Y14" s="191" t="str">
        <f t="shared" si="6"/>
        <v>echo {"issue":{"subject":"Wi-MAX data drop","project_id":79,"tracker_id":40,"status_id":1,"priority_id":2,"assigned_to_id":338,"start_date":"2017-12-12","description":"","custom_fields":[{"id":1,"name":"Subdivision","value":"EC"},{"id":4,"name":"Milepost","value":"8.1751"},{"id":17,"name":"Train ID","value":"208-12"},{"id":16,"name":"Locomotive ID","value":"4057"},{"id":130,"name":"Impact","value":""},{"id":150,"name":"Time of Event (Mountain Time)","value":"18:21:41"},{"id":151,"name":"Denver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48"/>
      <c r="AA14" s="188"/>
      <c r="AB14" s="188"/>
      <c r="AC14" s="105" t="str">
        <f t="shared" si="7"/>
        <v>grep -hrE -A400 "Enforcement Action" /c/Users/stu/AppData/Local/Temp/OnboardLogs/RTDC4057 --include="*4057*201712130*"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"%USERPROFILE%\AppData\Local\Temp\OnboardLogs"\RTDC4057\*4057*201712130* &gt;&gt; 2017-12-12-SliceDisagreementCheck.txt</v>
      </c>
      <c r="AE14" s="134" t="str">
        <f t="shared" si="9"/>
        <v>start /low /b %USERPROFILE%\Documents\GitHub\eaglep3\Utilities\DownloadLogsFromS3.py --loco 4057 --day 2017-12-13</v>
      </c>
      <c r="AF14" s="1"/>
    </row>
    <row r="15" spans="1:32" x14ac:dyDescent="0.25">
      <c r="A15" s="31">
        <v>43081.537835648145</v>
      </c>
      <c r="B15" s="30" t="s">
        <v>478</v>
      </c>
      <c r="C15" s="30" t="s">
        <v>680</v>
      </c>
      <c r="D15" s="30" t="s">
        <v>49</v>
      </c>
      <c r="E15" s="30" t="s">
        <v>354</v>
      </c>
      <c r="F15" s="42">
        <v>0</v>
      </c>
      <c r="G15" s="42">
        <v>475</v>
      </c>
      <c r="H15" s="42">
        <v>135174</v>
      </c>
      <c r="I15" s="42">
        <v>133482</v>
      </c>
      <c r="J15" s="30" t="s">
        <v>355</v>
      </c>
      <c r="K15" s="42">
        <v>133166</v>
      </c>
      <c r="L15" s="121" t="s">
        <v>51</v>
      </c>
      <c r="M15" s="122">
        <f t="shared" si="0"/>
        <v>166.84800000000001</v>
      </c>
      <c r="N15" s="123" t="str">
        <f>VLOOKUP(C15,'Trips&amp;Operators'!$C$1:$G$99911,5,FALSE)</f>
        <v>LEVIN SCOTT</v>
      </c>
      <c r="O15" s="163" t="s">
        <v>348</v>
      </c>
      <c r="P15" s="192" t="s">
        <v>443</v>
      </c>
      <c r="Q15" s="30"/>
      <c r="R15" s="71" t="str">
        <f>VLOOKUP(C15,'Train Runs'!$A$13:$AE$10195,31,0)</f>
        <v>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 &amp; aws s3 cp s3://rtdc.mdm.uploadarchive.raw/RTDC4057/ "%USERPROFILE%\AppData\Local\Temp\OnboardLogs"\RTDC4057\2017-12-13 --exclude "*" --recursive --include "*20171213*" &amp; "%USERPROFILE%\Documents\GitHub\mrs-test-scripts\Headless Mode &amp; Sideloading\WalkAndUnGZ.bat" "%USERPROFILE%\AppData\Local\Temp\OnboardLogs"\RTDC4057\2017-12-13</v>
      </c>
      <c r="S15" s="74" t="str">
        <f>VLOOKUP(C15,'Train Runs'!$A$13:$AE$10195,22,0)</f>
        <v>https://d0f6bd738d7f1b3e5a7ca70fe4ff75f0.us-east-1.aws.found.io/app/kibana#/discover/Steve-Slow-Train-Analysis-(2080s-and-2083s)?_g=(refreshInterval:(display:Off,pause:!f,section:0,value:0),time:(from:'2017-12-12T11:23:40-0700',mode:absolute,to:'2017-12-12T14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5" s="76" t="str">
        <f t="shared" si="1"/>
        <v>"C:\Program Files (x86)\AstroGrep\AstroGrep.exe" /e /r /s /spath="%USERPROFILE%\AppData\Local\Temp\OnboardLogs" /stypes="*4057*201712121*"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4057</v>
      </c>
      <c r="V15" s="31">
        <f t="shared" si="3"/>
        <v>43081.829502314809</v>
      </c>
      <c r="W15" s="45" t="str">
        <f t="shared" si="4"/>
        <v>EC</v>
      </c>
      <c r="X15" s="185">
        <f t="shared" si="5"/>
        <v>166</v>
      </c>
      <c r="Y15" s="191" t="str">
        <f t="shared" si="6"/>
        <v>echo {"issue":{"subject":"Wi-MAX data drop","project_id":79,"tracker_id":40,"status_id":1,"priority_id":2,"assigned_to_id":338,"start_date":"2017-12-12","description":"","custom_fields":[{"id":1,"name":"Subdivision","value":"EC"},{"id":4,"name":"Milepost","value":"13.3166"},{"id":17,"name":"Train ID","value":"166-12"},{"id":16,"name":"Locomotive ID","value":"4057"},{"id":130,"name":"Impact","value":""},{"id":150,"name":"Time of Event (Mountain Time)","value":"12:54:29"},{"id":151,"name":"Denver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48"/>
      <c r="AA15" s="188"/>
      <c r="AB15" s="188"/>
      <c r="AC15" s="105" t="str">
        <f t="shared" si="7"/>
        <v>grep -hrE -A400 "Enforcement Action" /c/Users/stu/AppData/Local/Temp/OnboardLogs/RTDC4057 --include="*4057*201712121*"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"%USERPROFILE%\AppData\Local\Temp\OnboardLogs"\RTDC4057\*4057*201712121* &gt;&gt; 2017-12-12-SliceDisagreementCheck.txt</v>
      </c>
      <c r="AE15" s="134" t="str">
        <f t="shared" si="9"/>
        <v>start /low /b %USERPROFILE%\Documents\GitHub\eaglep3\Utilities\DownloadLogsFromS3.py --loco 4057 --day 2017-12-12</v>
      </c>
      <c r="AF15" s="1"/>
    </row>
    <row r="16" spans="1:32" x14ac:dyDescent="0.25">
      <c r="A16" s="31">
        <v>43081.363043981481</v>
      </c>
      <c r="B16" s="30" t="s">
        <v>444</v>
      </c>
      <c r="C16" s="30" t="s">
        <v>676</v>
      </c>
      <c r="D16" s="30" t="s">
        <v>49</v>
      </c>
      <c r="E16" s="30" t="s">
        <v>354</v>
      </c>
      <c r="F16" s="42">
        <v>0</v>
      </c>
      <c r="G16" s="42">
        <v>799</v>
      </c>
      <c r="H16" s="42">
        <v>141941</v>
      </c>
      <c r="I16" s="42">
        <v>146684</v>
      </c>
      <c r="J16" s="30" t="s">
        <v>355</v>
      </c>
      <c r="K16" s="42">
        <v>144300</v>
      </c>
      <c r="L16" s="121" t="s">
        <v>50</v>
      </c>
      <c r="M16" s="122">
        <f t="shared" si="0"/>
        <v>-1258.752</v>
      </c>
      <c r="N16" s="123" t="str">
        <f>VLOOKUP(C16,'Trips&amp;Operators'!$C$1:$G$99911,5,FALSE)</f>
        <v>LAMAR NEKESHA</v>
      </c>
      <c r="O16" s="163" t="s">
        <v>348</v>
      </c>
      <c r="P16" s="192" t="s">
        <v>443</v>
      </c>
      <c r="Q16" s="30"/>
      <c r="R16" s="71" t="str">
        <f>VLOOKUP(C16,'Train Runs'!$A$13:$AE$10195,31,0)</f>
        <v>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 &amp; aws s3 cp s3://rtdc.mdm.uploadarchive.raw/RTDC4058/ "%USERPROFILE%\AppData\Local\Temp\OnboardLogs"\RTDC4058\2017-12-13 --exclude "*" --recursive --include "*20171213*" &amp; "%USERPROFILE%\Documents\GitHub\mrs-test-scripts\Headless Mode &amp; Sideloading\WalkAndUnGZ.bat" "%USERPROFILE%\AppData\Local\Temp\OnboardLogs"\RTDC4058\2017-12-13</v>
      </c>
      <c r="S16" s="74" t="str">
        <f>VLOOKUP(C16,'Train Runs'!$A$13:$AE$10195,22,0)</f>
        <v>https://d0f6bd738d7f1b3e5a7ca70fe4ff75f0.us-east-1.aws.found.io/app/kibana#/discover/Steve-Slow-Train-Analysis-(2080s-and-2083s)?_g=(refreshInterval:(display:Off,pause:!f,section:0,value:0),time:(from:'2017-12-12T07:07:29-0700',mode:absolute,to:'2017-12-12T09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6" s="76" t="str">
        <f t="shared" si="1"/>
        <v>"C:\Program Files (x86)\AstroGrep\AstroGrep.exe" /e /r /s /spath="%USERPROFILE%\AppData\Local\Temp\OnboardLogs" /stypes="*4058*201712121*"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4058</v>
      </c>
      <c r="V16" s="31">
        <f t="shared" si="3"/>
        <v>43081.654710648145</v>
      </c>
      <c r="W16" s="45" t="str">
        <f t="shared" si="4"/>
        <v>EC</v>
      </c>
      <c r="X16" s="185">
        <f t="shared" si="5"/>
        <v>137</v>
      </c>
      <c r="Y16" s="191" t="str">
        <f t="shared" si="6"/>
        <v>echo {"issue":{"subject":"Wi-MAX data drop","project_id":79,"tracker_id":40,"status_id":1,"priority_id":2,"assigned_to_id":338,"start_date":"2017-12-12","description":"","custom_fields":[{"id":1,"name":"Subdivision","value":"EC"},{"id":4,"name":"Milepost","value":"14.43"},{"id":17,"name":"Train ID","value":"137-12"},{"id":16,"name":"Locomotive ID","value":"4058"},{"id":130,"name":"Impact","value":""},{"id":150,"name":"Time of Event (Mountain Time)","value":"08:42:47"},{"id":151,"name":"Denver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48"/>
      <c r="AA16" s="188"/>
      <c r="AB16" s="188"/>
      <c r="AC16" s="105" t="str">
        <f t="shared" si="7"/>
        <v>grep -hrE -A400 "Enforcement Action" /c/Users/stu/AppData/Local/Temp/OnboardLogs/RTDC4058 --include="*4058*201712121*"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"%USERPROFILE%\AppData\Local\Temp\OnboardLogs"\RTDC4058\*4058*201712121* &gt;&gt; 2017-12-12-SliceDisagreementCheck.txt</v>
      </c>
      <c r="AE16" s="134" t="str">
        <f t="shared" si="9"/>
        <v>start /low /b %USERPROFILE%\Documents\GitHub\eaglep3\Utilities\DownloadLogsFromS3.py --loco 4058 --day 2017-12-12</v>
      </c>
      <c r="AF16" s="1"/>
    </row>
    <row r="17" spans="1:32" x14ac:dyDescent="0.25">
      <c r="A17" s="31">
        <v>43081.31355324074</v>
      </c>
      <c r="B17" s="30" t="s">
        <v>461</v>
      </c>
      <c r="C17" s="30" t="s">
        <v>673</v>
      </c>
      <c r="D17" s="30" t="s">
        <v>95</v>
      </c>
      <c r="E17" s="30" t="s">
        <v>473</v>
      </c>
      <c r="F17" s="42">
        <v>0</v>
      </c>
      <c r="G17" s="42">
        <v>153</v>
      </c>
      <c r="H17" s="42">
        <v>2367</v>
      </c>
      <c r="I17" s="42">
        <v>2595</v>
      </c>
      <c r="J17" s="30" t="s">
        <v>474</v>
      </c>
      <c r="K17" s="42">
        <v>2322</v>
      </c>
      <c r="L17" s="121" t="s">
        <v>50</v>
      </c>
      <c r="M17" s="122">
        <f t="shared" si="0"/>
        <v>-144.14400000000001</v>
      </c>
      <c r="N17" s="123" t="str">
        <f>VLOOKUP(C17,'Trips&amp;Operators'!$C$1:$G$99911,5,FALSE)</f>
        <v>MACDONALD THOMAS</v>
      </c>
      <c r="O17" s="163" t="s">
        <v>348</v>
      </c>
      <c r="P17" s="192" t="s">
        <v>1086</v>
      </c>
      <c r="Q17" s="30"/>
      <c r="R17" s="71" t="str">
        <f>VLOOKUP(C17,'Train Runs'!$A$13:$AE$10195,31,0)</f>
        <v>aws s3 cp s3://rtdc.mdm.uploadarchive.raw/RTDC4010/ "%USERPROFILE%\AppData\Local\Temp\OnboardLogs"\RTDC4010\2017-12-12 --exclude "*" --recursive --include "*20171212*" &amp; "%USERPROFILE%\Documents\GitHub\mrs-test-scripts\Headless Mode &amp; Sideloading\WalkAndUnGZ.bat" "%USERPROFILE%\AppData\Local\Temp\OnboardLogs"\RTDC4010\2017-12-12 &amp; aws s3 cp s3://rtdc.mdm.uploadarchive.raw/RTDC4010/ "%USERPROFILE%\AppData\Local\Temp\OnboardLogs"\RTDC4010\2017-12-13 --exclude "*" --recursive --include "*20171213*" &amp; "%USERPROFILE%\Documents\GitHub\mrs-test-scripts\Headless Mode &amp; Sideloading\WalkAndUnGZ.bat" "%USERPROFILE%\AppData\Local\Temp\OnboardLogs"\RTDC4010\2017-12-13</v>
      </c>
      <c r="S17" s="74" t="str">
        <f>VLOOKUP(C17,'Train Runs'!$A$13:$AE$10195,22,0)</f>
        <v>https://d0f6bd738d7f1b3e5a7ca70fe4ff75f0.us-east-1.aws.found.io/app/kibana#/discover/Steve-Slow-Train-Analysis-(2080s-and-2083s)?_g=(refreshInterval:(display:Off,pause:!f,section:0,value:0),time:(from:'2017-12-12T06:27:54-0700',mode:absolute,to:'2017-12-12T09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76" t="str">
        <f t="shared" si="1"/>
        <v>"C:\Program Files (x86)\AstroGrep\AstroGrep.exe" /e /r /s /spath="%USERPROFILE%\AppData\Local\Temp\OnboardLogs" /stypes="*4010*201712121*"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4010</v>
      </c>
      <c r="V17" s="31">
        <f t="shared" si="3"/>
        <v>43081.605219907404</v>
      </c>
      <c r="W17" s="45" t="str">
        <f t="shared" si="4"/>
        <v>EC</v>
      </c>
      <c r="X17" s="185">
        <f t="shared" si="5"/>
        <v>131</v>
      </c>
      <c r="Y17" s="191" t="str">
        <f t="shared" si="6"/>
        <v>echo {"issue":{"subject":"Minor Onboard in-route failure caused signal unknown banner","project_id":79,"tracker_id":40,"status_id":1,"priority_id":2,"assigned_to_id":338,"start_date":"2017-12-12","description":"","custom_fields":[{"id":1,"name":"Subdivision","value":"EC"},{"id":4,"name":"Milepost","value":"0.2322"},{"id":17,"name":"Train ID","value":"131-12"},{"id":16,"name":"Locomotive ID","value":"4010"},{"id":130,"name":"Impact","value":""},{"id":150,"name":"Time of Event (Mountain Time)","value":"07:31:31"},{"id":151,"name":"Denver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48"/>
      <c r="AA17" s="188"/>
      <c r="AB17" s="188"/>
      <c r="AC17" s="105" t="str">
        <f t="shared" si="7"/>
        <v>grep -hrE -A400 "Enforcement Action" /c/Users/stu/AppData/Local/Temp/OnboardLogs/RTDC4010 --include="*4010*201712121*"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"%USERPROFILE%\AppData\Local\Temp\OnboardLogs"\RTDC4010\*4010*201712121* &gt;&gt; 2017-12-12-SliceDisagreementCheck.txt</v>
      </c>
      <c r="AE17" s="134" t="str">
        <f t="shared" si="9"/>
        <v>start /low /b %USERPROFILE%\Documents\GitHub\eaglep3\Utilities\DownloadLogsFromS3.py --loco 4010 --day 2017-12-12</v>
      </c>
      <c r="AF17" s="1"/>
    </row>
    <row r="18" spans="1:32" x14ac:dyDescent="0.25">
      <c r="A18" s="31">
        <v>43081.545868055553</v>
      </c>
      <c r="B18" s="30" t="s">
        <v>366</v>
      </c>
      <c r="C18" s="30" t="s">
        <v>681</v>
      </c>
      <c r="D18" s="30" t="s">
        <v>49</v>
      </c>
      <c r="E18" s="30" t="s">
        <v>473</v>
      </c>
      <c r="F18" s="42">
        <v>0</v>
      </c>
      <c r="G18" s="42">
        <v>142</v>
      </c>
      <c r="H18" s="42">
        <v>229832</v>
      </c>
      <c r="I18" s="42">
        <v>230143</v>
      </c>
      <c r="J18" s="30" t="s">
        <v>474</v>
      </c>
      <c r="K18" s="42">
        <v>230436</v>
      </c>
      <c r="L18" s="121" t="s">
        <v>50</v>
      </c>
      <c r="M18" s="122">
        <f t="shared" si="0"/>
        <v>154.70400000000001</v>
      </c>
      <c r="N18" s="123" t="str">
        <f>VLOOKUP(C18,'Trips&amp;Operators'!$C$1:$G$99911,5,FALSE)</f>
        <v>DAVIS MICHAEL</v>
      </c>
      <c r="O18" s="163" t="s">
        <v>348</v>
      </c>
      <c r="P18" s="192" t="s">
        <v>443</v>
      </c>
      <c r="Q18" s="30"/>
      <c r="R18" s="71" t="str">
        <f>VLOOKUP(C18,'Train Runs'!$A$13:$AE$10195,31,0)</f>
        <v>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 &amp; aws s3 cp s3://rtdc.mdm.uploadarchive.raw/RTDC4012/ "%USERPROFILE%\AppData\Local\Temp\OnboardLogs"\RTDC4012\2017-12-13 --exclude "*" --recursive --include "*20171213*" &amp; "%USERPROFILE%\Documents\GitHub\mrs-test-scripts\Headless Mode &amp; Sideloading\WalkAndUnGZ.bat" "%USERPROFILE%\AppData\Local\Temp\OnboardLogs"\RTDC4012\2017-12-13</v>
      </c>
      <c r="S18" s="74" t="str">
        <f>VLOOKUP(C18,'Train Runs'!$A$13:$AE$10195,22,0)</f>
        <v>https://d0f6bd738d7f1b3e5a7ca70fe4ff75f0.us-east-1.aws.found.io/app/kibana#/discover/Steve-Slow-Train-Analysis-(2080s-and-2083s)?_g=(refreshInterval:(display:Off,pause:!f,section:0,value:0),time:(from:'2017-12-12T11:26:56-0700',mode:absolute,to:'2017-12-12T14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76" t="str">
        <f t="shared" si="1"/>
        <v>"C:\Program Files (x86)\AstroGrep\AstroGrep.exe" /e /r /s /spath="%USERPROFILE%\AppData\Local\Temp\OnboardLogs" /stypes="*4012*201712122*"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4012</v>
      </c>
      <c r="V18" s="31">
        <f t="shared" si="3"/>
        <v>43081.837534722217</v>
      </c>
      <c r="W18" s="45" t="str">
        <f t="shared" si="4"/>
        <v>EC</v>
      </c>
      <c r="X18" s="185">
        <f t="shared" si="5"/>
        <v>171</v>
      </c>
      <c r="Y18" s="191" t="str">
        <f t="shared" si="6"/>
        <v>echo {"issue":{"subject":"Wi-MAX data drop","project_id":79,"tracker_id":40,"status_id":1,"priority_id":2,"assigned_to_id":338,"start_date":"2017-12-12","description":"","custom_fields":[{"id":1,"name":"Subdivision","value":"EC"},{"id":4,"name":"Milepost","value":"23.0436"},{"id":17,"name":"Train ID","value":"171-12"},{"id":16,"name":"Locomotive ID","value":"4012"},{"id":130,"name":"Impact","value":""},{"id":150,"name":"Time of Event (Mountain Time)","value":"13:06:03"},{"id":151,"name":"Denver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48"/>
      <c r="AA18" s="188"/>
      <c r="AB18" s="188"/>
      <c r="AC18" s="105" t="str">
        <f t="shared" si="7"/>
        <v>grep -hrE -A400 "Enforcement Action" /c/Users/stu/AppData/Local/Temp/OnboardLogs/RTDC4012 --include="*4012*201712122*"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"%USERPROFILE%\AppData\Local\Temp\OnboardLogs"\RTDC4012\*4012*201712122* &gt;&gt; 2017-12-12-SliceDisagreementCheck.txt</v>
      </c>
      <c r="AE18" s="134" t="str">
        <f t="shared" si="9"/>
        <v>start /low /b %USERPROFILE%\Documents\GitHub\eaglep3\Utilities\DownloadLogsFromS3.py --loco 4012 --day 2017-12-12</v>
      </c>
      <c r="AF18" s="1"/>
    </row>
    <row r="19" spans="1:32" x14ac:dyDescent="0.25">
      <c r="A19" s="31">
        <v>43081.759166666663</v>
      </c>
      <c r="B19" s="30" t="s">
        <v>686</v>
      </c>
      <c r="C19" s="30" t="s">
        <v>687</v>
      </c>
      <c r="D19" s="30" t="s">
        <v>95</v>
      </c>
      <c r="E19" s="30" t="s">
        <v>473</v>
      </c>
      <c r="F19" s="42">
        <v>0</v>
      </c>
      <c r="G19" s="42">
        <v>126</v>
      </c>
      <c r="H19" s="42">
        <v>231536</v>
      </c>
      <c r="I19" s="42">
        <v>231321</v>
      </c>
      <c r="J19" s="30" t="s">
        <v>474</v>
      </c>
      <c r="K19" s="42">
        <v>231650</v>
      </c>
      <c r="L19" s="121" t="s">
        <v>51</v>
      </c>
      <c r="M19" s="122">
        <f t="shared" si="0"/>
        <v>-173.71199999999999</v>
      </c>
      <c r="N19" s="123" t="str">
        <f>VLOOKUP(C19,'Trips&amp;Operators'!$C$1:$G$99911,5,FALSE)</f>
        <v>LONG FULLER</v>
      </c>
      <c r="O19" s="163" t="s">
        <v>348</v>
      </c>
      <c r="P19" s="192" t="s">
        <v>443</v>
      </c>
      <c r="Q19" s="30"/>
      <c r="R19" s="71" t="str">
        <f>VLOOKUP(C19,'Train Runs'!$A$13:$AE$10195,31,0)</f>
        <v>aws s3 cp s3://rtdc.mdm.uploadarchive.raw/RTDC4005/ "%USERPROFILE%\AppData\Local\Temp\OnboardLogs"\RTDC4005\2017-12-12 --exclude "*" --recursive --include "*20171212*" &amp; "%USERPROFILE%\Documents\GitHub\mrs-test-scripts\Headless Mode &amp; Sideloading\WalkAndUnGZ.bat" "%USERPROFILE%\AppData\Local\Temp\OnboardLogs"\RTDC4005\2017-12-12 &amp; aws s3 cp s3://rtdc.mdm.uploadarchive.raw/RTDC4005/ "%USERPROFILE%\AppData\Local\Temp\OnboardLogs"\RTDC4005\2017-12-13 --exclude "*" --recursive --include "*20171213*" &amp; "%USERPROFILE%\Documents\GitHub\mrs-test-scripts\Headless Mode &amp; Sideloading\WalkAndUnGZ.bat" "%USERPROFILE%\AppData\Local\Temp\OnboardLogs"\RTDC4005\2017-12-13</v>
      </c>
      <c r="S19" s="74" t="str">
        <f>VLOOKUP(C19,'Train Runs'!$A$13:$AE$10195,22,0)</f>
        <v>https://d0f6bd738d7f1b3e5a7ca70fe4ff75f0.us-east-1.aws.found.io/app/kibana#/discover/Steve-Slow-Train-Analysis-(2080s-and-2083s)?_g=(refreshInterval:(display:Off,pause:!f,section:0,value:0),time:(from:'2017-12-12T17:05:56-0700',mode:absolute,to:'2017-12-12T19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76" t="str">
        <f t="shared" si="1"/>
        <v>"C:\Program Files (x86)\AstroGrep\AstroGrep.exe" /e /r /s /spath="%USERPROFILE%\AppData\Local\Temp\OnboardLogs" /stypes="*4005*201712130*"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4005</v>
      </c>
      <c r="V19" s="31">
        <f t="shared" si="3"/>
        <v>43082.050833333327</v>
      </c>
      <c r="W19" s="45" t="str">
        <f t="shared" si="4"/>
        <v>EC</v>
      </c>
      <c r="X19" s="185">
        <f t="shared" si="5"/>
        <v>210</v>
      </c>
      <c r="Y19" s="191" t="str">
        <f t="shared" si="6"/>
        <v>echo {"issue":{"subject":"Wi-MAX data drop","project_id":79,"tracker_id":40,"status_id":1,"priority_id":2,"assigned_to_id":338,"start_date":"2017-12-12","description":"","custom_fields":[{"id":1,"name":"Subdivision","value":"EC"},{"id":4,"name":"Milepost","value":"23.165"},{"id":17,"name":"Train ID","value":"210-12"},{"id":16,"name":"Locomotive ID","value":"4005"},{"id":130,"name":"Impact","value":""},{"id":150,"name":"Time of Event (Mountain Time)","value":"18:13:12"},{"id":151,"name":"Denver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48"/>
      <c r="AA19" s="188"/>
      <c r="AB19" s="188"/>
      <c r="AC19" s="105" t="str">
        <f t="shared" si="7"/>
        <v>grep -hrE -A400 "Enforcement Action" /c/Users/stu/AppData/Local/Temp/OnboardLogs/RTDC4005 --include="*4005*201712130*"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"%USERPROFILE%\AppData\Local\Temp\OnboardLogs"\RTDC4005\*4005*201712130* &gt;&gt; 2017-12-12-SliceDisagreementCheck.txt</v>
      </c>
      <c r="AE19" s="134" t="str">
        <f t="shared" si="9"/>
        <v>start /low /b %USERPROFILE%\Documents\GitHub\eaglep3\Utilities\DownloadLogsFromS3.py --loco 4005 --day 2017-12-13</v>
      </c>
      <c r="AF19" s="1"/>
    </row>
    <row r="20" spans="1:32" x14ac:dyDescent="0.25">
      <c r="A20" s="31">
        <v>43081.65556712963</v>
      </c>
      <c r="B20" s="30" t="s">
        <v>413</v>
      </c>
      <c r="C20" s="30" t="s">
        <v>683</v>
      </c>
      <c r="D20" s="30" t="s">
        <v>49</v>
      </c>
      <c r="E20" s="30" t="s">
        <v>190</v>
      </c>
      <c r="F20" s="42">
        <v>300</v>
      </c>
      <c r="G20" s="42">
        <v>476</v>
      </c>
      <c r="H20" s="42">
        <v>18620</v>
      </c>
      <c r="I20" s="42">
        <v>20161</v>
      </c>
      <c r="J20" s="30" t="s">
        <v>191</v>
      </c>
      <c r="K20" s="42">
        <v>21312</v>
      </c>
      <c r="L20" s="121" t="s">
        <v>50</v>
      </c>
      <c r="M20" s="122">
        <f t="shared" si="0"/>
        <v>607.72799999999995</v>
      </c>
      <c r="N20" s="123" t="str">
        <f>VLOOKUP(C20,'Trips&amp;Operators'!$C$1:$G$99911,5,FALSE)</f>
        <v>STAMBAUGH JAMES</v>
      </c>
      <c r="O20" s="163" t="s">
        <v>178</v>
      </c>
      <c r="P20" s="192"/>
      <c r="Q20" s="30"/>
      <c r="R20" s="71" t="str">
        <f>VLOOKUP(C20,'Train Runs'!$A$13:$AE$10195,31,0)</f>
        <v>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 &amp; aws s3 cp s3://rtdc.mdm.uploadarchive.raw/RTDC4056/ "%USERPROFILE%\AppData\Local\Temp\OnboardLogs"\RTDC4056\2017-12-13 --exclude "*" --recursive --include "*20171213*" &amp; "%USERPROFILE%\Documents\GitHub\mrs-test-scripts\Headless Mode &amp; Sideloading\WalkAndUnGZ.bat" "%USERPROFILE%\AppData\Local\Temp\OnboardLogs"\RTDC4056\2017-12-13</v>
      </c>
      <c r="S20" s="74" t="str">
        <f>VLOOKUP(C20,'Train Runs'!$A$13:$AE$10195,22,0)</f>
        <v>https://d0f6bd738d7f1b3e5a7ca70fe4ff75f0.us-east-1.aws.found.io/app/kibana#/discover/Steve-Slow-Train-Analysis-(2080s-and-2083s)?_g=(refreshInterval:(display:Off,pause:!f,section:0,value:0),time:(from:'2017-12-12T14:32:46-0700',mode:absolute,to:'2017-12-12T16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76" t="str">
        <f t="shared" si="1"/>
        <v>"C:\Program Files (x86)\AstroGrep\AstroGrep.exe" /e /r /s /spath="%USERPROFILE%\AppData\Local\Temp\OnboardLogs" /stypes="*4056*201712122*"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4056</v>
      </c>
      <c r="V20" s="31">
        <f t="shared" si="3"/>
        <v>43081.947233796294</v>
      </c>
      <c r="W20" s="45" t="str">
        <f t="shared" si="4"/>
        <v>NW</v>
      </c>
      <c r="X20" s="185">
        <f t="shared" si="5"/>
        <v>827</v>
      </c>
      <c r="Y20" s="191" t="str">
        <f t="shared" si="6"/>
        <v>echo {"issue":{"subject":"","project_id":79,"tracker_id":40,"status_id":1,"priority_id":2,"assigned_to_id":338,"start_date":"2017-12-12","description":"","custom_fields":[{"id":1,"name":"Subdivision","value":"NW"},{"id":4,"name":"Milepost","value":"2.1312"},{"id":17,"name":"Train ID","value":"827-12"},{"id":16,"name":"Locomotive ID","value":"4056"},{"id":130,"name":"Impact","value":""},{"id":150,"name":"Time of Event (Mountain Time)","value":"15:44:01"},{"id":151,"name":"Denver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48"/>
      <c r="AA20" s="188"/>
      <c r="AB20" s="188"/>
      <c r="AC20" s="105" t="str">
        <f t="shared" si="7"/>
        <v>grep -hrE -A400 "Enforcement Action" /c/Users/stu/AppData/Local/Temp/OnboardLogs/RTDC4056 --include="*4056*201712122*"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"%USERPROFILE%\AppData\Local\Temp\OnboardLogs"\RTDC4056\*4056*201712122* &gt;&gt; 2017-12-12-SliceDisagreementCheck.txt</v>
      </c>
      <c r="AE20" s="134" t="str">
        <f t="shared" si="9"/>
        <v>start /low /b %USERPROFILE%\Documents\GitHub\eaglep3\Utilities\DownloadLogsFromS3.py --loco 4056 --day 2017-12-12</v>
      </c>
      <c r="AF20" s="1"/>
    </row>
    <row r="21" spans="1:32" x14ac:dyDescent="0.25">
      <c r="A21" s="31">
        <v>43081.717743055553</v>
      </c>
      <c r="B21" s="30" t="s">
        <v>351</v>
      </c>
      <c r="C21" s="30" t="s">
        <v>684</v>
      </c>
      <c r="D21" s="30" t="s">
        <v>95</v>
      </c>
      <c r="E21" s="30" t="s">
        <v>190</v>
      </c>
      <c r="F21" s="42">
        <v>150</v>
      </c>
      <c r="G21" s="42">
        <v>211</v>
      </c>
      <c r="H21" s="42">
        <v>56893</v>
      </c>
      <c r="I21" s="42">
        <v>56412</v>
      </c>
      <c r="J21" s="30" t="s">
        <v>191</v>
      </c>
      <c r="K21" s="42">
        <v>59050</v>
      </c>
      <c r="L21" s="121" t="s">
        <v>51</v>
      </c>
      <c r="M21" s="122">
        <f t="shared" si="0"/>
        <v>-1392.8639999999998</v>
      </c>
      <c r="N21" s="123" t="str">
        <f>VLOOKUP(C21,'Trips&amp;Operators'!$C$1:$G$99911,5,FALSE)</f>
        <v>HAMMOND JUSTYNN</v>
      </c>
      <c r="O21" s="163" t="s">
        <v>178</v>
      </c>
      <c r="P21" s="192"/>
      <c r="Q21" s="30"/>
      <c r="R21" s="71" t="str">
        <f>VLOOKUP(C21,'Train Runs'!$A$13:$AE$10195,31,0)</f>
        <v>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 &amp; aws s3 cp s3://rtdc.mdm.uploadarchive.raw/RTDC4055/ "%USERPROFILE%\AppData\Local\Temp\OnboardLogs"\RTDC4055\2017-12-13 --exclude "*" --recursive --include "*20171213*" &amp; "%USERPROFILE%\Documents\GitHub\mrs-test-scripts\Headless Mode &amp; Sideloading\WalkAndUnGZ.bat" "%USERPROFILE%\AppData\Local\Temp\OnboardLogs"\RTDC4055\2017-12-13</v>
      </c>
      <c r="S21" s="74" t="str">
        <f>VLOOKUP(C21,'Train Runs'!$A$13:$AE$10195,22,0)</f>
        <v>https://d0f6bd738d7f1b3e5a7ca70fe4ff75f0.us-east-1.aws.found.io/app/kibana#/discover/Steve-Slow-Train-Analysis-(2080s-and-2083s)?_g=(refreshInterval:(display:Off,pause:!f,section:0,value:0),time:(from:'2017-12-12T15:56:45-0700',mode:absolute,to:'2017-12-12T18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76" t="str">
        <f t="shared" si="1"/>
        <v>"C:\Program Files (x86)\AstroGrep\AstroGrep.exe" /e /r /s /spath="%USERPROFILE%\AppData\Local\Temp\OnboardLogs" /stypes="*4055*201712130*"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43082.009409722217</v>
      </c>
      <c r="W21" s="45" t="str">
        <f t="shared" si="4"/>
        <v>NW</v>
      </c>
      <c r="X21" s="185">
        <f t="shared" si="5"/>
        <v>832</v>
      </c>
      <c r="Y21" s="191" t="str">
        <f t="shared" si="6"/>
        <v>echo {"issue":{"subject":"","project_id":79,"tracker_id":40,"status_id":1,"priority_id":2,"assigned_to_id":338,"start_date":"2017-12-12","description":"","custom_fields":[{"id":1,"name":"Subdivision","value":"NW"},{"id":4,"name":"Milepost","value":"5.905"},{"id":17,"name":"Train ID","value":"832-12"},{"id":16,"name":"Locomotive ID","value":"4055"},{"id":130,"name":"Impact","value":""},{"id":150,"name":"Time of Event (Mountain Time)","value":"17:13:33"},{"id":151,"name":"Denver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48"/>
      <c r="AA21" s="188"/>
      <c r="AB21" s="188"/>
      <c r="AC21" s="105" t="str">
        <f t="shared" si="7"/>
        <v>grep -hrE -A400 "Enforcement Action" /c/Users/stu/AppData/Local/Temp/OnboardLogs/RTDC4055 --include="*4055*201712130*"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"%USERPROFILE%\AppData\Local\Temp\OnboardLogs"\RTDC4055\*4055*201712130* &gt;&gt; 2017-12-12-SliceDisagreementCheck.txt</v>
      </c>
      <c r="AE21" s="134" t="str">
        <f t="shared" si="9"/>
        <v>start /low /b %USERPROFILE%\Documents\GitHub\eaglep3\Utilities\DownloadLogsFromS3.py --loco 4055 --day 2017-12-13</v>
      </c>
      <c r="AF21" s="1"/>
    </row>
    <row r="22" spans="1:32" x14ac:dyDescent="0.25">
      <c r="A22" s="31">
        <v>43081.557083333333</v>
      </c>
      <c r="B22" s="30" t="s">
        <v>451</v>
      </c>
      <c r="C22" s="30" t="s">
        <v>682</v>
      </c>
      <c r="D22" s="30" t="s">
        <v>49</v>
      </c>
      <c r="E22" s="30" t="s">
        <v>668</v>
      </c>
      <c r="F22" s="42">
        <v>0</v>
      </c>
      <c r="G22" s="42">
        <v>144</v>
      </c>
      <c r="H22" s="42">
        <v>58039</v>
      </c>
      <c r="I22" s="42">
        <v>58214</v>
      </c>
      <c r="J22" s="30" t="s">
        <v>669</v>
      </c>
      <c r="K22" s="42">
        <v>59048</v>
      </c>
      <c r="L22" s="121" t="s">
        <v>50</v>
      </c>
      <c r="M22" s="122">
        <f t="shared" si="0"/>
        <v>440.35199999999998</v>
      </c>
      <c r="N22" s="123" t="str">
        <f>VLOOKUP(C22,'Trips&amp;Operators'!$C$1:$G$99911,5,FALSE)</f>
        <v>GUZMAN DANNY</v>
      </c>
      <c r="O22" s="163" t="s">
        <v>178</v>
      </c>
      <c r="P22" s="192"/>
      <c r="Q22" s="30"/>
      <c r="R22" s="71" t="str">
        <f>VLOOKUP(C22,'Train Runs'!$A$13:$AE$10195,31,0)</f>
        <v>aws s3 cp s3://rtdc.mdm.uploadarchive.raw/RTDC4032/ "%USERPROFILE%\AppData\Local\Temp\OnboardLogs"\RTDC4032\2017-12-12 --exclude "*" --recursive --include "*20171212*" &amp; "%USERPROFILE%\Documents\GitHub\mrs-test-scripts\Headless Mode &amp; Sideloading\WalkAndUnGZ.bat" "%USERPROFILE%\AppData\Local\Temp\OnboardLogs"\RTDC4032\2017-12-12 &amp; aws s3 cp s3://rtdc.mdm.uploadarchive.raw/RTDC4032/ "%USERPROFILE%\AppData\Local\Temp\OnboardLogs"\RTDC4032\2017-12-13 --exclude "*" --recursive --include "*20171213*" &amp; "%USERPROFILE%\Documents\GitHub\mrs-test-scripts\Headless Mode &amp; Sideloading\WalkAndUnGZ.bat" "%USERPROFILE%\AppData\Local\Temp\OnboardLogs"\RTDC4032\2017-12-13</v>
      </c>
      <c r="S22" s="74" t="str">
        <f>VLOOKUP(C22,'Train Runs'!$A$13:$AE$10195,22,0)</f>
        <v>https://d0f6bd738d7f1b3e5a7ca70fe4ff75f0.us-east-1.aws.found.io/app/kibana#/discover/Steve-Slow-Train-Analysis-(2080s-and-2083s)?_g=(refreshInterval:(display:Off,pause:!f,section:0,value:0),time:(from:'2017-12-12T11:58:11-0700',mode:absolute,to:'2017-12-12T14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76" t="str">
        <f t="shared" si="1"/>
        <v>"C:\Program Files (x86)\AstroGrep\AstroGrep.exe" /e /r /s /spath="%USERPROFILE%\AppData\Local\Temp\OnboardLogs" /stypes="*4032*201712122*"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4032</v>
      </c>
      <c r="V22" s="31">
        <f t="shared" si="3"/>
        <v>43081.848749999997</v>
      </c>
      <c r="W22" s="45" t="str">
        <f t="shared" si="4"/>
        <v>NW</v>
      </c>
      <c r="X22" s="185">
        <f t="shared" si="5"/>
        <v>821</v>
      </c>
      <c r="Y22" s="191" t="str">
        <f t="shared" si="6"/>
        <v>echo {"issue":{"subject":"","project_id":79,"tracker_id":40,"status_id":1,"priority_id":2,"assigned_to_id":338,"start_date":"2017-12-12","description":"","custom_fields":[{"id":1,"name":"Subdivision","value":"NW"},{"id":4,"name":"Milepost","value":"5.9048"},{"id":17,"name":"Train ID","value":"821-12"},{"id":16,"name":"Locomotive ID","value":"4032"},{"id":130,"name":"Impact","value":""},{"id":150,"name":"Time of Event (Mountain Time)","value":"13:22:12"},{"id":151,"name":"Denver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48"/>
      <c r="AA22" s="188"/>
      <c r="AB22" s="188"/>
      <c r="AC22" s="105" t="str">
        <f t="shared" si="7"/>
        <v>grep -hrE -A400 "Enforcement Action" /c/Users/stu/AppData/Local/Temp/OnboardLogs/RTDC4032 --include="*4032*201712122*"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"%USERPROFILE%\AppData\Local\Temp\OnboardLogs"\RTDC4032\*4032*201712122* &gt;&gt; 2017-12-12-SliceDisagreementCheck.txt</v>
      </c>
      <c r="AE22" s="134" t="str">
        <f t="shared" si="9"/>
        <v>start /low /b %USERPROFILE%\Documents\GitHub\eaglep3\Utilities\DownloadLogsFromS3.py --loco 4032 --day 2017-12-12</v>
      </c>
      <c r="AF22" s="1"/>
    </row>
    <row r="23" spans="1:32" x14ac:dyDescent="0.25">
      <c r="A23" s="31">
        <v>43081.180138888885</v>
      </c>
      <c r="B23" s="30" t="s">
        <v>494</v>
      </c>
      <c r="C23" s="30" t="s">
        <v>666</v>
      </c>
      <c r="D23" s="30" t="s">
        <v>49</v>
      </c>
      <c r="E23" s="30" t="s">
        <v>354</v>
      </c>
      <c r="F23" s="42">
        <v>0</v>
      </c>
      <c r="G23" s="42">
        <v>50</v>
      </c>
      <c r="H23" s="42">
        <v>4940</v>
      </c>
      <c r="I23" s="42">
        <v>4911</v>
      </c>
      <c r="J23" s="30" t="s">
        <v>355</v>
      </c>
      <c r="K23" s="42">
        <v>4798</v>
      </c>
      <c r="L23" s="121" t="s">
        <v>51</v>
      </c>
      <c r="M23" s="122">
        <f t="shared" si="0"/>
        <v>59.664000000000001</v>
      </c>
      <c r="N23" s="123" t="str">
        <f>VLOOKUP(C23,'Trips&amp;Operators'!$C$1:$G$99911,5,FALSE)</f>
        <v>BEAM ROSS</v>
      </c>
      <c r="O23" s="163" t="s">
        <v>178</v>
      </c>
      <c r="P23" s="192"/>
      <c r="Q23" s="30"/>
      <c r="R23" s="71" t="str">
        <f>VLOOKUP(C23,'Train Runs'!$A$13:$AE$10195,31,0)</f>
        <v>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 &amp; aws s3 cp s3://rtdc.mdm.uploadarchive.raw/RTDC4015/ "%USERPROFILE%\AppData\Local\Temp\OnboardLogs"\RTDC4015\2017-12-13 --exclude "*" --recursive --include "*20171213*" &amp; "%USERPROFILE%\Documents\GitHub\mrs-test-scripts\Headless Mode &amp; Sideloading\WalkAndUnGZ.bat" "%USERPROFILE%\AppData\Local\Temp\OnboardLogs"\RTDC4015\2017-12-13</v>
      </c>
      <c r="S23" s="74" t="str">
        <f>VLOOKUP(C23,'Train Runs'!$A$13:$AE$10195,22,0)</f>
        <v>https://d0f6bd738d7f1b3e5a7ca70fe4ff75f0.us-east-1.aws.found.io/app/kibana#/discover/Steve-Slow-Train-Analysis-(2080s-and-2083s)?_g=(refreshInterval:(display:Off,pause:!f,section:0,value:0),time:(from:'2017-12-12T03:05:28-0700',mode:absolute,to:'2017-12-12T05:17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76" t="str">
        <f t="shared" si="1"/>
        <v>"C:\Program Files (x86)\AstroGrep\AstroGrep.exe" /e /r /s /spath="%USERPROFILE%\AppData\Local\Temp\OnboardLogs" /stypes="*4015*201712121*" /stext=" 11:.+((SYSTEM_STATE.+slice.+state.+changed )|(ment ac)|(multiple cpu faults)|(system.+state.+changed )|(\[timeout)|(PRM\|1\|D)|(kpr)|(kdp)|(train st.+moving)|(\|lc)|(penalty))"</v>
      </c>
      <c r="U23" s="9" t="str">
        <f t="shared" si="2"/>
        <v>4015</v>
      </c>
      <c r="V23" s="31">
        <f t="shared" si="3"/>
        <v>43081.47180555555</v>
      </c>
      <c r="W23" s="45" t="str">
        <f t="shared" si="4"/>
        <v>Other</v>
      </c>
      <c r="X23" s="185">
        <f t="shared" si="5"/>
        <v>306</v>
      </c>
      <c r="Y23" s="191" t="str">
        <f t="shared" si="6"/>
        <v>echo {"issue":{"subject":"","project_id":79,"tracker_id":40,"status_id":1,"priority_id":2,"assigned_to_id":338,"start_date":"2017-12-12","description":"","custom_fields":[{"id":1,"name":"Subdivision","value":"Other"},{"id":4,"name":"Milepost","value":"0.4798"},{"id":17,"name":"Train ID","value":"306-12"},{"id":16,"name":"Locomotive ID","value":"4015"},{"id":130,"name":"Impact","value":""},{"id":150,"name":"Time of Event (Mountain Time)","value":"04:19:24"},{"id":151,"name":"Denver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48"/>
      <c r="AA23" s="188"/>
      <c r="AB23" s="188"/>
      <c r="AC23" s="105" t="str">
        <f t="shared" si="7"/>
        <v>grep -hrE -A400 "Enforcement Action" /c/Users/stu/AppData/Local/Temp/OnboardLogs/RTDC4015 --include="*4015*201712121*"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"%USERPROFILE%\AppData\Local\Temp\OnboardLogs"\RTDC4015\*4015*201712121* &gt;&gt; 2017-12-12-SliceDisagreementCheck.txt</v>
      </c>
      <c r="AE23" s="134" t="str">
        <f t="shared" si="9"/>
        <v>start /low /b %USERPROFILE%\Documents\GitHub\eaglep3\Utilities\DownloadLogsFromS3.py --loco 4015 --day 2017-12-12</v>
      </c>
      <c r="AF23" s="1"/>
    </row>
    <row r="24" spans="1:32" x14ac:dyDescent="0.25">
      <c r="A24" s="31">
        <v>43081.740590277775</v>
      </c>
      <c r="B24" s="30" t="s">
        <v>482</v>
      </c>
      <c r="C24" s="30" t="s">
        <v>685</v>
      </c>
      <c r="D24" s="30" t="s">
        <v>49</v>
      </c>
      <c r="E24" s="30" t="s">
        <v>183</v>
      </c>
      <c r="F24" s="42">
        <v>210</v>
      </c>
      <c r="G24" s="42">
        <v>276</v>
      </c>
      <c r="H24" s="42">
        <v>10029</v>
      </c>
      <c r="I24" s="42">
        <v>10651</v>
      </c>
      <c r="J24" s="30" t="s">
        <v>184</v>
      </c>
      <c r="K24" s="42">
        <v>10716</v>
      </c>
      <c r="L24" s="121" t="s">
        <v>50</v>
      </c>
      <c r="M24" s="122">
        <f t="shared" si="0"/>
        <v>34.32</v>
      </c>
      <c r="N24" s="123" t="str">
        <f>VLOOKUP(C24,'Trips&amp;Operators'!$C$1:$G$99911,5,FALSE)</f>
        <v>MOSES BRADLEY</v>
      </c>
      <c r="O24" s="163" t="s">
        <v>178</v>
      </c>
      <c r="P24" s="192" t="s">
        <v>493</v>
      </c>
      <c r="Q24" s="30"/>
      <c r="R24" s="71" t="str">
        <f>VLOOKUP(C24,'Train Runs'!$A$13:$AE$10195,31,0)</f>
        <v>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 &amp; aws s3 cp s3://rtdc.mdm.uploadarchive.raw/RTDC4064/ "%USERPROFILE%\AppData\Local\Temp\OnboardLogs"\RTDC4064\2017-12-13 --exclude "*" --recursive --include "*20171213*" &amp; "%USERPROFILE%\Documents\GitHub\mrs-test-scripts\Headless Mode &amp; Sideloading\WalkAndUnGZ.bat" "%USERPROFILE%\AppData\Local\Temp\OnboardLogs"\RTDC4064\2017-12-13</v>
      </c>
      <c r="S24" s="74" t="str">
        <f>VLOOKUP(C24,'Train Runs'!$A$13:$AE$10195,22,0)</f>
        <v>https://d0f6bd738d7f1b3e5a7ca70fe4ff75f0.us-east-1.aws.found.io/app/kibana#/discover/Steve-Slow-Train-Analysis-(2080s-and-2083s)?_g=(refreshInterval:(display:Off,pause:!f,section:0,value:0),time:(from:'2017-12-12T16:26:14-0700',mode:absolute,to:'2017-12-12T18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4" s="76" t="str">
        <f t="shared" si="1"/>
        <v>"C:\Program Files (x86)\AstroGrep\AstroGrep.exe" /e /r /s /spath="%USERPROFILE%\AppData\Local\Temp\OnboardLogs" /stypes="*4064*201712130*"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4064</v>
      </c>
      <c r="V24" s="31">
        <f t="shared" si="3"/>
        <v>43082.03225694444</v>
      </c>
      <c r="W24" s="45" t="str">
        <f t="shared" si="4"/>
        <v>Shuttle/Test</v>
      </c>
      <c r="X24" s="185">
        <f t="shared" si="5"/>
        <v>79</v>
      </c>
      <c r="Y24" s="191" t="str">
        <f t="shared" si="6"/>
        <v>echo {"issue":{"subject":"Early Arrival","project_id":79,"tracker_id":40,"status_id":1,"priority_id":2,"assigned_to_id":338,"start_date":"2017-12-12","description":"","custom_fields":[{"id":1,"name":"Subdivision","value":"Shuttle/Test"},{"id":4,"name":"Milepost","value":"1.0716"},{"id":17,"name":"Train ID","value":"79-12"},{"id":16,"name":"Locomotive ID","value":"4064"},{"id":130,"name":"Impact","value":""},{"id":150,"name":"Time of Event (Mountain Time)","value":"17:46:27"},{"id":151,"name":"Denver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48"/>
      <c r="AA24" s="188"/>
      <c r="AB24" s="188"/>
      <c r="AC24" s="105" t="str">
        <f t="shared" si="7"/>
        <v>grep -hrE -A400 "Enforcement Action" /c/Users/stu/AppData/Local/Temp/OnboardLogs/RTDC4064 --include="*4064*201712130*"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"%USERPROFILE%\AppData\Local\Temp\OnboardLogs"\RTDC4064\*4064*201712130* &gt;&gt; 2017-12-12-SliceDisagreementCheck.txt</v>
      </c>
      <c r="AE24" s="134" t="str">
        <f t="shared" si="9"/>
        <v>start /low /b %USERPROFILE%\Documents\GitHub\eaglep3\Utilities\DownloadLogsFromS3.py --loco 4064 --day 2017-12-13</v>
      </c>
      <c r="AF24" s="1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</sheetData>
  <autoFilter ref="A6:AC15">
    <sortState ref="A7:AC24">
      <sortCondition ref="W7:W24"/>
      <sortCondition ref="E7:E24"/>
      <sortCondition ref="K7:K24"/>
      <sortCondition ref="F7:F24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29:O1048576 O7:O24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4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AA7:AA24</xm:sqref>
        </x14:dataValidation>
        <x14:dataValidation type="list" allowBlank="1" showInputMessage="1" showErrorMessage="1">
          <x14:formula1>
            <xm:f>'Redmine List Values'!$C$2:$C$15</xm:f>
          </x14:formula1>
          <xm:sqref>AB7:AB24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200" customWidth="1"/>
    <col min="2" max="2" width="9.140625" style="2" customWidth="1"/>
    <col min="3" max="3" width="8" style="78" bestFit="1" customWidth="1"/>
    <col min="4" max="4" width="11.28515625" style="12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73" customWidth="1"/>
    <col min="10" max="10" width="9.140625" customWidth="1"/>
  </cols>
  <sheetData>
    <row r="1" spans="1:10" s="20" customFormat="1" x14ac:dyDescent="0.25">
      <c r="A1" s="200"/>
      <c r="B1" s="243" t="str">
        <f>"Trips that did not appear in PTC Data "&amp;TEXT(Variables!$A$2,"YYYY-mm-dd")</f>
        <v>Trips that did not appear in PTC Data 2017-12-12</v>
      </c>
      <c r="C1" s="243"/>
      <c r="D1" s="243"/>
      <c r="E1" s="243"/>
      <c r="F1" s="243"/>
      <c r="I1" s="173"/>
    </row>
    <row r="2" spans="1:10" s="23" customFormat="1" ht="45" x14ac:dyDescent="0.25">
      <c r="A2" s="237" t="s">
        <v>146</v>
      </c>
      <c r="B2" s="80" t="s">
        <v>58</v>
      </c>
      <c r="C2" s="77" t="s">
        <v>59</v>
      </c>
      <c r="D2" s="14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74" t="s">
        <v>101</v>
      </c>
      <c r="J2" s="28" t="s">
        <v>60</v>
      </c>
    </row>
    <row r="3" spans="1:10" x14ac:dyDescent="0.25">
      <c r="A3" s="220"/>
      <c r="B3" s="42" t="str">
        <f>A3&amp;"-"&amp;IF(DAY(Variables!$A$2)&lt;10,0,"")&amp;DAY(Variables!$A$2)</f>
        <v>-12</v>
      </c>
      <c r="C3" s="124"/>
      <c r="D3" s="179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75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Runs'!$A$13:$A$100192,1,FALSE)</f>
        <v>#N/A</v>
      </c>
    </row>
    <row r="4" spans="1:10" x14ac:dyDescent="0.25">
      <c r="A4" s="220"/>
      <c r="B4" s="42" t="str">
        <f>A4&amp;"-"&amp;IF(DAY(Variables!$A$2)&lt;10,0,"")&amp;DAY(Variables!$A$2)</f>
        <v>-12</v>
      </c>
      <c r="C4" s="124"/>
      <c r="D4" s="14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Runs'!$A$13:$A$100192,1,FALSE)</f>
        <v>#N/A</v>
      </c>
    </row>
    <row r="5" spans="1:10" x14ac:dyDescent="0.25">
      <c r="A5" s="220"/>
      <c r="B5" s="42" t="str">
        <f>A5&amp;"-"&amp;IF(DAY(Variables!$A$2)&lt;10,0,"")&amp;DAY(Variables!$A$2)</f>
        <v>-12</v>
      </c>
      <c r="C5" s="124"/>
      <c r="D5" s="14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Runs'!$A$13:$A$100192,1,FALSE)</f>
        <v>#N/A</v>
      </c>
    </row>
    <row r="6" spans="1:10" x14ac:dyDescent="0.25">
      <c r="A6" s="220"/>
      <c r="B6" s="42" t="str">
        <f>A6&amp;"-"&amp;IF(DAY(Variables!$A$2)&lt;10,0,"")&amp;DAY(Variables!$A$2)</f>
        <v>-12</v>
      </c>
      <c r="C6" s="124"/>
      <c r="D6" s="14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Runs'!$A$13:$A$100192,1,FALSE)</f>
        <v>#N/A</v>
      </c>
    </row>
    <row r="7" spans="1:10" x14ac:dyDescent="0.25">
      <c r="A7" s="220"/>
      <c r="B7" s="42" t="str">
        <f>A7&amp;"-"&amp;IF(DAY(Variables!$A$2)&lt;10,0,"")&amp;DAY(Variables!$A$2)</f>
        <v>-12</v>
      </c>
      <c r="C7" s="124"/>
      <c r="D7" s="14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Runs'!$A$13:$A$100192,1,FALSE)</f>
        <v>#N/A</v>
      </c>
    </row>
    <row r="8" spans="1:10" x14ac:dyDescent="0.25">
      <c r="A8" s="220"/>
      <c r="B8" s="42" t="str">
        <f>A8&amp;"-"&amp;IF(DAY(Variables!$A$2)&lt;10,0,"")&amp;DAY(Variables!$A$2)</f>
        <v>-12</v>
      </c>
      <c r="C8" s="124"/>
      <c r="D8" s="14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Runs'!$A$13:$A$100192,1,FALSE)</f>
        <v>#N/A</v>
      </c>
    </row>
    <row r="9" spans="1:10" x14ac:dyDescent="0.25">
      <c r="A9" s="220"/>
      <c r="B9" s="42" t="str">
        <f>A9&amp;"-"&amp;IF(DAY(Variables!$A$2)&lt;10,0,"")&amp;DAY(Variables!$A$2)</f>
        <v>-12</v>
      </c>
      <c r="C9" s="124"/>
      <c r="D9" s="14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Runs'!$A$13:$A$100192,1,FALSE)</f>
        <v>#N/A</v>
      </c>
    </row>
    <row r="10" spans="1:10" x14ac:dyDescent="0.25">
      <c r="A10" s="220"/>
      <c r="B10" s="42" t="str">
        <f>A10&amp;"-"&amp;IF(DAY(Variables!$A$2)&lt;10,0,"")&amp;DAY(Variables!$A$2)</f>
        <v>-12</v>
      </c>
      <c r="C10" s="124"/>
      <c r="D10" s="14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Runs'!$A$13:$A$100192,1,FALSE)</f>
        <v>#N/A</v>
      </c>
    </row>
    <row r="11" spans="1:10" x14ac:dyDescent="0.25">
      <c r="A11" s="220"/>
      <c r="B11" s="42" t="str">
        <f>A11&amp;"-"&amp;IF(DAY(Variables!$A$2)&lt;10,0,"")&amp;DAY(Variables!$A$2)</f>
        <v>-12</v>
      </c>
      <c r="C11" s="124"/>
      <c r="D11" s="14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Runs'!$A$13:$A$100192,1,FALSE)</f>
        <v>#N/A</v>
      </c>
    </row>
    <row r="12" spans="1:10" x14ac:dyDescent="0.25">
      <c r="A12" s="220"/>
      <c r="B12" s="42" t="str">
        <f>A12&amp;"-"&amp;IF(DAY(Variables!$A$2)&lt;10,0,"")&amp;DAY(Variables!$A$2)</f>
        <v>-12</v>
      </c>
      <c r="C12" s="124"/>
      <c r="D12" s="14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Runs'!$A$13:$A$100192,1,FALSE)</f>
        <v>#N/A</v>
      </c>
    </row>
    <row r="13" spans="1:10" x14ac:dyDescent="0.25">
      <c r="A13" s="220"/>
      <c r="B13" s="42" t="str">
        <f>A13&amp;"-"&amp;IF(DAY(Variables!$A$2)&lt;10,0,"")&amp;DAY(Variables!$A$2)</f>
        <v>-12</v>
      </c>
      <c r="C13" s="124"/>
      <c r="D13" s="14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Runs'!$A$13:$A$100192,1,FALSE)</f>
        <v>#N/A</v>
      </c>
    </row>
    <row r="14" spans="1:10" x14ac:dyDescent="0.25">
      <c r="A14" s="220"/>
      <c r="B14" s="42" t="str">
        <f>A14&amp;"-"&amp;IF(DAY(Variables!$A$2)&lt;10,0,"")&amp;DAY(Variables!$A$2)</f>
        <v>-12</v>
      </c>
      <c r="C14" s="124"/>
      <c r="D14" s="14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Runs'!$A$13:$A$100192,1,FALSE)</f>
        <v>#N/A</v>
      </c>
    </row>
    <row r="15" spans="1:10" x14ac:dyDescent="0.25">
      <c r="A15" s="220"/>
      <c r="B15" s="42" t="str">
        <f>A15&amp;"-"&amp;IF(DAY(Variables!$A$2)&lt;10,0,"")&amp;DAY(Variables!$A$2)</f>
        <v>-12</v>
      </c>
      <c r="C15" s="124"/>
      <c r="D15" s="14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Runs'!$A$13:$A$100192,1,FALSE)</f>
        <v>#N/A</v>
      </c>
    </row>
    <row r="16" spans="1:10" x14ac:dyDescent="0.25">
      <c r="A16" s="220"/>
      <c r="B16" s="42" t="str">
        <f>A16&amp;"-"&amp;IF(DAY(Variables!$A$2)&lt;10,0,"")&amp;DAY(Variables!$A$2)</f>
        <v>-12</v>
      </c>
      <c r="C16" s="124"/>
      <c r="D16" s="14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Runs'!$A$13:$A$100192,1,FALSE)</f>
        <v>#N/A</v>
      </c>
    </row>
    <row r="17" spans="1:10" x14ac:dyDescent="0.25">
      <c r="A17" s="220"/>
      <c r="B17" s="42" t="str">
        <f>A17&amp;"-"&amp;IF(DAY(Variables!$A$2)&lt;10,0,"")&amp;DAY(Variables!$A$2)</f>
        <v>-12</v>
      </c>
      <c r="C17" s="124"/>
      <c r="D17" s="14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Runs'!$A$13:$A$100192,1,FALSE)</f>
        <v>#N/A</v>
      </c>
    </row>
    <row r="18" spans="1:10" x14ac:dyDescent="0.25">
      <c r="A18" s="220"/>
      <c r="B18" s="42" t="str">
        <f>A18&amp;"-"&amp;IF(DAY(Variables!$A$2)&lt;10,0,"")&amp;DAY(Variables!$A$2)</f>
        <v>-12</v>
      </c>
      <c r="C18" s="124"/>
      <c r="D18" s="14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Runs'!$A$13:$A$100192,1,FALSE)</f>
        <v>#N/A</v>
      </c>
    </row>
    <row r="19" spans="1:10" x14ac:dyDescent="0.25">
      <c r="A19" s="220"/>
      <c r="B19" s="42"/>
      <c r="C19" s="124"/>
      <c r="D19" s="142"/>
      <c r="E19" s="30"/>
      <c r="F19" s="21"/>
      <c r="G19" s="21"/>
      <c r="H19" s="29"/>
      <c r="I19" s="175"/>
      <c r="J19" s="30"/>
    </row>
    <row r="20" spans="1:10" x14ac:dyDescent="0.25">
      <c r="A20" s="220"/>
      <c r="B20" s="42"/>
      <c r="C20" s="124"/>
      <c r="D20" s="142"/>
      <c r="E20" s="30"/>
      <c r="F20" s="21"/>
      <c r="G20" s="21"/>
      <c r="H20" s="29"/>
      <c r="I20" s="175"/>
      <c r="J20" s="30"/>
    </row>
    <row r="21" spans="1:10" x14ac:dyDescent="0.25">
      <c r="A21" s="220"/>
      <c r="B21" s="42"/>
      <c r="C21" s="124"/>
      <c r="D21" s="142"/>
      <c r="E21" s="30"/>
      <c r="F21" s="21"/>
      <c r="G21" s="21"/>
      <c r="H21" s="29"/>
      <c r="I21" s="175"/>
      <c r="J21" s="30"/>
    </row>
    <row r="22" spans="1:10" x14ac:dyDescent="0.25">
      <c r="A22" s="220"/>
      <c r="B22" s="42"/>
      <c r="C22" s="124"/>
      <c r="D22" s="142"/>
      <c r="E22" s="30"/>
      <c r="F22" s="21"/>
      <c r="G22" s="21"/>
      <c r="H22" s="29"/>
      <c r="I22" s="175"/>
      <c r="J22" s="30"/>
    </row>
    <row r="23" spans="1:10" x14ac:dyDescent="0.25">
      <c r="A23" s="220"/>
      <c r="B23" s="42"/>
      <c r="C23" s="124"/>
      <c r="D23" s="142"/>
      <c r="E23" s="30"/>
      <c r="F23" s="21"/>
      <c r="G23" s="21"/>
      <c r="H23" s="29"/>
      <c r="I23" s="175"/>
      <c r="J23" s="30"/>
    </row>
    <row r="24" spans="1:10" x14ac:dyDescent="0.25">
      <c r="A24" s="220"/>
      <c r="B24" s="42"/>
      <c r="C24" s="124"/>
      <c r="D24" s="142"/>
      <c r="E24" s="30"/>
      <c r="F24" s="21"/>
      <c r="G24" s="21"/>
      <c r="H24" s="29"/>
      <c r="I24" s="175"/>
      <c r="J24" s="30"/>
    </row>
    <row r="25" spans="1:10" x14ac:dyDescent="0.25">
      <c r="A25" s="220"/>
      <c r="B25" s="42"/>
      <c r="C25" s="124"/>
      <c r="D25" s="142"/>
      <c r="E25" s="30"/>
      <c r="F25" s="21"/>
      <c r="G25" s="21"/>
      <c r="H25" s="29"/>
      <c r="I25" s="175"/>
      <c r="J25" s="30"/>
    </row>
    <row r="26" spans="1:10" x14ac:dyDescent="0.25">
      <c r="A26" s="220"/>
      <c r="B26" s="42"/>
      <c r="C26" s="124"/>
      <c r="D26" s="142"/>
      <c r="E26" s="30"/>
      <c r="F26" s="21"/>
      <c r="G26" s="21"/>
      <c r="H26" s="29"/>
      <c r="I26" s="175"/>
      <c r="J26" s="30"/>
    </row>
    <row r="27" spans="1:10" x14ac:dyDescent="0.25">
      <c r="A27" s="220"/>
      <c r="B27" s="42"/>
      <c r="C27" s="124"/>
      <c r="D27" s="142"/>
      <c r="E27" s="30"/>
      <c r="F27" s="21"/>
      <c r="G27" s="21"/>
      <c r="H27" s="29"/>
      <c r="I27" s="175"/>
      <c r="J27" s="30"/>
    </row>
    <row r="28" spans="1:10" x14ac:dyDescent="0.25">
      <c r="A28" s="220"/>
      <c r="B28" s="42"/>
      <c r="C28" s="124"/>
      <c r="D28" s="142"/>
      <c r="E28" s="30"/>
      <c r="F28" s="21"/>
      <c r="G28" s="21"/>
      <c r="H28" s="29"/>
      <c r="I28" s="175"/>
      <c r="J28" s="30"/>
    </row>
    <row r="29" spans="1:10" x14ac:dyDescent="0.25">
      <c r="A29" s="220"/>
      <c r="B29" s="42"/>
      <c r="C29" s="124"/>
      <c r="D29" s="142"/>
      <c r="E29" s="30"/>
      <c r="F29" s="21"/>
      <c r="G29" s="21"/>
      <c r="H29" s="29"/>
      <c r="I29" s="175"/>
      <c r="J29" s="30"/>
    </row>
    <row r="30" spans="1:10" x14ac:dyDescent="0.25">
      <c r="A30" s="220"/>
      <c r="B30" s="42"/>
      <c r="C30" s="124"/>
      <c r="D30" s="142"/>
      <c r="E30" s="30"/>
      <c r="F30" s="21"/>
      <c r="G30" s="21"/>
      <c r="H30" s="29"/>
      <c r="I30" s="175"/>
      <c r="J30" s="30"/>
    </row>
    <row r="31" spans="1:10" x14ac:dyDescent="0.25">
      <c r="A31" s="220"/>
      <c r="B31" s="42"/>
      <c r="C31" s="124"/>
      <c r="D31" s="142"/>
      <c r="E31" s="30"/>
      <c r="F31" s="21"/>
      <c r="G31" s="21"/>
      <c r="H31" s="29"/>
      <c r="I31" s="175"/>
      <c r="J31" s="30"/>
    </row>
    <row r="32" spans="1:10" x14ac:dyDescent="0.25">
      <c r="A32" s="220"/>
      <c r="B32" s="42"/>
      <c r="C32" s="124"/>
      <c r="D32" s="142"/>
      <c r="E32" s="30"/>
      <c r="F32" s="21"/>
      <c r="G32" s="21"/>
      <c r="H32" s="29"/>
      <c r="I32" s="175"/>
      <c r="J32" s="30"/>
    </row>
    <row r="33" spans="1:10" x14ac:dyDescent="0.25">
      <c r="A33" s="220"/>
      <c r="B33" s="42"/>
      <c r="C33" s="124"/>
      <c r="D33" s="142"/>
      <c r="E33" s="30"/>
      <c r="F33" s="21"/>
      <c r="G33" s="21"/>
      <c r="H33" s="29"/>
      <c r="I33" s="175"/>
      <c r="J33" s="30"/>
    </row>
    <row r="34" spans="1:10" x14ac:dyDescent="0.25">
      <c r="A34" s="220"/>
      <c r="B34" s="42"/>
      <c r="C34" s="124"/>
      <c r="D34" s="142"/>
      <c r="E34" s="30"/>
      <c r="F34" s="21"/>
      <c r="G34" s="21"/>
      <c r="H34" s="29"/>
      <c r="I34" s="175"/>
      <c r="J34" s="30"/>
    </row>
    <row r="35" spans="1:10" x14ac:dyDescent="0.25">
      <c r="A35" s="220"/>
      <c r="B35" s="42"/>
      <c r="C35" s="124"/>
      <c r="D35" s="142"/>
      <c r="E35" s="30"/>
      <c r="F35" s="21"/>
      <c r="G35" s="21"/>
      <c r="H35" s="29"/>
      <c r="I35" s="175"/>
      <c r="J35" s="30"/>
    </row>
    <row r="36" spans="1:10" x14ac:dyDescent="0.25">
      <c r="A36" s="220"/>
      <c r="B36" s="42"/>
      <c r="C36" s="124"/>
      <c r="D36" s="142"/>
      <c r="E36" s="30"/>
      <c r="F36" s="21"/>
      <c r="G36" s="21"/>
      <c r="H36" s="29"/>
      <c r="I36" s="175"/>
      <c r="J36" s="30"/>
    </row>
    <row r="37" spans="1:10" x14ac:dyDescent="0.25">
      <c r="A37" s="220"/>
      <c r="B37" s="42"/>
      <c r="C37" s="124"/>
      <c r="D37" s="142"/>
      <c r="E37" s="30"/>
      <c r="F37" s="21"/>
      <c r="G37" s="21"/>
      <c r="H37" s="29"/>
      <c r="I37" s="175"/>
      <c r="J37" s="30"/>
    </row>
    <row r="38" spans="1:10" x14ac:dyDescent="0.25">
      <c r="A38" s="220"/>
      <c r="B38" s="42"/>
      <c r="C38" s="124"/>
      <c r="D38" s="142"/>
      <c r="E38" s="30"/>
      <c r="F38" s="21"/>
      <c r="G38" s="21"/>
      <c r="H38" s="29"/>
      <c r="I38" s="175"/>
      <c r="J38" s="30"/>
    </row>
    <row r="39" spans="1:10" x14ac:dyDescent="0.25">
      <c r="A39" s="220"/>
      <c r="B39" s="42"/>
      <c r="C39" s="124"/>
      <c r="D39" s="142"/>
      <c r="E39" s="30"/>
      <c r="F39" s="21"/>
      <c r="G39" s="21"/>
      <c r="H39" s="29"/>
      <c r="I39" s="175"/>
      <c r="J39" s="30"/>
    </row>
    <row r="40" spans="1:10" x14ac:dyDescent="0.25">
      <c r="A40" s="220"/>
      <c r="B40" s="42"/>
      <c r="C40" s="124"/>
      <c r="D40" s="142"/>
      <c r="E40" s="30"/>
      <c r="F40" s="21"/>
      <c r="G40" s="21"/>
      <c r="H40" s="29"/>
      <c r="I40" s="175"/>
      <c r="J40" s="30"/>
    </row>
    <row r="41" spans="1:10" x14ac:dyDescent="0.25">
      <c r="A41" s="220"/>
      <c r="B41" s="42"/>
      <c r="C41" s="124"/>
      <c r="D41" s="142"/>
      <c r="E41" s="30"/>
      <c r="F41" s="21"/>
      <c r="G41" s="21"/>
      <c r="H41" s="29"/>
      <c r="I41" s="175"/>
      <c r="J41" s="30"/>
    </row>
    <row r="42" spans="1:10" x14ac:dyDescent="0.25">
      <c r="A42" s="220"/>
      <c r="B42" s="42"/>
      <c r="C42" s="124"/>
      <c r="D42" s="142"/>
      <c r="E42" s="30"/>
      <c r="F42" s="21"/>
      <c r="G42" s="21"/>
      <c r="H42" s="29"/>
      <c r="I42" s="175"/>
      <c r="J42" s="30"/>
    </row>
    <row r="43" spans="1:10" x14ac:dyDescent="0.25">
      <c r="A43" s="220"/>
      <c r="B43" s="42"/>
      <c r="C43" s="124"/>
      <c r="D43" s="142"/>
      <c r="E43" s="30"/>
      <c r="F43" s="21"/>
      <c r="G43" s="21"/>
      <c r="H43" s="29"/>
      <c r="I43" s="175"/>
      <c r="J43" s="30"/>
    </row>
    <row r="44" spans="1:10" x14ac:dyDescent="0.25">
      <c r="A44" s="220"/>
      <c r="B44" s="42"/>
      <c r="C44" s="124"/>
      <c r="D44" s="142"/>
      <c r="E44" s="30"/>
      <c r="F44" s="21"/>
      <c r="G44" s="21"/>
      <c r="H44" s="29"/>
      <c r="I44" s="175"/>
      <c r="J44" s="30"/>
    </row>
    <row r="45" spans="1:10" x14ac:dyDescent="0.25">
      <c r="A45" s="220"/>
      <c r="B45" s="42"/>
      <c r="C45" s="124"/>
      <c r="D45" s="142"/>
      <c r="E45" s="30"/>
      <c r="F45" s="21"/>
      <c r="G45" s="21"/>
      <c r="H45" s="29"/>
      <c r="I45" s="175"/>
      <c r="J45" s="30"/>
    </row>
    <row r="46" spans="1:10" x14ac:dyDescent="0.25">
      <c r="A46" s="220"/>
      <c r="B46" s="42"/>
      <c r="C46" s="124"/>
      <c r="D46" s="142"/>
      <c r="E46" s="30"/>
      <c r="F46" s="21"/>
      <c r="G46" s="21"/>
      <c r="H46" s="29"/>
      <c r="I46" s="175"/>
      <c r="J46" s="30"/>
    </row>
    <row r="47" spans="1:10" x14ac:dyDescent="0.25">
      <c r="A47" s="220"/>
      <c r="B47" s="42"/>
      <c r="C47" s="124"/>
      <c r="D47" s="142"/>
      <c r="E47" s="30"/>
      <c r="F47" s="21"/>
      <c r="G47" s="21"/>
      <c r="H47" s="29"/>
      <c r="I47" s="175"/>
      <c r="J47" s="30"/>
    </row>
    <row r="48" spans="1:10" x14ac:dyDescent="0.25">
      <c r="A48" s="220"/>
      <c r="B48" s="42"/>
      <c r="C48" s="124"/>
      <c r="D48" s="142"/>
      <c r="E48" s="30"/>
      <c r="F48" s="21"/>
      <c r="G48" s="21"/>
      <c r="H48" s="29"/>
      <c r="I48" s="175"/>
      <c r="J48" s="30"/>
    </row>
    <row r="49" spans="1:10" x14ac:dyDescent="0.25">
      <c r="A49" s="220"/>
      <c r="B49" s="42"/>
      <c r="C49" s="124"/>
      <c r="D49" s="142"/>
      <c r="E49" s="30"/>
      <c r="F49" s="21"/>
      <c r="G49" s="21"/>
      <c r="H49" s="29"/>
      <c r="I49" s="175"/>
      <c r="J49" s="30"/>
    </row>
    <row r="50" spans="1:10" x14ac:dyDescent="0.25">
      <c r="A50" s="220"/>
      <c r="B50" s="42"/>
      <c r="C50" s="124"/>
      <c r="D50" s="142"/>
      <c r="E50" s="30"/>
      <c r="F50" s="21"/>
      <c r="G50" s="21"/>
      <c r="H50" s="29"/>
      <c r="I50" s="175"/>
      <c r="J50" s="30"/>
    </row>
    <row r="51" spans="1:10" x14ac:dyDescent="0.25">
      <c r="A51" s="220"/>
      <c r="B51" s="42"/>
      <c r="C51" s="124"/>
      <c r="D51" s="142"/>
      <c r="E51" s="30"/>
      <c r="F51" s="21"/>
      <c r="G51" s="21"/>
      <c r="H51" s="29"/>
      <c r="I51" s="175"/>
      <c r="J51" s="30"/>
    </row>
    <row r="52" spans="1:10" x14ac:dyDescent="0.25">
      <c r="A52" s="220"/>
      <c r="B52" s="42"/>
      <c r="C52" s="124"/>
      <c r="D52" s="142"/>
      <c r="E52" s="30"/>
      <c r="F52" s="21"/>
      <c r="G52" s="21"/>
      <c r="H52" s="29"/>
      <c r="I52" s="175"/>
      <c r="J52" s="30"/>
    </row>
    <row r="53" spans="1:10" x14ac:dyDescent="0.25">
      <c r="A53" s="220"/>
      <c r="B53" s="42"/>
      <c r="C53" s="124"/>
      <c r="D53" s="142"/>
      <c r="E53" s="30"/>
      <c r="F53" s="21"/>
      <c r="G53" s="21"/>
      <c r="H53" s="29"/>
      <c r="I53" s="175"/>
      <c r="J53" s="30"/>
    </row>
    <row r="54" spans="1:10" x14ac:dyDescent="0.25">
      <c r="A54" s="220"/>
      <c r="B54" s="42"/>
      <c r="C54" s="124"/>
      <c r="D54" s="142"/>
      <c r="E54" s="30"/>
      <c r="F54" s="21"/>
      <c r="G54" s="21"/>
      <c r="H54" s="29"/>
      <c r="I54" s="175"/>
      <c r="J54" s="30"/>
    </row>
    <row r="55" spans="1:10" x14ac:dyDescent="0.25">
      <c r="A55" s="220"/>
      <c r="B55" s="42"/>
      <c r="C55" s="124"/>
      <c r="D55" s="142"/>
      <c r="E55" s="30"/>
      <c r="F55" s="21"/>
      <c r="G55" s="21"/>
      <c r="H55" s="29"/>
      <c r="I55" s="175"/>
      <c r="J55" s="30"/>
    </row>
    <row r="56" spans="1:10" x14ac:dyDescent="0.25">
      <c r="A56" s="220"/>
      <c r="B56" s="42"/>
      <c r="C56" s="124"/>
      <c r="D56" s="142"/>
      <c r="E56" s="30"/>
      <c r="F56" s="21"/>
      <c r="G56" s="21"/>
      <c r="H56" s="29"/>
      <c r="I56" s="175"/>
      <c r="J56" s="30"/>
    </row>
    <row r="57" spans="1:10" x14ac:dyDescent="0.25">
      <c r="A57" s="220"/>
      <c r="B57" s="42"/>
      <c r="C57" s="124"/>
      <c r="D57" s="142"/>
      <c r="E57" s="30"/>
      <c r="F57" s="21"/>
      <c r="G57" s="21"/>
      <c r="H57" s="29"/>
      <c r="I57" s="175"/>
      <c r="J57" s="30"/>
    </row>
    <row r="58" spans="1:10" x14ac:dyDescent="0.25">
      <c r="A58" s="220"/>
      <c r="B58" s="42"/>
      <c r="C58" s="124"/>
      <c r="D58" s="142"/>
      <c r="E58" s="30"/>
      <c r="F58" s="21"/>
      <c r="G58" s="21"/>
      <c r="H58" s="29"/>
      <c r="I58" s="175"/>
      <c r="J58" s="30"/>
    </row>
    <row r="59" spans="1:10" x14ac:dyDescent="0.25">
      <c r="A59" s="220"/>
      <c r="B59" s="42"/>
      <c r="C59" s="124"/>
      <c r="D59" s="142"/>
      <c r="E59" s="30"/>
      <c r="F59" s="21"/>
      <c r="G59" s="21"/>
      <c r="H59" s="29"/>
      <c r="I59" s="175"/>
      <c r="J59" s="30"/>
    </row>
    <row r="60" spans="1:10" x14ac:dyDescent="0.25">
      <c r="A60" s="220"/>
      <c r="B60" s="42"/>
      <c r="C60" s="124"/>
      <c r="D60" s="142"/>
      <c r="E60" s="30"/>
      <c r="F60" s="21"/>
      <c r="G60" s="21"/>
      <c r="H60" s="29"/>
      <c r="I60" s="175"/>
      <c r="J60" s="30"/>
    </row>
    <row r="61" spans="1:10" x14ac:dyDescent="0.25">
      <c r="A61" s="220"/>
      <c r="B61" s="42"/>
      <c r="C61" s="124"/>
      <c r="D61" s="142"/>
      <c r="E61" s="30"/>
      <c r="F61" s="21"/>
      <c r="G61" s="21"/>
      <c r="H61" s="29"/>
      <c r="I61" s="175"/>
      <c r="J61" s="30"/>
    </row>
    <row r="62" spans="1:10" x14ac:dyDescent="0.25">
      <c r="A62" s="220"/>
      <c r="B62" s="42"/>
      <c r="C62" s="124"/>
      <c r="D62" s="142"/>
      <c r="E62" s="30"/>
      <c r="F62" s="21"/>
      <c r="G62" s="21"/>
      <c r="H62" s="29"/>
      <c r="I62" s="175"/>
      <c r="J62" s="30"/>
    </row>
    <row r="63" spans="1:10" x14ac:dyDescent="0.25">
      <c r="A63" s="220"/>
      <c r="B63" s="42"/>
      <c r="C63" s="124"/>
      <c r="D63" s="142"/>
      <c r="E63" s="30"/>
      <c r="F63" s="21"/>
      <c r="G63" s="21"/>
      <c r="H63" s="29"/>
      <c r="I63" s="175"/>
      <c r="J63" s="30"/>
    </row>
    <row r="64" spans="1:10" x14ac:dyDescent="0.25">
      <c r="A64" s="220"/>
      <c r="B64" s="42"/>
      <c r="C64" s="124"/>
      <c r="D64" s="142"/>
      <c r="E64" s="30"/>
      <c r="F64" s="21"/>
      <c r="G64" s="21"/>
      <c r="H64" s="29"/>
      <c r="I64" s="175"/>
      <c r="J64" s="30"/>
    </row>
    <row r="65" spans="1:10" x14ac:dyDescent="0.25">
      <c r="A65" s="220"/>
      <c r="B65" s="42"/>
      <c r="C65" s="124"/>
      <c r="D65" s="142"/>
      <c r="E65" s="30"/>
      <c r="F65" s="21"/>
      <c r="G65" s="21"/>
      <c r="H65" s="29"/>
      <c r="I65" s="175"/>
      <c r="J65" s="30"/>
    </row>
    <row r="66" spans="1:10" x14ac:dyDescent="0.25">
      <c r="A66" s="220"/>
      <c r="B66" s="42"/>
      <c r="C66" s="124"/>
      <c r="D66" s="142"/>
      <c r="E66" s="30"/>
      <c r="F66" s="21"/>
      <c r="G66" s="21"/>
      <c r="H66" s="29"/>
      <c r="I66" s="175"/>
      <c r="J66" s="30"/>
    </row>
    <row r="67" spans="1:10" x14ac:dyDescent="0.25">
      <c r="A67" s="220"/>
      <c r="B67" s="42"/>
      <c r="C67" s="124"/>
      <c r="D67" s="142"/>
      <c r="E67" s="30"/>
      <c r="F67" s="21"/>
      <c r="G67" s="21"/>
      <c r="H67" s="29"/>
      <c r="I67" s="175"/>
      <c r="J67" s="30"/>
    </row>
    <row r="68" spans="1:10" x14ac:dyDescent="0.25">
      <c r="A68" s="220"/>
      <c r="B68" s="42"/>
      <c r="C68" s="124"/>
      <c r="D68" s="142"/>
      <c r="E68" s="30"/>
      <c r="F68" s="21"/>
      <c r="G68" s="21"/>
      <c r="H68" s="29"/>
      <c r="I68" s="175"/>
      <c r="J68" s="30"/>
    </row>
    <row r="69" spans="1:10" x14ac:dyDescent="0.25">
      <c r="A69" s="220"/>
      <c r="B69" s="42"/>
      <c r="C69" s="124"/>
      <c r="D69" s="142"/>
      <c r="E69" s="30"/>
      <c r="F69" s="21"/>
      <c r="G69" s="21"/>
      <c r="H69" s="29"/>
      <c r="I69" s="175"/>
      <c r="J69" s="30"/>
    </row>
    <row r="70" spans="1:10" x14ac:dyDescent="0.25">
      <c r="A70" s="220"/>
      <c r="B70" s="42"/>
      <c r="C70" s="124"/>
      <c r="D70" s="142"/>
      <c r="E70" s="30"/>
      <c r="F70" s="21"/>
      <c r="G70" s="21"/>
      <c r="H70" s="29"/>
      <c r="I70" s="175"/>
      <c r="J70" s="30"/>
    </row>
    <row r="71" spans="1:10" x14ac:dyDescent="0.25">
      <c r="A71" s="220"/>
      <c r="B71" s="42"/>
      <c r="C71" s="124"/>
      <c r="D71" s="142"/>
      <c r="E71" s="30"/>
      <c r="F71" s="21"/>
      <c r="G71" s="21"/>
      <c r="H71" s="29"/>
      <c r="I71" s="175"/>
      <c r="J71" s="30"/>
    </row>
    <row r="72" spans="1:10" x14ac:dyDescent="0.25">
      <c r="A72" s="220"/>
      <c r="B72" s="42"/>
      <c r="C72" s="124"/>
      <c r="D72" s="142"/>
      <c r="E72" s="30"/>
      <c r="F72" s="21"/>
      <c r="G72" s="21"/>
      <c r="H72" s="29"/>
      <c r="I72" s="175"/>
      <c r="J72" s="30"/>
    </row>
    <row r="73" spans="1:10" x14ac:dyDescent="0.25">
      <c r="A73" s="220"/>
      <c r="B73" s="42"/>
      <c r="C73" s="124"/>
      <c r="D73" s="142"/>
      <c r="E73" s="30"/>
      <c r="F73" s="21"/>
      <c r="G73" s="21"/>
      <c r="H73" s="29"/>
      <c r="I73" s="175"/>
      <c r="J73" s="30"/>
    </row>
    <row r="74" spans="1:10" x14ac:dyDescent="0.25">
      <c r="A74" s="220"/>
      <c r="B74" s="42"/>
      <c r="C74" s="124"/>
      <c r="D74" s="142"/>
      <c r="E74" s="30"/>
      <c r="F74" s="21"/>
      <c r="G74" s="21"/>
      <c r="H74" s="29"/>
      <c r="I74" s="175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2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2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43081.03324074074</v>
      </c>
      <c r="B2" s="20" t="s">
        <v>358</v>
      </c>
      <c r="C2" s="20" t="s">
        <v>597</v>
      </c>
      <c r="D2" s="127">
        <v>3220000</v>
      </c>
      <c r="E2" s="20" t="s">
        <v>370</v>
      </c>
      <c r="F2" s="20" t="s">
        <v>371</v>
      </c>
      <c r="G2" s="8" t="str">
        <f>E2&amp;" "&amp;F2</f>
        <v>RESPASS AARON</v>
      </c>
      <c r="H2" t="str">
        <f>MID(B2,13,4)</f>
        <v>4007</v>
      </c>
    </row>
    <row r="3" spans="1:8" x14ac:dyDescent="0.25">
      <c r="A3" s="8">
        <v>43081.050833333335</v>
      </c>
      <c r="B3" s="20" t="s">
        <v>505</v>
      </c>
      <c r="C3" s="20" t="s">
        <v>612</v>
      </c>
      <c r="D3" s="127">
        <v>3040000</v>
      </c>
      <c r="E3" s="20" t="s">
        <v>365</v>
      </c>
      <c r="F3" s="20" t="s">
        <v>418</v>
      </c>
      <c r="G3" s="8" t="str">
        <f t="shared" ref="G3:G66" si="0">E3&amp;" "&amp;F3</f>
        <v>WILLIAMS DONTE</v>
      </c>
      <c r="H3" s="20" t="str">
        <f t="shared" ref="H3:H66" si="1">MID(B3,13,4)</f>
        <v>4041</v>
      </c>
    </row>
    <row r="4" spans="1:8" x14ac:dyDescent="0.25">
      <c r="A4" s="8">
        <v>43081.053182870368</v>
      </c>
      <c r="B4" s="20" t="s">
        <v>496</v>
      </c>
      <c r="C4" s="20" t="s">
        <v>613</v>
      </c>
      <c r="D4" s="127">
        <v>890000</v>
      </c>
      <c r="E4" s="20" t="s">
        <v>344</v>
      </c>
      <c r="F4" s="20" t="s">
        <v>345</v>
      </c>
      <c r="G4" s="8" t="str">
        <f t="shared" si="0"/>
        <v>LOZA FIDEL</v>
      </c>
      <c r="H4" s="20" t="str">
        <f t="shared" si="1"/>
        <v>4060</v>
      </c>
    </row>
    <row r="5" spans="1:8" x14ac:dyDescent="0.25">
      <c r="A5" s="8">
        <v>43081.068171296298</v>
      </c>
      <c r="B5" s="20" t="s">
        <v>356</v>
      </c>
      <c r="C5" s="20" t="s">
        <v>614</v>
      </c>
      <c r="D5" s="127">
        <v>3220000</v>
      </c>
      <c r="E5" s="20" t="s">
        <v>370</v>
      </c>
      <c r="F5" s="20" t="s">
        <v>371</v>
      </c>
      <c r="G5" s="8" t="str">
        <f t="shared" si="0"/>
        <v>RESPASS AARON</v>
      </c>
      <c r="H5" s="20" t="str">
        <f t="shared" si="1"/>
        <v>4008</v>
      </c>
    </row>
    <row r="6" spans="1:8" x14ac:dyDescent="0.25">
      <c r="A6" s="8">
        <v>43081.089803240742</v>
      </c>
      <c r="B6" s="20" t="s">
        <v>602</v>
      </c>
      <c r="C6" s="20" t="s">
        <v>615</v>
      </c>
      <c r="D6" s="127">
        <v>3040000</v>
      </c>
      <c r="E6" s="20" t="s">
        <v>365</v>
      </c>
      <c r="F6" s="20" t="s">
        <v>418</v>
      </c>
      <c r="G6" s="8" t="str">
        <f t="shared" si="0"/>
        <v>WILLIAMS DONTE</v>
      </c>
      <c r="H6" s="20" t="str">
        <f t="shared" si="1"/>
        <v>4042</v>
      </c>
    </row>
    <row r="7" spans="1:8" x14ac:dyDescent="0.25">
      <c r="A7" s="8">
        <v>43081.115497685183</v>
      </c>
      <c r="B7" s="20" t="s">
        <v>566</v>
      </c>
      <c r="C7" s="20" t="s">
        <v>691</v>
      </c>
      <c r="D7" s="127">
        <v>1830000</v>
      </c>
      <c r="E7" s="20" t="s">
        <v>346</v>
      </c>
      <c r="F7" s="20" t="s">
        <v>347</v>
      </c>
      <c r="G7" s="8" t="str">
        <f t="shared" si="0"/>
        <v>YORK EDGAR</v>
      </c>
      <c r="H7" s="20" t="str">
        <f t="shared" si="1"/>
        <v>4027</v>
      </c>
    </row>
    <row r="8" spans="1:8" x14ac:dyDescent="0.25">
      <c r="A8" s="8">
        <v>43081.12427083333</v>
      </c>
      <c r="B8" s="20" t="s">
        <v>567</v>
      </c>
      <c r="C8" s="20" t="s">
        <v>692</v>
      </c>
      <c r="D8" s="127">
        <v>1090000</v>
      </c>
      <c r="E8" s="20" t="s">
        <v>475</v>
      </c>
      <c r="F8" s="20" t="s">
        <v>352</v>
      </c>
      <c r="G8" s="8" t="str">
        <f t="shared" si="0"/>
        <v>SPECTOR MICHAEL</v>
      </c>
      <c r="H8" s="20" t="str">
        <f t="shared" si="1"/>
        <v>4028</v>
      </c>
    </row>
    <row r="9" spans="1:8" ht="15.75" thickBot="1" x14ac:dyDescent="0.3">
      <c r="A9" s="24">
        <v>43081.124965277777</v>
      </c>
      <c r="B9" s="20" t="s">
        <v>452</v>
      </c>
      <c r="C9" s="20" t="s">
        <v>693</v>
      </c>
      <c r="D9" s="127">
        <v>1830000</v>
      </c>
      <c r="E9" s="20" t="s">
        <v>346</v>
      </c>
      <c r="F9" s="20" t="s">
        <v>347</v>
      </c>
      <c r="G9" s="8" t="str">
        <f t="shared" si="0"/>
        <v>YORK EDGAR</v>
      </c>
      <c r="H9" s="20" t="str">
        <f t="shared" si="1"/>
        <v>4006</v>
      </c>
    </row>
    <row r="10" spans="1:8" x14ac:dyDescent="0.25">
      <c r="A10" s="8">
        <v>43081.139270833337</v>
      </c>
      <c r="B10" s="20" t="s">
        <v>566</v>
      </c>
      <c r="C10" s="20" t="s">
        <v>694</v>
      </c>
      <c r="D10" s="127">
        <v>1090000</v>
      </c>
      <c r="E10" s="20" t="s">
        <v>475</v>
      </c>
      <c r="F10" s="20" t="s">
        <v>352</v>
      </c>
      <c r="G10" s="8" t="str">
        <f t="shared" si="0"/>
        <v>SPECTOR MICHAEL</v>
      </c>
      <c r="H10" s="20" t="str">
        <f t="shared" si="1"/>
        <v>4027</v>
      </c>
    </row>
    <row r="11" spans="1:8" x14ac:dyDescent="0.25">
      <c r="A11" s="8">
        <v>43081.140706018516</v>
      </c>
      <c r="B11" s="20" t="s">
        <v>367</v>
      </c>
      <c r="C11" s="20" t="s">
        <v>695</v>
      </c>
      <c r="D11" s="127">
        <v>1110000</v>
      </c>
      <c r="E11" s="20" t="s">
        <v>600</v>
      </c>
      <c r="F11" s="20" t="s">
        <v>601</v>
      </c>
      <c r="G11" s="8" t="str">
        <f t="shared" si="0"/>
        <v>STARKS ANGELINA</v>
      </c>
      <c r="H11" s="20" t="str">
        <f t="shared" si="1"/>
        <v>4011</v>
      </c>
    </row>
    <row r="12" spans="1:8" x14ac:dyDescent="0.25">
      <c r="A12" s="8">
        <v>43081.153634259259</v>
      </c>
      <c r="B12" s="20" t="s">
        <v>366</v>
      </c>
      <c r="C12" s="20" t="s">
        <v>667</v>
      </c>
      <c r="D12" s="127">
        <v>1110000</v>
      </c>
      <c r="E12" s="20" t="s">
        <v>600</v>
      </c>
      <c r="F12" s="20" t="s">
        <v>601</v>
      </c>
      <c r="G12" s="8" t="str">
        <f t="shared" si="0"/>
        <v>STARKS ANGELINA</v>
      </c>
      <c r="H12" s="20" t="str">
        <f t="shared" si="1"/>
        <v>4012</v>
      </c>
    </row>
    <row r="13" spans="1:8" x14ac:dyDescent="0.25">
      <c r="A13" s="8">
        <v>43081.160613425927</v>
      </c>
      <c r="B13" s="20" t="s">
        <v>686</v>
      </c>
      <c r="C13" s="20" t="s">
        <v>696</v>
      </c>
      <c r="D13" s="127">
        <v>1830000</v>
      </c>
      <c r="E13" s="20" t="s">
        <v>346</v>
      </c>
      <c r="F13" s="20" t="s">
        <v>347</v>
      </c>
      <c r="G13" s="8" t="str">
        <f t="shared" si="0"/>
        <v>YORK EDGAR</v>
      </c>
      <c r="H13" s="20" t="str">
        <f t="shared" si="1"/>
        <v>4005</v>
      </c>
    </row>
    <row r="14" spans="1:8" x14ac:dyDescent="0.25">
      <c r="A14" s="8">
        <v>43081.160879629628</v>
      </c>
      <c r="B14" s="20" t="s">
        <v>376</v>
      </c>
      <c r="C14" s="20" t="s">
        <v>697</v>
      </c>
      <c r="D14" s="127">
        <v>3120000</v>
      </c>
      <c r="E14" s="20" t="s">
        <v>598</v>
      </c>
      <c r="F14" s="20" t="s">
        <v>599</v>
      </c>
      <c r="G14" s="8" t="str">
        <f t="shared" si="0"/>
        <v>THOMPSON LESTER</v>
      </c>
      <c r="H14" s="20" t="str">
        <f t="shared" si="1"/>
        <v>4029</v>
      </c>
    </row>
    <row r="15" spans="1:8" x14ac:dyDescent="0.25">
      <c r="A15" s="8">
        <v>43081.170925925922</v>
      </c>
      <c r="B15" s="20" t="s">
        <v>494</v>
      </c>
      <c r="C15" s="20" t="s">
        <v>666</v>
      </c>
      <c r="D15" s="127">
        <v>1340000</v>
      </c>
      <c r="E15" s="20" t="s">
        <v>698</v>
      </c>
      <c r="F15" s="20" t="s">
        <v>699</v>
      </c>
      <c r="G15" s="8" t="str">
        <f t="shared" si="0"/>
        <v>BEAM ROSS</v>
      </c>
      <c r="H15" s="20" t="str">
        <f t="shared" si="1"/>
        <v>4015</v>
      </c>
    </row>
    <row r="16" spans="1:8" x14ac:dyDescent="0.25">
      <c r="A16" s="8">
        <v>43081.176620370374</v>
      </c>
      <c r="B16" s="20" t="s">
        <v>379</v>
      </c>
      <c r="C16" s="20" t="s">
        <v>700</v>
      </c>
      <c r="D16" s="127">
        <v>3120000</v>
      </c>
      <c r="E16" s="20" t="s">
        <v>598</v>
      </c>
      <c r="F16" s="20" t="s">
        <v>599</v>
      </c>
      <c r="G16" s="8" t="str">
        <f t="shared" si="0"/>
        <v>THOMPSON LESTER</v>
      </c>
      <c r="H16" s="20" t="str">
        <f t="shared" si="1"/>
        <v>4030</v>
      </c>
    </row>
    <row r="17" spans="1:8" x14ac:dyDescent="0.25">
      <c r="A17" s="8">
        <v>43081.182858796295</v>
      </c>
      <c r="B17" s="20" t="s">
        <v>478</v>
      </c>
      <c r="C17" s="20" t="s">
        <v>701</v>
      </c>
      <c r="D17" s="127">
        <v>3090000</v>
      </c>
      <c r="E17" s="20" t="s">
        <v>605</v>
      </c>
      <c r="F17" s="20" t="s">
        <v>606</v>
      </c>
      <c r="G17" s="8" t="str">
        <f t="shared" si="0"/>
        <v>LAMAR NEKESHA</v>
      </c>
      <c r="H17" s="20" t="str">
        <f t="shared" si="1"/>
        <v>4057</v>
      </c>
    </row>
    <row r="18" spans="1:8" x14ac:dyDescent="0.25">
      <c r="A18" s="8">
        <v>43081.185416666667</v>
      </c>
      <c r="B18" s="20" t="s">
        <v>495</v>
      </c>
      <c r="C18" s="20" t="s">
        <v>702</v>
      </c>
      <c r="D18" s="127">
        <v>1340000</v>
      </c>
      <c r="E18" s="20" t="s">
        <v>698</v>
      </c>
      <c r="F18" s="20" t="s">
        <v>699</v>
      </c>
      <c r="G18" s="8" t="str">
        <f t="shared" si="0"/>
        <v>BEAM ROSS</v>
      </c>
      <c r="H18" s="20" t="str">
        <f t="shared" si="1"/>
        <v>4016</v>
      </c>
    </row>
    <row r="19" spans="1:8" x14ac:dyDescent="0.25">
      <c r="A19" s="8">
        <v>43081.193495370368</v>
      </c>
      <c r="B19" s="20" t="s">
        <v>367</v>
      </c>
      <c r="C19" s="20" t="s">
        <v>703</v>
      </c>
      <c r="D19" s="127">
        <v>1110000</v>
      </c>
      <c r="E19" s="20" t="s">
        <v>600</v>
      </c>
      <c r="F19" s="20" t="s">
        <v>601</v>
      </c>
      <c r="G19" s="8" t="str">
        <f t="shared" si="0"/>
        <v>STARKS ANGELINA</v>
      </c>
      <c r="H19" s="20" t="str">
        <f t="shared" si="1"/>
        <v>4011</v>
      </c>
    </row>
    <row r="20" spans="1:8" x14ac:dyDescent="0.25">
      <c r="A20" s="8">
        <v>43081.197372685187</v>
      </c>
      <c r="B20" s="20" t="s">
        <v>423</v>
      </c>
      <c r="C20" s="20" t="s">
        <v>704</v>
      </c>
      <c r="D20" s="127">
        <v>1230000</v>
      </c>
      <c r="E20" s="20" t="s">
        <v>480</v>
      </c>
      <c r="F20" s="20" t="s">
        <v>481</v>
      </c>
      <c r="G20" s="8" t="str">
        <f t="shared" si="0"/>
        <v>YANAI IAN</v>
      </c>
      <c r="H20" s="20" t="str">
        <f t="shared" si="1"/>
        <v>4021</v>
      </c>
    </row>
    <row r="21" spans="1:8" x14ac:dyDescent="0.25">
      <c r="A21" s="8">
        <v>43081.198414351849</v>
      </c>
      <c r="B21" s="20" t="s">
        <v>444</v>
      </c>
      <c r="C21" s="20" t="s">
        <v>705</v>
      </c>
      <c r="D21" s="127">
        <v>3090000</v>
      </c>
      <c r="E21" s="20" t="s">
        <v>605</v>
      </c>
      <c r="F21" s="20" t="s">
        <v>606</v>
      </c>
      <c r="G21" s="8" t="str">
        <f t="shared" si="0"/>
        <v>LAMAR NEKESHA</v>
      </c>
      <c r="H21" s="20" t="str">
        <f t="shared" si="1"/>
        <v>4058</v>
      </c>
    </row>
    <row r="22" spans="1:8" x14ac:dyDescent="0.25">
      <c r="A22" s="26">
        <v>43081.199537037035</v>
      </c>
      <c r="B22" s="20" t="s">
        <v>413</v>
      </c>
      <c r="C22" s="20" t="s">
        <v>706</v>
      </c>
      <c r="D22" s="127">
        <v>2600000</v>
      </c>
      <c r="E22" s="20" t="s">
        <v>479</v>
      </c>
      <c r="F22" s="20" t="s">
        <v>411</v>
      </c>
      <c r="G22" s="8" t="str">
        <f t="shared" si="0"/>
        <v>DAVIDSON DAVID</v>
      </c>
      <c r="H22" s="20" t="str">
        <f t="shared" si="1"/>
        <v>4056</v>
      </c>
    </row>
    <row r="23" spans="1:8" x14ac:dyDescent="0.25">
      <c r="A23" s="8">
        <v>43081.201655092591</v>
      </c>
      <c r="B23" s="20" t="s">
        <v>452</v>
      </c>
      <c r="C23" s="20" t="s">
        <v>707</v>
      </c>
      <c r="D23" s="127">
        <v>1830000</v>
      </c>
      <c r="E23" s="20" t="s">
        <v>346</v>
      </c>
      <c r="F23" s="20" t="s">
        <v>347</v>
      </c>
      <c r="G23" s="8" t="str">
        <f t="shared" si="0"/>
        <v>YORK EDGAR</v>
      </c>
      <c r="H23" s="20" t="str">
        <f t="shared" si="1"/>
        <v>4006</v>
      </c>
    </row>
    <row r="24" spans="1:8" x14ac:dyDescent="0.25">
      <c r="A24" s="8">
        <v>43081.205868055556</v>
      </c>
      <c r="B24" s="20" t="s">
        <v>374</v>
      </c>
      <c r="C24" s="20" t="s">
        <v>708</v>
      </c>
      <c r="D24" s="127">
        <v>1230000</v>
      </c>
      <c r="E24" s="20" t="s">
        <v>480</v>
      </c>
      <c r="F24" s="20" t="s">
        <v>481</v>
      </c>
      <c r="G24" s="8" t="str">
        <f t="shared" si="0"/>
        <v>YANAI IAN</v>
      </c>
      <c r="H24" s="20" t="str">
        <f t="shared" si="1"/>
        <v>4022</v>
      </c>
    </row>
    <row r="25" spans="1:8" x14ac:dyDescent="0.25">
      <c r="A25" s="8">
        <v>43081.212094907409</v>
      </c>
      <c r="B25" s="20" t="s">
        <v>351</v>
      </c>
      <c r="C25" s="20" t="s">
        <v>709</v>
      </c>
      <c r="D25" s="127">
        <v>2600000</v>
      </c>
      <c r="E25" s="20" t="s">
        <v>479</v>
      </c>
      <c r="F25" s="20" t="s">
        <v>411</v>
      </c>
      <c r="G25" s="8" t="str">
        <f t="shared" si="0"/>
        <v>DAVIDSON DAVID</v>
      </c>
      <c r="H25" s="20" t="str">
        <f t="shared" si="1"/>
        <v>4055</v>
      </c>
    </row>
    <row r="26" spans="1:8" x14ac:dyDescent="0.25">
      <c r="A26" s="8">
        <v>43081.213877314818</v>
      </c>
      <c r="B26" s="20" t="s">
        <v>494</v>
      </c>
      <c r="C26" s="20" t="s">
        <v>710</v>
      </c>
      <c r="D26" s="127">
        <v>1340000</v>
      </c>
      <c r="E26" s="20" t="s">
        <v>698</v>
      </c>
      <c r="F26" s="20" t="s">
        <v>699</v>
      </c>
      <c r="G26" s="8" t="str">
        <f t="shared" si="0"/>
        <v>BEAM ROSS</v>
      </c>
      <c r="H26" s="20" t="str">
        <f t="shared" si="1"/>
        <v>4015</v>
      </c>
    </row>
    <row r="27" spans="1:8" x14ac:dyDescent="0.25">
      <c r="A27" s="8">
        <v>43081.214953703704</v>
      </c>
      <c r="B27" s="20" t="s">
        <v>376</v>
      </c>
      <c r="C27" s="20" t="s">
        <v>711</v>
      </c>
      <c r="D27" s="127">
        <v>3120000</v>
      </c>
      <c r="E27" s="20" t="s">
        <v>598</v>
      </c>
      <c r="F27" s="20" t="s">
        <v>599</v>
      </c>
      <c r="G27" s="8" t="str">
        <f t="shared" si="0"/>
        <v>THOMPSON LESTER</v>
      </c>
      <c r="H27" s="20" t="str">
        <f t="shared" si="1"/>
        <v>4029</v>
      </c>
    </row>
    <row r="28" spans="1:8" x14ac:dyDescent="0.25">
      <c r="A28" s="8">
        <v>43081.220462962963</v>
      </c>
      <c r="B28" s="20" t="s">
        <v>460</v>
      </c>
      <c r="C28" s="20" t="s">
        <v>712</v>
      </c>
      <c r="D28" s="127">
        <v>2560000</v>
      </c>
      <c r="E28" s="20" t="s">
        <v>603</v>
      </c>
      <c r="F28" s="20" t="s">
        <v>604</v>
      </c>
      <c r="G28" s="8" t="str">
        <f t="shared" si="0"/>
        <v>MACDONALD THOMAS</v>
      </c>
      <c r="H28" s="20" t="str">
        <f t="shared" si="1"/>
        <v>4009</v>
      </c>
    </row>
    <row r="29" spans="1:8" x14ac:dyDescent="0.25">
      <c r="A29" s="8">
        <v>43081.227210648147</v>
      </c>
      <c r="B29" s="20" t="s">
        <v>366</v>
      </c>
      <c r="C29" s="20" t="s">
        <v>670</v>
      </c>
      <c r="D29" s="127">
        <v>1110000</v>
      </c>
      <c r="E29" s="20" t="s">
        <v>600</v>
      </c>
      <c r="F29" s="20" t="s">
        <v>601</v>
      </c>
      <c r="G29" s="8" t="str">
        <f t="shared" si="0"/>
        <v>STARKS ANGELINA</v>
      </c>
      <c r="H29" s="20" t="str">
        <f t="shared" si="1"/>
        <v>4012</v>
      </c>
    </row>
    <row r="30" spans="1:8" x14ac:dyDescent="0.25">
      <c r="A30" s="8">
        <v>43081.230613425927</v>
      </c>
      <c r="B30" s="20" t="s">
        <v>413</v>
      </c>
      <c r="C30" s="20" t="s">
        <v>713</v>
      </c>
      <c r="D30" s="127">
        <v>2600000</v>
      </c>
      <c r="E30" s="20" t="s">
        <v>479</v>
      </c>
      <c r="F30" s="20" t="s">
        <v>411</v>
      </c>
      <c r="G30" s="8" t="str">
        <f t="shared" si="0"/>
        <v>DAVIDSON DAVID</v>
      </c>
      <c r="H30" s="20" t="str">
        <f t="shared" si="1"/>
        <v>4056</v>
      </c>
    </row>
    <row r="31" spans="1:8" x14ac:dyDescent="0.25">
      <c r="A31" s="8">
        <v>43081.23196759259</v>
      </c>
      <c r="B31" s="20" t="s">
        <v>461</v>
      </c>
      <c r="C31" s="20" t="s">
        <v>714</v>
      </c>
      <c r="D31" s="127">
        <v>0</v>
      </c>
      <c r="E31" s="20" t="s">
        <v>715</v>
      </c>
      <c r="F31" s="20" t="s">
        <v>716</v>
      </c>
      <c r="G31" s="8" t="str">
        <f t="shared" si="0"/>
        <v>MAINTENANCE VEHICLE</v>
      </c>
      <c r="H31" s="20" t="str">
        <f t="shared" si="1"/>
        <v>4010</v>
      </c>
    </row>
    <row r="32" spans="1:8" x14ac:dyDescent="0.25">
      <c r="A32" s="8">
        <v>43081.234872685185</v>
      </c>
      <c r="B32" s="20" t="s">
        <v>686</v>
      </c>
      <c r="C32" s="20" t="s">
        <v>717</v>
      </c>
      <c r="D32" s="127">
        <v>1830000</v>
      </c>
      <c r="E32" s="20" t="s">
        <v>346</v>
      </c>
      <c r="F32" s="20" t="s">
        <v>347</v>
      </c>
      <c r="G32" s="8" t="str">
        <f t="shared" si="0"/>
        <v>YORK EDGAR</v>
      </c>
      <c r="H32" s="20" t="str">
        <f t="shared" si="1"/>
        <v>4005</v>
      </c>
    </row>
    <row r="33" spans="1:8" x14ac:dyDescent="0.25">
      <c r="A33" s="8">
        <v>43081.235081018516</v>
      </c>
      <c r="B33" s="20" t="s">
        <v>450</v>
      </c>
      <c r="C33" s="20" t="s">
        <v>718</v>
      </c>
      <c r="D33" s="127">
        <v>3000000</v>
      </c>
      <c r="E33" s="20" t="s">
        <v>719</v>
      </c>
      <c r="F33" s="20" t="s">
        <v>720</v>
      </c>
      <c r="G33" s="8" t="str">
        <f t="shared" si="0"/>
        <v>FORTUNATO FRANK</v>
      </c>
      <c r="H33" s="20" t="str">
        <f t="shared" si="1"/>
        <v>4031</v>
      </c>
    </row>
    <row r="34" spans="1:8" x14ac:dyDescent="0.25">
      <c r="A34" s="8">
        <v>43081.235092592593</v>
      </c>
      <c r="B34" s="20" t="s">
        <v>478</v>
      </c>
      <c r="C34" s="20" t="s">
        <v>721</v>
      </c>
      <c r="D34" s="127">
        <v>3090000</v>
      </c>
      <c r="E34" s="20" t="s">
        <v>605</v>
      </c>
      <c r="F34" s="20" t="s">
        <v>606</v>
      </c>
      <c r="G34" s="8" t="str">
        <f t="shared" si="0"/>
        <v>LAMAR NEKESHA</v>
      </c>
      <c r="H34" s="20" t="str">
        <f t="shared" si="1"/>
        <v>4057</v>
      </c>
    </row>
    <row r="35" spans="1:8" x14ac:dyDescent="0.25">
      <c r="A35" s="8">
        <v>43081.245324074072</v>
      </c>
      <c r="B35" s="20" t="s">
        <v>423</v>
      </c>
      <c r="C35" s="20" t="s">
        <v>722</v>
      </c>
      <c r="D35" s="127">
        <v>1230000</v>
      </c>
      <c r="E35" s="20" t="s">
        <v>480</v>
      </c>
      <c r="F35" s="20" t="s">
        <v>481</v>
      </c>
      <c r="G35" s="8" t="str">
        <f t="shared" si="0"/>
        <v>YANAI IAN</v>
      </c>
      <c r="H35" s="20" t="str">
        <f t="shared" si="1"/>
        <v>4021</v>
      </c>
    </row>
    <row r="36" spans="1:8" x14ac:dyDescent="0.25">
      <c r="A36" s="8">
        <v>43081.246840277781</v>
      </c>
      <c r="B36" s="20" t="s">
        <v>451</v>
      </c>
      <c r="C36" s="20" t="s">
        <v>723</v>
      </c>
      <c r="D36" s="127">
        <v>3000000</v>
      </c>
      <c r="E36" s="20" t="s">
        <v>719</v>
      </c>
      <c r="F36" s="20" t="s">
        <v>720</v>
      </c>
      <c r="G36" s="8" t="str">
        <f t="shared" si="0"/>
        <v>FORTUNATO FRANK</v>
      </c>
      <c r="H36" s="20" t="str">
        <f t="shared" si="1"/>
        <v>4032</v>
      </c>
    </row>
    <row r="37" spans="1:8" x14ac:dyDescent="0.25">
      <c r="A37" s="8">
        <v>43081.247858796298</v>
      </c>
      <c r="B37" s="20" t="s">
        <v>351</v>
      </c>
      <c r="C37" s="20" t="s">
        <v>724</v>
      </c>
      <c r="D37" s="127">
        <v>2600000</v>
      </c>
      <c r="E37" s="20" t="s">
        <v>479</v>
      </c>
      <c r="F37" s="20" t="s">
        <v>411</v>
      </c>
      <c r="G37" s="8" t="str">
        <f t="shared" si="0"/>
        <v>DAVIDSON DAVID</v>
      </c>
      <c r="H37" s="20" t="str">
        <f t="shared" si="1"/>
        <v>4055</v>
      </c>
    </row>
    <row r="38" spans="1:8" x14ac:dyDescent="0.25">
      <c r="A38" s="8">
        <v>43081.248483796298</v>
      </c>
      <c r="B38" s="20" t="s">
        <v>379</v>
      </c>
      <c r="C38" s="20" t="s">
        <v>725</v>
      </c>
      <c r="D38" s="127">
        <v>3120000</v>
      </c>
      <c r="E38" s="20" t="s">
        <v>598</v>
      </c>
      <c r="F38" s="20" t="s">
        <v>599</v>
      </c>
      <c r="G38" s="8" t="str">
        <f t="shared" si="0"/>
        <v>THOMPSON LESTER</v>
      </c>
      <c r="H38" s="20" t="str">
        <f t="shared" si="1"/>
        <v>4030</v>
      </c>
    </row>
    <row r="39" spans="1:8" x14ac:dyDescent="0.25">
      <c r="A39" s="8">
        <v>43081.253912037035</v>
      </c>
      <c r="B39" s="20" t="s">
        <v>495</v>
      </c>
      <c r="C39" s="20" t="s">
        <v>726</v>
      </c>
      <c r="D39" s="127">
        <v>1340000</v>
      </c>
      <c r="E39" s="20" t="s">
        <v>698</v>
      </c>
      <c r="F39" s="20" t="s">
        <v>699</v>
      </c>
      <c r="G39" s="8" t="str">
        <f t="shared" si="0"/>
        <v>BEAM ROSS</v>
      </c>
      <c r="H39" s="20" t="str">
        <f t="shared" si="1"/>
        <v>4016</v>
      </c>
    </row>
    <row r="40" spans="1:8" x14ac:dyDescent="0.25">
      <c r="A40" s="8">
        <v>43081.267905092594</v>
      </c>
      <c r="B40" s="25" t="s">
        <v>367</v>
      </c>
      <c r="C40" s="20" t="s">
        <v>671</v>
      </c>
      <c r="D40" s="127">
        <v>1110000</v>
      </c>
      <c r="E40" s="20" t="s">
        <v>600</v>
      </c>
      <c r="F40" s="20" t="s">
        <v>601</v>
      </c>
      <c r="G40" s="8" t="str">
        <f t="shared" si="0"/>
        <v>STARKS ANGELINA</v>
      </c>
      <c r="H40" s="20" t="str">
        <f t="shared" si="1"/>
        <v>4011</v>
      </c>
    </row>
    <row r="41" spans="1:8" x14ac:dyDescent="0.25">
      <c r="A41" s="8">
        <v>43081.268310185187</v>
      </c>
      <c r="B41" s="20" t="s">
        <v>450</v>
      </c>
      <c r="C41" s="20" t="s">
        <v>727</v>
      </c>
      <c r="D41" s="127">
        <v>3000000</v>
      </c>
      <c r="E41" s="20" t="s">
        <v>719</v>
      </c>
      <c r="F41" s="20" t="s">
        <v>720</v>
      </c>
      <c r="G41" s="8" t="str">
        <f t="shared" si="0"/>
        <v>FORTUNATO FRANK</v>
      </c>
      <c r="H41" s="20" t="str">
        <f t="shared" si="1"/>
        <v>4031</v>
      </c>
    </row>
    <row r="42" spans="1:8" x14ac:dyDescent="0.25">
      <c r="A42" s="8">
        <v>43081.269571759258</v>
      </c>
      <c r="B42" s="20" t="s">
        <v>413</v>
      </c>
      <c r="C42" s="20" t="s">
        <v>728</v>
      </c>
      <c r="D42" s="127">
        <v>2600000</v>
      </c>
      <c r="E42" s="20" t="s">
        <v>479</v>
      </c>
      <c r="F42" s="20" t="s">
        <v>411</v>
      </c>
      <c r="G42" s="8" t="str">
        <f t="shared" si="0"/>
        <v>DAVIDSON DAVID</v>
      </c>
      <c r="H42" s="20" t="str">
        <f t="shared" si="1"/>
        <v>4056</v>
      </c>
    </row>
    <row r="43" spans="1:8" x14ac:dyDescent="0.25">
      <c r="A43" s="8">
        <v>43081.275347222225</v>
      </c>
      <c r="B43" s="20" t="s">
        <v>452</v>
      </c>
      <c r="C43" s="20" t="s">
        <v>729</v>
      </c>
      <c r="D43" s="127">
        <v>1830000</v>
      </c>
      <c r="E43" s="20" t="s">
        <v>346</v>
      </c>
      <c r="F43" s="20" t="s">
        <v>347</v>
      </c>
      <c r="G43" s="8" t="str">
        <f t="shared" si="0"/>
        <v>YORK EDGAR</v>
      </c>
      <c r="H43" s="20" t="str">
        <f t="shared" si="1"/>
        <v>4006</v>
      </c>
    </row>
    <row r="44" spans="1:8" x14ac:dyDescent="0.25">
      <c r="A44" s="8">
        <v>43081.27715277778</v>
      </c>
      <c r="B44" s="20" t="s">
        <v>460</v>
      </c>
      <c r="C44" s="20" t="s">
        <v>730</v>
      </c>
      <c r="D44" s="127">
        <v>2560000</v>
      </c>
      <c r="E44" s="20" t="s">
        <v>603</v>
      </c>
      <c r="F44" s="20" t="s">
        <v>604</v>
      </c>
      <c r="G44" s="8" t="str">
        <f t="shared" si="0"/>
        <v>MACDONALD THOMAS</v>
      </c>
      <c r="H44" s="20" t="str">
        <f t="shared" si="1"/>
        <v>4009</v>
      </c>
    </row>
    <row r="45" spans="1:8" x14ac:dyDescent="0.25">
      <c r="A45" s="8">
        <v>43081.287002314813</v>
      </c>
      <c r="B45" s="20" t="s">
        <v>494</v>
      </c>
      <c r="C45" s="20" t="s">
        <v>731</v>
      </c>
      <c r="D45" s="127">
        <v>1340000</v>
      </c>
      <c r="E45" s="20" t="s">
        <v>698</v>
      </c>
      <c r="F45" s="20" t="s">
        <v>699</v>
      </c>
      <c r="G45" s="8" t="str">
        <f t="shared" si="0"/>
        <v>BEAM ROSS</v>
      </c>
      <c r="H45" s="20" t="str">
        <f t="shared" si="1"/>
        <v>4015</v>
      </c>
    </row>
    <row r="46" spans="1:8" x14ac:dyDescent="0.25">
      <c r="A46" s="8">
        <v>43081.288553240738</v>
      </c>
      <c r="B46" s="20" t="s">
        <v>374</v>
      </c>
      <c r="C46" s="20" t="s">
        <v>732</v>
      </c>
      <c r="D46" s="127">
        <v>1230000</v>
      </c>
      <c r="E46" s="20" t="s">
        <v>480</v>
      </c>
      <c r="F46" s="20" t="s">
        <v>481</v>
      </c>
      <c r="G46" s="8" t="str">
        <f t="shared" si="0"/>
        <v>YANAI IAN</v>
      </c>
      <c r="H46" s="20" t="str">
        <f t="shared" si="1"/>
        <v>4022</v>
      </c>
    </row>
    <row r="47" spans="1:8" x14ac:dyDescent="0.25">
      <c r="A47" s="8">
        <v>43081.289155092592</v>
      </c>
      <c r="B47" s="20" t="s">
        <v>376</v>
      </c>
      <c r="C47" s="20" t="s">
        <v>672</v>
      </c>
      <c r="D47" s="127">
        <v>3120000</v>
      </c>
      <c r="E47" s="20" t="s">
        <v>598</v>
      </c>
      <c r="F47" s="20" t="s">
        <v>599</v>
      </c>
      <c r="G47" s="8" t="str">
        <f t="shared" si="0"/>
        <v>THOMPSON LESTER</v>
      </c>
      <c r="H47" s="20" t="str">
        <f t="shared" si="1"/>
        <v>4029</v>
      </c>
    </row>
    <row r="48" spans="1:8" x14ac:dyDescent="0.25">
      <c r="A48" s="8">
        <v>43081.289502314816</v>
      </c>
      <c r="B48" s="20" t="s">
        <v>351</v>
      </c>
      <c r="C48" s="20" t="s">
        <v>733</v>
      </c>
      <c r="D48" s="127">
        <v>2600000</v>
      </c>
      <c r="E48" s="20" t="s">
        <v>479</v>
      </c>
      <c r="F48" s="20" t="s">
        <v>411</v>
      </c>
      <c r="G48" s="8" t="str">
        <f t="shared" si="0"/>
        <v>DAVIDSON DAVID</v>
      </c>
      <c r="H48" s="20" t="str">
        <f t="shared" si="1"/>
        <v>4055</v>
      </c>
    </row>
    <row r="49" spans="1:8" x14ac:dyDescent="0.25">
      <c r="A49" s="8">
        <v>43081.290185185186</v>
      </c>
      <c r="B49" s="20" t="s">
        <v>451</v>
      </c>
      <c r="C49" s="20" t="s">
        <v>734</v>
      </c>
      <c r="D49" s="127">
        <v>3000000</v>
      </c>
      <c r="E49" s="20" t="s">
        <v>719</v>
      </c>
      <c r="F49" s="20" t="s">
        <v>720</v>
      </c>
      <c r="G49" s="8" t="str">
        <f t="shared" si="0"/>
        <v>FORTUNATO FRANK</v>
      </c>
      <c r="H49" s="20" t="str">
        <f t="shared" si="1"/>
        <v>4032</v>
      </c>
    </row>
    <row r="50" spans="1:8" x14ac:dyDescent="0.25">
      <c r="A50" s="8">
        <v>43081.301296296297</v>
      </c>
      <c r="B50" s="20" t="s">
        <v>366</v>
      </c>
      <c r="C50" s="20" t="s">
        <v>735</v>
      </c>
      <c r="D50" s="127">
        <v>1110000</v>
      </c>
      <c r="E50" s="20" t="s">
        <v>600</v>
      </c>
      <c r="F50" s="20" t="s">
        <v>601</v>
      </c>
      <c r="G50" s="8" t="str">
        <f t="shared" si="0"/>
        <v>STARKS ANGELINA</v>
      </c>
      <c r="H50" s="20" t="str">
        <f t="shared" si="1"/>
        <v>4012</v>
      </c>
    </row>
    <row r="51" spans="1:8" x14ac:dyDescent="0.25">
      <c r="A51" s="8">
        <v>43081.306909722225</v>
      </c>
      <c r="B51" s="20" t="s">
        <v>686</v>
      </c>
      <c r="C51" s="20" t="s">
        <v>736</v>
      </c>
      <c r="D51" s="127">
        <v>1830000</v>
      </c>
      <c r="E51" s="20" t="s">
        <v>346</v>
      </c>
      <c r="F51" s="20" t="s">
        <v>347</v>
      </c>
      <c r="G51" s="8" t="str">
        <f t="shared" si="0"/>
        <v>YORK EDGAR</v>
      </c>
      <c r="H51" s="20" t="str">
        <f t="shared" si="1"/>
        <v>4005</v>
      </c>
    </row>
    <row r="52" spans="1:8" x14ac:dyDescent="0.25">
      <c r="A52" s="8">
        <v>43081.308425925927</v>
      </c>
      <c r="B52" s="20" t="s">
        <v>478</v>
      </c>
      <c r="C52" s="20" t="s">
        <v>737</v>
      </c>
      <c r="D52" s="127">
        <v>3090000</v>
      </c>
      <c r="E52" s="20" t="s">
        <v>605</v>
      </c>
      <c r="F52" s="20" t="s">
        <v>606</v>
      </c>
      <c r="G52" s="8" t="str">
        <f t="shared" si="0"/>
        <v>LAMAR NEKESHA</v>
      </c>
      <c r="H52" s="20" t="str">
        <f t="shared" si="1"/>
        <v>4057</v>
      </c>
    </row>
    <row r="53" spans="1:8" x14ac:dyDescent="0.25">
      <c r="A53" s="8">
        <v>43081.310300925928</v>
      </c>
      <c r="B53" s="20" t="s">
        <v>450</v>
      </c>
      <c r="C53" s="20" t="s">
        <v>674</v>
      </c>
      <c r="D53" s="127">
        <v>3000000</v>
      </c>
      <c r="E53" s="20" t="s">
        <v>719</v>
      </c>
      <c r="F53" s="20" t="s">
        <v>720</v>
      </c>
      <c r="G53" s="8" t="str">
        <f t="shared" si="0"/>
        <v>FORTUNATO FRANK</v>
      </c>
      <c r="H53" s="20" t="str">
        <f t="shared" si="1"/>
        <v>4031</v>
      </c>
    </row>
    <row r="54" spans="1:8" x14ac:dyDescent="0.25">
      <c r="A54" s="8">
        <v>43081.31150462963</v>
      </c>
      <c r="B54" s="20" t="s">
        <v>461</v>
      </c>
      <c r="C54" s="20" t="s">
        <v>673</v>
      </c>
      <c r="D54" s="127">
        <v>2560000</v>
      </c>
      <c r="E54" s="20" t="s">
        <v>603</v>
      </c>
      <c r="F54" s="20" t="s">
        <v>604</v>
      </c>
      <c r="G54" s="8" t="str">
        <f t="shared" si="0"/>
        <v>MACDONALD THOMAS</v>
      </c>
      <c r="H54" s="20" t="str">
        <f t="shared" si="1"/>
        <v>4010</v>
      </c>
    </row>
    <row r="55" spans="1:8" x14ac:dyDescent="0.25">
      <c r="A55" s="8">
        <v>43081.311874999999</v>
      </c>
      <c r="B55" s="20" t="s">
        <v>413</v>
      </c>
      <c r="C55" s="20" t="s">
        <v>738</v>
      </c>
      <c r="D55" s="127">
        <v>2600000</v>
      </c>
      <c r="E55" s="20" t="s">
        <v>479</v>
      </c>
      <c r="F55" s="20" t="s">
        <v>411</v>
      </c>
      <c r="G55" s="8" t="str">
        <f t="shared" si="0"/>
        <v>DAVIDSON DAVID</v>
      </c>
      <c r="H55" s="20" t="str">
        <f t="shared" si="1"/>
        <v>4056</v>
      </c>
    </row>
    <row r="56" spans="1:8" x14ac:dyDescent="0.25">
      <c r="A56" s="8">
        <v>43081.316932870373</v>
      </c>
      <c r="B56" s="20" t="s">
        <v>461</v>
      </c>
      <c r="C56" s="20" t="s">
        <v>673</v>
      </c>
      <c r="D56" s="127">
        <v>2560000</v>
      </c>
      <c r="E56" s="20" t="s">
        <v>603</v>
      </c>
      <c r="F56" s="20" t="s">
        <v>604</v>
      </c>
      <c r="G56" s="8" t="str">
        <f t="shared" si="0"/>
        <v>MACDONALD THOMAS</v>
      </c>
      <c r="H56" s="20" t="str">
        <f t="shared" si="1"/>
        <v>4010</v>
      </c>
    </row>
    <row r="57" spans="1:8" x14ac:dyDescent="0.25">
      <c r="A57" s="8">
        <v>43081.317789351851</v>
      </c>
      <c r="B57" s="20" t="s">
        <v>423</v>
      </c>
      <c r="C57" s="20" t="s">
        <v>739</v>
      </c>
      <c r="D57" s="127">
        <v>1230000</v>
      </c>
      <c r="E57" s="20" t="s">
        <v>480</v>
      </c>
      <c r="F57" s="20" t="s">
        <v>481</v>
      </c>
      <c r="G57" s="8" t="str">
        <f t="shared" si="0"/>
        <v>YANAI IAN</v>
      </c>
      <c r="H57" s="20" t="str">
        <f t="shared" si="1"/>
        <v>4021</v>
      </c>
    </row>
    <row r="58" spans="1:8" x14ac:dyDescent="0.25">
      <c r="A58" s="8">
        <v>43081.322256944448</v>
      </c>
      <c r="B58" s="20" t="s">
        <v>379</v>
      </c>
      <c r="C58" s="20" t="s">
        <v>740</v>
      </c>
      <c r="D58" s="127">
        <v>3120000</v>
      </c>
      <c r="E58" s="20" t="s">
        <v>598</v>
      </c>
      <c r="F58" s="20" t="s">
        <v>599</v>
      </c>
      <c r="G58" s="8" t="str">
        <f t="shared" si="0"/>
        <v>THOMPSON LESTER</v>
      </c>
      <c r="H58" s="20" t="str">
        <f t="shared" si="1"/>
        <v>4030</v>
      </c>
    </row>
    <row r="59" spans="1:8" x14ac:dyDescent="0.25">
      <c r="A59" s="8">
        <v>43081.330787037034</v>
      </c>
      <c r="B59" s="20" t="s">
        <v>495</v>
      </c>
      <c r="C59" s="20" t="s">
        <v>741</v>
      </c>
      <c r="D59" s="127">
        <v>1340000</v>
      </c>
      <c r="E59" s="20" t="s">
        <v>698</v>
      </c>
      <c r="F59" s="20" t="s">
        <v>699</v>
      </c>
      <c r="G59" s="8" t="str">
        <f t="shared" si="0"/>
        <v>BEAM ROSS</v>
      </c>
      <c r="H59" s="20" t="str">
        <f t="shared" si="1"/>
        <v>4016</v>
      </c>
    </row>
    <row r="60" spans="1:8" x14ac:dyDescent="0.25">
      <c r="A60" s="8">
        <v>43081.331122685187</v>
      </c>
      <c r="B60" s="20" t="s">
        <v>351</v>
      </c>
      <c r="C60" s="20" t="s">
        <v>742</v>
      </c>
      <c r="D60" s="127">
        <v>2600000</v>
      </c>
      <c r="E60" s="20" t="s">
        <v>479</v>
      </c>
      <c r="F60" s="20" t="s">
        <v>411</v>
      </c>
      <c r="G60" s="8" t="str">
        <f t="shared" si="0"/>
        <v>DAVIDSON DAVID</v>
      </c>
      <c r="H60" s="20" t="str">
        <f t="shared" si="1"/>
        <v>4055</v>
      </c>
    </row>
    <row r="61" spans="1:8" x14ac:dyDescent="0.25">
      <c r="A61" s="8">
        <v>43081.333877314813</v>
      </c>
      <c r="B61" s="20" t="s">
        <v>451</v>
      </c>
      <c r="C61" s="20" t="s">
        <v>743</v>
      </c>
      <c r="D61" s="127">
        <v>3000000</v>
      </c>
      <c r="E61" s="20" t="s">
        <v>719</v>
      </c>
      <c r="F61" s="20" t="s">
        <v>720</v>
      </c>
      <c r="G61" s="8" t="str">
        <f t="shared" si="0"/>
        <v>FORTUNATO FRANK</v>
      </c>
      <c r="H61" s="20" t="str">
        <f t="shared" si="1"/>
        <v>4032</v>
      </c>
    </row>
    <row r="62" spans="1:8" x14ac:dyDescent="0.25">
      <c r="A62" s="8">
        <v>43081.339606481481</v>
      </c>
      <c r="B62" s="20" t="s">
        <v>367</v>
      </c>
      <c r="C62" s="20" t="s">
        <v>744</v>
      </c>
      <c r="D62" s="127">
        <v>1110000</v>
      </c>
      <c r="E62" s="20" t="s">
        <v>600</v>
      </c>
      <c r="F62" s="20" t="s">
        <v>601</v>
      </c>
      <c r="G62" s="8" t="str">
        <f t="shared" si="0"/>
        <v>STARKS ANGELINA</v>
      </c>
      <c r="H62" s="20" t="str">
        <f t="shared" si="1"/>
        <v>4011</v>
      </c>
    </row>
    <row r="63" spans="1:8" x14ac:dyDescent="0.25">
      <c r="A63" s="8">
        <v>43081.340358796297</v>
      </c>
      <c r="B63" s="20" t="s">
        <v>444</v>
      </c>
      <c r="C63" s="20" t="s">
        <v>676</v>
      </c>
      <c r="D63" s="127">
        <v>3090000</v>
      </c>
      <c r="E63" s="20" t="s">
        <v>605</v>
      </c>
      <c r="F63" s="20" t="s">
        <v>606</v>
      </c>
      <c r="G63" s="8" t="str">
        <f t="shared" si="0"/>
        <v>LAMAR NEKESHA</v>
      </c>
      <c r="H63" s="20" t="str">
        <f t="shared" si="1"/>
        <v>4058</v>
      </c>
    </row>
    <row r="64" spans="1:8" x14ac:dyDescent="0.25">
      <c r="A64" s="26">
        <v>43081.350300925929</v>
      </c>
      <c r="B64" s="20" t="s">
        <v>452</v>
      </c>
      <c r="C64" s="20" t="s">
        <v>675</v>
      </c>
      <c r="D64" s="127">
        <v>2470000</v>
      </c>
      <c r="E64" s="20" t="s">
        <v>745</v>
      </c>
      <c r="F64" s="20" t="s">
        <v>746</v>
      </c>
      <c r="G64" s="8" t="str">
        <f t="shared" si="0"/>
        <v>ROMERO CHAD</v>
      </c>
      <c r="H64" s="20" t="str">
        <f t="shared" si="1"/>
        <v>4006</v>
      </c>
    </row>
    <row r="65" spans="1:8" x14ac:dyDescent="0.25">
      <c r="A65" s="8">
        <v>43081.350891203707</v>
      </c>
      <c r="B65" s="20" t="s">
        <v>460</v>
      </c>
      <c r="C65" s="20" t="s">
        <v>747</v>
      </c>
      <c r="D65" s="127">
        <v>2560000</v>
      </c>
      <c r="E65" s="20" t="s">
        <v>603</v>
      </c>
      <c r="F65" s="20" t="s">
        <v>604</v>
      </c>
      <c r="G65" s="8" t="str">
        <f t="shared" si="0"/>
        <v>MACDONALD THOMAS</v>
      </c>
      <c r="H65" s="20" t="str">
        <f t="shared" si="1"/>
        <v>4009</v>
      </c>
    </row>
    <row r="66" spans="1:8" x14ac:dyDescent="0.25">
      <c r="A66" s="8">
        <v>43081.351701388892</v>
      </c>
      <c r="B66" s="20" t="s">
        <v>444</v>
      </c>
      <c r="C66" s="20" t="s">
        <v>676</v>
      </c>
      <c r="D66" s="127">
        <v>3090000</v>
      </c>
      <c r="E66" s="20" t="s">
        <v>605</v>
      </c>
      <c r="F66" s="20" t="s">
        <v>606</v>
      </c>
      <c r="G66" s="8" t="str">
        <f t="shared" si="0"/>
        <v>LAMAR NEKESHA</v>
      </c>
      <c r="H66" s="20" t="str">
        <f t="shared" si="1"/>
        <v>4058</v>
      </c>
    </row>
    <row r="67" spans="1:8" x14ac:dyDescent="0.25">
      <c r="A67" s="8">
        <v>43081.35193287037</v>
      </c>
      <c r="B67" s="20" t="s">
        <v>450</v>
      </c>
      <c r="C67" s="20" t="s">
        <v>748</v>
      </c>
      <c r="D67" s="127">
        <v>3000000</v>
      </c>
      <c r="E67" s="20" t="s">
        <v>719</v>
      </c>
      <c r="F67" s="20" t="s">
        <v>720</v>
      </c>
      <c r="G67" s="8" t="str">
        <f t="shared" ref="G67:G130" si="2">E67&amp;" "&amp;F67</f>
        <v>FORTUNATO FRANK</v>
      </c>
      <c r="H67" s="20" t="str">
        <f t="shared" ref="H67:H130" si="3">MID(B67,13,4)</f>
        <v>4031</v>
      </c>
    </row>
    <row r="68" spans="1:8" x14ac:dyDescent="0.25">
      <c r="A68" s="8">
        <v>43081.353321759256</v>
      </c>
      <c r="B68" s="20" t="s">
        <v>413</v>
      </c>
      <c r="C68" s="20" t="s">
        <v>749</v>
      </c>
      <c r="D68" s="127">
        <v>2600000</v>
      </c>
      <c r="E68" s="20" t="s">
        <v>479</v>
      </c>
      <c r="F68" s="20" t="s">
        <v>411</v>
      </c>
      <c r="G68" s="8" t="str">
        <f t="shared" si="2"/>
        <v>DAVIDSON DAVID</v>
      </c>
      <c r="H68" s="20" t="str">
        <f t="shared" si="3"/>
        <v>4056</v>
      </c>
    </row>
    <row r="69" spans="1:8" x14ac:dyDescent="0.25">
      <c r="A69" s="8">
        <v>43081.359143518515</v>
      </c>
      <c r="B69" s="20" t="s">
        <v>494</v>
      </c>
      <c r="C69" s="20" t="s">
        <v>750</v>
      </c>
      <c r="D69" s="127">
        <v>1340000</v>
      </c>
      <c r="E69" s="20" t="s">
        <v>698</v>
      </c>
      <c r="F69" s="20" t="s">
        <v>699</v>
      </c>
      <c r="G69" s="8" t="str">
        <f t="shared" si="2"/>
        <v>BEAM ROSS</v>
      </c>
      <c r="H69" s="20" t="str">
        <f t="shared" si="3"/>
        <v>4015</v>
      </c>
    </row>
    <row r="70" spans="1:8" x14ac:dyDescent="0.25">
      <c r="A70" s="8">
        <v>43081.359814814816</v>
      </c>
      <c r="B70" s="20" t="s">
        <v>374</v>
      </c>
      <c r="C70" s="20" t="s">
        <v>751</v>
      </c>
      <c r="D70" s="127">
        <v>1230000</v>
      </c>
      <c r="E70" s="20" t="s">
        <v>480</v>
      </c>
      <c r="F70" s="20" t="s">
        <v>481</v>
      </c>
      <c r="G70" s="8" t="str">
        <f t="shared" si="2"/>
        <v>YANAI IAN</v>
      </c>
      <c r="H70" s="20" t="str">
        <f t="shared" si="3"/>
        <v>4022</v>
      </c>
    </row>
    <row r="71" spans="1:8" x14ac:dyDescent="0.25">
      <c r="A71" s="8">
        <v>43081.360972222225</v>
      </c>
      <c r="B71" s="20" t="s">
        <v>376</v>
      </c>
      <c r="C71" s="20" t="s">
        <v>752</v>
      </c>
      <c r="D71" s="127">
        <v>3120000</v>
      </c>
      <c r="E71" s="20" t="s">
        <v>598</v>
      </c>
      <c r="F71" s="20" t="s">
        <v>599</v>
      </c>
      <c r="G71" s="8" t="str">
        <f t="shared" si="2"/>
        <v>THOMPSON LESTER</v>
      </c>
      <c r="H71" s="20" t="str">
        <f t="shared" si="3"/>
        <v>4029</v>
      </c>
    </row>
    <row r="72" spans="1:8" x14ac:dyDescent="0.25">
      <c r="A72" s="8">
        <v>43081.372928240744</v>
      </c>
      <c r="B72" s="20" t="s">
        <v>366</v>
      </c>
      <c r="C72" s="20" t="s">
        <v>677</v>
      </c>
      <c r="D72" s="127">
        <v>1110000</v>
      </c>
      <c r="E72" s="20" t="s">
        <v>600</v>
      </c>
      <c r="F72" s="20" t="s">
        <v>601</v>
      </c>
      <c r="G72" s="8" t="str">
        <f t="shared" si="2"/>
        <v>STARKS ANGELINA</v>
      </c>
      <c r="H72" s="20" t="str">
        <f t="shared" si="3"/>
        <v>4012</v>
      </c>
    </row>
    <row r="73" spans="1:8" x14ac:dyDescent="0.25">
      <c r="A73" s="8">
        <v>43081.373657407406</v>
      </c>
      <c r="B73" s="20" t="s">
        <v>451</v>
      </c>
      <c r="C73" s="20" t="s">
        <v>753</v>
      </c>
      <c r="D73" s="127">
        <v>3000000</v>
      </c>
      <c r="E73" s="20" t="s">
        <v>719</v>
      </c>
      <c r="F73" s="20" t="s">
        <v>720</v>
      </c>
      <c r="G73" s="8" t="str">
        <f t="shared" si="2"/>
        <v>FORTUNATO FRANK</v>
      </c>
      <c r="H73" s="20" t="str">
        <f t="shared" si="3"/>
        <v>4032</v>
      </c>
    </row>
    <row r="74" spans="1:8" x14ac:dyDescent="0.25">
      <c r="A74" s="8">
        <v>43081.380636574075</v>
      </c>
      <c r="B74" s="20" t="s">
        <v>478</v>
      </c>
      <c r="C74" s="20" t="s">
        <v>754</v>
      </c>
      <c r="D74" s="127">
        <v>3090000</v>
      </c>
      <c r="E74" s="20" t="s">
        <v>605</v>
      </c>
      <c r="F74" s="20" t="s">
        <v>606</v>
      </c>
      <c r="G74" s="8" t="str">
        <f t="shared" si="2"/>
        <v>LAMAR NEKESHA</v>
      </c>
      <c r="H74" s="20" t="str">
        <f t="shared" si="3"/>
        <v>4057</v>
      </c>
    </row>
    <row r="75" spans="1:8" x14ac:dyDescent="0.25">
      <c r="A75" s="8">
        <v>43081.380706018521</v>
      </c>
      <c r="B75" s="20" t="s">
        <v>686</v>
      </c>
      <c r="C75" s="20" t="s">
        <v>755</v>
      </c>
      <c r="D75" s="127">
        <v>2470000</v>
      </c>
      <c r="E75" s="20" t="s">
        <v>745</v>
      </c>
      <c r="F75" s="20" t="s">
        <v>746</v>
      </c>
      <c r="G75" s="8" t="str">
        <f t="shared" si="2"/>
        <v>ROMERO CHAD</v>
      </c>
      <c r="H75" s="20" t="str">
        <f t="shared" si="3"/>
        <v>4005</v>
      </c>
    </row>
    <row r="76" spans="1:8" x14ac:dyDescent="0.25">
      <c r="A76" s="8">
        <v>43081.384502314817</v>
      </c>
      <c r="B76" s="20" t="s">
        <v>461</v>
      </c>
      <c r="C76" s="20" t="s">
        <v>756</v>
      </c>
      <c r="D76" s="127">
        <v>2560000</v>
      </c>
      <c r="E76" s="20" t="s">
        <v>603</v>
      </c>
      <c r="F76" s="20" t="s">
        <v>604</v>
      </c>
      <c r="G76" s="8" t="str">
        <f t="shared" si="2"/>
        <v>MACDONALD THOMAS</v>
      </c>
      <c r="H76" s="20" t="str">
        <f t="shared" si="3"/>
        <v>4010</v>
      </c>
    </row>
    <row r="77" spans="1:8" x14ac:dyDescent="0.25">
      <c r="A77" s="8">
        <v>43081.390821759262</v>
      </c>
      <c r="B77" s="20" t="s">
        <v>423</v>
      </c>
      <c r="C77" s="20" t="s">
        <v>757</v>
      </c>
      <c r="D77" s="127">
        <v>1230000</v>
      </c>
      <c r="E77" s="20" t="s">
        <v>480</v>
      </c>
      <c r="F77" s="20" t="s">
        <v>481</v>
      </c>
      <c r="G77" s="8" t="str">
        <f t="shared" si="2"/>
        <v>YANAI IAN</v>
      </c>
      <c r="H77" s="20" t="str">
        <f t="shared" si="3"/>
        <v>4021</v>
      </c>
    </row>
    <row r="78" spans="1:8" x14ac:dyDescent="0.25">
      <c r="A78" s="8">
        <v>43081.39329861111</v>
      </c>
      <c r="B78" s="20" t="s">
        <v>450</v>
      </c>
      <c r="C78" s="20" t="s">
        <v>758</v>
      </c>
      <c r="D78" s="127">
        <v>3000000</v>
      </c>
      <c r="E78" s="20" t="s">
        <v>719</v>
      </c>
      <c r="F78" s="20" t="s">
        <v>720</v>
      </c>
      <c r="G78" s="8" t="str">
        <f t="shared" si="2"/>
        <v>FORTUNATO FRANK</v>
      </c>
      <c r="H78" s="20" t="str">
        <f t="shared" si="3"/>
        <v>4031</v>
      </c>
    </row>
    <row r="79" spans="1:8" x14ac:dyDescent="0.25">
      <c r="A79" s="8">
        <v>43081.394999999997</v>
      </c>
      <c r="B79" s="20" t="s">
        <v>379</v>
      </c>
      <c r="C79" s="20" t="s">
        <v>759</v>
      </c>
      <c r="D79" s="127">
        <v>3120000</v>
      </c>
      <c r="E79" s="20" t="s">
        <v>598</v>
      </c>
      <c r="F79" s="20" t="s">
        <v>599</v>
      </c>
      <c r="G79" s="8" t="str">
        <f t="shared" si="2"/>
        <v>THOMPSON LESTER</v>
      </c>
      <c r="H79" s="20" t="str">
        <f t="shared" si="3"/>
        <v>4030</v>
      </c>
    </row>
    <row r="80" spans="1:8" x14ac:dyDescent="0.25">
      <c r="A80" s="8">
        <v>43081.401365740741</v>
      </c>
      <c r="B80" s="20" t="s">
        <v>495</v>
      </c>
      <c r="C80" s="20" t="s">
        <v>760</v>
      </c>
      <c r="D80" s="127">
        <v>1340000</v>
      </c>
      <c r="E80" s="20" t="s">
        <v>698</v>
      </c>
      <c r="F80" s="20" t="s">
        <v>699</v>
      </c>
      <c r="G80" s="8" t="str">
        <f t="shared" si="2"/>
        <v>BEAM ROSS</v>
      </c>
      <c r="H80" s="20" t="str">
        <f t="shared" si="3"/>
        <v>4016</v>
      </c>
    </row>
    <row r="81" spans="1:8" x14ac:dyDescent="0.25">
      <c r="A81" s="8">
        <v>43081.410590277781</v>
      </c>
      <c r="B81" s="20" t="s">
        <v>444</v>
      </c>
      <c r="C81" s="20" t="s">
        <v>761</v>
      </c>
      <c r="D81" s="127">
        <v>3090000</v>
      </c>
      <c r="E81" s="20" t="s">
        <v>605</v>
      </c>
      <c r="F81" s="20" t="s">
        <v>606</v>
      </c>
      <c r="G81" s="8" t="str">
        <f t="shared" si="2"/>
        <v>LAMAR NEKESHA</v>
      </c>
      <c r="H81" s="20" t="str">
        <f t="shared" si="3"/>
        <v>4058</v>
      </c>
    </row>
    <row r="82" spans="1:8" x14ac:dyDescent="0.25">
      <c r="A82" s="8">
        <v>43081.41165509259</v>
      </c>
      <c r="B82" s="20" t="s">
        <v>367</v>
      </c>
      <c r="C82" s="20" t="s">
        <v>762</v>
      </c>
      <c r="D82" s="127">
        <v>1110000</v>
      </c>
      <c r="E82" s="20" t="s">
        <v>600</v>
      </c>
      <c r="F82" s="20" t="s">
        <v>601</v>
      </c>
      <c r="G82" s="8" t="str">
        <f t="shared" si="2"/>
        <v>STARKS ANGELINA</v>
      </c>
      <c r="H82" s="20" t="str">
        <f t="shared" si="3"/>
        <v>4011</v>
      </c>
    </row>
    <row r="83" spans="1:8" x14ac:dyDescent="0.25">
      <c r="A83" s="8">
        <v>43081.414942129632</v>
      </c>
      <c r="B83" s="20" t="s">
        <v>451</v>
      </c>
      <c r="C83" s="20" t="s">
        <v>763</v>
      </c>
      <c r="D83" s="127">
        <v>3000000</v>
      </c>
      <c r="E83" s="20" t="s">
        <v>719</v>
      </c>
      <c r="F83" s="20" t="s">
        <v>720</v>
      </c>
      <c r="G83" s="8" t="str">
        <f t="shared" si="2"/>
        <v>FORTUNATO FRANK</v>
      </c>
      <c r="H83" s="20" t="str">
        <f t="shared" si="3"/>
        <v>4032</v>
      </c>
    </row>
    <row r="84" spans="1:8" x14ac:dyDescent="0.25">
      <c r="A84" s="8">
        <v>43081.421736111108</v>
      </c>
      <c r="B84" s="20" t="s">
        <v>460</v>
      </c>
      <c r="C84" s="20" t="s">
        <v>764</v>
      </c>
      <c r="D84" s="127">
        <v>2560000</v>
      </c>
      <c r="E84" s="20" t="s">
        <v>603</v>
      </c>
      <c r="F84" s="20" t="s">
        <v>604</v>
      </c>
      <c r="G84" s="8" t="str">
        <f t="shared" si="2"/>
        <v>MACDONALD THOMAS</v>
      </c>
      <c r="H84" s="20" t="str">
        <f t="shared" si="3"/>
        <v>4009</v>
      </c>
    </row>
    <row r="85" spans="1:8" x14ac:dyDescent="0.25">
      <c r="A85" s="8">
        <v>43081.422037037039</v>
      </c>
      <c r="B85" s="20" t="s">
        <v>452</v>
      </c>
      <c r="C85" s="20" t="s">
        <v>765</v>
      </c>
      <c r="D85" s="127">
        <v>2600000</v>
      </c>
      <c r="E85" s="20" t="s">
        <v>479</v>
      </c>
      <c r="F85" s="20" t="s">
        <v>411</v>
      </c>
      <c r="G85" s="8" t="str">
        <f t="shared" si="2"/>
        <v>DAVIDSON DAVID</v>
      </c>
      <c r="H85" s="20" t="str">
        <f t="shared" si="3"/>
        <v>4006</v>
      </c>
    </row>
    <row r="86" spans="1:8" x14ac:dyDescent="0.25">
      <c r="A86" s="8">
        <v>43081.431608796294</v>
      </c>
      <c r="B86" s="20" t="s">
        <v>374</v>
      </c>
      <c r="C86" s="20" t="s">
        <v>766</v>
      </c>
      <c r="D86" s="127">
        <v>1230000</v>
      </c>
      <c r="E86" s="20" t="s">
        <v>480</v>
      </c>
      <c r="F86" s="20" t="s">
        <v>481</v>
      </c>
      <c r="G86" s="8" t="str">
        <f t="shared" si="2"/>
        <v>YANAI IAN</v>
      </c>
      <c r="H86" s="20" t="str">
        <f t="shared" si="3"/>
        <v>4022</v>
      </c>
    </row>
    <row r="87" spans="1:8" x14ac:dyDescent="0.25">
      <c r="A87" s="8">
        <v>43081.434201388889</v>
      </c>
      <c r="B87" s="20" t="s">
        <v>494</v>
      </c>
      <c r="C87" s="20" t="s">
        <v>767</v>
      </c>
      <c r="D87" s="127">
        <v>1340000</v>
      </c>
      <c r="E87" s="20" t="s">
        <v>698</v>
      </c>
      <c r="F87" s="20" t="s">
        <v>699</v>
      </c>
      <c r="G87" s="8" t="str">
        <f t="shared" si="2"/>
        <v>BEAM ROSS</v>
      </c>
      <c r="H87" s="20" t="str">
        <f t="shared" si="3"/>
        <v>4015</v>
      </c>
    </row>
    <row r="88" spans="1:8" x14ac:dyDescent="0.25">
      <c r="A88" s="8">
        <v>43081.434756944444</v>
      </c>
      <c r="B88" s="20" t="s">
        <v>450</v>
      </c>
      <c r="C88" s="20" t="s">
        <v>768</v>
      </c>
      <c r="D88" s="127">
        <v>3000000</v>
      </c>
      <c r="E88" s="20" t="s">
        <v>719</v>
      </c>
      <c r="F88" s="20" t="s">
        <v>720</v>
      </c>
      <c r="G88" s="8" t="str">
        <f t="shared" si="2"/>
        <v>FORTUNATO FRANK</v>
      </c>
      <c r="H88" s="20" t="str">
        <f t="shared" si="3"/>
        <v>4031</v>
      </c>
    </row>
    <row r="89" spans="1:8" x14ac:dyDescent="0.25">
      <c r="A89" s="8">
        <v>43081.434861111113</v>
      </c>
      <c r="B89" s="20" t="s">
        <v>376</v>
      </c>
      <c r="C89" s="20" t="s">
        <v>678</v>
      </c>
      <c r="D89" s="127">
        <v>3120000</v>
      </c>
      <c r="E89" s="20" t="s">
        <v>598</v>
      </c>
      <c r="F89" s="20" t="s">
        <v>599</v>
      </c>
      <c r="G89" s="8" t="str">
        <f t="shared" si="2"/>
        <v>THOMPSON LESTER</v>
      </c>
      <c r="H89" s="20" t="str">
        <f t="shared" si="3"/>
        <v>4029</v>
      </c>
    </row>
    <row r="90" spans="1:8" x14ac:dyDescent="0.25">
      <c r="A90" s="8">
        <v>43081.444930555554</v>
      </c>
      <c r="B90" s="20" t="s">
        <v>366</v>
      </c>
      <c r="C90" s="20" t="s">
        <v>769</v>
      </c>
      <c r="D90" s="127">
        <v>920000</v>
      </c>
      <c r="E90" s="20" t="s">
        <v>607</v>
      </c>
      <c r="F90" s="20" t="s">
        <v>352</v>
      </c>
      <c r="G90" s="8" t="str">
        <f t="shared" si="2"/>
        <v>DAVIS MICHAEL</v>
      </c>
      <c r="H90" s="20" t="str">
        <f t="shared" si="3"/>
        <v>4012</v>
      </c>
    </row>
    <row r="91" spans="1:8" x14ac:dyDescent="0.25">
      <c r="A91" s="8">
        <v>43081.453344907408</v>
      </c>
      <c r="B91" s="20" t="s">
        <v>461</v>
      </c>
      <c r="C91" s="20" t="s">
        <v>770</v>
      </c>
      <c r="D91" s="127">
        <v>2560000</v>
      </c>
      <c r="E91" s="20" t="s">
        <v>603</v>
      </c>
      <c r="F91" s="20" t="s">
        <v>604</v>
      </c>
      <c r="G91" s="8" t="str">
        <f t="shared" si="2"/>
        <v>MACDONALD THOMAS</v>
      </c>
      <c r="H91" s="20" t="str">
        <f t="shared" si="3"/>
        <v>4010</v>
      </c>
    </row>
    <row r="92" spans="1:8" x14ac:dyDescent="0.25">
      <c r="A92" s="8">
        <v>43081.454155092593</v>
      </c>
      <c r="B92" s="20" t="s">
        <v>686</v>
      </c>
      <c r="C92" s="20" t="s">
        <v>771</v>
      </c>
      <c r="D92" s="127">
        <v>2600000</v>
      </c>
      <c r="E92" s="20" t="s">
        <v>479</v>
      </c>
      <c r="F92" s="20" t="s">
        <v>411</v>
      </c>
      <c r="G92" s="8" t="str">
        <f t="shared" si="2"/>
        <v>DAVIDSON DAVID</v>
      </c>
      <c r="H92" s="20" t="str">
        <f t="shared" si="3"/>
        <v>4005</v>
      </c>
    </row>
    <row r="93" spans="1:8" x14ac:dyDescent="0.25">
      <c r="A93" s="8">
        <v>43081.454548611109</v>
      </c>
      <c r="B93" s="20" t="s">
        <v>478</v>
      </c>
      <c r="C93" s="20" t="s">
        <v>772</v>
      </c>
      <c r="D93" s="127">
        <v>3090000</v>
      </c>
      <c r="E93" s="20" t="s">
        <v>605</v>
      </c>
      <c r="F93" s="20" t="s">
        <v>606</v>
      </c>
      <c r="G93" s="8" t="str">
        <f t="shared" si="2"/>
        <v>LAMAR NEKESHA</v>
      </c>
      <c r="H93" s="20" t="str">
        <f t="shared" si="3"/>
        <v>4057</v>
      </c>
    </row>
    <row r="94" spans="1:8" x14ac:dyDescent="0.25">
      <c r="A94" s="8">
        <v>43081.457025462965</v>
      </c>
      <c r="B94" s="20" t="s">
        <v>451</v>
      </c>
      <c r="C94" s="20" t="s">
        <v>773</v>
      </c>
      <c r="D94" s="127">
        <v>3000000</v>
      </c>
      <c r="E94" s="20" t="s">
        <v>719</v>
      </c>
      <c r="F94" s="20" t="s">
        <v>720</v>
      </c>
      <c r="G94" s="8" t="str">
        <f t="shared" si="2"/>
        <v>FORTUNATO FRANK</v>
      </c>
      <c r="H94" s="20" t="str">
        <f t="shared" si="3"/>
        <v>4032</v>
      </c>
    </row>
    <row r="95" spans="1:8" x14ac:dyDescent="0.25">
      <c r="A95" s="8">
        <v>43081.46371527778</v>
      </c>
      <c r="B95" s="20" t="s">
        <v>461</v>
      </c>
      <c r="C95" s="20" t="s">
        <v>770</v>
      </c>
      <c r="D95" s="127">
        <v>2560000</v>
      </c>
      <c r="E95" s="20" t="s">
        <v>603</v>
      </c>
      <c r="F95" s="20" t="s">
        <v>604</v>
      </c>
      <c r="G95" s="8" t="str">
        <f t="shared" si="2"/>
        <v>MACDONALD THOMAS</v>
      </c>
      <c r="H95" s="20" t="str">
        <f t="shared" si="3"/>
        <v>4010</v>
      </c>
    </row>
    <row r="96" spans="1:8" x14ac:dyDescent="0.25">
      <c r="A96" s="8">
        <v>43081.464398148149</v>
      </c>
      <c r="B96" s="20" t="s">
        <v>423</v>
      </c>
      <c r="C96" s="20" t="s">
        <v>774</v>
      </c>
      <c r="D96" s="127">
        <v>1230000</v>
      </c>
      <c r="E96" s="20" t="s">
        <v>480</v>
      </c>
      <c r="F96" s="20" t="s">
        <v>481</v>
      </c>
      <c r="G96" s="8" t="str">
        <f t="shared" si="2"/>
        <v>YANAI IAN</v>
      </c>
      <c r="H96" s="20" t="str">
        <f t="shared" si="3"/>
        <v>4021</v>
      </c>
    </row>
    <row r="97" spans="1:8" x14ac:dyDescent="0.25">
      <c r="A97" s="8">
        <v>43081.467187499999</v>
      </c>
      <c r="B97" s="20" t="s">
        <v>379</v>
      </c>
      <c r="C97" s="20" t="s">
        <v>775</v>
      </c>
      <c r="D97" s="127">
        <v>1770000</v>
      </c>
      <c r="E97" s="20" t="s">
        <v>776</v>
      </c>
      <c r="F97" s="20" t="s">
        <v>777</v>
      </c>
      <c r="G97" s="8" t="str">
        <f t="shared" si="2"/>
        <v>BRUDER RICHARD</v>
      </c>
      <c r="H97" s="20" t="str">
        <f t="shared" si="3"/>
        <v>4030</v>
      </c>
    </row>
    <row r="98" spans="1:8" x14ac:dyDescent="0.25">
      <c r="A98" s="8">
        <v>43081.474606481483</v>
      </c>
      <c r="B98" s="20" t="s">
        <v>495</v>
      </c>
      <c r="C98" s="20" t="s">
        <v>778</v>
      </c>
      <c r="D98" s="127">
        <v>880000</v>
      </c>
      <c r="E98" s="20" t="s">
        <v>414</v>
      </c>
      <c r="F98" s="20" t="s">
        <v>352</v>
      </c>
      <c r="G98" s="8" t="str">
        <f t="shared" si="2"/>
        <v>STEWART MICHAEL</v>
      </c>
      <c r="H98" s="20" t="str">
        <f t="shared" si="3"/>
        <v>4016</v>
      </c>
    </row>
    <row r="99" spans="1:8" x14ac:dyDescent="0.25">
      <c r="A99" s="8">
        <v>43081.476782407408</v>
      </c>
      <c r="B99" s="20" t="s">
        <v>450</v>
      </c>
      <c r="C99" s="20" t="s">
        <v>779</v>
      </c>
      <c r="D99" s="127">
        <v>3000000</v>
      </c>
      <c r="E99" s="20" t="s">
        <v>719</v>
      </c>
      <c r="F99" s="20" t="s">
        <v>720</v>
      </c>
      <c r="G99" s="8" t="str">
        <f t="shared" si="2"/>
        <v>FORTUNATO FRANK</v>
      </c>
      <c r="H99" s="20" t="str">
        <f t="shared" si="3"/>
        <v>4031</v>
      </c>
    </row>
    <row r="100" spans="1:8" x14ac:dyDescent="0.25">
      <c r="A100" s="8">
        <v>43081.485717592594</v>
      </c>
      <c r="B100" s="20" t="s">
        <v>444</v>
      </c>
      <c r="C100" s="20" t="s">
        <v>780</v>
      </c>
      <c r="D100" s="127">
        <v>1300000</v>
      </c>
      <c r="E100" s="20" t="s">
        <v>485</v>
      </c>
      <c r="F100" s="20" t="s">
        <v>486</v>
      </c>
      <c r="G100" s="8" t="str">
        <f t="shared" si="2"/>
        <v>LEVIN SCOTT</v>
      </c>
      <c r="H100" s="20" t="str">
        <f t="shared" si="3"/>
        <v>4058</v>
      </c>
    </row>
    <row r="101" spans="1:8" x14ac:dyDescent="0.25">
      <c r="A101" s="8">
        <v>43081.485914351855</v>
      </c>
      <c r="B101" s="20" t="s">
        <v>367</v>
      </c>
      <c r="C101" s="20" t="s">
        <v>781</v>
      </c>
      <c r="D101" s="127">
        <v>920000</v>
      </c>
      <c r="E101" s="20" t="s">
        <v>607</v>
      </c>
      <c r="F101" s="20" t="s">
        <v>352</v>
      </c>
      <c r="G101" s="8" t="str">
        <f t="shared" si="2"/>
        <v>DAVIS MICHAEL</v>
      </c>
      <c r="H101" s="20" t="str">
        <f t="shared" si="3"/>
        <v>4011</v>
      </c>
    </row>
    <row r="102" spans="1:8" x14ac:dyDescent="0.25">
      <c r="A102" s="8">
        <v>43081.496666666666</v>
      </c>
      <c r="B102" s="20" t="s">
        <v>460</v>
      </c>
      <c r="C102" s="20" t="s">
        <v>782</v>
      </c>
      <c r="D102" s="127">
        <v>2560000</v>
      </c>
      <c r="E102" s="20" t="s">
        <v>603</v>
      </c>
      <c r="F102" s="20" t="s">
        <v>604</v>
      </c>
      <c r="G102" s="8" t="str">
        <f t="shared" si="2"/>
        <v>MACDONALD THOMAS</v>
      </c>
      <c r="H102" s="20" t="str">
        <f t="shared" si="3"/>
        <v>4009</v>
      </c>
    </row>
    <row r="103" spans="1:8" x14ac:dyDescent="0.25">
      <c r="A103" s="8">
        <v>43081.499016203707</v>
      </c>
      <c r="B103" s="20" t="s">
        <v>452</v>
      </c>
      <c r="C103" s="20" t="s">
        <v>783</v>
      </c>
      <c r="D103" s="127">
        <v>3840000</v>
      </c>
      <c r="E103" s="20" t="s">
        <v>483</v>
      </c>
      <c r="F103" s="20" t="s">
        <v>484</v>
      </c>
      <c r="G103" s="8" t="str">
        <f t="shared" si="2"/>
        <v>LONG FULLER</v>
      </c>
      <c r="H103" s="20" t="str">
        <f t="shared" si="3"/>
        <v>4006</v>
      </c>
    </row>
    <row r="104" spans="1:8" x14ac:dyDescent="0.25">
      <c r="A104" s="8">
        <v>43081.5003125</v>
      </c>
      <c r="B104" s="20" t="s">
        <v>451</v>
      </c>
      <c r="C104" s="20" t="s">
        <v>679</v>
      </c>
      <c r="D104" s="127">
        <v>3000000</v>
      </c>
      <c r="E104" s="20" t="s">
        <v>719</v>
      </c>
      <c r="F104" s="20" t="s">
        <v>720</v>
      </c>
      <c r="G104" s="8" t="str">
        <f t="shared" si="2"/>
        <v>FORTUNATO FRANK</v>
      </c>
      <c r="H104" s="20" t="str">
        <f t="shared" si="3"/>
        <v>4032</v>
      </c>
    </row>
    <row r="105" spans="1:8" x14ac:dyDescent="0.25">
      <c r="A105" s="8">
        <v>43081.50613425926</v>
      </c>
      <c r="B105" s="20" t="s">
        <v>376</v>
      </c>
      <c r="C105" s="20" t="s">
        <v>784</v>
      </c>
      <c r="D105" s="127">
        <v>1770000</v>
      </c>
      <c r="E105" s="20" t="s">
        <v>776</v>
      </c>
      <c r="F105" s="20" t="s">
        <v>777</v>
      </c>
      <c r="G105" s="8" t="str">
        <f t="shared" si="2"/>
        <v>BRUDER RICHARD</v>
      </c>
      <c r="H105" s="20" t="str">
        <f t="shared" si="3"/>
        <v>4029</v>
      </c>
    </row>
    <row r="106" spans="1:8" x14ac:dyDescent="0.25">
      <c r="A106" s="8">
        <v>43081.506990740738</v>
      </c>
      <c r="B106" s="20" t="s">
        <v>374</v>
      </c>
      <c r="C106" s="20" t="s">
        <v>785</v>
      </c>
      <c r="D106" s="127">
        <v>2630000</v>
      </c>
      <c r="E106" s="20" t="s">
        <v>610</v>
      </c>
      <c r="F106" s="20" t="s">
        <v>611</v>
      </c>
      <c r="G106" s="8" t="str">
        <f t="shared" si="2"/>
        <v>SAFIEF AEIMEN</v>
      </c>
      <c r="H106" s="20" t="str">
        <f t="shared" si="3"/>
        <v>4022</v>
      </c>
    </row>
    <row r="107" spans="1:8" x14ac:dyDescent="0.25">
      <c r="A107" s="8">
        <v>43081.51699074074</v>
      </c>
      <c r="B107" s="20" t="s">
        <v>478</v>
      </c>
      <c r="C107" s="20" t="s">
        <v>680</v>
      </c>
      <c r="D107" s="127">
        <v>1300000</v>
      </c>
      <c r="E107" s="20" t="s">
        <v>485</v>
      </c>
      <c r="F107" s="20" t="s">
        <v>486</v>
      </c>
      <c r="G107" s="8" t="str">
        <f t="shared" si="2"/>
        <v>LEVIN SCOTT</v>
      </c>
      <c r="H107" s="20" t="str">
        <f t="shared" si="3"/>
        <v>4057</v>
      </c>
    </row>
    <row r="108" spans="1:8" x14ac:dyDescent="0.25">
      <c r="A108" s="8">
        <v>43081.51699074074</v>
      </c>
      <c r="B108" s="20" t="s">
        <v>494</v>
      </c>
      <c r="C108" s="20" t="s">
        <v>786</v>
      </c>
      <c r="D108" s="127">
        <v>880000</v>
      </c>
      <c r="E108" s="20" t="s">
        <v>414</v>
      </c>
      <c r="F108" s="20" t="s">
        <v>352</v>
      </c>
      <c r="G108" s="8" t="str">
        <f t="shared" si="2"/>
        <v>STEWART MICHAEL</v>
      </c>
      <c r="H108" s="20" t="str">
        <f t="shared" si="3"/>
        <v>4015</v>
      </c>
    </row>
    <row r="109" spans="1:8" x14ac:dyDescent="0.25">
      <c r="A109" s="8">
        <v>43081.518391203703</v>
      </c>
      <c r="B109" s="20" t="s">
        <v>450</v>
      </c>
      <c r="C109" s="20" t="s">
        <v>787</v>
      </c>
      <c r="D109" s="127">
        <v>3000000</v>
      </c>
      <c r="E109" s="20" t="s">
        <v>719</v>
      </c>
      <c r="F109" s="20" t="s">
        <v>720</v>
      </c>
      <c r="G109" s="8" t="str">
        <f t="shared" si="2"/>
        <v>FORTUNATO FRANK</v>
      </c>
      <c r="H109" s="20" t="str">
        <f t="shared" si="3"/>
        <v>4031</v>
      </c>
    </row>
    <row r="110" spans="1:8" x14ac:dyDescent="0.25">
      <c r="A110" s="8">
        <v>43081.519120370373</v>
      </c>
      <c r="B110" s="20" t="s">
        <v>366</v>
      </c>
      <c r="C110" s="20" t="s">
        <v>681</v>
      </c>
      <c r="D110" s="127">
        <v>920000</v>
      </c>
      <c r="E110" s="20" t="s">
        <v>607</v>
      </c>
      <c r="F110" s="20" t="s">
        <v>352</v>
      </c>
      <c r="G110" s="8" t="str">
        <f t="shared" si="2"/>
        <v>DAVIS MICHAEL</v>
      </c>
      <c r="H110" s="20" t="str">
        <f t="shared" si="3"/>
        <v>4012</v>
      </c>
    </row>
    <row r="111" spans="1:8" x14ac:dyDescent="0.25">
      <c r="A111" s="8">
        <v>43081.527615740742</v>
      </c>
      <c r="B111" s="20" t="s">
        <v>461</v>
      </c>
      <c r="C111" s="20" t="s">
        <v>788</v>
      </c>
      <c r="D111" s="127">
        <v>3680000</v>
      </c>
      <c r="E111" s="20" t="s">
        <v>476</v>
      </c>
      <c r="F111" s="20" t="s">
        <v>477</v>
      </c>
      <c r="G111" s="8" t="str">
        <f t="shared" si="2"/>
        <v>HAMMOND JUSTYNN</v>
      </c>
      <c r="H111" s="20" t="str">
        <f t="shared" si="3"/>
        <v>4010</v>
      </c>
    </row>
    <row r="112" spans="1:8" x14ac:dyDescent="0.25">
      <c r="A112" s="8">
        <v>43081.535092592596</v>
      </c>
      <c r="B112" s="20" t="s">
        <v>686</v>
      </c>
      <c r="C112" s="20" t="s">
        <v>789</v>
      </c>
      <c r="D112" s="127">
        <v>3840000</v>
      </c>
      <c r="E112" s="20" t="s">
        <v>483</v>
      </c>
      <c r="F112" s="20" t="s">
        <v>484</v>
      </c>
      <c r="G112" s="8" t="str">
        <f t="shared" si="2"/>
        <v>LONG FULLER</v>
      </c>
      <c r="H112" s="20" t="str">
        <f t="shared" si="3"/>
        <v>4005</v>
      </c>
    </row>
    <row r="113" spans="1:8" x14ac:dyDescent="0.25">
      <c r="A113" s="8">
        <v>43081.539074074077</v>
      </c>
      <c r="B113" s="20" t="s">
        <v>379</v>
      </c>
      <c r="C113" s="20" t="s">
        <v>790</v>
      </c>
      <c r="D113" s="127">
        <v>1770000</v>
      </c>
      <c r="E113" s="20" t="s">
        <v>776</v>
      </c>
      <c r="F113" s="20" t="s">
        <v>777</v>
      </c>
      <c r="G113" s="8" t="str">
        <f t="shared" si="2"/>
        <v>BRUDER RICHARD</v>
      </c>
      <c r="H113" s="20" t="str">
        <f t="shared" si="3"/>
        <v>4030</v>
      </c>
    </row>
    <row r="114" spans="1:8" x14ac:dyDescent="0.25">
      <c r="A114" s="8">
        <v>43081.54105324074</v>
      </c>
      <c r="B114" s="20" t="s">
        <v>451</v>
      </c>
      <c r="C114" s="20" t="s">
        <v>682</v>
      </c>
      <c r="D114" s="127">
        <v>2970000</v>
      </c>
      <c r="E114" s="20" t="s">
        <v>608</v>
      </c>
      <c r="F114" s="20" t="s">
        <v>609</v>
      </c>
      <c r="G114" s="8" t="str">
        <f t="shared" si="2"/>
        <v>GUZMAN DANNY</v>
      </c>
      <c r="H114" s="20" t="str">
        <f t="shared" si="3"/>
        <v>4032</v>
      </c>
    </row>
    <row r="115" spans="1:8" x14ac:dyDescent="0.25">
      <c r="A115" s="8">
        <v>43081.541076388887</v>
      </c>
      <c r="B115" s="20" t="s">
        <v>423</v>
      </c>
      <c r="C115" s="20" t="s">
        <v>791</v>
      </c>
      <c r="D115" s="127">
        <v>2630000</v>
      </c>
      <c r="E115" s="20" t="s">
        <v>610</v>
      </c>
      <c r="F115" s="20" t="s">
        <v>611</v>
      </c>
      <c r="G115" s="8" t="str">
        <f t="shared" si="2"/>
        <v>SAFIEF AEIMEN</v>
      </c>
      <c r="H115" s="20" t="str">
        <f t="shared" si="3"/>
        <v>4021</v>
      </c>
    </row>
    <row r="116" spans="1:8" x14ac:dyDescent="0.25">
      <c r="A116" s="8">
        <v>43081.547546296293</v>
      </c>
      <c r="B116" s="20" t="s">
        <v>495</v>
      </c>
      <c r="C116" s="20" t="s">
        <v>792</v>
      </c>
      <c r="D116" s="127">
        <v>2040000</v>
      </c>
      <c r="E116" s="20" t="s">
        <v>382</v>
      </c>
      <c r="F116" s="20" t="s">
        <v>383</v>
      </c>
      <c r="G116" s="8" t="str">
        <f t="shared" si="2"/>
        <v>MOSES BRADLEY</v>
      </c>
      <c r="H116" s="20" t="str">
        <f t="shared" si="3"/>
        <v>4016</v>
      </c>
    </row>
    <row r="117" spans="1:8" x14ac:dyDescent="0.25">
      <c r="A117" s="8">
        <v>43081.558715277781</v>
      </c>
      <c r="B117" s="20" t="s">
        <v>367</v>
      </c>
      <c r="C117" s="20" t="s">
        <v>793</v>
      </c>
      <c r="D117" s="127">
        <v>920000</v>
      </c>
      <c r="E117" s="20" t="s">
        <v>607</v>
      </c>
      <c r="F117" s="20" t="s">
        <v>352</v>
      </c>
      <c r="G117" s="8" t="str">
        <f t="shared" si="2"/>
        <v>DAVIS MICHAEL</v>
      </c>
      <c r="H117" s="20" t="str">
        <f t="shared" si="3"/>
        <v>4011</v>
      </c>
    </row>
    <row r="118" spans="1:8" x14ac:dyDescent="0.25">
      <c r="A118" s="8">
        <v>43081.561423611114</v>
      </c>
      <c r="B118" s="20" t="s">
        <v>450</v>
      </c>
      <c r="C118" s="20" t="s">
        <v>794</v>
      </c>
      <c r="D118" s="127">
        <v>2970000</v>
      </c>
      <c r="E118" s="20" t="s">
        <v>608</v>
      </c>
      <c r="F118" s="20" t="s">
        <v>609</v>
      </c>
      <c r="G118" s="8" t="str">
        <f t="shared" si="2"/>
        <v>GUZMAN DANNY</v>
      </c>
      <c r="H118" s="20" t="str">
        <f t="shared" si="3"/>
        <v>4031</v>
      </c>
    </row>
    <row r="119" spans="1:8" x14ac:dyDescent="0.25">
      <c r="A119" s="8">
        <v>43081.562013888892</v>
      </c>
      <c r="B119" s="20" t="s">
        <v>444</v>
      </c>
      <c r="C119" s="20" t="s">
        <v>795</v>
      </c>
      <c r="D119" s="127">
        <v>1300000</v>
      </c>
      <c r="E119" s="20" t="s">
        <v>485</v>
      </c>
      <c r="F119" s="20" t="s">
        <v>486</v>
      </c>
      <c r="G119" s="8" t="str">
        <f t="shared" si="2"/>
        <v>LEVIN SCOTT</v>
      </c>
      <c r="H119" s="20" t="str">
        <f t="shared" si="3"/>
        <v>4058</v>
      </c>
    </row>
    <row r="120" spans="1:8" x14ac:dyDescent="0.25">
      <c r="A120" s="8">
        <v>43081.562928240739</v>
      </c>
      <c r="B120" s="20" t="s">
        <v>460</v>
      </c>
      <c r="C120" s="20" t="s">
        <v>796</v>
      </c>
      <c r="D120" s="127">
        <v>3680000</v>
      </c>
      <c r="E120" s="20" t="s">
        <v>476</v>
      </c>
      <c r="F120" s="20" t="s">
        <v>477</v>
      </c>
      <c r="G120" s="8" t="str">
        <f t="shared" si="2"/>
        <v>HAMMOND JUSTYNN</v>
      </c>
      <c r="H120" s="20" t="str">
        <f t="shared" si="3"/>
        <v>4009</v>
      </c>
    </row>
    <row r="121" spans="1:8" x14ac:dyDescent="0.25">
      <c r="A121" s="8">
        <v>43081.570462962962</v>
      </c>
      <c r="B121" s="20" t="s">
        <v>452</v>
      </c>
      <c r="C121" s="20" t="s">
        <v>797</v>
      </c>
      <c r="D121" s="127">
        <v>3840000</v>
      </c>
      <c r="E121" s="20" t="s">
        <v>483</v>
      </c>
      <c r="F121" s="20" t="s">
        <v>484</v>
      </c>
      <c r="G121" s="8" t="str">
        <f t="shared" si="2"/>
        <v>LONG FULLER</v>
      </c>
      <c r="H121" s="20" t="str">
        <f t="shared" si="3"/>
        <v>4006</v>
      </c>
    </row>
    <row r="122" spans="1:8" x14ac:dyDescent="0.25">
      <c r="A122" s="8">
        <v>43081.579062500001</v>
      </c>
      <c r="B122" s="25" t="s">
        <v>374</v>
      </c>
      <c r="C122" s="20" t="s">
        <v>798</v>
      </c>
      <c r="D122" s="127">
        <v>2630000</v>
      </c>
      <c r="E122" s="20" t="s">
        <v>610</v>
      </c>
      <c r="F122" s="20" t="s">
        <v>611</v>
      </c>
      <c r="G122" s="8" t="str">
        <f t="shared" si="2"/>
        <v>SAFIEF AEIMEN</v>
      </c>
      <c r="H122" s="20" t="str">
        <f t="shared" si="3"/>
        <v>4022</v>
      </c>
    </row>
    <row r="123" spans="1:8" x14ac:dyDescent="0.25">
      <c r="A123" s="8">
        <v>43081.579247685186</v>
      </c>
      <c r="B123" s="20" t="s">
        <v>376</v>
      </c>
      <c r="C123" s="20" t="s">
        <v>799</v>
      </c>
      <c r="D123" s="127">
        <v>1770000</v>
      </c>
      <c r="E123" s="20" t="s">
        <v>776</v>
      </c>
      <c r="F123" s="20" t="s">
        <v>777</v>
      </c>
      <c r="G123" s="8" t="str">
        <f t="shared" si="2"/>
        <v>BRUDER RICHARD</v>
      </c>
      <c r="H123" s="20" t="str">
        <f t="shared" si="3"/>
        <v>4029</v>
      </c>
    </row>
    <row r="124" spans="1:8" x14ac:dyDescent="0.25">
      <c r="A124" s="8">
        <v>43081.585057870368</v>
      </c>
      <c r="B124" s="20" t="s">
        <v>451</v>
      </c>
      <c r="C124" s="20" t="s">
        <v>800</v>
      </c>
      <c r="D124" s="127">
        <v>2970000</v>
      </c>
      <c r="E124" s="20" t="s">
        <v>608</v>
      </c>
      <c r="F124" s="20" t="s">
        <v>609</v>
      </c>
      <c r="G124" s="8" t="str">
        <f t="shared" si="2"/>
        <v>GUZMAN DANNY</v>
      </c>
      <c r="H124" s="20" t="str">
        <f t="shared" si="3"/>
        <v>4032</v>
      </c>
    </row>
    <row r="125" spans="1:8" x14ac:dyDescent="0.25">
      <c r="A125" s="8">
        <v>43081.589583333334</v>
      </c>
      <c r="B125" s="20" t="s">
        <v>494</v>
      </c>
      <c r="C125" s="20" t="s">
        <v>801</v>
      </c>
      <c r="D125" s="127">
        <v>2040000</v>
      </c>
      <c r="E125" s="20" t="s">
        <v>382</v>
      </c>
      <c r="F125" s="20" t="s">
        <v>383</v>
      </c>
      <c r="G125" s="8" t="str">
        <f t="shared" si="2"/>
        <v>MOSES BRADLEY</v>
      </c>
      <c r="H125" s="20" t="str">
        <f t="shared" si="3"/>
        <v>4015</v>
      </c>
    </row>
    <row r="126" spans="1:8" x14ac:dyDescent="0.25">
      <c r="A126" s="8">
        <v>43081.592256944445</v>
      </c>
      <c r="B126" s="20" t="s">
        <v>366</v>
      </c>
      <c r="C126" s="20" t="s">
        <v>802</v>
      </c>
      <c r="D126" s="127">
        <v>920000</v>
      </c>
      <c r="E126" s="20" t="s">
        <v>607</v>
      </c>
      <c r="F126" s="20" t="s">
        <v>352</v>
      </c>
      <c r="G126" s="8" t="str">
        <f t="shared" si="2"/>
        <v>DAVIS MICHAEL</v>
      </c>
      <c r="H126" s="20" t="str">
        <f t="shared" si="3"/>
        <v>4012</v>
      </c>
    </row>
    <row r="127" spans="1:8" x14ac:dyDescent="0.25">
      <c r="A127" s="8">
        <v>43081.593564814815</v>
      </c>
      <c r="B127" s="20" t="s">
        <v>478</v>
      </c>
      <c r="C127" s="20" t="s">
        <v>803</v>
      </c>
      <c r="D127" s="127">
        <v>1300000</v>
      </c>
      <c r="E127" s="20" t="s">
        <v>485</v>
      </c>
      <c r="F127" s="20" t="s">
        <v>486</v>
      </c>
      <c r="G127" s="8" t="str">
        <f t="shared" si="2"/>
        <v>LEVIN SCOTT</v>
      </c>
      <c r="H127" s="20" t="str">
        <f t="shared" si="3"/>
        <v>4057</v>
      </c>
    </row>
    <row r="128" spans="1:8" x14ac:dyDescent="0.25">
      <c r="A128" s="8">
        <v>43081.600706018522</v>
      </c>
      <c r="B128" s="20" t="s">
        <v>461</v>
      </c>
      <c r="C128" s="20" t="s">
        <v>804</v>
      </c>
      <c r="D128" s="127">
        <v>3680000</v>
      </c>
      <c r="E128" s="20" t="s">
        <v>476</v>
      </c>
      <c r="F128" s="20" t="s">
        <v>477</v>
      </c>
      <c r="G128" s="8" t="str">
        <f t="shared" si="2"/>
        <v>HAMMOND JUSTYNN</v>
      </c>
      <c r="H128" s="20" t="str">
        <f t="shared" si="3"/>
        <v>4010</v>
      </c>
    </row>
    <row r="129" spans="1:8" x14ac:dyDescent="0.25">
      <c r="A129" s="8">
        <v>43081.600717592592</v>
      </c>
      <c r="B129" s="20" t="s">
        <v>450</v>
      </c>
      <c r="C129" s="20" t="s">
        <v>805</v>
      </c>
      <c r="D129" s="127">
        <v>2970000</v>
      </c>
      <c r="E129" s="20" t="s">
        <v>608</v>
      </c>
      <c r="F129" s="20" t="s">
        <v>609</v>
      </c>
      <c r="G129" s="8" t="str">
        <f t="shared" si="2"/>
        <v>GUZMAN DANNY</v>
      </c>
      <c r="H129" s="20" t="str">
        <f t="shared" si="3"/>
        <v>4031</v>
      </c>
    </row>
    <row r="130" spans="1:8" x14ac:dyDescent="0.25">
      <c r="A130" s="8">
        <v>43081.608506944445</v>
      </c>
      <c r="B130" s="20" t="s">
        <v>686</v>
      </c>
      <c r="C130" s="20" t="s">
        <v>806</v>
      </c>
      <c r="D130" s="127">
        <v>3840000</v>
      </c>
      <c r="E130" s="20" t="s">
        <v>483</v>
      </c>
      <c r="F130" s="20" t="s">
        <v>484</v>
      </c>
      <c r="G130" s="8" t="str">
        <f t="shared" si="2"/>
        <v>LONG FULLER</v>
      </c>
      <c r="H130" s="20" t="str">
        <f t="shared" si="3"/>
        <v>4005</v>
      </c>
    </row>
    <row r="131" spans="1:8" x14ac:dyDescent="0.25">
      <c r="A131" s="8">
        <v>43081.610995370371</v>
      </c>
      <c r="B131" s="20" t="s">
        <v>379</v>
      </c>
      <c r="C131" s="20" t="s">
        <v>807</v>
      </c>
      <c r="D131" s="127">
        <v>1770000</v>
      </c>
      <c r="E131" s="20" t="s">
        <v>776</v>
      </c>
      <c r="F131" s="20" t="s">
        <v>777</v>
      </c>
      <c r="G131" s="8" t="str">
        <f t="shared" ref="G131:G194" si="4">E131&amp;" "&amp;F131</f>
        <v>BRUDER RICHARD</v>
      </c>
      <c r="H131" s="20" t="str">
        <f t="shared" ref="H131:H194" si="5">MID(B131,13,4)</f>
        <v>4030</v>
      </c>
    </row>
    <row r="132" spans="1:8" x14ac:dyDescent="0.25">
      <c r="A132" s="8">
        <v>43081.613379629627</v>
      </c>
      <c r="B132" s="20" t="s">
        <v>423</v>
      </c>
      <c r="C132" s="20" t="s">
        <v>808</v>
      </c>
      <c r="D132" s="127">
        <v>2630000</v>
      </c>
      <c r="E132" s="20" t="s">
        <v>610</v>
      </c>
      <c r="F132" s="20" t="s">
        <v>611</v>
      </c>
      <c r="G132" s="8" t="str">
        <f t="shared" si="4"/>
        <v>SAFIEF AEIMEN</v>
      </c>
      <c r="H132" s="20" t="str">
        <f t="shared" si="5"/>
        <v>4021</v>
      </c>
    </row>
    <row r="133" spans="1:8" x14ac:dyDescent="0.25">
      <c r="A133" s="8">
        <v>43081.62054398148</v>
      </c>
      <c r="B133" s="20" t="s">
        <v>495</v>
      </c>
      <c r="C133" s="20" t="s">
        <v>809</v>
      </c>
      <c r="D133" s="127">
        <v>880000</v>
      </c>
      <c r="E133" s="20" t="s">
        <v>414</v>
      </c>
      <c r="F133" s="20" t="s">
        <v>352</v>
      </c>
      <c r="G133" s="8" t="str">
        <f t="shared" si="4"/>
        <v>STEWART MICHAEL</v>
      </c>
      <c r="H133" s="20" t="str">
        <f t="shared" si="5"/>
        <v>4016</v>
      </c>
    </row>
    <row r="134" spans="1:8" x14ac:dyDescent="0.25">
      <c r="A134" s="8">
        <v>43081.628692129627</v>
      </c>
      <c r="B134" s="20" t="s">
        <v>451</v>
      </c>
      <c r="C134" s="20" t="s">
        <v>810</v>
      </c>
      <c r="D134" s="127">
        <v>2970000</v>
      </c>
      <c r="E134" s="20" t="s">
        <v>608</v>
      </c>
      <c r="F134" s="20" t="s">
        <v>609</v>
      </c>
      <c r="G134" s="8" t="str">
        <f t="shared" si="4"/>
        <v>GUZMAN DANNY</v>
      </c>
      <c r="H134" s="20" t="str">
        <f t="shared" si="5"/>
        <v>4032</v>
      </c>
    </row>
    <row r="135" spans="1:8" x14ac:dyDescent="0.25">
      <c r="A135" s="8">
        <v>43081.632627314815</v>
      </c>
      <c r="B135" s="20" t="s">
        <v>367</v>
      </c>
      <c r="C135" s="20" t="s">
        <v>811</v>
      </c>
      <c r="D135" s="127">
        <v>920000</v>
      </c>
      <c r="E135" s="20" t="s">
        <v>607</v>
      </c>
      <c r="F135" s="20" t="s">
        <v>352</v>
      </c>
      <c r="G135" s="8" t="str">
        <f t="shared" si="4"/>
        <v>DAVIS MICHAEL</v>
      </c>
      <c r="H135" s="20" t="str">
        <f t="shared" si="5"/>
        <v>4011</v>
      </c>
    </row>
    <row r="136" spans="1:8" x14ac:dyDescent="0.25">
      <c r="A136" s="8">
        <v>43081.633125</v>
      </c>
      <c r="B136" s="20" t="s">
        <v>444</v>
      </c>
      <c r="C136" s="20" t="s">
        <v>812</v>
      </c>
      <c r="D136" s="127">
        <v>1300000</v>
      </c>
      <c r="E136" s="20" t="s">
        <v>485</v>
      </c>
      <c r="F136" s="20" t="s">
        <v>486</v>
      </c>
      <c r="G136" s="8" t="str">
        <f t="shared" si="4"/>
        <v>LEVIN SCOTT</v>
      </c>
      <c r="H136" s="20" t="str">
        <f t="shared" si="5"/>
        <v>4058</v>
      </c>
    </row>
    <row r="137" spans="1:8" x14ac:dyDescent="0.25">
      <c r="A137" s="8">
        <v>43081.634594907409</v>
      </c>
      <c r="B137" s="20" t="s">
        <v>351</v>
      </c>
      <c r="C137" s="20" t="s">
        <v>813</v>
      </c>
      <c r="D137" s="127">
        <v>2000000</v>
      </c>
      <c r="E137" s="20" t="s">
        <v>380</v>
      </c>
      <c r="F137" s="20" t="s">
        <v>381</v>
      </c>
      <c r="G137" s="8" t="str">
        <f t="shared" si="4"/>
        <v>STAMBAUGH JAMES</v>
      </c>
      <c r="H137" s="20" t="str">
        <f t="shared" si="5"/>
        <v>4055</v>
      </c>
    </row>
    <row r="138" spans="1:8" x14ac:dyDescent="0.25">
      <c r="A138" s="8">
        <v>43081.635092592594</v>
      </c>
      <c r="B138" s="20" t="s">
        <v>460</v>
      </c>
      <c r="C138" s="20" t="s">
        <v>814</v>
      </c>
      <c r="D138" s="127">
        <v>3680000</v>
      </c>
      <c r="E138" s="20" t="s">
        <v>476</v>
      </c>
      <c r="F138" s="20" t="s">
        <v>477</v>
      </c>
      <c r="G138" s="8" t="str">
        <f t="shared" si="4"/>
        <v>HAMMOND JUSTYNN</v>
      </c>
      <c r="H138" s="20" t="str">
        <f t="shared" si="5"/>
        <v>4009</v>
      </c>
    </row>
    <row r="139" spans="1:8" x14ac:dyDescent="0.25">
      <c r="A139" s="8">
        <v>43081.642418981479</v>
      </c>
      <c r="B139" s="20" t="s">
        <v>450</v>
      </c>
      <c r="C139" s="20" t="s">
        <v>815</v>
      </c>
      <c r="D139" s="127">
        <v>2970000</v>
      </c>
      <c r="E139" s="20" t="s">
        <v>608</v>
      </c>
      <c r="F139" s="20" t="s">
        <v>609</v>
      </c>
      <c r="G139" s="8" t="str">
        <f t="shared" si="4"/>
        <v>GUZMAN DANNY</v>
      </c>
      <c r="H139" s="20" t="str">
        <f t="shared" si="5"/>
        <v>4031</v>
      </c>
    </row>
    <row r="140" spans="1:8" x14ac:dyDescent="0.25">
      <c r="A140" s="8">
        <v>43081.642847222225</v>
      </c>
      <c r="B140" s="20" t="s">
        <v>452</v>
      </c>
      <c r="C140" s="20" t="s">
        <v>816</v>
      </c>
      <c r="D140" s="127">
        <v>3840000</v>
      </c>
      <c r="E140" s="20" t="s">
        <v>483</v>
      </c>
      <c r="F140" s="20" t="s">
        <v>484</v>
      </c>
      <c r="G140" s="8" t="str">
        <f t="shared" si="4"/>
        <v>LONG FULLER</v>
      </c>
      <c r="H140" s="20" t="str">
        <f t="shared" si="5"/>
        <v>4006</v>
      </c>
    </row>
    <row r="141" spans="1:8" x14ac:dyDescent="0.25">
      <c r="A141" s="8">
        <v>43081.648275462961</v>
      </c>
      <c r="B141" s="20" t="s">
        <v>413</v>
      </c>
      <c r="C141" s="20" t="s">
        <v>683</v>
      </c>
      <c r="D141" s="127">
        <v>2000000</v>
      </c>
      <c r="E141" s="20" t="s">
        <v>380</v>
      </c>
      <c r="F141" s="20" t="s">
        <v>381</v>
      </c>
      <c r="G141" s="8" t="str">
        <f t="shared" si="4"/>
        <v>STAMBAUGH JAMES</v>
      </c>
      <c r="H141" s="20" t="str">
        <f t="shared" si="5"/>
        <v>4056</v>
      </c>
    </row>
    <row r="142" spans="1:8" x14ac:dyDescent="0.25">
      <c r="A142" s="8">
        <v>43081.651273148149</v>
      </c>
      <c r="B142" s="20" t="s">
        <v>376</v>
      </c>
      <c r="C142" s="20" t="s">
        <v>817</v>
      </c>
      <c r="D142" s="127">
        <v>1770000</v>
      </c>
      <c r="E142" s="20" t="s">
        <v>776</v>
      </c>
      <c r="F142" s="20" t="s">
        <v>777</v>
      </c>
      <c r="G142" s="8" t="str">
        <f t="shared" si="4"/>
        <v>BRUDER RICHARD</v>
      </c>
      <c r="H142" s="20" t="str">
        <f t="shared" si="5"/>
        <v>4029</v>
      </c>
    </row>
    <row r="143" spans="1:8" x14ac:dyDescent="0.25">
      <c r="A143" s="8">
        <v>43081.653321759259</v>
      </c>
      <c r="B143" s="20" t="s">
        <v>374</v>
      </c>
      <c r="C143" s="20" t="s">
        <v>818</v>
      </c>
      <c r="D143" s="127">
        <v>2630000</v>
      </c>
      <c r="E143" s="20" t="s">
        <v>610</v>
      </c>
      <c r="F143" s="20" t="s">
        <v>611</v>
      </c>
      <c r="G143" s="8" t="str">
        <f t="shared" si="4"/>
        <v>SAFIEF AEIMEN</v>
      </c>
      <c r="H143" s="20" t="str">
        <f t="shared" si="5"/>
        <v>4022</v>
      </c>
    </row>
    <row r="144" spans="1:8" x14ac:dyDescent="0.25">
      <c r="A144" s="8">
        <v>43081.662291666667</v>
      </c>
      <c r="B144" s="20" t="s">
        <v>494</v>
      </c>
      <c r="C144" s="20" t="s">
        <v>819</v>
      </c>
      <c r="D144" s="127">
        <v>880000</v>
      </c>
      <c r="E144" s="20" t="s">
        <v>414</v>
      </c>
      <c r="F144" s="20" t="s">
        <v>352</v>
      </c>
      <c r="G144" s="8" t="str">
        <f t="shared" si="4"/>
        <v>STEWART MICHAEL</v>
      </c>
      <c r="H144" s="20" t="str">
        <f t="shared" si="5"/>
        <v>4015</v>
      </c>
    </row>
    <row r="145" spans="1:8" x14ac:dyDescent="0.25">
      <c r="A145" s="8">
        <v>43081.663194444445</v>
      </c>
      <c r="B145" s="20" t="s">
        <v>351</v>
      </c>
      <c r="C145" s="20" t="s">
        <v>820</v>
      </c>
      <c r="D145" s="127">
        <v>2000000</v>
      </c>
      <c r="E145" s="20" t="s">
        <v>380</v>
      </c>
      <c r="F145" s="20" t="s">
        <v>381</v>
      </c>
      <c r="G145" s="8" t="str">
        <f t="shared" si="4"/>
        <v>STAMBAUGH JAMES</v>
      </c>
      <c r="H145" s="20" t="str">
        <f t="shared" si="5"/>
        <v>4055</v>
      </c>
    </row>
    <row r="146" spans="1:8" x14ac:dyDescent="0.25">
      <c r="A146" s="8">
        <v>43081.664965277778</v>
      </c>
      <c r="B146" s="20" t="s">
        <v>366</v>
      </c>
      <c r="C146" s="20" t="s">
        <v>821</v>
      </c>
      <c r="D146" s="127">
        <v>920000</v>
      </c>
      <c r="E146" s="20" t="s">
        <v>607</v>
      </c>
      <c r="F146" s="20" t="s">
        <v>352</v>
      </c>
      <c r="G146" s="8" t="str">
        <f t="shared" si="4"/>
        <v>DAVIS MICHAEL</v>
      </c>
      <c r="H146" s="20" t="str">
        <f t="shared" si="5"/>
        <v>4012</v>
      </c>
    </row>
    <row r="147" spans="1:8" x14ac:dyDescent="0.25">
      <c r="A147" s="8">
        <v>43081.66511574074</v>
      </c>
      <c r="B147" s="20" t="s">
        <v>451</v>
      </c>
      <c r="C147" s="20" t="s">
        <v>822</v>
      </c>
      <c r="D147" s="127">
        <v>2970000</v>
      </c>
      <c r="E147" s="20" t="s">
        <v>608</v>
      </c>
      <c r="F147" s="20" t="s">
        <v>609</v>
      </c>
      <c r="G147" s="8" t="str">
        <f t="shared" si="4"/>
        <v>GUZMAN DANNY</v>
      </c>
      <c r="H147" s="20" t="str">
        <f t="shared" si="5"/>
        <v>4032</v>
      </c>
    </row>
    <row r="148" spans="1:8" x14ac:dyDescent="0.25">
      <c r="A148" s="8">
        <v>43081.669942129629</v>
      </c>
      <c r="B148" s="20" t="s">
        <v>478</v>
      </c>
      <c r="C148" s="20" t="s">
        <v>823</v>
      </c>
      <c r="D148" s="127">
        <v>1300000</v>
      </c>
      <c r="E148" s="20" t="s">
        <v>485</v>
      </c>
      <c r="F148" s="20" t="s">
        <v>486</v>
      </c>
      <c r="G148" s="8" t="str">
        <f t="shared" si="4"/>
        <v>LEVIN SCOTT</v>
      </c>
      <c r="H148" s="20" t="str">
        <f t="shared" si="5"/>
        <v>4057</v>
      </c>
    </row>
    <row r="149" spans="1:8" x14ac:dyDescent="0.25">
      <c r="A149" s="8">
        <v>43081.67292824074</v>
      </c>
      <c r="B149" s="20" t="s">
        <v>461</v>
      </c>
      <c r="C149" s="20" t="s">
        <v>824</v>
      </c>
      <c r="D149" s="127">
        <v>2230000</v>
      </c>
      <c r="E149" s="20" t="s">
        <v>825</v>
      </c>
      <c r="F149" s="20" t="s">
        <v>352</v>
      </c>
      <c r="G149" s="8" t="str">
        <f t="shared" si="4"/>
        <v>SMITH MICHAEL</v>
      </c>
      <c r="H149" s="20" t="str">
        <f t="shared" si="5"/>
        <v>4010</v>
      </c>
    </row>
    <row r="150" spans="1:8" x14ac:dyDescent="0.25">
      <c r="A150" s="8">
        <v>43081.680069444446</v>
      </c>
      <c r="B150" s="20" t="s">
        <v>686</v>
      </c>
      <c r="C150" s="20" t="s">
        <v>826</v>
      </c>
      <c r="D150" s="127">
        <v>3840000</v>
      </c>
      <c r="E150" s="20" t="s">
        <v>483</v>
      </c>
      <c r="F150" s="20" t="s">
        <v>484</v>
      </c>
      <c r="G150" s="8" t="str">
        <f t="shared" si="4"/>
        <v>LONG FULLER</v>
      </c>
      <c r="H150" s="20" t="str">
        <f t="shared" si="5"/>
        <v>4005</v>
      </c>
    </row>
    <row r="151" spans="1:8" x14ac:dyDescent="0.25">
      <c r="A151" s="8">
        <v>43081.684317129628</v>
      </c>
      <c r="B151" s="20" t="s">
        <v>423</v>
      </c>
      <c r="C151" s="20" t="s">
        <v>827</v>
      </c>
      <c r="D151" s="127">
        <v>2630000</v>
      </c>
      <c r="E151" s="20" t="s">
        <v>610</v>
      </c>
      <c r="F151" s="20" t="s">
        <v>611</v>
      </c>
      <c r="G151" s="8" t="str">
        <f t="shared" si="4"/>
        <v>SAFIEF AEIMEN</v>
      </c>
      <c r="H151" s="20" t="str">
        <f t="shared" si="5"/>
        <v>4021</v>
      </c>
    </row>
    <row r="152" spans="1:8" x14ac:dyDescent="0.25">
      <c r="A152" s="8">
        <v>43081.684340277781</v>
      </c>
      <c r="B152" s="20" t="s">
        <v>567</v>
      </c>
      <c r="C152" s="20" t="s">
        <v>828</v>
      </c>
      <c r="D152" s="127">
        <v>1810000</v>
      </c>
      <c r="E152" s="20" t="s">
        <v>829</v>
      </c>
      <c r="F152" s="20" t="s">
        <v>381</v>
      </c>
      <c r="G152" s="8" t="str">
        <f t="shared" si="4"/>
        <v>NEWELL JAMES</v>
      </c>
      <c r="H152" s="20" t="str">
        <f t="shared" si="5"/>
        <v>4028</v>
      </c>
    </row>
    <row r="153" spans="1:8" x14ac:dyDescent="0.25">
      <c r="A153" s="8">
        <v>43081.684513888889</v>
      </c>
      <c r="B153" s="20" t="s">
        <v>450</v>
      </c>
      <c r="C153" s="20" t="s">
        <v>830</v>
      </c>
      <c r="D153" s="127">
        <v>2970000</v>
      </c>
      <c r="E153" s="20" t="s">
        <v>608</v>
      </c>
      <c r="F153" s="20" t="s">
        <v>609</v>
      </c>
      <c r="G153" s="8" t="str">
        <f t="shared" si="4"/>
        <v>GUZMAN DANNY</v>
      </c>
      <c r="H153" s="20" t="str">
        <f t="shared" si="5"/>
        <v>4031</v>
      </c>
    </row>
    <row r="154" spans="1:8" x14ac:dyDescent="0.25">
      <c r="A154" s="8">
        <v>43081.684745370374</v>
      </c>
      <c r="B154" s="20" t="s">
        <v>379</v>
      </c>
      <c r="C154" s="20" t="s">
        <v>831</v>
      </c>
      <c r="D154" s="127">
        <v>1770000</v>
      </c>
      <c r="E154" s="20" t="s">
        <v>776</v>
      </c>
      <c r="F154" s="20" t="s">
        <v>777</v>
      </c>
      <c r="G154" s="8" t="str">
        <f t="shared" si="4"/>
        <v>BRUDER RICHARD</v>
      </c>
      <c r="H154" s="20" t="str">
        <f t="shared" si="5"/>
        <v>4030</v>
      </c>
    </row>
    <row r="155" spans="1:8" x14ac:dyDescent="0.25">
      <c r="A155" s="8">
        <v>43081.690289351849</v>
      </c>
      <c r="B155" s="20" t="s">
        <v>413</v>
      </c>
      <c r="C155" s="20" t="s">
        <v>832</v>
      </c>
      <c r="D155" s="127">
        <v>2000000</v>
      </c>
      <c r="E155" s="20" t="s">
        <v>380</v>
      </c>
      <c r="F155" s="20" t="s">
        <v>381</v>
      </c>
      <c r="G155" s="8" t="str">
        <f t="shared" si="4"/>
        <v>STAMBAUGH JAMES</v>
      </c>
      <c r="H155" s="20" t="str">
        <f t="shared" si="5"/>
        <v>4056</v>
      </c>
    </row>
    <row r="156" spans="1:8" x14ac:dyDescent="0.25">
      <c r="A156" s="8">
        <v>43081.695138888892</v>
      </c>
      <c r="B156" s="20" t="s">
        <v>495</v>
      </c>
      <c r="C156" s="20" t="s">
        <v>833</v>
      </c>
      <c r="D156" s="127">
        <v>880000</v>
      </c>
      <c r="E156" s="20" t="s">
        <v>414</v>
      </c>
      <c r="F156" s="20" t="s">
        <v>352</v>
      </c>
      <c r="G156" s="8" t="str">
        <f t="shared" si="4"/>
        <v>STEWART MICHAEL</v>
      </c>
      <c r="H156" s="20" t="str">
        <f t="shared" si="5"/>
        <v>4016</v>
      </c>
    </row>
    <row r="157" spans="1:8" x14ac:dyDescent="0.25">
      <c r="A157" s="8">
        <v>43081.703680555554</v>
      </c>
      <c r="B157" s="20" t="s">
        <v>367</v>
      </c>
      <c r="C157" s="20" t="s">
        <v>834</v>
      </c>
      <c r="D157" s="127">
        <v>920000</v>
      </c>
      <c r="E157" s="20" t="s">
        <v>607</v>
      </c>
      <c r="F157" s="20" t="s">
        <v>352</v>
      </c>
      <c r="G157" s="8" t="str">
        <f t="shared" si="4"/>
        <v>DAVIS MICHAEL</v>
      </c>
      <c r="H157" s="20" t="str">
        <f t="shared" si="5"/>
        <v>4011</v>
      </c>
    </row>
    <row r="158" spans="1:8" x14ac:dyDescent="0.25">
      <c r="A158" s="8">
        <v>43081.705983796295</v>
      </c>
      <c r="B158" s="20" t="s">
        <v>444</v>
      </c>
      <c r="C158" s="20" t="s">
        <v>835</v>
      </c>
      <c r="D158" s="127">
        <v>1300000</v>
      </c>
      <c r="E158" s="20" t="s">
        <v>485</v>
      </c>
      <c r="F158" s="20" t="s">
        <v>486</v>
      </c>
      <c r="G158" s="8" t="str">
        <f t="shared" si="4"/>
        <v>LEVIN SCOTT</v>
      </c>
      <c r="H158" s="20" t="str">
        <f t="shared" si="5"/>
        <v>4058</v>
      </c>
    </row>
    <row r="159" spans="1:8" x14ac:dyDescent="0.25">
      <c r="A159" s="8">
        <v>43081.707106481481</v>
      </c>
      <c r="B159" s="20" t="s">
        <v>351</v>
      </c>
      <c r="C159" s="20" t="s">
        <v>684</v>
      </c>
      <c r="D159" s="127">
        <v>3680000</v>
      </c>
      <c r="E159" s="20" t="s">
        <v>476</v>
      </c>
      <c r="F159" s="20" t="s">
        <v>477</v>
      </c>
      <c r="G159" s="8" t="str">
        <f t="shared" si="4"/>
        <v>HAMMOND JUSTYNN</v>
      </c>
      <c r="H159" s="20" t="str">
        <f t="shared" si="5"/>
        <v>4055</v>
      </c>
    </row>
    <row r="160" spans="1:8" x14ac:dyDescent="0.25">
      <c r="A160" s="8">
        <v>43081.710949074077</v>
      </c>
      <c r="B160" s="20" t="s">
        <v>460</v>
      </c>
      <c r="C160" s="20" t="s">
        <v>836</v>
      </c>
      <c r="D160" s="127">
        <v>2230000</v>
      </c>
      <c r="E160" s="20" t="s">
        <v>825</v>
      </c>
      <c r="F160" s="20" t="s">
        <v>352</v>
      </c>
      <c r="G160" s="8" t="str">
        <f t="shared" si="4"/>
        <v>SMITH MICHAEL</v>
      </c>
      <c r="H160" s="20" t="str">
        <f t="shared" si="5"/>
        <v>4009</v>
      </c>
    </row>
    <row r="161" spans="1:8" x14ac:dyDescent="0.25">
      <c r="A161" s="8">
        <v>43081.712233796294</v>
      </c>
      <c r="B161" s="20" t="s">
        <v>451</v>
      </c>
      <c r="C161" s="20" t="s">
        <v>837</v>
      </c>
      <c r="D161" s="127">
        <v>2970000</v>
      </c>
      <c r="E161" s="20" t="s">
        <v>608</v>
      </c>
      <c r="F161" s="20" t="s">
        <v>609</v>
      </c>
      <c r="G161" s="8" t="str">
        <f t="shared" si="4"/>
        <v>GUZMAN DANNY</v>
      </c>
      <c r="H161" s="20" t="str">
        <f t="shared" si="5"/>
        <v>4032</v>
      </c>
    </row>
    <row r="162" spans="1:8" x14ac:dyDescent="0.25">
      <c r="A162" s="8">
        <v>43081.715057870373</v>
      </c>
      <c r="B162" s="20" t="s">
        <v>452</v>
      </c>
      <c r="C162" s="20" t="s">
        <v>838</v>
      </c>
      <c r="D162" s="127">
        <v>3840000</v>
      </c>
      <c r="E162" s="20" t="s">
        <v>483</v>
      </c>
      <c r="F162" s="20" t="s">
        <v>484</v>
      </c>
      <c r="G162" s="8" t="str">
        <f t="shared" si="4"/>
        <v>LONG FULLER</v>
      </c>
      <c r="H162" s="20" t="str">
        <f t="shared" si="5"/>
        <v>4006</v>
      </c>
    </row>
    <row r="163" spans="1:8" x14ac:dyDescent="0.25">
      <c r="A163" s="8">
        <v>43081.724259259259</v>
      </c>
      <c r="B163" s="20" t="s">
        <v>376</v>
      </c>
      <c r="C163" s="20" t="s">
        <v>839</v>
      </c>
      <c r="D163" s="127">
        <v>1770000</v>
      </c>
      <c r="E163" s="20" t="s">
        <v>776</v>
      </c>
      <c r="F163" s="20" t="s">
        <v>777</v>
      </c>
      <c r="G163" s="8" t="str">
        <f t="shared" si="4"/>
        <v>BRUDER RICHARD</v>
      </c>
      <c r="H163" s="20" t="str">
        <f t="shared" si="5"/>
        <v>4029</v>
      </c>
    </row>
    <row r="164" spans="1:8" x14ac:dyDescent="0.25">
      <c r="A164" s="8">
        <v>43081.726712962962</v>
      </c>
      <c r="B164" s="20" t="s">
        <v>450</v>
      </c>
      <c r="C164" s="20" t="s">
        <v>840</v>
      </c>
      <c r="D164" s="127">
        <v>2970000</v>
      </c>
      <c r="E164" s="20" t="s">
        <v>608</v>
      </c>
      <c r="F164" s="20" t="s">
        <v>609</v>
      </c>
      <c r="G164" s="8" t="str">
        <f t="shared" si="4"/>
        <v>GUZMAN DANNY</v>
      </c>
      <c r="H164" s="20" t="str">
        <f t="shared" si="5"/>
        <v>4031</v>
      </c>
    </row>
    <row r="165" spans="1:8" x14ac:dyDescent="0.25">
      <c r="A165" s="8">
        <v>43081.727314814816</v>
      </c>
      <c r="B165" s="20" t="s">
        <v>482</v>
      </c>
      <c r="C165" s="20" t="s">
        <v>685</v>
      </c>
      <c r="D165" s="127">
        <v>2040000</v>
      </c>
      <c r="E165" s="20" t="s">
        <v>382</v>
      </c>
      <c r="F165" s="20" t="s">
        <v>383</v>
      </c>
      <c r="G165" s="8" t="str">
        <f t="shared" si="4"/>
        <v>MOSES BRADLEY</v>
      </c>
      <c r="H165" s="20" t="str">
        <f t="shared" si="5"/>
        <v>4064</v>
      </c>
    </row>
    <row r="166" spans="1:8" x14ac:dyDescent="0.25">
      <c r="A166" s="8">
        <v>43081.73065972222</v>
      </c>
      <c r="B166" s="20" t="s">
        <v>374</v>
      </c>
      <c r="C166" s="20" t="s">
        <v>841</v>
      </c>
      <c r="D166" s="127">
        <v>2630000</v>
      </c>
      <c r="E166" s="20" t="s">
        <v>610</v>
      </c>
      <c r="F166" s="20" t="s">
        <v>611</v>
      </c>
      <c r="G166" s="8" t="str">
        <f t="shared" si="4"/>
        <v>SAFIEF AEIMEN</v>
      </c>
      <c r="H166" s="20" t="str">
        <f t="shared" si="5"/>
        <v>4022</v>
      </c>
    </row>
    <row r="167" spans="1:8" x14ac:dyDescent="0.25">
      <c r="A167" s="8">
        <v>43081.733564814815</v>
      </c>
      <c r="B167" s="20" t="s">
        <v>413</v>
      </c>
      <c r="C167" s="20" t="s">
        <v>842</v>
      </c>
      <c r="D167" s="127">
        <v>3680000</v>
      </c>
      <c r="E167" s="20" t="s">
        <v>476</v>
      </c>
      <c r="F167" s="20" t="s">
        <v>477</v>
      </c>
      <c r="G167" s="8" t="str">
        <f t="shared" si="4"/>
        <v>HAMMOND JUSTYNN</v>
      </c>
      <c r="H167" s="20" t="str">
        <f t="shared" si="5"/>
        <v>4056</v>
      </c>
    </row>
    <row r="168" spans="1:8" x14ac:dyDescent="0.25">
      <c r="A168" s="8">
        <v>43081.733587962961</v>
      </c>
      <c r="B168" s="20" t="s">
        <v>494</v>
      </c>
      <c r="C168" s="20" t="s">
        <v>843</v>
      </c>
      <c r="D168" s="127">
        <v>880000</v>
      </c>
      <c r="E168" s="20" t="s">
        <v>414</v>
      </c>
      <c r="F168" s="20" t="s">
        <v>352</v>
      </c>
      <c r="G168" s="8" t="str">
        <f t="shared" si="4"/>
        <v>STEWART MICHAEL</v>
      </c>
      <c r="H168" s="20" t="str">
        <f t="shared" si="5"/>
        <v>4015</v>
      </c>
    </row>
    <row r="169" spans="1:8" x14ac:dyDescent="0.25">
      <c r="A169" s="8">
        <v>43081.737303240741</v>
      </c>
      <c r="B169" s="20" t="s">
        <v>568</v>
      </c>
      <c r="C169" s="20" t="s">
        <v>844</v>
      </c>
      <c r="D169" s="127">
        <v>2610000</v>
      </c>
      <c r="E169" s="20" t="s">
        <v>845</v>
      </c>
      <c r="F169" s="20" t="s">
        <v>846</v>
      </c>
      <c r="G169" s="8" t="str">
        <f t="shared" si="4"/>
        <v>MAGEE KENYA</v>
      </c>
      <c r="H169" s="20" t="str">
        <f t="shared" si="5"/>
        <v>4013</v>
      </c>
    </row>
    <row r="170" spans="1:8" x14ac:dyDescent="0.25">
      <c r="A170" s="8">
        <v>43081.738333333335</v>
      </c>
      <c r="B170" s="20" t="s">
        <v>366</v>
      </c>
      <c r="C170" s="20" t="s">
        <v>847</v>
      </c>
      <c r="D170" s="127">
        <v>3810000</v>
      </c>
      <c r="E170" s="20" t="s">
        <v>424</v>
      </c>
      <c r="F170" s="20" t="s">
        <v>425</v>
      </c>
      <c r="G170" s="8" t="str">
        <f t="shared" si="4"/>
        <v>LORI SANTOS</v>
      </c>
      <c r="H170" s="20" t="str">
        <f t="shared" si="5"/>
        <v>4012</v>
      </c>
    </row>
    <row r="171" spans="1:8" x14ac:dyDescent="0.25">
      <c r="A171" s="8">
        <v>43081.738807870373</v>
      </c>
      <c r="B171" s="20" t="s">
        <v>478</v>
      </c>
      <c r="C171" s="20" t="s">
        <v>688</v>
      </c>
      <c r="D171" s="127">
        <v>1300000</v>
      </c>
      <c r="E171" s="20" t="s">
        <v>485</v>
      </c>
      <c r="F171" s="20" t="s">
        <v>486</v>
      </c>
      <c r="G171" s="8" t="str">
        <f t="shared" si="4"/>
        <v>LEVIN SCOTT</v>
      </c>
      <c r="H171" s="20" t="str">
        <f t="shared" si="5"/>
        <v>4057</v>
      </c>
    </row>
    <row r="172" spans="1:8" x14ac:dyDescent="0.25">
      <c r="A172" s="8">
        <v>43081.745208333334</v>
      </c>
      <c r="B172" s="20" t="s">
        <v>461</v>
      </c>
      <c r="C172" s="20" t="s">
        <v>848</v>
      </c>
      <c r="D172" s="127">
        <v>2230000</v>
      </c>
      <c r="E172" s="20" t="s">
        <v>825</v>
      </c>
      <c r="F172" s="20" t="s">
        <v>352</v>
      </c>
      <c r="G172" s="8" t="str">
        <f t="shared" si="4"/>
        <v>SMITH MICHAEL</v>
      </c>
      <c r="H172" s="20" t="str">
        <f t="shared" si="5"/>
        <v>4010</v>
      </c>
    </row>
    <row r="173" spans="1:8" x14ac:dyDescent="0.25">
      <c r="A173" s="8">
        <v>43081.748564814814</v>
      </c>
      <c r="B173" s="20" t="s">
        <v>351</v>
      </c>
      <c r="C173" s="20" t="s">
        <v>849</v>
      </c>
      <c r="D173" s="127">
        <v>3680000</v>
      </c>
      <c r="E173" s="20" t="s">
        <v>476</v>
      </c>
      <c r="F173" s="20" t="s">
        <v>477</v>
      </c>
      <c r="G173" s="8" t="str">
        <f t="shared" si="4"/>
        <v>HAMMOND JUSTYNN</v>
      </c>
      <c r="H173" s="20" t="str">
        <f t="shared" si="5"/>
        <v>4055</v>
      </c>
    </row>
    <row r="174" spans="1:8" x14ac:dyDescent="0.25">
      <c r="A174" s="8">
        <v>43081.754120370373</v>
      </c>
      <c r="B174" s="20" t="s">
        <v>451</v>
      </c>
      <c r="C174" s="20" t="s">
        <v>850</v>
      </c>
      <c r="D174" s="127">
        <v>2970000</v>
      </c>
      <c r="E174" s="20" t="s">
        <v>608</v>
      </c>
      <c r="F174" s="20" t="s">
        <v>609</v>
      </c>
      <c r="G174" s="8" t="str">
        <f t="shared" si="4"/>
        <v>GUZMAN DANNY</v>
      </c>
      <c r="H174" s="20" t="str">
        <f t="shared" si="5"/>
        <v>4032</v>
      </c>
    </row>
    <row r="175" spans="1:8" x14ac:dyDescent="0.25">
      <c r="A175" s="8">
        <v>43081.754560185182</v>
      </c>
      <c r="B175" s="20" t="s">
        <v>686</v>
      </c>
      <c r="C175" s="20" t="s">
        <v>687</v>
      </c>
      <c r="D175" s="127">
        <v>3840000</v>
      </c>
      <c r="E175" s="20" t="s">
        <v>483</v>
      </c>
      <c r="F175" s="20" t="s">
        <v>484</v>
      </c>
      <c r="G175" s="8" t="str">
        <f t="shared" si="4"/>
        <v>LONG FULLER</v>
      </c>
      <c r="H175" s="20" t="str">
        <f t="shared" si="5"/>
        <v>4005</v>
      </c>
    </row>
    <row r="176" spans="1:8" x14ac:dyDescent="0.25">
      <c r="A176" s="8">
        <v>43081.757384259261</v>
      </c>
      <c r="B176" s="20" t="s">
        <v>379</v>
      </c>
      <c r="C176" s="20" t="s">
        <v>851</v>
      </c>
      <c r="D176" s="127">
        <v>3320000</v>
      </c>
      <c r="E176" s="20" t="s">
        <v>360</v>
      </c>
      <c r="F176" s="20" t="s">
        <v>361</v>
      </c>
      <c r="G176" s="8" t="str">
        <f t="shared" si="4"/>
        <v>NICHOLSON WESLEY</v>
      </c>
      <c r="H176" s="20" t="str">
        <f t="shared" si="5"/>
        <v>4030</v>
      </c>
    </row>
    <row r="177" spans="1:8" x14ac:dyDescent="0.25">
      <c r="A177" s="8">
        <v>43081.761365740742</v>
      </c>
      <c r="B177" s="20" t="s">
        <v>423</v>
      </c>
      <c r="C177" s="20" t="s">
        <v>852</v>
      </c>
      <c r="D177" s="127">
        <v>2630000</v>
      </c>
      <c r="E177" s="20" t="s">
        <v>610</v>
      </c>
      <c r="F177" s="20" t="s">
        <v>611</v>
      </c>
      <c r="G177" s="8" t="str">
        <f t="shared" si="4"/>
        <v>SAFIEF AEIMEN</v>
      </c>
      <c r="H177" s="20" t="str">
        <f t="shared" si="5"/>
        <v>4021</v>
      </c>
    </row>
    <row r="178" spans="1:8" x14ac:dyDescent="0.25">
      <c r="A178" s="8">
        <v>43081.769502314812</v>
      </c>
      <c r="B178" s="20" t="s">
        <v>495</v>
      </c>
      <c r="C178" s="20" t="s">
        <v>853</v>
      </c>
      <c r="D178" s="127">
        <v>3310000</v>
      </c>
      <c r="E178" s="20" t="s">
        <v>445</v>
      </c>
      <c r="F178" s="20" t="s">
        <v>446</v>
      </c>
      <c r="G178" s="8" t="str">
        <f t="shared" si="4"/>
        <v>ANDERS STEVEN</v>
      </c>
      <c r="H178" s="20" t="str">
        <f t="shared" si="5"/>
        <v>4016</v>
      </c>
    </row>
    <row r="179" spans="1:8" x14ac:dyDescent="0.25">
      <c r="A179" s="8">
        <v>43081.770231481481</v>
      </c>
      <c r="B179" s="20" t="s">
        <v>450</v>
      </c>
      <c r="C179" s="20" t="s">
        <v>854</v>
      </c>
      <c r="D179" s="127">
        <v>2970000</v>
      </c>
      <c r="E179" s="20" t="s">
        <v>608</v>
      </c>
      <c r="F179" s="20" t="s">
        <v>609</v>
      </c>
      <c r="G179" s="8" t="str">
        <f t="shared" si="4"/>
        <v>GUZMAN DANNY</v>
      </c>
      <c r="H179" s="20" t="str">
        <f t="shared" si="5"/>
        <v>4031</v>
      </c>
    </row>
    <row r="180" spans="1:8" x14ac:dyDescent="0.25">
      <c r="A180" s="8">
        <v>43081.774375000001</v>
      </c>
      <c r="B180" s="20" t="s">
        <v>413</v>
      </c>
      <c r="C180" s="20" t="s">
        <v>689</v>
      </c>
      <c r="D180" s="127">
        <v>3680000</v>
      </c>
      <c r="E180" s="20" t="s">
        <v>476</v>
      </c>
      <c r="F180" s="20" t="s">
        <v>477</v>
      </c>
      <c r="G180" s="8" t="str">
        <f t="shared" si="4"/>
        <v>HAMMOND JUSTYNN</v>
      </c>
      <c r="H180" s="20" t="str">
        <f t="shared" si="5"/>
        <v>4056</v>
      </c>
    </row>
    <row r="181" spans="1:8" x14ac:dyDescent="0.25">
      <c r="A181" s="8">
        <v>43081.776886574073</v>
      </c>
      <c r="B181" s="20" t="s">
        <v>367</v>
      </c>
      <c r="C181" s="20" t="s">
        <v>855</v>
      </c>
      <c r="D181" s="127">
        <v>3810000</v>
      </c>
      <c r="E181" s="20" t="s">
        <v>424</v>
      </c>
      <c r="F181" s="20" t="s">
        <v>425</v>
      </c>
      <c r="G181" s="8" t="str">
        <f t="shared" si="4"/>
        <v>LORI SANTOS</v>
      </c>
      <c r="H181" s="20" t="str">
        <f t="shared" si="5"/>
        <v>4011</v>
      </c>
    </row>
    <row r="182" spans="1:8" x14ac:dyDescent="0.25">
      <c r="A182" s="8">
        <v>43081.782407407409</v>
      </c>
      <c r="B182" s="20" t="s">
        <v>460</v>
      </c>
      <c r="C182" s="20" t="s">
        <v>856</v>
      </c>
      <c r="D182" s="127">
        <v>2230000</v>
      </c>
      <c r="E182" s="20" t="s">
        <v>825</v>
      </c>
      <c r="F182" s="20" t="s">
        <v>352</v>
      </c>
      <c r="G182" s="8" t="str">
        <f t="shared" si="4"/>
        <v>SMITH MICHAEL</v>
      </c>
      <c r="H182" s="20" t="str">
        <f t="shared" si="5"/>
        <v>4009</v>
      </c>
    </row>
    <row r="183" spans="1:8" x14ac:dyDescent="0.25">
      <c r="A183" s="8">
        <v>43081.789571759262</v>
      </c>
      <c r="B183" s="20" t="s">
        <v>452</v>
      </c>
      <c r="C183" s="20" t="s">
        <v>857</v>
      </c>
      <c r="D183" s="127">
        <v>3220000</v>
      </c>
      <c r="E183" s="20" t="s">
        <v>370</v>
      </c>
      <c r="F183" s="20" t="s">
        <v>371</v>
      </c>
      <c r="G183" s="8" t="str">
        <f t="shared" si="4"/>
        <v>RESPASS AARON</v>
      </c>
      <c r="H183" s="20" t="str">
        <f t="shared" si="5"/>
        <v>4006</v>
      </c>
    </row>
    <row r="184" spans="1:8" x14ac:dyDescent="0.25">
      <c r="A184" s="8">
        <v>43081.790590277778</v>
      </c>
      <c r="B184" s="20" t="s">
        <v>376</v>
      </c>
      <c r="C184" s="20" t="s">
        <v>858</v>
      </c>
      <c r="D184" s="127">
        <v>3320000</v>
      </c>
      <c r="E184" s="20" t="s">
        <v>360</v>
      </c>
      <c r="F184" s="20" t="s">
        <v>361</v>
      </c>
      <c r="G184" s="8" t="str">
        <f t="shared" si="4"/>
        <v>NICHOLSON WESLEY</v>
      </c>
      <c r="H184" s="20" t="str">
        <f t="shared" si="5"/>
        <v>4029</v>
      </c>
    </row>
    <row r="185" spans="1:8" x14ac:dyDescent="0.25">
      <c r="A185" s="8">
        <v>43081.791331018518</v>
      </c>
      <c r="B185" s="20" t="s">
        <v>351</v>
      </c>
      <c r="C185" s="20" t="s">
        <v>859</v>
      </c>
      <c r="D185" s="127">
        <v>3680000</v>
      </c>
      <c r="E185" s="20" t="s">
        <v>476</v>
      </c>
      <c r="F185" s="20" t="s">
        <v>477</v>
      </c>
      <c r="G185" s="8" t="str">
        <f t="shared" si="4"/>
        <v>HAMMOND JUSTYNN</v>
      </c>
      <c r="H185" s="20" t="str">
        <f t="shared" si="5"/>
        <v>4055</v>
      </c>
    </row>
    <row r="186" spans="1:8" x14ac:dyDescent="0.25">
      <c r="A186" s="8">
        <v>43081.792997685188</v>
      </c>
      <c r="B186" s="20" t="s">
        <v>451</v>
      </c>
      <c r="C186" s="20" t="s">
        <v>860</v>
      </c>
      <c r="D186" s="127">
        <v>2970000</v>
      </c>
      <c r="E186" s="20" t="s">
        <v>608</v>
      </c>
      <c r="F186" s="20" t="s">
        <v>609</v>
      </c>
      <c r="G186" s="8" t="str">
        <f t="shared" si="4"/>
        <v>GUZMAN DANNY</v>
      </c>
      <c r="H186" s="20" t="str">
        <f t="shared" si="5"/>
        <v>4032</v>
      </c>
    </row>
    <row r="187" spans="1:8" x14ac:dyDescent="0.25">
      <c r="A187" s="8">
        <v>43081.799849537034</v>
      </c>
      <c r="B187" s="20" t="s">
        <v>374</v>
      </c>
      <c r="C187" s="20" t="s">
        <v>861</v>
      </c>
      <c r="D187" s="127">
        <v>2630000</v>
      </c>
      <c r="E187" s="20" t="s">
        <v>610</v>
      </c>
      <c r="F187" s="20" t="s">
        <v>611</v>
      </c>
      <c r="G187" s="8" t="str">
        <f t="shared" si="4"/>
        <v>SAFIEF AEIMEN</v>
      </c>
      <c r="H187" s="20" t="str">
        <f t="shared" si="5"/>
        <v>4022</v>
      </c>
    </row>
    <row r="188" spans="1:8" x14ac:dyDescent="0.25">
      <c r="A188" s="8">
        <v>43081.809965277775</v>
      </c>
      <c r="B188" s="20" t="s">
        <v>494</v>
      </c>
      <c r="C188" s="20" t="s">
        <v>862</v>
      </c>
      <c r="D188" s="127">
        <v>3310000</v>
      </c>
      <c r="E188" s="20" t="s">
        <v>445</v>
      </c>
      <c r="F188" s="20" t="s">
        <v>446</v>
      </c>
      <c r="G188" s="8" t="str">
        <f t="shared" si="4"/>
        <v>ANDERS STEVEN</v>
      </c>
      <c r="H188" s="20" t="str">
        <f t="shared" si="5"/>
        <v>4015</v>
      </c>
    </row>
    <row r="189" spans="1:8" x14ac:dyDescent="0.25">
      <c r="A189" s="8">
        <v>43081.810011574074</v>
      </c>
      <c r="B189" s="20" t="s">
        <v>450</v>
      </c>
      <c r="C189" s="20" t="s">
        <v>863</v>
      </c>
      <c r="D189" s="127">
        <v>2970000</v>
      </c>
      <c r="E189" s="20" t="s">
        <v>608</v>
      </c>
      <c r="F189" s="20" t="s">
        <v>609</v>
      </c>
      <c r="G189" s="8" t="str">
        <f t="shared" si="4"/>
        <v>GUZMAN DANNY</v>
      </c>
      <c r="H189" s="20" t="str">
        <f t="shared" si="5"/>
        <v>4031</v>
      </c>
    </row>
    <row r="190" spans="1:8" x14ac:dyDescent="0.25">
      <c r="A190" s="8">
        <v>43081.811111111114</v>
      </c>
      <c r="B190" s="20" t="s">
        <v>366</v>
      </c>
      <c r="C190" s="20" t="s">
        <v>864</v>
      </c>
      <c r="D190" s="127">
        <v>890000</v>
      </c>
      <c r="E190" s="20" t="s">
        <v>344</v>
      </c>
      <c r="F190" s="20" t="s">
        <v>345</v>
      </c>
      <c r="G190" s="8" t="str">
        <f t="shared" si="4"/>
        <v>LOZA FIDEL</v>
      </c>
      <c r="H190" s="20" t="str">
        <f t="shared" si="5"/>
        <v>4012</v>
      </c>
    </row>
    <row r="191" spans="1:8" x14ac:dyDescent="0.25">
      <c r="A191" s="8">
        <v>43081.818819444445</v>
      </c>
      <c r="B191" s="20" t="s">
        <v>461</v>
      </c>
      <c r="C191" s="20" t="s">
        <v>865</v>
      </c>
      <c r="D191" s="127">
        <v>2230000</v>
      </c>
      <c r="E191" s="20" t="s">
        <v>825</v>
      </c>
      <c r="F191" s="20" t="s">
        <v>352</v>
      </c>
      <c r="G191" s="8" t="str">
        <f t="shared" si="4"/>
        <v>SMITH MICHAEL</v>
      </c>
      <c r="H191" s="20" t="str">
        <f t="shared" si="5"/>
        <v>4010</v>
      </c>
    </row>
    <row r="192" spans="1:8" x14ac:dyDescent="0.25">
      <c r="A192" s="8">
        <v>43081.828402777777</v>
      </c>
      <c r="B192" s="20" t="s">
        <v>686</v>
      </c>
      <c r="C192" s="20" t="s">
        <v>690</v>
      </c>
      <c r="D192" s="127">
        <v>3220000</v>
      </c>
      <c r="E192" s="20" t="s">
        <v>370</v>
      </c>
      <c r="F192" s="20" t="s">
        <v>371</v>
      </c>
      <c r="G192" s="8" t="str">
        <f t="shared" si="4"/>
        <v>RESPASS AARON</v>
      </c>
      <c r="H192" s="20" t="str">
        <f t="shared" si="5"/>
        <v>4005</v>
      </c>
    </row>
    <row r="193" spans="1:8" x14ac:dyDescent="0.25">
      <c r="A193" s="8">
        <v>43081.829907407409</v>
      </c>
      <c r="B193" s="20" t="s">
        <v>379</v>
      </c>
      <c r="C193" s="20" t="s">
        <v>866</v>
      </c>
      <c r="D193" s="127">
        <v>3320000</v>
      </c>
      <c r="E193" s="20" t="s">
        <v>360</v>
      </c>
      <c r="F193" s="20" t="s">
        <v>361</v>
      </c>
      <c r="G193" s="8" t="str">
        <f t="shared" si="4"/>
        <v>NICHOLSON WESLEY</v>
      </c>
      <c r="H193" s="20" t="str">
        <f t="shared" si="5"/>
        <v>4030</v>
      </c>
    </row>
    <row r="194" spans="1:8" x14ac:dyDescent="0.25">
      <c r="A194" s="8">
        <v>43081.833761574075</v>
      </c>
      <c r="B194" s="20" t="s">
        <v>451</v>
      </c>
      <c r="C194" s="20" t="s">
        <v>867</v>
      </c>
      <c r="D194" s="127">
        <v>2610000</v>
      </c>
      <c r="E194" s="20" t="s">
        <v>845</v>
      </c>
      <c r="F194" s="20" t="s">
        <v>846</v>
      </c>
      <c r="G194" s="8" t="str">
        <f t="shared" si="4"/>
        <v>MAGEE KENYA</v>
      </c>
      <c r="H194" s="20" t="str">
        <f t="shared" si="5"/>
        <v>4032</v>
      </c>
    </row>
    <row r="195" spans="1:8" x14ac:dyDescent="0.25">
      <c r="A195" s="8">
        <v>43081.850810185184</v>
      </c>
      <c r="B195" s="20" t="s">
        <v>367</v>
      </c>
      <c r="C195" s="20" t="s">
        <v>868</v>
      </c>
      <c r="D195" s="127">
        <v>3810000</v>
      </c>
      <c r="E195" s="20" t="s">
        <v>424</v>
      </c>
      <c r="F195" s="20" t="s">
        <v>425</v>
      </c>
      <c r="G195" s="8" t="str">
        <f t="shared" ref="G195:G258" si="6">E195&amp;" "&amp;F195</f>
        <v>LORI SANTOS</v>
      </c>
      <c r="H195" s="20" t="str">
        <f t="shared" ref="H195:H258" si="7">MID(B195,13,4)</f>
        <v>4011</v>
      </c>
    </row>
    <row r="196" spans="1:8" x14ac:dyDescent="0.25">
      <c r="A196" s="8">
        <v>43081.851736111108</v>
      </c>
      <c r="B196" s="20" t="s">
        <v>450</v>
      </c>
      <c r="C196" s="20" t="s">
        <v>869</v>
      </c>
      <c r="D196" s="127">
        <v>2610000</v>
      </c>
      <c r="E196" s="20" t="s">
        <v>845</v>
      </c>
      <c r="F196" s="20" t="s">
        <v>846</v>
      </c>
      <c r="G196" s="8" t="str">
        <f t="shared" si="6"/>
        <v>MAGEE KENYA</v>
      </c>
      <c r="H196" s="20" t="str">
        <f t="shared" si="7"/>
        <v>4031</v>
      </c>
    </row>
    <row r="197" spans="1:8" x14ac:dyDescent="0.25">
      <c r="A197" s="8">
        <v>43081.853715277779</v>
      </c>
      <c r="B197" s="20" t="s">
        <v>495</v>
      </c>
      <c r="C197" s="20" t="s">
        <v>870</v>
      </c>
      <c r="D197" s="127">
        <v>3310000</v>
      </c>
      <c r="E197" s="20" t="s">
        <v>445</v>
      </c>
      <c r="F197" s="20" t="s">
        <v>446</v>
      </c>
      <c r="G197" s="8" t="str">
        <f t="shared" si="6"/>
        <v>ANDERS STEVEN</v>
      </c>
      <c r="H197" s="20" t="str">
        <f t="shared" si="7"/>
        <v>4016</v>
      </c>
    </row>
    <row r="198" spans="1:8" x14ac:dyDescent="0.25">
      <c r="A198" s="8">
        <v>43081.858599537038</v>
      </c>
      <c r="B198" s="20" t="s">
        <v>495</v>
      </c>
      <c r="C198" s="20" t="s">
        <v>870</v>
      </c>
      <c r="D198" s="127">
        <v>3310000</v>
      </c>
      <c r="E198" s="20" t="s">
        <v>445</v>
      </c>
      <c r="F198" s="20" t="s">
        <v>446</v>
      </c>
      <c r="G198" s="8" t="str">
        <f t="shared" si="6"/>
        <v>ANDERS STEVEN</v>
      </c>
      <c r="H198" s="20" t="str">
        <f t="shared" si="7"/>
        <v>4016</v>
      </c>
    </row>
    <row r="199" spans="1:8" x14ac:dyDescent="0.25">
      <c r="A199" s="8">
        <v>43081.864548611113</v>
      </c>
      <c r="B199" s="20" t="s">
        <v>376</v>
      </c>
      <c r="C199" s="20" t="s">
        <v>871</v>
      </c>
      <c r="D199" s="127">
        <v>3320000</v>
      </c>
      <c r="E199" s="20" t="s">
        <v>360</v>
      </c>
      <c r="F199" s="20" t="s">
        <v>361</v>
      </c>
      <c r="G199" s="8" t="str">
        <f t="shared" si="6"/>
        <v>NICHOLSON WESLEY</v>
      </c>
      <c r="H199" s="20" t="str">
        <f t="shared" si="7"/>
        <v>4029</v>
      </c>
    </row>
    <row r="200" spans="1:8" x14ac:dyDescent="0.25">
      <c r="A200" s="8">
        <v>43081.871261574073</v>
      </c>
      <c r="B200" s="20" t="s">
        <v>452</v>
      </c>
      <c r="C200" s="20" t="s">
        <v>872</v>
      </c>
      <c r="D200" s="127">
        <v>3130000</v>
      </c>
      <c r="E200" s="20" t="s">
        <v>873</v>
      </c>
      <c r="F200" s="20" t="s">
        <v>874</v>
      </c>
      <c r="G200" s="8" t="str">
        <f t="shared" si="6"/>
        <v>ZEWDU DEREJE</v>
      </c>
      <c r="H200" s="20" t="str">
        <f t="shared" si="7"/>
        <v>4006</v>
      </c>
    </row>
    <row r="201" spans="1:8" x14ac:dyDescent="0.25">
      <c r="A201" s="8">
        <v>43081.877071759256</v>
      </c>
      <c r="B201" s="20" t="s">
        <v>451</v>
      </c>
      <c r="C201" s="20" t="s">
        <v>875</v>
      </c>
      <c r="D201" s="127">
        <v>2000000</v>
      </c>
      <c r="E201" s="20" t="s">
        <v>380</v>
      </c>
      <c r="F201" s="20" t="s">
        <v>381</v>
      </c>
      <c r="G201" s="8" t="str">
        <f t="shared" si="6"/>
        <v>STAMBAUGH JAMES</v>
      </c>
      <c r="H201" s="20" t="str">
        <f t="shared" si="7"/>
        <v>4032</v>
      </c>
    </row>
    <row r="202" spans="1:8" x14ac:dyDescent="0.25">
      <c r="A202" s="26">
        <v>43081.883634259262</v>
      </c>
      <c r="B202" s="20" t="s">
        <v>494</v>
      </c>
      <c r="C202" s="20" t="s">
        <v>876</v>
      </c>
      <c r="D202" s="127">
        <v>3310000</v>
      </c>
      <c r="E202" s="20" t="s">
        <v>445</v>
      </c>
      <c r="F202" s="20" t="s">
        <v>446</v>
      </c>
      <c r="G202" s="8" t="str">
        <f t="shared" si="6"/>
        <v>ANDERS STEVEN</v>
      </c>
      <c r="H202" s="20" t="str">
        <f t="shared" si="7"/>
        <v>4015</v>
      </c>
    </row>
    <row r="203" spans="1:8" x14ac:dyDescent="0.25">
      <c r="A203" s="8">
        <v>43081.884120370371</v>
      </c>
      <c r="B203" s="20" t="s">
        <v>366</v>
      </c>
      <c r="C203" s="20" t="s">
        <v>877</v>
      </c>
      <c r="D203" s="127">
        <v>890000</v>
      </c>
      <c r="E203" s="20" t="s">
        <v>344</v>
      </c>
      <c r="F203" s="20" t="s">
        <v>345</v>
      </c>
      <c r="G203" s="8" t="str">
        <f t="shared" si="6"/>
        <v>LOZA FIDEL</v>
      </c>
      <c r="H203" s="20" t="str">
        <f t="shared" si="7"/>
        <v>4012</v>
      </c>
    </row>
    <row r="204" spans="1:8" x14ac:dyDescent="0.25">
      <c r="A204" s="8">
        <v>43081.891631944447</v>
      </c>
      <c r="B204" s="20" t="s">
        <v>450</v>
      </c>
      <c r="C204" s="20" t="s">
        <v>878</v>
      </c>
      <c r="D204" s="127">
        <v>2000000</v>
      </c>
      <c r="E204" s="20" t="s">
        <v>380</v>
      </c>
      <c r="F204" s="20" t="s">
        <v>381</v>
      </c>
      <c r="G204" s="8" t="str">
        <f t="shared" si="6"/>
        <v>STAMBAUGH JAMES</v>
      </c>
      <c r="H204" s="20" t="str">
        <f t="shared" si="7"/>
        <v>4031</v>
      </c>
    </row>
    <row r="205" spans="1:8" x14ac:dyDescent="0.25">
      <c r="A205" s="8">
        <v>43081.911296296297</v>
      </c>
      <c r="B205" s="20" t="s">
        <v>686</v>
      </c>
      <c r="C205" s="20" t="s">
        <v>879</v>
      </c>
      <c r="D205" s="127">
        <v>3130000</v>
      </c>
      <c r="E205" s="20" t="s">
        <v>873</v>
      </c>
      <c r="F205" s="20" t="s">
        <v>874</v>
      </c>
      <c r="G205" s="8" t="str">
        <f t="shared" si="6"/>
        <v>ZEWDU DEREJE</v>
      </c>
      <c r="H205" s="20" t="str">
        <f t="shared" si="7"/>
        <v>4005</v>
      </c>
    </row>
    <row r="206" spans="1:8" x14ac:dyDescent="0.25">
      <c r="A206" s="8">
        <v>43081.911516203705</v>
      </c>
      <c r="B206" s="20" t="s">
        <v>379</v>
      </c>
      <c r="C206" s="20" t="s">
        <v>880</v>
      </c>
      <c r="D206" s="127">
        <v>3320000</v>
      </c>
      <c r="E206" s="20" t="s">
        <v>360</v>
      </c>
      <c r="F206" s="20" t="s">
        <v>361</v>
      </c>
      <c r="G206" s="8" t="str">
        <f t="shared" si="6"/>
        <v>NICHOLSON WESLEY</v>
      </c>
      <c r="H206" s="20" t="str">
        <f t="shared" si="7"/>
        <v>4030</v>
      </c>
    </row>
    <row r="207" spans="1:8" x14ac:dyDescent="0.25">
      <c r="A207" s="8">
        <v>43081.921712962961</v>
      </c>
      <c r="B207" s="20" t="s">
        <v>451</v>
      </c>
      <c r="C207" s="20" t="s">
        <v>881</v>
      </c>
      <c r="D207" s="127">
        <v>2000000</v>
      </c>
      <c r="E207" s="20" t="s">
        <v>380</v>
      </c>
      <c r="F207" s="20" t="s">
        <v>381</v>
      </c>
      <c r="G207" s="8" t="str">
        <f t="shared" si="6"/>
        <v>STAMBAUGH JAMES</v>
      </c>
      <c r="H207" s="20" t="str">
        <f t="shared" si="7"/>
        <v>4032</v>
      </c>
    </row>
    <row r="208" spans="1:8" x14ac:dyDescent="0.25">
      <c r="A208" s="8">
        <v>43081.932835648149</v>
      </c>
      <c r="B208" s="20" t="s">
        <v>367</v>
      </c>
      <c r="C208" s="20" t="s">
        <v>882</v>
      </c>
      <c r="D208" s="127">
        <v>3810000</v>
      </c>
      <c r="E208" s="20" t="s">
        <v>424</v>
      </c>
      <c r="F208" s="20" t="s">
        <v>425</v>
      </c>
      <c r="G208" s="8" t="str">
        <f t="shared" si="6"/>
        <v>LORI SANTOS</v>
      </c>
      <c r="H208" s="20" t="str">
        <f t="shared" si="7"/>
        <v>4011</v>
      </c>
    </row>
    <row r="209" spans="1:8" x14ac:dyDescent="0.25">
      <c r="A209" s="8">
        <v>43081.933622685188</v>
      </c>
      <c r="B209" s="20" t="s">
        <v>450</v>
      </c>
      <c r="C209" s="20" t="s">
        <v>883</v>
      </c>
      <c r="D209" s="127">
        <v>2000000</v>
      </c>
      <c r="E209" s="20" t="s">
        <v>380</v>
      </c>
      <c r="F209" s="20" t="s">
        <v>381</v>
      </c>
      <c r="G209" s="8" t="str">
        <f t="shared" si="6"/>
        <v>STAMBAUGH JAMES</v>
      </c>
      <c r="H209" s="20" t="str">
        <f t="shared" si="7"/>
        <v>4031</v>
      </c>
    </row>
    <row r="210" spans="1:8" x14ac:dyDescent="0.25">
      <c r="A210" s="8">
        <v>43081.936180555553</v>
      </c>
      <c r="B210" s="20" t="s">
        <v>495</v>
      </c>
      <c r="C210" s="20" t="s">
        <v>884</v>
      </c>
      <c r="D210" s="127">
        <v>3310000</v>
      </c>
      <c r="E210" s="20" t="s">
        <v>445</v>
      </c>
      <c r="F210" s="20" t="s">
        <v>446</v>
      </c>
      <c r="G210" s="8" t="str">
        <f t="shared" si="6"/>
        <v>ANDERS STEVEN</v>
      </c>
      <c r="H210" s="20" t="str">
        <f t="shared" si="7"/>
        <v>4016</v>
      </c>
    </row>
    <row r="211" spans="1:8" x14ac:dyDescent="0.25">
      <c r="A211" s="8">
        <v>43081.949004629627</v>
      </c>
      <c r="B211" s="20" t="s">
        <v>376</v>
      </c>
      <c r="C211" s="20" t="s">
        <v>885</v>
      </c>
      <c r="D211" s="127">
        <v>3320000</v>
      </c>
      <c r="E211" s="20" t="s">
        <v>360</v>
      </c>
      <c r="F211" s="20" t="s">
        <v>361</v>
      </c>
      <c r="G211" s="8" t="str">
        <f t="shared" si="6"/>
        <v>NICHOLSON WESLEY</v>
      </c>
      <c r="H211" s="20" t="str">
        <f t="shared" si="7"/>
        <v>4029</v>
      </c>
    </row>
    <row r="212" spans="1:8" x14ac:dyDescent="0.25">
      <c r="A212" s="8">
        <v>43081.952118055553</v>
      </c>
      <c r="B212" s="20" t="s">
        <v>452</v>
      </c>
      <c r="C212" s="20" t="s">
        <v>886</v>
      </c>
      <c r="D212" s="127">
        <v>3220000</v>
      </c>
      <c r="E212" s="20" t="s">
        <v>370</v>
      </c>
      <c r="F212" s="20" t="s">
        <v>371</v>
      </c>
      <c r="G212" s="8" t="str">
        <f t="shared" si="6"/>
        <v>RESPASS AARON</v>
      </c>
      <c r="H212" s="20" t="str">
        <f t="shared" si="7"/>
        <v>4006</v>
      </c>
    </row>
    <row r="213" spans="1:8" x14ac:dyDescent="0.25">
      <c r="A213" s="8">
        <v>43081.962187500001</v>
      </c>
      <c r="B213" s="20" t="s">
        <v>451</v>
      </c>
      <c r="C213" s="20" t="s">
        <v>887</v>
      </c>
      <c r="D213" s="127">
        <v>2000000</v>
      </c>
      <c r="E213" s="20" t="s">
        <v>380</v>
      </c>
      <c r="F213" s="20" t="s">
        <v>381</v>
      </c>
      <c r="G213" s="8" t="str">
        <f t="shared" si="6"/>
        <v>STAMBAUGH JAMES</v>
      </c>
      <c r="H213" s="20" t="str">
        <f t="shared" si="7"/>
        <v>4032</v>
      </c>
    </row>
    <row r="214" spans="1:8" x14ac:dyDescent="0.25">
      <c r="A214" s="8">
        <v>43081.974641203706</v>
      </c>
      <c r="B214" s="20" t="s">
        <v>450</v>
      </c>
      <c r="C214" s="20" t="s">
        <v>888</v>
      </c>
      <c r="D214" s="127">
        <v>2000000</v>
      </c>
      <c r="E214" s="20" t="s">
        <v>380</v>
      </c>
      <c r="F214" s="20" t="s">
        <v>381</v>
      </c>
      <c r="G214" s="8" t="str">
        <f t="shared" si="6"/>
        <v>STAMBAUGH JAMES</v>
      </c>
      <c r="H214" s="20" t="str">
        <f t="shared" si="7"/>
        <v>4031</v>
      </c>
    </row>
    <row r="215" spans="1:8" x14ac:dyDescent="0.25">
      <c r="A215" s="8">
        <v>43081.976597222223</v>
      </c>
      <c r="B215" s="20" t="s">
        <v>494</v>
      </c>
      <c r="C215" s="20" t="s">
        <v>889</v>
      </c>
      <c r="D215" s="127">
        <v>3310000</v>
      </c>
      <c r="E215" s="20" t="s">
        <v>445</v>
      </c>
      <c r="F215" s="20" t="s">
        <v>446</v>
      </c>
      <c r="G215" s="8" t="str">
        <f t="shared" si="6"/>
        <v>ANDERS STEVEN</v>
      </c>
      <c r="H215" s="20" t="str">
        <f t="shared" si="7"/>
        <v>4015</v>
      </c>
    </row>
    <row r="216" spans="1:8" x14ac:dyDescent="0.25">
      <c r="A216" s="8">
        <v>43081.977071759262</v>
      </c>
      <c r="B216" s="20" t="s">
        <v>366</v>
      </c>
      <c r="C216" s="20" t="s">
        <v>890</v>
      </c>
      <c r="D216" s="127">
        <v>3810000</v>
      </c>
      <c r="E216" s="20" t="s">
        <v>424</v>
      </c>
      <c r="F216" s="20" t="s">
        <v>425</v>
      </c>
      <c r="G216" s="8" t="str">
        <f t="shared" si="6"/>
        <v>LORI SANTOS</v>
      </c>
      <c r="H216" s="20" t="str">
        <f t="shared" si="7"/>
        <v>4012</v>
      </c>
    </row>
    <row r="217" spans="1:8" x14ac:dyDescent="0.25">
      <c r="A217" s="8">
        <v>43081.990671296298</v>
      </c>
      <c r="B217" s="20" t="s">
        <v>379</v>
      </c>
      <c r="C217" s="20" t="s">
        <v>891</v>
      </c>
      <c r="D217" s="127">
        <v>3320000</v>
      </c>
      <c r="E217" s="20" t="s">
        <v>360</v>
      </c>
      <c r="F217" s="20" t="s">
        <v>361</v>
      </c>
      <c r="G217" s="8" t="str">
        <f t="shared" si="6"/>
        <v>NICHOLSON WESLEY</v>
      </c>
      <c r="H217" s="20" t="str">
        <f t="shared" si="7"/>
        <v>4030</v>
      </c>
    </row>
    <row r="218" spans="1:8" x14ac:dyDescent="0.25">
      <c r="A218" s="8">
        <v>43081.995648148149</v>
      </c>
      <c r="B218" s="20" t="s">
        <v>686</v>
      </c>
      <c r="C218" s="20" t="s">
        <v>892</v>
      </c>
      <c r="D218" s="127">
        <v>3220000</v>
      </c>
      <c r="E218" s="20" t="s">
        <v>370</v>
      </c>
      <c r="F218" s="20" t="s">
        <v>371</v>
      </c>
      <c r="G218" s="8" t="str">
        <f t="shared" si="6"/>
        <v>RESPASS AARON</v>
      </c>
      <c r="H218" s="20" t="str">
        <f t="shared" si="7"/>
        <v>4005</v>
      </c>
    </row>
    <row r="219" spans="1:8" x14ac:dyDescent="0.25">
      <c r="A219" s="8">
        <v>43082.009456018517</v>
      </c>
      <c r="B219" s="20" t="s">
        <v>495</v>
      </c>
      <c r="C219" s="20" t="s">
        <v>893</v>
      </c>
      <c r="D219" s="127">
        <v>3310000</v>
      </c>
      <c r="E219" s="20" t="s">
        <v>445</v>
      </c>
      <c r="F219" s="20" t="s">
        <v>446</v>
      </c>
      <c r="G219" s="8" t="str">
        <f t="shared" si="6"/>
        <v>ANDERS STEVEN</v>
      </c>
      <c r="H219" s="20" t="str">
        <f t="shared" si="7"/>
        <v>4016</v>
      </c>
    </row>
    <row r="220" spans="1:8" x14ac:dyDescent="0.25">
      <c r="A220" s="8">
        <v>43082.017083333332</v>
      </c>
      <c r="B220" s="20" t="s">
        <v>367</v>
      </c>
      <c r="C220" s="20" t="s">
        <v>894</v>
      </c>
      <c r="D220" s="127">
        <v>3810000</v>
      </c>
      <c r="E220" s="20" t="s">
        <v>424</v>
      </c>
      <c r="F220" s="20" t="s">
        <v>425</v>
      </c>
      <c r="G220" s="8" t="str">
        <f t="shared" si="6"/>
        <v>LORI SANTOS</v>
      </c>
      <c r="H220" s="20" t="str">
        <f t="shared" si="7"/>
        <v>4011</v>
      </c>
    </row>
    <row r="221" spans="1:8" x14ac:dyDescent="0.25">
      <c r="A221" s="8">
        <v>43082.025046296294</v>
      </c>
      <c r="B221" s="20" t="s">
        <v>452</v>
      </c>
      <c r="C221" s="20" t="s">
        <v>895</v>
      </c>
      <c r="D221" s="127">
        <v>3220000</v>
      </c>
      <c r="E221" s="20" t="s">
        <v>370</v>
      </c>
      <c r="F221" s="20" t="s">
        <v>371</v>
      </c>
      <c r="G221" s="8" t="str">
        <f t="shared" si="6"/>
        <v>RESPASS AARON</v>
      </c>
      <c r="H221" s="20" t="str">
        <f t="shared" si="7"/>
        <v>4006</v>
      </c>
    </row>
    <row r="222" spans="1:8" x14ac:dyDescent="0.25">
      <c r="A222" s="8">
        <v>43082.035624999997</v>
      </c>
      <c r="B222" s="20" t="s">
        <v>376</v>
      </c>
      <c r="C222" s="20" t="s">
        <v>896</v>
      </c>
      <c r="D222" s="127">
        <v>3320000</v>
      </c>
      <c r="E222" s="20" t="s">
        <v>360</v>
      </c>
      <c r="F222" s="20" t="s">
        <v>361</v>
      </c>
      <c r="G222" s="8" t="str">
        <f t="shared" si="6"/>
        <v>NICHOLSON WESLEY</v>
      </c>
      <c r="H222" s="20" t="str">
        <f t="shared" si="7"/>
        <v>4029</v>
      </c>
    </row>
    <row r="223" spans="1:8" x14ac:dyDescent="0.25">
      <c r="A223" s="8">
        <v>43082.038391203707</v>
      </c>
      <c r="B223" s="20" t="s">
        <v>376</v>
      </c>
      <c r="C223" s="20" t="s">
        <v>896</v>
      </c>
      <c r="D223" s="127">
        <v>3320000</v>
      </c>
      <c r="E223" s="20" t="s">
        <v>360</v>
      </c>
      <c r="F223" s="20" t="s">
        <v>361</v>
      </c>
      <c r="G223" s="8" t="str">
        <f t="shared" si="6"/>
        <v>NICHOLSON WESLEY</v>
      </c>
      <c r="H223" s="20" t="str">
        <f t="shared" si="7"/>
        <v>4029</v>
      </c>
    </row>
    <row r="224" spans="1:8" x14ac:dyDescent="0.25">
      <c r="A224" s="8">
        <v>43082.047546296293</v>
      </c>
      <c r="B224" t="s">
        <v>366</v>
      </c>
      <c r="C224" t="s">
        <v>897</v>
      </c>
      <c r="D224" s="12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4012</v>
      </c>
    </row>
    <row r="225" spans="1:8" x14ac:dyDescent="0.25">
      <c r="A225" s="8">
        <v>43082.057268518518</v>
      </c>
      <c r="B225" t="s">
        <v>494</v>
      </c>
      <c r="C225" t="s">
        <v>898</v>
      </c>
      <c r="D225" s="127">
        <v>3310000</v>
      </c>
      <c r="E225" t="s">
        <v>445</v>
      </c>
      <c r="F225" s="20" t="s">
        <v>446</v>
      </c>
      <c r="G225" s="8" t="str">
        <f t="shared" si="6"/>
        <v>ANDERS STEVEN</v>
      </c>
      <c r="H225" s="20" t="str">
        <f t="shared" si="7"/>
        <v>4015</v>
      </c>
    </row>
    <row r="226" spans="1:8" x14ac:dyDescent="0.25">
      <c r="A226" s="8">
        <v>43082.074282407404</v>
      </c>
      <c r="B226" t="s">
        <v>379</v>
      </c>
      <c r="C226" t="s">
        <v>899</v>
      </c>
      <c r="D226" s="127">
        <v>3320000</v>
      </c>
      <c r="E226" t="s">
        <v>360</v>
      </c>
      <c r="F226" s="20" t="s">
        <v>361</v>
      </c>
      <c r="G226" s="8" t="str">
        <f t="shared" si="6"/>
        <v>NICHOLSON WESLEY</v>
      </c>
      <c r="H226" s="20" t="str">
        <f t="shared" si="7"/>
        <v>4030</v>
      </c>
    </row>
    <row r="227" spans="1:8" x14ac:dyDescent="0.25">
      <c r="A227" s="8">
        <v>43082.091319444444</v>
      </c>
      <c r="B227" t="s">
        <v>495</v>
      </c>
      <c r="C227" t="s">
        <v>900</v>
      </c>
      <c r="D227" s="127">
        <v>3310000</v>
      </c>
      <c r="E227" t="s">
        <v>445</v>
      </c>
      <c r="F227" s="20" t="s">
        <v>446</v>
      </c>
      <c r="G227" s="8" t="str">
        <f t="shared" si="6"/>
        <v>ANDERS STEVEN</v>
      </c>
      <c r="H227" s="20" t="str">
        <f t="shared" si="7"/>
        <v>4016</v>
      </c>
    </row>
    <row r="228" spans="1:8" x14ac:dyDescent="0.25">
      <c r="A228" s="8">
        <v>43082.11310185185</v>
      </c>
      <c r="B228" t="s">
        <v>596</v>
      </c>
      <c r="C228" t="s">
        <v>901</v>
      </c>
      <c r="D228" s="127">
        <v>1090000</v>
      </c>
      <c r="E228" t="s">
        <v>475</v>
      </c>
      <c r="F228" s="20" t="s">
        <v>352</v>
      </c>
      <c r="G228" s="8" t="str">
        <f t="shared" si="6"/>
        <v>SPECTOR MICHAEL</v>
      </c>
      <c r="H228" s="20" t="str">
        <f t="shared" si="7"/>
        <v>4001</v>
      </c>
    </row>
    <row r="229" spans="1:8" x14ac:dyDescent="0.25">
      <c r="A229" s="8">
        <v>43081.03324074074</v>
      </c>
      <c r="B229" t="s">
        <v>358</v>
      </c>
      <c r="C229" t="s">
        <v>597</v>
      </c>
      <c r="D229" s="127">
        <v>3220000</v>
      </c>
      <c r="E229" t="s">
        <v>370</v>
      </c>
      <c r="F229" s="20" t="s">
        <v>371</v>
      </c>
      <c r="G229" s="8" t="str">
        <f t="shared" si="6"/>
        <v>RESPASS AARON</v>
      </c>
      <c r="H229" s="20" t="str">
        <f t="shared" si="7"/>
        <v>4007</v>
      </c>
    </row>
    <row r="230" spans="1:8" x14ac:dyDescent="0.25">
      <c r="A230" s="8">
        <v>43081.050833333335</v>
      </c>
      <c r="B230" t="s">
        <v>505</v>
      </c>
      <c r="C230" t="s">
        <v>612</v>
      </c>
      <c r="D230" s="127">
        <v>3040000</v>
      </c>
      <c r="E230" t="s">
        <v>365</v>
      </c>
      <c r="F230" s="20" t="s">
        <v>418</v>
      </c>
      <c r="G230" s="8" t="str">
        <f t="shared" si="6"/>
        <v>WILLIAMS DONTE</v>
      </c>
      <c r="H230" s="20" t="str">
        <f t="shared" si="7"/>
        <v>4041</v>
      </c>
    </row>
    <row r="231" spans="1:8" x14ac:dyDescent="0.25">
      <c r="A231" s="8">
        <v>43081.053182870368</v>
      </c>
      <c r="B231" t="s">
        <v>496</v>
      </c>
      <c r="C231" t="s">
        <v>613</v>
      </c>
      <c r="D231" s="127">
        <v>890000</v>
      </c>
      <c r="E231" t="s">
        <v>344</v>
      </c>
      <c r="F231" s="20" t="s">
        <v>345</v>
      </c>
      <c r="G231" s="8" t="str">
        <f t="shared" si="6"/>
        <v>LOZA FIDEL</v>
      </c>
      <c r="H231" s="20" t="str">
        <f t="shared" si="7"/>
        <v>4060</v>
      </c>
    </row>
    <row r="232" spans="1:8" x14ac:dyDescent="0.25">
      <c r="A232" s="8">
        <v>43081.068171296298</v>
      </c>
      <c r="B232" t="s">
        <v>356</v>
      </c>
      <c r="C232" t="s">
        <v>614</v>
      </c>
      <c r="D232" s="127">
        <v>3220000</v>
      </c>
      <c r="E232" t="s">
        <v>370</v>
      </c>
      <c r="F232" s="20" t="s">
        <v>371</v>
      </c>
      <c r="G232" s="8" t="str">
        <f t="shared" si="6"/>
        <v>RESPASS AARON</v>
      </c>
      <c r="H232" s="20" t="str">
        <f t="shared" si="7"/>
        <v>4008</v>
      </c>
    </row>
    <row r="233" spans="1:8" x14ac:dyDescent="0.25">
      <c r="A233" s="8">
        <v>43081.089803240742</v>
      </c>
      <c r="B233" t="s">
        <v>602</v>
      </c>
      <c r="C233" t="s">
        <v>615</v>
      </c>
      <c r="D233" s="127">
        <v>3040000</v>
      </c>
      <c r="E233" t="s">
        <v>365</v>
      </c>
      <c r="F233" s="20" t="s">
        <v>418</v>
      </c>
      <c r="G233" s="8" t="str">
        <f t="shared" si="6"/>
        <v>WILLIAMS DONTE</v>
      </c>
      <c r="H233" s="20" t="str">
        <f t="shared" si="7"/>
        <v>4042</v>
      </c>
    </row>
    <row r="234" spans="1:8" x14ac:dyDescent="0.25">
      <c r="A234" s="8">
        <v>43075.840150462966</v>
      </c>
      <c r="B234" t="s">
        <v>494</v>
      </c>
      <c r="C234" t="s">
        <v>515</v>
      </c>
      <c r="D234" s="127">
        <v>1200000</v>
      </c>
      <c r="E234" t="s">
        <v>516</v>
      </c>
      <c r="F234" s="20" t="s">
        <v>517</v>
      </c>
      <c r="G234" s="8" t="str">
        <f t="shared" si="6"/>
        <v>CUSHING HARRY</v>
      </c>
      <c r="H234" s="20" t="str">
        <f t="shared" si="7"/>
        <v>4015</v>
      </c>
    </row>
    <row r="235" spans="1:8" x14ac:dyDescent="0.25">
      <c r="A235" s="8">
        <v>43075.840509259258</v>
      </c>
      <c r="B235" t="s">
        <v>482</v>
      </c>
      <c r="C235" t="s">
        <v>518</v>
      </c>
      <c r="D235" s="127">
        <v>3310000</v>
      </c>
      <c r="E235" t="s">
        <v>445</v>
      </c>
      <c r="F235" s="20" t="s">
        <v>446</v>
      </c>
      <c r="G235" s="8" t="str">
        <f t="shared" si="6"/>
        <v>ANDERS STEVEN</v>
      </c>
      <c r="H235" s="20" t="str">
        <f t="shared" si="7"/>
        <v>4064</v>
      </c>
    </row>
    <row r="236" spans="1:8" x14ac:dyDescent="0.25">
      <c r="A236" s="8">
        <v>43075.846250000002</v>
      </c>
      <c r="B236" t="s">
        <v>460</v>
      </c>
      <c r="C236" t="s">
        <v>519</v>
      </c>
      <c r="D236" s="127">
        <v>3220000</v>
      </c>
      <c r="E236" t="s">
        <v>370</v>
      </c>
      <c r="F236" s="20" t="s">
        <v>371</v>
      </c>
      <c r="G236" s="8" t="str">
        <f t="shared" si="6"/>
        <v>RESPASS AARON</v>
      </c>
      <c r="H236" s="20" t="str">
        <f t="shared" si="7"/>
        <v>4009</v>
      </c>
    </row>
    <row r="237" spans="1:8" x14ac:dyDescent="0.25">
      <c r="A237" s="8">
        <v>43075.850219907406</v>
      </c>
      <c r="B237" t="s">
        <v>495</v>
      </c>
      <c r="C237" t="s">
        <v>512</v>
      </c>
      <c r="D237" s="127">
        <v>1200000</v>
      </c>
      <c r="E237" t="s">
        <v>516</v>
      </c>
      <c r="F237" s="20" t="s">
        <v>517</v>
      </c>
      <c r="G237" s="8" t="str">
        <f t="shared" si="6"/>
        <v>CUSHING HARRY</v>
      </c>
      <c r="H237" s="20" t="str">
        <f t="shared" si="7"/>
        <v>4016</v>
      </c>
    </row>
    <row r="238" spans="1:8" x14ac:dyDescent="0.25">
      <c r="A238" s="8">
        <v>43075.85260416667</v>
      </c>
      <c r="B238" t="s">
        <v>511</v>
      </c>
      <c r="C238" t="s">
        <v>520</v>
      </c>
      <c r="D238" s="127">
        <v>1180000</v>
      </c>
      <c r="E238" t="s">
        <v>513</v>
      </c>
      <c r="F238" s="20" t="s">
        <v>514</v>
      </c>
      <c r="G238" s="8" t="str">
        <f t="shared" si="6"/>
        <v>LEVERE CRAIG</v>
      </c>
      <c r="H238" s="20" t="str">
        <f t="shared" si="7"/>
        <v>4049</v>
      </c>
    </row>
    <row r="239" spans="1:8" x14ac:dyDescent="0.25">
      <c r="A239" s="8">
        <v>43075.86409722222</v>
      </c>
      <c r="B239" t="s">
        <v>494</v>
      </c>
      <c r="C239" t="s">
        <v>515</v>
      </c>
      <c r="D239" s="127">
        <v>1200000</v>
      </c>
      <c r="E239" t="s">
        <v>516</v>
      </c>
      <c r="F239" s="20" t="s">
        <v>517</v>
      </c>
      <c r="G239" s="8" t="str">
        <f t="shared" si="6"/>
        <v>CUSHING HARRY</v>
      </c>
      <c r="H239" s="20" t="str">
        <f t="shared" si="7"/>
        <v>4015</v>
      </c>
    </row>
    <row r="240" spans="1:8" x14ac:dyDescent="0.25">
      <c r="A240" s="8">
        <v>43075.867800925924</v>
      </c>
      <c r="B240" t="s">
        <v>356</v>
      </c>
      <c r="C240" t="s">
        <v>521</v>
      </c>
      <c r="D240" s="127">
        <v>2040000</v>
      </c>
      <c r="E240" t="s">
        <v>382</v>
      </c>
      <c r="F240" s="20" t="s">
        <v>383</v>
      </c>
      <c r="G240" s="8" t="str">
        <f t="shared" si="6"/>
        <v>MOSES BRADLEY</v>
      </c>
      <c r="H240" s="20" t="str">
        <f t="shared" si="7"/>
        <v>4008</v>
      </c>
    </row>
    <row r="241" spans="1:8" x14ac:dyDescent="0.25">
      <c r="A241" s="8">
        <v>43075.869490740741</v>
      </c>
      <c r="B241" t="s">
        <v>450</v>
      </c>
      <c r="C241" t="s">
        <v>508</v>
      </c>
      <c r="D241" s="127">
        <v>3840000</v>
      </c>
      <c r="E241" t="s">
        <v>483</v>
      </c>
      <c r="F241" s="20" t="s">
        <v>484</v>
      </c>
      <c r="G241" s="8" t="str">
        <f t="shared" si="6"/>
        <v>LONG FULLER</v>
      </c>
      <c r="H241" s="20" t="str">
        <f t="shared" si="7"/>
        <v>4031</v>
      </c>
    </row>
    <row r="242" spans="1:8" x14ac:dyDescent="0.25">
      <c r="A242" s="8">
        <v>43075.875775462962</v>
      </c>
      <c r="B242" t="s">
        <v>506</v>
      </c>
      <c r="C242" t="s">
        <v>507</v>
      </c>
      <c r="D242" s="127">
        <v>2000000</v>
      </c>
      <c r="E242" t="s">
        <v>380</v>
      </c>
      <c r="F242" s="20" t="s">
        <v>381</v>
      </c>
      <c r="G242" s="8" t="str">
        <f t="shared" si="6"/>
        <v>STAMBAUGH JAMES</v>
      </c>
      <c r="H242" s="20" t="str">
        <f t="shared" si="7"/>
        <v>4050</v>
      </c>
    </row>
    <row r="243" spans="1:8" x14ac:dyDescent="0.25">
      <c r="A243" s="8">
        <v>43075.881805555553</v>
      </c>
      <c r="B243" t="s">
        <v>461</v>
      </c>
      <c r="C243" t="s">
        <v>522</v>
      </c>
      <c r="D243" s="127">
        <v>3220000</v>
      </c>
      <c r="E243" t="s">
        <v>370</v>
      </c>
      <c r="F243" s="20" t="s">
        <v>371</v>
      </c>
      <c r="G243" s="8" t="str">
        <f t="shared" si="6"/>
        <v>RESPASS AARON</v>
      </c>
      <c r="H243" s="20" t="str">
        <f t="shared" si="7"/>
        <v>4010</v>
      </c>
    </row>
    <row r="244" spans="1:8" x14ac:dyDescent="0.25">
      <c r="A244" s="8">
        <v>43075.892326388886</v>
      </c>
      <c r="B244" t="s">
        <v>462</v>
      </c>
      <c r="C244" t="s">
        <v>509</v>
      </c>
      <c r="D244" s="127">
        <v>3310000</v>
      </c>
      <c r="E244" t="s">
        <v>445</v>
      </c>
      <c r="F244" s="20" t="s">
        <v>446</v>
      </c>
      <c r="G244" s="8" t="str">
        <f t="shared" si="6"/>
        <v>ANDERS STEVEN</v>
      </c>
      <c r="H244" s="20" t="str">
        <f t="shared" si="7"/>
        <v>4063</v>
      </c>
    </row>
    <row r="245" spans="1:8" x14ac:dyDescent="0.25">
      <c r="A245" s="8">
        <v>43075.892372685186</v>
      </c>
      <c r="B245" t="s">
        <v>495</v>
      </c>
      <c r="C245" t="s">
        <v>512</v>
      </c>
      <c r="D245" s="127">
        <v>1200000</v>
      </c>
      <c r="E245" t="s">
        <v>516</v>
      </c>
      <c r="F245" s="20" t="s">
        <v>517</v>
      </c>
      <c r="G245" s="8" t="str">
        <f t="shared" si="6"/>
        <v>CUSHING HARRY</v>
      </c>
      <c r="H245" s="20" t="str">
        <f t="shared" si="7"/>
        <v>4016</v>
      </c>
    </row>
    <row r="246" spans="1:8" x14ac:dyDescent="0.25">
      <c r="A246" s="8">
        <v>43075.892743055556</v>
      </c>
      <c r="B246" t="s">
        <v>511</v>
      </c>
      <c r="C246" t="s">
        <v>507</v>
      </c>
      <c r="D246" s="127">
        <v>2000000</v>
      </c>
      <c r="E246" t="s">
        <v>380</v>
      </c>
      <c r="F246" s="20" t="s">
        <v>381</v>
      </c>
      <c r="G246" s="8" t="str">
        <f t="shared" si="6"/>
        <v>STAMBAUGH JAMES</v>
      </c>
      <c r="H246" s="20" t="str">
        <f t="shared" si="7"/>
        <v>4049</v>
      </c>
    </row>
    <row r="247" spans="1:8" x14ac:dyDescent="0.25">
      <c r="A247" s="8">
        <v>43075.893865740742</v>
      </c>
      <c r="B247" t="s">
        <v>511</v>
      </c>
      <c r="C247" t="s">
        <v>523</v>
      </c>
      <c r="D247" s="127">
        <v>2000000</v>
      </c>
      <c r="E247" t="s">
        <v>380</v>
      </c>
      <c r="F247" s="20" t="s">
        <v>381</v>
      </c>
      <c r="G247" s="8" t="str">
        <f t="shared" si="6"/>
        <v>STAMBAUGH JAMES</v>
      </c>
      <c r="H247" s="20" t="str">
        <f t="shared" si="7"/>
        <v>4049</v>
      </c>
    </row>
    <row r="248" spans="1:8" x14ac:dyDescent="0.25">
      <c r="A248" s="8">
        <v>43075.912824074076</v>
      </c>
      <c r="B248" t="s">
        <v>358</v>
      </c>
      <c r="C248" t="s">
        <v>524</v>
      </c>
      <c r="D248" s="127">
        <v>2040000</v>
      </c>
      <c r="E248" t="s">
        <v>382</v>
      </c>
      <c r="F248" s="20" t="s">
        <v>383</v>
      </c>
      <c r="G248" s="8" t="str">
        <f t="shared" si="6"/>
        <v>MOSES BRADLEY</v>
      </c>
      <c r="H248" s="20" t="str">
        <f t="shared" si="7"/>
        <v>4007</v>
      </c>
    </row>
    <row r="249" spans="1:8" x14ac:dyDescent="0.25">
      <c r="A249" s="8">
        <v>43075.915231481478</v>
      </c>
      <c r="B249" t="s">
        <v>451</v>
      </c>
      <c r="C249" t="s">
        <v>525</v>
      </c>
      <c r="D249" s="12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4032</v>
      </c>
    </row>
    <row r="250" spans="1:8" x14ac:dyDescent="0.25">
      <c r="A250" s="8">
        <v>43075.920555555553</v>
      </c>
      <c r="B250" t="s">
        <v>506</v>
      </c>
      <c r="C250" t="s">
        <v>526</v>
      </c>
      <c r="D250" s="127">
        <v>2000000</v>
      </c>
      <c r="E250" t="s">
        <v>380</v>
      </c>
      <c r="F250" s="20" t="s">
        <v>381</v>
      </c>
      <c r="G250" s="8" t="str">
        <f t="shared" si="6"/>
        <v>STAMBAUGH JAMES</v>
      </c>
      <c r="H250" s="20" t="str">
        <f t="shared" si="7"/>
        <v>4050</v>
      </c>
    </row>
    <row r="251" spans="1:8" x14ac:dyDescent="0.25">
      <c r="A251" s="8">
        <v>43075.923715277779</v>
      </c>
      <c r="B251" t="s">
        <v>482</v>
      </c>
      <c r="C251" t="s">
        <v>527</v>
      </c>
      <c r="D251" s="127">
        <v>3310000</v>
      </c>
      <c r="E251" t="s">
        <v>445</v>
      </c>
      <c r="F251" s="20" t="s">
        <v>446</v>
      </c>
      <c r="G251" s="8" t="str">
        <f t="shared" si="6"/>
        <v>ANDERS STEVEN</v>
      </c>
      <c r="H251" s="20" t="str">
        <f t="shared" si="7"/>
        <v>4064</v>
      </c>
    </row>
    <row r="252" spans="1:8" x14ac:dyDescent="0.25">
      <c r="A252" s="8">
        <v>43075.929502314815</v>
      </c>
      <c r="B252" t="s">
        <v>460</v>
      </c>
      <c r="C252" t="s">
        <v>528</v>
      </c>
      <c r="D252" s="127">
        <v>3220000</v>
      </c>
      <c r="E252" t="s">
        <v>370</v>
      </c>
      <c r="F252" s="20" t="s">
        <v>371</v>
      </c>
      <c r="G252" s="8" t="str">
        <f t="shared" si="6"/>
        <v>RESPASS AARON</v>
      </c>
      <c r="H252" s="20" t="str">
        <f t="shared" si="7"/>
        <v>4009</v>
      </c>
    </row>
    <row r="253" spans="1:8" x14ac:dyDescent="0.25">
      <c r="A253" s="8">
        <v>43075.93340277778</v>
      </c>
      <c r="B253" t="s">
        <v>511</v>
      </c>
      <c r="C253" t="s">
        <v>529</v>
      </c>
      <c r="D253" s="127">
        <v>2000000</v>
      </c>
      <c r="E253" t="s">
        <v>380</v>
      </c>
      <c r="F253" s="20" t="s">
        <v>381</v>
      </c>
      <c r="G253" s="8" t="str">
        <f t="shared" si="6"/>
        <v>STAMBAUGH JAMES</v>
      </c>
      <c r="H253" s="20" t="str">
        <f t="shared" si="7"/>
        <v>4049</v>
      </c>
    </row>
    <row r="254" spans="1:8" x14ac:dyDescent="0.25">
      <c r="A254" s="8">
        <v>43075.952314814815</v>
      </c>
      <c r="B254" t="s">
        <v>450</v>
      </c>
      <c r="C254" t="s">
        <v>530</v>
      </c>
      <c r="D254" s="127">
        <v>3840000</v>
      </c>
      <c r="E254" t="s">
        <v>483</v>
      </c>
      <c r="F254" s="20" t="s">
        <v>484</v>
      </c>
      <c r="G254" s="8" t="str">
        <f t="shared" si="6"/>
        <v>LONG FULLER</v>
      </c>
      <c r="H254" s="20" t="str">
        <f t="shared" si="7"/>
        <v>4031</v>
      </c>
    </row>
    <row r="255" spans="1:8" x14ac:dyDescent="0.25">
      <c r="A255" s="8">
        <v>43075.956990740742</v>
      </c>
      <c r="B255" t="s">
        <v>356</v>
      </c>
      <c r="C255" t="s">
        <v>531</v>
      </c>
      <c r="D255" s="127">
        <v>2040000</v>
      </c>
      <c r="E255" t="s">
        <v>382</v>
      </c>
      <c r="F255" s="20" t="s">
        <v>383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506</v>
      </c>
      <c r="C256" t="s">
        <v>532</v>
      </c>
      <c r="D256" s="127">
        <v>2000000</v>
      </c>
      <c r="E256" t="s">
        <v>380</v>
      </c>
      <c r="F256" s="20" t="s">
        <v>381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462</v>
      </c>
      <c r="C257" t="s">
        <v>510</v>
      </c>
      <c r="D257" s="127">
        <v>3310000</v>
      </c>
      <c r="E257" t="s">
        <v>445</v>
      </c>
      <c r="F257" s="20" t="s">
        <v>446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461</v>
      </c>
      <c r="C258" t="s">
        <v>533</v>
      </c>
      <c r="D258" s="12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511</v>
      </c>
      <c r="C259" t="s">
        <v>534</v>
      </c>
      <c r="D259" s="12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358</v>
      </c>
      <c r="C260" t="s">
        <v>535</v>
      </c>
      <c r="D260" s="127">
        <v>2040000</v>
      </c>
      <c r="E260" t="s">
        <v>382</v>
      </c>
      <c r="F260" s="20" t="s">
        <v>383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451</v>
      </c>
      <c r="C261" t="s">
        <v>536</v>
      </c>
      <c r="D261" s="12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482</v>
      </c>
      <c r="C262" t="s">
        <v>537</v>
      </c>
      <c r="D262" s="127">
        <v>3310000</v>
      </c>
      <c r="E262" t="s">
        <v>445</v>
      </c>
      <c r="F262" s="20" t="s">
        <v>446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460</v>
      </c>
      <c r="C263" t="s">
        <v>538</v>
      </c>
      <c r="D263" s="12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356</v>
      </c>
      <c r="C264" t="s">
        <v>539</v>
      </c>
      <c r="D264" s="127">
        <v>2040000</v>
      </c>
      <c r="E264" t="s">
        <v>382</v>
      </c>
      <c r="F264" s="20" t="s">
        <v>383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450</v>
      </c>
      <c r="C265" t="s">
        <v>540</v>
      </c>
      <c r="D265" s="127">
        <v>3840000</v>
      </c>
      <c r="E265" t="s">
        <v>483</v>
      </c>
      <c r="F265" s="20" t="s">
        <v>484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461</v>
      </c>
      <c r="C266" t="s">
        <v>541</v>
      </c>
      <c r="D266" s="127">
        <v>3220000</v>
      </c>
      <c r="E266" t="s">
        <v>370</v>
      </c>
      <c r="F266" s="20" t="s">
        <v>371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462</v>
      </c>
      <c r="C267" t="s">
        <v>542</v>
      </c>
      <c r="D267" s="127">
        <v>3310000</v>
      </c>
      <c r="E267" t="s">
        <v>445</v>
      </c>
      <c r="F267" s="20" t="s">
        <v>446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451</v>
      </c>
      <c r="C268" t="s">
        <v>543</v>
      </c>
      <c r="D268" s="127">
        <v>3840000</v>
      </c>
      <c r="E268" t="s">
        <v>483</v>
      </c>
      <c r="F268" s="20" t="s">
        <v>484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482</v>
      </c>
      <c r="C269" t="s">
        <v>544</v>
      </c>
      <c r="D269" s="127">
        <v>3310000</v>
      </c>
      <c r="E269" t="s">
        <v>445</v>
      </c>
      <c r="F269" s="20" t="s">
        <v>446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452</v>
      </c>
      <c r="C270" t="s">
        <v>453</v>
      </c>
      <c r="D270" s="127">
        <v>3310000</v>
      </c>
      <c r="E270" t="s">
        <v>445</v>
      </c>
      <c r="F270" s="20" t="s">
        <v>446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452</v>
      </c>
      <c r="C271" t="s">
        <v>453</v>
      </c>
      <c r="D271" s="127">
        <v>3310000</v>
      </c>
      <c r="E271" t="s">
        <v>445</v>
      </c>
      <c r="F271" s="20" t="s">
        <v>446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426</v>
      </c>
      <c r="D272" s="12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427</v>
      </c>
      <c r="D273" s="12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421</v>
      </c>
      <c r="C274" t="s">
        <v>428</v>
      </c>
      <c r="D274" s="12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413</v>
      </c>
      <c r="C275" t="s">
        <v>429</v>
      </c>
      <c r="D275" s="12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430</v>
      </c>
      <c r="D276" s="12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416</v>
      </c>
      <c r="C277" t="s">
        <v>431</v>
      </c>
      <c r="D277" s="127">
        <v>3040000</v>
      </c>
      <c r="E277" t="s">
        <v>365</v>
      </c>
      <c r="F277" s="20" t="s">
        <v>418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432</v>
      </c>
      <c r="D278" s="12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433</v>
      </c>
      <c r="D279" s="12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420</v>
      </c>
      <c r="C280" t="s">
        <v>434</v>
      </c>
      <c r="D280" s="12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423</v>
      </c>
      <c r="C281" t="s">
        <v>435</v>
      </c>
      <c r="D281" s="12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417</v>
      </c>
      <c r="C282" t="s">
        <v>436</v>
      </c>
      <c r="D282" s="127">
        <v>3040000</v>
      </c>
      <c r="E282" t="s">
        <v>365</v>
      </c>
      <c r="F282" s="20" t="s">
        <v>418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437</v>
      </c>
      <c r="D283" s="12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421</v>
      </c>
      <c r="C284" t="s">
        <v>438</v>
      </c>
      <c r="D284" s="12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422</v>
      </c>
      <c r="D285" s="12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416</v>
      </c>
      <c r="C286" t="s">
        <v>439</v>
      </c>
      <c r="D286" s="127">
        <v>3040000</v>
      </c>
      <c r="E286" t="s">
        <v>365</v>
      </c>
      <c r="F286" s="20" t="s">
        <v>418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420</v>
      </c>
      <c r="C287" t="s">
        <v>440</v>
      </c>
      <c r="D287" s="12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417</v>
      </c>
      <c r="C288" t="s">
        <v>441</v>
      </c>
      <c r="D288" s="127">
        <v>3040000</v>
      </c>
      <c r="E288" t="s">
        <v>365</v>
      </c>
      <c r="F288" s="20" t="s">
        <v>418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2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2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2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2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2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2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2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2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2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2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2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2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2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2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2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2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2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2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2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2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2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2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2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2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2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30" customWidth="1"/>
    <col min="2" max="2" width="8.42578125" style="130" bestFit="1" customWidth="1"/>
    <col min="3" max="3" width="12.5703125" style="130" bestFit="1" customWidth="1"/>
    <col min="4" max="4" width="18.5703125" style="120" bestFit="1" customWidth="1"/>
    <col min="5" max="5" width="9.85546875" style="130" bestFit="1" customWidth="1"/>
    <col min="6" max="6" width="9" style="130" bestFit="1" customWidth="1"/>
    <col min="7" max="7" width="8.85546875" style="130" bestFit="1" customWidth="1"/>
    <col min="8" max="8" width="14" style="130" bestFit="1" customWidth="1"/>
    <col min="9" max="9" width="21.140625" style="130" bestFit="1" customWidth="1"/>
    <col min="10" max="10" width="8.7109375" style="130" bestFit="1" customWidth="1"/>
    <col min="11" max="11" width="11.28515625" style="130" bestFit="1" customWidth="1"/>
    <col min="12" max="12" width="11" style="130" bestFit="1" customWidth="1"/>
    <col min="13" max="13" width="11.28515625" style="130" bestFit="1" customWidth="1"/>
    <col min="14" max="14" width="13.7109375" style="130" bestFit="1" customWidth="1"/>
    <col min="15" max="15" width="14.85546875" style="130" bestFit="1" customWidth="1"/>
    <col min="16" max="16" width="16.7109375" style="130" bestFit="1" customWidth="1"/>
    <col min="17" max="17" width="9.42578125" style="100" bestFit="1" customWidth="1"/>
    <col min="18" max="16384" width="9.140625" style="100"/>
  </cols>
  <sheetData>
    <row r="1" spans="1:20" s="101" customFormat="1" x14ac:dyDescent="0.25">
      <c r="A1" s="224" t="s">
        <v>156</v>
      </c>
      <c r="B1" s="224" t="s">
        <v>159</v>
      </c>
      <c r="C1" s="224" t="s">
        <v>152</v>
      </c>
      <c r="D1" s="125" t="s">
        <v>164</v>
      </c>
      <c r="E1" s="224" t="s">
        <v>153</v>
      </c>
      <c r="F1" s="224" t="s">
        <v>151</v>
      </c>
      <c r="G1" s="224" t="s">
        <v>149</v>
      </c>
      <c r="H1" s="224" t="s">
        <v>902</v>
      </c>
      <c r="I1" s="224" t="s">
        <v>162</v>
      </c>
      <c r="J1" s="224" t="s">
        <v>163</v>
      </c>
      <c r="K1" s="224" t="s">
        <v>903</v>
      </c>
      <c r="L1" s="224" t="s">
        <v>157</v>
      </c>
      <c r="M1" s="224" t="s">
        <v>155</v>
      </c>
      <c r="N1" s="224" t="s">
        <v>150</v>
      </c>
      <c r="O1" s="224" t="s">
        <v>160</v>
      </c>
      <c r="P1" s="224" t="s">
        <v>334</v>
      </c>
      <c r="Q1" s="224" t="s">
        <v>154</v>
      </c>
      <c r="R1" s="224" t="s">
        <v>161</v>
      </c>
      <c r="S1" s="224" t="s">
        <v>335</v>
      </c>
      <c r="T1" s="224" t="s">
        <v>158</v>
      </c>
    </row>
    <row r="2" spans="1:20" x14ac:dyDescent="0.25">
      <c r="A2" s="200">
        <v>31.24</v>
      </c>
      <c r="B2" s="200">
        <v>0</v>
      </c>
      <c r="C2" s="200">
        <v>9.73</v>
      </c>
      <c r="D2" s="8">
        <v>43081</v>
      </c>
      <c r="E2" s="200">
        <v>0.4</v>
      </c>
      <c r="F2" s="200" t="s">
        <v>408</v>
      </c>
      <c r="G2" s="200">
        <v>297.91000000000003</v>
      </c>
      <c r="H2" s="200"/>
      <c r="I2" s="200">
        <v>0</v>
      </c>
      <c r="J2" s="200">
        <v>0</v>
      </c>
      <c r="K2" s="200"/>
      <c r="L2" s="200">
        <v>1030.6500000000001</v>
      </c>
      <c r="M2" s="200" t="s">
        <v>407</v>
      </c>
      <c r="N2" s="200">
        <v>31.24</v>
      </c>
      <c r="O2" s="200">
        <v>1513062000</v>
      </c>
      <c r="P2" s="200">
        <v>0</v>
      </c>
      <c r="Q2" s="200">
        <v>3.62</v>
      </c>
      <c r="R2" s="200">
        <v>203</v>
      </c>
      <c r="S2" s="200">
        <v>3.53</v>
      </c>
      <c r="T2" s="200">
        <v>1.45</v>
      </c>
    </row>
    <row r="3" spans="1:20" x14ac:dyDescent="0.25">
      <c r="A3" s="200">
        <v>30.67</v>
      </c>
      <c r="B3" s="200">
        <v>0</v>
      </c>
      <c r="C3" s="200">
        <v>9.8699999999999992</v>
      </c>
      <c r="D3" s="8">
        <v>43081.041666666664</v>
      </c>
      <c r="E3" s="200">
        <v>0.41</v>
      </c>
      <c r="F3" s="200" t="s">
        <v>408</v>
      </c>
      <c r="G3" s="200">
        <v>297.89999999999998</v>
      </c>
      <c r="H3" s="200"/>
      <c r="I3" s="200">
        <v>0</v>
      </c>
      <c r="J3" s="200">
        <v>0</v>
      </c>
      <c r="K3" s="200"/>
      <c r="L3" s="200">
        <v>1030.3900000000001</v>
      </c>
      <c r="M3" s="200" t="s">
        <v>407</v>
      </c>
      <c r="N3" s="200">
        <v>30.67</v>
      </c>
      <c r="O3" s="200">
        <v>1513065600</v>
      </c>
      <c r="P3" s="200">
        <v>0</v>
      </c>
      <c r="Q3" s="200">
        <v>4.04</v>
      </c>
      <c r="R3" s="200">
        <v>192</v>
      </c>
      <c r="S3" s="200">
        <v>4.0199999999999996</v>
      </c>
      <c r="T3" s="200">
        <v>1.54</v>
      </c>
    </row>
    <row r="4" spans="1:20" x14ac:dyDescent="0.25">
      <c r="A4" s="200">
        <v>30.67</v>
      </c>
      <c r="B4" s="200">
        <v>0</v>
      </c>
      <c r="C4" s="200">
        <v>9.9600000000000009</v>
      </c>
      <c r="D4" s="8">
        <v>43081.083333333336</v>
      </c>
      <c r="E4" s="200">
        <v>0.41</v>
      </c>
      <c r="F4" s="200" t="s">
        <v>408</v>
      </c>
      <c r="G4" s="200">
        <v>297.56</v>
      </c>
      <c r="H4" s="200"/>
      <c r="I4" s="200">
        <v>0</v>
      </c>
      <c r="J4" s="200">
        <v>0</v>
      </c>
      <c r="K4" s="200"/>
      <c r="L4" s="200">
        <v>1030.32</v>
      </c>
      <c r="M4" s="200" t="s">
        <v>407</v>
      </c>
      <c r="N4" s="200">
        <v>30.67</v>
      </c>
      <c r="O4" s="200">
        <v>1513069200</v>
      </c>
      <c r="P4" s="200">
        <v>0</v>
      </c>
      <c r="Q4" s="200">
        <v>4.04</v>
      </c>
      <c r="R4" s="200">
        <v>189</v>
      </c>
      <c r="S4" s="200">
        <v>4.16</v>
      </c>
      <c r="T4" s="200">
        <v>1.58</v>
      </c>
    </row>
    <row r="5" spans="1:20" x14ac:dyDescent="0.25">
      <c r="A5" s="200">
        <v>30.33</v>
      </c>
      <c r="B5" s="200">
        <v>0</v>
      </c>
      <c r="C5" s="200">
        <v>10.11</v>
      </c>
      <c r="D5" s="8">
        <v>43081.125</v>
      </c>
      <c r="E5" s="200">
        <v>0.42</v>
      </c>
      <c r="F5" s="200" t="s">
        <v>408</v>
      </c>
      <c r="G5" s="200">
        <v>297.11</v>
      </c>
      <c r="H5" s="200"/>
      <c r="I5" s="200">
        <v>0</v>
      </c>
      <c r="J5" s="200">
        <v>0</v>
      </c>
      <c r="K5" s="200"/>
      <c r="L5" s="200">
        <v>1029.76</v>
      </c>
      <c r="M5" s="200" t="s">
        <v>407</v>
      </c>
      <c r="N5" s="200">
        <v>30.33</v>
      </c>
      <c r="O5" s="200">
        <v>1513072800</v>
      </c>
      <c r="P5" s="200">
        <v>0</v>
      </c>
      <c r="Q5" s="200">
        <v>4.04</v>
      </c>
      <c r="R5" s="200">
        <v>177</v>
      </c>
      <c r="S5" s="200">
        <v>4.16</v>
      </c>
      <c r="T5" s="200">
        <v>1.78</v>
      </c>
    </row>
    <row r="6" spans="1:20" x14ac:dyDescent="0.25">
      <c r="A6" s="200">
        <v>30.17</v>
      </c>
      <c r="B6" s="200">
        <v>0</v>
      </c>
      <c r="C6" s="200">
        <v>10.29</v>
      </c>
      <c r="D6" s="8">
        <v>43081.166666666664</v>
      </c>
      <c r="E6" s="200">
        <v>0.43</v>
      </c>
      <c r="F6" s="200" t="s">
        <v>408</v>
      </c>
      <c r="G6" s="200">
        <v>296.33999999999997</v>
      </c>
      <c r="H6" s="200"/>
      <c r="I6" s="200">
        <v>0</v>
      </c>
      <c r="J6" s="200">
        <v>0</v>
      </c>
      <c r="K6" s="200"/>
      <c r="L6" s="200">
        <v>1029.49</v>
      </c>
      <c r="M6" s="200" t="s">
        <v>407</v>
      </c>
      <c r="N6" s="200">
        <v>30.17</v>
      </c>
      <c r="O6" s="200">
        <v>1513076400</v>
      </c>
      <c r="P6" s="200">
        <v>0</v>
      </c>
      <c r="Q6" s="200">
        <v>3.89</v>
      </c>
      <c r="R6" s="200">
        <v>186</v>
      </c>
      <c r="S6" s="200">
        <v>4.2699999999999996</v>
      </c>
      <c r="T6" s="200">
        <v>1.68</v>
      </c>
    </row>
    <row r="7" spans="1:20" x14ac:dyDescent="0.25">
      <c r="A7" s="200">
        <v>30.8</v>
      </c>
      <c r="B7" s="200">
        <v>0</v>
      </c>
      <c r="C7" s="200">
        <v>10.33</v>
      </c>
      <c r="D7" s="8">
        <v>43081.208333333336</v>
      </c>
      <c r="E7" s="200">
        <v>0.42</v>
      </c>
      <c r="F7" s="200" t="s">
        <v>408</v>
      </c>
      <c r="G7" s="200">
        <v>295.33</v>
      </c>
      <c r="H7" s="200">
        <v>0</v>
      </c>
      <c r="I7" s="200">
        <v>2.0000000000000001E-4</v>
      </c>
      <c r="J7" s="200">
        <v>0.01</v>
      </c>
      <c r="K7" s="200" t="s">
        <v>904</v>
      </c>
      <c r="L7" s="200">
        <v>1029.6099999999999</v>
      </c>
      <c r="M7" s="200" t="s">
        <v>407</v>
      </c>
      <c r="N7" s="200">
        <v>30.8</v>
      </c>
      <c r="O7" s="200">
        <v>1513080000</v>
      </c>
      <c r="P7" s="200">
        <v>0</v>
      </c>
      <c r="Q7" s="200">
        <v>3.78</v>
      </c>
      <c r="R7" s="200">
        <v>192</v>
      </c>
      <c r="S7" s="200">
        <v>4.29</v>
      </c>
      <c r="T7" s="200">
        <v>1.89</v>
      </c>
    </row>
    <row r="8" spans="1:20" x14ac:dyDescent="0.25">
      <c r="A8" s="200">
        <v>31.81</v>
      </c>
      <c r="B8" s="200">
        <v>0</v>
      </c>
      <c r="C8" s="200">
        <v>10.37</v>
      </c>
      <c r="D8" s="8">
        <v>43081.25</v>
      </c>
      <c r="E8" s="200">
        <v>0.4</v>
      </c>
      <c r="F8" s="200" t="s">
        <v>408</v>
      </c>
      <c r="G8" s="200">
        <v>294.77</v>
      </c>
      <c r="H8" s="200"/>
      <c r="I8" s="200">
        <v>0</v>
      </c>
      <c r="J8" s="200">
        <v>0</v>
      </c>
      <c r="K8" s="200"/>
      <c r="L8" s="200">
        <v>1028.8599999999999</v>
      </c>
      <c r="M8" s="200" t="s">
        <v>407</v>
      </c>
      <c r="N8" s="200">
        <v>31.81</v>
      </c>
      <c r="O8" s="200">
        <v>1513083600</v>
      </c>
      <c r="P8" s="200">
        <v>0</v>
      </c>
      <c r="Q8" s="200">
        <v>3.37</v>
      </c>
      <c r="R8" s="200">
        <v>198</v>
      </c>
      <c r="S8" s="200">
        <v>3.91</v>
      </c>
      <c r="T8" s="200">
        <v>1.82</v>
      </c>
    </row>
    <row r="9" spans="1:20" x14ac:dyDescent="0.25">
      <c r="A9" s="200">
        <v>31.84</v>
      </c>
      <c r="B9" s="200">
        <v>0.02</v>
      </c>
      <c r="C9" s="200">
        <v>11.03</v>
      </c>
      <c r="D9" s="8">
        <v>43081.291666666664</v>
      </c>
      <c r="E9" s="200">
        <v>0.41</v>
      </c>
      <c r="F9" s="200" t="s">
        <v>408</v>
      </c>
      <c r="G9" s="200">
        <v>294.20999999999998</v>
      </c>
      <c r="H9" s="200"/>
      <c r="I9" s="200">
        <v>0</v>
      </c>
      <c r="J9" s="200">
        <v>0</v>
      </c>
      <c r="K9" s="200"/>
      <c r="L9" s="200">
        <v>1029.93</v>
      </c>
      <c r="M9" s="200" t="s">
        <v>407</v>
      </c>
      <c r="N9" s="200">
        <v>31.84</v>
      </c>
      <c r="O9" s="200">
        <v>1513087200</v>
      </c>
      <c r="P9" s="200">
        <v>0</v>
      </c>
      <c r="Q9" s="200">
        <v>3.49</v>
      </c>
      <c r="R9" s="200">
        <v>203</v>
      </c>
      <c r="S9" s="200">
        <v>3.7</v>
      </c>
      <c r="T9" s="200">
        <v>1.5</v>
      </c>
    </row>
    <row r="10" spans="1:20" x14ac:dyDescent="0.25">
      <c r="A10" s="200">
        <v>34.31</v>
      </c>
      <c r="B10" s="200">
        <v>0.02</v>
      </c>
      <c r="C10" s="200">
        <v>11.68</v>
      </c>
      <c r="D10" s="8">
        <v>43081.333333333336</v>
      </c>
      <c r="E10" s="200">
        <v>0.39</v>
      </c>
      <c r="F10" s="200" t="s">
        <v>419</v>
      </c>
      <c r="G10" s="200">
        <v>293.54000000000002</v>
      </c>
      <c r="H10" s="200"/>
      <c r="I10" s="200">
        <v>0</v>
      </c>
      <c r="J10" s="200">
        <v>0</v>
      </c>
      <c r="K10" s="200"/>
      <c r="L10" s="200">
        <v>1029.56</v>
      </c>
      <c r="M10" s="200" t="s">
        <v>407</v>
      </c>
      <c r="N10" s="200">
        <v>34.31</v>
      </c>
      <c r="O10" s="200">
        <v>1513090800</v>
      </c>
      <c r="P10" s="200">
        <v>1</v>
      </c>
      <c r="Q10" s="200">
        <v>5.63</v>
      </c>
      <c r="R10" s="200">
        <v>196</v>
      </c>
      <c r="S10" s="200">
        <v>4.66</v>
      </c>
      <c r="T10" s="200">
        <v>2.0699999999999998</v>
      </c>
    </row>
    <row r="11" spans="1:20" x14ac:dyDescent="0.25">
      <c r="A11" s="200">
        <v>42.41</v>
      </c>
      <c r="B11" s="200">
        <v>0.01</v>
      </c>
      <c r="C11" s="200">
        <v>13.88</v>
      </c>
      <c r="D11" s="8">
        <v>43081.375</v>
      </c>
      <c r="E11" s="200">
        <v>0.31</v>
      </c>
      <c r="F11" s="200" t="s">
        <v>419</v>
      </c>
      <c r="G11" s="200">
        <v>292.64</v>
      </c>
      <c r="H11" s="200"/>
      <c r="I11" s="200">
        <v>0</v>
      </c>
      <c r="J11" s="200">
        <v>0</v>
      </c>
      <c r="K11" s="200"/>
      <c r="L11" s="200">
        <v>1027.19</v>
      </c>
      <c r="M11" s="200" t="s">
        <v>407</v>
      </c>
      <c r="N11" s="200">
        <v>42.41</v>
      </c>
      <c r="O11" s="200">
        <v>1513094400</v>
      </c>
      <c r="P11" s="200">
        <v>1</v>
      </c>
      <c r="Q11" s="200">
        <v>5.63</v>
      </c>
      <c r="R11" s="200">
        <v>193</v>
      </c>
      <c r="S11" s="200">
        <v>7.14</v>
      </c>
      <c r="T11" s="200">
        <v>2.71</v>
      </c>
    </row>
    <row r="12" spans="1:20" x14ac:dyDescent="0.25">
      <c r="A12" s="200">
        <v>50.46</v>
      </c>
      <c r="B12" s="200">
        <v>0.05</v>
      </c>
      <c r="C12" s="200">
        <v>15.64</v>
      </c>
      <c r="D12" s="8">
        <v>43081.416666666664</v>
      </c>
      <c r="E12" s="200">
        <v>0.25</v>
      </c>
      <c r="F12" s="200" t="s">
        <v>419</v>
      </c>
      <c r="G12" s="200">
        <v>291.75</v>
      </c>
      <c r="H12" s="200"/>
      <c r="I12" s="200">
        <v>0</v>
      </c>
      <c r="J12" s="200">
        <v>0</v>
      </c>
      <c r="K12" s="200"/>
      <c r="L12" s="200">
        <v>1025.9100000000001</v>
      </c>
      <c r="M12" s="200" t="s">
        <v>407</v>
      </c>
      <c r="N12" s="200">
        <v>50.46</v>
      </c>
      <c r="O12" s="200">
        <v>1513098000</v>
      </c>
      <c r="P12" s="200">
        <v>1</v>
      </c>
      <c r="Q12" s="200">
        <v>5.63</v>
      </c>
      <c r="R12" s="200">
        <v>187</v>
      </c>
      <c r="S12" s="200">
        <v>7.76</v>
      </c>
      <c r="T12" s="200">
        <v>3.11</v>
      </c>
    </row>
    <row r="13" spans="1:20" x14ac:dyDescent="0.25">
      <c r="A13" s="200">
        <v>57.16</v>
      </c>
      <c r="B13" s="200">
        <v>0.05</v>
      </c>
      <c r="C13" s="200">
        <v>16.48</v>
      </c>
      <c r="D13" s="8">
        <v>43081.458333333336</v>
      </c>
      <c r="E13" s="200">
        <v>0.2</v>
      </c>
      <c r="F13" s="200" t="s">
        <v>419</v>
      </c>
      <c r="G13" s="200">
        <v>288.57</v>
      </c>
      <c r="H13" s="200"/>
      <c r="I13" s="200">
        <v>0</v>
      </c>
      <c r="J13" s="200">
        <v>0</v>
      </c>
      <c r="K13" s="200"/>
      <c r="L13" s="200">
        <v>1024.1400000000001</v>
      </c>
      <c r="M13" s="200" t="s">
        <v>407</v>
      </c>
      <c r="N13" s="200">
        <v>57.16</v>
      </c>
      <c r="O13" s="200">
        <v>1513101600</v>
      </c>
      <c r="P13" s="200">
        <v>2</v>
      </c>
      <c r="Q13" s="200">
        <v>5.63</v>
      </c>
      <c r="R13" s="200">
        <v>175</v>
      </c>
      <c r="S13" s="200">
        <v>6.67</v>
      </c>
      <c r="T13" s="200">
        <v>2.29</v>
      </c>
    </row>
    <row r="14" spans="1:20" x14ac:dyDescent="0.25">
      <c r="A14" s="200">
        <v>62.52</v>
      </c>
      <c r="B14" s="200">
        <v>7.0000000000000007E-2</v>
      </c>
      <c r="C14" s="200">
        <v>17.02</v>
      </c>
      <c r="D14" s="8">
        <v>43081.5</v>
      </c>
      <c r="E14" s="200">
        <v>0.17</v>
      </c>
      <c r="F14" s="200" t="s">
        <v>419</v>
      </c>
      <c r="G14" s="200">
        <v>288.23</v>
      </c>
      <c r="H14" s="200"/>
      <c r="I14" s="200">
        <v>0</v>
      </c>
      <c r="J14" s="200">
        <v>0</v>
      </c>
      <c r="K14" s="200"/>
      <c r="L14" s="200">
        <v>1022.35</v>
      </c>
      <c r="M14" s="200" t="s">
        <v>407</v>
      </c>
      <c r="N14" s="200">
        <v>62.52</v>
      </c>
      <c r="O14" s="200">
        <v>1513105200</v>
      </c>
      <c r="P14" s="200">
        <v>2</v>
      </c>
      <c r="Q14" s="200">
        <v>5.63</v>
      </c>
      <c r="R14" s="200">
        <v>166</v>
      </c>
      <c r="S14" s="200">
        <v>6.21</v>
      </c>
      <c r="T14" s="200">
        <v>1.68</v>
      </c>
    </row>
    <row r="15" spans="1:20" x14ac:dyDescent="0.25">
      <c r="A15" s="200">
        <v>65.540000000000006</v>
      </c>
      <c r="B15" s="200">
        <v>0.08</v>
      </c>
      <c r="C15" s="200">
        <v>17.11</v>
      </c>
      <c r="D15" s="8">
        <v>43081.541666666664</v>
      </c>
      <c r="E15" s="200">
        <v>0.15</v>
      </c>
      <c r="F15" s="200" t="s">
        <v>419</v>
      </c>
      <c r="G15" s="200">
        <v>288.36</v>
      </c>
      <c r="H15" s="200"/>
      <c r="I15" s="200">
        <v>0</v>
      </c>
      <c r="J15" s="200">
        <v>0</v>
      </c>
      <c r="K15" s="200"/>
      <c r="L15" s="200">
        <v>1020.73</v>
      </c>
      <c r="M15" s="200" t="s">
        <v>407</v>
      </c>
      <c r="N15" s="200">
        <v>65.540000000000006</v>
      </c>
      <c r="O15" s="200">
        <v>1513108800</v>
      </c>
      <c r="P15" s="200">
        <v>2</v>
      </c>
      <c r="Q15" s="200">
        <v>3.77</v>
      </c>
      <c r="R15" s="200">
        <v>149</v>
      </c>
      <c r="S15" s="200">
        <v>5.14</v>
      </c>
      <c r="T15" s="200">
        <v>1.23</v>
      </c>
    </row>
    <row r="16" spans="1:20" x14ac:dyDescent="0.25">
      <c r="A16" s="200">
        <v>66.739999999999995</v>
      </c>
      <c r="B16" s="200">
        <v>7.0000000000000007E-2</v>
      </c>
      <c r="C16" s="200">
        <v>17.079999999999998</v>
      </c>
      <c r="D16" s="8">
        <v>43081.583333333336</v>
      </c>
      <c r="E16" s="200">
        <v>0.15</v>
      </c>
      <c r="F16" s="200" t="s">
        <v>419</v>
      </c>
      <c r="G16" s="200">
        <v>288.70999999999998</v>
      </c>
      <c r="H16" s="200"/>
      <c r="I16" s="200">
        <v>0</v>
      </c>
      <c r="J16" s="200">
        <v>0</v>
      </c>
      <c r="K16" s="200"/>
      <c r="L16" s="200">
        <v>1019.48</v>
      </c>
      <c r="M16" s="200" t="s">
        <v>407</v>
      </c>
      <c r="N16" s="200">
        <v>66.739999999999995</v>
      </c>
      <c r="O16" s="200">
        <v>1513112400</v>
      </c>
      <c r="P16" s="200">
        <v>1</v>
      </c>
      <c r="Q16" s="200">
        <v>4.04</v>
      </c>
      <c r="R16" s="200">
        <v>236</v>
      </c>
      <c r="S16" s="200">
        <v>3.49</v>
      </c>
      <c r="T16" s="200">
        <v>0.2</v>
      </c>
    </row>
    <row r="17" spans="1:20" x14ac:dyDescent="0.25">
      <c r="A17" s="200">
        <v>66.790000000000006</v>
      </c>
      <c r="B17" s="200">
        <v>7.0000000000000007E-2</v>
      </c>
      <c r="C17" s="200">
        <v>16.89</v>
      </c>
      <c r="D17" s="8">
        <v>43081.625</v>
      </c>
      <c r="E17" s="200">
        <v>0.15</v>
      </c>
      <c r="F17" s="200" t="s">
        <v>419</v>
      </c>
      <c r="G17" s="200">
        <v>289.27999999999997</v>
      </c>
      <c r="H17" s="200"/>
      <c r="I17" s="200">
        <v>0</v>
      </c>
      <c r="J17" s="200">
        <v>0</v>
      </c>
      <c r="K17" s="200"/>
      <c r="L17" s="200">
        <v>1019.11</v>
      </c>
      <c r="M17" s="200" t="s">
        <v>407</v>
      </c>
      <c r="N17" s="200">
        <v>66.790000000000006</v>
      </c>
      <c r="O17" s="200">
        <v>1513116000</v>
      </c>
      <c r="P17" s="200">
        <v>1</v>
      </c>
      <c r="Q17" s="200">
        <v>4.04</v>
      </c>
      <c r="R17" s="200">
        <v>338</v>
      </c>
      <c r="S17" s="200">
        <v>5.27</v>
      </c>
      <c r="T17" s="200">
        <v>1.43</v>
      </c>
    </row>
    <row r="18" spans="1:20" x14ac:dyDescent="0.25">
      <c r="A18" s="200">
        <v>63.91</v>
      </c>
      <c r="B18" s="200">
        <v>0.06</v>
      </c>
      <c r="C18" s="200">
        <v>16.920000000000002</v>
      </c>
      <c r="D18" s="8">
        <v>43081.666666666664</v>
      </c>
      <c r="E18" s="200">
        <v>0.16</v>
      </c>
      <c r="F18" s="200" t="s">
        <v>419</v>
      </c>
      <c r="G18" s="200">
        <v>290.07</v>
      </c>
      <c r="H18" s="200"/>
      <c r="I18" s="200">
        <v>0</v>
      </c>
      <c r="J18" s="200">
        <v>0</v>
      </c>
      <c r="K18" s="200"/>
      <c r="L18" s="200">
        <v>1019.46</v>
      </c>
      <c r="M18" s="200" t="s">
        <v>407</v>
      </c>
      <c r="N18" s="200">
        <v>63.91</v>
      </c>
      <c r="O18" s="200">
        <v>1513119600</v>
      </c>
      <c r="P18" s="200">
        <v>0</v>
      </c>
      <c r="Q18" s="200">
        <v>5.63</v>
      </c>
      <c r="R18" s="200">
        <v>299</v>
      </c>
      <c r="S18" s="200">
        <v>6.29</v>
      </c>
      <c r="T18" s="200">
        <v>1.75</v>
      </c>
    </row>
    <row r="19" spans="1:20" x14ac:dyDescent="0.25">
      <c r="A19" s="200">
        <v>58.3</v>
      </c>
      <c r="B19" s="200">
        <v>0.05</v>
      </c>
      <c r="C19" s="200">
        <v>15.8</v>
      </c>
      <c r="D19" s="8">
        <v>43081.708333333336</v>
      </c>
      <c r="E19" s="200">
        <v>0.19</v>
      </c>
      <c r="F19" s="200" t="s">
        <v>408</v>
      </c>
      <c r="G19" s="200">
        <v>285.70999999999998</v>
      </c>
      <c r="H19" s="200"/>
      <c r="I19" s="200">
        <v>0</v>
      </c>
      <c r="J19" s="200">
        <v>0</v>
      </c>
      <c r="K19" s="200"/>
      <c r="L19" s="200">
        <v>1019.82</v>
      </c>
      <c r="M19" s="200" t="s">
        <v>407</v>
      </c>
      <c r="N19" s="200">
        <v>58.3</v>
      </c>
      <c r="O19" s="200">
        <v>1513123200</v>
      </c>
      <c r="P19" s="200">
        <v>0</v>
      </c>
      <c r="Q19" s="200">
        <v>5.32</v>
      </c>
      <c r="R19" s="200">
        <v>282</v>
      </c>
      <c r="S19" s="200">
        <v>5.74</v>
      </c>
      <c r="T19" s="200">
        <v>1.88</v>
      </c>
    </row>
    <row r="20" spans="1:20" x14ac:dyDescent="0.25">
      <c r="A20" s="200">
        <v>54.31</v>
      </c>
      <c r="B20" s="200">
        <v>0.06</v>
      </c>
      <c r="C20" s="200">
        <v>14.26</v>
      </c>
      <c r="D20" s="8">
        <v>43081.75</v>
      </c>
      <c r="E20" s="200">
        <v>0.2</v>
      </c>
      <c r="F20" s="200" t="s">
        <v>408</v>
      </c>
      <c r="G20" s="200">
        <v>285.60000000000002</v>
      </c>
      <c r="H20" s="200"/>
      <c r="I20" s="200">
        <v>0</v>
      </c>
      <c r="J20" s="200">
        <v>0</v>
      </c>
      <c r="K20" s="200"/>
      <c r="L20" s="200">
        <v>1019.77</v>
      </c>
      <c r="M20" s="200" t="s">
        <v>407</v>
      </c>
      <c r="N20" s="200">
        <v>54.31</v>
      </c>
      <c r="O20" s="200">
        <v>1513126800</v>
      </c>
      <c r="P20" s="200">
        <v>0</v>
      </c>
      <c r="Q20" s="200">
        <v>4.45</v>
      </c>
      <c r="R20" s="200">
        <v>274</v>
      </c>
      <c r="S20" s="200">
        <v>7.07</v>
      </c>
      <c r="T20" s="200">
        <v>2.69</v>
      </c>
    </row>
    <row r="21" spans="1:20" x14ac:dyDescent="0.25">
      <c r="A21" s="200">
        <v>53.43</v>
      </c>
      <c r="B21" s="200">
        <v>0.05</v>
      </c>
      <c r="C21" s="200">
        <v>13.05</v>
      </c>
      <c r="D21" s="8">
        <v>43081.791666666664</v>
      </c>
      <c r="E21" s="200">
        <v>0.2</v>
      </c>
      <c r="F21" s="200" t="s">
        <v>408</v>
      </c>
      <c r="G21" s="200">
        <v>286.07</v>
      </c>
      <c r="H21" s="200"/>
      <c r="I21" s="200">
        <v>0</v>
      </c>
      <c r="J21" s="200">
        <v>0</v>
      </c>
      <c r="K21" s="200"/>
      <c r="L21" s="200">
        <v>1020.1</v>
      </c>
      <c r="M21" s="200" t="s">
        <v>407</v>
      </c>
      <c r="N21" s="200">
        <v>53.43</v>
      </c>
      <c r="O21" s="200">
        <v>1513130400</v>
      </c>
      <c r="P21" s="200">
        <v>0</v>
      </c>
      <c r="Q21" s="200">
        <v>4.55</v>
      </c>
      <c r="R21" s="200">
        <v>265</v>
      </c>
      <c r="S21" s="200">
        <v>8.4600000000000009</v>
      </c>
      <c r="T21" s="200">
        <v>3.43</v>
      </c>
    </row>
    <row r="22" spans="1:20" x14ac:dyDescent="0.25">
      <c r="A22" s="200">
        <v>51.89</v>
      </c>
      <c r="B22" s="200">
        <v>0.04</v>
      </c>
      <c r="C22" s="200">
        <v>12.07</v>
      </c>
      <c r="D22" s="8">
        <v>43081.833333333336</v>
      </c>
      <c r="E22" s="200">
        <v>0.2</v>
      </c>
      <c r="F22" s="200" t="s">
        <v>408</v>
      </c>
      <c r="G22" s="200">
        <v>286.64999999999998</v>
      </c>
      <c r="H22" s="200"/>
      <c r="I22" s="200">
        <v>0</v>
      </c>
      <c r="J22" s="200">
        <v>0</v>
      </c>
      <c r="K22" s="200"/>
      <c r="L22" s="200">
        <v>1019.74</v>
      </c>
      <c r="M22" s="200" t="s">
        <v>407</v>
      </c>
      <c r="N22" s="200">
        <v>51.89</v>
      </c>
      <c r="O22" s="200">
        <v>1513134000</v>
      </c>
      <c r="P22" s="200">
        <v>0</v>
      </c>
      <c r="Q22" s="200">
        <v>4.3600000000000003</v>
      </c>
      <c r="R22" s="200">
        <v>258</v>
      </c>
      <c r="S22" s="200">
        <v>8.35</v>
      </c>
      <c r="T22" s="200">
        <v>3.79</v>
      </c>
    </row>
    <row r="23" spans="1:20" x14ac:dyDescent="0.25">
      <c r="A23" s="200">
        <v>50.89</v>
      </c>
      <c r="B23" s="200">
        <v>0.02</v>
      </c>
      <c r="C23" s="200">
        <v>11.76</v>
      </c>
      <c r="D23" s="8">
        <v>43081.875</v>
      </c>
      <c r="E23" s="200">
        <v>0.2</v>
      </c>
      <c r="F23" s="200" t="s">
        <v>408</v>
      </c>
      <c r="G23" s="200">
        <v>287.45999999999998</v>
      </c>
      <c r="H23" s="200"/>
      <c r="I23" s="200">
        <v>0</v>
      </c>
      <c r="J23" s="200">
        <v>0</v>
      </c>
      <c r="K23" s="200"/>
      <c r="L23" s="200">
        <v>1018.89</v>
      </c>
      <c r="M23" s="200" t="s">
        <v>407</v>
      </c>
      <c r="N23" s="200">
        <v>50.89</v>
      </c>
      <c r="O23" s="200">
        <v>1513137600</v>
      </c>
      <c r="P23" s="200">
        <v>0</v>
      </c>
      <c r="Q23" s="200">
        <v>3.28</v>
      </c>
      <c r="R23" s="200">
        <v>253</v>
      </c>
      <c r="S23" s="200">
        <v>8.74</v>
      </c>
      <c r="T23" s="200">
        <v>2.81</v>
      </c>
    </row>
    <row r="24" spans="1:20" x14ac:dyDescent="0.25">
      <c r="A24" s="200">
        <v>49.72</v>
      </c>
      <c r="B24" s="200">
        <v>0</v>
      </c>
      <c r="C24" s="200">
        <v>11.31</v>
      </c>
      <c r="D24" s="8">
        <v>43081.916666666664</v>
      </c>
      <c r="E24" s="200">
        <v>0.21</v>
      </c>
      <c r="F24" s="200" t="s">
        <v>408</v>
      </c>
      <c r="G24" s="200">
        <v>288.60000000000002</v>
      </c>
      <c r="H24" s="200"/>
      <c r="I24" s="200">
        <v>0</v>
      </c>
      <c r="J24" s="200">
        <v>0</v>
      </c>
      <c r="K24" s="200"/>
      <c r="L24" s="200">
        <v>1017.62</v>
      </c>
      <c r="M24" s="200" t="s">
        <v>407</v>
      </c>
      <c r="N24" s="200">
        <v>49.72</v>
      </c>
      <c r="O24" s="200">
        <v>1513141200</v>
      </c>
      <c r="P24" s="200">
        <v>0</v>
      </c>
      <c r="Q24" s="200">
        <v>3.82</v>
      </c>
      <c r="R24" s="200">
        <v>250</v>
      </c>
      <c r="S24" s="200">
        <v>7.62</v>
      </c>
      <c r="T24" s="200">
        <v>2.4500000000000002</v>
      </c>
    </row>
    <row r="25" spans="1:20" x14ac:dyDescent="0.25">
      <c r="A25" s="200">
        <v>49.16</v>
      </c>
      <c r="B25" s="200">
        <v>0</v>
      </c>
      <c r="C25" s="200">
        <v>9.92</v>
      </c>
      <c r="D25" s="8">
        <v>43081.958333333336</v>
      </c>
      <c r="E25" s="200">
        <v>0.2</v>
      </c>
      <c r="F25" s="200" t="s">
        <v>408</v>
      </c>
      <c r="G25" s="200">
        <v>289.85000000000002</v>
      </c>
      <c r="H25" s="200"/>
      <c r="I25" s="200">
        <v>0</v>
      </c>
      <c r="J25" s="200">
        <v>0</v>
      </c>
      <c r="K25" s="200"/>
      <c r="L25" s="200">
        <v>1016.62</v>
      </c>
      <c r="M25" s="200" t="s">
        <v>407</v>
      </c>
      <c r="N25" s="200">
        <v>49.16</v>
      </c>
      <c r="O25" s="200">
        <v>1513144800</v>
      </c>
      <c r="P25" s="200">
        <v>0</v>
      </c>
      <c r="Q25" s="200">
        <v>7.53</v>
      </c>
      <c r="R25" s="200">
        <v>251</v>
      </c>
      <c r="S25" s="200">
        <v>8.73</v>
      </c>
      <c r="T25" s="200">
        <v>2.4</v>
      </c>
    </row>
    <row r="26" spans="1:20" x14ac:dyDescent="0.25">
      <c r="A26" s="200">
        <v>47.85</v>
      </c>
      <c r="B26" s="200">
        <v>0</v>
      </c>
      <c r="C26" s="200">
        <v>9.25</v>
      </c>
      <c r="D26" s="8">
        <v>43082</v>
      </c>
      <c r="E26" s="200">
        <v>0.2</v>
      </c>
      <c r="F26" s="200" t="s">
        <v>408</v>
      </c>
      <c r="G26" s="200">
        <v>290.89</v>
      </c>
      <c r="H26" s="200"/>
      <c r="I26" s="200">
        <v>0</v>
      </c>
      <c r="J26" s="200">
        <v>0</v>
      </c>
      <c r="K26" s="200"/>
      <c r="L26" s="200">
        <v>1016</v>
      </c>
      <c r="M26" s="200" t="s">
        <v>407</v>
      </c>
      <c r="N26" s="200">
        <v>47.85</v>
      </c>
      <c r="O26" s="200">
        <v>1513148400</v>
      </c>
      <c r="P26" s="200">
        <v>0</v>
      </c>
      <c r="Q26" s="200">
        <v>6.87</v>
      </c>
      <c r="R26" s="200">
        <v>255</v>
      </c>
      <c r="S26" s="200">
        <v>8.0299999999999994</v>
      </c>
      <c r="T26" s="200">
        <v>2.2000000000000002</v>
      </c>
    </row>
    <row r="27" spans="1:20" x14ac:dyDescent="0.25">
      <c r="A27" s="200">
        <v>46.44</v>
      </c>
      <c r="B27" s="200">
        <v>0.03</v>
      </c>
      <c r="C27" s="200">
        <v>8.15</v>
      </c>
      <c r="D27" s="8">
        <v>43082.041666666664</v>
      </c>
      <c r="E27" s="200">
        <v>0.21</v>
      </c>
      <c r="F27" s="200" t="s">
        <v>408</v>
      </c>
      <c r="G27" s="200">
        <v>292.26</v>
      </c>
      <c r="H27" s="200"/>
      <c r="I27" s="200">
        <v>0</v>
      </c>
      <c r="J27" s="200">
        <v>0</v>
      </c>
      <c r="K27" s="200"/>
      <c r="L27" s="200">
        <v>1015.42</v>
      </c>
      <c r="M27" s="200" t="s">
        <v>407</v>
      </c>
      <c r="N27" s="200">
        <v>46.44</v>
      </c>
      <c r="O27" s="200">
        <v>1513152000</v>
      </c>
      <c r="P27" s="200">
        <v>0</v>
      </c>
      <c r="Q27" s="200">
        <v>7.13</v>
      </c>
      <c r="R27" s="200">
        <v>257</v>
      </c>
      <c r="S27" s="200">
        <v>7.61</v>
      </c>
      <c r="T27" s="200">
        <v>1.94</v>
      </c>
    </row>
    <row r="28" spans="1:20" x14ac:dyDescent="0.25">
      <c r="A28" s="200">
        <v>44.46</v>
      </c>
      <c r="B28" s="200">
        <v>0.06</v>
      </c>
      <c r="C28" s="200">
        <v>8.3000000000000007</v>
      </c>
      <c r="D28" s="8">
        <v>43082.083333333336</v>
      </c>
      <c r="E28" s="200">
        <v>0.22</v>
      </c>
      <c r="F28" s="200" t="s">
        <v>408</v>
      </c>
      <c r="G28" s="200">
        <v>294.39999999999998</v>
      </c>
      <c r="H28" s="200"/>
      <c r="I28" s="200">
        <v>0</v>
      </c>
      <c r="J28" s="200">
        <v>0</v>
      </c>
      <c r="K28" s="200"/>
      <c r="L28" s="200">
        <v>1016.46</v>
      </c>
      <c r="M28" s="200" t="s">
        <v>407</v>
      </c>
      <c r="N28" s="200">
        <v>44.46</v>
      </c>
      <c r="O28" s="200">
        <v>1513155600</v>
      </c>
      <c r="P28" s="200">
        <v>0</v>
      </c>
      <c r="Q28" s="200">
        <v>3.77</v>
      </c>
      <c r="R28" s="200">
        <v>248</v>
      </c>
      <c r="S28" s="200">
        <v>6.41</v>
      </c>
      <c r="T28" s="200">
        <v>1.41</v>
      </c>
    </row>
    <row r="29" spans="1:20" x14ac:dyDescent="0.25">
      <c r="A29" s="200">
        <v>40.98</v>
      </c>
      <c r="B29" s="200">
        <v>0.08</v>
      </c>
      <c r="C29" s="200">
        <v>8.2899999999999991</v>
      </c>
      <c r="D29" s="8">
        <v>43082.125</v>
      </c>
      <c r="E29" s="200">
        <v>0.24</v>
      </c>
      <c r="F29" s="200" t="s">
        <v>408</v>
      </c>
      <c r="G29" s="200">
        <v>297.97000000000003</v>
      </c>
      <c r="H29" s="200"/>
      <c r="I29" s="200">
        <v>0</v>
      </c>
      <c r="J29" s="200">
        <v>0</v>
      </c>
      <c r="K29" s="200"/>
      <c r="L29" s="200">
        <v>1017.74</v>
      </c>
      <c r="M29" s="200" t="s">
        <v>407</v>
      </c>
      <c r="N29" s="200">
        <v>42.62</v>
      </c>
      <c r="O29" s="200">
        <v>1513159200</v>
      </c>
      <c r="P29" s="200">
        <v>0</v>
      </c>
      <c r="Q29" s="200">
        <v>5.54</v>
      </c>
      <c r="R29" s="200">
        <v>184</v>
      </c>
      <c r="S29" s="200">
        <v>5.04</v>
      </c>
      <c r="T29" s="200">
        <v>3.33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0" t="s">
        <v>179</v>
      </c>
    </row>
    <row r="33" spans="1:1" x14ac:dyDescent="0.25">
      <c r="A33" s="13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D15" sqref="D15"/>
    </sheetView>
  </sheetViews>
  <sheetFormatPr defaultRowHeight="15" x14ac:dyDescent="0.25"/>
  <cols>
    <col min="1" max="1" width="32.140625" customWidth="1"/>
    <col min="3" max="3" width="24" customWidth="1"/>
    <col min="4" max="4" width="19.140625" style="50" customWidth="1"/>
    <col min="10" max="10" width="24.28515625" style="129" bestFit="1" customWidth="1"/>
    <col min="11" max="11" width="15.28515625" style="129" hidden="1" customWidth="1"/>
    <col min="12" max="12" width="13.5703125" style="129" hidden="1" customWidth="1"/>
    <col min="13" max="13" width="9" style="143" bestFit="1" customWidth="1"/>
    <col min="14" max="17" width="9.140625" style="129"/>
    <col min="20" max="24" width="9.140625" style="143"/>
    <col min="29" max="29" width="12.42578125" customWidth="1"/>
    <col min="30" max="30" width="9.140625" style="156"/>
    <col min="31" max="32" width="9.140625" style="50"/>
  </cols>
  <sheetData>
    <row r="1" spans="1:32" ht="45.75" x14ac:dyDescent="0.3">
      <c r="A1" s="11" t="s">
        <v>25</v>
      </c>
      <c r="C1" s="109" t="s">
        <v>96</v>
      </c>
      <c r="D1" s="110" t="s">
        <v>97</v>
      </c>
      <c r="J1" s="135" t="s">
        <v>98</v>
      </c>
      <c r="K1" s="135" t="s">
        <v>66</v>
      </c>
      <c r="L1" s="135" t="s">
        <v>67</v>
      </c>
      <c r="O1" s="136" t="s">
        <v>99</v>
      </c>
      <c r="T1" s="145" t="s">
        <v>324</v>
      </c>
      <c r="U1" s="145"/>
      <c r="V1" s="145"/>
      <c r="W1" s="145"/>
      <c r="X1" s="145"/>
    </row>
    <row r="2" spans="1:32" ht="15.75" thickBot="1" x14ac:dyDescent="0.3">
      <c r="A2" s="12">
        <v>43081</v>
      </c>
      <c r="B2" s="4"/>
      <c r="C2" s="111">
        <v>50</v>
      </c>
      <c r="D2" s="112">
        <v>25</v>
      </c>
      <c r="F2" t="s">
        <v>110</v>
      </c>
      <c r="J2" s="135"/>
      <c r="K2" s="135" t="s">
        <v>66</v>
      </c>
      <c r="L2" s="135" t="s">
        <v>67</v>
      </c>
      <c r="T2" s="144" t="s">
        <v>325</v>
      </c>
      <c r="U2" s="144">
        <v>167</v>
      </c>
      <c r="V2" s="144">
        <v>168</v>
      </c>
      <c r="W2" s="144">
        <v>199</v>
      </c>
      <c r="X2" s="144">
        <v>200</v>
      </c>
      <c r="AD2" t="s">
        <v>337</v>
      </c>
      <c r="AE2" s="50" t="s">
        <v>340</v>
      </c>
      <c r="AF2" s="50" t="s">
        <v>341</v>
      </c>
    </row>
    <row r="3" spans="1:32" x14ac:dyDescent="0.25">
      <c r="C3" s="50"/>
      <c r="F3" t="s">
        <v>52</v>
      </c>
      <c r="J3" s="137" t="s">
        <v>68</v>
      </c>
      <c r="K3" s="138">
        <v>2.7052</v>
      </c>
      <c r="L3" s="138">
        <v>2.7349999999999999</v>
      </c>
      <c r="M3" s="143">
        <f t="shared" ref="M3:M14" si="0">AVERAGE(K3:L3)</f>
        <v>2.7201</v>
      </c>
      <c r="O3" s="129" t="s">
        <v>100</v>
      </c>
      <c r="P3" s="129">
        <f>AVERAGE(1.0714,1.1016)</f>
        <v>1.0865</v>
      </c>
      <c r="T3" s="144" t="s">
        <v>326</v>
      </c>
      <c r="U3" s="144">
        <v>174</v>
      </c>
      <c r="V3" s="144">
        <v>176</v>
      </c>
      <c r="W3" s="144">
        <v>207</v>
      </c>
      <c r="X3" s="144">
        <v>210</v>
      </c>
      <c r="AC3" s="30" t="s">
        <v>102</v>
      </c>
      <c r="AD3" s="121">
        <v>23</v>
      </c>
      <c r="AE3" s="42">
        <v>100</v>
      </c>
      <c r="AF3" s="42">
        <v>299</v>
      </c>
    </row>
    <row r="4" spans="1:32" ht="45" x14ac:dyDescent="0.25">
      <c r="C4" s="109" t="s">
        <v>96</v>
      </c>
      <c r="D4" s="110" t="s">
        <v>97</v>
      </c>
      <c r="F4" t="s">
        <v>53</v>
      </c>
      <c r="J4" s="137" t="s">
        <v>69</v>
      </c>
      <c r="K4" s="138">
        <v>3.0830000000000002</v>
      </c>
      <c r="L4" s="138">
        <v>3.097</v>
      </c>
      <c r="M4" s="143">
        <f t="shared" si="0"/>
        <v>3.09</v>
      </c>
      <c r="T4" s="144" t="s">
        <v>327</v>
      </c>
      <c r="U4" s="144">
        <v>173</v>
      </c>
      <c r="V4" s="144">
        <v>175</v>
      </c>
      <c r="W4" s="144">
        <v>208</v>
      </c>
      <c r="X4" s="144">
        <v>209</v>
      </c>
      <c r="AC4" s="30" t="s">
        <v>103</v>
      </c>
      <c r="AD4" s="121">
        <v>5.65</v>
      </c>
      <c r="AE4" s="42">
        <v>800</v>
      </c>
      <c r="AF4" s="42">
        <v>899</v>
      </c>
    </row>
    <row r="5" spans="1:32" x14ac:dyDescent="0.25">
      <c r="C5" s="50">
        <v>30</v>
      </c>
      <c r="D5" s="50">
        <v>9</v>
      </c>
      <c r="J5" s="137" t="s">
        <v>70</v>
      </c>
      <c r="K5" s="138">
        <v>3.3136000000000001</v>
      </c>
      <c r="L5" s="138">
        <v>3.3256999999999999</v>
      </c>
      <c r="M5" s="143">
        <f t="shared" si="0"/>
        <v>3.3196500000000002</v>
      </c>
      <c r="T5" s="144" t="s">
        <v>328</v>
      </c>
      <c r="U5" s="144">
        <v>187</v>
      </c>
      <c r="V5" s="144">
        <v>188</v>
      </c>
      <c r="W5" s="144">
        <v>223</v>
      </c>
      <c r="X5" s="144">
        <v>224</v>
      </c>
      <c r="AC5" s="30" t="s">
        <v>338</v>
      </c>
      <c r="AD5" s="121">
        <v>11.15</v>
      </c>
      <c r="AE5" s="42">
        <v>400</v>
      </c>
      <c r="AF5" s="42">
        <v>600</v>
      </c>
    </row>
    <row r="6" spans="1:32" x14ac:dyDescent="0.25">
      <c r="C6" s="50"/>
      <c r="F6" t="s">
        <v>111</v>
      </c>
      <c r="J6" s="137" t="s">
        <v>71</v>
      </c>
      <c r="K6" s="138">
        <v>4.2778999999999998</v>
      </c>
      <c r="L6" s="138">
        <v>4.2961</v>
      </c>
      <c r="M6" s="143">
        <f t="shared" si="0"/>
        <v>4.2869999999999999</v>
      </c>
      <c r="T6" s="144"/>
      <c r="U6" s="144"/>
      <c r="V6" s="144"/>
      <c r="W6" s="144"/>
      <c r="X6" s="144"/>
      <c r="AC6" s="45" t="s">
        <v>103</v>
      </c>
      <c r="AD6" s="167">
        <v>5.65</v>
      </c>
      <c r="AE6" s="42">
        <v>1800</v>
      </c>
      <c r="AF6" s="42">
        <v>1899</v>
      </c>
    </row>
    <row r="7" spans="1:32" x14ac:dyDescent="0.25">
      <c r="C7" s="50"/>
      <c r="F7" t="s">
        <v>333</v>
      </c>
      <c r="J7" s="137" t="s">
        <v>72</v>
      </c>
      <c r="K7" s="138">
        <v>4.7865000000000002</v>
      </c>
      <c r="L7" s="138">
        <v>4.8048000000000002</v>
      </c>
      <c r="M7" s="143">
        <f t="shared" si="0"/>
        <v>4.7956500000000002</v>
      </c>
      <c r="T7" s="144"/>
      <c r="U7" s="144"/>
      <c r="V7" s="144"/>
      <c r="W7" s="144"/>
      <c r="X7" s="144"/>
      <c r="AC7" s="30" t="s">
        <v>339</v>
      </c>
      <c r="AD7" s="121">
        <v>99</v>
      </c>
      <c r="AE7" s="42">
        <v>0</v>
      </c>
      <c r="AF7" s="42">
        <v>99</v>
      </c>
    </row>
    <row r="8" spans="1:32" x14ac:dyDescent="0.25">
      <c r="C8" s="50"/>
      <c r="F8" t="s">
        <v>349</v>
      </c>
      <c r="J8" s="137" t="s">
        <v>73</v>
      </c>
      <c r="K8" s="138">
        <v>5.3155000000000001</v>
      </c>
      <c r="L8" s="138">
        <v>5.3277000000000001</v>
      </c>
      <c r="M8" s="143">
        <f t="shared" si="0"/>
        <v>5.3216000000000001</v>
      </c>
      <c r="T8" s="144"/>
      <c r="U8" s="144"/>
      <c r="V8" s="144"/>
      <c r="W8" s="144"/>
      <c r="X8" s="144"/>
      <c r="AC8" s="45" t="s">
        <v>342</v>
      </c>
      <c r="AD8" s="161">
        <v>9999</v>
      </c>
      <c r="AE8" s="121">
        <v>9999</v>
      </c>
      <c r="AF8" s="121">
        <v>9999</v>
      </c>
    </row>
    <row r="9" spans="1:32" x14ac:dyDescent="0.25">
      <c r="C9" s="50"/>
      <c r="J9" s="137" t="s">
        <v>74</v>
      </c>
      <c r="K9" s="138">
        <v>5.8117000000000001</v>
      </c>
      <c r="L9" s="138">
        <v>5.8300999999999998</v>
      </c>
      <c r="M9" s="143">
        <f t="shared" si="0"/>
        <v>5.8209</v>
      </c>
      <c r="T9" s="144"/>
      <c r="U9" s="144"/>
      <c r="V9" s="144"/>
      <c r="W9" s="144"/>
      <c r="X9" s="144"/>
    </row>
    <row r="10" spans="1:32" x14ac:dyDescent="0.25">
      <c r="C10" s="50"/>
      <c r="J10" s="137" t="s">
        <v>75</v>
      </c>
      <c r="K10" s="138">
        <v>5.8783000000000003</v>
      </c>
      <c r="L10" s="138">
        <v>5.8903999999999996</v>
      </c>
      <c r="M10" s="143">
        <f t="shared" si="0"/>
        <v>5.8843499999999995</v>
      </c>
      <c r="T10" s="144"/>
      <c r="U10" s="144"/>
      <c r="V10" s="144"/>
      <c r="W10" s="144"/>
      <c r="X10" s="144"/>
    </row>
    <row r="11" spans="1:32" x14ac:dyDescent="0.25">
      <c r="C11" s="50"/>
      <c r="J11" s="137" t="s">
        <v>76</v>
      </c>
      <c r="K11" s="138">
        <v>6.3068</v>
      </c>
      <c r="L11" s="138">
        <v>6.3308999999999997</v>
      </c>
      <c r="M11" s="143">
        <f t="shared" si="0"/>
        <v>6.3188499999999994</v>
      </c>
      <c r="T11" s="144"/>
      <c r="U11" s="144"/>
      <c r="V11" s="144"/>
      <c r="W11" s="144"/>
      <c r="X11" s="144"/>
    </row>
    <row r="12" spans="1:32" x14ac:dyDescent="0.25">
      <c r="C12" s="50"/>
      <c r="J12" s="137" t="s">
        <v>77</v>
      </c>
      <c r="K12" s="138">
        <v>7.8349000000000002</v>
      </c>
      <c r="L12" s="138">
        <v>7.8468999999999998</v>
      </c>
      <c r="M12" s="143">
        <f t="shared" si="0"/>
        <v>7.8408999999999995</v>
      </c>
      <c r="T12" s="144"/>
      <c r="U12" s="144"/>
      <c r="V12" s="144"/>
      <c r="W12" s="144"/>
      <c r="X12" s="144"/>
    </row>
    <row r="13" spans="1:32" x14ac:dyDescent="0.25">
      <c r="C13" s="50"/>
      <c r="J13" s="137" t="s">
        <v>78</v>
      </c>
      <c r="K13" s="138">
        <v>10.373799999999999</v>
      </c>
      <c r="L13" s="138">
        <v>10.38</v>
      </c>
      <c r="M13" s="143">
        <f t="shared" si="0"/>
        <v>10.376899999999999</v>
      </c>
      <c r="T13" s="144"/>
      <c r="U13" s="144"/>
      <c r="V13" s="144"/>
      <c r="W13" s="144"/>
      <c r="X13" s="144"/>
    </row>
    <row r="14" spans="1:32" x14ac:dyDescent="0.25">
      <c r="C14" s="50"/>
      <c r="J14" s="137" t="s">
        <v>79</v>
      </c>
      <c r="K14" s="138">
        <v>10.8954</v>
      </c>
      <c r="L14" s="138">
        <v>10.913500000000001</v>
      </c>
      <c r="M14" s="143">
        <f t="shared" si="0"/>
        <v>10.904450000000001</v>
      </c>
      <c r="T14" s="144"/>
      <c r="U14" s="144"/>
      <c r="V14" s="144"/>
      <c r="W14" s="144"/>
      <c r="X14" s="144"/>
    </row>
    <row r="15" spans="1:32" x14ac:dyDescent="0.25">
      <c r="C15" s="50"/>
      <c r="J15" s="137"/>
      <c r="K15" s="138"/>
      <c r="L15" s="138"/>
      <c r="T15" s="144"/>
      <c r="U15" s="144"/>
      <c r="V15" s="144"/>
      <c r="W15" s="144"/>
      <c r="X15" s="144"/>
    </row>
    <row r="16" spans="1:32" x14ac:dyDescent="0.25">
      <c r="C16" s="50"/>
      <c r="J16" s="137"/>
      <c r="K16" s="138"/>
      <c r="L16" s="138"/>
      <c r="T16" s="144"/>
      <c r="U16" s="144"/>
      <c r="V16" s="144"/>
      <c r="W16" s="144"/>
      <c r="X16" s="144"/>
    </row>
    <row r="17" spans="3:24" x14ac:dyDescent="0.25">
      <c r="C17" s="126" t="s">
        <v>180</v>
      </c>
      <c r="J17" s="137"/>
      <c r="K17" s="138"/>
      <c r="L17" s="138"/>
      <c r="T17" s="144"/>
      <c r="U17" s="144"/>
      <c r="V17" s="144"/>
      <c r="W17" s="144"/>
      <c r="X17" s="144"/>
    </row>
    <row r="18" spans="3:24" x14ac:dyDescent="0.25">
      <c r="C18" t="s">
        <v>1068</v>
      </c>
      <c r="J18" s="137" t="s">
        <v>85</v>
      </c>
      <c r="K18" s="138"/>
      <c r="L18" s="138"/>
      <c r="M18" s="143" t="str">
        <f>"""C:\Program Files (x86)\AstroGrep\AstroGrep.exe"""</f>
        <v>"C:\Program Files (x86)\AstroGrep\AstroGrep.exe"</v>
      </c>
      <c r="T18" s="144"/>
      <c r="U18" s="144"/>
      <c r="V18" s="144"/>
      <c r="W18" s="144"/>
      <c r="X18" s="144"/>
    </row>
    <row r="19" spans="3:24" x14ac:dyDescent="0.25">
      <c r="C19" t="s">
        <v>1069</v>
      </c>
      <c r="J19" s="137" t="s">
        <v>86</v>
      </c>
      <c r="K19" s="138"/>
      <c r="L19" s="138"/>
      <c r="M19" s="143" t="s">
        <v>109</v>
      </c>
      <c r="T19" s="144"/>
      <c r="U19" s="144"/>
      <c r="V19" s="144"/>
      <c r="W19" s="144"/>
      <c r="X19" s="144"/>
    </row>
    <row r="20" spans="3:24" x14ac:dyDescent="0.25">
      <c r="C20" t="s">
        <v>1070</v>
      </c>
      <c r="J20" s="129" t="s">
        <v>87</v>
      </c>
      <c r="M20" s="143" t="s">
        <v>332</v>
      </c>
      <c r="N20" s="143" t="s">
        <v>323</v>
      </c>
      <c r="T20" s="144"/>
      <c r="U20" s="144"/>
      <c r="V20" s="144"/>
      <c r="W20" s="144"/>
      <c r="X20" s="144"/>
    </row>
    <row r="21" spans="3:24" x14ac:dyDescent="0.25">
      <c r="C21" t="s">
        <v>1071</v>
      </c>
      <c r="J21" s="129" t="s">
        <v>90</v>
      </c>
      <c r="K21" s="129" t="s">
        <v>91</v>
      </c>
      <c r="M21" s="143" t="s">
        <v>172</v>
      </c>
      <c r="T21" s="144"/>
      <c r="U21" s="144"/>
      <c r="V21" s="144"/>
      <c r="W21" s="144"/>
      <c r="X21" s="144"/>
    </row>
    <row r="22" spans="3:24" x14ac:dyDescent="0.25">
      <c r="C22" t="s">
        <v>1072</v>
      </c>
      <c r="J22" s="129" t="s">
        <v>92</v>
      </c>
      <c r="K22" s="129" t="s">
        <v>108</v>
      </c>
      <c r="M22" s="143" t="s">
        <v>108</v>
      </c>
      <c r="T22" s="144"/>
      <c r="U22" s="144"/>
      <c r="V22" s="144"/>
      <c r="W22" s="144"/>
      <c r="X22" s="144"/>
    </row>
    <row r="23" spans="3:24" x14ac:dyDescent="0.25">
      <c r="C23" t="s">
        <v>1073</v>
      </c>
      <c r="J23" s="139" t="s">
        <v>94</v>
      </c>
      <c r="M23" s="143" t="str">
        <f>"-07"</f>
        <v>-07</v>
      </c>
      <c r="T23" s="144"/>
      <c r="U23" s="144"/>
      <c r="V23" s="144"/>
      <c r="W23" s="144"/>
      <c r="X23" s="144"/>
    </row>
    <row r="24" spans="3:24" x14ac:dyDescent="0.25">
      <c r="C24" t="s">
        <v>1074</v>
      </c>
      <c r="J24" s="129" t="s">
        <v>105</v>
      </c>
      <c r="M24" s="143" t="s">
        <v>107</v>
      </c>
      <c r="T24" s="144"/>
      <c r="U24" s="144"/>
      <c r="V24" s="144"/>
      <c r="W24" s="144"/>
      <c r="X24" s="144"/>
    </row>
    <row r="25" spans="3:24" x14ac:dyDescent="0.25">
      <c r="C25" t="s">
        <v>1075</v>
      </c>
      <c r="J25" s="129" t="s">
        <v>144</v>
      </c>
      <c r="M25" s="143" t="b">
        <v>1</v>
      </c>
    </row>
    <row r="26" spans="3:24" x14ac:dyDescent="0.25">
      <c r="C26" t="s">
        <v>1076</v>
      </c>
      <c r="J26" s="129" t="s">
        <v>145</v>
      </c>
      <c r="M26" s="143" t="str">
        <f>"%USERPROFILE%\Documents\GitHub\eaglep3-reporting\EC\"&amp;TEXT(A2,"yyyy-mm-dd")&amp;"-refined-times.txt"</f>
        <v>%USERPROFILE%\Documents\GitHub\eaglep3-reporting\EC\2017-12-12-refined-times.txt</v>
      </c>
    </row>
    <row r="27" spans="3:24" x14ac:dyDescent="0.25">
      <c r="C27" t="s">
        <v>1077</v>
      </c>
      <c r="J27" s="129" t="s">
        <v>174</v>
      </c>
      <c r="M27" s="143" t="str">
        <f>"%USERPROFILE%\Documents\GitHub\eaglep3-reporting\EC\"&amp;TEXT(A2,"YYYY-MM-DD")&amp;"-Enforcements.txt"</f>
        <v>%USERPROFILE%\Documents\GitHub\eaglep3-reporting\EC\2017-12-12-Enforcements.txt</v>
      </c>
    </row>
    <row r="28" spans="3:24" x14ac:dyDescent="0.25">
      <c r="C28" t="s">
        <v>1078</v>
      </c>
      <c r="J28" s="129" t="s">
        <v>175</v>
      </c>
      <c r="M28" s="143" t="str">
        <f>"%USERPROFILE%\Documents\GitHub\eaglep3-reporting\EC\"&amp;TEXT(A2,"YYYY-MM-DD")&amp;"-Runs-refined.txt"</f>
        <v>%USERPROFILE%\Documents\GitHub\eaglep3-reporting\EC\2017-12-12-Runs-refined.txt</v>
      </c>
    </row>
    <row r="29" spans="3:24" x14ac:dyDescent="0.25">
      <c r="C29" t="s">
        <v>1079</v>
      </c>
      <c r="J29" s="129" t="s">
        <v>176</v>
      </c>
      <c r="M29" s="143" t="str">
        <f>"%USERPROFILE%\Documents\GitHub\eaglep3-reporting\EC\"&amp;TEXT(A2,"YYYY-MM-DD")&amp;"-Trips.txt"</f>
        <v>%USERPROFILE%\Documents\GitHub\eaglep3-reporting\EC\2017-12-12-Trips.txt</v>
      </c>
    </row>
    <row r="30" spans="3:24" x14ac:dyDescent="0.25">
      <c r="C30" t="s">
        <v>1080</v>
      </c>
      <c r="J30" s="129" t="s">
        <v>177</v>
      </c>
      <c r="M30" s="143" t="str">
        <f>"%USERPROFILE%\Documents\GitHub\eaglep3-reporting\EC\"&amp;TEXT(A2,"YYYY-MM-DD")&amp;"-Weather.txt"</f>
        <v>%USERPROFILE%\Documents\GitHub\eaglep3-reporting\EC\2017-12-12-Weather.txt</v>
      </c>
    </row>
    <row r="31" spans="3:24" x14ac:dyDescent="0.25">
      <c r="C31" t="s">
        <v>1081</v>
      </c>
      <c r="J31" s="129" t="s">
        <v>188</v>
      </c>
      <c r="M31" s="143" t="s">
        <v>189</v>
      </c>
    </row>
    <row r="32" spans="3:24" x14ac:dyDescent="0.25">
      <c r="C32" t="s">
        <v>1082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3" bestFit="1" customWidth="1"/>
    <col min="2" max="7" width="9.140625" style="83"/>
    <col min="8" max="8" width="17.7109375" style="172" bestFit="1" customWidth="1"/>
    <col min="9" max="10" width="9.140625" style="172"/>
    <col min="11" max="16384" width="9.140625" style="83"/>
  </cols>
  <sheetData>
    <row r="1" spans="1:11" x14ac:dyDescent="0.25">
      <c r="A1" s="82" t="s">
        <v>115</v>
      </c>
      <c r="B1" s="82" t="s">
        <v>116</v>
      </c>
      <c r="C1" s="83" t="s">
        <v>117</v>
      </c>
      <c r="H1" s="156" t="s">
        <v>112</v>
      </c>
      <c r="I1" s="170" t="s">
        <v>353</v>
      </c>
      <c r="J1" s="156" t="s">
        <v>330</v>
      </c>
    </row>
    <row r="2" spans="1:11" x14ac:dyDescent="0.25">
      <c r="A2" s="83" t="s">
        <v>118</v>
      </c>
      <c r="B2" s="83" t="s">
        <v>119</v>
      </c>
      <c r="C2" s="83" t="s">
        <v>120</v>
      </c>
      <c r="H2" s="156" t="s">
        <v>113</v>
      </c>
      <c r="I2" s="156" t="s">
        <v>114</v>
      </c>
      <c r="J2" s="156" t="s">
        <v>331</v>
      </c>
    </row>
    <row r="3" spans="1:11" x14ac:dyDescent="0.25">
      <c r="A3" s="83" t="s">
        <v>121</v>
      </c>
      <c r="B3" s="83" t="s">
        <v>122</v>
      </c>
      <c r="C3" s="83" t="s">
        <v>123</v>
      </c>
      <c r="H3" s="156" t="s">
        <v>137</v>
      </c>
      <c r="I3" s="156">
        <v>1</v>
      </c>
      <c r="J3" s="156">
        <v>1</v>
      </c>
      <c r="K3" s="49"/>
    </row>
    <row r="4" spans="1:11" x14ac:dyDescent="0.25">
      <c r="A4" s="83" t="s">
        <v>124</v>
      </c>
      <c r="C4" s="83" t="s">
        <v>125</v>
      </c>
      <c r="H4" s="156" t="s">
        <v>138</v>
      </c>
      <c r="I4" s="156">
        <v>2</v>
      </c>
      <c r="J4" s="156">
        <v>1</v>
      </c>
      <c r="K4" s="49"/>
    </row>
    <row r="5" spans="1:11" x14ac:dyDescent="0.25">
      <c r="A5" s="83" t="s">
        <v>126</v>
      </c>
      <c r="C5" s="83" t="s">
        <v>127</v>
      </c>
      <c r="H5" s="156" t="s">
        <v>139</v>
      </c>
      <c r="I5" s="156">
        <v>338</v>
      </c>
      <c r="J5" s="156">
        <v>10</v>
      </c>
      <c r="K5" s="49"/>
    </row>
    <row r="6" spans="1:11" x14ac:dyDescent="0.25">
      <c r="A6" s="83" t="s">
        <v>128</v>
      </c>
      <c r="C6" s="83" t="s">
        <v>129</v>
      </c>
      <c r="H6" s="171" t="s">
        <v>140</v>
      </c>
      <c r="I6" s="171" t="s">
        <v>119</v>
      </c>
    </row>
    <row r="7" spans="1:11" x14ac:dyDescent="0.25">
      <c r="A7" s="83" t="s">
        <v>130</v>
      </c>
      <c r="C7" s="83" t="s">
        <v>131</v>
      </c>
    </row>
    <row r="8" spans="1:11" x14ac:dyDescent="0.25">
      <c r="C8" s="83" t="s">
        <v>132</v>
      </c>
    </row>
    <row r="9" spans="1:11" x14ac:dyDescent="0.25">
      <c r="C9" s="84" t="s">
        <v>165</v>
      </c>
    </row>
    <row r="10" spans="1:11" x14ac:dyDescent="0.25">
      <c r="C10" s="83" t="s">
        <v>133</v>
      </c>
    </row>
    <row r="11" spans="1:11" x14ac:dyDescent="0.25">
      <c r="C11" s="83" t="s">
        <v>134</v>
      </c>
    </row>
    <row r="12" spans="1:11" x14ac:dyDescent="0.25">
      <c r="C12" s="83" t="s">
        <v>135</v>
      </c>
    </row>
    <row r="13" spans="1:11" x14ac:dyDescent="0.25">
      <c r="C13" s="83" t="s">
        <v>136</v>
      </c>
    </row>
    <row r="14" spans="1:11" x14ac:dyDescent="0.25">
      <c r="C14" s="84" t="s">
        <v>166</v>
      </c>
    </row>
    <row r="15" spans="1:11" x14ac:dyDescent="0.25">
      <c r="C15" s="8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2017-12-13T16:36:04Z</dcterms:modified>
</cp:coreProperties>
</file>