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60" i="1" l="1"/>
  <c r="T160" i="1" s="1"/>
  <c r="AD159" i="1"/>
  <c r="AG159" i="1" s="1"/>
  <c r="AD158" i="1"/>
  <c r="AG158" i="1" s="1"/>
  <c r="K154" i="1"/>
  <c r="L154" i="1"/>
  <c r="M154" i="1"/>
  <c r="P154" i="1" s="1"/>
  <c r="V154" i="1"/>
  <c r="AA154" i="1"/>
  <c r="AB154" i="1"/>
  <c r="AC154" i="1"/>
  <c r="AD154" i="1"/>
  <c r="AG154" i="1" s="1"/>
  <c r="AE154" i="1"/>
  <c r="AF154" i="1"/>
  <c r="AH154" i="1"/>
  <c r="K156" i="1"/>
  <c r="L156" i="1"/>
  <c r="M156" i="1"/>
  <c r="P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P157" i="1" s="1"/>
  <c r="V157" i="1"/>
  <c r="Y157" i="1"/>
  <c r="AA157" i="1" s="1"/>
  <c r="AB157" i="1"/>
  <c r="AC157" i="1"/>
  <c r="AD157" i="1"/>
  <c r="T157" i="1" s="1"/>
  <c r="AE157" i="1"/>
  <c r="AF157" i="1"/>
  <c r="AH157" i="1"/>
  <c r="K133" i="1"/>
  <c r="L133" i="1"/>
  <c r="M133" i="1"/>
  <c r="V133" i="1"/>
  <c r="Y133" i="1"/>
  <c r="Z133" i="1"/>
  <c r="AB133" i="1"/>
  <c r="AC133" i="1"/>
  <c r="AD133" i="1"/>
  <c r="T133" i="1" s="1"/>
  <c r="AE133" i="1"/>
  <c r="AF133" i="1"/>
  <c r="AH133" i="1"/>
  <c r="K115" i="1"/>
  <c r="L115" i="1"/>
  <c r="M115" i="1"/>
  <c r="P115" i="1" s="1"/>
  <c r="V115" i="1"/>
  <c r="Y115" i="1"/>
  <c r="Z115" i="1"/>
  <c r="AB115" i="1"/>
  <c r="AC115" i="1"/>
  <c r="AD115" i="1"/>
  <c r="T115" i="1" s="1"/>
  <c r="AE115" i="1"/>
  <c r="AF115" i="1"/>
  <c r="AH115" i="1"/>
  <c r="B7" i="6"/>
  <c r="G7" i="6" s="1"/>
  <c r="B8" i="6"/>
  <c r="F8" i="6" s="1"/>
  <c r="B9" i="6"/>
  <c r="F9" i="6" s="1"/>
  <c r="B10" i="6"/>
  <c r="F10" i="6" s="1"/>
  <c r="B11" i="6"/>
  <c r="G11" i="6" s="1"/>
  <c r="B12" i="6"/>
  <c r="F12" i="6" s="1"/>
  <c r="B13" i="6"/>
  <c r="F13" i="6" s="1"/>
  <c r="B14" i="6"/>
  <c r="H14" i="6" s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N44" i="3"/>
  <c r="U44" i="3"/>
  <c r="T44" i="3" s="1"/>
  <c r="V44" i="3"/>
  <c r="W44" i="3"/>
  <c r="X44" i="3"/>
  <c r="N15" i="3"/>
  <c r="U15" i="3"/>
  <c r="T15" i="3" s="1"/>
  <c r="V15" i="3"/>
  <c r="W15" i="3"/>
  <c r="X15" i="3"/>
  <c r="N29" i="3"/>
  <c r="U29" i="3"/>
  <c r="T29" i="3" s="1"/>
  <c r="V29" i="3"/>
  <c r="W29" i="3"/>
  <c r="X29" i="3"/>
  <c r="N45" i="3"/>
  <c r="U45" i="3"/>
  <c r="T45" i="3" s="1"/>
  <c r="V45" i="3"/>
  <c r="W45" i="3"/>
  <c r="X45" i="3"/>
  <c r="Y45" i="3"/>
  <c r="N46" i="3"/>
  <c r="U46" i="3"/>
  <c r="T46" i="3" s="1"/>
  <c r="V46" i="3"/>
  <c r="W46" i="3"/>
  <c r="X46" i="3"/>
  <c r="N30" i="3"/>
  <c r="U30" i="3"/>
  <c r="T30" i="3" s="1"/>
  <c r="V30" i="3"/>
  <c r="W30" i="3"/>
  <c r="X30" i="3"/>
  <c r="N48" i="3"/>
  <c r="U48" i="3"/>
  <c r="T48" i="3" s="1"/>
  <c r="V48" i="3"/>
  <c r="W48" i="3"/>
  <c r="X48" i="3"/>
  <c r="N47" i="3"/>
  <c r="U47" i="3"/>
  <c r="T47" i="3" s="1"/>
  <c r="V47" i="3"/>
  <c r="W47" i="3"/>
  <c r="X47" i="3"/>
  <c r="N32" i="3"/>
  <c r="U32" i="3"/>
  <c r="T32" i="3" s="1"/>
  <c r="V32" i="3"/>
  <c r="W32" i="3"/>
  <c r="X32" i="3"/>
  <c r="N20" i="3"/>
  <c r="U20" i="3"/>
  <c r="T20" i="3" s="1"/>
  <c r="V20" i="3"/>
  <c r="W20" i="3"/>
  <c r="X20" i="3"/>
  <c r="N14" i="3"/>
  <c r="U14" i="3"/>
  <c r="T14" i="3" s="1"/>
  <c r="V14" i="3"/>
  <c r="W14" i="3"/>
  <c r="X14" i="3"/>
  <c r="N12" i="3"/>
  <c r="U12" i="3"/>
  <c r="T12" i="3" s="1"/>
  <c r="V12" i="3"/>
  <c r="W12" i="3"/>
  <c r="X12" i="3"/>
  <c r="N16" i="3"/>
  <c r="U16" i="3"/>
  <c r="T16" i="3" s="1"/>
  <c r="V16" i="3"/>
  <c r="W16" i="3"/>
  <c r="X16" i="3"/>
  <c r="N9" i="3"/>
  <c r="U9" i="3"/>
  <c r="T9" i="3" s="1"/>
  <c r="V9" i="3"/>
  <c r="W9" i="3"/>
  <c r="X9" i="3"/>
  <c r="N39" i="3"/>
  <c r="U39" i="3"/>
  <c r="T39" i="3" s="1"/>
  <c r="V39" i="3"/>
  <c r="W39" i="3"/>
  <c r="X39" i="3"/>
  <c r="N13" i="3"/>
  <c r="U13" i="3"/>
  <c r="T13" i="3" s="1"/>
  <c r="V13" i="3"/>
  <c r="W13" i="3"/>
  <c r="X13" i="3"/>
  <c r="N40" i="3"/>
  <c r="U40" i="3"/>
  <c r="T40" i="3" s="1"/>
  <c r="V40" i="3"/>
  <c r="W40" i="3"/>
  <c r="X40" i="3"/>
  <c r="N31" i="3"/>
  <c r="U31" i="3"/>
  <c r="T31" i="3" s="1"/>
  <c r="V31" i="3"/>
  <c r="W31" i="3"/>
  <c r="X31" i="3"/>
  <c r="N7" i="3"/>
  <c r="U7" i="3"/>
  <c r="T7" i="3" s="1"/>
  <c r="V7" i="3"/>
  <c r="W7" i="3"/>
  <c r="X7" i="3"/>
  <c r="N41" i="3"/>
  <c r="U41" i="3"/>
  <c r="T41" i="3" s="1"/>
  <c r="V41" i="3"/>
  <c r="W41" i="3"/>
  <c r="X41" i="3"/>
  <c r="N11" i="3"/>
  <c r="U11" i="3"/>
  <c r="T11" i="3" s="1"/>
  <c r="V11" i="3"/>
  <c r="W11" i="3"/>
  <c r="X11" i="3"/>
  <c r="N24" i="3"/>
  <c r="U24" i="3"/>
  <c r="T24" i="3" s="1"/>
  <c r="V24" i="3"/>
  <c r="W24" i="3"/>
  <c r="X24" i="3"/>
  <c r="N25" i="3"/>
  <c r="U25" i="3"/>
  <c r="T25" i="3" s="1"/>
  <c r="V25" i="3"/>
  <c r="W25" i="3"/>
  <c r="X25" i="3"/>
  <c r="N26" i="3"/>
  <c r="U26" i="3"/>
  <c r="T26" i="3" s="1"/>
  <c r="V26" i="3"/>
  <c r="W26" i="3"/>
  <c r="X26" i="3"/>
  <c r="N33" i="3"/>
  <c r="U33" i="3"/>
  <c r="T33" i="3" s="1"/>
  <c r="V33" i="3"/>
  <c r="W33" i="3"/>
  <c r="X33" i="3"/>
  <c r="N34" i="3"/>
  <c r="U34" i="3"/>
  <c r="T34" i="3" s="1"/>
  <c r="V34" i="3"/>
  <c r="W34" i="3"/>
  <c r="X34" i="3"/>
  <c r="N35" i="3"/>
  <c r="U35" i="3"/>
  <c r="T35" i="3" s="1"/>
  <c r="V35" i="3"/>
  <c r="W35" i="3"/>
  <c r="X35" i="3"/>
  <c r="N27" i="3"/>
  <c r="U27" i="3"/>
  <c r="T27" i="3" s="1"/>
  <c r="V27" i="3"/>
  <c r="W27" i="3"/>
  <c r="Y27" i="3" s="1"/>
  <c r="X27" i="3"/>
  <c r="N21" i="3"/>
  <c r="U21" i="3"/>
  <c r="T21" i="3" s="1"/>
  <c r="V21" i="3"/>
  <c r="W21" i="3"/>
  <c r="X21" i="3"/>
  <c r="N22" i="3"/>
  <c r="U22" i="3"/>
  <c r="T22" i="3" s="1"/>
  <c r="V22" i="3"/>
  <c r="W22" i="3"/>
  <c r="X22" i="3"/>
  <c r="N43" i="3"/>
  <c r="U43" i="3"/>
  <c r="T43" i="3" s="1"/>
  <c r="V43" i="3"/>
  <c r="W43" i="3"/>
  <c r="X43" i="3"/>
  <c r="N19" i="3"/>
  <c r="U19" i="3"/>
  <c r="T19" i="3" s="1"/>
  <c r="V19" i="3"/>
  <c r="W19" i="3"/>
  <c r="X19" i="3"/>
  <c r="N18" i="3"/>
  <c r="U18" i="3"/>
  <c r="T18" i="3" s="1"/>
  <c r="V18" i="3"/>
  <c r="W18" i="3"/>
  <c r="X18" i="3"/>
  <c r="N17" i="3"/>
  <c r="U17" i="3"/>
  <c r="T17" i="3" s="1"/>
  <c r="V17" i="3"/>
  <c r="W17" i="3"/>
  <c r="X17" i="3"/>
  <c r="N28" i="3"/>
  <c r="U28" i="3"/>
  <c r="T28" i="3" s="1"/>
  <c r="V28" i="3"/>
  <c r="W28" i="3"/>
  <c r="X28" i="3"/>
  <c r="N36" i="3"/>
  <c r="U36" i="3"/>
  <c r="T36" i="3" s="1"/>
  <c r="V36" i="3"/>
  <c r="W36" i="3"/>
  <c r="X36" i="3"/>
  <c r="N10" i="3"/>
  <c r="U10" i="3"/>
  <c r="T10" i="3" s="1"/>
  <c r="V10" i="3"/>
  <c r="W10" i="3"/>
  <c r="X10" i="3"/>
  <c r="N8" i="3"/>
  <c r="U8" i="3"/>
  <c r="T8" i="3" s="1"/>
  <c r="V8" i="3"/>
  <c r="W8" i="3"/>
  <c r="X8" i="3"/>
  <c r="N37" i="3"/>
  <c r="U37" i="3"/>
  <c r="T37" i="3" s="1"/>
  <c r="V37" i="3"/>
  <c r="W37" i="3"/>
  <c r="X37" i="3"/>
  <c r="N38" i="3"/>
  <c r="U38" i="3"/>
  <c r="T38" i="3" s="1"/>
  <c r="V38" i="3"/>
  <c r="W38" i="3"/>
  <c r="X38" i="3"/>
  <c r="N42" i="3"/>
  <c r="U42" i="3"/>
  <c r="T42" i="3" s="1"/>
  <c r="V42" i="3"/>
  <c r="W42" i="3"/>
  <c r="X42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S15" i="3" s="1"/>
  <c r="Y28" i="1"/>
  <c r="Z28" i="1"/>
  <c r="AB28" i="1"/>
  <c r="AC28" i="1"/>
  <c r="AD28" i="1"/>
  <c r="AE28" i="1"/>
  <c r="R15" i="3" s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K32" i="1"/>
  <c r="L32" i="1"/>
  <c r="M32" i="1"/>
  <c r="N32" i="1" s="1"/>
  <c r="V32" i="1"/>
  <c r="S29" i="3" s="1"/>
  <c r="Y32" i="1"/>
  <c r="Z32" i="1"/>
  <c r="AB32" i="1"/>
  <c r="AC32" i="1"/>
  <c r="AD32" i="1"/>
  <c r="AE32" i="1"/>
  <c r="R29" i="3" s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S30" i="3" s="1"/>
  <c r="Y42" i="1"/>
  <c r="Z42" i="1"/>
  <c r="AB42" i="1"/>
  <c r="AC42" i="1"/>
  <c r="AD42" i="1"/>
  <c r="T42" i="1" s="1"/>
  <c r="AE42" i="1"/>
  <c r="R14" i="3" s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P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S12" i="3" s="1"/>
  <c r="Y46" i="1"/>
  <c r="Z46" i="1"/>
  <c r="AB46" i="1"/>
  <c r="AC46" i="1"/>
  <c r="AD46" i="1"/>
  <c r="AE46" i="1"/>
  <c r="R12" i="3" s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P53" i="1" s="1"/>
  <c r="V53" i="1"/>
  <c r="S20" i="3" s="1"/>
  <c r="Y53" i="1"/>
  <c r="Z53" i="1"/>
  <c r="AB53" i="1"/>
  <c r="AC53" i="1"/>
  <c r="AD53" i="1"/>
  <c r="T53" i="1" s="1"/>
  <c r="AE53" i="1"/>
  <c r="R32" i="3" s="1"/>
  <c r="AF53" i="1"/>
  <c r="K54" i="1"/>
  <c r="L54" i="1"/>
  <c r="M54" i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S16" i="3" s="1"/>
  <c r="Y56" i="1"/>
  <c r="Z56" i="1"/>
  <c r="AB56" i="1"/>
  <c r="AC56" i="1"/>
  <c r="AD56" i="1"/>
  <c r="AE56" i="1"/>
  <c r="R16" i="3" s="1"/>
  <c r="AF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K58" i="1"/>
  <c r="L58" i="1"/>
  <c r="M58" i="1"/>
  <c r="N58" i="1" s="1"/>
  <c r="V58" i="1"/>
  <c r="S39" i="3" s="1"/>
  <c r="Y58" i="1"/>
  <c r="Z58" i="1"/>
  <c r="AB58" i="1"/>
  <c r="AC58" i="1"/>
  <c r="AD58" i="1"/>
  <c r="AE58" i="1"/>
  <c r="R39" i="3" s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S9" i="3" s="1"/>
  <c r="Y60" i="1"/>
  <c r="Z60" i="1"/>
  <c r="AB60" i="1"/>
  <c r="AC60" i="1"/>
  <c r="AD60" i="1"/>
  <c r="AE60" i="1"/>
  <c r="R9" i="3" s="1"/>
  <c r="AF60" i="1"/>
  <c r="K61" i="1"/>
  <c r="L61" i="1"/>
  <c r="M61" i="1"/>
  <c r="N61" i="1" s="1"/>
  <c r="V61" i="1"/>
  <c r="S13" i="3" s="1"/>
  <c r="Y61" i="1"/>
  <c r="Z61" i="1"/>
  <c r="AB61" i="1"/>
  <c r="AC61" i="1"/>
  <c r="AD61" i="1"/>
  <c r="T61" i="1" s="1"/>
  <c r="AE61" i="1"/>
  <c r="R13" i="3" s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K67" i="1"/>
  <c r="L67" i="1"/>
  <c r="M67" i="1"/>
  <c r="N67" i="1" s="1"/>
  <c r="V67" i="1"/>
  <c r="S31" i="3" s="1"/>
  <c r="Y67" i="1"/>
  <c r="Z67" i="1"/>
  <c r="AB67" i="1"/>
  <c r="AC67" i="1"/>
  <c r="AD67" i="1"/>
  <c r="T67" i="1" s="1"/>
  <c r="AE67" i="1"/>
  <c r="R31" i="3" s="1"/>
  <c r="AF67" i="1"/>
  <c r="K68" i="1"/>
  <c r="L68" i="1"/>
  <c r="M68" i="1"/>
  <c r="N68" i="1" s="1"/>
  <c r="V68" i="1"/>
  <c r="S40" i="3" s="1"/>
  <c r="Y68" i="1"/>
  <c r="Z68" i="1"/>
  <c r="AB68" i="1"/>
  <c r="AC68" i="1"/>
  <c r="AD68" i="1"/>
  <c r="AE68" i="1"/>
  <c r="R40" i="3" s="1"/>
  <c r="AF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S7" i="3" s="1"/>
  <c r="Y73" i="1"/>
  <c r="Z73" i="1"/>
  <c r="AB73" i="1"/>
  <c r="AC73" i="1"/>
  <c r="AD73" i="1"/>
  <c r="AG73" i="1" s="1"/>
  <c r="AE73" i="1"/>
  <c r="R7" i="3" s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3" i="1"/>
  <c r="L83" i="1"/>
  <c r="M83" i="1"/>
  <c r="P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P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S41" i="3" s="1"/>
  <c r="Y90" i="1"/>
  <c r="Z90" i="1"/>
  <c r="AB90" i="1"/>
  <c r="AC90" i="1"/>
  <c r="AD90" i="1"/>
  <c r="T90" i="1" s="1"/>
  <c r="AE90" i="1"/>
  <c r="R41" i="3" s="1"/>
  <c r="AF90" i="1"/>
  <c r="K91" i="1"/>
  <c r="L91" i="1"/>
  <c r="M91" i="1"/>
  <c r="N91" i="1" s="1"/>
  <c r="V91" i="1"/>
  <c r="S25" i="3" s="1"/>
  <c r="Y91" i="1"/>
  <c r="Z91" i="1"/>
  <c r="AB91" i="1"/>
  <c r="AC91" i="1"/>
  <c r="AD91" i="1"/>
  <c r="T91" i="1" s="1"/>
  <c r="AE91" i="1"/>
  <c r="R25" i="3" s="1"/>
  <c r="AF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S11" i="3" s="1"/>
  <c r="Y94" i="1"/>
  <c r="Z94" i="1"/>
  <c r="AB94" i="1"/>
  <c r="AC94" i="1"/>
  <c r="AD94" i="1"/>
  <c r="T94" i="1" s="1"/>
  <c r="AE94" i="1"/>
  <c r="R11" i="3" s="1"/>
  <c r="AF94" i="1"/>
  <c r="K95" i="1"/>
  <c r="L95" i="1"/>
  <c r="M95" i="1"/>
  <c r="N95" i="1" s="1"/>
  <c r="V95" i="1"/>
  <c r="S26" i="3" s="1"/>
  <c r="Y95" i="1"/>
  <c r="Z95" i="1"/>
  <c r="AB95" i="1"/>
  <c r="AC95" i="1"/>
  <c r="AD95" i="1"/>
  <c r="T95" i="1" s="1"/>
  <c r="AE95" i="1"/>
  <c r="R26" i="3" s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P98" i="1" s="1"/>
  <c r="V98" i="1"/>
  <c r="Y98" i="1"/>
  <c r="Z98" i="1"/>
  <c r="AB98" i="1"/>
  <c r="AC98" i="1"/>
  <c r="AD98" i="1"/>
  <c r="T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K101" i="1"/>
  <c r="L101" i="1"/>
  <c r="M101" i="1"/>
  <c r="N101" i="1" s="1"/>
  <c r="V101" i="1"/>
  <c r="S34" i="3" s="1"/>
  <c r="Y101" i="1"/>
  <c r="Z101" i="1"/>
  <c r="AB101" i="1"/>
  <c r="AC101" i="1"/>
  <c r="AD101" i="1"/>
  <c r="T101" i="1" s="1"/>
  <c r="AE101" i="1"/>
  <c r="R34" i="3" s="1"/>
  <c r="AF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K103" i="1"/>
  <c r="L103" i="1"/>
  <c r="M103" i="1"/>
  <c r="N103" i="1" s="1"/>
  <c r="V103" i="1"/>
  <c r="S35" i="3" s="1"/>
  <c r="Y103" i="1"/>
  <c r="Z103" i="1"/>
  <c r="AB103" i="1"/>
  <c r="AC103" i="1"/>
  <c r="AD103" i="1"/>
  <c r="T103" i="1" s="1"/>
  <c r="AE103" i="1"/>
  <c r="R35" i="3" s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S27" i="3" s="1"/>
  <c r="Z109" i="1"/>
  <c r="AB109" i="1"/>
  <c r="AC109" i="1"/>
  <c r="AD109" i="1"/>
  <c r="AE109" i="1"/>
  <c r="R27" i="3" s="1"/>
  <c r="AF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K116" i="1"/>
  <c r="L116" i="1"/>
  <c r="M116" i="1"/>
  <c r="P116" i="1" s="1"/>
  <c r="V116" i="1"/>
  <c r="S21" i="3" s="1"/>
  <c r="Y116" i="1"/>
  <c r="Z116" i="1"/>
  <c r="AB116" i="1"/>
  <c r="AC116" i="1"/>
  <c r="AD116" i="1"/>
  <c r="T116" i="1" s="1"/>
  <c r="AE116" i="1"/>
  <c r="R21" i="3" s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S22" i="3" s="1"/>
  <c r="Y118" i="1"/>
  <c r="Z118" i="1"/>
  <c r="AB118" i="1"/>
  <c r="AC118" i="1"/>
  <c r="AD118" i="1"/>
  <c r="AG118" i="1" s="1"/>
  <c r="AE118" i="1"/>
  <c r="R22" i="3" s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S36" i="3" s="1"/>
  <c r="Y121" i="1"/>
  <c r="Z121" i="1"/>
  <c r="AB121" i="1"/>
  <c r="AC121" i="1"/>
  <c r="AD121" i="1"/>
  <c r="AE121" i="1"/>
  <c r="R36" i="3" s="1"/>
  <c r="AF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K123" i="1"/>
  <c r="L123" i="1"/>
  <c r="M123" i="1"/>
  <c r="N123" i="1" s="1"/>
  <c r="V123" i="1"/>
  <c r="S28" i="3" s="1"/>
  <c r="Y123" i="1"/>
  <c r="Z123" i="1"/>
  <c r="AB123" i="1"/>
  <c r="AC123" i="1"/>
  <c r="AD123" i="1"/>
  <c r="T123" i="1" s="1"/>
  <c r="AE123" i="1"/>
  <c r="R28" i="3" s="1"/>
  <c r="AF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S8" i="3" s="1"/>
  <c r="Y127" i="1"/>
  <c r="Z127" i="1"/>
  <c r="AB127" i="1"/>
  <c r="AC127" i="1"/>
  <c r="AD127" i="1"/>
  <c r="T127" i="1" s="1"/>
  <c r="AE127" i="1"/>
  <c r="R8" i="3" s="1"/>
  <c r="AF127" i="1"/>
  <c r="K128" i="1"/>
  <c r="L128" i="1"/>
  <c r="M128" i="1"/>
  <c r="V128" i="1"/>
  <c r="S19" i="3" s="1"/>
  <c r="Y128" i="1"/>
  <c r="Z128" i="1"/>
  <c r="AB128" i="1"/>
  <c r="AC128" i="1"/>
  <c r="AD128" i="1"/>
  <c r="AG128" i="1" s="1"/>
  <c r="AE128" i="1"/>
  <c r="R19" i="3" s="1"/>
  <c r="AF128" i="1"/>
  <c r="K129" i="1"/>
  <c r="L129" i="1"/>
  <c r="M129" i="1"/>
  <c r="P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S38" i="3" s="1"/>
  <c r="Y130" i="1"/>
  <c r="Z130" i="1"/>
  <c r="AB130" i="1"/>
  <c r="AC130" i="1"/>
  <c r="AD130" i="1"/>
  <c r="T130" i="1" s="1"/>
  <c r="AE130" i="1"/>
  <c r="R37" i="3" s="1"/>
  <c r="AF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P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K161" i="1"/>
  <c r="L161" i="1"/>
  <c r="M161" i="1"/>
  <c r="N161" i="1" s="1"/>
  <c r="V161" i="1"/>
  <c r="S44" i="3" s="1"/>
  <c r="Y161" i="1"/>
  <c r="Z161" i="1"/>
  <c r="AB161" i="1"/>
  <c r="AC161" i="1"/>
  <c r="AD161" i="1"/>
  <c r="T161" i="1" s="1"/>
  <c r="AE161" i="1"/>
  <c r="R44" i="3" s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S45" i="3" s="1"/>
  <c r="Y167" i="1"/>
  <c r="Z167" i="1"/>
  <c r="AB167" i="1"/>
  <c r="AC167" i="1"/>
  <c r="AD167" i="1"/>
  <c r="T167" i="1" s="1"/>
  <c r="AE167" i="1"/>
  <c r="R45" i="3" s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S46" i="3" s="1"/>
  <c r="Y170" i="1"/>
  <c r="Z170" i="1"/>
  <c r="AB170" i="1"/>
  <c r="AC170" i="1"/>
  <c r="AD170" i="1"/>
  <c r="AG170" i="1" s="1"/>
  <c r="AE170" i="1"/>
  <c r="R46" i="3" s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S47" i="3" s="1"/>
  <c r="Y172" i="1"/>
  <c r="Z172" i="1"/>
  <c r="AB172" i="1"/>
  <c r="AC172" i="1"/>
  <c r="AD172" i="1"/>
  <c r="AG172" i="1" s="1"/>
  <c r="AE172" i="1"/>
  <c r="R47" i="3" s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183" i="1"/>
  <c r="L183" i="1"/>
  <c r="M183" i="1"/>
  <c r="P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P184" i="1" s="1"/>
  <c r="V184" i="1"/>
  <c r="Y184" i="1"/>
  <c r="Z184" i="1"/>
  <c r="AB184" i="1"/>
  <c r="AC184" i="1"/>
  <c r="AD184" i="1"/>
  <c r="AG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S43" i="3" s="1"/>
  <c r="Y193" i="1"/>
  <c r="Z193" i="1"/>
  <c r="AB193" i="1"/>
  <c r="AC193" i="1"/>
  <c r="AD193" i="1"/>
  <c r="T193" i="1" s="1"/>
  <c r="AE193" i="1"/>
  <c r="R43" i="3" s="1"/>
  <c r="AF193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K205" i="1"/>
  <c r="L205" i="1"/>
  <c r="M205" i="1"/>
  <c r="N205" i="1" s="1"/>
  <c r="V205" i="1"/>
  <c r="S42" i="3" s="1"/>
  <c r="Y205" i="1"/>
  <c r="Z205" i="1"/>
  <c r="AB205" i="1"/>
  <c r="AC205" i="1"/>
  <c r="AD205" i="1"/>
  <c r="T205" i="1" s="1"/>
  <c r="AE205" i="1"/>
  <c r="R42" i="3" s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K212" i="1"/>
  <c r="L212" i="1"/>
  <c r="M212" i="1"/>
  <c r="N212" i="1" s="1"/>
  <c r="V212" i="1"/>
  <c r="S48" i="3" s="1"/>
  <c r="Y212" i="1"/>
  <c r="Z212" i="1"/>
  <c r="AB212" i="1"/>
  <c r="AC212" i="1"/>
  <c r="AD212" i="1"/>
  <c r="AG212" i="1" s="1"/>
  <c r="AE212" i="1"/>
  <c r="R48" i="3" s="1"/>
  <c r="AF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A156" i="1" l="1"/>
  <c r="X54" i="1"/>
  <c r="X119" i="1"/>
  <c r="X114" i="1"/>
  <c r="X18" i="1"/>
  <c r="X17" i="1"/>
  <c r="T54" i="1"/>
  <c r="AA215" i="1"/>
  <c r="AI215" i="1" s="1"/>
  <c r="AG160" i="1"/>
  <c r="X15" i="1"/>
  <c r="T158" i="1"/>
  <c r="T159" i="1"/>
  <c r="X43" i="1"/>
  <c r="X39" i="1"/>
  <c r="X137" i="1"/>
  <c r="AA115" i="1"/>
  <c r="S10" i="3"/>
  <c r="X120" i="1"/>
  <c r="X116" i="1"/>
  <c r="X161" i="1"/>
  <c r="AA204" i="1"/>
  <c r="W204" i="1" s="1"/>
  <c r="AA200" i="1"/>
  <c r="AA180" i="1"/>
  <c r="W180" i="1" s="1"/>
  <c r="AA155" i="1"/>
  <c r="W155" i="1" s="1"/>
  <c r="AA132" i="1"/>
  <c r="X117" i="1"/>
  <c r="X138" i="1"/>
  <c r="X134" i="1"/>
  <c r="X162" i="1"/>
  <c r="X16" i="1"/>
  <c r="AA133" i="1"/>
  <c r="X136" i="1"/>
  <c r="T156" i="1"/>
  <c r="U156" i="1" s="1"/>
  <c r="S156" i="1" s="1"/>
  <c r="X164" i="1"/>
  <c r="X157" i="1"/>
  <c r="T170" i="1"/>
  <c r="U170" i="1" s="1"/>
  <c r="S170" i="1" s="1"/>
  <c r="X118" i="1"/>
  <c r="X135" i="1"/>
  <c r="X163" i="1"/>
  <c r="X156" i="1"/>
  <c r="X154" i="1"/>
  <c r="T154" i="1"/>
  <c r="U154" i="1" s="1"/>
  <c r="S154" i="1" s="1"/>
  <c r="AI154" i="1"/>
  <c r="W154" i="1"/>
  <c r="X155" i="1"/>
  <c r="W156" i="1"/>
  <c r="AI156" i="1"/>
  <c r="AG157" i="1"/>
  <c r="Y7" i="3"/>
  <c r="I14" i="6"/>
  <c r="F11" i="6"/>
  <c r="B3" i="6"/>
  <c r="G3" i="6" s="1"/>
  <c r="I10" i="6"/>
  <c r="I7" i="6"/>
  <c r="AG133" i="1"/>
  <c r="X133" i="1"/>
  <c r="B5" i="6"/>
  <c r="F5" i="6" s="1"/>
  <c r="B6" i="6"/>
  <c r="H13" i="6"/>
  <c r="B4" i="6"/>
  <c r="F4" i="6" s="1"/>
  <c r="G14" i="6"/>
  <c r="F7" i="6"/>
  <c r="X115" i="1"/>
  <c r="AG115" i="1"/>
  <c r="F6" i="6"/>
  <c r="I6" i="6"/>
  <c r="G6" i="6"/>
  <c r="H6" i="6"/>
  <c r="I5" i="6"/>
  <c r="F14" i="6"/>
  <c r="G13" i="6"/>
  <c r="I11" i="6"/>
  <c r="H10" i="6"/>
  <c r="I9" i="6"/>
  <c r="I8" i="6"/>
  <c r="G10" i="6"/>
  <c r="H9" i="6"/>
  <c r="I13" i="6"/>
  <c r="I12" i="6"/>
  <c r="G9" i="6"/>
  <c r="H12" i="6"/>
  <c r="H8" i="6"/>
  <c r="G12" i="6"/>
  <c r="H11" i="6"/>
  <c r="G8" i="6"/>
  <c r="H7" i="6"/>
  <c r="Y29" i="3"/>
  <c r="X104" i="1"/>
  <c r="X100" i="1"/>
  <c r="X103" i="1"/>
  <c r="X102" i="1"/>
  <c r="AA213" i="1"/>
  <c r="AA181" i="1"/>
  <c r="AA175" i="1"/>
  <c r="AA87" i="1"/>
  <c r="AA79" i="1"/>
  <c r="AA54" i="1"/>
  <c r="AA33" i="1"/>
  <c r="AA21" i="1"/>
  <c r="X101" i="1"/>
  <c r="AG103" i="1"/>
  <c r="U103" i="1" s="1"/>
  <c r="S103" i="1" s="1"/>
  <c r="AG65" i="1"/>
  <c r="AG34" i="1"/>
  <c r="U34" i="1" s="1"/>
  <c r="S34" i="1" s="1"/>
  <c r="X31" i="1"/>
  <c r="S18" i="3"/>
  <c r="S14" i="3"/>
  <c r="X92" i="1"/>
  <c r="X20" i="1"/>
  <c r="AA199" i="1"/>
  <c r="AA195" i="1"/>
  <c r="AA183" i="1"/>
  <c r="AA104" i="1"/>
  <c r="AA51" i="1"/>
  <c r="AA34" i="1"/>
  <c r="AA26" i="1"/>
  <c r="AI26" i="1" s="1"/>
  <c r="AA22" i="1"/>
  <c r="R33" i="3"/>
  <c r="Y41" i="3"/>
  <c r="Y39" i="3"/>
  <c r="Y36" i="3"/>
  <c r="Y25" i="3"/>
  <c r="Y9" i="3"/>
  <c r="Y14" i="3"/>
  <c r="Y42" i="3"/>
  <c r="Y43" i="3"/>
  <c r="Y40" i="3"/>
  <c r="Y48" i="3"/>
  <c r="Y35" i="3"/>
  <c r="Y26" i="3"/>
  <c r="Y13" i="3"/>
  <c r="Y20" i="3"/>
  <c r="Y44" i="3"/>
  <c r="R30" i="3"/>
  <c r="AG205" i="1"/>
  <c r="U205" i="1" s="1"/>
  <c r="S205" i="1" s="1"/>
  <c r="AG138" i="1"/>
  <c r="U138" i="1" s="1"/>
  <c r="S138" i="1" s="1"/>
  <c r="AG209" i="1"/>
  <c r="U209" i="1" s="1"/>
  <c r="S209" i="1" s="1"/>
  <c r="X141" i="1"/>
  <c r="AG99" i="1"/>
  <c r="AG89" i="1"/>
  <c r="U89" i="1" s="1"/>
  <c r="S89" i="1" s="1"/>
  <c r="X89" i="1"/>
  <c r="T81" i="1"/>
  <c r="X44" i="1"/>
  <c r="AG42" i="1"/>
  <c r="U42" i="1" s="1"/>
  <c r="S42" i="1" s="1"/>
  <c r="T31" i="1"/>
  <c r="AG26" i="1"/>
  <c r="U26" i="1" s="1"/>
  <c r="S26" i="1" s="1"/>
  <c r="R10" i="3"/>
  <c r="X202" i="1"/>
  <c r="AG85" i="1"/>
  <c r="AA205" i="1"/>
  <c r="AG182" i="1"/>
  <c r="U182" i="1" s="1"/>
  <c r="S182" i="1" s="1"/>
  <c r="X182" i="1"/>
  <c r="X166" i="1"/>
  <c r="AA216" i="1"/>
  <c r="T155" i="1"/>
  <c r="U155" i="1" s="1"/>
  <c r="S155" i="1" s="1"/>
  <c r="T132" i="1"/>
  <c r="U132" i="1" s="1"/>
  <c r="S132" i="1" s="1"/>
  <c r="X124" i="1"/>
  <c r="AG104" i="1"/>
  <c r="U104" i="1" s="1"/>
  <c r="S104" i="1" s="1"/>
  <c r="X93" i="1"/>
  <c r="AG91" i="1"/>
  <c r="U91" i="1" s="1"/>
  <c r="S91" i="1" s="1"/>
  <c r="AA80" i="1"/>
  <c r="AA72" i="1"/>
  <c r="X70" i="1"/>
  <c r="AG54" i="1"/>
  <c r="U54" i="1" s="1"/>
  <c r="X40" i="1"/>
  <c r="AG38" i="1"/>
  <c r="U38" i="1" s="1"/>
  <c r="S38" i="1" s="1"/>
  <c r="AG22" i="1"/>
  <c r="R20" i="3"/>
  <c r="X186" i="1"/>
  <c r="AA119" i="1"/>
  <c r="AG102" i="1"/>
  <c r="U102" i="1" s="1"/>
  <c r="S102" i="1" s="1"/>
  <c r="X24" i="1"/>
  <c r="S17" i="3"/>
  <c r="R18" i="3"/>
  <c r="S24" i="3"/>
  <c r="R38" i="3"/>
  <c r="S33" i="3"/>
  <c r="AG197" i="1"/>
  <c r="X174" i="1"/>
  <c r="AA150" i="1"/>
  <c r="AA144" i="1"/>
  <c r="AA134" i="1"/>
  <c r="W134" i="1" s="1"/>
  <c r="AA127" i="1"/>
  <c r="X78" i="1"/>
  <c r="AG69" i="1"/>
  <c r="U69" i="1" s="1"/>
  <c r="S69" i="1" s="1"/>
  <c r="X214" i="1"/>
  <c r="AA207" i="1"/>
  <c r="AA201" i="1"/>
  <c r="AA196" i="1"/>
  <c r="W196" i="1" s="1"/>
  <c r="X195" i="1"/>
  <c r="X187" i="1"/>
  <c r="T162" i="1"/>
  <c r="U162" i="1" s="1"/>
  <c r="S162" i="1" s="1"/>
  <c r="AI155" i="1"/>
  <c r="T149" i="1"/>
  <c r="U149" i="1" s="1"/>
  <c r="S149" i="1" s="1"/>
  <c r="AA141" i="1"/>
  <c r="W141" i="1" s="1"/>
  <c r="T141" i="1"/>
  <c r="U141" i="1" s="1"/>
  <c r="S141" i="1" s="1"/>
  <c r="X132" i="1"/>
  <c r="AA124" i="1"/>
  <c r="W124" i="1" s="1"/>
  <c r="T124" i="1"/>
  <c r="U124" i="1" s="1"/>
  <c r="S124" i="1" s="1"/>
  <c r="AA101" i="1"/>
  <c r="AA88" i="1"/>
  <c r="W88" i="1" s="1"/>
  <c r="X86" i="1"/>
  <c r="AG77" i="1"/>
  <c r="AG63" i="1"/>
  <c r="AA59" i="1"/>
  <c r="AA53" i="1"/>
  <c r="AG35" i="1"/>
  <c r="X35" i="1"/>
  <c r="AG27" i="1"/>
  <c r="U27" i="1" s="1"/>
  <c r="X27" i="1"/>
  <c r="AG23" i="1"/>
  <c r="U23" i="1" s="1"/>
  <c r="S23" i="1" s="1"/>
  <c r="X23" i="1"/>
  <c r="AG16" i="1"/>
  <c r="U16" i="1" s="1"/>
  <c r="S16" i="1" s="1"/>
  <c r="AA14" i="1"/>
  <c r="S37" i="3"/>
  <c r="R17" i="3"/>
  <c r="R24" i="3"/>
  <c r="S32" i="3"/>
  <c r="X203" i="1"/>
  <c r="AA212" i="1"/>
  <c r="AI212" i="1" s="1"/>
  <c r="AA203" i="1"/>
  <c r="W203" i="1" s="1"/>
  <c r="AA197" i="1"/>
  <c r="W197" i="1" s="1"/>
  <c r="AA179" i="1"/>
  <c r="AA167" i="1"/>
  <c r="AA211" i="1"/>
  <c r="W211" i="1" s="1"/>
  <c r="AA149" i="1"/>
  <c r="AI149" i="1" s="1"/>
  <c r="T134" i="1"/>
  <c r="U134" i="1" s="1"/>
  <c r="S134" i="1" s="1"/>
  <c r="T129" i="1"/>
  <c r="U129" i="1" s="1"/>
  <c r="S129" i="1" s="1"/>
  <c r="AA102" i="1"/>
  <c r="T73" i="1"/>
  <c r="U73" i="1" s="1"/>
  <c r="S73" i="1" s="1"/>
  <c r="AA71" i="1"/>
  <c r="AA32" i="1"/>
  <c r="AA24" i="1"/>
  <c r="Y21" i="3"/>
  <c r="Y12" i="3"/>
  <c r="Y47" i="3"/>
  <c r="Y8" i="3"/>
  <c r="Y37" i="3"/>
  <c r="Y28" i="3"/>
  <c r="Y22" i="3"/>
  <c r="Y34" i="3"/>
  <c r="Y16" i="3"/>
  <c r="Y18" i="3"/>
  <c r="Y11" i="3"/>
  <c r="Y31" i="3"/>
  <c r="Y46" i="3"/>
  <c r="Y15" i="3"/>
  <c r="Y10" i="3"/>
  <c r="Y17" i="3"/>
  <c r="Y33" i="3"/>
  <c r="Y24" i="3"/>
  <c r="Y32" i="3"/>
  <c r="Y30" i="3"/>
  <c r="Y38" i="3"/>
  <c r="Y19" i="3"/>
  <c r="T177" i="1"/>
  <c r="AG177" i="1"/>
  <c r="AG193" i="1"/>
  <c r="U193" i="1" s="1"/>
  <c r="S193" i="1" s="1"/>
  <c r="X191" i="1"/>
  <c r="T189" i="1"/>
  <c r="AG189" i="1"/>
  <c r="AG153" i="1"/>
  <c r="X153" i="1"/>
  <c r="T96" i="1"/>
  <c r="X96" i="1"/>
  <c r="AG96" i="1"/>
  <c r="T59" i="1"/>
  <c r="AG59" i="1"/>
  <c r="X58" i="1"/>
  <c r="T58" i="1"/>
  <c r="T48" i="1"/>
  <c r="X48" i="1"/>
  <c r="AG48" i="1"/>
  <c r="T46" i="1"/>
  <c r="AG46" i="1"/>
  <c r="T213" i="1"/>
  <c r="AG213" i="1"/>
  <c r="AI213" i="1" s="1"/>
  <c r="AG207" i="1"/>
  <c r="X207" i="1"/>
  <c r="T201" i="1"/>
  <c r="AG201" i="1"/>
  <c r="T199" i="1"/>
  <c r="X199" i="1"/>
  <c r="T150" i="1"/>
  <c r="AG150" i="1"/>
  <c r="T75" i="1"/>
  <c r="AG75" i="1"/>
  <c r="AG74" i="1"/>
  <c r="T74" i="1"/>
  <c r="AG32" i="1"/>
  <c r="X32" i="1"/>
  <c r="T18" i="1"/>
  <c r="AG18" i="1"/>
  <c r="T148" i="1"/>
  <c r="AG148" i="1"/>
  <c r="T83" i="1"/>
  <c r="AG83" i="1"/>
  <c r="AG82" i="1"/>
  <c r="T82" i="1"/>
  <c r="X36" i="1"/>
  <c r="AG36" i="1"/>
  <c r="X28" i="1"/>
  <c r="AG28" i="1"/>
  <c r="T15" i="1"/>
  <c r="AG15" i="1"/>
  <c r="T121" i="1"/>
  <c r="AG121" i="1"/>
  <c r="T51" i="1"/>
  <c r="AG51" i="1"/>
  <c r="AI51" i="1" s="1"/>
  <c r="AA178" i="1"/>
  <c r="AA174" i="1"/>
  <c r="T174" i="1"/>
  <c r="AA171" i="1"/>
  <c r="AA170" i="1"/>
  <c r="AA166" i="1"/>
  <c r="T166" i="1"/>
  <c r="AA163" i="1"/>
  <c r="AA162" i="1"/>
  <c r="AA139" i="1"/>
  <c r="AA136" i="1"/>
  <c r="AA122" i="1"/>
  <c r="AA118" i="1"/>
  <c r="AI118" i="1" s="1"/>
  <c r="AA106" i="1"/>
  <c r="AA97" i="1"/>
  <c r="AA95" i="1"/>
  <c r="AA94" i="1"/>
  <c r="AA93" i="1"/>
  <c r="AA73" i="1"/>
  <c r="AI73" i="1" s="1"/>
  <c r="AA67" i="1"/>
  <c r="AA63" i="1"/>
  <c r="X62" i="1"/>
  <c r="AA55" i="1"/>
  <c r="AA40" i="1"/>
  <c r="AA31" i="1"/>
  <c r="AG185" i="1"/>
  <c r="U185" i="1" s="1"/>
  <c r="S185" i="1" s="1"/>
  <c r="X210" i="1"/>
  <c r="AA152" i="1"/>
  <c r="X149" i="1"/>
  <c r="U63" i="1"/>
  <c r="S63" i="1" s="1"/>
  <c r="AA20" i="1"/>
  <c r="AA16" i="1"/>
  <c r="AG181" i="1"/>
  <c r="W181" i="1" s="1"/>
  <c r="X178" i="1"/>
  <c r="X194" i="1"/>
  <c r="AA193" i="1"/>
  <c r="AA192" i="1"/>
  <c r="AI192" i="1" s="1"/>
  <c r="AA191" i="1"/>
  <c r="AG190" i="1"/>
  <c r="X190" i="1"/>
  <c r="AA189" i="1"/>
  <c r="AA188" i="1"/>
  <c r="W188" i="1" s="1"/>
  <c r="AA187" i="1"/>
  <c r="AG174" i="1"/>
  <c r="AA173" i="1"/>
  <c r="AA172" i="1"/>
  <c r="W172" i="1" s="1"/>
  <c r="AG166" i="1"/>
  <c r="AA165" i="1"/>
  <c r="AA209" i="1"/>
  <c r="AG152" i="1"/>
  <c r="U152" i="1" s="1"/>
  <c r="S152" i="1" s="1"/>
  <c r="AA147" i="1"/>
  <c r="AA146" i="1"/>
  <c r="AI146" i="1" s="1"/>
  <c r="AG144" i="1"/>
  <c r="AA142" i="1"/>
  <c r="W142" i="1" s="1"/>
  <c r="AG140" i="1"/>
  <c r="U140" i="1" s="1"/>
  <c r="S140" i="1" s="1"/>
  <c r="AG131" i="1"/>
  <c r="U131" i="1" s="1"/>
  <c r="S131" i="1" s="1"/>
  <c r="AG127" i="1"/>
  <c r="U127" i="1" s="1"/>
  <c r="S127" i="1" s="1"/>
  <c r="AA125" i="1"/>
  <c r="W125" i="1" s="1"/>
  <c r="AG123" i="1"/>
  <c r="U123" i="1" s="1"/>
  <c r="S123" i="1" s="1"/>
  <c r="AA120" i="1"/>
  <c r="AA113" i="1"/>
  <c r="AA112" i="1"/>
  <c r="AA109" i="1"/>
  <c r="AA108" i="1"/>
  <c r="AG106" i="1"/>
  <c r="U106" i="1" s="1"/>
  <c r="S106" i="1" s="1"/>
  <c r="AG97" i="1"/>
  <c r="U97" i="1" s="1"/>
  <c r="S97" i="1" s="1"/>
  <c r="X97" i="1"/>
  <c r="AG95" i="1"/>
  <c r="U95" i="1" s="1"/>
  <c r="S95" i="1" s="1"/>
  <c r="AA85" i="1"/>
  <c r="AA83" i="1"/>
  <c r="AA82" i="1"/>
  <c r="AA77" i="1"/>
  <c r="AA75" i="1"/>
  <c r="AA74" i="1"/>
  <c r="AG67" i="1"/>
  <c r="U67" i="1" s="1"/>
  <c r="S67" i="1" s="1"/>
  <c r="AG61" i="1"/>
  <c r="U61" i="1" s="1"/>
  <c r="S61" i="1" s="1"/>
  <c r="AA58" i="1"/>
  <c r="AG55" i="1"/>
  <c r="U55" i="1" s="1"/>
  <c r="S55" i="1" s="1"/>
  <c r="AA48" i="1"/>
  <c r="AG47" i="1"/>
  <c r="U47" i="1" s="1"/>
  <c r="S47" i="1" s="1"/>
  <c r="X47" i="1"/>
  <c r="AA45" i="1"/>
  <c r="AA44" i="1"/>
  <c r="AG40" i="1"/>
  <c r="AA36" i="1"/>
  <c r="AA28" i="1"/>
  <c r="AG24" i="1"/>
  <c r="X19" i="1"/>
  <c r="AA18" i="1"/>
  <c r="AA15" i="1"/>
  <c r="W213" i="1"/>
  <c r="T207" i="1"/>
  <c r="AA214" i="1"/>
  <c r="T214" i="1"/>
  <c r="AG206" i="1"/>
  <c r="U206" i="1" s="1"/>
  <c r="S206" i="1" s="1"/>
  <c r="X206" i="1"/>
  <c r="AA202" i="1"/>
  <c r="T202" i="1"/>
  <c r="AG199" i="1"/>
  <c r="AI199" i="1" s="1"/>
  <c r="AG198" i="1"/>
  <c r="X198" i="1"/>
  <c r="AA194" i="1"/>
  <c r="T194" i="1"/>
  <c r="AG191" i="1"/>
  <c r="U191" i="1" s="1"/>
  <c r="S191" i="1" s="1"/>
  <c r="AA186" i="1"/>
  <c r="T186" i="1"/>
  <c r="X211" i="1"/>
  <c r="AA210" i="1"/>
  <c r="AI210" i="1" s="1"/>
  <c r="AA153" i="1"/>
  <c r="W153" i="1" s="1"/>
  <c r="T153" i="1"/>
  <c r="U153" i="1" s="1"/>
  <c r="S153" i="1" s="1"/>
  <c r="T142" i="1"/>
  <c r="U142" i="1" s="1"/>
  <c r="S142" i="1" s="1"/>
  <c r="AA130" i="1"/>
  <c r="T118" i="1"/>
  <c r="U118" i="1" s="1"/>
  <c r="S118" i="1" s="1"/>
  <c r="AG117" i="1"/>
  <c r="U117" i="1" s="1"/>
  <c r="S117" i="1" s="1"/>
  <c r="AA117" i="1"/>
  <c r="T110" i="1"/>
  <c r="AG110" i="1"/>
  <c r="X108" i="1"/>
  <c r="AG108" i="1"/>
  <c r="AG100" i="1"/>
  <c r="T100" i="1"/>
  <c r="T195" i="1"/>
  <c r="T187" i="1"/>
  <c r="AG169" i="1"/>
  <c r="U169" i="1" s="1"/>
  <c r="S169" i="1" s="1"/>
  <c r="AA164" i="1"/>
  <c r="W164" i="1" s="1"/>
  <c r="AG161" i="1"/>
  <c r="U161" i="1" s="1"/>
  <c r="S161" i="1" s="1"/>
  <c r="AA151" i="1"/>
  <c r="T146" i="1"/>
  <c r="U146" i="1" s="1"/>
  <c r="S146" i="1" s="1"/>
  <c r="X145" i="1"/>
  <c r="AA138" i="1"/>
  <c r="AA137" i="1"/>
  <c r="W137" i="1" s="1"/>
  <c r="T137" i="1"/>
  <c r="U137" i="1" s="1"/>
  <c r="S137" i="1" s="1"/>
  <c r="AA135" i="1"/>
  <c r="AA131" i="1"/>
  <c r="X128" i="1"/>
  <c r="T119" i="1"/>
  <c r="AG119" i="1"/>
  <c r="X112" i="1"/>
  <c r="AG112" i="1"/>
  <c r="X107" i="1"/>
  <c r="AG107" i="1"/>
  <c r="T107" i="1"/>
  <c r="T203" i="1"/>
  <c r="U203" i="1" s="1"/>
  <c r="S203" i="1" s="1"/>
  <c r="AG214" i="1"/>
  <c r="AA206" i="1"/>
  <c r="AG202" i="1"/>
  <c r="U202" i="1" s="1"/>
  <c r="S202" i="1" s="1"/>
  <c r="AA198" i="1"/>
  <c r="AG195" i="1"/>
  <c r="AG194" i="1"/>
  <c r="AA190" i="1"/>
  <c r="AG187" i="1"/>
  <c r="AG186" i="1"/>
  <c r="AA182" i="1"/>
  <c r="AG178" i="1"/>
  <c r="W178" i="1" s="1"/>
  <c r="X170" i="1"/>
  <c r="T211" i="1"/>
  <c r="U211" i="1" s="1"/>
  <c r="S211" i="1" s="1"/>
  <c r="AA185" i="1"/>
  <c r="AA184" i="1"/>
  <c r="W184" i="1" s="1"/>
  <c r="AA177" i="1"/>
  <c r="AA176" i="1"/>
  <c r="W176" i="1" s="1"/>
  <c r="AG173" i="1"/>
  <c r="U173" i="1" s="1"/>
  <c r="S173" i="1" s="1"/>
  <c r="AA169" i="1"/>
  <c r="AA168" i="1"/>
  <c r="W168" i="1" s="1"/>
  <c r="AG165" i="1"/>
  <c r="U165" i="1" s="1"/>
  <c r="S165" i="1" s="1"/>
  <c r="AA161" i="1"/>
  <c r="AA217" i="1"/>
  <c r="W217" i="1" s="1"/>
  <c r="AA208" i="1"/>
  <c r="AI208" i="1" s="1"/>
  <c r="AA148" i="1"/>
  <c r="AA145" i="1"/>
  <c r="W145" i="1" s="1"/>
  <c r="T145" i="1"/>
  <c r="U145" i="1" s="1"/>
  <c r="S145" i="1" s="1"/>
  <c r="AA143" i="1"/>
  <c r="AA140" i="1"/>
  <c r="AG136" i="1"/>
  <c r="AA129" i="1"/>
  <c r="AI129" i="1" s="1"/>
  <c r="AA128" i="1"/>
  <c r="W128" i="1" s="1"/>
  <c r="T128" i="1"/>
  <c r="U128" i="1" s="1"/>
  <c r="T125" i="1"/>
  <c r="U125" i="1" s="1"/>
  <c r="S125" i="1" s="1"/>
  <c r="AA121" i="1"/>
  <c r="W121" i="1" s="1"/>
  <c r="AG120" i="1"/>
  <c r="U120" i="1" s="1"/>
  <c r="S120" i="1" s="1"/>
  <c r="AG116" i="1"/>
  <c r="U116" i="1" s="1"/>
  <c r="S116" i="1" s="1"/>
  <c r="X111" i="1"/>
  <c r="AG111" i="1"/>
  <c r="U111" i="1" s="1"/>
  <c r="S111" i="1" s="1"/>
  <c r="AA111" i="1"/>
  <c r="AA110" i="1"/>
  <c r="AA107" i="1"/>
  <c r="AA100" i="1"/>
  <c r="AA92" i="1"/>
  <c r="T92" i="1"/>
  <c r="AA84" i="1"/>
  <c r="AA76" i="1"/>
  <c r="AA68" i="1"/>
  <c r="AA66" i="1"/>
  <c r="AI66" i="1" s="1"/>
  <c r="T66" i="1"/>
  <c r="U66" i="1" s="1"/>
  <c r="S66" i="1" s="1"/>
  <c r="AA62" i="1"/>
  <c r="T62" i="1"/>
  <c r="AA57" i="1"/>
  <c r="AA56" i="1"/>
  <c r="AA43" i="1"/>
  <c r="T43" i="1"/>
  <c r="AA41" i="1"/>
  <c r="T40" i="1"/>
  <c r="AA39" i="1"/>
  <c r="T39" i="1"/>
  <c r="AA37" i="1"/>
  <c r="T36" i="1"/>
  <c r="AA30" i="1"/>
  <c r="AA29" i="1"/>
  <c r="T28" i="1"/>
  <c r="AA19" i="1"/>
  <c r="T19" i="1"/>
  <c r="T93" i="1"/>
  <c r="T44" i="1"/>
  <c r="T20" i="1"/>
  <c r="AA126" i="1"/>
  <c r="AA123" i="1"/>
  <c r="AA103" i="1"/>
  <c r="W103" i="1" s="1"/>
  <c r="AA96" i="1"/>
  <c r="AG93" i="1"/>
  <c r="AG92" i="1"/>
  <c r="AA81" i="1"/>
  <c r="W81" i="1" s="1"/>
  <c r="X66" i="1"/>
  <c r="AG62" i="1"/>
  <c r="AG57" i="1"/>
  <c r="U57" i="1" s="1"/>
  <c r="S57" i="1" s="1"/>
  <c r="AA52" i="1"/>
  <c r="AA50" i="1"/>
  <c r="W50" i="1" s="1"/>
  <c r="AA47" i="1"/>
  <c r="AG44" i="1"/>
  <c r="AG43" i="1"/>
  <c r="AG39" i="1"/>
  <c r="T32" i="1"/>
  <c r="AG30" i="1"/>
  <c r="U30" i="1" s="1"/>
  <c r="S30" i="1" s="1"/>
  <c r="AA25" i="1"/>
  <c r="AA23" i="1"/>
  <c r="AG20" i="1"/>
  <c r="AG19" i="1"/>
  <c r="AA105" i="1"/>
  <c r="AA99" i="1"/>
  <c r="AA98" i="1"/>
  <c r="AA91" i="1"/>
  <c r="AA90" i="1"/>
  <c r="AA89" i="1"/>
  <c r="AG87" i="1"/>
  <c r="AA86" i="1"/>
  <c r="W86" i="1" s="1"/>
  <c r="T86" i="1"/>
  <c r="U86" i="1" s="1"/>
  <c r="S86" i="1" s="1"/>
  <c r="X82" i="1"/>
  <c r="AG79" i="1"/>
  <c r="AA78" i="1"/>
  <c r="W78" i="1" s="1"/>
  <c r="T78" i="1"/>
  <c r="U78" i="1" s="1"/>
  <c r="S78" i="1" s="1"/>
  <c r="X74" i="1"/>
  <c r="AG71" i="1"/>
  <c r="AA70" i="1"/>
  <c r="W70" i="1" s="1"/>
  <c r="T70" i="1"/>
  <c r="U70" i="1" s="1"/>
  <c r="S70" i="1" s="1"/>
  <c r="AA65" i="1"/>
  <c r="AA64" i="1"/>
  <c r="AA60" i="1"/>
  <c r="AG58" i="1"/>
  <c r="U58" i="1" s="1"/>
  <c r="S58" i="1" s="1"/>
  <c r="AG53" i="1"/>
  <c r="U53" i="1" s="1"/>
  <c r="S53" i="1" s="1"/>
  <c r="AA49" i="1"/>
  <c r="AA42" i="1"/>
  <c r="AA38" i="1"/>
  <c r="AA35" i="1"/>
  <c r="AG31" i="1"/>
  <c r="U31" i="1" s="1"/>
  <c r="S31" i="1" s="1"/>
  <c r="AA27" i="1"/>
  <c r="AA17" i="1"/>
  <c r="AG14" i="1"/>
  <c r="AI14" i="1" s="1"/>
  <c r="AI203" i="1"/>
  <c r="W200" i="1"/>
  <c r="U197" i="1"/>
  <c r="S197" i="1" s="1"/>
  <c r="AI207" i="1"/>
  <c r="W170" i="1"/>
  <c r="W162" i="1"/>
  <c r="AI162" i="1"/>
  <c r="X212" i="1"/>
  <c r="T212" i="1"/>
  <c r="U212" i="1" s="1"/>
  <c r="S212" i="1" s="1"/>
  <c r="X204" i="1"/>
  <c r="T204" i="1"/>
  <c r="U204" i="1" s="1"/>
  <c r="S204" i="1" s="1"/>
  <c r="X200" i="1"/>
  <c r="T200" i="1"/>
  <c r="U200" i="1" s="1"/>
  <c r="S200" i="1" s="1"/>
  <c r="AI204" i="1"/>
  <c r="X196" i="1"/>
  <c r="T196" i="1"/>
  <c r="U196" i="1" s="1"/>
  <c r="S196" i="1" s="1"/>
  <c r="AI200" i="1"/>
  <c r="X192" i="1"/>
  <c r="T192" i="1"/>
  <c r="U192" i="1" s="1"/>
  <c r="S192" i="1" s="1"/>
  <c r="X188" i="1"/>
  <c r="T188" i="1"/>
  <c r="U188" i="1" s="1"/>
  <c r="S188" i="1" s="1"/>
  <c r="X184" i="1"/>
  <c r="T184" i="1"/>
  <c r="U184" i="1" s="1"/>
  <c r="S184" i="1" s="1"/>
  <c r="AG183" i="1"/>
  <c r="X180" i="1"/>
  <c r="T180" i="1"/>
  <c r="U180" i="1" s="1"/>
  <c r="S180" i="1" s="1"/>
  <c r="AG179" i="1"/>
  <c r="X176" i="1"/>
  <c r="T176" i="1"/>
  <c r="U176" i="1" s="1"/>
  <c r="S176" i="1" s="1"/>
  <c r="AG175" i="1"/>
  <c r="X172" i="1"/>
  <c r="T172" i="1"/>
  <c r="U172" i="1" s="1"/>
  <c r="S172" i="1" s="1"/>
  <c r="AG171" i="1"/>
  <c r="X168" i="1"/>
  <c r="T168" i="1"/>
  <c r="U168" i="1" s="1"/>
  <c r="S168" i="1" s="1"/>
  <c r="AG167" i="1"/>
  <c r="T164" i="1"/>
  <c r="U164" i="1" s="1"/>
  <c r="S164" i="1" s="1"/>
  <c r="AG163" i="1"/>
  <c r="X217" i="1"/>
  <c r="T217" i="1"/>
  <c r="U217" i="1" s="1"/>
  <c r="S217" i="1" s="1"/>
  <c r="AG216" i="1"/>
  <c r="AI216" i="1" s="1"/>
  <c r="T215" i="1"/>
  <c r="U215" i="1" s="1"/>
  <c r="S215" i="1" s="1"/>
  <c r="W210" i="1"/>
  <c r="T210" i="1"/>
  <c r="U210" i="1" s="1"/>
  <c r="S210" i="1" s="1"/>
  <c r="AI132" i="1"/>
  <c r="U198" i="1"/>
  <c r="S198" i="1" s="1"/>
  <c r="U190" i="1"/>
  <c r="S190" i="1" s="1"/>
  <c r="X183" i="1"/>
  <c r="X179" i="1"/>
  <c r="X175" i="1"/>
  <c r="X171" i="1"/>
  <c r="X167" i="1"/>
  <c r="X216" i="1"/>
  <c r="X215" i="1"/>
  <c r="T208" i="1"/>
  <c r="U208" i="1" s="1"/>
  <c r="S208" i="1" s="1"/>
  <c r="T151" i="1"/>
  <c r="X151" i="1"/>
  <c r="AG151" i="1"/>
  <c r="X213" i="1"/>
  <c r="X205" i="1"/>
  <c r="X201" i="1"/>
  <c r="X197" i="1"/>
  <c r="X193" i="1"/>
  <c r="X189" i="1"/>
  <c r="AI193" i="1"/>
  <c r="X185" i="1"/>
  <c r="X181" i="1"/>
  <c r="X177" i="1"/>
  <c r="X173" i="1"/>
  <c r="X169" i="1"/>
  <c r="X165" i="1"/>
  <c r="X208" i="1"/>
  <c r="W132" i="1"/>
  <c r="X209" i="1"/>
  <c r="X152" i="1"/>
  <c r="X148" i="1"/>
  <c r="AG147" i="1"/>
  <c r="X144" i="1"/>
  <c r="AG143" i="1"/>
  <c r="X140" i="1"/>
  <c r="AG139" i="1"/>
  <c r="AG135" i="1"/>
  <c r="X131" i="1"/>
  <c r="AG130" i="1"/>
  <c r="X127" i="1"/>
  <c r="AG126" i="1"/>
  <c r="X123" i="1"/>
  <c r="AG122" i="1"/>
  <c r="AA116" i="1"/>
  <c r="AA114" i="1"/>
  <c r="T113" i="1"/>
  <c r="X113" i="1"/>
  <c r="AG113" i="1"/>
  <c r="X147" i="1"/>
  <c r="X143" i="1"/>
  <c r="X139" i="1"/>
  <c r="X130" i="1"/>
  <c r="X126" i="1"/>
  <c r="X122" i="1"/>
  <c r="W118" i="1"/>
  <c r="T114" i="1"/>
  <c r="T109" i="1"/>
  <c r="X109" i="1"/>
  <c r="AG109" i="1"/>
  <c r="X150" i="1"/>
  <c r="X146" i="1"/>
  <c r="X142" i="1"/>
  <c r="X129" i="1"/>
  <c r="X125" i="1"/>
  <c r="X121" i="1"/>
  <c r="AG114" i="1"/>
  <c r="AG64" i="1"/>
  <c r="T64" i="1"/>
  <c r="X64" i="1"/>
  <c r="U99" i="1"/>
  <c r="S99" i="1" s="1"/>
  <c r="AA61" i="1"/>
  <c r="AG52" i="1"/>
  <c r="T52" i="1"/>
  <c r="X52" i="1"/>
  <c r="X110" i="1"/>
  <c r="X106" i="1"/>
  <c r="AG105" i="1"/>
  <c r="AG101" i="1"/>
  <c r="X99" i="1"/>
  <c r="AG98" i="1"/>
  <c r="X95" i="1"/>
  <c r="AG94" i="1"/>
  <c r="X91" i="1"/>
  <c r="AG90" i="1"/>
  <c r="T88" i="1"/>
  <c r="U88" i="1" s="1"/>
  <c r="S88" i="1" s="1"/>
  <c r="X88" i="1"/>
  <c r="AG68" i="1"/>
  <c r="X69" i="1"/>
  <c r="T68" i="1"/>
  <c r="X68" i="1"/>
  <c r="AG56" i="1"/>
  <c r="T56" i="1"/>
  <c r="X56" i="1"/>
  <c r="X105" i="1"/>
  <c r="X98" i="1"/>
  <c r="X94" i="1"/>
  <c r="X90" i="1"/>
  <c r="U85" i="1"/>
  <c r="S85" i="1" s="1"/>
  <c r="AG84" i="1"/>
  <c r="X85" i="1"/>
  <c r="T84" i="1"/>
  <c r="X84" i="1"/>
  <c r="U81" i="1"/>
  <c r="S81" i="1" s="1"/>
  <c r="AG80" i="1"/>
  <c r="X81" i="1"/>
  <c r="T80" i="1"/>
  <c r="X80" i="1"/>
  <c r="U77" i="1"/>
  <c r="S77" i="1" s="1"/>
  <c r="AG76" i="1"/>
  <c r="X77" i="1"/>
  <c r="T76" i="1"/>
  <c r="X76" i="1"/>
  <c r="AG72" i="1"/>
  <c r="X73" i="1"/>
  <c r="T72" i="1"/>
  <c r="X72" i="1"/>
  <c r="U71" i="1"/>
  <c r="S71" i="1" s="1"/>
  <c r="AA69" i="1"/>
  <c r="W69" i="1" s="1"/>
  <c r="W66" i="1"/>
  <c r="AG60" i="1"/>
  <c r="T60" i="1"/>
  <c r="X60" i="1"/>
  <c r="T49" i="1"/>
  <c r="X49" i="1"/>
  <c r="AG49" i="1"/>
  <c r="T41" i="1"/>
  <c r="X41" i="1"/>
  <c r="AG41" i="1"/>
  <c r="X87" i="1"/>
  <c r="X83" i="1"/>
  <c r="X79" i="1"/>
  <c r="X75" i="1"/>
  <c r="X71" i="1"/>
  <c r="X67" i="1"/>
  <c r="X63" i="1"/>
  <c r="X59" i="1"/>
  <c r="X55" i="1"/>
  <c r="X51" i="1"/>
  <c r="AA46" i="1"/>
  <c r="X65" i="1"/>
  <c r="X61" i="1"/>
  <c r="X57" i="1"/>
  <c r="X53" i="1"/>
  <c r="T50" i="1"/>
  <c r="U50" i="1" s="1"/>
  <c r="S50" i="1" s="1"/>
  <c r="X50" i="1"/>
  <c r="T45" i="1"/>
  <c r="X45" i="1"/>
  <c r="AG45" i="1"/>
  <c r="X46" i="1"/>
  <c r="X42" i="1"/>
  <c r="X38" i="1"/>
  <c r="AG37" i="1"/>
  <c r="X34" i="1"/>
  <c r="AG33" i="1"/>
  <c r="X30" i="1"/>
  <c r="AG29" i="1"/>
  <c r="X26" i="1"/>
  <c r="AG25" i="1"/>
  <c r="X22" i="1"/>
  <c r="AG21" i="1"/>
  <c r="AG17" i="1"/>
  <c r="X37" i="1"/>
  <c r="X33" i="1"/>
  <c r="X29" i="1"/>
  <c r="X25" i="1"/>
  <c r="X21" i="1"/>
  <c r="N23" i="3"/>
  <c r="U23" i="3"/>
  <c r="T23" i="3" s="1"/>
  <c r="V23" i="3"/>
  <c r="W23" i="3"/>
  <c r="X23" i="3"/>
  <c r="W100" i="1" l="1"/>
  <c r="W102" i="1"/>
  <c r="W49" i="1"/>
  <c r="U186" i="1"/>
  <c r="S186" i="1" s="1"/>
  <c r="AI191" i="1"/>
  <c r="W143" i="1"/>
  <c r="AI201" i="1"/>
  <c r="AI111" i="1"/>
  <c r="W215" i="1"/>
  <c r="AI168" i="1"/>
  <c r="W144" i="1"/>
  <c r="W209" i="1"/>
  <c r="W151" i="1"/>
  <c r="W208" i="1"/>
  <c r="W16" i="1"/>
  <c r="AI142" i="1"/>
  <c r="AI167" i="1"/>
  <c r="W212" i="1"/>
  <c r="W91" i="1"/>
  <c r="W54" i="1"/>
  <c r="W17" i="1"/>
  <c r="W169" i="1"/>
  <c r="U92" i="1"/>
  <c r="S92" i="1" s="1"/>
  <c r="U214" i="1"/>
  <c r="S214" i="1" s="1"/>
  <c r="AI86" i="1"/>
  <c r="AI185" i="1"/>
  <c r="AI30" i="1"/>
  <c r="U194" i="1"/>
  <c r="S194" i="1" s="1"/>
  <c r="AI32" i="1"/>
  <c r="U96" i="1"/>
  <c r="S96" i="1" s="1"/>
  <c r="W21" i="1"/>
  <c r="AI103" i="1"/>
  <c r="AI183" i="1"/>
  <c r="W98" i="1"/>
  <c r="AI128" i="1"/>
  <c r="AI172" i="1"/>
  <c r="AI176" i="1"/>
  <c r="W58" i="1"/>
  <c r="W185" i="1"/>
  <c r="W138" i="1"/>
  <c r="W74" i="1"/>
  <c r="U74" i="1"/>
  <c r="S74" i="1" s="1"/>
  <c r="AI150" i="1"/>
  <c r="W201" i="1"/>
  <c r="U189" i="1"/>
  <c r="S189" i="1" s="1"/>
  <c r="AI188" i="1"/>
  <c r="W87" i="1"/>
  <c r="AI63" i="1"/>
  <c r="U121" i="1"/>
  <c r="S121" i="1" s="1"/>
  <c r="U82" i="1"/>
  <c r="S82" i="1" s="1"/>
  <c r="U59" i="1"/>
  <c r="S59" i="1" s="1"/>
  <c r="AI34" i="1"/>
  <c r="AI19" i="1"/>
  <c r="W44" i="1"/>
  <c r="W110" i="1"/>
  <c r="U107" i="1"/>
  <c r="S107" i="1" s="1"/>
  <c r="AI131" i="1"/>
  <c r="AI163" i="1"/>
  <c r="AI36" i="1"/>
  <c r="AI18" i="1"/>
  <c r="AI177" i="1"/>
  <c r="AI85" i="1"/>
  <c r="W104" i="1"/>
  <c r="AI67" i="1"/>
  <c r="AI39" i="1"/>
  <c r="AI43" i="1"/>
  <c r="AI62" i="1"/>
  <c r="AI40" i="1"/>
  <c r="AI120" i="1"/>
  <c r="W189" i="1"/>
  <c r="W129" i="1"/>
  <c r="S27" i="1"/>
  <c r="AI91" i="1"/>
  <c r="W27" i="1"/>
  <c r="U62" i="1"/>
  <c r="S62" i="1" s="1"/>
  <c r="AI92" i="1"/>
  <c r="AI16" i="1"/>
  <c r="AI187" i="1"/>
  <c r="W205" i="1"/>
  <c r="AI54" i="1"/>
  <c r="AI88" i="1"/>
  <c r="U178" i="1"/>
  <c r="S178" i="1" s="1"/>
  <c r="AI180" i="1"/>
  <c r="W79" i="1"/>
  <c r="AI57" i="1"/>
  <c r="W136" i="1"/>
  <c r="AI161" i="1"/>
  <c r="AI107" i="1"/>
  <c r="AI110" i="1"/>
  <c r="AI24" i="1"/>
  <c r="W80" i="1"/>
  <c r="AI196" i="1"/>
  <c r="U195" i="1"/>
  <c r="S195" i="1" s="1"/>
  <c r="AI100" i="1"/>
  <c r="AI28" i="1"/>
  <c r="AI148" i="1"/>
  <c r="AI127" i="1"/>
  <c r="W22" i="1"/>
  <c r="AI65" i="1"/>
  <c r="G4" i="6"/>
  <c r="H3" i="6"/>
  <c r="I4" i="6"/>
  <c r="AI157" i="1"/>
  <c r="U157" i="1"/>
  <c r="S157" i="1" s="1"/>
  <c r="W157" i="1"/>
  <c r="H4" i="6"/>
  <c r="F3" i="6"/>
  <c r="I3" i="6"/>
  <c r="G5" i="6"/>
  <c r="H5" i="6"/>
  <c r="AI133" i="1"/>
  <c r="U133" i="1"/>
  <c r="S133" i="1" s="1"/>
  <c r="W133" i="1"/>
  <c r="AI115" i="1"/>
  <c r="U115" i="1"/>
  <c r="S115" i="1" s="1"/>
  <c r="W115" i="1"/>
  <c r="AI195" i="1"/>
  <c r="U51" i="1"/>
  <c r="S51" i="1" s="1"/>
  <c r="AI58" i="1"/>
  <c r="W126" i="1"/>
  <c r="AI217" i="1"/>
  <c r="W73" i="1"/>
  <c r="U119" i="1"/>
  <c r="S119" i="1" s="1"/>
  <c r="U75" i="1"/>
  <c r="S75" i="1" s="1"/>
  <c r="U46" i="1"/>
  <c r="S46" i="1" s="1"/>
  <c r="AI119" i="1"/>
  <c r="AI27" i="1"/>
  <c r="W33" i="1"/>
  <c r="AI209" i="1"/>
  <c r="W26" i="1"/>
  <c r="W148" i="1"/>
  <c r="W15" i="1"/>
  <c r="W28" i="1"/>
  <c r="AI31" i="1"/>
  <c r="W174" i="1"/>
  <c r="AI48" i="1"/>
  <c r="AI99" i="1"/>
  <c r="AI102" i="1"/>
  <c r="W34" i="1"/>
  <c r="W47" i="1"/>
  <c r="U174" i="1"/>
  <c r="S174" i="1" s="1"/>
  <c r="AI82" i="1"/>
  <c r="U148" i="1"/>
  <c r="S148" i="1" s="1"/>
  <c r="W207" i="1"/>
  <c r="AI153" i="1"/>
  <c r="AI197" i="1"/>
  <c r="AI22" i="1"/>
  <c r="U14" i="1"/>
  <c r="S14" i="1" s="1"/>
  <c r="W62" i="1"/>
  <c r="AI134" i="1"/>
  <c r="AI184" i="1"/>
  <c r="AI104" i="1"/>
  <c r="W29" i="1"/>
  <c r="W46" i="1"/>
  <c r="AI136" i="1"/>
  <c r="W130" i="1"/>
  <c r="AI171" i="1"/>
  <c r="W175" i="1"/>
  <c r="AI179" i="1"/>
  <c r="AI211" i="1"/>
  <c r="U24" i="1"/>
  <c r="S24" i="1" s="1"/>
  <c r="U43" i="1"/>
  <c r="S43" i="1" s="1"/>
  <c r="W123" i="1"/>
  <c r="W32" i="1"/>
  <c r="U28" i="1"/>
  <c r="S28" i="1" s="1"/>
  <c r="W177" i="1"/>
  <c r="W85" i="1"/>
  <c r="W127" i="1"/>
  <c r="AI59" i="1"/>
  <c r="AI47" i="1"/>
  <c r="AI95" i="1"/>
  <c r="W56" i="1"/>
  <c r="U65" i="1"/>
  <c r="S65" i="1" s="1"/>
  <c r="AI144" i="1"/>
  <c r="U144" i="1"/>
  <c r="S144" i="1" s="1"/>
  <c r="AI137" i="1"/>
  <c r="W149" i="1"/>
  <c r="AI121" i="1"/>
  <c r="W192" i="1"/>
  <c r="W18" i="1"/>
  <c r="W99" i="1"/>
  <c r="U36" i="1"/>
  <c r="S36" i="1" s="1"/>
  <c r="U40" i="1"/>
  <c r="S40" i="1" s="1"/>
  <c r="U48" i="1"/>
  <c r="S48" i="1" s="1"/>
  <c r="U181" i="1"/>
  <c r="S181" i="1" s="1"/>
  <c r="W193" i="1"/>
  <c r="W36" i="1"/>
  <c r="W152" i="1"/>
  <c r="AI106" i="1"/>
  <c r="AI23" i="1"/>
  <c r="AI35" i="1"/>
  <c r="AI77" i="1"/>
  <c r="W89" i="1"/>
  <c r="W37" i="1"/>
  <c r="U18" i="1"/>
  <c r="S18" i="1" s="1"/>
  <c r="W72" i="1"/>
  <c r="AI124" i="1"/>
  <c r="U213" i="1"/>
  <c r="S213" i="1" s="1"/>
  <c r="W14" i="1"/>
  <c r="W64" i="1"/>
  <c r="W96" i="1"/>
  <c r="W120" i="1"/>
  <c r="W182" i="1"/>
  <c r="W206" i="1"/>
  <c r="W108" i="1"/>
  <c r="W48" i="1"/>
  <c r="W59" i="1"/>
  <c r="U177" i="1"/>
  <c r="S177" i="1" s="1"/>
  <c r="W41" i="1"/>
  <c r="W61" i="1"/>
  <c r="AI145" i="1"/>
  <c r="AI181" i="1"/>
  <c r="AI189" i="1"/>
  <c r="AI205" i="1"/>
  <c r="AI173" i="1"/>
  <c r="AI38" i="1"/>
  <c r="W65" i="1"/>
  <c r="W119" i="1"/>
  <c r="U100" i="1"/>
  <c r="S100" i="1" s="1"/>
  <c r="W83" i="1"/>
  <c r="AI140" i="1"/>
  <c r="W166" i="1"/>
  <c r="W45" i="1"/>
  <c r="AI15" i="1"/>
  <c r="AI81" i="1"/>
  <c r="AI53" i="1"/>
  <c r="AI70" i="1"/>
  <c r="AI78" i="1"/>
  <c r="W116" i="1"/>
  <c r="AI152" i="1"/>
  <c r="AI138" i="1"/>
  <c r="AI83" i="1"/>
  <c r="AI89" i="1"/>
  <c r="AI214" i="1"/>
  <c r="W82" i="1"/>
  <c r="W55" i="1"/>
  <c r="W97" i="1"/>
  <c r="U15" i="1"/>
  <c r="S15" i="1" s="1"/>
  <c r="U22" i="1"/>
  <c r="S22" i="1" s="1"/>
  <c r="W38" i="1"/>
  <c r="AI42" i="1"/>
  <c r="AI96" i="1"/>
  <c r="AI74" i="1"/>
  <c r="W57" i="1"/>
  <c r="AI141" i="1"/>
  <c r="AI125" i="1"/>
  <c r="U166" i="1"/>
  <c r="S166" i="1" s="1"/>
  <c r="AI55" i="1"/>
  <c r="AI71" i="1"/>
  <c r="W106" i="1"/>
  <c r="W23" i="1"/>
  <c r="U32" i="1"/>
  <c r="S32" i="1" s="1"/>
  <c r="AI97" i="1"/>
  <c r="U35" i="1"/>
  <c r="S35" i="1" s="1"/>
  <c r="W77" i="1"/>
  <c r="W190" i="1"/>
  <c r="AI202" i="1"/>
  <c r="AI117" i="1"/>
  <c r="AI123" i="1"/>
  <c r="W139" i="1"/>
  <c r="W147" i="1"/>
  <c r="U136" i="1"/>
  <c r="S136" i="1" s="1"/>
  <c r="AI169" i="1"/>
  <c r="W35" i="1"/>
  <c r="W42" i="1"/>
  <c r="W140" i="1"/>
  <c r="U199" i="1"/>
  <c r="S199" i="1" s="1"/>
  <c r="W107" i="1"/>
  <c r="W161" i="1"/>
  <c r="U207" i="1"/>
  <c r="S207" i="1" s="1"/>
  <c r="W75" i="1"/>
  <c r="W63" i="1"/>
  <c r="U150" i="1"/>
  <c r="S150" i="1" s="1"/>
  <c r="U201" i="1"/>
  <c r="S201" i="1" s="1"/>
  <c r="AI194" i="1"/>
  <c r="U187" i="1"/>
  <c r="S187" i="1" s="1"/>
  <c r="W198" i="1"/>
  <c r="W146" i="1"/>
  <c r="W40" i="1"/>
  <c r="W67" i="1"/>
  <c r="W95" i="1"/>
  <c r="U83" i="1"/>
  <c r="S83" i="1" s="1"/>
  <c r="W150" i="1"/>
  <c r="W51" i="1"/>
  <c r="W24" i="1"/>
  <c r="AI175" i="1"/>
  <c r="W131" i="1"/>
  <c r="AI75" i="1"/>
  <c r="U19" i="1"/>
  <c r="S19" i="1" s="1"/>
  <c r="U39" i="1"/>
  <c r="S39" i="1" s="1"/>
  <c r="W31" i="1"/>
  <c r="W19" i="1"/>
  <c r="W30" i="1"/>
  <c r="W39" i="1"/>
  <c r="W43" i="1"/>
  <c r="W111" i="1"/>
  <c r="W173" i="1"/>
  <c r="U108" i="1"/>
  <c r="S108" i="1" s="1"/>
  <c r="AI108" i="1"/>
  <c r="W117" i="1"/>
  <c r="AI206" i="1"/>
  <c r="W187" i="1"/>
  <c r="AI69" i="1"/>
  <c r="W216" i="1"/>
  <c r="U20" i="1"/>
  <c r="S20" i="1" s="1"/>
  <c r="AI20" i="1"/>
  <c r="U93" i="1"/>
  <c r="S93" i="1" s="1"/>
  <c r="AI93" i="1"/>
  <c r="W93" i="1"/>
  <c r="U112" i="1"/>
  <c r="S112" i="1" s="1"/>
  <c r="AI112" i="1"/>
  <c r="W194" i="1"/>
  <c r="W112" i="1"/>
  <c r="W191" i="1"/>
  <c r="AI164" i="1"/>
  <c r="AI165" i="1"/>
  <c r="U79" i="1"/>
  <c r="S79" i="1" s="1"/>
  <c r="AI79" i="1"/>
  <c r="U44" i="1"/>
  <c r="S44" i="1" s="1"/>
  <c r="AI44" i="1"/>
  <c r="W92" i="1"/>
  <c r="AI50" i="1"/>
  <c r="W165" i="1"/>
  <c r="U110" i="1"/>
  <c r="S110" i="1" s="1"/>
  <c r="W186" i="1"/>
  <c r="W202" i="1"/>
  <c r="W214" i="1"/>
  <c r="W195" i="1"/>
  <c r="U87" i="1"/>
  <c r="S87" i="1" s="1"/>
  <c r="AI87" i="1"/>
  <c r="W53" i="1"/>
  <c r="W71" i="1"/>
  <c r="W20" i="1"/>
  <c r="AI198" i="1"/>
  <c r="W199" i="1"/>
  <c r="U49" i="1"/>
  <c r="S49" i="1" s="1"/>
  <c r="AI49" i="1"/>
  <c r="U76" i="1"/>
  <c r="S76" i="1" s="1"/>
  <c r="AI76" i="1"/>
  <c r="U90" i="1"/>
  <c r="S90" i="1" s="1"/>
  <c r="AI90" i="1"/>
  <c r="U105" i="1"/>
  <c r="S105" i="1" s="1"/>
  <c r="AI105" i="1"/>
  <c r="U109" i="1"/>
  <c r="S109" i="1" s="1"/>
  <c r="AI109" i="1"/>
  <c r="U113" i="1"/>
  <c r="S113" i="1" s="1"/>
  <c r="AI113" i="1"/>
  <c r="AI174" i="1"/>
  <c r="U167" i="1"/>
  <c r="S167" i="1" s="1"/>
  <c r="AI190" i="1"/>
  <c r="U183" i="1"/>
  <c r="S183" i="1" s="1"/>
  <c r="U60" i="1"/>
  <c r="S60" i="1" s="1"/>
  <c r="AI60" i="1"/>
  <c r="U68" i="1"/>
  <c r="S68" i="1" s="1"/>
  <c r="AI68" i="1"/>
  <c r="W76" i="1"/>
  <c r="AI17" i="1"/>
  <c r="U17" i="1"/>
  <c r="S17" i="1" s="1"/>
  <c r="AI21" i="1"/>
  <c r="U21" i="1"/>
  <c r="S21" i="1" s="1"/>
  <c r="AI25" i="1"/>
  <c r="U25" i="1"/>
  <c r="S25" i="1" s="1"/>
  <c r="AI29" i="1"/>
  <c r="U29" i="1"/>
  <c r="S29" i="1" s="1"/>
  <c r="AI33" i="1"/>
  <c r="U33" i="1"/>
  <c r="S33" i="1" s="1"/>
  <c r="AI37" i="1"/>
  <c r="U37" i="1"/>
  <c r="S37" i="1" s="1"/>
  <c r="AI46" i="1"/>
  <c r="AI61" i="1"/>
  <c r="U80" i="1"/>
  <c r="S80" i="1" s="1"/>
  <c r="AI80" i="1"/>
  <c r="W25" i="1"/>
  <c r="U101" i="1"/>
  <c r="S101" i="1" s="1"/>
  <c r="AI101" i="1"/>
  <c r="AI116" i="1"/>
  <c r="W101" i="1"/>
  <c r="AI126" i="1"/>
  <c r="U126" i="1"/>
  <c r="S126" i="1" s="1"/>
  <c r="AI135" i="1"/>
  <c r="U135" i="1"/>
  <c r="S135" i="1" s="1"/>
  <c r="AI143" i="1"/>
  <c r="U143" i="1"/>
  <c r="S143" i="1" s="1"/>
  <c r="AI178" i="1"/>
  <c r="U171" i="1"/>
  <c r="S171" i="1" s="1"/>
  <c r="AI45" i="1"/>
  <c r="U45" i="1"/>
  <c r="S45" i="1" s="1"/>
  <c r="U72" i="1"/>
  <c r="S72" i="1" s="1"/>
  <c r="AI72" i="1"/>
  <c r="U84" i="1"/>
  <c r="S84" i="1" s="1"/>
  <c r="AI84" i="1"/>
  <c r="W60" i="1"/>
  <c r="W84" i="1"/>
  <c r="U98" i="1"/>
  <c r="S98" i="1" s="1"/>
  <c r="AI98" i="1"/>
  <c r="U52" i="1"/>
  <c r="S52" i="1" s="1"/>
  <c r="AI52" i="1"/>
  <c r="W68" i="1"/>
  <c r="W52" i="1"/>
  <c r="W90" i="1"/>
  <c r="W105" i="1"/>
  <c r="W135" i="1"/>
  <c r="AI166" i="1"/>
  <c r="U216" i="1"/>
  <c r="S216" i="1" s="1"/>
  <c r="AI182" i="1"/>
  <c r="U175" i="1"/>
  <c r="S175" i="1" s="1"/>
  <c r="W167" i="1"/>
  <c r="W183" i="1"/>
  <c r="W171" i="1"/>
  <c r="AI41" i="1"/>
  <c r="U41" i="1"/>
  <c r="S41" i="1" s="1"/>
  <c r="U56" i="1"/>
  <c r="S56" i="1" s="1"/>
  <c r="AI56" i="1"/>
  <c r="U94" i="1"/>
  <c r="S94" i="1" s="1"/>
  <c r="AI94" i="1"/>
  <c r="U64" i="1"/>
  <c r="S64" i="1" s="1"/>
  <c r="AI64" i="1"/>
  <c r="AI114" i="1"/>
  <c r="U114" i="1"/>
  <c r="S114" i="1" s="1"/>
  <c r="W94" i="1"/>
  <c r="W109" i="1"/>
  <c r="W114" i="1"/>
  <c r="AI122" i="1"/>
  <c r="U122" i="1"/>
  <c r="S122" i="1" s="1"/>
  <c r="AI130" i="1"/>
  <c r="U130" i="1"/>
  <c r="S130" i="1" s="1"/>
  <c r="AI139" i="1"/>
  <c r="U139" i="1"/>
  <c r="S139" i="1" s="1"/>
  <c r="AI147" i="1"/>
  <c r="U147" i="1"/>
  <c r="S147" i="1" s="1"/>
  <c r="W122" i="1"/>
  <c r="AI151" i="1"/>
  <c r="U151" i="1"/>
  <c r="S151" i="1" s="1"/>
  <c r="W113" i="1"/>
  <c r="AI170" i="1"/>
  <c r="U163" i="1"/>
  <c r="S163" i="1" s="1"/>
  <c r="AI186" i="1"/>
  <c r="U179" i="1"/>
  <c r="S179" i="1" s="1"/>
  <c r="W163" i="1"/>
  <c r="W179" i="1"/>
  <c r="Y23" i="3"/>
  <c r="V13" i="1" l="1"/>
  <c r="S23" i="3" s="1"/>
  <c r="M44" i="3" l="1"/>
  <c r="M41" i="3"/>
  <c r="M47" i="3"/>
  <c r="M43" i="3"/>
  <c r="M34" i="3"/>
  <c r="M46" i="3"/>
  <c r="M48" i="3"/>
  <c r="M33" i="3"/>
  <c r="M35" i="3"/>
  <c r="M39" i="3"/>
  <c r="M38" i="3"/>
  <c r="M7" i="3"/>
  <c r="M37" i="3"/>
  <c r="M40" i="3"/>
  <c r="M42" i="3"/>
  <c r="M45" i="3"/>
  <c r="M36" i="3"/>
  <c r="K13" i="1" l="1"/>
  <c r="L13" i="1"/>
  <c r="M13" i="1"/>
  <c r="P13" i="1" s="1"/>
  <c r="Y13" i="1"/>
  <c r="Z13" i="1"/>
  <c r="AB13" i="1"/>
  <c r="AC13" i="1"/>
  <c r="AD13" i="1"/>
  <c r="X14" i="1" s="1"/>
  <c r="AE13" i="1"/>
  <c r="R23" i="3" s="1"/>
  <c r="AF13" i="1"/>
  <c r="T13" i="1" l="1"/>
  <c r="X13" i="1"/>
  <c r="AA13" i="1"/>
  <c r="AG13" i="1"/>
  <c r="J7" i="1" s="1"/>
  <c r="M26" i="5"/>
  <c r="AH14" i="1" l="1"/>
  <c r="AH15" i="1"/>
  <c r="AH23" i="1"/>
  <c r="AH27" i="1"/>
  <c r="AH28" i="1"/>
  <c r="AH29" i="1"/>
  <c r="AH30" i="1"/>
  <c r="AH35" i="1"/>
  <c r="AH36" i="1"/>
  <c r="AH37" i="1"/>
  <c r="AH63" i="1"/>
  <c r="AH64" i="1"/>
  <c r="AH70" i="1"/>
  <c r="AH71" i="1"/>
  <c r="AH72" i="1"/>
  <c r="AH81" i="1"/>
  <c r="AH82" i="1"/>
  <c r="AH83" i="1"/>
  <c r="AH84" i="1"/>
  <c r="AH101" i="1"/>
  <c r="AH122" i="1"/>
  <c r="AH123" i="1"/>
  <c r="AH128" i="1"/>
  <c r="AH132" i="1"/>
  <c r="AH138" i="1"/>
  <c r="AH139" i="1"/>
  <c r="AH140" i="1"/>
  <c r="AH145" i="1"/>
  <c r="AH146" i="1"/>
  <c r="AH147" i="1"/>
  <c r="AH148" i="1"/>
  <c r="AH155" i="1"/>
  <c r="AH171" i="1"/>
  <c r="AH172" i="1"/>
  <c r="AH173" i="1"/>
  <c r="AH174" i="1"/>
  <c r="AH175" i="1"/>
  <c r="AH176" i="1"/>
  <c r="AH185" i="1"/>
  <c r="AH186" i="1"/>
  <c r="AH187" i="1"/>
  <c r="AH188" i="1"/>
  <c r="AH210" i="1"/>
  <c r="AH211" i="1"/>
  <c r="AH141" i="1"/>
  <c r="AH152" i="1"/>
  <c r="AH165" i="1"/>
  <c r="AH180" i="1"/>
  <c r="AH189" i="1"/>
  <c r="AH201" i="1"/>
  <c r="AH204" i="1"/>
  <c r="AH208" i="1"/>
  <c r="AH16" i="1"/>
  <c r="AH17" i="1"/>
  <c r="AH18" i="1"/>
  <c r="AH19" i="1"/>
  <c r="AH20" i="1"/>
  <c r="AH21" i="1"/>
  <c r="AH24" i="1"/>
  <c r="AH25" i="1"/>
  <c r="AH31" i="1"/>
  <c r="AH32" i="1"/>
  <c r="AH33" i="1"/>
  <c r="AH38" i="1"/>
  <c r="AH39" i="1"/>
  <c r="AH40" i="1"/>
  <c r="AH41" i="1"/>
  <c r="AH65" i="1"/>
  <c r="AH66" i="1"/>
  <c r="AH67" i="1"/>
  <c r="AH68" i="1"/>
  <c r="AH73" i="1"/>
  <c r="AH74" i="1"/>
  <c r="AH75" i="1"/>
  <c r="AH76" i="1"/>
  <c r="AH85" i="1"/>
  <c r="AH89" i="1"/>
  <c r="AH90" i="1"/>
  <c r="AH102" i="1"/>
  <c r="AH104" i="1"/>
  <c r="AH105" i="1"/>
  <c r="AH106" i="1"/>
  <c r="AH107" i="1"/>
  <c r="AH108" i="1"/>
  <c r="AH109" i="1"/>
  <c r="AH110" i="1"/>
  <c r="AH111" i="1"/>
  <c r="AH112" i="1"/>
  <c r="AH113" i="1"/>
  <c r="AH114" i="1"/>
  <c r="AH116" i="1"/>
  <c r="AH129" i="1"/>
  <c r="AH134" i="1"/>
  <c r="AH135" i="1"/>
  <c r="AH136" i="1"/>
  <c r="AH149" i="1"/>
  <c r="AH150" i="1"/>
  <c r="AH161" i="1"/>
  <c r="AH177" i="1"/>
  <c r="AH178" i="1"/>
  <c r="AH212" i="1"/>
  <c r="AH213" i="1"/>
  <c r="AH214" i="1"/>
  <c r="AH215" i="1"/>
  <c r="AH216" i="1"/>
  <c r="AH217" i="1"/>
  <c r="AH47" i="1"/>
  <c r="AH49" i="1"/>
  <c r="AH55" i="1"/>
  <c r="AH57" i="1"/>
  <c r="AH59" i="1"/>
  <c r="AH86" i="1"/>
  <c r="AH91" i="1"/>
  <c r="AH92" i="1"/>
  <c r="AH95" i="1"/>
  <c r="AH97" i="1"/>
  <c r="AH117" i="1"/>
  <c r="AH125" i="1"/>
  <c r="AH131" i="1"/>
  <c r="AH142" i="1"/>
  <c r="AH153" i="1"/>
  <c r="AH163" i="1"/>
  <c r="AH166" i="1"/>
  <c r="AH168" i="1"/>
  <c r="AH181" i="1"/>
  <c r="AH190" i="1"/>
  <c r="AH193" i="1"/>
  <c r="AH195" i="1"/>
  <c r="AH197" i="1"/>
  <c r="AH199" i="1"/>
  <c r="AH202" i="1"/>
  <c r="AH205" i="1"/>
  <c r="AH209" i="1"/>
  <c r="AH22" i="1"/>
  <c r="AH26" i="1"/>
  <c r="AH34" i="1"/>
  <c r="AH42" i="1"/>
  <c r="AH43" i="1"/>
  <c r="AH44" i="1"/>
  <c r="AH45" i="1"/>
  <c r="AH46" i="1"/>
  <c r="AH48" i="1"/>
  <c r="AH54" i="1"/>
  <c r="AH56" i="1"/>
  <c r="AH58" i="1"/>
  <c r="AH77" i="1"/>
  <c r="AH87" i="1"/>
  <c r="AH93" i="1"/>
  <c r="AH94" i="1"/>
  <c r="AH96" i="1"/>
  <c r="AH98" i="1"/>
  <c r="AH124" i="1"/>
  <c r="AH130" i="1"/>
  <c r="AH137" i="1"/>
  <c r="AH151" i="1"/>
  <c r="AH162" i="1"/>
  <c r="AH164" i="1"/>
  <c r="AH167" i="1"/>
  <c r="AH179" i="1"/>
  <c r="AH182" i="1"/>
  <c r="AH191" i="1"/>
  <c r="AH192" i="1"/>
  <c r="AH194" i="1"/>
  <c r="AH196" i="1"/>
  <c r="AH198" i="1"/>
  <c r="AH200" i="1"/>
  <c r="AH203" i="1"/>
  <c r="AH207" i="1"/>
  <c r="AH50" i="1"/>
  <c r="AH51" i="1"/>
  <c r="AH52" i="1"/>
  <c r="AH53" i="1"/>
  <c r="AH60" i="1"/>
  <c r="AH61" i="1"/>
  <c r="AH62" i="1"/>
  <c r="AH69" i="1"/>
  <c r="AH78" i="1"/>
  <c r="AH79" i="1"/>
  <c r="AH80" i="1"/>
  <c r="AH88" i="1"/>
  <c r="AH99" i="1"/>
  <c r="AH100" i="1"/>
  <c r="AH103" i="1"/>
  <c r="AH118" i="1"/>
  <c r="AH119" i="1"/>
  <c r="AH120" i="1"/>
  <c r="AH121" i="1"/>
  <c r="AH126" i="1"/>
  <c r="AH127" i="1"/>
  <c r="AH143" i="1"/>
  <c r="AH144" i="1"/>
  <c r="AH169" i="1"/>
  <c r="AH170" i="1"/>
  <c r="AH183" i="1"/>
  <c r="AH184" i="1"/>
  <c r="AH206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<sst xmlns="http://schemas.openxmlformats.org/spreadsheetml/2006/main" count="2172" uniqueCount="756">
  <si>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</si>
  <si>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</si>
  <si>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</si>
  <si>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</si>
  <si>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</si>
  <si>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</si>
  <si>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</si>
  <si>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</si>
  <si>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</si>
  <si>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</si>
  <si>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</si>
  <si>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</si>
  <si>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</si>
  <si>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</si>
  <si>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</si>
  <si>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</si>
  <si>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</si>
  <si>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</si>
  <si>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</si>
  <si>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</si>
  <si>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</si>
  <si>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</si>
  <si>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</si>
  <si>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</si>
  <si>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</si>
  <si>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</si>
  <si>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</si>
  <si>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</si>
  <si>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</si>
  <si>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</si>
  <si>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</si>
  <si>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</si>
  <si>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</si>
  <si>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</si>
  <si>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</si>
  <si>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</si>
  <si>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</si>
  <si>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</si>
  <si>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</si>
  <si>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</si>
  <si>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</si>
  <si>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</si>
  <si>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</si>
  <si>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</si>
  <si>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</si>
  <si>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</si>
  <si>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</si>
  <si>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</si>
  <si>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</si>
  <si>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</si>
  <si>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</si>
  <si>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</si>
  <si>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</si>
  <si>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</si>
  <si>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</si>
  <si>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</si>
  <si>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</si>
  <si>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</si>
  <si>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</si>
  <si>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</si>
  <si>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</si>
  <si>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</si>
  <si>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</si>
  <si>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</si>
  <si>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</si>
  <si>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</si>
  <si>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</si>
  <si>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</si>
  <si>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</si>
  <si>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</si>
  <si>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</si>
  <si>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</si>
  <si>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</si>
  <si>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</si>
  <si>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</si>
  <si>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</si>
  <si>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</si>
  <si>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</si>
  <si>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</si>
  <si>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</si>
  <si>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</si>
  <si>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</si>
  <si>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</si>
  <si>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</si>
  <si>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</si>
  <si>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</si>
  <si>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</si>
  <si>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</si>
  <si>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</si>
  <si>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</si>
  <si>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</si>
  <si>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</si>
  <si>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</si>
  <si>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</si>
  <si>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</si>
  <si>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</si>
  <si>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</si>
  <si>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</si>
  <si>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</si>
  <si>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</si>
  <si>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</si>
  <si>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</si>
  <si>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</si>
  <si>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</si>
  <si>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</si>
  <si>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</si>
  <si>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</si>
  <si>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</si>
  <si>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</si>
  <si>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</si>
  <si>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</si>
  <si>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</si>
  <si>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</si>
  <si>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</si>
  <si>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</si>
  <si>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</si>
  <si>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</si>
  <si>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</si>
  <si>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</si>
  <si>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</si>
  <si>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</si>
  <si>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</si>
  <si>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</si>
  <si>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</si>
  <si>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</si>
  <si>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</si>
  <si>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</si>
  <si>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</si>
  <si>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</si>
  <si>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</si>
  <si>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</si>
  <si>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</si>
  <si>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</si>
  <si>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</si>
  <si>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</si>
  <si>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</si>
  <si>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</si>
  <si>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</si>
  <si>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</si>
  <si>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</si>
  <si>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</si>
  <si>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</si>
  <si>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</si>
  <si>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</si>
  <si>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</si>
  <si>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</si>
  <si>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</si>
  <si>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</si>
  <si>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</si>
  <si>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</si>
  <si>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</si>
  <si>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</si>
  <si>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</si>
  <si>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</si>
  <si>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</si>
  <si>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</si>
  <si>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</si>
  <si>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</si>
  <si>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</si>
  <si>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</si>
  <si>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</si>
  <si>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</si>
  <si>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</si>
  <si>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</si>
  <si>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</si>
  <si>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</si>
  <si>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</si>
  <si>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</si>
  <si>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</si>
  <si>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</si>
  <si>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</si>
  <si>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</si>
  <si>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</si>
  <si>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</si>
  <si>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</si>
  <si>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</si>
  <si>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</si>
  <si>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rtdc.l.rtdc.4011:itc</t>
  </si>
  <si>
    <t>Reactive Warning (1)</t>
  </si>
  <si>
    <t>Y</t>
  </si>
  <si>
    <t>rtdc.l.rtdc.4025:itc</t>
  </si>
  <si>
    <t>rtdc.l.rtdc.4026:itc</t>
  </si>
  <si>
    <t>COOLAHAN</t>
  </si>
  <si>
    <t>rtdc.l.rtdc.4012:itc</t>
  </si>
  <si>
    <t>rtdc.l.rtdc.4051:itc</t>
  </si>
  <si>
    <t>rtdc.l.rtdc.4052:itc</t>
  </si>
  <si>
    <t>Wi-MAX outage</t>
  </si>
  <si>
    <t>rtdc.l.rtdc.4041:itc</t>
  </si>
  <si>
    <t>rtdc.l.rtdc.4010:itc</t>
  </si>
  <si>
    <t>SANTIZO</t>
  </si>
  <si>
    <t>rtdc.l.rtdc.4042:itc</t>
  </si>
  <si>
    <t>CRAYTON</t>
  </si>
  <si>
    <t>STURGEON</t>
  </si>
  <si>
    <t>rtdc.l.rtdc.4022:itc</t>
  </si>
  <si>
    <t>Data.Current Information Milepost</t>
  </si>
  <si>
    <t>Stopped Distance Short of Target (ft)</t>
  </si>
  <si>
    <t>MAELZER</t>
  </si>
  <si>
    <t>BEAM</t>
  </si>
  <si>
    <t>rtdc.l.rtdc.4046:itc</t>
  </si>
  <si>
    <t>MAHAN</t>
  </si>
  <si>
    <t>MOSES</t>
  </si>
  <si>
    <t>CUSHING</t>
  </si>
  <si>
    <t>rtdc.l.rtdc.4003:itc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</si>
  <si>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</si>
  <si>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</si>
  <si>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</si>
  <si>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</si>
  <si>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</si>
  <si>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</si>
  <si>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</si>
  <si>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</si>
  <si>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</si>
  <si>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</si>
  <si>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</si>
  <si>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</si>
  <si>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</si>
  <si>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</si>
  <si>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</si>
  <si>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</si>
  <si>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</si>
  <si>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</si>
  <si>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</si>
  <si>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</si>
  <si>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</si>
  <si>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</si>
  <si>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</si>
  <si>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</si>
  <si>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</si>
  <si>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</si>
  <si>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</si>
  <si>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</si>
  <si>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</si>
  <si>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</si>
  <si>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</si>
  <si>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clear-night</t>
  </si>
  <si>
    <t>Clear</t>
  </si>
  <si>
    <t>Powered by Forecast [forecast.io]</t>
  </si>
  <si>
    <t>40th 4S STOP, cleared shortly</t>
  </si>
  <si>
    <t>Pena 4S STOP, cleared shortly</t>
  </si>
  <si>
    <t>Early arrival</t>
  </si>
  <si>
    <t>204:149</t>
  </si>
  <si>
    <t>204:233314</t>
  </si>
  <si>
    <t>204:160</t>
  </si>
  <si>
    <t>204:446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</si>
  <si>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</si>
  <si>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</si>
  <si>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</si>
  <si>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</si>
  <si>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</si>
  <si>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</si>
  <si>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</si>
  <si>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</si>
  <si>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</si>
  <si>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</si>
  <si>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204:233288</t>
  </si>
  <si>
    <t>204:232986</t>
  </si>
  <si>
    <t>204:150</t>
  </si>
  <si>
    <t>204:416</t>
  </si>
  <si>
    <t>204:233291</t>
  </si>
  <si>
    <t>204:143</t>
  </si>
  <si>
    <t>204:233278</t>
  </si>
  <si>
    <t>204:462</t>
  </si>
  <si>
    <t>204:152</t>
  </si>
  <si>
    <t>204:233004</t>
  </si>
  <si>
    <t>204:438</t>
  </si>
  <si>
    <t>204:233303</t>
  </si>
  <si>
    <t>204:232996</t>
  </si>
  <si>
    <t>204:457</t>
  </si>
  <si>
    <t>204:145</t>
  </si>
  <si>
    <t>204:447</t>
  </si>
  <si>
    <t>204:161</t>
  </si>
  <si>
    <t>204:437</t>
  </si>
  <si>
    <t>204:233297</t>
  </si>
  <si>
    <t>204:466</t>
  </si>
  <si>
    <t>204:232961</t>
  </si>
  <si>
    <t>204:134</t>
  </si>
  <si>
    <t>204:232998</t>
  </si>
  <si>
    <t>204:431</t>
  </si>
  <si>
    <t>204:451</t>
  </si>
  <si>
    <t>204:233282</t>
  </si>
  <si>
    <t>204:156</t>
  </si>
  <si>
    <t>204:455</t>
  </si>
  <si>
    <t>204:233287</t>
  </si>
  <si>
    <t>204:232976</t>
  </si>
  <si>
    <t>204:232977</t>
  </si>
  <si>
    <t>204:233299</t>
  </si>
  <si>
    <t>204:233312</t>
  </si>
  <si>
    <t>204:233380</t>
  </si>
  <si>
    <t>204:233316</t>
  </si>
  <si>
    <t>300:58626</t>
  </si>
  <si>
    <t>300:58623</t>
  </si>
  <si>
    <t>300:58617</t>
  </si>
  <si>
    <t>204:685</t>
  </si>
  <si>
    <t>300:58615</t>
  </si>
  <si>
    <t>300:58672</t>
  </si>
  <si>
    <t>204:979</t>
  </si>
  <si>
    <t>204:773</t>
  </si>
  <si>
    <t>rtdc.l.rtdc.4016:itc</t>
  </si>
  <si>
    <t>rtdc.l.rtdc.4018:itc</t>
  </si>
  <si>
    <t>rtdc.l.rtdc.4017:itc</t>
  </si>
  <si>
    <t>rtdc.l.rtdc.4015:itc</t>
  </si>
  <si>
    <t>rtdc.l.rtdc.4037:itc</t>
  </si>
  <si>
    <t>rtdc.l.rtdc.4021:itc</t>
  </si>
  <si>
    <t>rtdc.l.rtdc.4039:itc</t>
  </si>
  <si>
    <t>237-08</t>
  </si>
  <si>
    <t>204:139</t>
  </si>
  <si>
    <t>204:233310</t>
  </si>
  <si>
    <t>204:233000</t>
  </si>
  <si>
    <t>204:442</t>
  </si>
  <si>
    <t>204:477</t>
  </si>
  <si>
    <t>204:233293</t>
  </si>
  <si>
    <t>204:233308</t>
  </si>
  <si>
    <t>204:232987</t>
  </si>
  <si>
    <t>204:169</t>
  </si>
  <si>
    <t>204:473</t>
  </si>
  <si>
    <t>204:458</t>
  </si>
  <si>
    <t>204:233320</t>
  </si>
  <si>
    <t>204:233300</t>
  </si>
  <si>
    <t>204:233284</t>
  </si>
  <si>
    <t>204:233306</t>
  </si>
  <si>
    <t>204:232981</t>
  </si>
  <si>
    <t>204:232973</t>
  </si>
  <si>
    <t>204:233317</t>
  </si>
  <si>
    <t>204:464</t>
  </si>
  <si>
    <t>204:233357</t>
  </si>
  <si>
    <t>204:232989</t>
  </si>
  <si>
    <t>204:176</t>
  </si>
  <si>
    <t>204:233301</t>
  </si>
  <si>
    <t>204:232993</t>
  </si>
  <si>
    <t>204:232984</t>
  </si>
  <si>
    <t>204:136</t>
  </si>
  <si>
    <t>204:420</t>
  </si>
  <si>
    <t>204:232969</t>
  </si>
  <si>
    <t>204:233321</t>
  </si>
  <si>
    <t>204:232968</t>
  </si>
  <si>
    <t>204:170</t>
  </si>
  <si>
    <t>204:467</t>
  </si>
  <si>
    <t>204:233325</t>
  </si>
  <si>
    <t>234-08</t>
  </si>
  <si>
    <t>236-08</t>
  </si>
  <si>
    <t>204:233304</t>
  </si>
  <si>
    <t>238-08</t>
  </si>
  <si>
    <t>239-08</t>
  </si>
  <si>
    <t>240-08</t>
  </si>
  <si>
    <t>204:141</t>
  </si>
  <si>
    <t>241-08</t>
  </si>
  <si>
    <t>204:233323</t>
  </si>
  <si>
    <t>242-08</t>
  </si>
  <si>
    <t>243-08</t>
  </si>
  <si>
    <t>204:233295</t>
  </si>
  <si>
    <t>244-08</t>
  </si>
  <si>
    <t>300:23310</t>
  </si>
  <si>
    <t>204:460</t>
  </si>
  <si>
    <t>309-08</t>
  </si>
  <si>
    <t>311-08</t>
  </si>
  <si>
    <t>313-08</t>
  </si>
  <si>
    <t>315-08</t>
  </si>
  <si>
    <t>204:728</t>
  </si>
  <si>
    <t>300:22629</t>
  </si>
  <si>
    <t>204:794</t>
  </si>
  <si>
    <t>204:1056</t>
  </si>
  <si>
    <t>300:58937</t>
  </si>
  <si>
    <t>204:1004</t>
  </si>
  <si>
    <t>300:58952</t>
  </si>
  <si>
    <t>human_readable_time</t>
  </si>
  <si>
    <t>clear-day</t>
  </si>
  <si>
    <t>MALAVE</t>
  </si>
  <si>
    <t>BREITSCH</t>
  </si>
  <si>
    <t>BRANDNER</t>
  </si>
  <si>
    <t>BONDS</t>
  </si>
  <si>
    <t>SHOOK</t>
  </si>
  <si>
    <t>ADANE</t>
  </si>
  <si>
    <t>BERLING</t>
  </si>
  <si>
    <t>rtdc.l.rtdc.4040:itc</t>
  </si>
  <si>
    <t>COOPER</t>
  </si>
  <si>
    <t>DELGADO</t>
  </si>
  <si>
    <t>OUN</t>
  </si>
  <si>
    <t>rtdc.l.rtdc.4028:itc</t>
  </si>
  <si>
    <t>Did not init</t>
  </si>
  <si>
    <t>Form C</t>
  </si>
  <si>
    <t>Overspeed</t>
  </si>
  <si>
    <t>101-09</t>
  </si>
  <si>
    <t>204:64830</t>
  </si>
  <si>
    <t>204:233274</t>
  </si>
  <si>
    <t>102-09</t>
  </si>
  <si>
    <t>204:232649</t>
  </si>
  <si>
    <t>103-09</t>
  </si>
  <si>
    <t>204:805</t>
  </si>
  <si>
    <t>204:233336</t>
  </si>
  <si>
    <t>104-09</t>
  </si>
  <si>
    <t>204:232690</t>
  </si>
  <si>
    <t>105-09</t>
  </si>
  <si>
    <t>204:755</t>
  </si>
  <si>
    <t>106-09</t>
  </si>
  <si>
    <t>204:232656</t>
  </si>
  <si>
    <t>107-09</t>
  </si>
  <si>
    <t>108-09</t>
  </si>
  <si>
    <t>204:232967</t>
  </si>
  <si>
    <t>109-09</t>
  </si>
  <si>
    <t>204:440</t>
  </si>
  <si>
    <t>110-09</t>
  </si>
  <si>
    <t>111-09</t>
  </si>
  <si>
    <t>204:788</t>
  </si>
  <si>
    <t>112-09</t>
  </si>
  <si>
    <t>113-09</t>
  </si>
  <si>
    <t>114-09</t>
  </si>
  <si>
    <t>115-09</t>
  </si>
  <si>
    <t>204:775</t>
  </si>
  <si>
    <t>116-09</t>
  </si>
  <si>
    <t>204:232965</t>
  </si>
  <si>
    <t>117-09</t>
  </si>
  <si>
    <t>118-09</t>
  </si>
  <si>
    <t>119-09</t>
  </si>
  <si>
    <t>120-09</t>
  </si>
  <si>
    <t>121-09</t>
  </si>
  <si>
    <t>122-09</t>
  </si>
  <si>
    <t>204:214</t>
  </si>
  <si>
    <t>123-09</t>
  </si>
  <si>
    <t>124-09</t>
  </si>
  <si>
    <t>125-09</t>
  </si>
  <si>
    <t>126-09</t>
  </si>
  <si>
    <t>127-09</t>
  </si>
  <si>
    <t>128-09</t>
  </si>
  <si>
    <t>204:165</t>
  </si>
  <si>
    <t>129-09</t>
  </si>
  <si>
    <t>130-09</t>
  </si>
  <si>
    <t>131-09</t>
  </si>
  <si>
    <t>132-09</t>
  </si>
  <si>
    <t>133-09</t>
  </si>
  <si>
    <t>204:37199</t>
  </si>
  <si>
    <t>204:233280</t>
  </si>
  <si>
    <t>134-09</t>
  </si>
  <si>
    <t>204:232962</t>
  </si>
  <si>
    <t>135-09</t>
  </si>
  <si>
    <t>204:540</t>
  </si>
  <si>
    <t>136-09</t>
  </si>
  <si>
    <t>137-09</t>
  </si>
  <si>
    <t>138-09</t>
  </si>
  <si>
    <t>139-09</t>
  </si>
  <si>
    <t>140-09</t>
  </si>
  <si>
    <t>141-09</t>
  </si>
  <si>
    <t>204:19140</t>
  </si>
  <si>
    <t>204:2292</t>
  </si>
  <si>
    <t>142-09</t>
  </si>
  <si>
    <t>143-09</t>
  </si>
  <si>
    <t>144-09</t>
  </si>
  <si>
    <t>145-09</t>
  </si>
  <si>
    <t>204:233229</t>
  </si>
  <si>
    <t>146-09</t>
  </si>
  <si>
    <t>204:232909</t>
  </si>
  <si>
    <t>147-09</t>
  </si>
  <si>
    <t>204:233289</t>
  </si>
  <si>
    <t>148-09</t>
  </si>
  <si>
    <t>204:232975</t>
  </si>
  <si>
    <t>149-09</t>
  </si>
  <si>
    <t>150-09</t>
  </si>
  <si>
    <t>151-09</t>
  </si>
  <si>
    <t>204:233249</t>
  </si>
  <si>
    <t>152-09</t>
  </si>
  <si>
    <t>204:232950</t>
  </si>
  <si>
    <t>153-09</t>
  </si>
  <si>
    <t>154-09</t>
  </si>
  <si>
    <t>155-09</t>
  </si>
  <si>
    <t>204:233264</t>
  </si>
  <si>
    <t>156-09</t>
  </si>
  <si>
    <t>204:232978</t>
  </si>
  <si>
    <t>157-09</t>
  </si>
  <si>
    <t>158-09</t>
  </si>
  <si>
    <t>159-09</t>
  </si>
  <si>
    <t>160-09</t>
  </si>
  <si>
    <t>161-09</t>
  </si>
  <si>
    <t>204:233319</t>
  </si>
  <si>
    <t>162-09</t>
  </si>
  <si>
    <t>163-09</t>
  </si>
  <si>
    <t>164-09</t>
  </si>
  <si>
    <t>204:232988</t>
  </si>
  <si>
    <t>165-09</t>
  </si>
  <si>
    <t>204:491</t>
  </si>
  <si>
    <t>166-09</t>
  </si>
  <si>
    <t>204:138</t>
  </si>
  <si>
    <t>167-09</t>
  </si>
  <si>
    <t>168-09</t>
  </si>
  <si>
    <t>169-09</t>
  </si>
  <si>
    <t>204:233363</t>
  </si>
  <si>
    <t>170-09</t>
  </si>
  <si>
    <t>204:233070</t>
  </si>
  <si>
    <t>204:8774</t>
  </si>
  <si>
    <t>171-09</t>
  </si>
  <si>
    <t>172-09</t>
  </si>
  <si>
    <t>204:4902</t>
  </si>
  <si>
    <t>173-09</t>
  </si>
  <si>
    <t>174-09</t>
  </si>
  <si>
    <t>204:233006</t>
  </si>
  <si>
    <t>175-09</t>
  </si>
  <si>
    <t>176-09</t>
  </si>
  <si>
    <t>204:129</t>
  </si>
  <si>
    <t>177-09</t>
  </si>
  <si>
    <t>178-09</t>
  </si>
  <si>
    <t>204:233027</t>
  </si>
  <si>
    <t>204:191</t>
  </si>
  <si>
    <t>179-09</t>
  </si>
  <si>
    <t>204:426</t>
  </si>
  <si>
    <t>180-09</t>
  </si>
  <si>
    <t>204:232980</t>
  </si>
  <si>
    <t>204:107</t>
  </si>
  <si>
    <t>181-09</t>
  </si>
  <si>
    <t>182-09</t>
  </si>
  <si>
    <t>183-09</t>
  </si>
  <si>
    <t>204:233349</t>
  </si>
  <si>
    <t>184-09</t>
  </si>
  <si>
    <t>204:233030</t>
  </si>
  <si>
    <t>185-09</t>
  </si>
  <si>
    <t>204:19148</t>
  </si>
  <si>
    <t>186-09</t>
  </si>
  <si>
    <t>187-09</t>
  </si>
  <si>
    <t>188-09</t>
  </si>
  <si>
    <t>204:232994</t>
  </si>
  <si>
    <t>204:192</t>
  </si>
  <si>
    <t>189-09</t>
  </si>
  <si>
    <t>204:433</t>
  </si>
  <si>
    <t>190-09</t>
  </si>
  <si>
    <t>204:216</t>
  </si>
  <si>
    <t>191-09</t>
  </si>
  <si>
    <t>204:495</t>
  </si>
  <si>
    <t>192-09</t>
  </si>
  <si>
    <t>193-09</t>
  </si>
  <si>
    <t>204:435</t>
  </si>
  <si>
    <t>194-09</t>
  </si>
  <si>
    <t>195-09</t>
  </si>
  <si>
    <t>196-09</t>
  </si>
  <si>
    <t>204:228660</t>
  </si>
  <si>
    <t>197-09</t>
  </si>
  <si>
    <t>204:233341</t>
  </si>
  <si>
    <t>198-09</t>
  </si>
  <si>
    <t>204:233036</t>
  </si>
  <si>
    <t>199-09</t>
  </si>
  <si>
    <t>200-09</t>
  </si>
  <si>
    <t>201-09</t>
  </si>
  <si>
    <t>203-09</t>
  </si>
  <si>
    <t>204:37170</t>
  </si>
  <si>
    <t>204-09</t>
  </si>
  <si>
    <t>204:233013</t>
  </si>
  <si>
    <t>205-09</t>
  </si>
  <si>
    <t>206-09</t>
  </si>
  <si>
    <t>207-09</t>
  </si>
  <si>
    <t>204:424</t>
  </si>
  <si>
    <t>208-09</t>
  </si>
  <si>
    <t>204:232985</t>
  </si>
  <si>
    <t>209-09</t>
  </si>
  <si>
    <t>210-09</t>
  </si>
  <si>
    <t>211-09</t>
  </si>
  <si>
    <t>204:233389</t>
  </si>
  <si>
    <t>212-09</t>
  </si>
  <si>
    <t>204:233055</t>
  </si>
  <si>
    <t>204:999</t>
  </si>
  <si>
    <t>213-09</t>
  </si>
  <si>
    <t>204:497</t>
  </si>
  <si>
    <t>214-09</t>
  </si>
  <si>
    <t>204:233071</t>
  </si>
  <si>
    <t>204:121</t>
  </si>
  <si>
    <t>215-09</t>
  </si>
  <si>
    <t>204:1475</t>
  </si>
  <si>
    <t>204:1671</t>
  </si>
  <si>
    <t>204:19129</t>
  </si>
  <si>
    <t>216-09</t>
  </si>
  <si>
    <t>204:898</t>
  </si>
  <si>
    <t>217-09</t>
  </si>
  <si>
    <t>218-09</t>
  </si>
  <si>
    <t>220-09</t>
  </si>
  <si>
    <t>221-09</t>
  </si>
  <si>
    <t>222-09</t>
  </si>
  <si>
    <t>223-09</t>
  </si>
  <si>
    <t>224-09</t>
  </si>
  <si>
    <t>225-09</t>
  </si>
  <si>
    <t>226-09</t>
  </si>
  <si>
    <t>227-09</t>
  </si>
  <si>
    <t>228-09</t>
  </si>
  <si>
    <t>204:185</t>
  </si>
  <si>
    <t>229-09</t>
  </si>
  <si>
    <t>230-09</t>
  </si>
  <si>
    <t>204:233009</t>
  </si>
  <si>
    <t>231-09</t>
  </si>
  <si>
    <t>204:233324</t>
  </si>
  <si>
    <t>232-09</t>
  </si>
  <si>
    <t>204:233001</t>
  </si>
  <si>
    <t>233-09</t>
  </si>
  <si>
    <t>234-09</t>
  </si>
  <si>
    <t>204:4833</t>
  </si>
  <si>
    <t>235-09</t>
  </si>
  <si>
    <t>236-09</t>
  </si>
  <si>
    <t>237-09</t>
  </si>
  <si>
    <t>204:233342</t>
  </si>
  <si>
    <t>238-09</t>
  </si>
  <si>
    <t>204:119</t>
  </si>
  <si>
    <t>239-09</t>
  </si>
  <si>
    <t>204:233283</t>
  </si>
  <si>
    <t>241-09</t>
  </si>
  <si>
    <t>303-09</t>
  </si>
  <si>
    <t>204:1303</t>
  </si>
  <si>
    <t>300:23308</t>
  </si>
  <si>
    <t>305-09</t>
  </si>
  <si>
    <t>204:1309</t>
  </si>
  <si>
    <t>307-09</t>
  </si>
  <si>
    <t>204:1209</t>
  </si>
  <si>
    <t>300:23346</t>
  </si>
  <si>
    <t>50-09</t>
  </si>
  <si>
    <t>204:612</t>
  </si>
  <si>
    <t>300:24267</t>
  </si>
  <si>
    <t>52-09</t>
  </si>
  <si>
    <t>204:1228</t>
  </si>
  <si>
    <t>204:1455</t>
  </si>
  <si>
    <t>61-09</t>
  </si>
  <si>
    <t>300:27693</t>
  </si>
  <si>
    <t>300:28363</t>
  </si>
  <si>
    <t>800-09</t>
  </si>
  <si>
    <t>204:790</t>
  </si>
  <si>
    <t>801-09</t>
  </si>
  <si>
    <t>204:1088</t>
  </si>
  <si>
    <t>802-09</t>
  </si>
  <si>
    <t>300:58638</t>
  </si>
  <si>
    <t>204:731</t>
  </si>
  <si>
    <t>803-09</t>
  </si>
  <si>
    <t>204:1121</t>
  </si>
  <si>
    <t>804-09</t>
  </si>
  <si>
    <t>204:859</t>
  </si>
  <si>
    <t>805-09</t>
  </si>
  <si>
    <t>204:1020</t>
  </si>
  <si>
    <t>806-09</t>
  </si>
  <si>
    <t>300:58619</t>
  </si>
  <si>
    <t>204:726</t>
  </si>
  <si>
    <t>807-09</t>
  </si>
  <si>
    <t>204:1137</t>
  </si>
  <si>
    <t>300:58939</t>
  </si>
  <si>
    <t>808-09</t>
  </si>
  <si>
    <t>300:58621</t>
  </si>
  <si>
    <t>809-09</t>
  </si>
  <si>
    <t>300:58920</t>
  </si>
  <si>
    <t>810-09</t>
  </si>
  <si>
    <t>300:58598</t>
  </si>
  <si>
    <t>204:727</t>
  </si>
  <si>
    <t>811-09</t>
  </si>
  <si>
    <t>204:1076</t>
  </si>
  <si>
    <t>300:58728</t>
  </si>
  <si>
    <t>812-09</t>
  </si>
  <si>
    <t>204:841</t>
  </si>
  <si>
    <t>813-09</t>
  </si>
  <si>
    <t>204:1133</t>
  </si>
  <si>
    <t>814-09</t>
  </si>
  <si>
    <t>204:806</t>
  </si>
  <si>
    <t>815-09</t>
  </si>
  <si>
    <t>204:1107</t>
  </si>
  <si>
    <t>816-09</t>
  </si>
  <si>
    <t>204:878</t>
  </si>
  <si>
    <t>817-09</t>
  </si>
  <si>
    <t>204:1175</t>
  </si>
  <si>
    <t>300:58935</t>
  </si>
  <si>
    <t>818-09</t>
  </si>
  <si>
    <t>819-09</t>
  </si>
  <si>
    <t>204:1072</t>
  </si>
  <si>
    <t>300:58929</t>
  </si>
  <si>
    <t>820-09</t>
  </si>
  <si>
    <t>300:58624</t>
  </si>
  <si>
    <t>204:764</t>
  </si>
  <si>
    <t>821-09</t>
  </si>
  <si>
    <t>204:1077</t>
  </si>
  <si>
    <t>822-09</t>
  </si>
  <si>
    <t>300:4963</t>
  </si>
  <si>
    <t>823-09</t>
  </si>
  <si>
    <t>204:943</t>
  </si>
  <si>
    <t>204:1648</t>
  </si>
  <si>
    <t>824-09</t>
  </si>
  <si>
    <t>204:666</t>
  </si>
  <si>
    <t>825-09</t>
  </si>
  <si>
    <t>204:964</t>
  </si>
  <si>
    <t>300:58928</t>
  </si>
  <si>
    <t>826-09</t>
  </si>
  <si>
    <t>204:670</t>
  </si>
  <si>
    <t>827-09</t>
  </si>
  <si>
    <t>204:1027</t>
  </si>
  <si>
    <t>828-09</t>
  </si>
  <si>
    <t>300:58649</t>
  </si>
  <si>
    <t>204:757</t>
  </si>
  <si>
    <t>829-09</t>
  </si>
  <si>
    <t>204:957</t>
  </si>
  <si>
    <t>830-09</t>
  </si>
  <si>
    <t>300:58613</t>
  </si>
  <si>
    <t>831-09</t>
  </si>
  <si>
    <t>204:1053</t>
  </si>
  <si>
    <t>832-09</t>
  </si>
  <si>
    <t>300:58608</t>
  </si>
  <si>
    <t>204:762</t>
  </si>
  <si>
    <t>833-09</t>
  </si>
  <si>
    <t>834-09</t>
  </si>
  <si>
    <t>300:58611</t>
  </si>
  <si>
    <t>204:661</t>
  </si>
  <si>
    <t>835-09</t>
  </si>
  <si>
    <t>204:1046</t>
  </si>
  <si>
    <t>300:58922</t>
  </si>
  <si>
    <t>836-09</t>
  </si>
  <si>
    <t>300:58606</t>
  </si>
  <si>
    <t>837-09</t>
  </si>
  <si>
    <t>204:962</t>
  </si>
  <si>
    <t>838-09</t>
  </si>
  <si>
    <t>204:668</t>
  </si>
  <si>
    <t>839-09</t>
  </si>
  <si>
    <t>300:58931</t>
  </si>
  <si>
    <t>840-09</t>
  </si>
  <si>
    <t>841-09</t>
  </si>
  <si>
    <t>204:958</t>
  </si>
  <si>
    <t>842-09</t>
  </si>
  <si>
    <t>204:678</t>
  </si>
  <si>
    <t>843-09</t>
  </si>
  <si>
    <t>844-09</t>
  </si>
  <si>
    <t>300:58634</t>
  </si>
  <si>
    <t>204:675</t>
  </si>
  <si>
    <t>845-09</t>
  </si>
  <si>
    <t>300:58950</t>
  </si>
  <si>
    <t>847-09</t>
  </si>
  <si>
    <t>204:981</t>
  </si>
  <si>
    <t>300:58956</t>
  </si>
  <si>
    <t>903-09</t>
  </si>
  <si>
    <t>204:1021</t>
  </si>
  <si>
    <t>300:24250</t>
  </si>
  <si>
    <t>906-09</t>
  </si>
  <si>
    <t>300:28767</t>
  </si>
  <si>
    <t>908-09</t>
  </si>
  <si>
    <t>300:58653</t>
  </si>
  <si>
    <t>300:21587</t>
  </si>
  <si>
    <t>SWITCH UNKNOWN</t>
  </si>
  <si>
    <t>Track device (7)</t>
  </si>
  <si>
    <t>DAVIS</t>
  </si>
  <si>
    <t>RICHARDSON</t>
  </si>
  <si>
    <t>HILLS</t>
  </si>
  <si>
    <t>STEWART</t>
  </si>
  <si>
    <t>CLARK</t>
  </si>
  <si>
    <t>ISHMAEL</t>
  </si>
  <si>
    <t>202-09</t>
  </si>
  <si>
    <t>CHANDLER</t>
  </si>
  <si>
    <t>243-09</t>
  </si>
  <si>
    <t>240-09</t>
  </si>
  <si>
    <t>242-09</t>
  </si>
  <si>
    <t>Summary for DUS 2016-09-09: Partly cloudy in the evening.</t>
  </si>
  <si>
    <t>Onboard in route failure</t>
  </si>
  <si>
    <t>DUS 2N "stuck" at STOP…</t>
  </si>
  <si>
    <t>Departure test performed at DUS… but no init attempt until 38th… mechanical issue?</t>
  </si>
  <si>
    <t>Main 3 departure</t>
  </si>
  <si>
    <t>DUS 22S "stuck" at STOP…</t>
  </si>
  <si>
    <t>DUS 28S "stuck" at STOP…</t>
  </si>
  <si>
    <t>DUS 28N "stuck" at STOP…</t>
  </si>
  <si>
    <t>Poor GPS signal under I-25 bridge</t>
  </si>
  <si>
    <t>"Consist Update" Issue</t>
  </si>
  <si>
    <t>219-09</t>
  </si>
  <si>
    <t>244-09</t>
  </si>
  <si>
    <t>245-09</t>
  </si>
  <si>
    <t>246-09</t>
  </si>
  <si>
    <t>Power outage at OCC. BOS was offline 2016-09-10 00:55:42 - 04:29:41.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</si>
</sst>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2" borderId="13" xfId="0" applyNumberFormat="1" applyFill="1" applyBorder="1" applyAlignment="1"/>
    <xf numFmtId="169" fontId="0" fillId="0" borderId="0" xfId="0" applyAlignment="1"/>
    <xf numFmtId="169" fontId="0" fillId="0" borderId="15" xfId="0" applyBorder="1" applyAlignment="1">
      <alignment horizontal="left" vertical="center"/>
    </xf>
    <xf numFmtId="169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169" fontId="0" fillId="0" borderId="0" xfId="0" applyNumberFormat="1" applyAlignment="1"/>
    <xf numFmtId="169" fontId="1" fillId="0" borderId="0" xfId="0" applyNumberFormat="1" applyFont="1" applyAlignment="1"/>
    <xf numFmtId="169" fontId="1" fillId="0" borderId="0" xfId="0" applyNumberFormat="1" applyFont="1" applyAlignment="1"/>
    <xf numFmtId="169" fontId="0" fillId="0" borderId="0" xfId="0" applyNumberFormat="1"/>
    <xf numFmtId="22" fontId="0" fillId="0" borderId="0" xfId="0" applyNumberFormat="1" applyAlignment="1"/>
    <xf numFmtId="169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zoomScaleNormal="100" workbookViewId="0">
      <selection activeCell="U15" sqref="U15"/>
    </sheetView>
  </sheetViews>
  <sheetFormatPr defaultRowHeight="15" x14ac:dyDescent="0.25"/>
  <cols>
    <col min="1" max="1" width="8" style="40" customWidth="1"/>
    <col min="2" max="2" width="6.140625" style="42" customWidth="1"/>
    <col min="3" max="3" width="13.5703125" style="29" hidden="1" customWidth="1"/>
    <col min="4" max="4" width="16.140625" style="29" hidden="1" customWidth="1"/>
    <col min="5" max="5" width="19.5703125" style="39" hidden="1" customWidth="1"/>
    <col min="6" max="6" width="18.28515625" style="39" customWidth="1"/>
    <col min="7" max="7" width="4.85546875" style="42" hidden="1" customWidth="1"/>
    <col min="8" max="8" width="22.140625" style="39" hidden="1" customWidth="1"/>
    <col min="9" max="9" width="18.5703125" style="39" customWidth="1"/>
    <col min="10" max="10" width="7.28515625" style="42" customWidth="1"/>
    <col min="11" max="11" width="10.42578125" style="29" customWidth="1"/>
    <col min="12" max="12" width="13.28515625" style="29" customWidth="1"/>
    <col min="13" max="13" width="9.5703125" style="41" customWidth="1"/>
    <col min="14" max="14" width="3.7109375" style="42" customWidth="1"/>
    <col min="15" max="15" width="3.5703125" style="2" customWidth="1"/>
    <col min="16" max="16" width="4" style="2" customWidth="1"/>
    <col min="17" max="17" width="5.85546875" hidden="1" customWidth="1"/>
    <col min="18" max="18" width="29" customWidth="1"/>
    <col min="19" max="19" width="7.7109375" style="22" customWidth="1"/>
    <col min="20" max="20" width="3.85546875" style="160" customWidth="1"/>
    <col min="21" max="21" width="5" style="160" customWidth="1"/>
    <col min="22" max="22" width="5.7109375" style="180" customWidth="1"/>
    <col min="23" max="23" width="3.85546875" style="173" customWidth="1"/>
    <col min="24" max="24" width="5.28515625" style="173" customWidth="1"/>
    <col min="25" max="25" width="9.140625" style="64"/>
    <col min="26" max="26" width="7.28515625" style="64" customWidth="1"/>
    <col min="27" max="27" width="9.140625" style="64"/>
    <col min="28" max="28" width="10.7109375" style="61" hidden="1" customWidth="1"/>
    <col min="29" max="29" width="9.42578125" style="55" hidden="1" customWidth="1"/>
    <col min="30" max="30" width="7.85546875" style="56" customWidth="1"/>
    <col min="31" max="31" width="4.5703125" style="94" customWidth="1"/>
    <col min="32" max="32" width="6.28515625" style="91" customWidth="1"/>
    <col min="33" max="33" width="5.42578125" customWidth="1"/>
    <col min="34" max="34" width="5" style="97" customWidth="1"/>
    <col min="35" max="35" width="5.7109375" style="121" customWidth="1"/>
    <col min="36" max="36" width="9.85546875" customWidth="1"/>
    <col min="37" max="37" width="7.7109375" customWidth="1"/>
    <col min="38" max="38" width="7.85546875" customWidth="1"/>
  </cols>
  <sheetData>
    <row r="1" spans="1:91" s="22" customFormat="1" ht="15.75" thickBot="1" x14ac:dyDescent="0.3">
      <c r="A1" s="40"/>
      <c r="B1" s="42"/>
      <c r="C1" s="29"/>
      <c r="D1" s="29"/>
      <c r="E1" s="39"/>
      <c r="F1" s="39"/>
      <c r="G1" s="42"/>
      <c r="H1" s="39"/>
      <c r="I1" s="39" t="s">
        <v>117</v>
      </c>
      <c r="J1" s="42"/>
      <c r="K1" s="29"/>
      <c r="L1" s="29"/>
      <c r="M1" s="41"/>
      <c r="N1" s="42"/>
      <c r="O1" s="2"/>
      <c r="P1" s="2"/>
      <c r="R1" s="39" t="s">
        <v>118</v>
      </c>
      <c r="S1" s="42"/>
      <c r="T1" s="158"/>
      <c r="U1" s="158"/>
      <c r="V1" s="159"/>
      <c r="W1" s="158"/>
      <c r="X1" s="160"/>
      <c r="Y1" s="64"/>
      <c r="Z1" s="64"/>
      <c r="AA1" s="64"/>
      <c r="AB1" s="61"/>
      <c r="AC1" s="55"/>
      <c r="AD1" s="56"/>
      <c r="AE1" s="1"/>
      <c r="AF1" s="1"/>
      <c r="AG1" s="1"/>
      <c r="AH1" s="53"/>
      <c r="AI1" s="1"/>
    </row>
    <row r="2" spans="1:91" s="22" customFormat="1" ht="15.75" thickBot="1" x14ac:dyDescent="0.3">
      <c r="A2" s="40"/>
      <c r="B2" s="42"/>
      <c r="C2" s="29"/>
      <c r="D2" s="29"/>
      <c r="E2" s="39"/>
      <c r="F2" s="39"/>
      <c r="G2" s="42"/>
      <c r="H2" s="39"/>
      <c r="I2" s="75">
        <f>Variables!$A$2</f>
        <v>42622</v>
      </c>
      <c r="J2" s="76"/>
      <c r="K2" s="77"/>
      <c r="L2" s="77"/>
      <c r="M2" s="78" t="s">
        <v>8</v>
      </c>
      <c r="N2" s="79"/>
      <c r="O2" s="80"/>
      <c r="P2" s="2"/>
      <c r="R2" s="75">
        <f>Variables!$A$2</f>
        <v>42622</v>
      </c>
      <c r="S2" s="76"/>
      <c r="T2" s="161"/>
      <c r="U2" s="161"/>
      <c r="V2" s="162" t="s">
        <v>8</v>
      </c>
      <c r="W2" s="163"/>
      <c r="X2" s="164"/>
      <c r="Y2" s="64"/>
      <c r="Z2" s="64"/>
      <c r="AA2" s="64"/>
      <c r="AB2" s="61"/>
      <c r="AC2" s="55"/>
      <c r="AD2" s="56"/>
      <c r="AE2" s="1"/>
      <c r="AF2" s="1"/>
      <c r="AG2" s="1"/>
      <c r="AH2" s="53"/>
      <c r="AI2" s="1"/>
    </row>
    <row r="3" spans="1:91" s="22" customFormat="1" ht="15.75" thickBot="1" x14ac:dyDescent="0.3">
      <c r="A3" s="40"/>
      <c r="B3" s="42"/>
      <c r="C3" s="29"/>
      <c r="D3" s="29"/>
      <c r="E3" s="39"/>
      <c r="F3" s="39"/>
      <c r="G3" s="42"/>
      <c r="H3" s="39"/>
      <c r="I3" s="81" t="s">
        <v>10</v>
      </c>
      <c r="J3" s="82"/>
      <c r="K3" s="83"/>
      <c r="L3" s="83"/>
      <c r="M3" s="43" t="s">
        <v>11</v>
      </c>
      <c r="N3" s="44" t="s">
        <v>12</v>
      </c>
      <c r="O3" s="3" t="s">
        <v>13</v>
      </c>
      <c r="P3" s="2"/>
      <c r="R3" s="81" t="s">
        <v>10</v>
      </c>
      <c r="S3" s="82"/>
      <c r="T3" s="165"/>
      <c r="U3" s="165"/>
      <c r="V3" s="166" t="s">
        <v>11</v>
      </c>
      <c r="W3" s="167" t="s">
        <v>12</v>
      </c>
      <c r="X3" s="168" t="s">
        <v>13</v>
      </c>
      <c r="Y3" s="64"/>
      <c r="Z3" s="64"/>
      <c r="AA3" s="64"/>
      <c r="AB3" s="61"/>
      <c r="AC3" s="55"/>
      <c r="AD3" s="56"/>
      <c r="AE3" s="1"/>
      <c r="AF3" s="1"/>
      <c r="AG3" s="1"/>
      <c r="AH3" s="53"/>
      <c r="AI3" s="1"/>
    </row>
    <row r="4" spans="1:91" s="22" customFormat="1" ht="15.75" thickBot="1" x14ac:dyDescent="0.3">
      <c r="A4" s="40"/>
      <c r="B4" s="42"/>
      <c r="C4" s="29"/>
      <c r="D4" s="29"/>
      <c r="E4" s="39"/>
      <c r="F4" s="39"/>
      <c r="G4" s="42"/>
      <c r="H4" s="39"/>
      <c r="I4" s="84" t="s">
        <v>14</v>
      </c>
      <c r="J4" s="54">
        <f>SUM(J5:J7)</f>
        <v>146</v>
      </c>
      <c r="K4" s="45"/>
      <c r="L4" s="45"/>
      <c r="M4" s="46" t="s">
        <v>15</v>
      </c>
      <c r="N4" s="44" t="s">
        <v>15</v>
      </c>
      <c r="O4" s="3" t="s">
        <v>15</v>
      </c>
      <c r="P4" s="2"/>
      <c r="R4" s="84" t="s">
        <v>14</v>
      </c>
      <c r="S4" s="54">
        <f>SUM(S5:S7)</f>
        <v>47</v>
      </c>
      <c r="T4" s="169"/>
      <c r="U4" s="169"/>
      <c r="V4" s="166" t="s">
        <v>15</v>
      </c>
      <c r="W4" s="167" t="s">
        <v>15</v>
      </c>
      <c r="X4" s="168" t="s">
        <v>15</v>
      </c>
      <c r="Y4" s="64"/>
      <c r="Z4" s="64"/>
      <c r="AA4" s="64"/>
      <c r="AB4" s="61"/>
      <c r="AC4" s="55"/>
      <c r="AD4" s="56"/>
      <c r="AE4" s="1"/>
      <c r="AF4" s="1"/>
      <c r="AG4" s="1"/>
      <c r="AH4" s="53"/>
      <c r="AI4" s="1"/>
    </row>
    <row r="5" spans="1:91" s="22" customFormat="1" ht="15.75" thickBot="1" x14ac:dyDescent="0.3">
      <c r="A5" s="40"/>
      <c r="B5" s="42"/>
      <c r="C5" s="29"/>
      <c r="D5" s="29"/>
      <c r="E5" s="39"/>
      <c r="F5" s="39"/>
      <c r="G5" s="42"/>
      <c r="H5" s="39"/>
      <c r="I5" s="84" t="s">
        <v>17</v>
      </c>
      <c r="J5" s="54">
        <f>COUNTIFS($N$13:$N$9394,"&gt;0",$AG$13:$AG$9394,I1)</f>
        <v>129</v>
      </c>
      <c r="K5" s="45"/>
      <c r="L5" s="45"/>
      <c r="M5" s="46">
        <f>AVERAGEIFS($N$13:$N$9394,$AG$13:$AG$9394,I1)</f>
        <v>39.018863049135433</v>
      </c>
      <c r="N5" s="44">
        <f t="array" ref="N5">MIN(IF($AG$13:$AG$9394=I1,IF(ISNUMBER($N$13:$N$9394),IF($N$13:$N$9394&gt;0,$N$13:$N$9394))))</f>
        <v>34.883333336329088</v>
      </c>
      <c r="O5" s="3">
        <f t="array" ref="O5">MAX(IF($AG$13:$AG$9394=I1,IF(ISNUMBER($N$13:$N$9394),IF($N$13:$N$9394&gt;0,$N$13:$N$9394))))</f>
        <v>46.516666664974764</v>
      </c>
      <c r="P5" s="2"/>
      <c r="R5" s="84" t="s">
        <v>17</v>
      </c>
      <c r="S5" s="54">
        <f>COUNTIFS($N$13:$N$9394,"&gt;0",$AG$13:$AG$9394,R1)</f>
        <v>45</v>
      </c>
      <c r="T5" s="169"/>
      <c r="U5" s="169"/>
      <c r="V5" s="166">
        <f>AVERAGEIFS($N$13:$N$9394,$AG$13:$AG$9394,R1)</f>
        <v>15.131851851940155</v>
      </c>
      <c r="W5" s="167">
        <f t="array" ref="W5">MIN(IF($AG$13:$AG$9394=R1,IF(ISNUMBER($N$13:$N$9394),IF($N$13:$N$9394&gt;0,$N$13:$N$9394))))</f>
        <v>12.816666666185483</v>
      </c>
      <c r="X5" s="168">
        <f t="array" ref="X5">MAX(IF($AG$13:$AG$9394=R1,IF(ISNUMBER($N$13:$N$9394),IF($N$13:$N$9394&gt;0,$N$13:$N$9394))))</f>
        <v>18.383333334932104</v>
      </c>
      <c r="Y5" s="64"/>
      <c r="Z5" s="64"/>
      <c r="AA5" s="64"/>
      <c r="AB5" s="61"/>
      <c r="AC5" s="55"/>
      <c r="AD5" s="56"/>
      <c r="AE5" s="1"/>
      <c r="AF5" s="1"/>
      <c r="AG5" s="1"/>
      <c r="AH5" s="53"/>
      <c r="AI5" s="1"/>
    </row>
    <row r="6" spans="1:91" s="22" customFormat="1" ht="15.75" thickBot="1" x14ac:dyDescent="0.3">
      <c r="A6" s="40"/>
      <c r="B6" s="42"/>
      <c r="C6" s="29"/>
      <c r="D6" s="29"/>
      <c r="E6" s="39"/>
      <c r="F6" s="39"/>
      <c r="G6" s="42"/>
      <c r="H6" s="39"/>
      <c r="I6" s="85" t="s">
        <v>43</v>
      </c>
      <c r="J6" s="54">
        <f>COUNT($O$13:$O$155)</f>
        <v>0</v>
      </c>
      <c r="K6" s="45"/>
      <c r="L6" s="45"/>
      <c r="M6" s="46">
        <f>IFERROR(AVERAGE($O$13:$O$155),0)</f>
        <v>0</v>
      </c>
      <c r="N6" s="44">
        <f>MIN($O$13:$O$155)</f>
        <v>0</v>
      </c>
      <c r="O6" s="3">
        <f>MAX($O$13:$O$155)</f>
        <v>0</v>
      </c>
      <c r="P6" s="2"/>
      <c r="R6" s="85" t="s">
        <v>43</v>
      </c>
      <c r="S6" s="54">
        <f>COUNT($O$13:$O$155)</f>
        <v>0</v>
      </c>
      <c r="T6" s="169"/>
      <c r="U6" s="169"/>
      <c r="V6" s="166">
        <f>IFERROR(AVERAGE($O$13:$O$155),0)</f>
        <v>0</v>
      </c>
      <c r="W6" s="167">
        <f>MIN($O$13:$O$155)</f>
        <v>0</v>
      </c>
      <c r="X6" s="168">
        <f>MAX($O$13:$O$155)</f>
        <v>0</v>
      </c>
      <c r="Y6" s="64"/>
      <c r="Z6" s="64"/>
      <c r="AA6" s="64"/>
      <c r="AB6" s="61"/>
      <c r="AC6" s="55"/>
      <c r="AD6" s="56"/>
      <c r="AE6" s="1"/>
      <c r="AF6" s="1"/>
      <c r="AG6" s="1"/>
      <c r="AH6" s="53"/>
      <c r="AI6" s="1"/>
    </row>
    <row r="7" spans="1:91" s="22" customFormat="1" ht="15.75" thickBot="1" x14ac:dyDescent="0.3">
      <c r="A7" s="40"/>
      <c r="B7" s="42"/>
      <c r="C7" s="29"/>
      <c r="D7" s="29"/>
      <c r="E7" s="39"/>
      <c r="F7" s="39"/>
      <c r="G7" s="42"/>
      <c r="H7" s="39"/>
      <c r="I7" s="86" t="s">
        <v>9</v>
      </c>
      <c r="J7" s="54">
        <f>COUNTIFS($P$13:$P$9394,"&gt;0",$AG$13:$AG$9394,I1)</f>
        <v>17</v>
      </c>
      <c r="K7" s="45"/>
      <c r="L7" s="45"/>
      <c r="M7" s="44" t="s">
        <v>15</v>
      </c>
      <c r="N7" s="44" t="s">
        <v>15</v>
      </c>
      <c r="O7" s="3" t="s">
        <v>15</v>
      </c>
      <c r="P7" s="2"/>
      <c r="R7" s="86" t="s">
        <v>9</v>
      </c>
      <c r="S7" s="54">
        <f>COUNTIFS($P$13:$P$9394,"&gt;0",$AG$13:$AG$9394,R1)</f>
        <v>2</v>
      </c>
      <c r="T7" s="169"/>
      <c r="U7" s="169"/>
      <c r="V7" s="166" t="s">
        <v>15</v>
      </c>
      <c r="W7" s="167" t="s">
        <v>15</v>
      </c>
      <c r="X7" s="168" t="s">
        <v>15</v>
      </c>
      <c r="Y7" s="64"/>
      <c r="Z7" s="64"/>
      <c r="AA7" s="64"/>
      <c r="AB7" s="61"/>
      <c r="AC7" s="55"/>
      <c r="AD7" s="56"/>
      <c r="AE7" s="1"/>
      <c r="AF7" s="1"/>
      <c r="AG7" s="1"/>
      <c r="AH7" s="53"/>
      <c r="AI7" s="1"/>
    </row>
    <row r="8" spans="1:91" s="22" customFormat="1" ht="15.75" thickBot="1" x14ac:dyDescent="0.3">
      <c r="A8" s="40"/>
      <c r="B8" s="42"/>
      <c r="C8" s="29"/>
      <c r="D8" s="29"/>
      <c r="E8" s="39"/>
      <c r="F8" s="39"/>
      <c r="G8" s="42"/>
      <c r="H8" s="39"/>
      <c r="I8" s="84" t="s">
        <v>16</v>
      </c>
      <c r="J8" s="54">
        <f>J5</f>
        <v>129</v>
      </c>
      <c r="K8" s="45"/>
      <c r="L8" s="45"/>
      <c r="M8" s="46">
        <f>M5</f>
        <v>39.018863049135433</v>
      </c>
      <c r="N8" s="44">
        <f>N5</f>
        <v>34.883333336329088</v>
      </c>
      <c r="O8" s="3">
        <f>O5</f>
        <v>46.516666664974764</v>
      </c>
      <c r="P8" s="2"/>
      <c r="R8" s="84" t="s">
        <v>16</v>
      </c>
      <c r="S8" s="54">
        <f>S5</f>
        <v>45</v>
      </c>
      <c r="T8" s="169"/>
      <c r="U8" s="169"/>
      <c r="V8" s="166">
        <f>V5</f>
        <v>15.131851851940155</v>
      </c>
      <c r="W8" s="167">
        <f>W5</f>
        <v>12.816666666185483</v>
      </c>
      <c r="X8" s="168">
        <f>X5</f>
        <v>18.383333334932104</v>
      </c>
      <c r="Y8" s="64"/>
      <c r="Z8" s="64"/>
      <c r="AA8" s="64"/>
      <c r="AB8" s="61"/>
      <c r="AC8" s="55"/>
      <c r="AD8" s="56"/>
      <c r="AE8" s="1"/>
      <c r="AF8" s="1"/>
      <c r="AG8" s="1"/>
      <c r="AH8" s="53"/>
      <c r="AI8" s="1"/>
    </row>
    <row r="9" spans="1:91" s="22" customFormat="1" ht="15.75" thickBot="1" x14ac:dyDescent="0.3">
      <c r="A9" s="40"/>
      <c r="B9" s="42"/>
      <c r="C9" s="29"/>
      <c r="D9" s="29"/>
      <c r="E9" s="39"/>
      <c r="F9" s="39"/>
      <c r="G9" s="42"/>
      <c r="H9" s="39"/>
      <c r="I9" s="84" t="s">
        <v>19</v>
      </c>
      <c r="J9" s="68">
        <f>J8/J4</f>
        <v>0.88356164383561642</v>
      </c>
      <c r="K9" s="47"/>
      <c r="L9" s="47"/>
      <c r="M9" s="87"/>
      <c r="N9" s="42"/>
      <c r="O9" s="88"/>
      <c r="P9" s="2"/>
      <c r="R9" s="84" t="s">
        <v>19</v>
      </c>
      <c r="S9" s="68">
        <f>S8/S4</f>
        <v>0.95744680851063835</v>
      </c>
      <c r="T9" s="158"/>
      <c r="U9" s="158"/>
      <c r="V9" s="170"/>
      <c r="W9" s="158"/>
      <c r="X9" s="171"/>
      <c r="Y9" s="64"/>
      <c r="Z9" s="64"/>
      <c r="AA9" s="64"/>
      <c r="AB9" s="61"/>
      <c r="AC9" s="55"/>
      <c r="AD9" s="56"/>
      <c r="AE9" s="1"/>
      <c r="AF9" s="1"/>
      <c r="AG9" s="1"/>
      <c r="AH9" s="53"/>
      <c r="AI9" s="1"/>
    </row>
    <row r="10" spans="1:91" s="22" customFormat="1" x14ac:dyDescent="0.25">
      <c r="A10" s="40"/>
      <c r="B10" s="42"/>
      <c r="C10" s="29"/>
      <c r="D10" s="29"/>
      <c r="E10" s="39"/>
      <c r="F10" s="39"/>
      <c r="G10" s="42"/>
      <c r="H10" s="39"/>
      <c r="I10" s="39"/>
      <c r="J10" s="42"/>
      <c r="K10" s="29"/>
      <c r="L10" s="29"/>
      <c r="M10" s="41"/>
      <c r="N10" s="42"/>
      <c r="O10" s="2"/>
      <c r="P10" s="2"/>
      <c r="T10" s="160"/>
      <c r="U10" s="160"/>
      <c r="V10" s="172"/>
      <c r="W10" s="173"/>
      <c r="X10" s="173"/>
      <c r="Y10" s="64"/>
      <c r="Z10" s="64"/>
      <c r="AA10" s="64"/>
      <c r="AB10" s="61"/>
      <c r="AC10" s="55"/>
      <c r="AD10" s="56"/>
      <c r="AE10" s="1"/>
      <c r="AF10" s="1"/>
      <c r="AG10" s="1"/>
      <c r="AH10" s="53"/>
      <c r="AI10" s="1"/>
    </row>
    <row r="11" spans="1:91" ht="16.5" thickBot="1" x14ac:dyDescent="0.3">
      <c r="A11" s="156" t="str">
        <f>"Eagle P3 System Performance - "&amp;TEXT(Variables!A2,"yyyy-mm-dd")</f>
        <v>Eagle P3 System Performance - 2016-09-09</v>
      </c>
      <c r="B11" s="156"/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S11" s="69">
        <f>AVERAGE(S13:S103)</f>
        <v>0.98888888888888893</v>
      </c>
      <c r="V11" s="172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0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174" t="s">
        <v>70</v>
      </c>
      <c r="U12" s="174" t="s">
        <v>71</v>
      </c>
      <c r="V12" s="175" t="s">
        <v>45</v>
      </c>
      <c r="W12" s="176" t="s">
        <v>23</v>
      </c>
      <c r="X12" s="176" t="s">
        <v>48</v>
      </c>
      <c r="Y12" s="65" t="s">
        <v>20</v>
      </c>
      <c r="Z12" s="65" t="s">
        <v>21</v>
      </c>
      <c r="AA12" s="65" t="s">
        <v>22</v>
      </c>
      <c r="AB12" s="62" t="s">
        <v>39</v>
      </c>
      <c r="AC12" s="58" t="s">
        <v>40</v>
      </c>
      <c r="AD12" s="57" t="s">
        <v>90</v>
      </c>
      <c r="AE12" s="95" t="s">
        <v>97</v>
      </c>
      <c r="AF12" s="92" t="s">
        <v>102</v>
      </c>
      <c r="AG12" s="4" t="s">
        <v>119</v>
      </c>
      <c r="AH12" s="98" t="s">
        <v>121</v>
      </c>
      <c r="AI12" s="128" t="s">
        <v>167</v>
      </c>
      <c r="AJ12" s="52" t="s">
        <v>168</v>
      </c>
      <c r="AK12" s="52" t="s">
        <v>140</v>
      </c>
      <c r="AL12" s="52" t="s">
        <v>169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8" t="s">
        <v>381</v>
      </c>
      <c r="B13" s="7">
        <v>4018</v>
      </c>
      <c r="C13" s="23" t="s">
        <v>108</v>
      </c>
      <c r="D13" s="23" t="s">
        <v>382</v>
      </c>
      <c r="E13" s="15">
        <v>42622.150856481479</v>
      </c>
      <c r="F13" s="15">
        <v>42622.151875000003</v>
      </c>
      <c r="G13" s="7">
        <v>1</v>
      </c>
      <c r="H13" s="15" t="s">
        <v>383</v>
      </c>
      <c r="I13" s="15">
        <v>42622.167696759258</v>
      </c>
      <c r="J13" s="7">
        <v>1</v>
      </c>
      <c r="K13" s="114" t="str">
        <f t="shared" ref="K13:K44" si="0">IF(ISEVEN(B13),(B13-1)&amp;"/"&amp;B13,B13&amp;"/"&amp;(B13+1))</f>
        <v>4017/4018</v>
      </c>
      <c r="L13" s="23" t="str">
        <f>VLOOKUP(A13,'Trips&amp;Operators'!$C$1:$E$10000,3,FALSE)</f>
        <v>MAELZER</v>
      </c>
      <c r="M13" s="6">
        <f t="shared" ref="M13:M44" si="1">I13-F13</f>
        <v>1.5821759254322387E-2</v>
      </c>
      <c r="N13" s="7"/>
      <c r="O13" s="7"/>
      <c r="P13" s="7">
        <f>24*60*SUM($M13:$M13)</f>
        <v>22.783333326224238</v>
      </c>
      <c r="Q13" s="24"/>
      <c r="R13" s="24" t="s">
        <v>743</v>
      </c>
      <c r="S13" s="36">
        <f t="shared" ref="S13:S53" si="2">SUM(U13:U13)/IF(AG13="EC",12,1)</f>
        <v>0.25</v>
      </c>
      <c r="T13" s="177" t="str">
        <f t="shared" ref="T13:T44" si="3">IF(ISEVEN(LEFT(AD13,4)),"Southbound","NorthBound")</f>
        <v>NorthBound</v>
      </c>
      <c r="U13" s="17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3</v>
      </c>
      <c r="V13" s="178" t="str">
        <f t="shared" ref="V13:V44" si="4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https://search-rtdc-monitor-bjffxe2xuh6vdkpspy63sjmuny.us-east-1.es.amazonaws.com/_plugin/kibana/#/discover/Steve-Slow-Train-Analysis-(2080s-and-2083s)?_g=(refreshInterval:(display:Off,section:0,value:0),time:(from:'2016-09-09 02:37:14-0600',mode:absolute,to:'2016-09-09 05:01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" s="179" t="str">
        <f t="shared" ref="W13:W44" si="5">IF(AA13&lt;IF(AG13="EC",23,5.65),"Y","N")</f>
        <v>Y</v>
      </c>
      <c r="X13" s="179" t="e">
        <f>VALUE(LEFT(AD13,4))-VALUE(LEFT(AD12,4))</f>
        <v>#VALUE!</v>
      </c>
      <c r="Y13" s="66">
        <f t="shared" ref="Y13:Y44" si="6">RIGHT(D13,LEN(D13)-4)/10000</f>
        <v>6.4829999999999997</v>
      </c>
      <c r="Z13" s="66">
        <f t="shared" ref="Z13:Z44" si="7">RIGHT(H13,LEN(H13)-4)/10000</f>
        <v>23.327400000000001</v>
      </c>
      <c r="AA13" s="66">
        <f t="shared" ref="AA13:AA44" si="8">ABS(Z13-Y13)</f>
        <v>16.8444</v>
      </c>
      <c r="AB13" s="63" t="e">
        <f>VLOOKUP(A13,Enforcements!$C$7:$K$21,8,0)</f>
        <v>#N/A</v>
      </c>
      <c r="AC13" s="59" t="e">
        <f>VLOOKUP(A13,Enforcements!$C$7:$E$21,3,0)</f>
        <v>#N/A</v>
      </c>
      <c r="AD13" s="60" t="str">
        <f t="shared" ref="AD13:AD44" si="9">IF(LEN(A13)=6,"0"&amp;A13,A13)</f>
        <v>0101-09</v>
      </c>
      <c r="AE13" s="96" t="str">
        <f t="shared" ref="AE13:AE44" si="1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3" s="93" t="str">
        <f t="shared" ref="AF13:AF44" si="1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/stypes="*4018*20160909*" /stext=" 10:.+((SYSTEM_STATE.+slice.+state.+changed )|(ment ac)|(system.+state.+changed )|(\|lc)|(penalty)|(\[timeout)|(PRM\|1\|D)|(kpr)|(kdp))" /e /r /s</v>
      </c>
      <c r="AG13" s="1" t="str">
        <f t="shared" ref="AG13:AG44" si="12">IFERROR(IF(VALUE(LEFT(AD13,2))&lt;=2,"EC",IF(OR(VALUE(LEFT(AD13,2))=8,VALUE(LEFT(AD13,2))=18),"NW","Other")),"Other")</f>
        <v>EC</v>
      </c>
      <c r="AH13" s="97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4018 --swversion DE.1.0.7.0 --startMP 204:64830 --initTime 2016-09-09T03:37:14 --startdatetime 2016-09-09T03:38:42 --delay 1 --endMP 204:233274 --enddatetime 2016-09-09T04:01:29 --enforcementcount 1 &gt;&gt;C:\Users\stu\Documents\GitHub\eaglep3-reporting\EC\2016-09-09-refined-times.txt</v>
      </c>
      <c r="AI13" s="12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{"issue":{"subject":"DUS 2N "stuck" at STOP…","project_id":79,"tracker_id":40,"status_id":1,"priority_id":2,"assigned_to_id":23,"start_date":"2016-09-09","description":"","custom_fields":[{"id":1,"name":"Subdivision","value":"EC"},{"id":4,"name":"Milepost","value":"16.8444"},{"id":17,"name":"Train ID","value":"101-09"},{"id":16,"name":"Locomotive ID","value":"4018"},{"id":130,"name":"Impact","value":""},{"id":150,"name":"Time of Event (Mountain Time)","value":"04:01:29"},{"id":151,"name":"Denver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</row>
    <row r="14" spans="1:91" s="1" customFormat="1" x14ac:dyDescent="0.25">
      <c r="A14" s="38" t="s">
        <v>384</v>
      </c>
      <c r="B14" s="7">
        <v>4010</v>
      </c>
      <c r="C14" s="23" t="s">
        <v>108</v>
      </c>
      <c r="D14" s="23" t="s">
        <v>385</v>
      </c>
      <c r="E14" s="15">
        <v>42622.172349537039</v>
      </c>
      <c r="F14" s="15">
        <v>42622.174629629626</v>
      </c>
      <c r="G14" s="7">
        <v>1</v>
      </c>
      <c r="H14" s="15" t="s">
        <v>268</v>
      </c>
      <c r="I14" s="15">
        <v>42622.202499999999</v>
      </c>
      <c r="J14" s="7">
        <v>1</v>
      </c>
      <c r="K14" s="114" t="str">
        <f t="shared" si="0"/>
        <v>4009/4010</v>
      </c>
      <c r="L14" s="23" t="str">
        <f>VLOOKUP(A14,'Trips&amp;Operators'!$C$1:$E$10000,3,FALSE)</f>
        <v>MAELZER</v>
      </c>
      <c r="M14" s="6">
        <f t="shared" si="1"/>
        <v>2.7870370373420883E-2</v>
      </c>
      <c r="N14" s="7">
        <f t="shared" ref="N14:N44" si="15">24*60*SUM($M14:$M14)</f>
        <v>40.133333337726071</v>
      </c>
      <c r="O14" s="7"/>
      <c r="P14" s="7"/>
      <c r="Q14" s="24"/>
      <c r="R14" s="24"/>
      <c r="S14" s="36">
        <f t="shared" si="2"/>
        <v>1</v>
      </c>
      <c r="T14" s="51" t="str">
        <f t="shared" si="3"/>
        <v>Southbound</v>
      </c>
      <c r="U14" s="17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03:08:11-0600',mode:absolute,to:'2016-09-09 05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" s="179" t="str">
        <f t="shared" si="5"/>
        <v>N</v>
      </c>
      <c r="X14" s="179">
        <f t="shared" ref="X14:X18" si="16">VALUE(LEFT(AD14,4))-VALUE(LEFT(AD13,4))</f>
        <v>1</v>
      </c>
      <c r="Y14" s="66">
        <f t="shared" si="6"/>
        <v>23.264900000000001</v>
      </c>
      <c r="Z14" s="66">
        <f t="shared" si="7"/>
        <v>1.4500000000000001E-2</v>
      </c>
      <c r="AA14" s="66">
        <f t="shared" si="8"/>
        <v>23.250399999999999</v>
      </c>
      <c r="AB14" s="63" t="e">
        <f>VLOOKUP(A14,Enforcements!$C$7:$K$21,8,0)</f>
        <v>#N/A</v>
      </c>
      <c r="AC14" s="59" t="e">
        <f>VLOOKUP(A14,Enforcements!$C$7:$E$21,3,0)</f>
        <v>#N/A</v>
      </c>
      <c r="AD14" s="60" t="str">
        <f t="shared" si="9"/>
        <v>0102-09</v>
      </c>
      <c r="AE14" s="96" t="str">
        <f t="shared" si="10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14" s="93" t="str">
        <f t="shared" si="11"/>
        <v>"C:\Program Files (x86)\AstroGrep\AstroGrep.exe" /spath="%USERPROFILE%\AppData\Local\Temp\OnboardLogs" /stypes="*4010*20160909*" /stext=" 10:.+((SYSTEM_STATE.+slice.+state.+changed )|(ment ac)|(system.+state.+changed )|(\|lc)|(penalty)|(\[timeout)|(PRM\|1\|D)|(kpr)|(kdp))" /e /r /s</v>
      </c>
      <c r="AG14" s="1" t="str">
        <f t="shared" si="12"/>
        <v>EC</v>
      </c>
      <c r="AH14" s="97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4010 --swversion DE.1.0.7.0 --startMP 204:232649 --initTime 2016-09-09T04:08:11 --startdatetime 2016-09-09T04:11:28 --delay 1 --endMP 204:145 --enddatetime 2016-09-09T04:51:36 --enforcementcount 1 &gt;&gt;C:\Users\stu\Documents\GitHub\eaglep3-reporting\EC\2016-09-09-refined-times.txt</v>
      </c>
      <c r="AI14" s="12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{"issue":{"subject":"","project_id":79,"tracker_id":40,"status_id":1,"priority_id":2,"assigned_to_id":23,"start_date":"2016-09-09","description":"","custom_fields":[{"id":1,"name":"Subdivision","value":"EC"},{"id":4,"name":"Milepost","value":"23.2504"},{"id":17,"name":"Train ID","value":"102-09"},{"id":16,"name":"Locomotive ID","value":"4010"},{"id":130,"name":"Impact","value":""},{"id":150,"name":"Time of Event (Mountain Time)","value":"04:51:36"},{"id":151,"name":"Denver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</row>
    <row r="15" spans="1:91" s="1" customFormat="1" x14ac:dyDescent="0.25">
      <c r="A15" s="38" t="s">
        <v>386</v>
      </c>
      <c r="B15" s="7">
        <v>4020</v>
      </c>
      <c r="C15" s="23" t="s">
        <v>108</v>
      </c>
      <c r="D15" s="23" t="s">
        <v>387</v>
      </c>
      <c r="E15" s="15">
        <v>42622.155740740738</v>
      </c>
      <c r="F15" s="15">
        <v>42622.157418981478</v>
      </c>
      <c r="G15" s="7">
        <v>1</v>
      </c>
      <c r="H15" s="15" t="s">
        <v>388</v>
      </c>
      <c r="I15" s="15">
        <v>42622.18346064815</v>
      </c>
      <c r="J15" s="7">
        <v>1</v>
      </c>
      <c r="K15" s="114" t="str">
        <f t="shared" si="0"/>
        <v>4019/4020</v>
      </c>
      <c r="L15" s="23" t="str">
        <f>VLOOKUP(A15,'Trips&amp;Operators'!$C$1:$E$10000,3,FALSE)</f>
        <v>DAVIS</v>
      </c>
      <c r="M15" s="6">
        <f t="shared" si="1"/>
        <v>2.6041666671517305E-2</v>
      </c>
      <c r="N15" s="7">
        <f t="shared" si="15"/>
        <v>37.500000006984919</v>
      </c>
      <c r="O15" s="7"/>
      <c r="P15" s="7"/>
      <c r="Q15" s="24"/>
      <c r="R15" s="24"/>
      <c r="S15" s="36">
        <f t="shared" si="2"/>
        <v>1</v>
      </c>
      <c r="T15" s="51" t="str">
        <f t="shared" si="3"/>
        <v>NorthBound</v>
      </c>
      <c r="U15" s="17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02:44:16-0600',mode:absolute,to:'2016-09-09 05:24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" s="179" t="str">
        <f t="shared" si="5"/>
        <v>N</v>
      </c>
      <c r="X15" s="179">
        <f t="shared" si="16"/>
        <v>1</v>
      </c>
      <c r="Y15" s="66">
        <f t="shared" si="6"/>
        <v>8.0500000000000002E-2</v>
      </c>
      <c r="Z15" s="66">
        <f t="shared" si="7"/>
        <v>23.333600000000001</v>
      </c>
      <c r="AA15" s="66">
        <f t="shared" si="8"/>
        <v>23.2531</v>
      </c>
      <c r="AB15" s="63" t="e">
        <f>VLOOKUP(A15,Enforcements!$C$7:$K$21,8,0)</f>
        <v>#N/A</v>
      </c>
      <c r="AC15" s="59" t="e">
        <f>VLOOKUP(A15,Enforcements!$C$7:$E$21,3,0)</f>
        <v>#N/A</v>
      </c>
      <c r="AD15" s="60" t="str">
        <f t="shared" si="9"/>
        <v>0103-09</v>
      </c>
      <c r="AE15" s="96" t="str">
        <f t="shared" si="10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5" s="93" t="str">
        <f t="shared" si="11"/>
        <v>"C:\Program Files (x86)\AstroGrep\AstroGrep.exe" /spath="%USERPROFILE%\AppData\Local\Temp\OnboardLogs" /stypes="*4020*20160909*" /stext=" 10:.+((SYSTEM_STATE.+slice.+state.+changed )|(ment ac)|(system.+state.+changed )|(\|lc)|(penalty)|(\[timeout)|(PRM\|1\|D)|(kpr)|(kdp))" /e /r /s</v>
      </c>
      <c r="AG15" s="1" t="str">
        <f t="shared" si="12"/>
        <v>EC</v>
      </c>
      <c r="AH15" s="97" t="str">
        <f t="shared" si="17"/>
        <v>"%USERPROFILE%\Documents\GitHub\eaglep3\Utilities\RefineRTDCRunTimes.py" --tripid 103-09 --locoid 4020 --swversion DE.1.0.7.0 --startMP 204:805 --initTime 2016-09-09T03:44:16 --startdatetime 2016-09-09T03:46:41 --delay 1 --endMP 204:233336 --enddatetime 2016-09-09T04:24:11 --enforcementcount 1 &gt;&gt;C:\Users\stu\Documents\GitHub\eaglep3-reporting\EC\2016-09-09-refined-times.txt</v>
      </c>
      <c r="AI1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{"issue":{"subject":"","project_id":79,"tracker_id":40,"status_id":1,"priority_id":2,"assigned_to_id":23,"start_date":"2016-09-09","description":"","custom_fields":[{"id":1,"name":"Subdivision","value":"EC"},{"id":4,"name":"Milepost","value":"23.2531"},{"id":17,"name":"Train ID","value":"103-09"},{"id":16,"name":"Locomotive ID","value":"4020"},{"id":130,"name":"Impact","value":""},{"id":150,"name":"Time of Event (Mountain Time)","value":"04:24:11"},{"id":151,"name":"Denver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</row>
    <row r="16" spans="1:91" s="1" customFormat="1" x14ac:dyDescent="0.25">
      <c r="A16" s="38" t="s">
        <v>389</v>
      </c>
      <c r="B16" s="7">
        <v>4012</v>
      </c>
      <c r="C16" s="23" t="s">
        <v>108</v>
      </c>
      <c r="D16" s="23" t="s">
        <v>390</v>
      </c>
      <c r="E16" s="15">
        <v>42622.194155092591</v>
      </c>
      <c r="F16" s="15">
        <v>42622.195428240739</v>
      </c>
      <c r="G16" s="7">
        <v>1</v>
      </c>
      <c r="H16" s="15" t="s">
        <v>275</v>
      </c>
      <c r="I16" s="15">
        <v>42622.224259259259</v>
      </c>
      <c r="J16" s="7">
        <v>1</v>
      </c>
      <c r="K16" s="114" t="str">
        <f t="shared" si="0"/>
        <v>4011/4012</v>
      </c>
      <c r="L16" s="23" t="str">
        <f>VLOOKUP(A16,'Trips&amp;Operators'!$C$1:$E$10000,3,FALSE)</f>
        <v>DAVIS</v>
      </c>
      <c r="M16" s="6">
        <f t="shared" si="1"/>
        <v>2.8831018520577345E-2</v>
      </c>
      <c r="N16" s="7">
        <f t="shared" si="15"/>
        <v>41.516666669631377</v>
      </c>
      <c r="O16" s="7"/>
      <c r="P16" s="7"/>
      <c r="Q16" s="24"/>
      <c r="R16" s="24"/>
      <c r="S16" s="36">
        <f t="shared" si="2"/>
        <v>1</v>
      </c>
      <c r="T16" s="51" t="str">
        <f t="shared" si="3"/>
        <v>Southbound</v>
      </c>
      <c r="U16" s="17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03:39:35-0600',mode:absolute,to:'2016-09-09 06:22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" s="179" t="str">
        <f t="shared" si="5"/>
        <v>N</v>
      </c>
      <c r="X16" s="179">
        <f t="shared" si="16"/>
        <v>1</v>
      </c>
      <c r="Y16" s="66">
        <f t="shared" si="6"/>
        <v>23.268999999999998</v>
      </c>
      <c r="Z16" s="66">
        <f t="shared" si="7"/>
        <v>1.34E-2</v>
      </c>
      <c r="AA16" s="66">
        <f t="shared" si="8"/>
        <v>23.255599999999998</v>
      </c>
      <c r="AB16" s="63" t="e">
        <f>VLOOKUP(A16,Enforcements!$C$7:$K$21,8,0)</f>
        <v>#N/A</v>
      </c>
      <c r="AC16" s="59" t="e">
        <f>VLOOKUP(A16,Enforcements!$C$7:$E$21,3,0)</f>
        <v>#N/A</v>
      </c>
      <c r="AD16" s="60" t="str">
        <f t="shared" si="9"/>
        <v>0104-09</v>
      </c>
      <c r="AE16" s="96" t="str">
        <f t="shared" si="10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16" s="93" t="str">
        <f t="shared" si="11"/>
        <v>"C:\Program Files (x86)\AstroGrep\AstroGrep.exe" /spath="%USERPROFILE%\AppData\Local\Temp\OnboardLogs" /stypes="*4012*20160909*" /stext=" 11:.+((SYSTEM_STATE.+slice.+state.+changed )|(ment ac)|(system.+state.+changed )|(\|lc)|(penalty)|(\[timeout)|(PRM\|1\|D)|(kpr)|(kdp))" /e /r /s</v>
      </c>
      <c r="AG16" s="1" t="str">
        <f t="shared" si="12"/>
        <v>EC</v>
      </c>
      <c r="AH16" s="97" t="str">
        <f t="shared" si="17"/>
        <v>"%USERPROFILE%\Documents\GitHub\eaglep3\Utilities\RefineRTDCRunTimes.py" --tripid 104-09 --locoid 4012 --swversion DE.1.0.7.0 --startMP 204:232690 --initTime 2016-09-09T04:39:35 --startdatetime 2016-09-09T04:41:25 --delay 1 --endMP 204:134 --enddatetime 2016-09-09T05:22:56 --enforcementcount 1 &gt;&gt;C:\Users\stu\Documents\GitHub\eaglep3-reporting\EC\2016-09-09-refined-times.txt</v>
      </c>
      <c r="AI1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{"issue":{"subject":"","project_id":79,"tracker_id":40,"status_id":1,"priority_id":2,"assigned_to_id":23,"start_date":"2016-09-09","description":"","custom_fields":[{"id":1,"name":"Subdivision","value":"EC"},{"id":4,"name":"Milepost","value":"23.2556"},{"id":17,"name":"Train ID","value":"104-09"},{"id":16,"name":"Locomotive ID","value":"4012"},{"id":130,"name":"Impact","value":""},{"id":150,"name":"Time of Event (Mountain Time)","value":"05:22:56"},{"id":151,"name":"Denver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</row>
    <row r="17" spans="1:38" s="1" customFormat="1" x14ac:dyDescent="0.25">
      <c r="A17" s="38" t="s">
        <v>391</v>
      </c>
      <c r="B17" s="7">
        <v>4016</v>
      </c>
      <c r="C17" s="23" t="s">
        <v>108</v>
      </c>
      <c r="D17" s="23" t="s">
        <v>392</v>
      </c>
      <c r="E17" s="15">
        <v>42622.175335648149</v>
      </c>
      <c r="F17" s="15">
        <v>42622.177361111113</v>
      </c>
      <c r="G17" s="7">
        <v>1</v>
      </c>
      <c r="H17" s="15" t="s">
        <v>258</v>
      </c>
      <c r="I17" s="15">
        <v>42622.203599537039</v>
      </c>
      <c r="J17" s="7">
        <v>1</v>
      </c>
      <c r="K17" s="114" t="str">
        <f t="shared" si="0"/>
        <v>4015/4016</v>
      </c>
      <c r="L17" s="23" t="str">
        <f>VLOOKUP(A17,'Trips&amp;Operators'!$C$1:$E$10000,3,FALSE)</f>
        <v>MALAVE</v>
      </c>
      <c r="M17" s="6">
        <f t="shared" si="1"/>
        <v>2.6238425925839692E-2</v>
      </c>
      <c r="N17" s="7">
        <f t="shared" si="15"/>
        <v>37.783333333209157</v>
      </c>
      <c r="O17" s="7"/>
      <c r="P17" s="7"/>
      <c r="Q17" s="24"/>
      <c r="R17" s="24"/>
      <c r="S17" s="36">
        <f t="shared" si="2"/>
        <v>1</v>
      </c>
      <c r="T17" s="51" t="str">
        <f t="shared" si="3"/>
        <v>NorthBound</v>
      </c>
      <c r="U17" s="17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03:12:29-0600',mode:absolute,to:'2016-09-09 05:53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7" s="179" t="str">
        <f t="shared" si="5"/>
        <v>N</v>
      </c>
      <c r="X17" s="179">
        <f t="shared" si="16"/>
        <v>1</v>
      </c>
      <c r="Y17" s="66">
        <f t="shared" si="6"/>
        <v>7.5499999999999998E-2</v>
      </c>
      <c r="Z17" s="66">
        <f t="shared" si="7"/>
        <v>23.3291</v>
      </c>
      <c r="AA17" s="66">
        <f t="shared" si="8"/>
        <v>23.253599999999999</v>
      </c>
      <c r="AB17" s="63" t="e">
        <f>VLOOKUP(A17,Enforcements!$C$7:$K$21,8,0)</f>
        <v>#N/A</v>
      </c>
      <c r="AC17" s="59" t="e">
        <f>VLOOKUP(A17,Enforcements!$C$7:$E$21,3,0)</f>
        <v>#N/A</v>
      </c>
      <c r="AD17" s="60" t="str">
        <f t="shared" si="9"/>
        <v>0105-09</v>
      </c>
      <c r="AE17" s="96" t="str">
        <f t="shared" si="10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7" s="93" t="str">
        <f t="shared" si="11"/>
        <v>"C:\Program Files (x86)\AstroGrep\AstroGrep.exe" /spath="%USERPROFILE%\AppData\Local\Temp\OnboardLogs" /stypes="*4016*20160909*" /stext=" 10:.+((SYSTEM_STATE.+slice.+state.+changed )|(ment ac)|(system.+state.+changed )|(\|lc)|(penalty)|(\[timeout)|(PRM\|1\|D)|(kpr)|(kdp))" /e /r /s</v>
      </c>
      <c r="AG17" s="1" t="str">
        <f t="shared" si="12"/>
        <v>EC</v>
      </c>
      <c r="AH17" s="97" t="str">
        <f t="shared" si="17"/>
        <v>"%USERPROFILE%\Documents\GitHub\eaglep3\Utilities\RefineRTDCRunTimes.py" --tripid 105-09 --locoid 4016 --swversion DE.1.0.7.0 --startMP 204:755 --initTime 2016-09-09T04:12:29 --startdatetime 2016-09-09T04:15:24 --delay 1 --endMP 204:233291 --enddatetime 2016-09-09T04:53:11 --enforcementcount 1 &gt;&gt;C:\Users\stu\Documents\GitHub\eaglep3-reporting\EC\2016-09-09-refined-times.txt</v>
      </c>
      <c r="AI1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{"issue":{"subject":"","project_id":79,"tracker_id":40,"status_id":1,"priority_id":2,"assigned_to_id":23,"start_date":"2016-09-09","description":"","custom_fields":[{"id":1,"name":"Subdivision","value":"EC"},{"id":4,"name":"Milepost","value":"23.2536"},{"id":17,"name":"Train ID","value":"105-09"},{"id":16,"name":"Locomotive ID","value":"4016"},{"id":130,"name":"Impact","value":""},{"id":150,"name":"Time of Event (Mountain Time)","value":"04:53:11"},{"id":151,"name":"Denver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</row>
    <row r="18" spans="1:38" s="1" customFormat="1" x14ac:dyDescent="0.25">
      <c r="A18" s="38" t="s">
        <v>393</v>
      </c>
      <c r="B18" s="7">
        <v>4039</v>
      </c>
      <c r="C18" s="23" t="s">
        <v>108</v>
      </c>
      <c r="D18" s="23" t="s">
        <v>394</v>
      </c>
      <c r="E18" s="15">
        <v>42622.215219907404</v>
      </c>
      <c r="F18" s="15">
        <v>42622.216273148151</v>
      </c>
      <c r="G18" s="7">
        <v>1</v>
      </c>
      <c r="H18" s="15" t="s">
        <v>270</v>
      </c>
      <c r="I18" s="15">
        <v>42622.242893518516</v>
      </c>
      <c r="J18" s="7">
        <v>1</v>
      </c>
      <c r="K18" s="114" t="str">
        <f t="shared" si="0"/>
        <v>4039/4040</v>
      </c>
      <c r="L18" s="23" t="str">
        <f>VLOOKUP(A18,'Trips&amp;Operators'!$C$1:$E$10000,3,FALSE)</f>
        <v>MALAVE</v>
      </c>
      <c r="M18" s="6">
        <f t="shared" si="1"/>
        <v>2.6620370364980772E-2</v>
      </c>
      <c r="N18" s="7">
        <f t="shared" si="15"/>
        <v>38.333333325572312</v>
      </c>
      <c r="O18" s="7"/>
      <c r="P18" s="7"/>
      <c r="Q18" s="24"/>
      <c r="R18" s="24"/>
      <c r="S18" s="36">
        <f t="shared" si="2"/>
        <v>1</v>
      </c>
      <c r="T18" s="51" t="str">
        <f t="shared" si="3"/>
        <v>Southbound</v>
      </c>
      <c r="U18" s="17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04:09:55-0600',mode:absolute,to:'2016-09-09 06:49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8" s="179" t="str">
        <f t="shared" si="5"/>
        <v>N</v>
      </c>
      <c r="X18" s="179">
        <f t="shared" si="16"/>
        <v>1</v>
      </c>
      <c r="Y18" s="66">
        <f t="shared" si="6"/>
        <v>23.265599999999999</v>
      </c>
      <c r="Z18" s="66">
        <f t="shared" si="7"/>
        <v>1.61E-2</v>
      </c>
      <c r="AA18" s="66">
        <f t="shared" si="8"/>
        <v>23.249499999999998</v>
      </c>
      <c r="AB18" s="63" t="e">
        <f>VLOOKUP(A18,Enforcements!$C$7:$K$21,8,0)</f>
        <v>#N/A</v>
      </c>
      <c r="AC18" s="59" t="e">
        <f>VLOOKUP(A18,Enforcements!$C$7:$E$21,3,0)</f>
        <v>#N/A</v>
      </c>
      <c r="AD18" s="60" t="str">
        <f t="shared" si="9"/>
        <v>0106-09</v>
      </c>
      <c r="AE18" s="96" t="str">
        <f t="shared" si="10"/>
        <v>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 &amp; 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</v>
      </c>
      <c r="AF18" s="93" t="str">
        <f t="shared" si="11"/>
        <v>"C:\Program Files (x86)\AstroGrep\AstroGrep.exe" /spath="%USERPROFILE%\AppData\Local\Temp\OnboardLogs" /stypes="*4039*20160909*" /stext=" 11:.+((SYSTEM_STATE.+slice.+state.+changed )|(ment ac)|(system.+state.+changed )|(\|lc)|(penalty)|(\[timeout)|(PRM\|1\|D)|(kpr)|(kdp))" /e /r /s</v>
      </c>
      <c r="AG18" s="1" t="str">
        <f t="shared" si="12"/>
        <v>EC</v>
      </c>
      <c r="AH18" s="97" t="str">
        <f t="shared" si="17"/>
        <v>"%USERPROFILE%\Documents\GitHub\eaglep3\Utilities\RefineRTDCRunTimes.py" --tripid 106-09 --locoid 4039 --swversion DE.1.0.7.0 --startMP 204:232656 --initTime 2016-09-09T05:09:55 --startdatetime 2016-09-09T05:11:26 --delay 1 --endMP 204:161 --enddatetime 2016-09-09T05:49:46 --enforcementcount 1 &gt;&gt;C:\Users\stu\Documents\GitHub\eaglep3-reporting\EC\2016-09-09-refined-times.txt</v>
      </c>
      <c r="AI1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{"issue":{"subject":"","project_id":79,"tracker_id":40,"status_id":1,"priority_id":2,"assigned_to_id":23,"start_date":"2016-09-09","description":"","custom_fields":[{"id":1,"name":"Subdivision","value":"EC"},{"id":4,"name":"Milepost","value":"23.2495"},{"id":17,"name":"Train ID","value":"106-09"},{"id":16,"name":"Locomotive ID","value":"4039"},{"id":130,"name":"Impact","value":""},{"id":150,"name":"Time of Event (Mountain Time)","value":"05:49:46"},{"id":151,"name":"Denver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</row>
    <row r="19" spans="1:38" s="1" customFormat="1" x14ac:dyDescent="0.25">
      <c r="A19" s="38" t="s">
        <v>395</v>
      </c>
      <c r="B19" s="7">
        <v>4025</v>
      </c>
      <c r="C19" s="23" t="s">
        <v>108</v>
      </c>
      <c r="D19" s="23" t="s">
        <v>243</v>
      </c>
      <c r="E19" s="15">
        <v>42622.179085648146</v>
      </c>
      <c r="F19" s="15">
        <v>42622.187650462962</v>
      </c>
      <c r="G19" s="7">
        <v>1</v>
      </c>
      <c r="H19" s="15" t="s">
        <v>272</v>
      </c>
      <c r="I19" s="15">
        <v>42622.212962962964</v>
      </c>
      <c r="J19" s="7">
        <v>1</v>
      </c>
      <c r="K19" s="114" t="str">
        <f t="shared" si="0"/>
        <v>4025/4026</v>
      </c>
      <c r="L19" s="23" t="str">
        <f>VLOOKUP(A19,'Trips&amp;Operators'!$C$1:$E$10000,3,FALSE)</f>
        <v>RICHARDSON</v>
      </c>
      <c r="M19" s="6">
        <f t="shared" si="1"/>
        <v>2.531250000174623E-2</v>
      </c>
      <c r="N19" s="7">
        <f t="shared" si="15"/>
        <v>36.450000002514571</v>
      </c>
      <c r="O19" s="7"/>
      <c r="P19" s="7"/>
      <c r="Q19" s="24"/>
      <c r="R19" s="24"/>
      <c r="S19" s="36">
        <f t="shared" si="2"/>
        <v>1</v>
      </c>
      <c r="T19" s="51" t="str">
        <f t="shared" si="3"/>
        <v>NorthBound</v>
      </c>
      <c r="U19" s="17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03:17:53-0600',mode:absolute,to:'2016-09-09 06:06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" s="179" t="str">
        <f t="shared" si="5"/>
        <v>N</v>
      </c>
      <c r="X19" s="179">
        <f t="shared" ref="X19:X50" si="19">VALUE(LEFT(AD19,4))-VALUE(LEFT(AD18,4))</f>
        <v>1</v>
      </c>
      <c r="Y19" s="66">
        <f t="shared" si="6"/>
        <v>4.4600000000000001E-2</v>
      </c>
      <c r="Z19" s="66">
        <f t="shared" si="7"/>
        <v>23.329699999999999</v>
      </c>
      <c r="AA19" s="66">
        <f t="shared" si="8"/>
        <v>23.2851</v>
      </c>
      <c r="AB19" s="63" t="e">
        <f>VLOOKUP(A19,Enforcements!$C$7:$K$21,8,0)</f>
        <v>#N/A</v>
      </c>
      <c r="AC19" s="59" t="e">
        <f>VLOOKUP(A19,Enforcements!$C$7:$E$21,3,0)</f>
        <v>#N/A</v>
      </c>
      <c r="AD19" s="60" t="str">
        <f t="shared" si="9"/>
        <v>0107-09</v>
      </c>
      <c r="AE19" s="96" t="str">
        <f t="shared" si="10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9" s="93" t="str">
        <f t="shared" si="11"/>
        <v>"C:\Program Files (x86)\AstroGrep\AstroGrep.exe" /spath="%USERPROFILE%\AppData\Local\Temp\OnboardLogs" /stypes="*4025*20160909*" /stext=" 11:.+((SYSTEM_STATE.+slice.+state.+changed )|(ment ac)|(system.+state.+changed )|(\|lc)|(penalty)|(\[timeout)|(PRM\|1\|D)|(kpr)|(kdp))" /e /r /s</v>
      </c>
      <c r="AG19" s="1" t="str">
        <f t="shared" si="12"/>
        <v>EC</v>
      </c>
      <c r="AH19" s="97" t="str">
        <f t="shared" si="17"/>
        <v>"%USERPROFILE%\Documents\GitHub\eaglep3\Utilities\RefineRTDCRunTimes.py" --tripid 107-09 --locoid 4025 --swversion DE.1.0.7.0 --startMP 204:446 --initTime 2016-09-09T04:17:53 --startdatetime 2016-09-09T04:30:13 --delay 1 --endMP 204:233297 --enddatetime 2016-09-09T05:06:40 --enforcementcount 1 &gt;&gt;C:\Users\stu\Documents\GitHub\eaglep3-reporting\EC\2016-09-09-refined-times.txt</v>
      </c>
      <c r="AI1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{"issue":{"subject":"","project_id":79,"tracker_id":40,"status_id":1,"priority_id":2,"assigned_to_id":23,"start_date":"2016-09-09","description":"","custom_fields":[{"id":1,"name":"Subdivision","value":"EC"},{"id":4,"name":"Milepost","value":"23.2851"},{"id":17,"name":"Train ID","value":"107-09"},{"id":16,"name":"Locomotive ID","value":"4025"},{"id":130,"name":"Impact","value":""},{"id":150,"name":"Time of Event (Mountain Time)","value":"05:06:40"},{"id":151,"name":"Denver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</row>
    <row r="20" spans="1:38" s="1" customFormat="1" x14ac:dyDescent="0.25">
      <c r="A20" s="38" t="s">
        <v>396</v>
      </c>
      <c r="B20" s="7">
        <v>4026</v>
      </c>
      <c r="C20" s="23" t="s">
        <v>108</v>
      </c>
      <c r="D20" s="23" t="s">
        <v>397</v>
      </c>
      <c r="E20" s="15">
        <v>42622.214386574073</v>
      </c>
      <c r="F20" s="15">
        <v>42622.226597222223</v>
      </c>
      <c r="G20" s="7">
        <v>4</v>
      </c>
      <c r="H20" s="15" t="s">
        <v>259</v>
      </c>
      <c r="I20" s="15">
        <v>42622.253229166665</v>
      </c>
      <c r="J20" s="7">
        <v>1</v>
      </c>
      <c r="K20" s="114" t="str">
        <f t="shared" si="0"/>
        <v>4025/4026</v>
      </c>
      <c r="L20" s="23" t="str">
        <f>VLOOKUP(A20,'Trips&amp;Operators'!$C$1:$E$10000,3,FALSE)</f>
        <v>RICHARDSON</v>
      </c>
      <c r="M20" s="6">
        <f t="shared" si="1"/>
        <v>2.6631944441760425E-2</v>
      </c>
      <c r="N20" s="7">
        <f t="shared" si="15"/>
        <v>38.349999996135011</v>
      </c>
      <c r="O20" s="7"/>
      <c r="P20" s="7"/>
      <c r="Q20" s="24"/>
      <c r="R20" s="24"/>
      <c r="S20" s="36">
        <f t="shared" si="2"/>
        <v>1</v>
      </c>
      <c r="T20" s="51" t="str">
        <f t="shared" si="3"/>
        <v>Southbound</v>
      </c>
      <c r="U20" s="17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04:08:43-0600',mode:absolute,to:'2016-09-09 07:04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" s="179" t="str">
        <f t="shared" si="5"/>
        <v>N</v>
      </c>
      <c r="X20" s="179">
        <f t="shared" si="19"/>
        <v>1</v>
      </c>
      <c r="Y20" s="66">
        <f t="shared" si="6"/>
        <v>23.296700000000001</v>
      </c>
      <c r="Z20" s="66">
        <f t="shared" si="7"/>
        <v>1.43E-2</v>
      </c>
      <c r="AA20" s="66">
        <f t="shared" si="8"/>
        <v>23.282400000000003</v>
      </c>
      <c r="AB20" s="63" t="e">
        <f>VLOOKUP(A20,Enforcements!$C$7:$K$21,8,0)</f>
        <v>#N/A</v>
      </c>
      <c r="AC20" s="59" t="e">
        <f>VLOOKUP(A20,Enforcements!$C$7:$E$21,3,0)</f>
        <v>#N/A</v>
      </c>
      <c r="AD20" s="60" t="str">
        <f t="shared" si="9"/>
        <v>0108-09</v>
      </c>
      <c r="AE20" s="96" t="str">
        <f t="shared" si="10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20" s="93" t="str">
        <f t="shared" si="11"/>
        <v>"C:\Program Files (x86)\AstroGrep\AstroGrep.exe" /spath="%USERPROFILE%\AppData\Local\Temp\OnboardLogs" /stypes="*4026*20160909*" /stext=" 12:.+((SYSTEM_STATE.+slice.+state.+changed )|(ment ac)|(system.+state.+changed )|(\|lc)|(penalty)|(\[timeout)|(PRM\|1\|D)|(kpr)|(kdp))" /e /r /s</v>
      </c>
      <c r="AG20" s="1" t="str">
        <f t="shared" si="12"/>
        <v>EC</v>
      </c>
      <c r="AH20" s="97" t="str">
        <f t="shared" si="17"/>
        <v>"%USERPROFILE%\Documents\GitHub\eaglep3\Utilities\RefineRTDCRunTimes.py" --tripid 108-09 --locoid 4026 --swversion DE.1.0.7.0 --startMP 204:232967 --initTime 2016-09-09T05:08:43 --startdatetime 2016-09-09T05:26:18 --delay 4 --endMP 204:143 --enddatetime 2016-09-09T06:04:39 --enforcementcount 1 &gt;&gt;C:\Users\stu\Documents\GitHub\eaglep3-reporting\EC\2016-09-09-refined-times.txt</v>
      </c>
      <c r="AI2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{"issue":{"subject":"","project_id":79,"tracker_id":40,"status_id":1,"priority_id":2,"assigned_to_id":23,"start_date":"2016-09-09","description":"","custom_fields":[{"id":1,"name":"Subdivision","value":"EC"},{"id":4,"name":"Milepost","value":"23.2824"},{"id":17,"name":"Train ID","value":"108-09"},{"id":16,"name":"Locomotive ID","value":"4026"},{"id":130,"name":"Impact","value":""},{"id":150,"name":"Time of Event (Mountain Time)","value":"06:04:39"},{"id":151,"name":"Denver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</row>
    <row r="21" spans="1:38" s="1" customFormat="1" x14ac:dyDescent="0.25">
      <c r="A21" s="38" t="s">
        <v>398</v>
      </c>
      <c r="B21" s="7">
        <v>4031</v>
      </c>
      <c r="C21" s="23" t="s">
        <v>108</v>
      </c>
      <c r="D21" s="23" t="s">
        <v>399</v>
      </c>
      <c r="E21" s="15">
        <v>42622.193599537037</v>
      </c>
      <c r="F21" s="15">
        <v>42622.198113425926</v>
      </c>
      <c r="G21" s="7">
        <v>1</v>
      </c>
      <c r="H21" s="15" t="s">
        <v>282</v>
      </c>
      <c r="I21" s="15">
        <v>42622.222962962966</v>
      </c>
      <c r="J21" s="7">
        <v>1</v>
      </c>
      <c r="K21" s="114" t="str">
        <f t="shared" si="0"/>
        <v>4031/4032</v>
      </c>
      <c r="L21" s="23" t="str">
        <f>VLOOKUP(A21,'Trips&amp;Operators'!$C$1:$E$10000,3,FALSE)</f>
        <v>BRANDNER</v>
      </c>
      <c r="M21" s="6">
        <f t="shared" si="1"/>
        <v>2.4849537039699499E-2</v>
      </c>
      <c r="N21" s="7">
        <f t="shared" si="15"/>
        <v>35.783333337167278</v>
      </c>
      <c r="O21" s="7"/>
      <c r="P21" s="7"/>
      <c r="Q21" s="24"/>
      <c r="R21" s="24"/>
      <c r="S21" s="36">
        <f t="shared" si="2"/>
        <v>1</v>
      </c>
      <c r="T21" s="51" t="str">
        <f t="shared" si="3"/>
        <v>NorthBound</v>
      </c>
      <c r="U21" s="17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03:38:47-0600',mode:absolute,to:'2016-09-09 06:21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" s="179" t="str">
        <f t="shared" si="5"/>
        <v>N</v>
      </c>
      <c r="X21" s="179">
        <f t="shared" si="19"/>
        <v>1</v>
      </c>
      <c r="Y21" s="66">
        <f t="shared" si="6"/>
        <v>4.3999999999999997E-2</v>
      </c>
      <c r="Z21" s="66">
        <f t="shared" si="7"/>
        <v>23.328700000000001</v>
      </c>
      <c r="AA21" s="66">
        <f t="shared" si="8"/>
        <v>23.284700000000001</v>
      </c>
      <c r="AB21" s="63" t="e">
        <f>VLOOKUP(A21,Enforcements!$C$7:$K$21,8,0)</f>
        <v>#N/A</v>
      </c>
      <c r="AC21" s="59" t="e">
        <f>VLOOKUP(A21,Enforcements!$C$7:$E$21,3,0)</f>
        <v>#N/A</v>
      </c>
      <c r="AD21" s="60" t="str">
        <f t="shared" si="9"/>
        <v>0109-09</v>
      </c>
      <c r="AE21" s="96" t="str">
        <f t="shared" si="10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21" s="93" t="str">
        <f t="shared" si="11"/>
        <v>"C:\Program Files (x86)\AstroGrep\AstroGrep.exe" /spath="%USERPROFILE%\AppData\Local\Temp\OnboardLogs" /stypes="*4031*20160909*" /stext=" 11:.+((SYSTEM_STATE.+slice.+state.+changed )|(ment ac)|(system.+state.+changed )|(\|lc)|(penalty)|(\[timeout)|(PRM\|1\|D)|(kpr)|(kdp))" /e /r /s</v>
      </c>
      <c r="AG21" s="1" t="str">
        <f t="shared" si="12"/>
        <v>EC</v>
      </c>
      <c r="AH21" s="97" t="str">
        <f t="shared" si="17"/>
        <v>"%USERPROFILE%\Documents\GitHub\eaglep3\Utilities\RefineRTDCRunTimes.py" --tripid 109-09 --locoid 4031 --swversion DE.1.0.7.0 --startMP 204:440 --initTime 2016-09-09T04:38:47 --startdatetime 2016-09-09T04:45:17 --delay 1 --endMP 204:233287 --enddatetime 2016-09-09T05:21:04 --enforcementcount 1 &gt;&gt;C:\Users\stu\Documents\GitHub\eaglep3-reporting\EC\2016-09-09-refined-times.txt</v>
      </c>
      <c r="AI2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{"issue":{"subject":"","project_id":79,"tracker_id":40,"status_id":1,"priority_id":2,"assigned_to_id":23,"start_date":"2016-09-09","description":"","custom_fields":[{"id":1,"name":"Subdivision","value":"EC"},{"id":4,"name":"Milepost","value":"23.2847"},{"id":17,"name":"Train ID","value":"109-09"},{"id":16,"name":"Locomotive ID","value":"4031"},{"id":130,"name":"Impact","value":""},{"id":150,"name":"Time of Event (Mountain Time)","value":"05:21:04"},{"id":151,"name":"Denver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</row>
    <row r="22" spans="1:38" s="1" customFormat="1" x14ac:dyDescent="0.25">
      <c r="A22" s="38" t="s">
        <v>400</v>
      </c>
      <c r="B22" s="7">
        <v>4032</v>
      </c>
      <c r="C22" s="23" t="s">
        <v>108</v>
      </c>
      <c r="D22" s="23" t="s">
        <v>247</v>
      </c>
      <c r="E22" s="15">
        <v>42622.226354166669</v>
      </c>
      <c r="F22" s="15">
        <v>42622.237002314818</v>
      </c>
      <c r="G22" s="7">
        <v>2</v>
      </c>
      <c r="H22" s="15" t="s">
        <v>256</v>
      </c>
      <c r="I22" s="15">
        <v>42622.264305555553</v>
      </c>
      <c r="J22" s="7">
        <v>1</v>
      </c>
      <c r="K22" s="114" t="str">
        <f t="shared" si="0"/>
        <v>4031/4032</v>
      </c>
      <c r="L22" s="23" t="str">
        <f>VLOOKUP(A22,'Trips&amp;Operators'!$C$1:$E$10000,3,FALSE)</f>
        <v>BRANDNER</v>
      </c>
      <c r="M22" s="6">
        <f t="shared" si="1"/>
        <v>2.7303240734909195E-2</v>
      </c>
      <c r="N22" s="7">
        <f t="shared" si="15"/>
        <v>39.316666658269241</v>
      </c>
      <c r="O22" s="7"/>
      <c r="P22" s="7"/>
      <c r="Q22" s="24"/>
      <c r="R22" s="24"/>
      <c r="S22" s="36">
        <f t="shared" si="2"/>
        <v>1</v>
      </c>
      <c r="T22" s="51" t="str">
        <f t="shared" si="3"/>
        <v>Southbound</v>
      </c>
      <c r="U22" s="17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04:25:57-0600',mode:absolute,to:'2016-09-09 07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2" s="179" t="str">
        <f t="shared" si="5"/>
        <v>N</v>
      </c>
      <c r="X22" s="179">
        <f t="shared" si="19"/>
        <v>1</v>
      </c>
      <c r="Y22" s="66">
        <f t="shared" si="6"/>
        <v>23.299099999999999</v>
      </c>
      <c r="Z22" s="66">
        <f t="shared" si="7"/>
        <v>1.4999999999999999E-2</v>
      </c>
      <c r="AA22" s="66">
        <f t="shared" si="8"/>
        <v>23.284099999999999</v>
      </c>
      <c r="AB22" s="63" t="e">
        <f>VLOOKUP(A22,Enforcements!$C$7:$K$21,8,0)</f>
        <v>#N/A</v>
      </c>
      <c r="AC22" s="59" t="e">
        <f>VLOOKUP(A22,Enforcements!$C$7:$E$21,3,0)</f>
        <v>#N/A</v>
      </c>
      <c r="AD22" s="60" t="str">
        <f t="shared" si="9"/>
        <v>0110-09</v>
      </c>
      <c r="AE22" s="96" t="str">
        <f t="shared" si="10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22" s="93" t="str">
        <f t="shared" si="11"/>
        <v>"C:\Program Files (x86)\AstroGrep\AstroGrep.exe" /spath="%USERPROFILE%\AppData\Local\Temp\OnboardLogs" /stypes="*4032*20160909*" /stext=" 12:.+((SYSTEM_STATE.+slice.+state.+changed )|(ment ac)|(system.+state.+changed )|(\|lc)|(penalty)|(\[timeout)|(PRM\|1\|D)|(kpr)|(kdp))" /e /r /s</v>
      </c>
      <c r="AG22" s="1" t="str">
        <f t="shared" si="12"/>
        <v>EC</v>
      </c>
      <c r="AH22" s="97" t="str">
        <f t="shared" si="17"/>
        <v>"%USERPROFILE%\Documents\GitHub\eaglep3\Utilities\RefineRTDCRunTimes.py" --tripid 110-09 --locoid 4032 --swversion DE.1.0.7.0 --startMP 204:232991 --initTime 2016-09-09T05:25:57 --startdatetime 2016-09-09T05:41:17 --delay 2 --endMP 204:150 --enddatetime 2016-09-09T06:20:36 --enforcementcount 1 &gt;&gt;C:\Users\stu\Documents\GitHub\eaglep3-reporting\EC\2016-09-09-refined-times.txt</v>
      </c>
      <c r="AI2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{"issue":{"subject":"","project_id":79,"tracker_id":40,"status_id":1,"priority_id":2,"assigned_to_id":23,"start_date":"2016-09-09","description":"","custom_fields":[{"id":1,"name":"Subdivision","value":"EC"},{"id":4,"name":"Milepost","value":"23.2841"},{"id":17,"name":"Train ID","value":"110-09"},{"id":16,"name":"Locomotive ID","value":"4032"},{"id":130,"name":"Impact","value":""},{"id":150,"name":"Time of Event (Mountain Time)","value":"06:20:36"},{"id":151,"name":"Denver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</row>
    <row r="23" spans="1:38" s="1" customFormat="1" x14ac:dyDescent="0.25">
      <c r="A23" s="38" t="s">
        <v>401</v>
      </c>
      <c r="B23" s="7">
        <v>4018</v>
      </c>
      <c r="C23" s="23" t="s">
        <v>108</v>
      </c>
      <c r="D23" s="23" t="s">
        <v>402</v>
      </c>
      <c r="E23" s="15">
        <v>42622.205648148149</v>
      </c>
      <c r="F23" s="15">
        <v>42622.208495370367</v>
      </c>
      <c r="G23" s="7">
        <v>1</v>
      </c>
      <c r="H23" s="15" t="s">
        <v>265</v>
      </c>
      <c r="I23" s="15">
        <v>42622.233506944445</v>
      </c>
      <c r="J23" s="7">
        <v>1</v>
      </c>
      <c r="K23" s="114" t="str">
        <f t="shared" si="0"/>
        <v>4017/4018</v>
      </c>
      <c r="L23" s="23" t="str">
        <f>VLOOKUP(A23,'Trips&amp;Operators'!$C$1:$E$10000,3,FALSE)</f>
        <v>BEAM</v>
      </c>
      <c r="M23" s="6">
        <f t="shared" si="1"/>
        <v>2.5011574078234844E-2</v>
      </c>
      <c r="N23" s="7">
        <f t="shared" si="15"/>
        <v>36.016666672658175</v>
      </c>
      <c r="O23" s="7"/>
      <c r="P23" s="7"/>
      <c r="Q23" s="24"/>
      <c r="R23" s="24"/>
      <c r="S23" s="36">
        <f t="shared" si="2"/>
        <v>1</v>
      </c>
      <c r="T23" s="51" t="str">
        <f t="shared" si="3"/>
        <v>NorthBound</v>
      </c>
      <c r="U23" s="17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03:56:08-0600',mode:absolute,to:'2016-09-09 06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3" s="179" t="str">
        <f t="shared" si="5"/>
        <v>N</v>
      </c>
      <c r="X23" s="179">
        <f t="shared" si="19"/>
        <v>1</v>
      </c>
      <c r="Y23" s="66">
        <f t="shared" si="6"/>
        <v>7.8799999999999995E-2</v>
      </c>
      <c r="Z23" s="66">
        <f t="shared" si="7"/>
        <v>23.330300000000001</v>
      </c>
      <c r="AA23" s="66">
        <f t="shared" si="8"/>
        <v>23.2515</v>
      </c>
      <c r="AB23" s="63" t="e">
        <f>VLOOKUP(A23,Enforcements!$C$7:$K$21,8,0)</f>
        <v>#N/A</v>
      </c>
      <c r="AC23" s="59" t="e">
        <f>VLOOKUP(A23,Enforcements!$C$7:$E$21,3,0)</f>
        <v>#N/A</v>
      </c>
      <c r="AD23" s="60" t="str">
        <f t="shared" si="9"/>
        <v>0111-09</v>
      </c>
      <c r="AE23" s="96" t="str">
        <f t="shared" si="10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23" s="93" t="str">
        <f t="shared" si="11"/>
        <v>"C:\Program Files (x86)\AstroGrep\AstroGrep.exe" /spath="%USERPROFILE%\AppData\Local\Temp\OnboardLogs" /stypes="*4018*20160909*" /stext=" 11:.+((SYSTEM_STATE.+slice.+state.+changed )|(ment ac)|(system.+state.+changed )|(\|lc)|(penalty)|(\[timeout)|(PRM\|1\|D)|(kpr)|(kdp))" /e /r /s</v>
      </c>
      <c r="AG23" s="1" t="str">
        <f t="shared" si="12"/>
        <v>EC</v>
      </c>
      <c r="AH23" s="97" t="str">
        <f t="shared" si="17"/>
        <v>"%USERPROFILE%\Documents\GitHub\eaglep3\Utilities\RefineRTDCRunTimes.py" --tripid 111-09 --locoid 4018 --swversion DE.1.0.7.0 --startMP 204:788 --initTime 2016-09-09T04:56:08 --startdatetime 2016-09-09T05:00:14 --delay 1 --endMP 204:233303 --enddatetime 2016-09-09T05:36:15 --enforcementcount 1 &gt;&gt;C:\Users\stu\Documents\GitHub\eaglep3-reporting\EC\2016-09-09-refined-times.txt</v>
      </c>
      <c r="AI23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{"issue":{"subject":"","project_id":79,"tracker_id":40,"status_id":1,"priority_id":2,"assigned_to_id":23,"start_date":"2016-09-09","description":"","custom_fields":[{"id":1,"name":"Subdivision","value":"EC"},{"id":4,"name":"Milepost","value":"23.2515"},{"id":17,"name":"Train ID","value":"111-09"},{"id":16,"name":"Locomotive ID","value":"4018"},{"id":130,"name":"Impact","value":""},{"id":150,"name":"Time of Event (Mountain Time)","value":"05:36:15"},{"id":151,"name":"Denver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</row>
    <row r="24" spans="1:38" s="1" customFormat="1" x14ac:dyDescent="0.25">
      <c r="A24" s="38" t="s">
        <v>403</v>
      </c>
      <c r="B24" s="7">
        <v>4017</v>
      </c>
      <c r="C24" s="23" t="s">
        <v>108</v>
      </c>
      <c r="D24" s="23" t="s">
        <v>244</v>
      </c>
      <c r="E24" s="15">
        <v>42622.24318287037</v>
      </c>
      <c r="F24" s="15">
        <v>42622.247372685182</v>
      </c>
      <c r="G24" s="7">
        <v>1</v>
      </c>
      <c r="H24" s="15" t="s">
        <v>259</v>
      </c>
      <c r="I24" s="15">
        <v>42622.274074074077</v>
      </c>
      <c r="J24" s="7">
        <v>1</v>
      </c>
      <c r="K24" s="114" t="str">
        <f t="shared" si="0"/>
        <v>4017/4018</v>
      </c>
      <c r="L24" s="23" t="str">
        <f>VLOOKUP(A24,'Trips&amp;Operators'!$C$1:$E$10000,3,FALSE)</f>
        <v>BEAM</v>
      </c>
      <c r="M24" s="6">
        <f t="shared" si="1"/>
        <v>2.6701388895162381E-2</v>
      </c>
      <c r="N24" s="7">
        <f t="shared" si="15"/>
        <v>38.450000009033829</v>
      </c>
      <c r="O24" s="7"/>
      <c r="P24" s="7"/>
      <c r="Q24" s="24"/>
      <c r="R24" s="24"/>
      <c r="S24" s="36">
        <f t="shared" si="2"/>
        <v>1</v>
      </c>
      <c r="T24" s="51" t="str">
        <f t="shared" si="3"/>
        <v>Southbound</v>
      </c>
      <c r="U24" s="17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04:50:11-0600',mode:absolute,to:'2016-09-09 07:34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4" s="179" t="str">
        <f t="shared" si="5"/>
        <v>N</v>
      </c>
      <c r="X24" s="179">
        <f t="shared" si="19"/>
        <v>1</v>
      </c>
      <c r="Y24" s="66">
        <f t="shared" si="6"/>
        <v>23.298200000000001</v>
      </c>
      <c r="Z24" s="66">
        <f t="shared" si="7"/>
        <v>1.43E-2</v>
      </c>
      <c r="AA24" s="66">
        <f t="shared" si="8"/>
        <v>23.283900000000003</v>
      </c>
      <c r="AB24" s="63" t="e">
        <f>VLOOKUP(A24,Enforcements!$C$7:$K$21,8,0)</f>
        <v>#N/A</v>
      </c>
      <c r="AC24" s="59" t="e">
        <f>VLOOKUP(A24,Enforcements!$C$7:$E$21,3,0)</f>
        <v>#N/A</v>
      </c>
      <c r="AD24" s="60" t="str">
        <f t="shared" si="9"/>
        <v>0112-09</v>
      </c>
      <c r="AE24" s="96" t="str">
        <f t="shared" si="10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24" s="93" t="str">
        <f t="shared" si="11"/>
        <v>"C:\Program Files (x86)\AstroGrep\AstroGrep.exe" /spath="%USERPROFILE%\AppData\Local\Temp\OnboardLogs" /stypes="*4017*20160909*" /stext=" 12:.+((SYSTEM_STATE.+slice.+state.+changed )|(ment ac)|(system.+state.+changed )|(\|lc)|(penalty)|(\[timeout)|(PRM\|1\|D)|(kpr)|(kdp))" /e /r /s</v>
      </c>
      <c r="AG24" s="1" t="str">
        <f t="shared" si="12"/>
        <v>EC</v>
      </c>
      <c r="AH24" s="97" t="str">
        <f t="shared" si="17"/>
        <v>"%USERPROFILE%\Documents\GitHub\eaglep3\Utilities\RefineRTDCRunTimes.py" --tripid 112-09 --locoid 4017 --swversion DE.1.0.7.0 --startMP 204:232982 --initTime 2016-09-09T05:50:11 --startdatetime 2016-09-09T05:56:13 --delay 1 --endMP 204:143 --enddatetime 2016-09-09T06:34:40 --enforcementcount 1 &gt;&gt;C:\Users\stu\Documents\GitHub\eaglep3-reporting\EC\2016-09-09-refined-times.txt</v>
      </c>
      <c r="AI2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{"issue":{"subject":"","project_id":79,"tracker_id":40,"status_id":1,"priority_id":2,"assigned_to_id":23,"start_date":"2016-09-09","description":"","custom_fields":[{"id":1,"name":"Subdivision","value":"EC"},{"id":4,"name":"Milepost","value":"23.2839"},{"id":17,"name":"Train ID","value":"112-09"},{"id":16,"name":"Locomotive ID","value":"4017"},{"id":130,"name":"Impact","value":""},{"id":150,"name":"Time of Event (Mountain Time)","value":"06:34:40"},{"id":151,"name":"Denver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</row>
    <row r="25" spans="1:38" s="1" customFormat="1" x14ac:dyDescent="0.25">
      <c r="A25" s="38" t="s">
        <v>404</v>
      </c>
      <c r="B25" s="7">
        <v>4009</v>
      </c>
      <c r="C25" s="23" t="s">
        <v>108</v>
      </c>
      <c r="D25" s="23" t="s">
        <v>267</v>
      </c>
      <c r="E25" s="15">
        <v>42622.209444444445</v>
      </c>
      <c r="F25" s="15">
        <v>42622.219189814816</v>
      </c>
      <c r="G25" s="7">
        <v>1</v>
      </c>
      <c r="H25" s="15" t="s">
        <v>322</v>
      </c>
      <c r="I25" s="15">
        <v>42622.244629629633</v>
      </c>
      <c r="J25" s="7">
        <v>1</v>
      </c>
      <c r="K25" s="114" t="str">
        <f t="shared" si="0"/>
        <v>4009/4010</v>
      </c>
      <c r="L25" s="23" t="str">
        <f>VLOOKUP(A25,'Trips&amp;Operators'!$C$1:$E$10000,3,FALSE)</f>
        <v>MAELZER</v>
      </c>
      <c r="M25" s="6">
        <f t="shared" si="1"/>
        <v>2.5439814817218576E-2</v>
      </c>
      <c r="N25" s="7">
        <f t="shared" si="15"/>
        <v>36.633333336794749</v>
      </c>
      <c r="O25" s="7"/>
      <c r="P25" s="7"/>
      <c r="Q25" s="24"/>
      <c r="R25" s="24"/>
      <c r="S25" s="36">
        <f t="shared" si="2"/>
        <v>1</v>
      </c>
      <c r="T25" s="51" t="str">
        <f t="shared" si="3"/>
        <v>NorthBound</v>
      </c>
      <c r="U25" s="17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04:01:36-0600',mode:absolute,to:'2016-09-09 06:52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5" s="179" t="str">
        <f t="shared" si="5"/>
        <v>N</v>
      </c>
      <c r="X25" s="179">
        <f t="shared" si="19"/>
        <v>1</v>
      </c>
      <c r="Y25" s="66">
        <f t="shared" si="6"/>
        <v>4.5699999999999998E-2</v>
      </c>
      <c r="Z25" s="66">
        <f t="shared" si="7"/>
        <v>23.331700000000001</v>
      </c>
      <c r="AA25" s="66">
        <f t="shared" si="8"/>
        <v>23.286000000000001</v>
      </c>
      <c r="AB25" s="63" t="e">
        <f>VLOOKUP(A25,Enforcements!$C$7:$K$21,8,0)</f>
        <v>#N/A</v>
      </c>
      <c r="AC25" s="59" t="e">
        <f>VLOOKUP(A25,Enforcements!$C$7:$E$21,3,0)</f>
        <v>#N/A</v>
      </c>
      <c r="AD25" s="60" t="str">
        <f t="shared" si="9"/>
        <v>0113-09</v>
      </c>
      <c r="AE25" s="96" t="str">
        <f t="shared" si="10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25" s="93" t="str">
        <f t="shared" si="11"/>
        <v>"C:\Program Files (x86)\AstroGrep\AstroGrep.exe" /spath="%USERPROFILE%\AppData\Local\Temp\OnboardLogs" /stypes="*4009*20160909*" /stext=" 11:.+((SYSTEM_STATE.+slice.+state.+changed )|(ment ac)|(system.+state.+changed )|(\|lc)|(penalty)|(\[timeout)|(PRM\|1\|D)|(kpr)|(kdp))" /e /r /s</v>
      </c>
      <c r="AG25" s="1" t="str">
        <f t="shared" si="12"/>
        <v>EC</v>
      </c>
      <c r="AH25" s="97" t="str">
        <f t="shared" si="17"/>
        <v>"%USERPROFILE%\Documents\GitHub\eaglep3\Utilities\RefineRTDCRunTimes.py" --tripid 113-09 --locoid 4009 --swversion DE.1.0.7.0 --startMP 204:457 --initTime 2016-09-09T05:01:36 --startdatetime 2016-09-09T05:15:38 --delay 1 --endMP 204:233317 --enddatetime 2016-09-09T05:52:16 --enforcementcount 1 &gt;&gt;C:\Users\stu\Documents\GitHub\eaglep3-reporting\EC\2016-09-09-refined-times.txt</v>
      </c>
      <c r="AI2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{"issue":{"subject":"","project_id":79,"tracker_id":40,"status_id":1,"priority_id":2,"assigned_to_id":23,"start_date":"2016-09-09","description":"","custom_fields":[{"id":1,"name":"Subdivision","value":"EC"},{"id":4,"name":"Milepost","value":"23.286"},{"id":17,"name":"Train ID","value":"113-09"},{"id":16,"name":"Locomotive ID","value":"4009"},{"id":130,"name":"Impact","value":""},{"id":150,"name":"Time of Event (Mountain Time)","value":"05:52:16"},{"id":151,"name":"Denver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</row>
    <row r="26" spans="1:38" s="1" customFormat="1" x14ac:dyDescent="0.25">
      <c r="A26" s="38" t="s">
        <v>405</v>
      </c>
      <c r="B26" s="7">
        <v>4010</v>
      </c>
      <c r="C26" s="23" t="s">
        <v>108</v>
      </c>
      <c r="D26" s="23" t="s">
        <v>276</v>
      </c>
      <c r="E26" s="15">
        <v>42622.254687499997</v>
      </c>
      <c r="F26" s="15">
        <v>42622.257881944446</v>
      </c>
      <c r="G26" s="7">
        <v>1</v>
      </c>
      <c r="H26" s="15" t="s">
        <v>256</v>
      </c>
      <c r="I26" s="15">
        <v>42622.284803240742</v>
      </c>
      <c r="J26" s="7">
        <v>1</v>
      </c>
      <c r="K26" s="114" t="str">
        <f t="shared" si="0"/>
        <v>4009/4010</v>
      </c>
      <c r="L26" s="23" t="str">
        <f>VLOOKUP(A26,'Trips&amp;Operators'!$C$1:$E$10000,3,FALSE)</f>
        <v>MAELZER</v>
      </c>
      <c r="M26" s="6">
        <f t="shared" si="1"/>
        <v>2.6921296295768116E-2</v>
      </c>
      <c r="N26" s="7">
        <f t="shared" si="15"/>
        <v>38.766666665906087</v>
      </c>
      <c r="O26" s="7"/>
      <c r="P26" s="7"/>
      <c r="Q26" s="24"/>
      <c r="R26" s="24"/>
      <c r="S26" s="36">
        <f t="shared" si="2"/>
        <v>1</v>
      </c>
      <c r="T26" s="51" t="str">
        <f t="shared" si="3"/>
        <v>Southbound</v>
      </c>
      <c r="U26" s="17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05:06:45-0600',mode:absolute,to:'2016-09-09 07:50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26" s="179" t="str">
        <f t="shared" si="5"/>
        <v>N</v>
      </c>
      <c r="X26" s="179">
        <f t="shared" si="19"/>
        <v>1</v>
      </c>
      <c r="Y26" s="66">
        <f t="shared" si="6"/>
        <v>23.299800000000001</v>
      </c>
      <c r="Z26" s="66">
        <f t="shared" si="7"/>
        <v>1.4999999999999999E-2</v>
      </c>
      <c r="AA26" s="66">
        <f t="shared" si="8"/>
        <v>23.284800000000001</v>
      </c>
      <c r="AB26" s="63" t="e">
        <f>VLOOKUP(A26,Enforcements!$C$7:$K$21,8,0)</f>
        <v>#N/A</v>
      </c>
      <c r="AC26" s="59" t="e">
        <f>VLOOKUP(A26,Enforcements!$C$7:$E$21,3,0)</f>
        <v>#N/A</v>
      </c>
      <c r="AD26" s="60" t="str">
        <f t="shared" si="9"/>
        <v>0114-09</v>
      </c>
      <c r="AE26" s="96" t="str">
        <f t="shared" si="10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26" s="93" t="str">
        <f t="shared" si="11"/>
        <v>"C:\Program Files (x86)\AstroGrep\AstroGrep.exe" /spath="%USERPROFILE%\AppData\Local\Temp\OnboardLogs" /stypes="*4010*20160909*" /stext=" 12:.+((SYSTEM_STATE.+slice.+state.+changed )|(ment ac)|(system.+state.+changed )|(\|lc)|(penalty)|(\[timeout)|(PRM\|1\|D)|(kpr)|(kdp))" /e /r /s</v>
      </c>
      <c r="AG26" s="1" t="str">
        <f t="shared" si="12"/>
        <v>EC</v>
      </c>
      <c r="AH26" s="97" t="str">
        <f t="shared" si="17"/>
        <v>"%USERPROFILE%\Documents\GitHub\eaglep3\Utilities\RefineRTDCRunTimes.py" --tripid 114-09 --locoid 4010 --swversion DE.1.0.7.0 --startMP 204:232998 --initTime 2016-09-09T06:06:45 --startdatetime 2016-09-09T06:11:21 --delay 1 --endMP 204:150 --enddatetime 2016-09-09T06:50:07 --enforcementcount 1 &gt;&gt;C:\Users\stu\Documents\GitHub\eaglep3-reporting\EC\2016-09-09-refined-times.txt</v>
      </c>
      <c r="AI2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{"issue":{"subject":"","project_id":79,"tracker_id":40,"status_id":1,"priority_id":2,"assigned_to_id":23,"start_date":"2016-09-09","description":"","custom_fields":[{"id":1,"name":"Subdivision","value":"EC"},{"id":4,"name":"Milepost","value":"23.2848"},{"id":17,"name":"Train ID","value":"114-09"},{"id":16,"name":"Locomotive ID","value":"4010"},{"id":130,"name":"Impact","value":""},{"id":150,"name":"Time of Event (Mountain Time)","value":"06:50:07"},{"id":151,"name":"Denver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</row>
    <row r="27" spans="1:38" s="1" customFormat="1" x14ac:dyDescent="0.25">
      <c r="A27" s="38" t="s">
        <v>406</v>
      </c>
      <c r="B27" s="7">
        <v>4020</v>
      </c>
      <c r="C27" s="23" t="s">
        <v>108</v>
      </c>
      <c r="D27" s="23" t="s">
        <v>407</v>
      </c>
      <c r="E27" s="15">
        <v>42622.227766203701</v>
      </c>
      <c r="F27" s="15">
        <v>42622.229745370372</v>
      </c>
      <c r="G27" s="7">
        <v>1</v>
      </c>
      <c r="H27" s="15" t="s">
        <v>241</v>
      </c>
      <c r="I27" s="15">
        <v>42622.254745370374</v>
      </c>
      <c r="J27" s="7">
        <v>1</v>
      </c>
      <c r="K27" s="114" t="str">
        <f t="shared" si="0"/>
        <v>4019/4020</v>
      </c>
      <c r="L27" s="23" t="str">
        <f>VLOOKUP(A27,'Trips&amp;Operators'!$C$1:$E$10000,3,FALSE)</f>
        <v>BREITSCH</v>
      </c>
      <c r="M27" s="6">
        <f t="shared" si="1"/>
        <v>2.5000000001455192E-2</v>
      </c>
      <c r="N27" s="7">
        <f t="shared" si="15"/>
        <v>36.000000002095476</v>
      </c>
      <c r="O27" s="7"/>
      <c r="P27" s="7"/>
      <c r="Q27" s="24"/>
      <c r="R27" s="24"/>
      <c r="S27" s="36">
        <f t="shared" si="2"/>
        <v>1</v>
      </c>
      <c r="T27" s="51" t="str">
        <f t="shared" si="3"/>
        <v>NorthBound</v>
      </c>
      <c r="U27" s="17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04:27:59-0600',mode:absolute,to:'2016-09-09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7" s="179" t="str">
        <f t="shared" si="5"/>
        <v>N</v>
      </c>
      <c r="X27" s="179">
        <f t="shared" si="19"/>
        <v>1</v>
      </c>
      <c r="Y27" s="66">
        <f t="shared" si="6"/>
        <v>7.7499999999999999E-2</v>
      </c>
      <c r="Z27" s="66">
        <f t="shared" si="7"/>
        <v>23.331399999999999</v>
      </c>
      <c r="AA27" s="66">
        <f t="shared" si="8"/>
        <v>23.253899999999998</v>
      </c>
      <c r="AB27" s="63" t="e">
        <f>VLOOKUP(A27,Enforcements!$C$7:$K$21,8,0)</f>
        <v>#N/A</v>
      </c>
      <c r="AC27" s="59" t="e">
        <f>VLOOKUP(A27,Enforcements!$C$7:$E$21,3,0)</f>
        <v>#N/A</v>
      </c>
      <c r="AD27" s="60" t="str">
        <f t="shared" si="9"/>
        <v>0115-09</v>
      </c>
      <c r="AE27" s="96" t="str">
        <f t="shared" si="10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27" s="93" t="str">
        <f t="shared" si="11"/>
        <v>"C:\Program Files (x86)\AstroGrep\AstroGrep.exe" /spath="%USERPROFILE%\AppData\Local\Temp\OnboardLogs" /stypes="*4020*20160909*" /stext=" 12:.+((SYSTEM_STATE.+slice.+state.+changed )|(ment ac)|(system.+state.+changed )|(\|lc)|(penalty)|(\[timeout)|(PRM\|1\|D)|(kpr)|(kdp))" /e /r /s</v>
      </c>
      <c r="AG27" s="1" t="str">
        <f t="shared" si="12"/>
        <v>EC</v>
      </c>
      <c r="AH27" s="97" t="str">
        <f t="shared" si="17"/>
        <v>"%USERPROFILE%\Documents\GitHub\eaglep3\Utilities\RefineRTDCRunTimes.py" --tripid 115-09 --locoid 4020 --swversion DE.1.0.7.0 --startMP 204:775 --initTime 2016-09-09T05:27:59 --startdatetime 2016-09-09T05:30:50 --delay 1 --endMP 204:233314 --enddatetime 2016-09-09T06:06:50 --enforcementcount 1 &gt;&gt;C:\Users\stu\Documents\GitHub\eaglep3-reporting\EC\2016-09-09-refined-times.txt</v>
      </c>
      <c r="AI2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{"issue":{"subject":"","project_id":79,"tracker_id":40,"status_id":1,"priority_id":2,"assigned_to_id":23,"start_date":"2016-09-09","description":"","custom_fields":[{"id":1,"name":"Subdivision","value":"EC"},{"id":4,"name":"Milepost","value":"23.2539"},{"id":17,"name":"Train ID","value":"115-09"},{"id":16,"name":"Locomotive ID","value":"4020"},{"id":130,"name":"Impact","value":""},{"id":150,"name":"Time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</row>
    <row r="28" spans="1:38" s="1" customFormat="1" x14ac:dyDescent="0.25">
      <c r="A28" s="38" t="s">
        <v>408</v>
      </c>
      <c r="B28" s="7">
        <v>4019</v>
      </c>
      <c r="C28" s="23" t="s">
        <v>108</v>
      </c>
      <c r="D28" s="23" t="s">
        <v>409</v>
      </c>
      <c r="E28" s="15">
        <v>42622.257418981484</v>
      </c>
      <c r="F28" s="15">
        <v>42622.268726851849</v>
      </c>
      <c r="G28" s="7">
        <v>2</v>
      </c>
      <c r="H28" s="15" t="s">
        <v>256</v>
      </c>
      <c r="I28" s="15">
        <v>42622.296956018516</v>
      </c>
      <c r="J28" s="7">
        <v>1</v>
      </c>
      <c r="K28" s="114" t="str">
        <f t="shared" si="0"/>
        <v>4019/4020</v>
      </c>
      <c r="L28" s="23" t="str">
        <f>VLOOKUP(A28,'Trips&amp;Operators'!$C$1:$E$10000,3,FALSE)</f>
        <v>BREITSCH</v>
      </c>
      <c r="M28" s="6">
        <f t="shared" si="1"/>
        <v>2.8229166666278616E-2</v>
      </c>
      <c r="N28" s="7">
        <f t="shared" si="15"/>
        <v>40.649999999441206</v>
      </c>
      <c r="O28" s="7"/>
      <c r="P28" s="7"/>
      <c r="Q28" s="24"/>
      <c r="R28" s="24"/>
      <c r="S28" s="36">
        <f t="shared" si="2"/>
        <v>1</v>
      </c>
      <c r="T28" s="51" t="str">
        <f t="shared" si="3"/>
        <v>Southbound</v>
      </c>
      <c r="U28" s="17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05:10:41-0600',mode:absolute,to:'2016-09-09 08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8" s="179" t="str">
        <f t="shared" si="5"/>
        <v>N</v>
      </c>
      <c r="X28" s="179">
        <f t="shared" si="19"/>
        <v>1</v>
      </c>
      <c r="Y28" s="66">
        <f t="shared" si="6"/>
        <v>23.296500000000002</v>
      </c>
      <c r="Z28" s="66">
        <f t="shared" si="7"/>
        <v>1.4999999999999999E-2</v>
      </c>
      <c r="AA28" s="66">
        <f t="shared" si="8"/>
        <v>23.281500000000001</v>
      </c>
      <c r="AB28" s="63" t="str">
        <f>VLOOKUP(A28,Enforcements!$C$7:$K$21,8,0)</f>
        <v>Speed (6)</v>
      </c>
      <c r="AC28" s="59" t="str">
        <f>VLOOKUP(A28,Enforcements!$C$7:$E$21,3,0)</f>
        <v>PERMANENT SPEED RESTRICTION</v>
      </c>
      <c r="AD28" s="60" t="str">
        <f t="shared" si="9"/>
        <v>0116-09</v>
      </c>
      <c r="AE28" s="96" t="str">
        <f t="shared" si="10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28" s="93" t="str">
        <f t="shared" si="11"/>
        <v>"C:\Program Files (x86)\AstroGrep\AstroGrep.exe" /spath="%USERPROFILE%\AppData\Local\Temp\OnboardLogs" /stypes="*4019*20160909*" /stext=" 13:.+((SYSTEM_STATE.+slice.+state.+changed )|(ment ac)|(system.+state.+changed )|(\|lc)|(penalty)|(\[timeout)|(PRM\|1\|D)|(kpr)|(kdp))" /e /r /s</v>
      </c>
      <c r="AG28" s="1" t="str">
        <f t="shared" si="12"/>
        <v>EC</v>
      </c>
      <c r="AH28" s="97" t="str">
        <f t="shared" si="17"/>
        <v>"%USERPROFILE%\Documents\GitHub\eaglep3\Utilities\RefineRTDCRunTimes.py" --tripid 116-09 --locoid 4019 --swversion DE.1.0.7.0 --startMP 204:232965 --initTime 2016-09-09T06:10:41 --startdatetime 2016-09-09T06:26:58 --delay 2 --endMP 204:150 --enddatetime 2016-09-09T07:07:37 --enforcementcount 1 &gt;&gt;C:\Users\stu\Documents\GitHub\eaglep3-reporting\EC\2016-09-09-refined-times.txt</v>
      </c>
      <c r="AI2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{"issue":{"subject":"","project_id":79,"tracker_id":40,"status_id":1,"priority_id":2,"assigned_to_id":23,"start_date":"2016-09-09","description":"","custom_fields":[{"id":1,"name":"Subdivision","value":"EC"},{"id":4,"name":"Milepost","value":"23.2815"},{"id":17,"name":"Train ID","value":"116-09"},{"id":16,"name":"Locomotive ID","value":"4019"},{"id":130,"name":"Impact","value":""},{"id":150,"name":"Time of Event (Mountain Time)","value":"07:07:37"},{"id":151,"name":"Denver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</row>
    <row r="29" spans="1:38" s="1" customFormat="1" x14ac:dyDescent="0.25">
      <c r="A29" s="38" t="s">
        <v>410</v>
      </c>
      <c r="B29" s="7">
        <v>4011</v>
      </c>
      <c r="C29" s="23" t="s">
        <v>108</v>
      </c>
      <c r="D29" s="23" t="s">
        <v>271</v>
      </c>
      <c r="E29" s="15">
        <v>42622.233819444446</v>
      </c>
      <c r="F29" s="15">
        <v>42622.239710648151</v>
      </c>
      <c r="G29" s="7">
        <v>1</v>
      </c>
      <c r="H29" s="15" t="s">
        <v>310</v>
      </c>
      <c r="I29" s="15">
        <v>42622.265983796293</v>
      </c>
      <c r="J29" s="7">
        <v>1</v>
      </c>
      <c r="K29" s="114" t="str">
        <f t="shared" si="0"/>
        <v>4011/4012</v>
      </c>
      <c r="L29" s="23" t="str">
        <f>VLOOKUP(A29,'Trips&amp;Operators'!$C$1:$E$10000,3,FALSE)</f>
        <v>DAVIS</v>
      </c>
      <c r="M29" s="6">
        <f t="shared" si="1"/>
        <v>2.6273148141626734E-2</v>
      </c>
      <c r="N29" s="7">
        <f t="shared" si="15"/>
        <v>37.833333323942497</v>
      </c>
      <c r="O29" s="7"/>
      <c r="P29" s="7"/>
      <c r="Q29" s="24"/>
      <c r="R29" s="24"/>
      <c r="S29" s="36">
        <f t="shared" si="2"/>
        <v>1</v>
      </c>
      <c r="T29" s="51" t="str">
        <f t="shared" si="3"/>
        <v>NorthBound</v>
      </c>
      <c r="U29" s="17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04:36:42-0600',mode:absolute,to:'2016-09-09 07:23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9" s="179" t="str">
        <f t="shared" si="5"/>
        <v>N</v>
      </c>
      <c r="X29" s="179">
        <f t="shared" si="19"/>
        <v>1</v>
      </c>
      <c r="Y29" s="66">
        <f t="shared" si="6"/>
        <v>4.3700000000000003E-2</v>
      </c>
      <c r="Z29" s="66">
        <f t="shared" si="7"/>
        <v>23.3293</v>
      </c>
      <c r="AA29" s="66">
        <f t="shared" si="8"/>
        <v>23.285599999999999</v>
      </c>
      <c r="AB29" s="63" t="e">
        <f>VLOOKUP(A29,Enforcements!$C$7:$K$21,8,0)</f>
        <v>#N/A</v>
      </c>
      <c r="AC29" s="59" t="e">
        <f>VLOOKUP(A29,Enforcements!$C$7:$E$21,3,0)</f>
        <v>#N/A</v>
      </c>
      <c r="AD29" s="60" t="str">
        <f t="shared" si="9"/>
        <v>0117-09</v>
      </c>
      <c r="AE29" s="96" t="str">
        <f t="shared" si="10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29" s="93" t="str">
        <f t="shared" si="11"/>
        <v>"C:\Program Files (x86)\AstroGrep\AstroGrep.exe" /spath="%USERPROFILE%\AppData\Local\Temp\OnboardLogs" /stypes="*4011*20160909*" /stext=" 12:.+((SYSTEM_STATE.+slice.+state.+changed )|(ment ac)|(system.+state.+changed )|(\|lc)|(penalty)|(\[timeout)|(PRM\|1\|D)|(kpr)|(kdp))" /e /r /s</v>
      </c>
      <c r="AG29" s="1" t="str">
        <f t="shared" si="12"/>
        <v>EC</v>
      </c>
      <c r="AH29" s="97" t="str">
        <f t="shared" si="17"/>
        <v>"%USERPROFILE%\Documents\GitHub\eaglep3\Utilities\RefineRTDCRunTimes.py" --tripid 117-09 --locoid 4011 --swversion DE.1.0.7.0 --startMP 204:437 --initTime 2016-09-09T05:36:42 --startdatetime 2016-09-09T05:45:11 --delay 1 --endMP 204:233293 --enddatetime 2016-09-09T06:23:01 --enforcementcount 1 &gt;&gt;C:\Users\stu\Documents\GitHub\eaglep3-reporting\EC\2016-09-09-refined-times.txt</v>
      </c>
      <c r="AI2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{"issue":{"subject":"","project_id":79,"tracker_id":40,"status_id":1,"priority_id":2,"assigned_to_id":23,"start_date":"2016-09-09","description":"","custom_fields":[{"id":1,"name":"Subdivision","value":"EC"},{"id":4,"name":"Milepost","value":"23.2856"},{"id":17,"name":"Train ID","value":"117-09"},{"id":16,"name":"Locomotive ID","value":"4011"},{"id":130,"name":"Impact","value":""},{"id":150,"name":"Time of Event (Mountain Time)","value":"06:23:01"},{"id":151,"name":"Denver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</row>
    <row r="30" spans="1:38" s="1" customFormat="1" x14ac:dyDescent="0.25">
      <c r="A30" s="38" t="s">
        <v>411</v>
      </c>
      <c r="B30" s="7">
        <v>4012</v>
      </c>
      <c r="C30" s="23" t="s">
        <v>108</v>
      </c>
      <c r="D30" s="23" t="s">
        <v>325</v>
      </c>
      <c r="E30" s="15">
        <v>42622.273912037039</v>
      </c>
      <c r="F30" s="15">
        <v>42622.278703703705</v>
      </c>
      <c r="G30" s="7">
        <v>1</v>
      </c>
      <c r="H30" s="15" t="s">
        <v>245</v>
      </c>
      <c r="I30" s="15">
        <v>42622.306516203702</v>
      </c>
      <c r="J30" s="7">
        <v>1</v>
      </c>
      <c r="K30" s="114" t="str">
        <f t="shared" si="0"/>
        <v>4011/4012</v>
      </c>
      <c r="L30" s="23" t="str">
        <f>VLOOKUP(A30,'Trips&amp;Operators'!$C$1:$E$10000,3,FALSE)</f>
        <v>DAVIS</v>
      </c>
      <c r="M30" s="6">
        <f t="shared" si="1"/>
        <v>2.7812499996798579E-2</v>
      </c>
      <c r="N30" s="7">
        <f t="shared" si="15"/>
        <v>40.049999995389953</v>
      </c>
      <c r="O30" s="7"/>
      <c r="P30" s="7"/>
      <c r="Q30" s="24"/>
      <c r="R30" s="24"/>
      <c r="S30" s="36">
        <f t="shared" si="2"/>
        <v>1</v>
      </c>
      <c r="T30" s="51" t="str">
        <f t="shared" si="3"/>
        <v>Southbound</v>
      </c>
      <c r="U30" s="17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05:34:26-0600',mode:absolute,to:'2016-09-09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0" s="179" t="str">
        <f t="shared" si="5"/>
        <v>N</v>
      </c>
      <c r="X30" s="179">
        <f t="shared" si="19"/>
        <v>1</v>
      </c>
      <c r="Y30" s="66">
        <f t="shared" si="6"/>
        <v>23.2989</v>
      </c>
      <c r="Z30" s="66">
        <f t="shared" si="7"/>
        <v>1.6299999999999999E-2</v>
      </c>
      <c r="AA30" s="66">
        <f t="shared" si="8"/>
        <v>23.282599999999999</v>
      </c>
      <c r="AB30" s="63" t="e">
        <f>VLOOKUP(A30,Enforcements!$C$7:$K$21,8,0)</f>
        <v>#N/A</v>
      </c>
      <c r="AC30" s="59" t="e">
        <f>VLOOKUP(A30,Enforcements!$C$7:$E$21,3,0)</f>
        <v>#N/A</v>
      </c>
      <c r="AD30" s="60" t="str">
        <f t="shared" si="9"/>
        <v>0118-09</v>
      </c>
      <c r="AE30" s="96" t="str">
        <f t="shared" si="10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30" s="93" t="str">
        <f t="shared" si="11"/>
        <v>"C:\Program Files (x86)\AstroGrep\AstroGrep.exe" /spath="%USERPROFILE%\AppData\Local\Temp\OnboardLogs" /stypes="*4012*20160909*" /stext=" 13:.+((SYSTEM_STATE.+slice.+state.+changed )|(ment ac)|(system.+state.+changed )|(\|lc)|(penalty)|(\[timeout)|(PRM\|1\|D)|(kpr)|(kdp))" /e /r /s</v>
      </c>
      <c r="AG30" s="1" t="str">
        <f t="shared" si="12"/>
        <v>EC</v>
      </c>
      <c r="AH30" s="97" t="str">
        <f t="shared" si="17"/>
        <v>"%USERPROFILE%\Documents\GitHub\eaglep3\Utilities\RefineRTDCRunTimes.py" --tripid 118-09 --locoid 4012 --swversion DE.1.0.7.0 --startMP 204:232989 --initTime 2016-09-09T06:34:26 --startdatetime 2016-09-09T06:41:20 --delay 1 --endMP 204:163 --enddatetime 2016-09-09T07:21:23 --enforcementcount 1 &gt;&gt;C:\Users\stu\Documents\GitHub\eaglep3-reporting\EC\2016-09-09-refined-times.txt</v>
      </c>
      <c r="AI3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{"issue":{"subject":"","project_id":79,"tracker_id":40,"status_id":1,"priority_id":2,"assigned_to_id":23,"start_date":"2016-09-09","description":"","custom_fields":[{"id":1,"name":"Subdivision","value":"EC"},{"id":4,"name":"Milepost","value":"23.2826"},{"id":17,"name":"Train ID","value":"118-09"},{"id":16,"name":"Locomotive ID","value":"4012"},{"id":130,"name":"Impact","value":""},{"id":150,"name":"Time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</row>
    <row r="31" spans="1:38" s="1" customFormat="1" x14ac:dyDescent="0.25">
      <c r="A31" s="38" t="s">
        <v>412</v>
      </c>
      <c r="B31" s="7">
        <v>4016</v>
      </c>
      <c r="C31" s="23" t="s">
        <v>108</v>
      </c>
      <c r="D31" s="23" t="s">
        <v>402</v>
      </c>
      <c r="E31" s="15">
        <v>42622.247928240744</v>
      </c>
      <c r="F31" s="15">
        <v>42622.250300925924</v>
      </c>
      <c r="G31" s="7">
        <v>1</v>
      </c>
      <c r="H31" s="15" t="s">
        <v>272</v>
      </c>
      <c r="I31" s="15">
        <v>42622.275625000002</v>
      </c>
      <c r="J31" s="7">
        <v>1</v>
      </c>
      <c r="K31" s="114" t="str">
        <f t="shared" si="0"/>
        <v>4015/4016</v>
      </c>
      <c r="L31" s="23" t="str">
        <f>VLOOKUP(A31,'Trips&amp;Operators'!$C$1:$E$10000,3,FALSE)</f>
        <v>MALAVE</v>
      </c>
      <c r="M31" s="6">
        <f t="shared" si="1"/>
        <v>2.5324074078525882E-2</v>
      </c>
      <c r="N31" s="7">
        <f t="shared" si="15"/>
        <v>36.46666667307727</v>
      </c>
      <c r="O31" s="7"/>
      <c r="P31" s="7"/>
      <c r="Q31" s="24"/>
      <c r="R31" s="24"/>
      <c r="S31" s="36">
        <f t="shared" si="2"/>
        <v>1</v>
      </c>
      <c r="T31" s="51" t="str">
        <f t="shared" si="3"/>
        <v>NorthBound</v>
      </c>
      <c r="U31" s="17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04:57:01-0600',mode:absolute,to:'2016-09-09 07:36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1" s="179" t="str">
        <f t="shared" si="5"/>
        <v>N</v>
      </c>
      <c r="X31" s="179">
        <f t="shared" si="19"/>
        <v>1</v>
      </c>
      <c r="Y31" s="66">
        <f t="shared" si="6"/>
        <v>7.8799999999999995E-2</v>
      </c>
      <c r="Z31" s="66">
        <f t="shared" si="7"/>
        <v>23.329699999999999</v>
      </c>
      <c r="AA31" s="66">
        <f t="shared" si="8"/>
        <v>23.250899999999998</v>
      </c>
      <c r="AB31" s="63" t="e">
        <f>VLOOKUP(A31,Enforcements!$C$7:$K$21,8,0)</f>
        <v>#N/A</v>
      </c>
      <c r="AC31" s="59" t="e">
        <f>VLOOKUP(A31,Enforcements!$C$7:$E$21,3,0)</f>
        <v>#N/A</v>
      </c>
      <c r="AD31" s="60" t="str">
        <f t="shared" si="9"/>
        <v>0119-09</v>
      </c>
      <c r="AE31" s="96" t="str">
        <f t="shared" si="10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31" s="93" t="str">
        <f t="shared" si="11"/>
        <v>"C:\Program Files (x86)\AstroGrep\AstroGrep.exe" /spath="%USERPROFILE%\AppData\Local\Temp\OnboardLogs" /stypes="*4016*20160909*" /stext=" 12:.+((SYSTEM_STATE.+slice.+state.+changed )|(ment ac)|(system.+state.+changed )|(\|lc)|(penalty)|(\[timeout)|(PRM\|1\|D)|(kpr)|(kdp))" /e /r /s</v>
      </c>
      <c r="AG31" s="1" t="str">
        <f t="shared" si="12"/>
        <v>EC</v>
      </c>
      <c r="AH31" s="97" t="str">
        <f t="shared" si="17"/>
        <v>"%USERPROFILE%\Documents\GitHub\eaglep3\Utilities\RefineRTDCRunTimes.py" --tripid 119-09 --locoid 4016 --swversion DE.1.0.7.0 --startMP 204:788 --initTime 2016-09-09T05:57:01 --startdatetime 2016-09-09T06:00:26 --delay 1 --endMP 204:233297 --enddatetime 2016-09-09T06:36:54 --enforcementcount 1 &gt;&gt;C:\Users\stu\Documents\GitHub\eaglep3-reporting\EC\2016-09-09-refined-times.txt</v>
      </c>
      <c r="AI3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{"issue":{"subject":"","project_id":79,"tracker_id":40,"status_id":1,"priority_id":2,"assigned_to_id":23,"start_date":"2016-09-09","description":"","custom_fields":[{"id":1,"name":"Subdivision","value":"EC"},{"id":4,"name":"Milepost","value":"23.2509"},{"id":17,"name":"Train ID","value":"119-09"},{"id":16,"name":"Locomotive ID","value":"4016"},{"id":130,"name":"Impact","value":""},{"id":150,"name":"Time of Event (Mountain Time)","value":"06:36:54"},{"id":151,"name":"Denver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</row>
    <row r="32" spans="1:38" s="1" customFormat="1" x14ac:dyDescent="0.25">
      <c r="A32" s="38" t="s">
        <v>413</v>
      </c>
      <c r="B32" s="7">
        <v>4015</v>
      </c>
      <c r="C32" s="23" t="s">
        <v>108</v>
      </c>
      <c r="D32" s="23" t="s">
        <v>321</v>
      </c>
      <c r="E32" s="15">
        <v>42622.287824074076</v>
      </c>
      <c r="F32" s="15">
        <v>42622.289120370369</v>
      </c>
      <c r="G32" s="7">
        <v>1</v>
      </c>
      <c r="H32" s="15" t="s">
        <v>240</v>
      </c>
      <c r="I32" s="15">
        <v>42622.315555555557</v>
      </c>
      <c r="J32" s="7">
        <v>1</v>
      </c>
      <c r="K32" s="114" t="str">
        <f t="shared" si="0"/>
        <v>4015/4016</v>
      </c>
      <c r="L32" s="23" t="str">
        <f>VLOOKUP(A32,'Trips&amp;Operators'!$C$1:$E$10000,3,FALSE)</f>
        <v>MALAVE</v>
      </c>
      <c r="M32" s="6">
        <f t="shared" si="1"/>
        <v>2.6435185187438037E-2</v>
      </c>
      <c r="N32" s="7">
        <f t="shared" si="15"/>
        <v>38.066666669910774</v>
      </c>
      <c r="O32" s="7"/>
      <c r="P32" s="7"/>
      <c r="Q32" s="24"/>
      <c r="R32" s="24"/>
      <c r="S32" s="36">
        <f t="shared" si="2"/>
        <v>1</v>
      </c>
      <c r="T32" s="51" t="str">
        <f t="shared" si="3"/>
        <v>Southbound</v>
      </c>
      <c r="U32" s="17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05:54:28-0600',mode:absolute,to:'2016-09-09 08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2" s="179" t="str">
        <f t="shared" si="5"/>
        <v>N</v>
      </c>
      <c r="X32" s="179">
        <f t="shared" si="19"/>
        <v>1</v>
      </c>
      <c r="Y32" s="66">
        <f t="shared" si="6"/>
        <v>23.2973</v>
      </c>
      <c r="Z32" s="66">
        <f t="shared" si="7"/>
        <v>1.49E-2</v>
      </c>
      <c r="AA32" s="66">
        <f t="shared" si="8"/>
        <v>23.282399999999999</v>
      </c>
      <c r="AB32" s="63" t="e">
        <f>VLOOKUP(A32,Enforcements!$C$7:$K$21,8,0)</f>
        <v>#N/A</v>
      </c>
      <c r="AC32" s="59" t="e">
        <f>VLOOKUP(A32,Enforcements!$C$7:$E$21,3,0)</f>
        <v>#N/A</v>
      </c>
      <c r="AD32" s="60" t="str">
        <f t="shared" si="9"/>
        <v>0120-09</v>
      </c>
      <c r="AE32" s="96" t="str">
        <f t="shared" si="10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32" s="93" t="str">
        <f t="shared" si="11"/>
        <v>"C:\Program Files (x86)\AstroGrep\AstroGrep.exe" /spath="%USERPROFILE%\AppData\Local\Temp\OnboardLogs" /stypes="*4015*20160909*" /stext=" 13:.+((SYSTEM_STATE.+slice.+state.+changed )|(ment ac)|(system.+state.+changed )|(\|lc)|(penalty)|(\[timeout)|(PRM\|1\|D)|(kpr)|(kdp))" /e /r /s</v>
      </c>
      <c r="AG32" s="1" t="str">
        <f t="shared" si="12"/>
        <v>EC</v>
      </c>
      <c r="AH32" s="97" t="str">
        <f t="shared" si="17"/>
        <v>"%USERPROFILE%\Documents\GitHub\eaglep3\Utilities\RefineRTDCRunTimes.py" --tripid 120-09 --locoid 4015 --swversion DE.1.0.7.0 --startMP 204:232973 --initTime 2016-09-09T06:54:28 --startdatetime 2016-09-09T06:56:20 --delay 1 --endMP 204:149 --enddatetime 2016-09-09T07:34:24 --enforcementcount 1 &gt;&gt;C:\Users\stu\Documents\GitHub\eaglep3-reporting\EC\2016-09-09-refined-times.txt</v>
      </c>
      <c r="AI3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{"issue":{"subject":"","project_id":79,"tracker_id":40,"status_id":1,"priority_id":2,"assigned_to_id":23,"start_date":"2016-09-09","description":"","custom_fields":[{"id":1,"name":"Subdivision","value":"EC"},{"id":4,"name":"Milepost","value":"23.2824"},{"id":17,"name":"Train ID","value":"120-09"},{"id":16,"name":"Locomotive ID","value":"4015"},{"id":130,"name":"Impact","value":""},{"id":150,"name":"Time of Event (Mountain Time)","value":"07:34:24"},{"id":151,"name":"Denver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</row>
    <row r="33" spans="1:38" s="1" customFormat="1" x14ac:dyDescent="0.25">
      <c r="A33" s="38" t="s">
        <v>414</v>
      </c>
      <c r="B33" s="7">
        <v>4025</v>
      </c>
      <c r="C33" s="23" t="s">
        <v>108</v>
      </c>
      <c r="D33" s="23" t="s">
        <v>261</v>
      </c>
      <c r="E33" s="15">
        <v>42622.254988425928</v>
      </c>
      <c r="F33" s="15">
        <v>42622.260567129626</v>
      </c>
      <c r="G33" s="7">
        <v>7</v>
      </c>
      <c r="H33" s="15" t="s">
        <v>333</v>
      </c>
      <c r="I33" s="15">
        <v>42622.286643518521</v>
      </c>
      <c r="J33" s="7">
        <v>1</v>
      </c>
      <c r="K33" s="114" t="str">
        <f t="shared" si="0"/>
        <v>4025/4026</v>
      </c>
      <c r="L33" s="23" t="str">
        <f>VLOOKUP(A33,'Trips&amp;Operators'!$C$1:$E$10000,3,FALSE)</f>
        <v>RICHARDSON</v>
      </c>
      <c r="M33" s="6">
        <f t="shared" si="1"/>
        <v>2.6076388894580305E-2</v>
      </c>
      <c r="N33" s="7">
        <f t="shared" si="15"/>
        <v>37.550000008195639</v>
      </c>
      <c r="O33" s="7"/>
      <c r="P33" s="7"/>
      <c r="Q33" s="24"/>
      <c r="R33" s="24"/>
      <c r="S33" s="36">
        <f t="shared" si="2"/>
        <v>1</v>
      </c>
      <c r="T33" s="51" t="str">
        <f t="shared" si="3"/>
        <v>NorthBound</v>
      </c>
      <c r="U33" s="17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05:07:11-0600',mode:absolute,to:'2016-09-09 07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33" s="179" t="str">
        <f t="shared" si="5"/>
        <v>N</v>
      </c>
      <c r="X33" s="179">
        <f t="shared" si="19"/>
        <v>1</v>
      </c>
      <c r="Y33" s="66">
        <f t="shared" si="6"/>
        <v>4.6199999999999998E-2</v>
      </c>
      <c r="Z33" s="66">
        <f t="shared" si="7"/>
        <v>23.332100000000001</v>
      </c>
      <c r="AA33" s="66">
        <f t="shared" si="8"/>
        <v>23.285900000000002</v>
      </c>
      <c r="AB33" s="63" t="e">
        <f>VLOOKUP(A33,Enforcements!$C$7:$K$21,8,0)</f>
        <v>#N/A</v>
      </c>
      <c r="AC33" s="59" t="e">
        <f>VLOOKUP(A33,Enforcements!$C$7:$E$21,3,0)</f>
        <v>#N/A</v>
      </c>
      <c r="AD33" s="60" t="str">
        <f t="shared" si="9"/>
        <v>0121-09</v>
      </c>
      <c r="AE33" s="96" t="str">
        <f t="shared" si="10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33" s="93" t="str">
        <f t="shared" si="11"/>
        <v>"C:\Program Files (x86)\AstroGrep\AstroGrep.exe" /spath="%USERPROFILE%\AppData\Local\Temp\OnboardLogs" /stypes="*4025*20160909*" /stext=" 12:.+((SYSTEM_STATE.+slice.+state.+changed )|(ment ac)|(system.+state.+changed )|(\|lc)|(penalty)|(\[timeout)|(PRM\|1\|D)|(kpr)|(kdp))" /e /r /s</v>
      </c>
      <c r="AG33" s="1" t="str">
        <f t="shared" si="12"/>
        <v>EC</v>
      </c>
      <c r="AH33" s="97" t="str">
        <f t="shared" si="17"/>
        <v>"%USERPROFILE%\Documents\GitHub\eaglep3\Utilities\RefineRTDCRunTimes.py" --tripid 121-09 --locoid 4025 --swversion DE.1.0.7.0 --startMP 204:462 --initTime 2016-09-09T06:07:11 --startdatetime 2016-09-09T06:15:13 --delay 7 --endMP 204:233321 --enddatetime 2016-09-09T06:52:46 --enforcementcount 1 &gt;&gt;C:\Users\stu\Documents\GitHub\eaglep3-reporting\EC\2016-09-09-refined-times.txt</v>
      </c>
      <c r="AI33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{"issue":{"subject":"","project_id":79,"tracker_id":40,"status_id":1,"priority_id":2,"assigned_to_id":23,"start_date":"2016-09-09","description":"","custom_fields":[{"id":1,"name":"Subdivision","value":"EC"},{"id":4,"name":"Milepost","value":"23.2859"},{"id":17,"name":"Train ID","value":"121-09"},{"id":16,"name":"Locomotive ID","value":"4025"},{"id":130,"name":"Impact","value":""},{"id":150,"name":"Time of Event (Mountain Time)","value":"06:52:46"},{"id":151,"name":"Denver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</row>
    <row r="34" spans="1:38" s="1" customFormat="1" ht="16.5" customHeight="1" x14ac:dyDescent="0.25">
      <c r="A34" s="38" t="s">
        <v>415</v>
      </c>
      <c r="B34" s="7">
        <v>4026</v>
      </c>
      <c r="C34" s="23" t="s">
        <v>108</v>
      </c>
      <c r="D34" s="23" t="s">
        <v>266</v>
      </c>
      <c r="E34" s="15">
        <v>42622.296053240738</v>
      </c>
      <c r="F34" s="15">
        <v>42622.299502314818</v>
      </c>
      <c r="G34" s="7">
        <v>1</v>
      </c>
      <c r="H34" s="15" t="s">
        <v>416</v>
      </c>
      <c r="I34" s="15">
        <v>42622.326828703706</v>
      </c>
      <c r="J34" s="7">
        <v>1</v>
      </c>
      <c r="K34" s="114" t="str">
        <f t="shared" si="0"/>
        <v>4025/4026</v>
      </c>
      <c r="L34" s="23" t="str">
        <f>VLOOKUP(A34,'Trips&amp;Operators'!$C$1:$E$10000,3,FALSE)</f>
        <v>RICHARDSON</v>
      </c>
      <c r="M34" s="6">
        <f t="shared" si="1"/>
        <v>2.73263888884685E-2</v>
      </c>
      <c r="N34" s="7">
        <f t="shared" si="15"/>
        <v>39.34999999939464</v>
      </c>
      <c r="O34" s="7"/>
      <c r="P34" s="7"/>
      <c r="Q34" s="24"/>
      <c r="R34" s="24"/>
      <c r="S34" s="36">
        <f t="shared" si="2"/>
        <v>1</v>
      </c>
      <c r="T34" s="51" t="str">
        <f t="shared" si="3"/>
        <v>Southbound</v>
      </c>
      <c r="U34" s="17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06:06:19-0600',mode:absolute,to:'2016-09-09 08:50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4" s="179" t="str">
        <f t="shared" si="5"/>
        <v>N</v>
      </c>
      <c r="X34" s="179">
        <f t="shared" si="19"/>
        <v>1</v>
      </c>
      <c r="Y34" s="66">
        <f t="shared" si="6"/>
        <v>23.299600000000002</v>
      </c>
      <c r="Z34" s="66">
        <f t="shared" si="7"/>
        <v>2.1399999999999999E-2</v>
      </c>
      <c r="AA34" s="66">
        <f t="shared" si="8"/>
        <v>23.278200000000002</v>
      </c>
      <c r="AB34" s="63" t="e">
        <f>VLOOKUP(A34,Enforcements!$C$7:$K$21,8,0)</f>
        <v>#N/A</v>
      </c>
      <c r="AC34" s="59" t="e">
        <f>VLOOKUP(A34,Enforcements!$C$7:$E$21,3,0)</f>
        <v>#N/A</v>
      </c>
      <c r="AD34" s="60" t="str">
        <f t="shared" si="9"/>
        <v>0122-09</v>
      </c>
      <c r="AE34" s="96" t="str">
        <f t="shared" si="10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34" s="93" t="str">
        <f t="shared" si="11"/>
        <v>"C:\Program Files (x86)\AstroGrep\AstroGrep.exe" /spath="%USERPROFILE%\AppData\Local\Temp\OnboardLogs" /stypes="*4026*20160909*" /stext=" 13:.+((SYSTEM_STATE.+slice.+state.+changed )|(ment ac)|(system.+state.+changed )|(\|lc)|(penalty)|(\[timeout)|(PRM\|1\|D)|(kpr)|(kdp))" /e /r /s</v>
      </c>
      <c r="AG34" s="1" t="str">
        <f t="shared" si="12"/>
        <v>EC</v>
      </c>
      <c r="AH34" s="97" t="str">
        <f t="shared" si="17"/>
        <v>"%USERPROFILE%\Documents\GitHub\eaglep3\Utilities\RefineRTDCRunTimes.py" --tripid 122-09 --locoid 4026 --swversion DE.1.0.7.0 --startMP 204:232996 --initTime 2016-09-09T07:06:19 --startdatetime 2016-09-09T07:11:17 --delay 1 --endMP 204:214 --enddatetime 2016-09-09T07:50:38 --enforcementcount 1 &gt;&gt;C:\Users\stu\Documents\GitHub\eaglep3-reporting\EC\2016-09-09-refined-times.txt</v>
      </c>
      <c r="AI3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{"issue":{"subject":"","project_id":79,"tracker_id":40,"status_id":1,"priority_id":2,"assigned_to_id":23,"start_date":"2016-09-09","description":"","custom_fields":[{"id":1,"name":"Subdivision","value":"EC"},{"id":4,"name":"Milepost","value":"23.2782"},{"id":17,"name":"Train ID","value":"122-09"},{"id":16,"name":"Locomotive ID","value":"4026"},{"id":130,"name":"Impact","value":""},{"id":150,"name":"Time of Event (Mountain Time)","value":"07:50:38"},{"id":151,"name":"Denver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</row>
    <row r="35" spans="1:38" s="1" customFormat="1" x14ac:dyDescent="0.25">
      <c r="A35" s="38" t="s">
        <v>417</v>
      </c>
      <c r="B35" s="7">
        <v>4031</v>
      </c>
      <c r="C35" s="23" t="s">
        <v>108</v>
      </c>
      <c r="D35" s="23" t="s">
        <v>278</v>
      </c>
      <c r="E35" s="15">
        <v>42622.266574074078</v>
      </c>
      <c r="F35" s="15">
        <v>42622.271006944444</v>
      </c>
      <c r="G35" s="7">
        <v>2</v>
      </c>
      <c r="H35" s="15" t="s">
        <v>272</v>
      </c>
      <c r="I35" s="15">
        <v>42622.295902777776</v>
      </c>
      <c r="J35" s="7">
        <v>1</v>
      </c>
      <c r="K35" s="114" t="str">
        <f t="shared" si="0"/>
        <v>4031/4032</v>
      </c>
      <c r="L35" s="23" t="str">
        <f>VLOOKUP(A35,'Trips&amp;Operators'!$C$1:$E$10000,3,FALSE)</f>
        <v>BRANDNER</v>
      </c>
      <c r="M35" s="6">
        <f t="shared" si="1"/>
        <v>2.4895833332266193E-2</v>
      </c>
      <c r="N35" s="7">
        <f t="shared" si="15"/>
        <v>35.849999998463318</v>
      </c>
      <c r="O35" s="7"/>
      <c r="P35" s="7"/>
      <c r="Q35" s="24"/>
      <c r="R35" s="24"/>
      <c r="S35" s="36">
        <f t="shared" si="2"/>
        <v>1</v>
      </c>
      <c r="T35" s="51" t="str">
        <f t="shared" si="3"/>
        <v>NorthBound</v>
      </c>
      <c r="U35" s="17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05:23:52-0600',mode:absolute,to:'2016-09-09 08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5" s="179" t="str">
        <f t="shared" si="5"/>
        <v>N</v>
      </c>
      <c r="X35" s="179">
        <f t="shared" si="19"/>
        <v>1</v>
      </c>
      <c r="Y35" s="66">
        <f t="shared" si="6"/>
        <v>4.5100000000000001E-2</v>
      </c>
      <c r="Z35" s="66">
        <f t="shared" si="7"/>
        <v>23.329699999999999</v>
      </c>
      <c r="AA35" s="66">
        <f t="shared" si="8"/>
        <v>23.284599999999998</v>
      </c>
      <c r="AB35" s="63" t="e">
        <f>VLOOKUP(A35,Enforcements!$C$7:$K$21,8,0)</f>
        <v>#N/A</v>
      </c>
      <c r="AC35" s="59" t="e">
        <f>VLOOKUP(A35,Enforcements!$C$7:$E$21,3,0)</f>
        <v>#N/A</v>
      </c>
      <c r="AD35" s="60" t="str">
        <f t="shared" si="9"/>
        <v>0123-09</v>
      </c>
      <c r="AE35" s="96" t="str">
        <f t="shared" si="10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35" s="93" t="str">
        <f t="shared" si="11"/>
        <v>"C:\Program Files (x86)\AstroGrep\AstroGrep.exe" /spath="%USERPROFILE%\AppData\Local\Temp\OnboardLogs" /stypes="*4031*20160909*" /stext=" 13:.+((SYSTEM_STATE.+slice.+state.+changed )|(ment ac)|(system.+state.+changed )|(\|lc)|(penalty)|(\[timeout)|(PRM\|1\|D)|(kpr)|(kdp))" /e /r /s</v>
      </c>
      <c r="AG35" s="1" t="str">
        <f t="shared" si="12"/>
        <v>EC</v>
      </c>
      <c r="AH35" s="97" t="str">
        <f t="shared" si="17"/>
        <v>"%USERPROFILE%\Documents\GitHub\eaglep3\Utilities\RefineRTDCRunTimes.py" --tripid 123-09 --locoid 4031 --swversion DE.1.0.7.0 --startMP 204:451 --initTime 2016-09-09T06:23:52 --startdatetime 2016-09-09T06:30:15 --delay 2 --endMP 204:233297 --enddatetime 2016-09-09T07:06:06 --enforcementcount 1 &gt;&gt;C:\Users\stu\Documents\GitHub\eaglep3-reporting\EC\2016-09-09-refined-times.txt</v>
      </c>
      <c r="AI3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{"issue":{"subject":"","project_id":79,"tracker_id":40,"status_id":1,"priority_id":2,"assigned_to_id":23,"start_date":"2016-09-09","description":"","custom_fields":[{"id":1,"name":"Subdivision","value":"EC"},{"id":4,"name":"Milepost","value":"23.2846"},{"id":17,"name":"Train ID","value":"123-09"},{"id":16,"name":"Locomotive ID","value":"4031"},{"id":130,"name":"Impact","value":""},{"id":150,"name":"Time of Event (Mountain Time)","value":"07:06:06"},{"id":151,"name":"Denver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</row>
    <row r="36" spans="1:38" s="30" customFormat="1" x14ac:dyDescent="0.25">
      <c r="A36" s="38" t="s">
        <v>418</v>
      </c>
      <c r="B36" s="7">
        <v>4032</v>
      </c>
      <c r="C36" s="23" t="s">
        <v>108</v>
      </c>
      <c r="D36" s="23" t="s">
        <v>312</v>
      </c>
      <c r="E36" s="15">
        <v>42622.30300925926</v>
      </c>
      <c r="F36" s="15">
        <v>42622.310046296298</v>
      </c>
      <c r="G36" s="7">
        <v>1</v>
      </c>
      <c r="H36" s="15" t="s">
        <v>344</v>
      </c>
      <c r="I36" s="15">
        <v>42622.337152777778</v>
      </c>
      <c r="J36" s="7">
        <v>1</v>
      </c>
      <c r="K36" s="114" t="str">
        <f t="shared" si="0"/>
        <v>4031/4032</v>
      </c>
      <c r="L36" s="23" t="str">
        <f>VLOOKUP(A36,'Trips&amp;Operators'!$C$1:$E$10000,3,FALSE)</f>
        <v>BRANDNER</v>
      </c>
      <c r="M36" s="6">
        <f t="shared" si="1"/>
        <v>2.7106481480586808E-2</v>
      </c>
      <c r="N36" s="7">
        <f t="shared" si="15"/>
        <v>39.033333332045004</v>
      </c>
      <c r="O36" s="7"/>
      <c r="P36" s="7"/>
      <c r="Q36" s="24"/>
      <c r="R36" s="24"/>
      <c r="S36" s="36">
        <f t="shared" si="2"/>
        <v>1</v>
      </c>
      <c r="T36" s="51" t="str">
        <f t="shared" si="3"/>
        <v>Southbound</v>
      </c>
      <c r="U36" s="17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06:16:20-0600',mode:absolute,to:'2016-09-09 09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6" s="179" t="str">
        <f t="shared" si="5"/>
        <v>N</v>
      </c>
      <c r="X36" s="179">
        <f t="shared" si="19"/>
        <v>1</v>
      </c>
      <c r="Y36" s="66">
        <f t="shared" si="6"/>
        <v>23.2987</v>
      </c>
      <c r="Z36" s="66">
        <f t="shared" si="7"/>
        <v>1.41E-2</v>
      </c>
      <c r="AA36" s="66">
        <f t="shared" si="8"/>
        <v>23.284600000000001</v>
      </c>
      <c r="AB36" s="63" t="e">
        <f>VLOOKUP(A36,Enforcements!$C$7:$K$21,8,0)</f>
        <v>#N/A</v>
      </c>
      <c r="AC36" s="59" t="e">
        <f>VLOOKUP(A36,Enforcements!$C$7:$E$21,3,0)</f>
        <v>#N/A</v>
      </c>
      <c r="AD36" s="60" t="str">
        <f t="shared" si="9"/>
        <v>0124-09</v>
      </c>
      <c r="AE36" s="96" t="str">
        <f t="shared" si="10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36" s="93" t="str">
        <f t="shared" si="11"/>
        <v>"C:\Program Files (x86)\AstroGrep\AstroGrep.exe" /spath="%USERPROFILE%\AppData\Local\Temp\OnboardLogs" /stypes="*4032*20160909*" /stext=" 14:.+((SYSTEM_STATE.+slice.+state.+changed )|(ment ac)|(system.+state.+changed )|(\|lc)|(penalty)|(\[timeout)|(PRM\|1\|D)|(kpr)|(kdp))" /e /r /s</v>
      </c>
      <c r="AG36" s="1" t="str">
        <f t="shared" si="12"/>
        <v>EC</v>
      </c>
      <c r="AH36" s="97" t="str">
        <f t="shared" si="17"/>
        <v>"%USERPROFILE%\Documents\GitHub\eaglep3\Utilities\RefineRTDCRunTimes.py" --tripid 124-09 --locoid 4032 --swversion DE.1.0.7.0 --startMP 204:232987 --initTime 2016-09-09T07:16:20 --startdatetime 2016-09-09T07:26:28 --delay 1 --endMP 204:141 --enddatetime 2016-09-09T08:05:30 --enforcementcount 1 &gt;&gt;C:\Users\stu\Documents\GitHub\eaglep3-reporting\EC\2016-09-09-refined-times.txt</v>
      </c>
      <c r="AI3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{"issue":{"subject":"","project_id":79,"tracker_id":40,"status_id":1,"priority_id":2,"assigned_to_id":23,"start_date":"2016-09-09","description":"","custom_fields":[{"id":1,"name":"Subdivision","value":"EC"},{"id":4,"name":"Milepost","value":"23.2846"},{"id":17,"name":"Train ID","value":"124-09"},{"id":16,"name":"Locomotive ID","value":"4032"},{"id":130,"name":"Impact","value":""},{"id":150,"name":"Time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</row>
    <row r="37" spans="1:38" s="1" customFormat="1" x14ac:dyDescent="0.25">
      <c r="A37" s="38" t="s">
        <v>419</v>
      </c>
      <c r="B37" s="7">
        <v>4018</v>
      </c>
      <c r="C37" s="23" t="s">
        <v>108</v>
      </c>
      <c r="D37" s="23" t="s">
        <v>278</v>
      </c>
      <c r="E37" s="15">
        <v>42622.278634259259</v>
      </c>
      <c r="F37" s="15">
        <v>42622.2815162037</v>
      </c>
      <c r="G37" s="7">
        <v>1</v>
      </c>
      <c r="H37" s="15" t="s">
        <v>241</v>
      </c>
      <c r="I37" s="15">
        <v>42622.307256944441</v>
      </c>
      <c r="J37" s="7">
        <v>1</v>
      </c>
      <c r="K37" s="114" t="str">
        <f t="shared" si="0"/>
        <v>4017/4018</v>
      </c>
      <c r="L37" s="23" t="str">
        <f>VLOOKUP(A37,'Trips&amp;Operators'!$C$1:$E$10000,3,FALSE)</f>
        <v>BEAM</v>
      </c>
      <c r="M37" s="6">
        <f t="shared" si="1"/>
        <v>2.5740740740729962E-2</v>
      </c>
      <c r="N37" s="7">
        <f t="shared" si="15"/>
        <v>37.066666666651145</v>
      </c>
      <c r="O37" s="7"/>
      <c r="P37" s="7"/>
      <c r="Q37" s="24"/>
      <c r="R37" s="24"/>
      <c r="S37" s="36">
        <f t="shared" si="2"/>
        <v>1</v>
      </c>
      <c r="T37" s="51" t="str">
        <f t="shared" si="3"/>
        <v>NorthBound</v>
      </c>
      <c r="U37" s="17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05:41:14-0600',mode:absolute,to:'2016-09-09 08:22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37" s="179" t="str">
        <f t="shared" si="5"/>
        <v>N</v>
      </c>
      <c r="X37" s="179">
        <f t="shared" si="19"/>
        <v>1</v>
      </c>
      <c r="Y37" s="66">
        <f t="shared" si="6"/>
        <v>4.5100000000000001E-2</v>
      </c>
      <c r="Z37" s="66">
        <f t="shared" si="7"/>
        <v>23.331399999999999</v>
      </c>
      <c r="AA37" s="66">
        <f t="shared" si="8"/>
        <v>23.286299999999997</v>
      </c>
      <c r="AB37" s="63" t="e">
        <f>VLOOKUP(A37,Enforcements!$C$7:$K$21,8,0)</f>
        <v>#N/A</v>
      </c>
      <c r="AC37" s="59" t="e">
        <f>VLOOKUP(A37,Enforcements!$C$7:$E$21,3,0)</f>
        <v>#N/A</v>
      </c>
      <c r="AD37" s="60" t="str">
        <f t="shared" si="9"/>
        <v>0125-09</v>
      </c>
      <c r="AE37" s="96" t="str">
        <f t="shared" si="10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37" s="93" t="str">
        <f t="shared" si="11"/>
        <v>"C:\Program Files (x86)\AstroGrep\AstroGrep.exe" /spath="%USERPROFILE%\AppData\Local\Temp\OnboardLogs" /stypes="*4018*20160909*" /stext=" 13:.+((SYSTEM_STATE.+slice.+state.+changed )|(ment ac)|(system.+state.+changed )|(\|lc)|(penalty)|(\[timeout)|(PRM\|1\|D)|(kpr)|(kdp))" /e /r /s</v>
      </c>
      <c r="AG37" s="1" t="str">
        <f t="shared" si="12"/>
        <v>EC</v>
      </c>
      <c r="AH37" s="97" t="str">
        <f t="shared" si="17"/>
        <v>"%USERPROFILE%\Documents\GitHub\eaglep3\Utilities\RefineRTDCRunTimes.py" --tripid 125-09 --locoid 4018 --swversion DE.1.0.7.0 --startMP 204:451 --initTime 2016-09-09T06:41:14 --startdatetime 2016-09-09T06:45:23 --delay 1 --endMP 204:233314 --enddatetime 2016-09-09T07:22:27 --enforcementcount 1 &gt;&gt;C:\Users\stu\Documents\GitHub\eaglep3-reporting\EC\2016-09-09-refined-times.txt</v>
      </c>
      <c r="AI3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{"issue":{"subject":"","project_id":79,"tracker_id":40,"status_id":1,"priority_id":2,"assigned_to_id":23,"start_date":"2016-09-09","description":"","custom_fields":[{"id":1,"name":"Subdivision","value":"EC"},{"id":4,"name":"Milepost","value":"23.2863"},{"id":17,"name":"Train ID","value":"125-09"},{"id":16,"name":"Locomotive ID","value":"4018"},{"id":130,"name":"Impact","value":""},{"id":150,"name":"Time of Event (Mountain Time)","value":"07:22:27"},{"id":151,"name":"Denver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</row>
    <row r="38" spans="1:38" s="1" customFormat="1" x14ac:dyDescent="0.25">
      <c r="A38" s="38" t="s">
        <v>420</v>
      </c>
      <c r="B38" s="7">
        <v>4017</v>
      </c>
      <c r="C38" s="23" t="s">
        <v>108</v>
      </c>
      <c r="D38" s="23" t="s">
        <v>328</v>
      </c>
      <c r="E38" s="15">
        <v>42622.31590277778</v>
      </c>
      <c r="F38" s="15">
        <v>42622.320300925923</v>
      </c>
      <c r="G38" s="7">
        <v>1</v>
      </c>
      <c r="H38" s="15" t="s">
        <v>251</v>
      </c>
      <c r="I38" s="15">
        <v>42622.346354166664</v>
      </c>
      <c r="J38" s="7">
        <v>1</v>
      </c>
      <c r="K38" s="114" t="str">
        <f t="shared" si="0"/>
        <v>4017/4018</v>
      </c>
      <c r="L38" s="23" t="str">
        <f>VLOOKUP(A38,'Trips&amp;Operators'!$C$1:$E$10000,3,FALSE)</f>
        <v>BEAM</v>
      </c>
      <c r="M38" s="6">
        <f t="shared" si="1"/>
        <v>2.6053240741021E-2</v>
      </c>
      <c r="N38" s="7">
        <f t="shared" si="15"/>
        <v>37.51666666707024</v>
      </c>
      <c r="O38" s="7"/>
      <c r="P38" s="7"/>
      <c r="Q38" s="24"/>
      <c r="R38" s="24"/>
      <c r="S38" s="36">
        <f t="shared" si="2"/>
        <v>1</v>
      </c>
      <c r="T38" s="51" t="str">
        <f t="shared" si="3"/>
        <v>Southbound</v>
      </c>
      <c r="U38" s="17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06:34:54-0600',mode:absolute,to:'2016-09-09 09:18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38" s="179" t="str">
        <f t="shared" si="5"/>
        <v>N</v>
      </c>
      <c r="X38" s="179">
        <f t="shared" si="19"/>
        <v>1</v>
      </c>
      <c r="Y38" s="66">
        <f t="shared" si="6"/>
        <v>23.299299999999999</v>
      </c>
      <c r="Z38" s="66">
        <f t="shared" si="7"/>
        <v>1.47E-2</v>
      </c>
      <c r="AA38" s="66">
        <f t="shared" si="8"/>
        <v>23.284599999999998</v>
      </c>
      <c r="AB38" s="63" t="e">
        <f>VLOOKUP(A38,Enforcements!$C$7:$K$21,8,0)</f>
        <v>#N/A</v>
      </c>
      <c r="AC38" s="59" t="e">
        <f>VLOOKUP(A38,Enforcements!$C$7:$E$21,3,0)</f>
        <v>#N/A</v>
      </c>
      <c r="AD38" s="60" t="str">
        <f t="shared" si="9"/>
        <v>0126-09</v>
      </c>
      <c r="AE38" s="96" t="str">
        <f t="shared" si="10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38" s="93" t="str">
        <f t="shared" si="11"/>
        <v>"C:\Program Files (x86)\AstroGrep\AstroGrep.exe" /spath="%USERPROFILE%\AppData\Local\Temp\OnboardLogs" /stypes="*4017*20160909*" /stext=" 14:.+((SYSTEM_STATE.+slice.+state.+changed )|(ment ac)|(system.+state.+changed )|(\|lc)|(penalty)|(\[timeout)|(PRM\|1\|D)|(kpr)|(kdp))" /e /r /s</v>
      </c>
      <c r="AG38" s="1" t="str">
        <f t="shared" si="12"/>
        <v>EC</v>
      </c>
      <c r="AH38" s="97" t="str">
        <f t="shared" si="17"/>
        <v>"%USERPROFILE%\Documents\GitHub\eaglep3\Utilities\RefineRTDCRunTimes.py" --tripid 126-09 --locoid 4017 --swversion DE.1.0.7.0 --startMP 204:232993 --initTime 2016-09-09T07:34:54 --startdatetime 2016-09-09T07:41:14 --delay 1 --endMP 204:147 --enddatetime 2016-09-09T08:18:45 --enforcementcount 1 &gt;&gt;C:\Users\stu\Documents\GitHub\eaglep3-reporting\EC\2016-09-09-refined-times.txt</v>
      </c>
      <c r="AI3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{"issue":{"subject":"","project_id":79,"tracker_id":40,"status_id":1,"priority_id":2,"assigned_to_id":23,"start_date":"2016-09-09","description":"","custom_fields":[{"id":1,"name":"Subdivision","value":"EC"},{"id":4,"name":"Milepost","value":"23.2846"},{"id":17,"name":"Train ID","value":"126-09"},{"id":16,"name":"Locomotive ID","value":"4017"},{"id":130,"name":"Impact","value":""},{"id":150,"name":"Time of Event (Mountain Time)","value":"08:18:45"},{"id":151,"name":"Denver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</row>
    <row r="39" spans="1:38" s="1" customFormat="1" x14ac:dyDescent="0.25">
      <c r="A39" s="38" t="s">
        <v>421</v>
      </c>
      <c r="B39" s="7">
        <v>4009</v>
      </c>
      <c r="C39" s="23" t="s">
        <v>108</v>
      </c>
      <c r="D39" s="23" t="s">
        <v>267</v>
      </c>
      <c r="E39" s="15">
        <v>42622.287210648145</v>
      </c>
      <c r="F39" s="15">
        <v>42622.291944444441</v>
      </c>
      <c r="G39" s="7">
        <v>1</v>
      </c>
      <c r="H39" s="15" t="s">
        <v>349</v>
      </c>
      <c r="I39" s="15">
        <v>42622.317523148151</v>
      </c>
      <c r="J39" s="7">
        <v>1</v>
      </c>
      <c r="K39" s="114" t="str">
        <f t="shared" si="0"/>
        <v>4009/4010</v>
      </c>
      <c r="L39" s="23" t="str">
        <f>VLOOKUP(A39,'Trips&amp;Operators'!$C$1:$E$10000,3,FALSE)</f>
        <v>MAELZER</v>
      </c>
      <c r="M39" s="6">
        <f t="shared" si="1"/>
        <v>2.5578703709470574E-2</v>
      </c>
      <c r="N39" s="7">
        <f t="shared" si="15"/>
        <v>36.833333341637626</v>
      </c>
      <c r="O39" s="7"/>
      <c r="P39" s="7"/>
      <c r="Q39" s="24"/>
      <c r="R39" s="24"/>
      <c r="S39" s="36">
        <f t="shared" si="2"/>
        <v>1</v>
      </c>
      <c r="T39" s="51" t="str">
        <f t="shared" si="3"/>
        <v>NorthBound</v>
      </c>
      <c r="U39" s="17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05:53:35-0600',mode:absolute,to:'2016-09-09 08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39" s="179" t="str">
        <f t="shared" si="5"/>
        <v>N</v>
      </c>
      <c r="X39" s="179">
        <f t="shared" si="19"/>
        <v>1</v>
      </c>
      <c r="Y39" s="66">
        <f t="shared" si="6"/>
        <v>4.5699999999999998E-2</v>
      </c>
      <c r="Z39" s="66">
        <f t="shared" si="7"/>
        <v>23.329499999999999</v>
      </c>
      <c r="AA39" s="66">
        <f t="shared" si="8"/>
        <v>23.283799999999999</v>
      </c>
      <c r="AB39" s="63" t="e">
        <f>VLOOKUP(A39,Enforcements!$C$7:$K$21,8,0)</f>
        <v>#N/A</v>
      </c>
      <c r="AC39" s="59" t="e">
        <f>VLOOKUP(A39,Enforcements!$C$7:$E$21,3,0)</f>
        <v>#N/A</v>
      </c>
      <c r="AD39" s="60" t="str">
        <f t="shared" si="9"/>
        <v>0127-09</v>
      </c>
      <c r="AE39" s="96" t="str">
        <f t="shared" si="10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39" s="93" t="str">
        <f t="shared" si="11"/>
        <v>"C:\Program Files (x86)\AstroGrep\AstroGrep.exe" /spath="%USERPROFILE%\AppData\Local\Temp\OnboardLogs" /stypes="*4009*20160909*" /stext=" 13:.+((SYSTEM_STATE.+slice.+state.+changed )|(ment ac)|(system.+state.+changed )|(\|lc)|(penalty)|(\[timeout)|(PRM\|1\|D)|(kpr)|(kdp))" /e /r /s</v>
      </c>
      <c r="AG39" s="1" t="str">
        <f t="shared" si="12"/>
        <v>EC</v>
      </c>
      <c r="AH39" s="97" t="str">
        <f t="shared" si="17"/>
        <v>"%USERPROFILE%\Documents\GitHub\eaglep3\Utilities\RefineRTDCRunTimes.py" --tripid 127-09 --locoid 4009 --swversion DE.1.0.7.0 --startMP 204:457 --initTime 2016-09-09T06:53:35 --startdatetime 2016-09-09T07:00:24 --delay 1 --endMP 204:233295 --enddatetime 2016-09-09T07:37:14 --enforcementcount 1 &gt;&gt;C:\Users\stu\Documents\GitHub\eaglep3-reporting\EC\2016-09-09-refined-times.txt</v>
      </c>
      <c r="AI3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{"issue":{"subject":"","project_id":79,"tracker_id":40,"status_id":1,"priority_id":2,"assigned_to_id":23,"start_date":"2016-09-09","description":"","custom_fields":[{"id":1,"name":"Subdivision","value":"EC"},{"id":4,"name":"Milepost","value":"23.2838"},{"id":17,"name":"Train ID","value":"127-09"},{"id":16,"name":"Locomotive ID","value":"4009"},{"id":130,"name":"Impact","value":""},{"id":150,"name":"Time of Event (Mountain Time)","value":"07:37:14"},{"id":151,"name":"Denver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</row>
    <row r="40" spans="1:38" s="1" customFormat="1" x14ac:dyDescent="0.25">
      <c r="A40" s="38" t="s">
        <v>422</v>
      </c>
      <c r="B40" s="7">
        <v>4010</v>
      </c>
      <c r="C40" s="23" t="s">
        <v>108</v>
      </c>
      <c r="D40" s="23" t="s">
        <v>284</v>
      </c>
      <c r="E40" s="15">
        <v>42622.322581018518</v>
      </c>
      <c r="F40" s="15">
        <v>42622.33079861111</v>
      </c>
      <c r="G40" s="7">
        <v>0</v>
      </c>
      <c r="H40" s="15" t="s">
        <v>423</v>
      </c>
      <c r="I40" s="15">
        <v>42622.360173611109</v>
      </c>
      <c r="J40" s="7">
        <v>1</v>
      </c>
      <c r="K40" s="114" t="str">
        <f t="shared" si="0"/>
        <v>4009/4010</v>
      </c>
      <c r="L40" s="23" t="str">
        <f>VLOOKUP(A40,'Trips&amp;Operators'!$C$1:$E$10000,3,FALSE)</f>
        <v>MAELZER</v>
      </c>
      <c r="M40" s="6">
        <f t="shared" si="1"/>
        <v>2.937499999825377E-2</v>
      </c>
      <c r="N40" s="7">
        <f t="shared" si="15"/>
        <v>42.299999997485429</v>
      </c>
      <c r="O40" s="7"/>
      <c r="P40" s="7"/>
      <c r="Q40" s="24"/>
      <c r="R40" s="24"/>
      <c r="S40" s="36">
        <f t="shared" si="2"/>
        <v>1</v>
      </c>
      <c r="T40" s="51" t="str">
        <f t="shared" si="3"/>
        <v>Southbound</v>
      </c>
      <c r="U40" s="17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06:44:31-0600',mode:absolute,to:'2016-09-09 09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0" s="179" t="str">
        <f t="shared" si="5"/>
        <v>N</v>
      </c>
      <c r="X40" s="179">
        <f t="shared" si="19"/>
        <v>1</v>
      </c>
      <c r="Y40" s="66">
        <f t="shared" si="6"/>
        <v>23.297699999999999</v>
      </c>
      <c r="Z40" s="66">
        <f t="shared" si="7"/>
        <v>1.6500000000000001E-2</v>
      </c>
      <c r="AA40" s="66">
        <f t="shared" si="8"/>
        <v>23.281199999999998</v>
      </c>
      <c r="AB40" s="63" t="e">
        <f>VLOOKUP(A40,Enforcements!$C$7:$K$21,8,0)</f>
        <v>#N/A</v>
      </c>
      <c r="AC40" s="59" t="e">
        <f>VLOOKUP(A40,Enforcements!$C$7:$E$21,3,0)</f>
        <v>#N/A</v>
      </c>
      <c r="AD40" s="60" t="str">
        <f t="shared" si="9"/>
        <v>0128-09</v>
      </c>
      <c r="AE40" s="96" t="str">
        <f t="shared" si="10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40" s="93" t="str">
        <f t="shared" si="11"/>
        <v>"C:\Program Files (x86)\AstroGrep\AstroGrep.exe" /spath="%USERPROFILE%\AppData\Local\Temp\OnboardLogs" /stypes="*4010*20160909*" /stext=" 14:.+((SYSTEM_STATE.+slice.+state.+changed )|(ment ac)|(system.+state.+changed )|(\|lc)|(penalty)|(\[timeout)|(PRM\|1\|D)|(kpr)|(kdp))" /e /r /s</v>
      </c>
      <c r="AG40" s="1" t="str">
        <f t="shared" si="12"/>
        <v>EC</v>
      </c>
      <c r="AH40" s="97" t="str">
        <f t="shared" si="17"/>
        <v>"%USERPROFILE%\Documents\GitHub\eaglep3\Utilities\RefineRTDCRunTimes.py" --tripid 128-09 --locoid 4010 --swversion DE.1.0.7.0 --startMP 204:232977 --initTime 2016-09-09T07:44:31 --startdatetime 2016-09-09T07:56:21 --delay 0 --endMP 204:165 --enddatetime 2016-09-09T08:38:39 --enforcementcount 1 &gt;&gt;C:\Users\stu\Documents\GitHub\eaglep3-reporting\EC\2016-09-09-refined-times.txt</v>
      </c>
      <c r="AI4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{"issue":{"subject":"","project_id":79,"tracker_id":40,"status_id":1,"priority_id":2,"assigned_to_id":23,"start_date":"2016-09-09","description":"","custom_fields":[{"id":1,"name":"Subdivision","value":"EC"},{"id":4,"name":"Milepost","value":"23.2812"},{"id":17,"name":"Train ID","value":"128-09"},{"id":16,"name":"Locomotive ID","value":"4010"},{"id":130,"name":"Impact","value":""},{"id":150,"name":"Time of Event (Mountain Time)","value":"08:38:39"},{"id":151,"name":"Denver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</row>
    <row r="41" spans="1:38" s="1" customFormat="1" x14ac:dyDescent="0.25">
      <c r="A41" s="38" t="s">
        <v>424</v>
      </c>
      <c r="B41" s="7">
        <v>4020</v>
      </c>
      <c r="C41" s="23" t="s">
        <v>108</v>
      </c>
      <c r="D41" s="23" t="s">
        <v>252</v>
      </c>
      <c r="E41" s="15">
        <v>42622.300543981481</v>
      </c>
      <c r="F41" s="15">
        <v>42622.302627314813</v>
      </c>
      <c r="G41" s="7">
        <v>1</v>
      </c>
      <c r="H41" s="15" t="s">
        <v>340</v>
      </c>
      <c r="I41" s="15">
        <v>42622.327256944445</v>
      </c>
      <c r="J41" s="7">
        <v>1</v>
      </c>
      <c r="K41" s="114" t="str">
        <f t="shared" si="0"/>
        <v>4019/4020</v>
      </c>
      <c r="L41" s="23" t="str">
        <f>VLOOKUP(A41,'Trips&amp;Operators'!$C$1:$E$10000,3,FALSE)</f>
        <v>BREITSCH</v>
      </c>
      <c r="M41" s="6">
        <f t="shared" si="1"/>
        <v>2.4629629631817807E-2</v>
      </c>
      <c r="N41" s="7">
        <f t="shared" si="15"/>
        <v>35.466666669817641</v>
      </c>
      <c r="O41" s="7"/>
      <c r="P41" s="7"/>
      <c r="Q41" s="24"/>
      <c r="R41" s="24"/>
      <c r="S41" s="36">
        <f t="shared" si="2"/>
        <v>1</v>
      </c>
      <c r="T41" s="51" t="str">
        <f t="shared" si="3"/>
        <v>NorthBound</v>
      </c>
      <c r="U41" s="17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06:12:47-0600',mode:absolute,to:'2016-09-09 08:51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1" s="179" t="str">
        <f t="shared" si="5"/>
        <v>N</v>
      </c>
      <c r="X41" s="179">
        <f t="shared" si="19"/>
        <v>1</v>
      </c>
      <c r="Y41" s="66">
        <f t="shared" si="6"/>
        <v>4.53E-2</v>
      </c>
      <c r="Z41" s="66">
        <f t="shared" si="7"/>
        <v>23.330400000000001</v>
      </c>
      <c r="AA41" s="66">
        <f t="shared" si="8"/>
        <v>23.2851</v>
      </c>
      <c r="AB41" s="63" t="e">
        <f>VLOOKUP(A41,Enforcements!$C$7:$K$21,8,0)</f>
        <v>#N/A</v>
      </c>
      <c r="AC41" s="59" t="e">
        <f>VLOOKUP(A41,Enforcements!$C$7:$E$21,3,0)</f>
        <v>#N/A</v>
      </c>
      <c r="AD41" s="60" t="str">
        <f t="shared" si="9"/>
        <v>0129-09</v>
      </c>
      <c r="AE41" s="96" t="str">
        <f t="shared" si="10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41" s="93" t="str">
        <f t="shared" si="11"/>
        <v>"C:\Program Files (x86)\AstroGrep\AstroGrep.exe" /spath="%USERPROFILE%\AppData\Local\Temp\OnboardLogs" /stypes="*4020*20160909*" /stext=" 13:.+((SYSTEM_STATE.+slice.+state.+changed )|(ment ac)|(system.+state.+changed )|(\|lc)|(penalty)|(\[timeout)|(PRM\|1\|D)|(kpr)|(kdp))" /e /r /s</v>
      </c>
      <c r="AG41" s="1" t="str">
        <f t="shared" si="12"/>
        <v>EC</v>
      </c>
      <c r="AH41" s="97" t="str">
        <f t="shared" si="17"/>
        <v>"%USERPROFILE%\Documents\GitHub\eaglep3\Utilities\RefineRTDCRunTimes.py" --tripid 129-09 --locoid 4020 --swversion DE.1.0.7.0 --startMP 204:453 --initTime 2016-09-09T07:12:47 --startdatetime 2016-09-09T07:15:47 --delay 1 --endMP 204:233304 --enddatetime 2016-09-09T07:51:15 --enforcementcount 1 &gt;&gt;C:\Users\stu\Documents\GitHub\eaglep3-reporting\EC\2016-09-09-refined-times.txt</v>
      </c>
      <c r="AI4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{"issue":{"subject":"","project_id":79,"tracker_id":40,"status_id":1,"priority_id":2,"assigned_to_id":23,"start_date":"2016-09-09","description":"","custom_fields":[{"id":1,"name":"Subdivision","value":"EC"},{"id":4,"name":"Milepost","value":"23.2851"},{"id":17,"name":"Train ID","value":"129-09"},{"id":16,"name":"Locomotive ID","value":"4020"},{"id":130,"name":"Impact","value":""},{"id":150,"name":"Time of Event (Mountain Time)","value":"07:51:15"},{"id":151,"name":"Denver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</row>
    <row r="42" spans="1:38" s="1" customFormat="1" x14ac:dyDescent="0.25">
      <c r="A42" s="38" t="s">
        <v>425</v>
      </c>
      <c r="B42" s="7">
        <v>4019</v>
      </c>
      <c r="C42" s="23" t="s">
        <v>108</v>
      </c>
      <c r="D42" s="23" t="s">
        <v>283</v>
      </c>
      <c r="E42" s="15">
        <v>42622.331805555557</v>
      </c>
      <c r="F42" s="15">
        <v>42622.341319444444</v>
      </c>
      <c r="G42" s="7">
        <v>2</v>
      </c>
      <c r="H42" s="15" t="s">
        <v>305</v>
      </c>
      <c r="I42" s="15">
        <v>42622.37159722222</v>
      </c>
      <c r="J42" s="7">
        <v>1</v>
      </c>
      <c r="K42" s="114" t="str">
        <f t="shared" si="0"/>
        <v>4019/4020</v>
      </c>
      <c r="L42" s="23" t="str">
        <f>VLOOKUP(A42,'Trips&amp;Operators'!$C$1:$E$10000,3,FALSE)</f>
        <v>BREITSCH</v>
      </c>
      <c r="M42" s="6">
        <f t="shared" si="1"/>
        <v>3.0277777776063886E-2</v>
      </c>
      <c r="N42" s="7">
        <f t="shared" si="15"/>
        <v>43.599999997531995</v>
      </c>
      <c r="O42" s="7"/>
      <c r="P42" s="7"/>
      <c r="Q42" s="24"/>
      <c r="R42" s="24"/>
      <c r="S42" s="36">
        <f t="shared" si="2"/>
        <v>1</v>
      </c>
      <c r="T42" s="51" t="str">
        <f t="shared" si="3"/>
        <v>Southbound</v>
      </c>
      <c r="U42" s="17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06:57:48-0600',mode:absolute,to:'2016-09-09 09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42" s="179" t="str">
        <f t="shared" si="5"/>
        <v>N</v>
      </c>
      <c r="X42" s="179">
        <f t="shared" si="19"/>
        <v>1</v>
      </c>
      <c r="Y42" s="66">
        <f t="shared" si="6"/>
        <v>23.297599999999999</v>
      </c>
      <c r="Z42" s="66">
        <f t="shared" si="7"/>
        <v>1.3899999999999999E-2</v>
      </c>
      <c r="AA42" s="66">
        <f t="shared" si="8"/>
        <v>23.2837</v>
      </c>
      <c r="AB42" s="63" t="str">
        <f>VLOOKUP(A42,Enforcements!$C$7:$K$21,8,0)</f>
        <v>Speed (6)</v>
      </c>
      <c r="AC42" s="59" t="str">
        <f>VLOOKUP(A42,Enforcements!$C$7:$E$21,3,0)</f>
        <v>PERMANENT SPEED RESTRICTION</v>
      </c>
      <c r="AD42" s="60" t="str">
        <f t="shared" si="9"/>
        <v>0130-09</v>
      </c>
      <c r="AE42" s="96" t="str">
        <f t="shared" si="10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42" s="93" t="str">
        <f t="shared" si="11"/>
        <v>"C:\Program Files (x86)\AstroGrep\AstroGrep.exe" /spath="%USERPROFILE%\AppData\Local\Temp\OnboardLogs" /stypes="*4019*20160909*" /stext=" 14:.+((SYSTEM_STATE.+slice.+state.+changed )|(ment ac)|(system.+state.+changed )|(\|lc)|(penalty)|(\[timeout)|(PRM\|1\|D)|(kpr)|(kdp))" /e /r /s</v>
      </c>
      <c r="AG42" s="1" t="str">
        <f t="shared" si="12"/>
        <v>EC</v>
      </c>
      <c r="AH42" s="97" t="str">
        <f t="shared" si="17"/>
        <v>"%USERPROFILE%\Documents\GitHub\eaglep3\Utilities\RefineRTDCRunTimes.py" --tripid 130-09 --locoid 4019 --swversion DE.1.0.7.0 --startMP 204:232976 --initTime 2016-09-09T07:57:48 --startdatetime 2016-09-09T08:11:30 --delay 2 --endMP 204:139 --enddatetime 2016-09-09T08:55:06 --enforcementcount 1 &gt;&gt;C:\Users\stu\Documents\GitHub\eaglep3-reporting\EC\2016-09-09-refined-times.txt</v>
      </c>
      <c r="AI4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{"issue":{"subject":"","project_id":79,"tracker_id":40,"status_id":1,"priority_id":2,"assigned_to_id":23,"start_date":"2016-09-09","description":"","custom_fields":[{"id":1,"name":"Subdivision","value":"EC"},{"id":4,"name":"Milepost","value":"23.2837"},{"id":17,"name":"Train ID","value":"130-09"},{"id":16,"name":"Locomotive ID","value":"4019"},{"id":130,"name":"Impact","value":""},{"id":150,"name":"Time of Event (Mountain Time)","value":"08:55:06"},{"id":151,"name":"Denver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</row>
    <row r="43" spans="1:38" s="1" customFormat="1" x14ac:dyDescent="0.25">
      <c r="A43" s="38" t="s">
        <v>426</v>
      </c>
      <c r="B43" s="7">
        <v>4011</v>
      </c>
      <c r="C43" s="23" t="s">
        <v>108</v>
      </c>
      <c r="D43" s="23" t="s">
        <v>269</v>
      </c>
      <c r="E43" s="15">
        <v>42622.309629629628</v>
      </c>
      <c r="F43" s="15">
        <v>42622.312835648147</v>
      </c>
      <c r="G43" s="7">
        <v>1</v>
      </c>
      <c r="H43" s="15" t="s">
        <v>318</v>
      </c>
      <c r="I43" s="15">
        <v>42622.338854166665</v>
      </c>
      <c r="J43" s="7">
        <v>1</v>
      </c>
      <c r="K43" s="114" t="str">
        <f t="shared" si="0"/>
        <v>4011/4012</v>
      </c>
      <c r="L43" s="23" t="str">
        <f>VLOOKUP(A43,'Trips&amp;Operators'!$C$1:$E$10000,3,FALSE)</f>
        <v>DAVIS</v>
      </c>
      <c r="M43" s="6">
        <f t="shared" si="1"/>
        <v>2.6018518517958E-2</v>
      </c>
      <c r="N43" s="7">
        <f t="shared" si="15"/>
        <v>37.46666666585952</v>
      </c>
      <c r="O43" s="7"/>
      <c r="P43" s="7"/>
      <c r="Q43" s="24"/>
      <c r="R43" s="24"/>
      <c r="S43" s="36">
        <f t="shared" si="2"/>
        <v>1</v>
      </c>
      <c r="T43" s="51" t="str">
        <f t="shared" si="3"/>
        <v>NorthBound</v>
      </c>
      <c r="U43" s="17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06:25:52-0600',mode:absolute,to:'2016-09-09 09:07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43" s="179" t="str">
        <f t="shared" si="5"/>
        <v>N</v>
      </c>
      <c r="X43" s="179">
        <f t="shared" si="19"/>
        <v>1</v>
      </c>
      <c r="Y43" s="66">
        <f t="shared" si="6"/>
        <v>4.4699999999999997E-2</v>
      </c>
      <c r="Z43" s="66">
        <f t="shared" si="7"/>
        <v>23.328399999999998</v>
      </c>
      <c r="AA43" s="66">
        <f t="shared" si="8"/>
        <v>23.2837</v>
      </c>
      <c r="AB43" s="63" t="e">
        <f>VLOOKUP(A43,Enforcements!$C$7:$K$21,8,0)</f>
        <v>#N/A</v>
      </c>
      <c r="AC43" s="59" t="e">
        <f>VLOOKUP(A43,Enforcements!$C$7:$E$21,3,0)</f>
        <v>#N/A</v>
      </c>
      <c r="AD43" s="60" t="str">
        <f t="shared" si="9"/>
        <v>0131-09</v>
      </c>
      <c r="AE43" s="96" t="str">
        <f t="shared" si="10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43" s="93" t="str">
        <f t="shared" si="11"/>
        <v>"C:\Program Files (x86)\AstroGrep\AstroGrep.exe" /spath="%USERPROFILE%\AppData\Local\Temp\OnboardLogs" /stypes="*4011*20160909*" /stext=" 14:.+((SYSTEM_STATE.+slice.+state.+changed )|(ment ac)|(system.+state.+changed )|(\|lc)|(penalty)|(\[timeout)|(PRM\|1\|D)|(kpr)|(kdp))" /e /r /s</v>
      </c>
      <c r="AG43" s="1" t="str">
        <f t="shared" si="12"/>
        <v>EC</v>
      </c>
      <c r="AH43" s="97" t="str">
        <f t="shared" si="17"/>
        <v>"%USERPROFILE%\Documents\GitHub\eaglep3\Utilities\RefineRTDCRunTimes.py" --tripid 131-09 --locoid 4011 --swversion DE.1.0.7.0 --startMP 204:447 --initTime 2016-09-09T07:25:52 --startdatetime 2016-09-09T07:30:29 --delay 1 --endMP 204:233284 --enddatetime 2016-09-09T08:07:57 --enforcementcount 1 &gt;&gt;C:\Users\stu\Documents\GitHub\eaglep3-reporting\EC\2016-09-09-refined-times.txt</v>
      </c>
      <c r="AI43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{"issue":{"subject":"","project_id":79,"tracker_id":40,"status_id":1,"priority_id":2,"assigned_to_id":23,"start_date":"2016-09-09","description":"","custom_fields":[{"id":1,"name":"Subdivision","value":"EC"},{"id":4,"name":"Milepost","value":"23.2837"},{"id":17,"name":"Train ID","value":"131-09"},{"id":16,"name":"Locomotive ID","value":"4011"},{"id":130,"name":"Impact","value":""},{"id":150,"name":"Time of Event (Mountain Time)","value":"08:07:57"},{"id":151,"name":"Denver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</row>
    <row r="44" spans="1:38" s="1" customFormat="1" x14ac:dyDescent="0.25">
      <c r="A44" s="38" t="s">
        <v>427</v>
      </c>
      <c r="B44" s="7">
        <v>4012</v>
      </c>
      <c r="C44" s="23" t="s">
        <v>108</v>
      </c>
      <c r="D44" s="23" t="s">
        <v>329</v>
      </c>
      <c r="E44" s="15">
        <v>42622.348437499997</v>
      </c>
      <c r="F44" s="15">
        <v>42622.351678240739</v>
      </c>
      <c r="G44" s="7">
        <v>1</v>
      </c>
      <c r="H44" s="15" t="s">
        <v>240</v>
      </c>
      <c r="I44" s="15">
        <v>42622.381863425922</v>
      </c>
      <c r="J44" s="7">
        <v>1</v>
      </c>
      <c r="K44" s="114" t="str">
        <f t="shared" si="0"/>
        <v>4011/4012</v>
      </c>
      <c r="L44" s="23" t="str">
        <f>VLOOKUP(A44,'Trips&amp;Operators'!$C$1:$E$10000,3,FALSE)</f>
        <v>DAVIS</v>
      </c>
      <c r="M44" s="6">
        <f t="shared" si="1"/>
        <v>3.0185185183654539E-2</v>
      </c>
      <c r="N44" s="7">
        <f t="shared" si="15"/>
        <v>43.466666664462537</v>
      </c>
      <c r="O44" s="7"/>
      <c r="P44" s="7"/>
      <c r="Q44" s="24"/>
      <c r="R44" s="24"/>
      <c r="S44" s="36">
        <f t="shared" si="2"/>
        <v>1</v>
      </c>
      <c r="T44" s="51" t="str">
        <f t="shared" si="3"/>
        <v>Southbound</v>
      </c>
      <c r="U44" s="17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78" t="str">
        <f t="shared" si="4"/>
        <v>https://search-rtdc-monitor-bjffxe2xuh6vdkpspy63sjmuny.us-east-1.es.amazonaws.com/_plugin/kibana/#/discover/Steve-Slow-Train-Analysis-(2080s-and-2083s)?_g=(refreshInterval:(display:Off,section:0,value:0),time:(from:'2016-09-09 07:21:45-0600',mode:absolute,to:'2016-09-09 10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44" s="179" t="str">
        <f t="shared" si="5"/>
        <v>N</v>
      </c>
      <c r="X44" s="179">
        <f t="shared" si="19"/>
        <v>1</v>
      </c>
      <c r="Y44" s="66">
        <f t="shared" si="6"/>
        <v>23.298400000000001</v>
      </c>
      <c r="Z44" s="66">
        <f t="shared" si="7"/>
        <v>1.49E-2</v>
      </c>
      <c r="AA44" s="66">
        <f t="shared" si="8"/>
        <v>23.2835</v>
      </c>
      <c r="AB44" s="63" t="e">
        <f>VLOOKUP(A44,Enforcements!$C$7:$K$21,8,0)</f>
        <v>#N/A</v>
      </c>
      <c r="AC44" s="59" t="e">
        <f>VLOOKUP(A44,Enforcements!$C$7:$E$21,3,0)</f>
        <v>#N/A</v>
      </c>
      <c r="AD44" s="60" t="str">
        <f t="shared" si="9"/>
        <v>0132-09</v>
      </c>
      <c r="AE44" s="96" t="str">
        <f t="shared" si="10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44" s="93" t="str">
        <f t="shared" si="11"/>
        <v>"C:\Program Files (x86)\AstroGrep\AstroGrep.exe" /spath="%USERPROFILE%\AppData\Local\Temp\OnboardLogs" /stypes="*4012*20160909*" /stext=" 15:.+((SYSTEM_STATE.+slice.+state.+changed )|(ment ac)|(system.+state.+changed )|(\|lc)|(penalty)|(\[timeout)|(PRM\|1\|D)|(kpr)|(kdp))" /e /r /s</v>
      </c>
      <c r="AG44" s="1" t="str">
        <f t="shared" si="12"/>
        <v>EC</v>
      </c>
      <c r="AH44" s="97" t="str">
        <f t="shared" si="17"/>
        <v>"%USERPROFILE%\Documents\GitHub\eaglep3\Utilities\RefineRTDCRunTimes.py" --tripid 132-09 --locoid 4012 --swversion DE.1.0.7.0 --startMP 204:232984 --initTime 2016-09-09T08:21:45 --startdatetime 2016-09-09T08:26:25 --delay 1 --endMP 204:149 --enddatetime 2016-09-09T09:09:53 --enforcementcount 1 &gt;&gt;C:\Users\stu\Documents\GitHub\eaglep3-reporting\EC\2016-09-09-refined-times.txt</v>
      </c>
      <c r="AI4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{"issue":{"subject":"","project_id":79,"tracker_id":40,"status_id":1,"priority_id":2,"assigned_to_id":23,"start_date":"2016-09-09","description":"","custom_fields":[{"id":1,"name":"Subdivision","value":"EC"},{"id":4,"name":"Milepost","value":"23.2835"},{"id":17,"name":"Train ID","value":"132-09"},{"id":16,"name":"Locomotive ID","value":"4012"},{"id":130,"name":"Impact","value":""},{"id":150,"name":"Time of Event (Mountain Time)","value":"09:09:53"},{"id":151,"name":"Denver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</row>
    <row r="45" spans="1:38" s="1" customFormat="1" x14ac:dyDescent="0.25">
      <c r="A45" s="38" t="s">
        <v>428</v>
      </c>
      <c r="B45" s="7">
        <v>4016</v>
      </c>
      <c r="C45" s="23" t="s">
        <v>108</v>
      </c>
      <c r="D45" s="23" t="s">
        <v>429</v>
      </c>
      <c r="E45" s="15">
        <v>42622.322048611109</v>
      </c>
      <c r="F45" s="15">
        <v>42622.333715277775</v>
      </c>
      <c r="G45" s="7">
        <v>16</v>
      </c>
      <c r="H45" s="15" t="s">
        <v>430</v>
      </c>
      <c r="I45" s="15">
        <v>42622.352094907408</v>
      </c>
      <c r="J45" s="7">
        <v>1</v>
      </c>
      <c r="K45" s="114" t="str">
        <f t="shared" ref="K45:K76" si="20">IF(ISEVEN(B45),(B45-1)&amp;"/"&amp;B45,B45&amp;"/"&amp;(B45+1))</f>
        <v>4015/4016</v>
      </c>
      <c r="L45" s="23" t="str">
        <f>VLOOKUP(A45,'Trips&amp;Operators'!$C$1:$E$10000,3,FALSE)</f>
        <v>MALAVE</v>
      </c>
      <c r="M45" s="6">
        <f t="shared" ref="M45:M76" si="21">I45-F45</f>
        <v>1.8379629633272998E-2</v>
      </c>
      <c r="N45" s="7"/>
      <c r="O45" s="7"/>
      <c r="P45" s="7">
        <f>24*60*SUM($M45:$M45)</f>
        <v>26.466666671913117</v>
      </c>
      <c r="Q45" s="24"/>
      <c r="R45" s="24" t="s">
        <v>742</v>
      </c>
      <c r="S45" s="36">
        <f t="shared" si="2"/>
        <v>0.75</v>
      </c>
      <c r="T45" s="177" t="str">
        <f t="shared" ref="T45:T76" si="22">IF(ISEVEN(LEFT(AD45,4)),"Southbound","NorthBound")</f>
        <v>NorthBound</v>
      </c>
      <c r="U45" s="17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9</v>
      </c>
      <c r="V45" s="178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https://search-rtdc-monitor-bjffxe2xuh6vdkpspy63sjmuny.us-east-1.es.amazonaws.com/_plugin/kibana/#/discover/Steve-Slow-Train-Analysis-(2080s-and-2083s)?_g=(refreshInterval:(display:Off,section:0,value:0),time:(from:'2016-09-09 06:43:45-0600',mode:absolute,to:'2016-09-09 09:27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5" s="179" t="str">
        <f t="shared" ref="W45:W76" si="24">IF(AA45&lt;IF(AG45="EC",23,5.65),"Y","N")</f>
        <v>Y</v>
      </c>
      <c r="X45" s="179">
        <f t="shared" si="19"/>
        <v>1</v>
      </c>
      <c r="Y45" s="66">
        <f t="shared" ref="Y45:Y76" si="25">RIGHT(D45,LEN(D45)-4)/10000</f>
        <v>3.7199</v>
      </c>
      <c r="Z45" s="66">
        <f t="shared" ref="Z45:Z76" si="26">RIGHT(H45,LEN(H45)-4)/10000</f>
        <v>23.327999999999999</v>
      </c>
      <c r="AA45" s="66">
        <f t="shared" ref="AA45:AA76" si="27">ABS(Z45-Y45)</f>
        <v>19.6081</v>
      </c>
      <c r="AB45" s="63" t="e">
        <f>VLOOKUP(A45,Enforcements!$C$7:$K$21,8,0)</f>
        <v>#N/A</v>
      </c>
      <c r="AC45" s="59" t="e">
        <f>VLOOKUP(A45,Enforcements!$C$7:$E$21,3,0)</f>
        <v>#N/A</v>
      </c>
      <c r="AD45" s="60" t="str">
        <f t="shared" ref="AD45:AD76" si="28">IF(LEN(A45)=6,"0"&amp;A45,A45)</f>
        <v>0133-09</v>
      </c>
      <c r="AE45" s="96" t="str">
        <f t="shared" ref="AE45:AE76" si="29">"aws s3 cp "&amp;s3_bucket&amp;"/RTDC"&amp;B45&amp;"/"&amp;TEXT(F45,"YYYY-MM-DD")&amp;"/ "&amp;search_path&amp;"\RTDC"&amp;B45&amp;"\"&amp;TEXT(F45,"YYYY-MM-DD")&amp;" --recursive &amp; """&amp;walkandungz&amp;""" "&amp;search_path&amp;"\RTDC"&amp;B45&amp;"\"&amp;TEXT(F45,"YYYY-MM-DD")
&amp;" &amp; "&amp;"aws s3 cp "&amp;s3_bucket&amp;"/RTDC"&amp;B45&amp;"/"&amp;TEXT(F45+1,"YYYY-MM-DD")&amp;"/ "&amp;search_path&amp;"\RTDC"&amp;B45&amp;"\"&amp;TEXT(F45+1,"YYYY-MM-DD")&amp;" --recursive &amp; """&amp;walkandungz&amp;""" "&amp;search_path&amp;"\RTDC"&amp;B45&amp;"\"&amp;TEXT(F45+1,"YYYY-MM-DD")</f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45" s="93" t="str">
        <f t="shared" ref="AF45:AF76" si="30">astrogrep_path&amp;" /spath="&amp;search_path&amp;" /stypes=""*"&amp;B45&amp;"*"&amp;TEXT(I45-utc_offset/24,"YYYYMMDD")&amp;"*"" /stext="" "&amp;TEXT(I45-utc_offset/24,"HH")&amp;search_regexp&amp;""" /e /r /s"</f>
        <v>"C:\Program Files (x86)\AstroGrep\AstroGrep.exe" /spath="%USERPROFILE%\AppData\Local\Temp\OnboardLogs" /stypes="*4016*20160909*" /stext=" 14:.+((SYSTEM_STATE.+slice.+state.+changed )|(ment ac)|(system.+state.+changed )|(\|lc)|(penalty)|(\[timeout)|(PRM\|1\|D)|(kpr)|(kdp))" /e /r /s</v>
      </c>
      <c r="AG45" s="1" t="str">
        <f t="shared" ref="AG45:AG76" si="31">IFERROR(IF(VALUE(LEFT(AD45,2))&lt;=2,"EC",IF(OR(VALUE(LEFT(AD45,2))=8,VALUE(LEFT(AD45,2))=18),"NW","Other")),"Other")</f>
        <v>EC</v>
      </c>
      <c r="AH45" s="97" t="str">
        <f t="shared" si="17"/>
        <v>"%USERPROFILE%\Documents\GitHub\eaglep3\Utilities\RefineRTDCRunTimes.py" --tripid 133-09 --locoid 4016 --swversion DE.1.0.7.0 --startMP 204:37199 --initTime 2016-09-09T07:43:45 --startdatetime 2016-09-09T08:00:33 --delay 16 --endMP 204:233280 --enddatetime 2016-09-09T08:27:01 --enforcementcount 1 &gt;&gt;C:\Users\stu\Documents\GitHub\eaglep3-reporting\EC\2016-09-09-refined-times.txt</v>
      </c>
      <c r="AI45" s="129" t="str">
        <f t="shared" si="18"/>
        <v>echo {"issue":{"subject":"Onboard in route failure","project_id":79,"tracker_id":40,"status_id":1,"priority_id":2,"assigned_to_id":23,"start_date":"2016-09-09","description":"","custom_fields":[{"id":1,"name":"Subdivision","value":"EC"},{"id":4,"name":"Milepost","value":"19.6081"},{"id":17,"name":"Train ID","value":"133-09"},{"id":16,"name":"Locomotive ID","value":"4016"},{"id":130,"name":"Impact","value":""},{"id":150,"name":"Time of Event (Mountain Time)","value":"08:27:01"},{"id":151,"name":"Denver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</row>
    <row r="46" spans="1:38" s="1" customFormat="1" x14ac:dyDescent="0.25">
      <c r="A46" s="38" t="s">
        <v>431</v>
      </c>
      <c r="B46" s="7">
        <v>4015</v>
      </c>
      <c r="C46" s="23" t="s">
        <v>108</v>
      </c>
      <c r="D46" s="23" t="s">
        <v>432</v>
      </c>
      <c r="E46" s="15">
        <v>42622.360243055555</v>
      </c>
      <c r="F46" s="15">
        <v>42622.362164351849</v>
      </c>
      <c r="G46" s="7">
        <v>2</v>
      </c>
      <c r="H46" s="15" t="s">
        <v>335</v>
      </c>
      <c r="I46" s="15">
        <v>42622.391215277778</v>
      </c>
      <c r="J46" s="7">
        <v>1</v>
      </c>
      <c r="K46" s="114" t="str">
        <f t="shared" si="20"/>
        <v>4015/4016</v>
      </c>
      <c r="L46" s="23" t="str">
        <f>VLOOKUP(A46,'Trips&amp;Operators'!$C$1:$E$10000,3,FALSE)</f>
        <v>MALAVE</v>
      </c>
      <c r="M46" s="6">
        <f t="shared" si="21"/>
        <v>2.9050925928459037E-2</v>
      </c>
      <c r="N46" s="7">
        <f t="shared" ref="N46:N52" si="32">24*60*SUM($M46:$M46)</f>
        <v>41.833333336981013</v>
      </c>
      <c r="O46" s="7"/>
      <c r="P46" s="7"/>
      <c r="Q46" s="24"/>
      <c r="R46" s="24"/>
      <c r="S46" s="36">
        <f t="shared" si="2"/>
        <v>1</v>
      </c>
      <c r="T46" s="51" t="str">
        <f t="shared" si="22"/>
        <v>Southbound</v>
      </c>
      <c r="U46" s="17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07:38:45-0600',mode:absolute,to:'2016-09-09 10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6" s="179" t="str">
        <f t="shared" si="24"/>
        <v>N</v>
      </c>
      <c r="X46" s="179">
        <f t="shared" si="19"/>
        <v>1</v>
      </c>
      <c r="Y46" s="66">
        <f t="shared" si="25"/>
        <v>23.296199999999999</v>
      </c>
      <c r="Z46" s="66">
        <f t="shared" si="26"/>
        <v>1.7000000000000001E-2</v>
      </c>
      <c r="AA46" s="66">
        <f t="shared" si="27"/>
        <v>23.279199999999999</v>
      </c>
      <c r="AB46" s="63" t="str">
        <f>VLOOKUP(A46,Enforcements!$C$7:$K$21,8,0)</f>
        <v>Bulletin (2)</v>
      </c>
      <c r="AC46" s="59" t="str">
        <f>VLOOKUP(A46,Enforcements!$C$7:$E$21,3,0)</f>
        <v>GRADE CROSSING</v>
      </c>
      <c r="AD46" s="60" t="str">
        <f t="shared" si="28"/>
        <v>0134-09</v>
      </c>
      <c r="AE46" s="96" t="str">
        <f t="shared" si="29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46" s="93" t="str">
        <f t="shared" si="30"/>
        <v>"C:\Program Files (x86)\AstroGrep\AstroGrep.exe" /spath="%USERPROFILE%\AppData\Local\Temp\OnboardLogs" /stypes="*4015*20160909*" /stext=" 15:.+((SYSTEM_STATE.+slice.+state.+changed )|(ment ac)|(system.+state.+changed )|(\|lc)|(penalty)|(\[timeout)|(PRM\|1\|D)|(kpr)|(kdp))" /e /r /s</v>
      </c>
      <c r="AG46" s="1" t="str">
        <f t="shared" si="31"/>
        <v>EC</v>
      </c>
      <c r="AH46" s="97" t="str">
        <f t="shared" si="17"/>
        <v>"%USERPROFILE%\Documents\GitHub\eaglep3\Utilities\RefineRTDCRunTimes.py" --tripid 134-09 --locoid 4015 --swversion DE.1.0.7.0 --startMP 204:232962 --initTime 2016-09-09T08:38:45 --startdatetime 2016-09-09T08:41:31 --delay 2 --endMP 204:170 --enddatetime 2016-09-09T09:23:21 --enforcementcount 1 &gt;&gt;C:\Users\stu\Documents\GitHub\eaglep3-reporting\EC\2016-09-09-refined-times.txt</v>
      </c>
      <c r="AI4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{"issue":{"subject":"","project_id":79,"tracker_id":40,"status_id":1,"priority_id":2,"assigned_to_id":23,"start_date":"2016-09-09","description":"","custom_fields":[{"id":1,"name":"Subdivision","value":"EC"},{"id":4,"name":"Milepost","value":"23.2792"},{"id":17,"name":"Train ID","value":"134-09"},{"id":16,"name":"Locomotive ID","value":"4015"},{"id":130,"name":"Impact","value":""},{"id":150,"name":"Time of Event (Mountain Time)","value":"09:23:21"},{"id":151,"name":"Denver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</row>
    <row r="47" spans="1:38" s="1" customFormat="1" x14ac:dyDescent="0.25">
      <c r="A47" s="38" t="s">
        <v>433</v>
      </c>
      <c r="B47" s="7">
        <v>4025</v>
      </c>
      <c r="C47" s="23" t="s">
        <v>108</v>
      </c>
      <c r="D47" s="23" t="s">
        <v>434</v>
      </c>
      <c r="E47" s="15">
        <v>42622.328472222223</v>
      </c>
      <c r="F47" s="15">
        <v>42622.333449074074</v>
      </c>
      <c r="G47" s="7">
        <v>1</v>
      </c>
      <c r="H47" s="15" t="s">
        <v>285</v>
      </c>
      <c r="I47" s="15">
        <v>42622.361840277779</v>
      </c>
      <c r="J47" s="7">
        <v>1</v>
      </c>
      <c r="K47" s="114" t="str">
        <f t="shared" si="20"/>
        <v>4025/4026</v>
      </c>
      <c r="L47" s="23" t="str">
        <f>VLOOKUP(A47,'Trips&amp;Operators'!$C$1:$E$10000,3,FALSE)</f>
        <v>RICHARDSON</v>
      </c>
      <c r="M47" s="6">
        <f t="shared" si="21"/>
        <v>2.8391203704813961E-2</v>
      </c>
      <c r="N47" s="7">
        <f t="shared" si="32"/>
        <v>40.883333334932104</v>
      </c>
      <c r="O47" s="7"/>
      <c r="P47" s="7"/>
      <c r="Q47" s="24"/>
      <c r="R47" s="24"/>
      <c r="S47" s="36">
        <f t="shared" si="2"/>
        <v>1</v>
      </c>
      <c r="T47" s="51" t="str">
        <f t="shared" si="22"/>
        <v>NorthBound</v>
      </c>
      <c r="U47" s="17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06:53:00-0600',mode:absolute,to:'2016-09-09 09:41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7" s="179" t="str">
        <f t="shared" si="24"/>
        <v>N</v>
      </c>
      <c r="X47" s="179">
        <f t="shared" si="19"/>
        <v>1</v>
      </c>
      <c r="Y47" s="66">
        <f t="shared" si="25"/>
        <v>5.3999999999999999E-2</v>
      </c>
      <c r="Z47" s="66">
        <f t="shared" si="26"/>
        <v>23.329899999999999</v>
      </c>
      <c r="AA47" s="66">
        <f t="shared" si="27"/>
        <v>23.2759</v>
      </c>
      <c r="AB47" s="63" t="e">
        <f>VLOOKUP(A47,Enforcements!$C$7:$K$21,8,0)</f>
        <v>#N/A</v>
      </c>
      <c r="AC47" s="59" t="e">
        <f>VLOOKUP(A47,Enforcements!$C$7:$E$21,3,0)</f>
        <v>#N/A</v>
      </c>
      <c r="AD47" s="60" t="str">
        <f t="shared" si="28"/>
        <v>0135-09</v>
      </c>
      <c r="AE47" s="96" t="str">
        <f t="shared" si="29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47" s="93" t="str">
        <f t="shared" si="30"/>
        <v>"C:\Program Files (x86)\AstroGrep\AstroGrep.exe" /spath="%USERPROFILE%\AppData\Local\Temp\OnboardLogs" /stypes="*4025*20160909*" /stext=" 14:.+((SYSTEM_STATE.+slice.+state.+changed )|(ment ac)|(system.+state.+changed )|(\|lc)|(penalty)|(\[timeout)|(PRM\|1\|D)|(kpr)|(kdp))" /e /r /s</v>
      </c>
      <c r="AG47" s="1" t="str">
        <f t="shared" si="31"/>
        <v>EC</v>
      </c>
      <c r="AH47" s="97" t="str">
        <f t="shared" si="17"/>
        <v>"%USERPROFILE%\Documents\GitHub\eaglep3\Utilities\RefineRTDCRunTimes.py" --tripid 135-09 --locoid 4025 --swversion DE.1.0.7.0 --startMP 204:540 --initTime 2016-09-09T07:53:00 --startdatetime 2016-09-09T08:00:10 --delay 1 --endMP 204:233299 --enddatetime 2016-09-09T08:41:03 --enforcementcount 1 &gt;&gt;C:\Users\stu\Documents\GitHub\eaglep3-reporting\EC\2016-09-09-refined-times.txt</v>
      </c>
      <c r="AI4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{"issue":{"subject":"","project_id":79,"tracker_id":40,"status_id":1,"priority_id":2,"assigned_to_id":23,"start_date":"2016-09-09","description":"","custom_fields":[{"id":1,"name":"Subdivision","value":"EC"},{"id":4,"name":"Milepost","value":"23.2759"},{"id":17,"name":"Train ID","value":"135-09"},{"id":16,"name":"Locomotive ID","value":"4025"},{"id":130,"name":"Impact","value":""},{"id":150,"name":"Time of Event (Mountain Time)","value":"08:41:03"},{"id":151,"name":"Denver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</row>
    <row r="48" spans="1:38" s="1" customFormat="1" x14ac:dyDescent="0.25">
      <c r="A48" s="38" t="s">
        <v>435</v>
      </c>
      <c r="B48" s="7">
        <v>4026</v>
      </c>
      <c r="C48" s="23" t="s">
        <v>108</v>
      </c>
      <c r="D48" s="23" t="s">
        <v>255</v>
      </c>
      <c r="E48" s="15">
        <v>42622.368113425924</v>
      </c>
      <c r="F48" s="15">
        <v>42622.372372685182</v>
      </c>
      <c r="G48" s="7">
        <v>1</v>
      </c>
      <c r="H48" s="15" t="s">
        <v>275</v>
      </c>
      <c r="I48" s="15">
        <v>42622.401504629626</v>
      </c>
      <c r="J48" s="7">
        <v>1</v>
      </c>
      <c r="K48" s="114" t="str">
        <f t="shared" si="20"/>
        <v>4025/4026</v>
      </c>
      <c r="L48" s="23" t="str">
        <f>VLOOKUP(A48,'Trips&amp;Operators'!$C$1:$E$10000,3,FALSE)</f>
        <v>RICHARDSON</v>
      </c>
      <c r="M48" s="6">
        <f t="shared" si="21"/>
        <v>2.9131944444088731E-2</v>
      </c>
      <c r="N48" s="7">
        <f t="shared" si="32"/>
        <v>41.949999999487773</v>
      </c>
      <c r="O48" s="7"/>
      <c r="P48" s="7"/>
      <c r="Q48" s="24"/>
      <c r="R48" s="24"/>
      <c r="S48" s="36">
        <f t="shared" si="2"/>
        <v>1</v>
      </c>
      <c r="T48" s="51" t="str">
        <f t="shared" si="22"/>
        <v>Southbound</v>
      </c>
      <c r="U48" s="17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07:50:05-0600',mode:absolute,to:'2016-09-09 10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8" s="179" t="str">
        <f t="shared" si="24"/>
        <v>N</v>
      </c>
      <c r="X48" s="179">
        <f t="shared" si="19"/>
        <v>1</v>
      </c>
      <c r="Y48" s="66">
        <f t="shared" si="25"/>
        <v>23.2986</v>
      </c>
      <c r="Z48" s="66">
        <f t="shared" si="26"/>
        <v>1.34E-2</v>
      </c>
      <c r="AA48" s="66">
        <f t="shared" si="27"/>
        <v>23.2852</v>
      </c>
      <c r="AB48" s="63" t="e">
        <f>VLOOKUP(A48,Enforcements!$C$7:$K$21,8,0)</f>
        <v>#N/A</v>
      </c>
      <c r="AC48" s="59" t="e">
        <f>VLOOKUP(A48,Enforcements!$C$7:$E$21,3,0)</f>
        <v>#N/A</v>
      </c>
      <c r="AD48" s="60" t="str">
        <f t="shared" si="28"/>
        <v>0136-09</v>
      </c>
      <c r="AE48" s="96" t="str">
        <f t="shared" si="29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48" s="93" t="str">
        <f t="shared" si="30"/>
        <v>"C:\Program Files (x86)\AstroGrep\AstroGrep.exe" /spath="%USERPROFILE%\AppData\Local\Temp\OnboardLogs" /stypes="*4026*20160909*" /stext=" 15:.+((SYSTEM_STATE.+slice.+state.+changed )|(ment ac)|(system.+state.+changed )|(\|lc)|(penalty)|(\[timeout)|(PRM\|1\|D)|(kpr)|(kdp))" /e /r /s</v>
      </c>
      <c r="AG48" s="1" t="str">
        <f t="shared" si="31"/>
        <v>EC</v>
      </c>
      <c r="AH48" s="97" t="str">
        <f t="shared" si="17"/>
        <v>"%USERPROFILE%\Documents\GitHub\eaglep3\Utilities\RefineRTDCRunTimes.py" --tripid 136-09 --locoid 4026 --swversion DE.1.0.7.0 --startMP 204:232986 --initTime 2016-09-09T08:50:05 --startdatetime 2016-09-09T08:56:13 --delay 1 --endMP 204:134 --enddatetime 2016-09-09T09:38:10 --enforcementcount 1 &gt;&gt;C:\Users\stu\Documents\GitHub\eaglep3-reporting\EC\2016-09-09-refined-times.txt</v>
      </c>
      <c r="AI4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{"issue":{"subject":"","project_id":79,"tracker_id":40,"status_id":1,"priority_id":2,"assigned_to_id":23,"start_date":"2016-09-09","description":"","custom_fields":[{"id":1,"name":"Subdivision","value":"EC"},{"id":4,"name":"Milepost","value":"23.2852"},{"id":17,"name":"Train ID","value":"136-09"},{"id":16,"name":"Locomotive ID","value":"4026"},{"id":130,"name":"Impact","value":""},{"id":150,"name":"Time of Event (Mountain Time)","value":"09:38:10"},{"id":151,"name":"Denver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</row>
    <row r="49" spans="1:38" s="1" customFormat="1" x14ac:dyDescent="0.25">
      <c r="A49" s="38" t="s">
        <v>436</v>
      </c>
      <c r="B49" s="7">
        <v>4031</v>
      </c>
      <c r="C49" s="23" t="s">
        <v>108</v>
      </c>
      <c r="D49" s="23" t="s">
        <v>277</v>
      </c>
      <c r="E49" s="15">
        <v>42622.340104166666</v>
      </c>
      <c r="F49" s="15">
        <v>42622.344305555554</v>
      </c>
      <c r="G49" s="7">
        <v>1</v>
      </c>
      <c r="H49" s="15" t="s">
        <v>317</v>
      </c>
      <c r="I49" s="15">
        <v>42622.369270833333</v>
      </c>
      <c r="J49" s="7">
        <v>1</v>
      </c>
      <c r="K49" s="114" t="str">
        <f t="shared" si="20"/>
        <v>4031/4032</v>
      </c>
      <c r="L49" s="23" t="str">
        <f>VLOOKUP(A49,'Trips&amp;Operators'!$C$1:$E$10000,3,FALSE)</f>
        <v>BRANDNER</v>
      </c>
      <c r="M49" s="6">
        <f t="shared" si="21"/>
        <v>2.4965277778392192E-2</v>
      </c>
      <c r="N49" s="7">
        <f t="shared" si="32"/>
        <v>35.950000000884756</v>
      </c>
      <c r="O49" s="7"/>
      <c r="P49" s="7"/>
      <c r="Q49" s="24"/>
      <c r="R49" s="24"/>
      <c r="S49" s="36">
        <f t="shared" si="2"/>
        <v>1</v>
      </c>
      <c r="T49" s="51" t="str">
        <f t="shared" si="22"/>
        <v>NorthBound</v>
      </c>
      <c r="U49" s="17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07:09:45-0600',mode:absolute,to:'2016-09-09 09:51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49" s="179" t="str">
        <f t="shared" si="24"/>
        <v>N</v>
      </c>
      <c r="X49" s="179">
        <f t="shared" si="19"/>
        <v>1</v>
      </c>
      <c r="Y49" s="66">
        <f t="shared" si="25"/>
        <v>4.3099999999999999E-2</v>
      </c>
      <c r="Z49" s="66">
        <f t="shared" si="26"/>
        <v>23.33</v>
      </c>
      <c r="AA49" s="66">
        <f t="shared" si="27"/>
        <v>23.286899999999999</v>
      </c>
      <c r="AB49" s="63" t="e">
        <f>VLOOKUP(A49,Enforcements!$C$7:$K$21,8,0)</f>
        <v>#N/A</v>
      </c>
      <c r="AC49" s="59" t="e">
        <f>VLOOKUP(A49,Enforcements!$C$7:$E$21,3,0)</f>
        <v>#N/A</v>
      </c>
      <c r="AD49" s="60" t="str">
        <f t="shared" si="28"/>
        <v>0137-09</v>
      </c>
      <c r="AE49" s="96" t="str">
        <f t="shared" si="29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49" s="93" t="str">
        <f t="shared" si="30"/>
        <v>"C:\Program Files (x86)\AstroGrep\AstroGrep.exe" /spath="%USERPROFILE%\AppData\Local\Temp\OnboardLogs" /stypes="*4031*20160909*" /stext=" 14:.+((SYSTEM_STATE.+slice.+state.+changed )|(ment ac)|(system.+state.+changed )|(\|lc)|(penalty)|(\[timeout)|(PRM\|1\|D)|(kpr)|(kdp))" /e /r /s</v>
      </c>
      <c r="AG49" s="1" t="str">
        <f t="shared" si="31"/>
        <v>EC</v>
      </c>
      <c r="AH49" s="97" t="str">
        <f t="shared" si="17"/>
        <v>"%USERPROFILE%\Documents\GitHub\eaglep3\Utilities\RefineRTDCRunTimes.py" --tripid 137-09 --locoid 4031 --swversion DE.1.0.7.0 --startMP 204:431 --initTime 2016-09-09T08:09:45 --startdatetime 2016-09-09T08:15:48 --delay 1 --endMP 204:233300 --enddatetime 2016-09-09T08:51:45 --enforcementcount 1 &gt;&gt;C:\Users\stu\Documents\GitHub\eaglep3-reporting\EC\2016-09-09-refined-times.txt</v>
      </c>
      <c r="AI4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{"issue":{"subject":"","project_id":79,"tracker_id":40,"status_id":1,"priority_id":2,"assigned_to_id":23,"start_date":"2016-09-09","description":"","custom_fields":[{"id":1,"name":"Subdivision","value":"EC"},{"id":4,"name":"Milepost","value":"23.2869"},{"id":17,"name":"Train ID","value":"137-09"},{"id":16,"name":"Locomotive ID","value":"4031"},{"id":130,"name":"Impact","value":""},{"id":150,"name":"Time of Event (Mountain Time)","value":"08:51:45"},{"id":151,"name":"Denver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</row>
    <row r="50" spans="1:38" s="1" customFormat="1" x14ac:dyDescent="0.25">
      <c r="A50" s="38" t="s">
        <v>437</v>
      </c>
      <c r="B50" s="7">
        <v>4032</v>
      </c>
      <c r="C50" s="23" t="s">
        <v>108</v>
      </c>
      <c r="D50" s="23" t="s">
        <v>325</v>
      </c>
      <c r="E50" s="15">
        <v>42622.372893518521</v>
      </c>
      <c r="F50" s="15">
        <v>42622.382847222223</v>
      </c>
      <c r="G50" s="7">
        <v>6</v>
      </c>
      <c r="H50" s="15" t="s">
        <v>248</v>
      </c>
      <c r="I50" s="15">
        <v>42622.411099537036</v>
      </c>
      <c r="J50" s="7">
        <v>1</v>
      </c>
      <c r="K50" s="114" t="str">
        <f t="shared" si="20"/>
        <v>4031/4032</v>
      </c>
      <c r="L50" s="23" t="str">
        <f>VLOOKUP(A50,'Trips&amp;Operators'!$C$1:$E$10000,3,FALSE)</f>
        <v>BRANDNER</v>
      </c>
      <c r="M50" s="6">
        <f t="shared" si="21"/>
        <v>2.8252314812561963E-2</v>
      </c>
      <c r="N50" s="7">
        <f t="shared" si="32"/>
        <v>40.683333330089226</v>
      </c>
      <c r="O50" s="7"/>
      <c r="P50" s="7"/>
      <c r="Q50" s="24"/>
      <c r="R50" s="24"/>
      <c r="S50" s="36">
        <f t="shared" si="2"/>
        <v>1</v>
      </c>
      <c r="T50" s="51" t="str">
        <f t="shared" si="22"/>
        <v>Southbound</v>
      </c>
      <c r="U50" s="17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07:56:58-0600',mode:absolute,to:'2016-09-09 10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0" s="179" t="str">
        <f t="shared" si="24"/>
        <v>N</v>
      </c>
      <c r="X50" s="179">
        <f t="shared" si="19"/>
        <v>1</v>
      </c>
      <c r="Y50" s="66">
        <f t="shared" si="25"/>
        <v>23.2989</v>
      </c>
      <c r="Z50" s="66">
        <f t="shared" si="26"/>
        <v>1.5800000000000002E-2</v>
      </c>
      <c r="AA50" s="66">
        <f t="shared" si="27"/>
        <v>23.283100000000001</v>
      </c>
      <c r="AB50" s="63" t="e">
        <f>VLOOKUP(A50,Enforcements!$C$7:$K$21,8,0)</f>
        <v>#N/A</v>
      </c>
      <c r="AC50" s="59" t="e">
        <f>VLOOKUP(A50,Enforcements!$C$7:$E$21,3,0)</f>
        <v>#N/A</v>
      </c>
      <c r="AD50" s="60" t="str">
        <f t="shared" si="28"/>
        <v>0138-09</v>
      </c>
      <c r="AE50" s="96" t="str">
        <f t="shared" si="29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50" s="93" t="str">
        <f t="shared" si="30"/>
        <v>"C:\Program Files (x86)\AstroGrep\AstroGrep.exe" /spath="%USERPROFILE%\AppData\Local\Temp\OnboardLogs" /stypes="*4032*20160909*" /stext=" 15:.+((SYSTEM_STATE.+slice.+state.+changed )|(ment ac)|(system.+state.+changed )|(\|lc)|(penalty)|(\[timeout)|(PRM\|1\|D)|(kpr)|(kdp))" /e /r /s</v>
      </c>
      <c r="AG50" s="1" t="str">
        <f t="shared" si="31"/>
        <v>EC</v>
      </c>
      <c r="AH50" s="97" t="str">
        <f t="shared" si="17"/>
        <v>"%USERPROFILE%\Documents\GitHub\eaglep3\Utilities\RefineRTDCRunTimes.py" --tripid 138-09 --locoid 4032 --swversion DE.1.0.7.0 --startMP 204:232989 --initTime 2016-09-09T08:56:58 --startdatetime 2016-09-09T09:11:18 --delay 6 --endMP 204:158 --enddatetime 2016-09-09T09:51:59 --enforcementcount 1 &gt;&gt;C:\Users\stu\Documents\GitHub\eaglep3-reporting\EC\2016-09-09-refined-times.txt</v>
      </c>
      <c r="AI5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{"issue":{"subject":"","project_id":79,"tracker_id":40,"status_id":1,"priority_id":2,"assigned_to_id":23,"start_date":"2016-09-09","description":"","custom_fields":[{"id":1,"name":"Subdivision","value":"EC"},{"id":4,"name":"Milepost","value":"23.2831"},{"id":17,"name":"Train ID","value":"138-09"},{"id":16,"name":"Locomotive ID","value":"4032"},{"id":130,"name":"Impact","value":""},{"id":150,"name":"Time of Event (Mountain Time)","value":"09:51:59"},{"id":151,"name":"Denver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</row>
    <row r="51" spans="1:38" s="1" customFormat="1" x14ac:dyDescent="0.25">
      <c r="A51" s="38" t="s">
        <v>438</v>
      </c>
      <c r="B51" s="7">
        <v>4018</v>
      </c>
      <c r="C51" s="23" t="s">
        <v>108</v>
      </c>
      <c r="D51" s="23" t="s">
        <v>399</v>
      </c>
      <c r="E51" s="15">
        <v>42622.35083333333</v>
      </c>
      <c r="F51" s="15">
        <v>42622.354618055557</v>
      </c>
      <c r="G51" s="7">
        <v>1</v>
      </c>
      <c r="H51" s="15" t="s">
        <v>258</v>
      </c>
      <c r="I51" s="15">
        <v>42622.379351851851</v>
      </c>
      <c r="J51" s="7">
        <v>1</v>
      </c>
      <c r="K51" s="114" t="str">
        <f t="shared" si="20"/>
        <v>4017/4018</v>
      </c>
      <c r="L51" s="23" t="str">
        <f>VLOOKUP(A51,'Trips&amp;Operators'!$C$1:$E$10000,3,FALSE)</f>
        <v>BEAM</v>
      </c>
      <c r="M51" s="6">
        <f t="shared" si="21"/>
        <v>2.4733796293730848E-2</v>
      </c>
      <c r="N51" s="7">
        <f t="shared" si="32"/>
        <v>35.61666666297242</v>
      </c>
      <c r="O51" s="7"/>
      <c r="P51" s="7"/>
      <c r="Q51" s="24"/>
      <c r="R51" s="24"/>
      <c r="S51" s="36">
        <f t="shared" si="2"/>
        <v>1</v>
      </c>
      <c r="T51" s="51" t="str">
        <f t="shared" si="22"/>
        <v>NorthBound</v>
      </c>
      <c r="U51" s="17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07:25:12-0600',mode:absolute,to:'2016-09-09 10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51" s="179" t="str">
        <f t="shared" si="24"/>
        <v>N</v>
      </c>
      <c r="X51" s="179">
        <f t="shared" ref="X51:X82" si="33">VALUE(LEFT(AD51,4))-VALUE(LEFT(AD50,4))</f>
        <v>1</v>
      </c>
      <c r="Y51" s="66">
        <f t="shared" si="25"/>
        <v>4.3999999999999997E-2</v>
      </c>
      <c r="Z51" s="66">
        <f t="shared" si="26"/>
        <v>23.3291</v>
      </c>
      <c r="AA51" s="66">
        <f t="shared" si="27"/>
        <v>23.2851</v>
      </c>
      <c r="AB51" s="63" t="e">
        <f>VLOOKUP(A51,Enforcements!$C$7:$K$21,8,0)</f>
        <v>#N/A</v>
      </c>
      <c r="AC51" s="59" t="e">
        <f>VLOOKUP(A51,Enforcements!$C$7:$E$21,3,0)</f>
        <v>#N/A</v>
      </c>
      <c r="AD51" s="60" t="str">
        <f t="shared" si="28"/>
        <v>0139-09</v>
      </c>
      <c r="AE51" s="96" t="str">
        <f t="shared" si="29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51" s="93" t="str">
        <f t="shared" si="30"/>
        <v>"C:\Program Files (x86)\AstroGrep\AstroGrep.exe" /spath="%USERPROFILE%\AppData\Local\Temp\OnboardLogs" /stypes="*4018*20160909*" /stext=" 15:.+((SYSTEM_STATE.+slice.+state.+changed )|(ment ac)|(system.+state.+changed )|(\|lc)|(penalty)|(\[timeout)|(PRM\|1\|D)|(kpr)|(kdp))" /e /r /s</v>
      </c>
      <c r="AG51" s="1" t="str">
        <f t="shared" si="31"/>
        <v>EC</v>
      </c>
      <c r="AH51" s="97" t="str">
        <f t="shared" si="17"/>
        <v>"%USERPROFILE%\Documents\GitHub\eaglep3\Utilities\RefineRTDCRunTimes.py" --tripid 139-09 --locoid 4018 --swversion DE.1.0.7.0 --startMP 204:440 --initTime 2016-09-09T08:25:12 --startdatetime 2016-09-09T08:30:39 --delay 1 --endMP 204:233291 --enddatetime 2016-09-09T09:06:16 --enforcementcount 1 &gt;&gt;C:\Users\stu\Documents\GitHub\eaglep3-reporting\EC\2016-09-09-refined-times.txt</v>
      </c>
      <c r="AI5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{"issue":{"subject":"","project_id":79,"tracker_id":40,"status_id":1,"priority_id":2,"assigned_to_id":23,"start_date":"2016-09-09","description":"","custom_fields":[{"id":1,"name":"Subdivision","value":"EC"},{"id":4,"name":"Milepost","value":"23.2851"},{"id":17,"name":"Train ID","value":"139-09"},{"id":16,"name":"Locomotive ID","value":"4018"},{"id":130,"name":"Impact","value":""},{"id":150,"name":"Time of Event (Mountain Time)","value":"09:06:16"},{"id":151,"name":"Denver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</row>
    <row r="52" spans="1:38" s="1" customFormat="1" x14ac:dyDescent="0.25">
      <c r="A52" s="38" t="s">
        <v>439</v>
      </c>
      <c r="B52" s="7">
        <v>4017</v>
      </c>
      <c r="C52" s="23" t="s">
        <v>108</v>
      </c>
      <c r="D52" s="23" t="s">
        <v>255</v>
      </c>
      <c r="E52" s="15">
        <v>42622.39025462963</v>
      </c>
      <c r="F52" s="15">
        <v>42622.39340277778</v>
      </c>
      <c r="G52" s="7">
        <v>1</v>
      </c>
      <c r="H52" s="15" t="s">
        <v>330</v>
      </c>
      <c r="I52" s="15">
        <v>42622.419409722221</v>
      </c>
      <c r="J52" s="7">
        <v>1</v>
      </c>
      <c r="K52" s="114" t="str">
        <f t="shared" si="20"/>
        <v>4017/4018</v>
      </c>
      <c r="L52" s="23" t="str">
        <f>VLOOKUP(A52,'Trips&amp;Operators'!$C$1:$E$10000,3,FALSE)</f>
        <v>BEAM</v>
      </c>
      <c r="M52" s="6">
        <f t="shared" si="21"/>
        <v>2.6006944441178348E-2</v>
      </c>
      <c r="N52" s="7">
        <f t="shared" si="32"/>
        <v>37.449999995296821</v>
      </c>
      <c r="O52" s="7"/>
      <c r="P52" s="7"/>
      <c r="Q52" s="24"/>
      <c r="R52" s="24"/>
      <c r="S52" s="36">
        <f t="shared" si="2"/>
        <v>1</v>
      </c>
      <c r="T52" s="51" t="str">
        <f t="shared" si="22"/>
        <v>Southbound</v>
      </c>
      <c r="U52" s="17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08:21:58-0600',mode:absolute,to:'2016-09-09 11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52" s="179" t="str">
        <f t="shared" si="24"/>
        <v>N</v>
      </c>
      <c r="X52" s="179">
        <f t="shared" si="33"/>
        <v>1</v>
      </c>
      <c r="Y52" s="66">
        <f t="shared" si="25"/>
        <v>23.2986</v>
      </c>
      <c r="Z52" s="66">
        <f t="shared" si="26"/>
        <v>1.3599999999999999E-2</v>
      </c>
      <c r="AA52" s="66">
        <f t="shared" si="27"/>
        <v>23.285</v>
      </c>
      <c r="AB52" s="63" t="e">
        <f>VLOOKUP(A52,Enforcements!$C$7:$K$21,8,0)</f>
        <v>#N/A</v>
      </c>
      <c r="AC52" s="59" t="e">
        <f>VLOOKUP(A52,Enforcements!$C$7:$E$21,3,0)</f>
        <v>#N/A</v>
      </c>
      <c r="AD52" s="60" t="str">
        <f t="shared" si="28"/>
        <v>0140-09</v>
      </c>
      <c r="AE52" s="96" t="str">
        <f t="shared" si="29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52" s="93" t="str">
        <f t="shared" si="30"/>
        <v>"C:\Program Files (x86)\AstroGrep\AstroGrep.exe" /spath="%USERPROFILE%\AppData\Local\Temp\OnboardLogs" /stypes="*4017*20160909*" /stext=" 16:.+((SYSTEM_STATE.+slice.+state.+changed )|(ment ac)|(system.+state.+changed )|(\|lc)|(penalty)|(\[timeout)|(PRM\|1\|D)|(kpr)|(kdp))" /e /r /s</v>
      </c>
      <c r="AG52" s="1" t="str">
        <f t="shared" si="31"/>
        <v>EC</v>
      </c>
      <c r="AH52" s="97" t="str">
        <f t="shared" si="17"/>
        <v>"%USERPROFILE%\Documents\GitHub\eaglep3\Utilities\RefineRTDCRunTimes.py" --tripid 140-09 --locoid 4017 --swversion DE.1.0.7.0 --startMP 204:232986 --initTime 2016-09-09T09:21:58 --startdatetime 2016-09-09T09:26:30 --delay 1 --endMP 204:136 --enddatetime 2016-09-09T10:03:57 --enforcementcount 1 &gt;&gt;C:\Users\stu\Documents\GitHub\eaglep3-reporting\EC\2016-09-09-refined-times.txt</v>
      </c>
      <c r="AI5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{"issue":{"subject":"","project_id":79,"tracker_id":40,"status_id":1,"priority_id":2,"assigned_to_id":23,"start_date":"2016-09-09","description":"","custom_fields":[{"id":1,"name":"Subdivision","value":"EC"},{"id":4,"name":"Milepost","value":"23.285"},{"id":17,"name":"Train ID","value":"140-09"},{"id":16,"name":"Locomotive ID","value":"4017"},{"id":130,"name":"Impact","value":""},{"id":150,"name":"Time of Event (Mountain Time)","value":"10:03:57"},{"id":151,"name":"Denver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</row>
    <row r="53" spans="1:38" s="1" customFormat="1" x14ac:dyDescent="0.25">
      <c r="A53" s="38" t="s">
        <v>440</v>
      </c>
      <c r="B53" s="7">
        <v>4009</v>
      </c>
      <c r="C53" s="23" t="s">
        <v>108</v>
      </c>
      <c r="D53" s="23" t="s">
        <v>441</v>
      </c>
      <c r="E53" s="15">
        <v>42622.368680555555</v>
      </c>
      <c r="F53" s="15">
        <v>42622.369930555556</v>
      </c>
      <c r="G53" s="7">
        <v>1</v>
      </c>
      <c r="H53" s="15" t="s">
        <v>306</v>
      </c>
      <c r="I53" s="15">
        <v>42622.392187500001</v>
      </c>
      <c r="J53" s="7">
        <v>1</v>
      </c>
      <c r="K53" s="114" t="str">
        <f t="shared" si="20"/>
        <v>4009/4010</v>
      </c>
      <c r="L53" s="23" t="str">
        <f>VLOOKUP(A53,'Trips&amp;Operators'!$C$1:$E$10000,3,FALSE)</f>
        <v>MAELZER</v>
      </c>
      <c r="M53" s="6">
        <f t="shared" si="21"/>
        <v>2.2256944444961846E-2</v>
      </c>
      <c r="N53" s="7"/>
      <c r="O53" s="7"/>
      <c r="P53" s="7">
        <f>24*60*SUM($M53:$M53)</f>
        <v>32.050000000745058</v>
      </c>
      <c r="Q53" s="24"/>
      <c r="R53" s="24" t="s">
        <v>186</v>
      </c>
      <c r="S53" s="36">
        <f t="shared" si="2"/>
        <v>1</v>
      </c>
      <c r="T53" s="177" t="str">
        <f t="shared" si="22"/>
        <v>NorthBound</v>
      </c>
      <c r="U53" s="17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07:50:54-0600',mode:absolute,to:'2016-09-09 10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3" s="179" t="str">
        <f t="shared" si="24"/>
        <v>Y</v>
      </c>
      <c r="X53" s="179">
        <f t="shared" si="33"/>
        <v>1</v>
      </c>
      <c r="Y53" s="66">
        <f t="shared" si="25"/>
        <v>1.9139999999999999</v>
      </c>
      <c r="Z53" s="66">
        <f t="shared" si="26"/>
        <v>23.331</v>
      </c>
      <c r="AA53" s="66">
        <f t="shared" si="27"/>
        <v>21.416999999999998</v>
      </c>
      <c r="AB53" s="63" t="str">
        <f>VLOOKUP(A53,Enforcements!$C$7:$K$21,8,0)</f>
        <v>Signal based authority (5)</v>
      </c>
      <c r="AC53" s="59" t="str">
        <f>VLOOKUP(A53,Enforcements!$C$7:$E$21,3,0)</f>
        <v>SIGNAL</v>
      </c>
      <c r="AD53" s="60" t="str">
        <f t="shared" si="28"/>
        <v>0141-09</v>
      </c>
      <c r="AE53" s="96" t="str">
        <f t="shared" si="29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53" s="93" t="str">
        <f t="shared" si="30"/>
        <v>"C:\Program Files (x86)\AstroGrep\AstroGrep.exe" /spath="%USERPROFILE%\AppData\Local\Temp\OnboardLogs" /stypes="*4009*20160909*" /stext=" 15:.+((SYSTEM_STATE.+slice.+state.+changed )|(ment ac)|(system.+state.+changed )|(\|lc)|(penalty)|(\[timeout)|(PRM\|1\|D)|(kpr)|(kdp))" /e /r /s</v>
      </c>
      <c r="AG53" s="1" t="str">
        <f t="shared" si="31"/>
        <v>EC</v>
      </c>
      <c r="AH53" s="97" t="str">
        <f t="shared" si="17"/>
        <v>"%USERPROFILE%\Documents\GitHub\eaglep3\Utilities\RefineRTDCRunTimes.py" --tripid 141-09 --locoid 4009 --swversion DE.1.0.7.0 --startMP 204:19140 --initTime 2016-09-09T08:50:54 --startdatetime 2016-09-09T08:52:42 --delay 1 --endMP 204:233310 --enddatetime 2016-09-09T09:24:45 --enforcementcount 1 &gt;&gt;C:\Users\stu\Documents\GitHub\eaglep3-reporting\EC\2016-09-09-refined-times.txt</v>
      </c>
      <c r="AI53" s="129" t="str">
        <f t="shared" si="18"/>
        <v>echo {"issue":{"subject":"Wi-MAX outage","project_id":79,"tracker_id":40,"status_id":1,"priority_id":2,"assigned_to_id":23,"start_date":"2016-09-09","description":"","custom_fields":[{"id":1,"name":"Subdivision","value":"EC"},{"id":4,"name":"Milepost","value":"21.417"},{"id":17,"name":"Train ID","value":"141-09"},{"id":16,"name":"Locomotive ID","value":"4009"},{"id":130,"name":"Impact","value":""},{"id":150,"name":"Time of Event (Mountain Time)","value":"09:24:45"},{"id":151,"name":"Denver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</row>
    <row r="54" spans="1:38" s="1" customFormat="1" x14ac:dyDescent="0.25">
      <c r="A54" s="38" t="s">
        <v>440</v>
      </c>
      <c r="B54" s="7">
        <v>4009</v>
      </c>
      <c r="C54" s="23" t="s">
        <v>108</v>
      </c>
      <c r="D54" s="23" t="s">
        <v>267</v>
      </c>
      <c r="E54" s="15">
        <v>42622.363194444442</v>
      </c>
      <c r="F54" s="15">
        <v>42622.369930555556</v>
      </c>
      <c r="G54" s="7">
        <v>1</v>
      </c>
      <c r="H54" s="15" t="s">
        <v>442</v>
      </c>
      <c r="I54" s="15">
        <v>42622.392187500001</v>
      </c>
      <c r="J54" s="7">
        <v>1</v>
      </c>
      <c r="K54" s="114" t="str">
        <f t="shared" si="20"/>
        <v>4009/4010</v>
      </c>
      <c r="L54" s="23" t="str">
        <f>VLOOKUP(A54,'Trips&amp;Operators'!$C$1:$E$10000,3,FALSE)</f>
        <v>MAELZER</v>
      </c>
      <c r="M54" s="6">
        <f t="shared" si="21"/>
        <v>2.2256944444961846E-2</v>
      </c>
      <c r="N54" s="7"/>
      <c r="O54" s="7"/>
      <c r="P54" s="7"/>
      <c r="Q54" s="24"/>
      <c r="R54" s="24"/>
      <c r="S54" s="36"/>
      <c r="T54" s="51" t="str">
        <f t="shared" si="22"/>
        <v>NorthBound</v>
      </c>
      <c r="U54" s="17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0</v>
      </c>
      <c r="V54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07:43:00-0600',mode:absolute,to:'2016-09-09 10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4" s="179" t="str">
        <f t="shared" si="24"/>
        <v>Y</v>
      </c>
      <c r="X54" s="179">
        <f t="shared" si="33"/>
        <v>0</v>
      </c>
      <c r="Y54" s="66">
        <f t="shared" si="25"/>
        <v>4.5699999999999998E-2</v>
      </c>
      <c r="Z54" s="66">
        <f t="shared" si="26"/>
        <v>0.22919999999999999</v>
      </c>
      <c r="AA54" s="66">
        <f t="shared" si="27"/>
        <v>0.1835</v>
      </c>
      <c r="AB54" s="63" t="str">
        <f>VLOOKUP(A54,Enforcements!$C$7:$K$21,8,0)</f>
        <v>Signal based authority (5)</v>
      </c>
      <c r="AC54" s="59" t="str">
        <f>VLOOKUP(A54,Enforcements!$C$7:$E$21,3,0)</f>
        <v>SIGNAL</v>
      </c>
      <c r="AD54" s="60" t="str">
        <f t="shared" si="28"/>
        <v>0141-09</v>
      </c>
      <c r="AE54" s="96" t="str">
        <f t="shared" si="29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54" s="93" t="str">
        <f t="shared" si="30"/>
        <v>"C:\Program Files (x86)\AstroGrep\AstroGrep.exe" /spath="%USERPROFILE%\AppData\Local\Temp\OnboardLogs" /stypes="*4009*20160909*" /stext=" 15:.+((SYSTEM_STATE.+slice.+state.+changed )|(ment ac)|(system.+state.+changed )|(\|lc)|(penalty)|(\[timeout)|(PRM\|1\|D)|(kpr)|(kdp))" /e /r /s</v>
      </c>
      <c r="AG54" s="1" t="str">
        <f t="shared" si="31"/>
        <v>EC</v>
      </c>
      <c r="AH54" s="97" t="str">
        <f t="shared" si="17"/>
        <v>"%USERPROFILE%\Documents\GitHub\eaglep3\Utilities\RefineRTDCRunTimes.py" --tripid 141-09 --locoid 4009 --swversion DE.1.0.7.0 --startMP 204:457 --initTime 2016-09-09T08:43:00 --startdatetime 2016-09-09T08:52:42 --delay 1 --endMP 204:2292 --enddatetime 2016-09-09T09:24:45 --enforcementcount 1 &gt;&gt;C:\Users\stu\Documents\GitHub\eaglep3-reporting\EC\2016-09-09-refined-times.txt</v>
      </c>
      <c r="AI5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{"issue":{"subject":"","project_id":79,"tracker_id":40,"status_id":1,"priority_id":2,"assigned_to_id":23,"start_date":"2016-09-09","description":"","custom_fields":[{"id":1,"name":"Subdivision","value":"EC"},{"id":4,"name":"Milepost","value":"0.1835"},{"id":17,"name":"Train ID","value":"141-09"},{"id":16,"name":"Locomotive ID","value":"4009"},{"id":130,"name":"Impact","value":""},{"id":150,"name":"Time of Event (Mountain Time)","value":"09:24:45"},{"id":151,"name":"Denver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</row>
    <row r="55" spans="1:38" s="1" customFormat="1" x14ac:dyDescent="0.25">
      <c r="A55" s="38" t="s">
        <v>443</v>
      </c>
      <c r="B55" s="7">
        <v>4010</v>
      </c>
      <c r="C55" s="23" t="s">
        <v>108</v>
      </c>
      <c r="D55" s="23" t="s">
        <v>328</v>
      </c>
      <c r="E55" s="15">
        <v>42622.400312500002</v>
      </c>
      <c r="F55" s="15">
        <v>42622.403738425928</v>
      </c>
      <c r="G55" s="7">
        <v>1</v>
      </c>
      <c r="H55" s="15" t="s">
        <v>256</v>
      </c>
      <c r="I55" s="15">
        <v>42622.430567129632</v>
      </c>
      <c r="J55" s="7">
        <v>1</v>
      </c>
      <c r="K55" s="114" t="str">
        <f t="shared" si="20"/>
        <v>4009/4010</v>
      </c>
      <c r="L55" s="23" t="str">
        <f>VLOOKUP(A55,'Trips&amp;Operators'!$C$1:$E$10000,3,FALSE)</f>
        <v>MAELZER</v>
      </c>
      <c r="M55" s="6">
        <f t="shared" si="21"/>
        <v>2.6828703703358769E-2</v>
      </c>
      <c r="N55" s="7">
        <f t="shared" ref="N55:N82" si="34">24*60*SUM($M55:$M55)</f>
        <v>38.633333332836628</v>
      </c>
      <c r="O55" s="7"/>
      <c r="P55" s="7"/>
      <c r="Q55" s="24"/>
      <c r="R55" s="24"/>
      <c r="S55" s="36">
        <f t="shared" ref="S55:S86" si="35">SUM(U55:U55)/IF(AG55="EC",12,1)</f>
        <v>1</v>
      </c>
      <c r="T55" s="51" t="str">
        <f t="shared" si="22"/>
        <v>Southbound</v>
      </c>
      <c r="U55" s="17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08:36:27-0600',mode:absolute,to:'2016-09-09 11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55" s="179" t="str">
        <f t="shared" si="24"/>
        <v>N</v>
      </c>
      <c r="X55" s="179">
        <f t="shared" si="33"/>
        <v>1</v>
      </c>
      <c r="Y55" s="66">
        <f t="shared" si="25"/>
        <v>23.299299999999999</v>
      </c>
      <c r="Z55" s="66">
        <f t="shared" si="26"/>
        <v>1.4999999999999999E-2</v>
      </c>
      <c r="AA55" s="66">
        <f t="shared" si="27"/>
        <v>23.284299999999998</v>
      </c>
      <c r="AB55" s="63" t="e">
        <f>VLOOKUP(A55,Enforcements!$C$7:$K$21,8,0)</f>
        <v>#N/A</v>
      </c>
      <c r="AC55" s="59" t="e">
        <f>VLOOKUP(A55,Enforcements!$C$7:$E$21,3,0)</f>
        <v>#N/A</v>
      </c>
      <c r="AD55" s="60" t="str">
        <f t="shared" si="28"/>
        <v>0142-09</v>
      </c>
      <c r="AE55" s="96" t="str">
        <f t="shared" si="29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55" s="93" t="str">
        <f t="shared" si="30"/>
        <v>"C:\Program Files (x86)\AstroGrep\AstroGrep.exe" /spath="%USERPROFILE%\AppData\Local\Temp\OnboardLogs" /stypes="*4010*20160909*" /stext=" 16:.+((SYSTEM_STATE.+slice.+state.+changed )|(ment ac)|(system.+state.+changed )|(\|lc)|(penalty)|(\[timeout)|(PRM\|1\|D)|(kpr)|(kdp))" /e /r /s</v>
      </c>
      <c r="AG55" s="1" t="str">
        <f t="shared" si="31"/>
        <v>EC</v>
      </c>
      <c r="AH55" s="97" t="str">
        <f t="shared" si="17"/>
        <v>"%USERPROFILE%\Documents\GitHub\eaglep3\Utilities\RefineRTDCRunTimes.py" --tripid 142-09 --locoid 4010 --swversion DE.1.0.7.0 --startMP 204:232993 --initTime 2016-09-09T09:36:27 --startdatetime 2016-09-09T09:41:23 --delay 1 --endMP 204:150 --enddatetime 2016-09-09T10:20:01 --enforcementcount 1 &gt;&gt;C:\Users\stu\Documents\GitHub\eaglep3-reporting\EC\2016-09-09-refined-times.txt</v>
      </c>
      <c r="AI5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{"issue":{"subject":"","project_id":79,"tracker_id":40,"status_id":1,"priority_id":2,"assigned_to_id":23,"start_date":"2016-09-09","description":"","custom_fields":[{"id":1,"name":"Subdivision","value":"EC"},{"id":4,"name":"Milepost","value":"23.2843"},{"id":17,"name":"Train ID","value":"142-09"},{"id":16,"name":"Locomotive ID","value":"4010"},{"id":130,"name":"Impact","value":""},{"id":150,"name":"Time of Event (Mountain Time)","value":"10:20:01"},{"id":151,"name":"Denver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</row>
    <row r="56" spans="1:38" s="1" customFormat="1" x14ac:dyDescent="0.25">
      <c r="A56" s="38" t="s">
        <v>444</v>
      </c>
      <c r="B56" s="7">
        <v>4020</v>
      </c>
      <c r="C56" s="23" t="s">
        <v>108</v>
      </c>
      <c r="D56" s="23" t="s">
        <v>315</v>
      </c>
      <c r="E56" s="15">
        <v>42622.37327546296</v>
      </c>
      <c r="F56" s="15">
        <v>42622.375810185185</v>
      </c>
      <c r="G56" s="7">
        <v>1</v>
      </c>
      <c r="H56" s="15" t="s">
        <v>324</v>
      </c>
      <c r="I56" s="15">
        <v>42622.402025462965</v>
      </c>
      <c r="J56" s="7">
        <v>1</v>
      </c>
      <c r="K56" s="114" t="str">
        <f t="shared" si="20"/>
        <v>4019/4020</v>
      </c>
      <c r="L56" s="23" t="str">
        <f>VLOOKUP(A56,'Trips&amp;Operators'!$C$1:$E$10000,3,FALSE)</f>
        <v>BREITSCH</v>
      </c>
      <c r="M56" s="6">
        <f t="shared" si="21"/>
        <v>2.6215277779556345E-2</v>
      </c>
      <c r="N56" s="7">
        <f t="shared" si="34"/>
        <v>37.750000002561137</v>
      </c>
      <c r="O56" s="7"/>
      <c r="P56" s="7"/>
      <c r="Q56" s="24"/>
      <c r="R56" s="24"/>
      <c r="S56" s="36">
        <f t="shared" si="35"/>
        <v>1</v>
      </c>
      <c r="T56" s="51" t="str">
        <f t="shared" si="22"/>
        <v>NorthBound</v>
      </c>
      <c r="U56" s="17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07:57:31-0600',mode:absolute,to:'2016-09-09 10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56" s="179" t="str">
        <f t="shared" si="24"/>
        <v>N</v>
      </c>
      <c r="X56" s="179">
        <f t="shared" si="33"/>
        <v>1</v>
      </c>
      <c r="Y56" s="66">
        <f t="shared" si="25"/>
        <v>4.58E-2</v>
      </c>
      <c r="Z56" s="66">
        <f t="shared" si="26"/>
        <v>23.335699999999999</v>
      </c>
      <c r="AA56" s="66">
        <f t="shared" si="27"/>
        <v>23.289899999999999</v>
      </c>
      <c r="AB56" s="63" t="str">
        <f>VLOOKUP(A56,Enforcements!$C$7:$K$21,8,0)</f>
        <v>Speed (6)</v>
      </c>
      <c r="AC56" s="59" t="str">
        <f>VLOOKUP(A56,Enforcements!$C$7:$E$21,3,0)</f>
        <v>PERMANENT SPEED RESTRICTION</v>
      </c>
      <c r="AD56" s="60" t="str">
        <f t="shared" si="28"/>
        <v>0143-09</v>
      </c>
      <c r="AE56" s="96" t="str">
        <f t="shared" si="29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56" s="93" t="str">
        <f t="shared" si="30"/>
        <v>"C:\Program Files (x86)\AstroGrep\AstroGrep.exe" /spath="%USERPROFILE%\AppData\Local\Temp\OnboardLogs" /stypes="*4020*20160909*" /stext=" 15:.+((SYSTEM_STATE.+slice.+state.+changed )|(ment ac)|(system.+state.+changed )|(\|lc)|(penalty)|(\[timeout)|(PRM\|1\|D)|(kpr)|(kdp))" /e /r /s</v>
      </c>
      <c r="AG56" s="1" t="str">
        <f t="shared" si="31"/>
        <v>EC</v>
      </c>
      <c r="AH56" s="97" t="str">
        <f t="shared" si="17"/>
        <v>"%USERPROFILE%\Documents\GitHub\eaglep3\Utilities\RefineRTDCRunTimes.py" --tripid 143-09 --locoid 4020 --swversion DE.1.0.7.0 --startMP 204:458 --initTime 2016-09-09T08:57:31 --startdatetime 2016-09-09T09:01:10 --delay 1 --endMP 204:233357 --enddatetime 2016-09-09T09:38:55 --enforcementcount 1 &gt;&gt;C:\Users\stu\Documents\GitHub\eaglep3-reporting\EC\2016-09-09-refined-times.txt</v>
      </c>
      <c r="AI5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{"issue":{"subject":"","project_id":79,"tracker_id":40,"status_id":1,"priority_id":2,"assigned_to_id":23,"start_date":"2016-09-09","description":"","custom_fields":[{"id":1,"name":"Subdivision","value":"EC"},{"id":4,"name":"Milepost","value":"23.2899"},{"id":17,"name":"Train ID","value":"143-09"},{"id":16,"name":"Locomotive ID","value":"4020"},{"id":130,"name":"Impact","value":""},{"id":150,"name":"Time of Event (Mountain Time)","value":"09:38:55"},{"id":151,"name":"Denver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</row>
    <row r="57" spans="1:38" s="1" customFormat="1" x14ac:dyDescent="0.25">
      <c r="A57" s="38" t="s">
        <v>445</v>
      </c>
      <c r="B57" s="7">
        <v>4019</v>
      </c>
      <c r="C57" s="23" t="s">
        <v>108</v>
      </c>
      <c r="D57" s="23" t="s">
        <v>397</v>
      </c>
      <c r="E57" s="15">
        <v>42622.406851851854</v>
      </c>
      <c r="F57" s="15">
        <v>42622.414166666669</v>
      </c>
      <c r="G57" s="7">
        <v>2</v>
      </c>
      <c r="H57" s="15" t="s">
        <v>256</v>
      </c>
      <c r="I57" s="15">
        <v>42622.441412037035</v>
      </c>
      <c r="J57" s="7">
        <v>1</v>
      </c>
      <c r="K57" s="114" t="str">
        <f t="shared" si="20"/>
        <v>4019/4020</v>
      </c>
      <c r="L57" s="23" t="str">
        <f>VLOOKUP(A57,'Trips&amp;Operators'!$C$1:$E$10000,3,FALSE)</f>
        <v>BREITSCH</v>
      </c>
      <c r="M57" s="6">
        <f t="shared" si="21"/>
        <v>2.7245370365562849E-2</v>
      </c>
      <c r="N57" s="7">
        <f t="shared" si="34"/>
        <v>39.233333326410502</v>
      </c>
      <c r="O57" s="7"/>
      <c r="P57" s="7"/>
      <c r="Q57" s="24"/>
      <c r="R57" s="24"/>
      <c r="S57" s="36">
        <f t="shared" si="35"/>
        <v>1</v>
      </c>
      <c r="T57" s="51" t="str">
        <f t="shared" si="22"/>
        <v>Southbound</v>
      </c>
      <c r="U57" s="17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08:45:52-0600',mode:absolute,to:'2016-09-09 11:35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7" s="179" t="str">
        <f t="shared" si="24"/>
        <v>N</v>
      </c>
      <c r="X57" s="179">
        <f t="shared" si="33"/>
        <v>1</v>
      </c>
      <c r="Y57" s="66">
        <f t="shared" si="25"/>
        <v>23.296700000000001</v>
      </c>
      <c r="Z57" s="66">
        <f t="shared" si="26"/>
        <v>1.4999999999999999E-2</v>
      </c>
      <c r="AA57" s="66">
        <f t="shared" si="27"/>
        <v>23.281700000000001</v>
      </c>
      <c r="AB57" s="63" t="e">
        <f>VLOOKUP(A57,Enforcements!$C$7:$K$21,8,0)</f>
        <v>#N/A</v>
      </c>
      <c r="AC57" s="59" t="e">
        <f>VLOOKUP(A57,Enforcements!$C$7:$E$21,3,0)</f>
        <v>#N/A</v>
      </c>
      <c r="AD57" s="60" t="str">
        <f t="shared" si="28"/>
        <v>0144-09</v>
      </c>
      <c r="AE57" s="96" t="str">
        <f t="shared" si="29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57" s="93" t="str">
        <f t="shared" si="30"/>
        <v>"C:\Program Files (x86)\AstroGrep\AstroGrep.exe" /spath="%USERPROFILE%\AppData\Local\Temp\OnboardLogs" /stypes="*4019*20160909*" /stext=" 16:.+((SYSTEM_STATE.+slice.+state.+changed )|(ment ac)|(system.+state.+changed )|(\|lc)|(penalty)|(\[timeout)|(PRM\|1\|D)|(kpr)|(kdp))" /e /r /s</v>
      </c>
      <c r="AG57" s="1" t="str">
        <f t="shared" si="31"/>
        <v>EC</v>
      </c>
      <c r="AH57" s="97" t="str">
        <f t="shared" si="17"/>
        <v>"%USERPROFILE%\Documents\GitHub\eaglep3\Utilities\RefineRTDCRunTimes.py" --tripid 144-09 --locoid 4019 --swversion DE.1.0.7.0 --startMP 204:232967 --initTime 2016-09-09T09:45:52 --startdatetime 2016-09-09T09:56:24 --delay 2 --endMP 204:150 --enddatetime 2016-09-09T10:35:38 --enforcementcount 1 &gt;&gt;C:\Users\stu\Documents\GitHub\eaglep3-reporting\EC\2016-09-09-refined-times.txt</v>
      </c>
      <c r="AI5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{"issue":{"subject":"","project_id":79,"tracker_id":40,"status_id":1,"priority_id":2,"assigned_to_id":23,"start_date":"2016-09-09","description":"","custom_fields":[{"id":1,"name":"Subdivision","value":"EC"},{"id":4,"name":"Milepost","value":"23.2817"},{"id":17,"name":"Train ID","value":"144-09"},{"id":16,"name":"Locomotive ID","value":"4019"},{"id":130,"name":"Impact","value":""},{"id":150,"name":"Time of Event (Mountain Time)","value":"10:35:38"},{"id":151,"name":"Denver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</row>
    <row r="58" spans="1:38" s="1" customFormat="1" x14ac:dyDescent="0.25">
      <c r="A58" s="38" t="s">
        <v>446</v>
      </c>
      <c r="B58" s="7">
        <v>4011</v>
      </c>
      <c r="C58" s="23" t="s">
        <v>108</v>
      </c>
      <c r="D58" s="23" t="s">
        <v>352</v>
      </c>
      <c r="E58" s="15">
        <v>42622.383067129631</v>
      </c>
      <c r="F58" s="15">
        <v>42622.385717592595</v>
      </c>
      <c r="G58" s="7">
        <v>1</v>
      </c>
      <c r="H58" s="15" t="s">
        <v>447</v>
      </c>
      <c r="I58" s="15">
        <v>42622.411458333336</v>
      </c>
      <c r="J58" s="7">
        <v>1</v>
      </c>
      <c r="K58" s="114" t="str">
        <f t="shared" si="20"/>
        <v>4011/4012</v>
      </c>
      <c r="L58" s="23" t="str">
        <f>VLOOKUP(A58,'Trips&amp;Operators'!$C$1:$E$10000,3,FALSE)</f>
        <v>DAVIS</v>
      </c>
      <c r="M58" s="6">
        <f t="shared" si="21"/>
        <v>2.5740740740729962E-2</v>
      </c>
      <c r="N58" s="7">
        <f t="shared" si="34"/>
        <v>37.066666666651145</v>
      </c>
      <c r="O58" s="7"/>
      <c r="P58" s="7"/>
      <c r="Q58" s="24"/>
      <c r="R58" s="24"/>
      <c r="S58" s="36">
        <f t="shared" si="35"/>
        <v>1</v>
      </c>
      <c r="T58" s="51" t="str">
        <f t="shared" si="22"/>
        <v>NorthBound</v>
      </c>
      <c r="U58" s="17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08:11:37-0600',mode:absolute,to:'2016-09-09 10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8" s="179" t="str">
        <f t="shared" si="24"/>
        <v>N</v>
      </c>
      <c r="X58" s="179">
        <f t="shared" si="33"/>
        <v>1</v>
      </c>
      <c r="Y58" s="66">
        <f t="shared" si="25"/>
        <v>4.5999999999999999E-2</v>
      </c>
      <c r="Z58" s="66">
        <f t="shared" si="26"/>
        <v>23.322900000000001</v>
      </c>
      <c r="AA58" s="66">
        <f t="shared" si="27"/>
        <v>23.276900000000001</v>
      </c>
      <c r="AB58" s="63" t="e">
        <f>VLOOKUP(A58,Enforcements!$C$7:$K$21,8,0)</f>
        <v>#N/A</v>
      </c>
      <c r="AC58" s="59" t="e">
        <f>VLOOKUP(A58,Enforcements!$C$7:$E$21,3,0)</f>
        <v>#N/A</v>
      </c>
      <c r="AD58" s="60" t="str">
        <f t="shared" si="28"/>
        <v>0145-09</v>
      </c>
      <c r="AE58" s="96" t="str">
        <f t="shared" si="29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58" s="93" t="str">
        <f t="shared" si="30"/>
        <v>"C:\Program Files (x86)\AstroGrep\AstroGrep.exe" /spath="%USERPROFILE%\AppData\Local\Temp\OnboardLogs" /stypes="*4011*20160909*" /stext=" 15:.+((SYSTEM_STATE.+slice.+state.+changed )|(ment ac)|(system.+state.+changed )|(\|lc)|(penalty)|(\[timeout)|(PRM\|1\|D)|(kpr)|(kdp))" /e /r /s</v>
      </c>
      <c r="AG58" s="1" t="str">
        <f t="shared" si="31"/>
        <v>EC</v>
      </c>
      <c r="AH58" s="97" t="str">
        <f t="shared" si="17"/>
        <v>"%USERPROFILE%\Documents\GitHub\eaglep3\Utilities\RefineRTDCRunTimes.py" --tripid 145-09 --locoid 4011 --swversion DE.1.0.7.0 --startMP 204:460 --initTime 2016-09-09T09:11:37 --startdatetime 2016-09-09T09:15:26 --delay 1 --endMP 204:233229 --enddatetime 2016-09-09T09:52:30 --enforcementcount 1 &gt;&gt;C:\Users\stu\Documents\GitHub\eaglep3-reporting\EC\2016-09-09-refined-times.txt</v>
      </c>
      <c r="AI5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{"issue":{"subject":"","project_id":79,"tracker_id":40,"status_id":1,"priority_id":2,"assigned_to_id":23,"start_date":"2016-09-09","description":"","custom_fields":[{"id":1,"name":"Subdivision","value":"EC"},{"id":4,"name":"Milepost","value":"23.2769"},{"id":17,"name":"Train ID","value":"145-09"},{"id":16,"name":"Locomotive ID","value":"4011"},{"id":130,"name":"Impact","value":""},{"id":150,"name":"Time of Event (Mountain Time)","value":"09:52:30"},{"id":151,"name":"Denver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</row>
    <row r="59" spans="1:38" s="1" customFormat="1" x14ac:dyDescent="0.25">
      <c r="A59" s="38" t="s">
        <v>448</v>
      </c>
      <c r="B59" s="7">
        <v>4012</v>
      </c>
      <c r="C59" s="23" t="s">
        <v>108</v>
      </c>
      <c r="D59" s="23" t="s">
        <v>449</v>
      </c>
      <c r="E59" s="15">
        <v>42622.421423611115</v>
      </c>
      <c r="F59" s="15">
        <v>42622.424479166664</v>
      </c>
      <c r="G59" s="7">
        <v>2</v>
      </c>
      <c r="H59" s="15" t="s">
        <v>262</v>
      </c>
      <c r="I59" s="15">
        <v>42622.453900462962</v>
      </c>
      <c r="J59" s="7">
        <v>1</v>
      </c>
      <c r="K59" s="114" t="str">
        <f t="shared" si="20"/>
        <v>4011/4012</v>
      </c>
      <c r="L59" s="23" t="str">
        <f>VLOOKUP(A59,'Trips&amp;Operators'!$C$1:$E$10000,3,FALSE)</f>
        <v>DAVIS</v>
      </c>
      <c r="M59" s="6">
        <f t="shared" si="21"/>
        <v>2.9421296298096422E-2</v>
      </c>
      <c r="N59" s="7">
        <f t="shared" si="34"/>
        <v>42.366666669258848</v>
      </c>
      <c r="O59" s="7"/>
      <c r="P59" s="7"/>
      <c r="Q59" s="24"/>
      <c r="R59" s="24"/>
      <c r="S59" s="36">
        <f t="shared" si="35"/>
        <v>1</v>
      </c>
      <c r="T59" s="51" t="str">
        <f t="shared" si="22"/>
        <v>Southbound</v>
      </c>
      <c r="U59" s="17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09:06:51-0600',mode:absolute,to:'2016-09-09 11:53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9" s="179" t="str">
        <f t="shared" si="24"/>
        <v>N</v>
      </c>
      <c r="X59" s="179">
        <f t="shared" si="33"/>
        <v>1</v>
      </c>
      <c r="Y59" s="66">
        <f t="shared" si="25"/>
        <v>23.290900000000001</v>
      </c>
      <c r="Z59" s="66">
        <f t="shared" si="26"/>
        <v>1.52E-2</v>
      </c>
      <c r="AA59" s="66">
        <f t="shared" si="27"/>
        <v>23.275700000000001</v>
      </c>
      <c r="AB59" s="63" t="e">
        <f>VLOOKUP(A59,Enforcements!$C$7:$K$21,8,0)</f>
        <v>#N/A</v>
      </c>
      <c r="AC59" s="59" t="e">
        <f>VLOOKUP(A59,Enforcements!$C$7:$E$21,3,0)</f>
        <v>#N/A</v>
      </c>
      <c r="AD59" s="60" t="str">
        <f t="shared" si="28"/>
        <v>0146-09</v>
      </c>
      <c r="AE59" s="96" t="str">
        <f t="shared" si="29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59" s="93" t="str">
        <f t="shared" si="30"/>
        <v>"C:\Program Files (x86)\AstroGrep\AstroGrep.exe" /spath="%USERPROFILE%\AppData\Local\Temp\OnboardLogs" /stypes="*4012*20160909*" /stext=" 16:.+((SYSTEM_STATE.+slice.+state.+changed )|(ment ac)|(system.+state.+changed )|(\|lc)|(penalty)|(\[timeout)|(PRM\|1\|D)|(kpr)|(kdp))" /e /r /s</v>
      </c>
      <c r="AG59" s="1" t="str">
        <f t="shared" si="31"/>
        <v>EC</v>
      </c>
      <c r="AH59" s="97" t="str">
        <f t="shared" si="17"/>
        <v>"%USERPROFILE%\Documents\GitHub\eaglep3\Utilities\RefineRTDCRunTimes.py" --tripid 146-09 --locoid 4012 --swversion DE.1.0.7.0 --startMP 204:232909 --initTime 2016-09-09T10:06:51 --startdatetime 2016-09-09T10:11:15 --delay 2 --endMP 204:152 --enddatetime 2016-09-09T10:53:37 --enforcementcount 1 &gt;&gt;C:\Users\stu\Documents\GitHub\eaglep3-reporting\EC\2016-09-09-refined-times.txt</v>
      </c>
      <c r="AI5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{"issue":{"subject":"","project_id":79,"tracker_id":40,"status_id":1,"priority_id":2,"assigned_to_id":23,"start_date":"2016-09-09","description":"","custom_fields":[{"id":1,"name":"Subdivision","value":"EC"},{"id":4,"name":"Milepost","value":"23.2757"},{"id":17,"name":"Train ID","value":"146-09"},{"id":16,"name":"Locomotive ID","value":"4012"},{"id":130,"name":"Impact","value":""},{"id":150,"name":"Time of Event (Mountain Time)","value":"10:53:37"},{"id":151,"name":"Denver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</row>
    <row r="60" spans="1:38" s="1" customFormat="1" x14ac:dyDescent="0.25">
      <c r="A60" s="38" t="s">
        <v>450</v>
      </c>
      <c r="B60" s="7">
        <v>4016</v>
      </c>
      <c r="C60" s="23" t="s">
        <v>108</v>
      </c>
      <c r="D60" s="23" t="s">
        <v>323</v>
      </c>
      <c r="E60" s="15">
        <v>42622.393831018519</v>
      </c>
      <c r="F60" s="15">
        <v>42622.396192129629</v>
      </c>
      <c r="G60" s="7">
        <v>1</v>
      </c>
      <c r="H60" s="15" t="s">
        <v>451</v>
      </c>
      <c r="I60" s="15">
        <v>42622.421840277777</v>
      </c>
      <c r="J60" s="7">
        <v>1</v>
      </c>
      <c r="K60" s="114" t="str">
        <f t="shared" si="20"/>
        <v>4015/4016</v>
      </c>
      <c r="L60" s="23" t="str">
        <f>VLOOKUP(A60,'Trips&amp;Operators'!$C$1:$E$10000,3,FALSE)</f>
        <v>MALAVE</v>
      </c>
      <c r="M60" s="6">
        <f t="shared" si="21"/>
        <v>2.5648148148320615E-2</v>
      </c>
      <c r="N60" s="7">
        <f t="shared" si="34"/>
        <v>36.933333333581686</v>
      </c>
      <c r="O60" s="7"/>
      <c r="P60" s="7"/>
      <c r="Q60" s="24"/>
      <c r="R60" s="24"/>
      <c r="S60" s="36">
        <f t="shared" si="35"/>
        <v>1</v>
      </c>
      <c r="T60" s="51" t="str">
        <f t="shared" si="22"/>
        <v>NorthBound</v>
      </c>
      <c r="U60" s="17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08:27:07-0600',mode:absolute,to:'2016-09-09 11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0" s="179" t="str">
        <f t="shared" si="24"/>
        <v>N</v>
      </c>
      <c r="X60" s="179">
        <f t="shared" si="33"/>
        <v>1</v>
      </c>
      <c r="Y60" s="66">
        <f t="shared" si="25"/>
        <v>4.6399999999999997E-2</v>
      </c>
      <c r="Z60" s="66">
        <f t="shared" si="26"/>
        <v>23.328900000000001</v>
      </c>
      <c r="AA60" s="66">
        <f t="shared" si="27"/>
        <v>23.282500000000002</v>
      </c>
      <c r="AB60" s="63" t="str">
        <f>VLOOKUP(A60,Enforcements!$C$7:$K$21,8,0)</f>
        <v>Bulletin (2)</v>
      </c>
      <c r="AC60" s="59" t="str">
        <f>VLOOKUP(A60,Enforcements!$C$7:$E$21,3,0)</f>
        <v>GRADE CROSSING</v>
      </c>
      <c r="AD60" s="60" t="str">
        <f t="shared" si="28"/>
        <v>0147-09</v>
      </c>
      <c r="AE60" s="96" t="str">
        <f t="shared" si="29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60" s="93" t="str">
        <f t="shared" si="30"/>
        <v>"C:\Program Files (x86)\AstroGrep\AstroGrep.exe" /spath="%USERPROFILE%\AppData\Local\Temp\OnboardLogs" /stypes="*4016*20160909*" /stext=" 16:.+((SYSTEM_STATE.+slice.+state.+changed )|(ment ac)|(system.+state.+changed )|(\|lc)|(penalty)|(\[timeout)|(PRM\|1\|D)|(kpr)|(kdp))" /e /r /s</v>
      </c>
      <c r="AG60" s="1" t="str">
        <f t="shared" si="31"/>
        <v>EC</v>
      </c>
      <c r="AH60" s="97" t="str">
        <f t="shared" si="17"/>
        <v>"%USERPROFILE%\Documents\GitHub\eaglep3\Utilities\RefineRTDCRunTimes.py" --tripid 147-09 --locoid 4016 --swversion DE.1.0.7.0 --startMP 204:464 --initTime 2016-09-09T09:27:07 --startdatetime 2016-09-09T09:30:31 --delay 1 --endMP 204:233289 --enddatetime 2016-09-09T10:07:27 --enforcementcount 1 &gt;&gt;C:\Users\stu\Documents\GitHub\eaglep3-reporting\EC\2016-09-09-refined-times.txt</v>
      </c>
      <c r="AI6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{"issue":{"subject":"","project_id":79,"tracker_id":40,"status_id":1,"priority_id":2,"assigned_to_id":23,"start_date":"2016-09-09","description":"","custom_fields":[{"id":1,"name":"Subdivision","value":"EC"},{"id":4,"name":"Milepost","value":"23.2825"},{"id":17,"name":"Train ID","value":"147-09"},{"id":16,"name":"Locomotive ID","value":"4016"},{"id":130,"name":"Impact","value":""},{"id":150,"name":"Time of Event (Mountain Time)","value":"10:07:27"},{"id":151,"name":"Denver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</row>
    <row r="61" spans="1:38" s="1" customFormat="1" x14ac:dyDescent="0.25">
      <c r="A61" s="38" t="s">
        <v>452</v>
      </c>
      <c r="B61" s="7">
        <v>4015</v>
      </c>
      <c r="C61" s="23" t="s">
        <v>108</v>
      </c>
      <c r="D61" s="23" t="s">
        <v>453</v>
      </c>
      <c r="E61" s="15">
        <v>42622.432662037034</v>
      </c>
      <c r="F61" s="15">
        <v>42622.434907407405</v>
      </c>
      <c r="G61" s="7">
        <v>1</v>
      </c>
      <c r="H61" s="15" t="s">
        <v>240</v>
      </c>
      <c r="I61" s="15">
        <v>42622.463078703702</v>
      </c>
      <c r="J61" s="7">
        <v>1</v>
      </c>
      <c r="K61" s="114" t="str">
        <f t="shared" si="20"/>
        <v>4015/4016</v>
      </c>
      <c r="L61" s="23" t="str">
        <f>VLOOKUP(A61,'Trips&amp;Operators'!$C$1:$E$10000,3,FALSE)</f>
        <v>MALAVE</v>
      </c>
      <c r="M61" s="6">
        <f t="shared" si="21"/>
        <v>2.8171296296932269E-2</v>
      </c>
      <c r="N61" s="7">
        <f t="shared" si="34"/>
        <v>40.566666667582467</v>
      </c>
      <c r="O61" s="7"/>
      <c r="P61" s="7"/>
      <c r="Q61" s="24"/>
      <c r="R61" s="24"/>
      <c r="S61" s="36">
        <f t="shared" si="35"/>
        <v>1</v>
      </c>
      <c r="T61" s="51" t="str">
        <f t="shared" si="22"/>
        <v>Southbound</v>
      </c>
      <c r="U61" s="17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09:23:02-0600',mode:absolute,to:'2016-09-09 12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1" s="179" t="str">
        <f t="shared" si="24"/>
        <v>N</v>
      </c>
      <c r="X61" s="179">
        <f t="shared" si="33"/>
        <v>1</v>
      </c>
      <c r="Y61" s="66">
        <f t="shared" si="25"/>
        <v>23.297499999999999</v>
      </c>
      <c r="Z61" s="66">
        <f t="shared" si="26"/>
        <v>1.49E-2</v>
      </c>
      <c r="AA61" s="66">
        <f t="shared" si="27"/>
        <v>23.282599999999999</v>
      </c>
      <c r="AB61" s="63" t="str">
        <f>VLOOKUP(A61,Enforcements!$C$7:$K$21,8,0)</f>
        <v>Bulletin (2)</v>
      </c>
      <c r="AC61" s="59" t="str">
        <f>VLOOKUP(A61,Enforcements!$C$7:$E$21,3,0)</f>
        <v>GRADE CROSSING</v>
      </c>
      <c r="AD61" s="60" t="str">
        <f t="shared" si="28"/>
        <v>0148-09</v>
      </c>
      <c r="AE61" s="96" t="str">
        <f t="shared" si="29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61" s="93" t="str">
        <f t="shared" si="30"/>
        <v>"C:\Program Files (x86)\AstroGrep\AstroGrep.exe" /spath="%USERPROFILE%\AppData\Local\Temp\OnboardLogs" /stypes="*4015*20160909*" /stext=" 17:.+((SYSTEM_STATE.+slice.+state.+changed )|(ment ac)|(system.+state.+changed )|(\|lc)|(penalty)|(\[timeout)|(PRM\|1\|D)|(kpr)|(kdp))" /e /r /s</v>
      </c>
      <c r="AG61" s="1" t="str">
        <f t="shared" si="31"/>
        <v>EC</v>
      </c>
      <c r="AH61" s="97" t="str">
        <f t="shared" si="17"/>
        <v>"%USERPROFILE%\Documents\GitHub\eaglep3\Utilities\RefineRTDCRunTimes.py" --tripid 148-09 --locoid 4015 --swversion DE.1.0.7.0 --startMP 204:232975 --initTime 2016-09-09T10:23:02 --startdatetime 2016-09-09T10:26:16 --delay 1 --endMP 204:149 --enddatetime 2016-09-09T11:06:50 --enforcementcount 1 &gt;&gt;C:\Users\stu\Documents\GitHub\eaglep3-reporting\EC\2016-09-09-refined-times.txt</v>
      </c>
      <c r="AI6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{"issue":{"subject":"","project_id":79,"tracker_id":40,"status_id":1,"priority_id":2,"assigned_to_id":23,"start_date":"2016-09-09","description":"","custom_fields":[{"id":1,"name":"Subdivision","value":"EC"},{"id":4,"name":"Milepost","value":"23.2826"},{"id":17,"name":"Train ID","value":"148-09"},{"id":16,"name":"Locomotive ID","value":"4015"},{"id":130,"name":"Impact","value":""},{"id":150,"name":"Time of Event (Mountain Time)","value":"11:06:50"},{"id":151,"name":"Denver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</row>
    <row r="62" spans="1:38" s="1" customFormat="1" x14ac:dyDescent="0.25">
      <c r="A62" s="38" t="s">
        <v>454</v>
      </c>
      <c r="B62" s="7">
        <v>4025</v>
      </c>
      <c r="C62" s="23" t="s">
        <v>108</v>
      </c>
      <c r="D62" s="23" t="s">
        <v>252</v>
      </c>
      <c r="E62" s="15">
        <v>42622.40320601852</v>
      </c>
      <c r="F62" s="15">
        <v>42622.406412037039</v>
      </c>
      <c r="G62" s="7">
        <v>4</v>
      </c>
      <c r="H62" s="15" t="s">
        <v>451</v>
      </c>
      <c r="I62" s="15">
        <v>42622.433113425926</v>
      </c>
      <c r="J62" s="7">
        <v>1</v>
      </c>
      <c r="K62" s="114" t="str">
        <f t="shared" si="20"/>
        <v>4025/4026</v>
      </c>
      <c r="L62" s="23" t="str">
        <f>VLOOKUP(A62,'Trips&amp;Operators'!$C$1:$E$10000,3,FALSE)</f>
        <v>RICHARDSON</v>
      </c>
      <c r="M62" s="6">
        <f t="shared" si="21"/>
        <v>2.6701388887886424E-2</v>
      </c>
      <c r="N62" s="7">
        <f t="shared" si="34"/>
        <v>38.44999999855645</v>
      </c>
      <c r="O62" s="7"/>
      <c r="P62" s="7"/>
      <c r="Q62" s="24"/>
      <c r="R62" s="24"/>
      <c r="S62" s="36">
        <f t="shared" si="35"/>
        <v>1</v>
      </c>
      <c r="T62" s="51" t="str">
        <f t="shared" si="22"/>
        <v>NorthBound</v>
      </c>
      <c r="U62" s="17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08:40:37-0600',mode:absolute,to:'2016-09-09 11:23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62" s="179" t="str">
        <f t="shared" si="24"/>
        <v>N</v>
      </c>
      <c r="X62" s="179">
        <f t="shared" si="33"/>
        <v>1</v>
      </c>
      <c r="Y62" s="66">
        <f t="shared" si="25"/>
        <v>4.53E-2</v>
      </c>
      <c r="Z62" s="66">
        <f t="shared" si="26"/>
        <v>23.328900000000001</v>
      </c>
      <c r="AA62" s="66">
        <f t="shared" si="27"/>
        <v>23.2836</v>
      </c>
      <c r="AB62" s="63" t="e">
        <f>VLOOKUP(A62,Enforcements!$C$7:$K$21,8,0)</f>
        <v>#N/A</v>
      </c>
      <c r="AC62" s="59" t="e">
        <f>VLOOKUP(A62,Enforcements!$C$7:$E$21,3,0)</f>
        <v>#N/A</v>
      </c>
      <c r="AD62" s="60" t="str">
        <f t="shared" si="28"/>
        <v>0149-09</v>
      </c>
      <c r="AE62" s="96" t="str">
        <f t="shared" si="29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62" s="93" t="str">
        <f t="shared" si="30"/>
        <v>"C:\Program Files (x86)\AstroGrep\AstroGrep.exe" /spath="%USERPROFILE%\AppData\Local\Temp\OnboardLogs" /stypes="*4025*20160909*" /stext=" 16:.+((SYSTEM_STATE.+slice.+state.+changed )|(ment ac)|(system.+state.+changed )|(\|lc)|(penalty)|(\[timeout)|(PRM\|1\|D)|(kpr)|(kdp))" /e /r /s</v>
      </c>
      <c r="AG62" s="1" t="str">
        <f t="shared" si="31"/>
        <v>EC</v>
      </c>
      <c r="AH62" s="97" t="str">
        <f t="shared" si="17"/>
        <v>"%USERPROFILE%\Documents\GitHub\eaglep3\Utilities\RefineRTDCRunTimes.py" --tripid 149-09 --locoid 4025 --swversion DE.1.0.7.0 --startMP 204:453 --initTime 2016-09-09T09:40:37 --startdatetime 2016-09-09T09:45:14 --delay 4 --endMP 204:233289 --enddatetime 2016-09-09T10:23:41 --enforcementcount 1 &gt;&gt;C:\Users\stu\Documents\GitHub\eaglep3-reporting\EC\2016-09-09-refined-times.txt</v>
      </c>
      <c r="AI6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{"issue":{"subject":"","project_id":79,"tracker_id":40,"status_id":1,"priority_id":2,"assigned_to_id":23,"start_date":"2016-09-09","description":"","custom_fields":[{"id":1,"name":"Subdivision","value":"EC"},{"id":4,"name":"Milepost","value":"23.2836"},{"id":17,"name":"Train ID","value":"149-09"},{"id":16,"name":"Locomotive ID","value":"4025"},{"id":130,"name":"Impact","value":""},{"id":150,"name":"Time of Event (Mountain Time)","value":"10:23:41"},{"id":151,"name":"Denver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</row>
    <row r="63" spans="1:38" s="1" customFormat="1" x14ac:dyDescent="0.25">
      <c r="A63" s="38" t="s">
        <v>455</v>
      </c>
      <c r="B63" s="7">
        <v>4026</v>
      </c>
      <c r="C63" s="23" t="s">
        <v>108</v>
      </c>
      <c r="D63" s="23" t="s">
        <v>284</v>
      </c>
      <c r="E63" s="15">
        <v>42622.438703703701</v>
      </c>
      <c r="F63" s="15">
        <v>42622.445289351854</v>
      </c>
      <c r="G63" s="7">
        <v>1</v>
      </c>
      <c r="H63" s="15" t="s">
        <v>256</v>
      </c>
      <c r="I63" s="15">
        <v>42622.471608796295</v>
      </c>
      <c r="J63" s="7">
        <v>1</v>
      </c>
      <c r="K63" s="114" t="str">
        <f t="shared" si="20"/>
        <v>4025/4026</v>
      </c>
      <c r="L63" s="23" t="str">
        <f>VLOOKUP(A63,'Trips&amp;Operators'!$C$1:$E$10000,3,FALSE)</f>
        <v>RICHARDSON</v>
      </c>
      <c r="M63" s="6">
        <f t="shared" si="21"/>
        <v>2.6319444441469386E-2</v>
      </c>
      <c r="N63" s="7">
        <f t="shared" si="34"/>
        <v>37.899999995715916</v>
      </c>
      <c r="O63" s="7"/>
      <c r="P63" s="7"/>
      <c r="Q63" s="24"/>
      <c r="R63" s="24"/>
      <c r="S63" s="36">
        <f t="shared" si="35"/>
        <v>1</v>
      </c>
      <c r="T63" s="51" t="str">
        <f t="shared" si="22"/>
        <v>Southbound</v>
      </c>
      <c r="U63" s="17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09:31:44-0600',mode:absolute,to:'2016-09-09 12:19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63" s="179" t="str">
        <f t="shared" si="24"/>
        <v>N</v>
      </c>
      <c r="X63" s="179">
        <f t="shared" si="33"/>
        <v>1</v>
      </c>
      <c r="Y63" s="66">
        <f t="shared" si="25"/>
        <v>23.297699999999999</v>
      </c>
      <c r="Z63" s="66">
        <f t="shared" si="26"/>
        <v>1.4999999999999999E-2</v>
      </c>
      <c r="AA63" s="66">
        <f t="shared" si="27"/>
        <v>23.282699999999998</v>
      </c>
      <c r="AB63" s="63" t="e">
        <f>VLOOKUP(A63,Enforcements!$C$7:$K$21,8,0)</f>
        <v>#N/A</v>
      </c>
      <c r="AC63" s="59" t="e">
        <f>VLOOKUP(A63,Enforcements!$C$7:$E$21,3,0)</f>
        <v>#N/A</v>
      </c>
      <c r="AD63" s="60" t="str">
        <f t="shared" si="28"/>
        <v>0150-09</v>
      </c>
      <c r="AE63" s="96" t="str">
        <f t="shared" si="29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63" s="93" t="str">
        <f t="shared" si="30"/>
        <v>"C:\Program Files (x86)\AstroGrep\AstroGrep.exe" /spath="%USERPROFILE%\AppData\Local\Temp\OnboardLogs" /stypes="*4026*20160909*" /stext=" 17:.+((SYSTEM_STATE.+slice.+state.+changed )|(ment ac)|(system.+state.+changed )|(\|lc)|(penalty)|(\[timeout)|(PRM\|1\|D)|(kpr)|(kdp))" /e /r /s</v>
      </c>
      <c r="AG63" s="1" t="str">
        <f t="shared" si="31"/>
        <v>EC</v>
      </c>
      <c r="AH63" s="97" t="str">
        <f t="shared" si="17"/>
        <v>"%USERPROFILE%\Documents\GitHub\eaglep3\Utilities\RefineRTDCRunTimes.py" --tripid 150-09 --locoid 4026 --swversion DE.1.0.7.0 --startMP 204:232977 --initTime 2016-09-09T10:31:44 --startdatetime 2016-09-09T10:41:13 --delay 1 --endMP 204:150 --enddatetime 2016-09-09T11:19:07 --enforcementcount 1 &gt;&gt;C:\Users\stu\Documents\GitHub\eaglep3-reporting\EC\2016-09-09-refined-times.txt</v>
      </c>
      <c r="AI63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{"issue":{"subject":"","project_id":79,"tracker_id":40,"status_id":1,"priority_id":2,"assigned_to_id":23,"start_date":"2016-09-09","description":"","custom_fields":[{"id":1,"name":"Subdivision","value":"EC"},{"id":4,"name":"Milepost","value":"23.2827"},{"id":17,"name":"Train ID","value":"150-09"},{"id":16,"name":"Locomotive ID","value":"4026"},{"id":130,"name":"Impact","value":""},{"id":150,"name":"Time of Event (Mountain Time)","value":"11:19:07"},{"id":151,"name":"Denver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</row>
    <row r="64" spans="1:38" s="1" customFormat="1" x14ac:dyDescent="0.25">
      <c r="A64" s="38" t="s">
        <v>456</v>
      </c>
      <c r="B64" s="7">
        <v>4031</v>
      </c>
      <c r="C64" s="23" t="s">
        <v>108</v>
      </c>
      <c r="D64" s="23" t="s">
        <v>336</v>
      </c>
      <c r="E64" s="15">
        <v>42622.41369212963</v>
      </c>
      <c r="F64" s="15">
        <v>42622.416851851849</v>
      </c>
      <c r="G64" s="7">
        <v>1</v>
      </c>
      <c r="H64" s="15" t="s">
        <v>457</v>
      </c>
      <c r="I64" s="15">
        <v>42622.442152777781</v>
      </c>
      <c r="J64" s="7">
        <v>1</v>
      </c>
      <c r="K64" s="114" t="str">
        <f t="shared" si="20"/>
        <v>4031/4032</v>
      </c>
      <c r="L64" s="23" t="str">
        <f>VLOOKUP(A64,'Trips&amp;Operators'!$C$1:$E$10000,3,FALSE)</f>
        <v>BRANDNER</v>
      </c>
      <c r="M64" s="6">
        <f t="shared" si="21"/>
        <v>2.5300925932242535E-2</v>
      </c>
      <c r="N64" s="7">
        <f t="shared" si="34"/>
        <v>36.43333334242925</v>
      </c>
      <c r="O64" s="7"/>
      <c r="P64" s="7"/>
      <c r="Q64" s="24"/>
      <c r="R64" s="24"/>
      <c r="S64" s="36">
        <f t="shared" si="35"/>
        <v>1</v>
      </c>
      <c r="T64" s="51" t="str">
        <f t="shared" si="22"/>
        <v>NorthBound</v>
      </c>
      <c r="U64" s="17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08:55:43-0600',mode:absolute,to:'2016-09-09 11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4" s="179" t="str">
        <f t="shared" si="24"/>
        <v>N</v>
      </c>
      <c r="X64" s="179">
        <f t="shared" si="33"/>
        <v>1</v>
      </c>
      <c r="Y64" s="66">
        <f t="shared" si="25"/>
        <v>4.6699999999999998E-2</v>
      </c>
      <c r="Z64" s="66">
        <f t="shared" si="26"/>
        <v>23.3249</v>
      </c>
      <c r="AA64" s="66">
        <f t="shared" si="27"/>
        <v>23.278199999999998</v>
      </c>
      <c r="AB64" s="63" t="e">
        <f>VLOOKUP(A64,Enforcements!$C$7:$K$21,8,0)</f>
        <v>#N/A</v>
      </c>
      <c r="AC64" s="59" t="e">
        <f>VLOOKUP(A64,Enforcements!$C$7:$E$21,3,0)</f>
        <v>#N/A</v>
      </c>
      <c r="AD64" s="60" t="str">
        <f t="shared" si="28"/>
        <v>0151-09</v>
      </c>
      <c r="AE64" s="96" t="str">
        <f t="shared" si="29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64" s="93" t="str">
        <f t="shared" si="30"/>
        <v>"C:\Program Files (x86)\AstroGrep\AstroGrep.exe" /spath="%USERPROFILE%\AppData\Local\Temp\OnboardLogs" /stypes="*4031*20160909*" /stext=" 16:.+((SYSTEM_STATE.+slice.+state.+changed )|(ment ac)|(system.+state.+changed )|(\|lc)|(penalty)|(\[timeout)|(PRM\|1\|D)|(kpr)|(kdp))" /e /r /s</v>
      </c>
      <c r="AG64" s="1" t="str">
        <f t="shared" si="31"/>
        <v>EC</v>
      </c>
      <c r="AH64" s="97" t="str">
        <f t="shared" si="17"/>
        <v>"%USERPROFILE%\Documents\GitHub\eaglep3\Utilities\RefineRTDCRunTimes.py" --tripid 151-09 --locoid 4031 --swversion DE.1.0.7.0 --startMP 204:467 --initTime 2016-09-09T09:55:43 --startdatetime 2016-09-09T10:00:16 --delay 1 --endMP 204:233249 --enddatetime 2016-09-09T10:36:42 --enforcementcount 1 &gt;&gt;C:\Users\stu\Documents\GitHub\eaglep3-reporting\EC\2016-09-09-refined-times.txt</v>
      </c>
      <c r="AI6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{"issue":{"subject":"","project_id":79,"tracker_id":40,"status_id":1,"priority_id":2,"assigned_to_id":23,"start_date":"2016-09-09","description":"","custom_fields":[{"id":1,"name":"Subdivision","value":"EC"},{"id":4,"name":"Milepost","value":"23.2782"},{"id":17,"name":"Train ID","value":"151-09"},{"id":16,"name":"Locomotive ID","value":"4031"},{"id":130,"name":"Impact","value":""},{"id":150,"name":"Time of Event (Mountain Time)","value":"10:36:42"},{"id":151,"name":"Denver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</row>
    <row r="65" spans="1:38" s="1" customFormat="1" x14ac:dyDescent="0.25">
      <c r="A65" s="38" t="s">
        <v>458</v>
      </c>
      <c r="B65" s="7">
        <v>4032</v>
      </c>
      <c r="C65" s="23" t="s">
        <v>108</v>
      </c>
      <c r="D65" s="23" t="s">
        <v>459</v>
      </c>
      <c r="E65" s="15">
        <v>42622.451585648145</v>
      </c>
      <c r="F65" s="15">
        <v>42622.455775462964</v>
      </c>
      <c r="G65" s="7">
        <v>3</v>
      </c>
      <c r="H65" s="15" t="s">
        <v>240</v>
      </c>
      <c r="I65" s="15">
        <v>42622.482048611113</v>
      </c>
      <c r="J65" s="7">
        <v>1</v>
      </c>
      <c r="K65" s="114" t="str">
        <f t="shared" si="20"/>
        <v>4031/4032</v>
      </c>
      <c r="L65" s="23" t="str">
        <f>VLOOKUP(A65,'Trips&amp;Operators'!$C$1:$E$10000,3,FALSE)</f>
        <v>BRANDNER</v>
      </c>
      <c r="M65" s="6">
        <f t="shared" si="21"/>
        <v>2.6273148148902692E-2</v>
      </c>
      <c r="N65" s="7">
        <f t="shared" si="34"/>
        <v>37.833333334419876</v>
      </c>
      <c r="O65" s="7"/>
      <c r="P65" s="7"/>
      <c r="Q65" s="24"/>
      <c r="R65" s="24"/>
      <c r="S65" s="36">
        <f t="shared" si="35"/>
        <v>1</v>
      </c>
      <c r="T65" s="51" t="str">
        <f t="shared" si="22"/>
        <v>Southbound</v>
      </c>
      <c r="U65" s="17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09:50:17-0600',mode:absolute,to:'2016-09-09 12:34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5" s="179" t="str">
        <f t="shared" si="24"/>
        <v>N</v>
      </c>
      <c r="X65" s="179">
        <f t="shared" si="33"/>
        <v>1</v>
      </c>
      <c r="Y65" s="66">
        <f t="shared" si="25"/>
        <v>23.295000000000002</v>
      </c>
      <c r="Z65" s="66">
        <f t="shared" si="26"/>
        <v>1.49E-2</v>
      </c>
      <c r="AA65" s="66">
        <f t="shared" si="27"/>
        <v>23.280100000000001</v>
      </c>
      <c r="AB65" s="63" t="e">
        <f>VLOOKUP(A65,Enforcements!$C$7:$K$21,8,0)</f>
        <v>#N/A</v>
      </c>
      <c r="AC65" s="59" t="e">
        <f>VLOOKUP(A65,Enforcements!$C$7:$E$21,3,0)</f>
        <v>#N/A</v>
      </c>
      <c r="AD65" s="60" t="str">
        <f t="shared" si="28"/>
        <v>0152-09</v>
      </c>
      <c r="AE65" s="96" t="str">
        <f t="shared" si="29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65" s="93" t="str">
        <f t="shared" si="30"/>
        <v>"C:\Program Files (x86)\AstroGrep\AstroGrep.exe" /spath="%USERPROFILE%\AppData\Local\Temp\OnboardLogs" /stypes="*4032*20160909*" /stext=" 17:.+((SYSTEM_STATE.+slice.+state.+changed )|(ment ac)|(system.+state.+changed )|(\|lc)|(penalty)|(\[timeout)|(PRM\|1\|D)|(kpr)|(kdp))" /e /r /s</v>
      </c>
      <c r="AG65" s="1" t="str">
        <f t="shared" si="31"/>
        <v>EC</v>
      </c>
      <c r="AH65" s="97" t="str">
        <f t="shared" si="17"/>
        <v>"%USERPROFILE%\Documents\GitHub\eaglep3\Utilities\RefineRTDCRunTimes.py" --tripid 152-09 --locoid 4032 --swversion DE.1.0.7.0 --startMP 204:232950 --initTime 2016-09-09T10:50:17 --startdatetime 2016-09-09T10:56:19 --delay 3 --endMP 204:149 --enddatetime 2016-09-09T11:34:09 --enforcementcount 1 &gt;&gt;C:\Users\stu\Documents\GitHub\eaglep3-reporting\EC\2016-09-09-refined-times.txt</v>
      </c>
      <c r="AI6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{"issue":{"subject":"","project_id":79,"tracker_id":40,"status_id":1,"priority_id":2,"assigned_to_id":23,"start_date":"2016-09-09","description":"","custom_fields":[{"id":1,"name":"Subdivision","value":"EC"},{"id":4,"name":"Milepost","value":"23.2801"},{"id":17,"name":"Train ID","value":"152-09"},{"id":16,"name":"Locomotive ID","value":"4032"},{"id":130,"name":"Impact","value":""},{"id":150,"name":"Time of Event (Mountain Time)","value":"11:34:09"},{"id":151,"name":"Denver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</row>
    <row r="66" spans="1:38" s="1" customFormat="1" x14ac:dyDescent="0.25">
      <c r="A66" s="38" t="s">
        <v>460</v>
      </c>
      <c r="B66" s="7">
        <v>4018</v>
      </c>
      <c r="C66" s="23" t="s">
        <v>108</v>
      </c>
      <c r="D66" s="23" t="s">
        <v>243</v>
      </c>
      <c r="E66" s="15">
        <v>42622.424212962964</v>
      </c>
      <c r="F66" s="15">
        <v>42622.427291666667</v>
      </c>
      <c r="G66" s="7">
        <v>1</v>
      </c>
      <c r="H66" s="15" t="s">
        <v>241</v>
      </c>
      <c r="I66" s="15">
        <v>42622.451516203706</v>
      </c>
      <c r="J66" s="7">
        <v>1</v>
      </c>
      <c r="K66" s="114" t="str">
        <f t="shared" si="20"/>
        <v>4017/4018</v>
      </c>
      <c r="L66" s="23" t="str">
        <f>VLOOKUP(A66,'Trips&amp;Operators'!$C$1:$E$10000,3,FALSE)</f>
        <v>BEAM</v>
      </c>
      <c r="M66" s="6">
        <f t="shared" si="21"/>
        <v>2.4224537039117422E-2</v>
      </c>
      <c r="N66" s="7">
        <f t="shared" si="34"/>
        <v>34.883333336329088</v>
      </c>
      <c r="O66" s="7"/>
      <c r="P66" s="7"/>
      <c r="Q66" s="24"/>
      <c r="R66" s="24"/>
      <c r="S66" s="36">
        <f t="shared" si="35"/>
        <v>1</v>
      </c>
      <c r="T66" s="51" t="str">
        <f t="shared" si="22"/>
        <v>NorthBound</v>
      </c>
      <c r="U66" s="17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09:10:52-0600',mode:absolute,to:'2016-09-09 11:50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66" s="179" t="str">
        <f t="shared" si="24"/>
        <v>N</v>
      </c>
      <c r="X66" s="179">
        <f t="shared" si="33"/>
        <v>1</v>
      </c>
      <c r="Y66" s="66">
        <f t="shared" si="25"/>
        <v>4.4600000000000001E-2</v>
      </c>
      <c r="Z66" s="66">
        <f t="shared" si="26"/>
        <v>23.331399999999999</v>
      </c>
      <c r="AA66" s="66">
        <f t="shared" si="27"/>
        <v>23.286799999999999</v>
      </c>
      <c r="AB66" s="63" t="e">
        <f>VLOOKUP(A66,Enforcements!$C$7:$K$21,8,0)</f>
        <v>#N/A</v>
      </c>
      <c r="AC66" s="59" t="e">
        <f>VLOOKUP(A66,Enforcements!$C$7:$E$21,3,0)</f>
        <v>#N/A</v>
      </c>
      <c r="AD66" s="60" t="str">
        <f t="shared" si="28"/>
        <v>0153-09</v>
      </c>
      <c r="AE66" s="96" t="str">
        <f t="shared" si="29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66" s="93" t="str">
        <f t="shared" si="30"/>
        <v>"C:\Program Files (x86)\AstroGrep\AstroGrep.exe" /spath="%USERPROFILE%\AppData\Local\Temp\OnboardLogs" /stypes="*4018*20160909*" /stext=" 16:.+((SYSTEM_STATE.+slice.+state.+changed )|(ment ac)|(system.+state.+changed )|(\|lc)|(penalty)|(\[timeout)|(PRM\|1\|D)|(kpr)|(kdp))" /e /r /s</v>
      </c>
      <c r="AG66" s="1" t="str">
        <f t="shared" si="31"/>
        <v>EC</v>
      </c>
      <c r="AH66" s="97" t="str">
        <f t="shared" si="17"/>
        <v>"%USERPROFILE%\Documents\GitHub\eaglep3\Utilities\RefineRTDCRunTimes.py" --tripid 153-09 --locoid 4018 --swversion DE.1.0.7.0 --startMP 204:446 --initTime 2016-09-09T10:10:52 --startdatetime 2016-09-09T10:15:18 --delay 1 --endMP 204:233314 --enddatetime 2016-09-09T10:50:11 --enforcementcount 1 &gt;&gt;C:\Users\stu\Documents\GitHub\eaglep3-reporting\EC\2016-09-09-refined-times.txt</v>
      </c>
      <c r="AI6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{"issue":{"subject":"","project_id":79,"tracker_id":40,"status_id":1,"priority_id":2,"assigned_to_id":23,"start_date":"2016-09-09","description":"","custom_fields":[{"id":1,"name":"Subdivision","value":"EC"},{"id":4,"name":"Milepost","value":"23.2868"},{"id":17,"name":"Train ID","value":"153-09"},{"id":16,"name":"Locomotive ID","value":"4018"},{"id":130,"name":"Impact","value":""},{"id":150,"name":"Time of Event (Mountain Time)","value":"10:50:11"},{"id":151,"name":"Denver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</row>
    <row r="67" spans="1:38" s="1" customFormat="1" x14ac:dyDescent="0.25">
      <c r="A67" s="38" t="s">
        <v>461</v>
      </c>
      <c r="B67" s="7">
        <v>4017</v>
      </c>
      <c r="C67" s="23" t="s">
        <v>108</v>
      </c>
      <c r="D67" s="23" t="s">
        <v>263</v>
      </c>
      <c r="E67" s="15">
        <v>42622.462141203701</v>
      </c>
      <c r="F67" s="15">
        <v>42622.466192129628</v>
      </c>
      <c r="G67" s="7">
        <v>1</v>
      </c>
      <c r="H67" s="15" t="s">
        <v>305</v>
      </c>
      <c r="I67" s="15">
        <v>42622.491608796299</v>
      </c>
      <c r="J67" s="7">
        <v>1</v>
      </c>
      <c r="K67" s="114" t="str">
        <f t="shared" si="20"/>
        <v>4017/4018</v>
      </c>
      <c r="L67" s="23" t="str">
        <f>VLOOKUP(A67,'Trips&amp;Operators'!$C$1:$E$10000,3,FALSE)</f>
        <v>BEAM</v>
      </c>
      <c r="M67" s="6">
        <f t="shared" si="21"/>
        <v>2.5416666670935228E-2</v>
      </c>
      <c r="N67" s="7">
        <f t="shared" si="34"/>
        <v>36.600000006146729</v>
      </c>
      <c r="O67" s="7"/>
      <c r="P67" s="7"/>
      <c r="Q67" s="24"/>
      <c r="R67" s="24"/>
      <c r="S67" s="36">
        <f t="shared" si="35"/>
        <v>1</v>
      </c>
      <c r="T67" s="51" t="str">
        <f t="shared" si="22"/>
        <v>Southbound</v>
      </c>
      <c r="U67" s="17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10:05:29-0600',mode:absolute,to:'2016-09-09 12:47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67" s="179" t="str">
        <f t="shared" si="24"/>
        <v>N</v>
      </c>
      <c r="X67" s="179">
        <f t="shared" si="33"/>
        <v>1</v>
      </c>
      <c r="Y67" s="66">
        <f t="shared" si="25"/>
        <v>23.3004</v>
      </c>
      <c r="Z67" s="66">
        <f t="shared" si="26"/>
        <v>1.3899999999999999E-2</v>
      </c>
      <c r="AA67" s="66">
        <f t="shared" si="27"/>
        <v>23.2865</v>
      </c>
      <c r="AB67" s="63" t="e">
        <f>VLOOKUP(A67,Enforcements!$C$7:$K$21,8,0)</f>
        <v>#N/A</v>
      </c>
      <c r="AC67" s="59" t="e">
        <f>VLOOKUP(A67,Enforcements!$C$7:$E$21,3,0)</f>
        <v>#N/A</v>
      </c>
      <c r="AD67" s="60" t="str">
        <f t="shared" si="28"/>
        <v>0154-09</v>
      </c>
      <c r="AE67" s="96" t="str">
        <f t="shared" si="29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67" s="93" t="str">
        <f t="shared" si="30"/>
        <v>"C:\Program Files (x86)\AstroGrep\AstroGrep.exe" /spath="%USERPROFILE%\AppData\Local\Temp\OnboardLogs" /stypes="*4017*20160909*" /stext=" 17:.+((SYSTEM_STATE.+slice.+state.+changed )|(ment ac)|(system.+state.+changed )|(\|lc)|(penalty)|(\[timeout)|(PRM\|1\|D)|(kpr)|(kdp))" /e /r /s</v>
      </c>
      <c r="AG67" s="1" t="str">
        <f t="shared" si="31"/>
        <v>EC</v>
      </c>
      <c r="AH67" s="97" t="str">
        <f t="shared" si="17"/>
        <v>"%USERPROFILE%\Documents\GitHub\eaglep3\Utilities\RefineRTDCRunTimes.py" --tripid 154-09 --locoid 4017 --swversion DE.1.0.7.0 --startMP 204:233004 --initTime 2016-09-09T11:05:29 --startdatetime 2016-09-09T11:11:19 --delay 1 --endMP 204:139 --enddatetime 2016-09-09T11:47:55 --enforcementcount 1 &gt;&gt;C:\Users\stu\Documents\GitHub\eaglep3-reporting\EC\2016-09-09-refined-times.txt</v>
      </c>
      <c r="AI67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{"issue":{"subject":"","project_id":79,"tracker_id":40,"status_id":1,"priority_id":2,"assigned_to_id":23,"start_date":"2016-09-09","description":"","custom_fields":[{"id":1,"name":"Subdivision","value":"EC"},{"id":4,"name":"Milepost","value":"23.2865"},{"id":17,"name":"Train ID","value":"154-09"},{"id":16,"name":"Locomotive ID","value":"4017"},{"id":130,"name":"Impact","value":""},{"id":150,"name":"Time of Event (Mountain Time)","value":"11:47:55"},{"id":151,"name":"Denver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</row>
    <row r="68" spans="1:38" s="1" customFormat="1" x14ac:dyDescent="0.25">
      <c r="A68" s="38" t="s">
        <v>462</v>
      </c>
      <c r="B68" s="7">
        <v>4009</v>
      </c>
      <c r="C68" s="23" t="s">
        <v>108</v>
      </c>
      <c r="D68" s="23" t="s">
        <v>314</v>
      </c>
      <c r="E68" s="15">
        <v>42622.434872685182</v>
      </c>
      <c r="F68" s="15">
        <v>42622.437685185185</v>
      </c>
      <c r="G68" s="7">
        <v>1</v>
      </c>
      <c r="H68" s="15" t="s">
        <v>463</v>
      </c>
      <c r="I68" s="15">
        <v>42622.462013888886</v>
      </c>
      <c r="J68" s="7">
        <v>1</v>
      </c>
      <c r="K68" s="114" t="str">
        <f t="shared" si="20"/>
        <v>4009/4010</v>
      </c>
      <c r="L68" s="23" t="str">
        <f>VLOOKUP(A68,'Trips&amp;Operators'!$C$1:$E$10000,3,FALSE)</f>
        <v>SANTIZO</v>
      </c>
      <c r="M68" s="6">
        <f t="shared" si="21"/>
        <v>2.4328703701030463E-2</v>
      </c>
      <c r="N68" s="7">
        <f t="shared" si="34"/>
        <v>35.033333329483867</v>
      </c>
      <c r="O68" s="7"/>
      <c r="P68" s="7"/>
      <c r="Q68" s="24"/>
      <c r="R68" s="24"/>
      <c r="S68" s="36">
        <f t="shared" si="35"/>
        <v>1</v>
      </c>
      <c r="T68" s="51" t="str">
        <f t="shared" si="22"/>
        <v>NorthBound</v>
      </c>
      <c r="U68" s="17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09:26:13-0600',mode:absolute,to:'2016-09-09 12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68" s="179" t="str">
        <f t="shared" si="24"/>
        <v>N</v>
      </c>
      <c r="X68" s="179">
        <f t="shared" si="33"/>
        <v>1</v>
      </c>
      <c r="Y68" s="66">
        <f t="shared" si="25"/>
        <v>4.7300000000000002E-2</v>
      </c>
      <c r="Z68" s="66">
        <f t="shared" si="26"/>
        <v>23.3264</v>
      </c>
      <c r="AA68" s="66">
        <f t="shared" si="27"/>
        <v>23.2791</v>
      </c>
      <c r="AB68" s="63" t="e">
        <f>VLOOKUP(A68,Enforcements!$C$7:$K$21,8,0)</f>
        <v>#N/A</v>
      </c>
      <c r="AC68" s="59" t="e">
        <f>VLOOKUP(A68,Enforcements!$C$7:$E$21,3,0)</f>
        <v>#N/A</v>
      </c>
      <c r="AD68" s="60" t="str">
        <f t="shared" si="28"/>
        <v>0155-09</v>
      </c>
      <c r="AE68" s="96" t="str">
        <f t="shared" si="29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68" s="93" t="str">
        <f t="shared" si="30"/>
        <v>"C:\Program Files (x86)\AstroGrep\AstroGrep.exe" /spath="%USERPROFILE%\AppData\Local\Temp\OnboardLogs" /stypes="*4009*20160909*" /stext=" 17:.+((SYSTEM_STATE.+slice.+state.+changed )|(ment ac)|(system.+state.+changed )|(\|lc)|(penalty)|(\[timeout)|(PRM\|1\|D)|(kpr)|(kdp))" /e /r /s</v>
      </c>
      <c r="AG68" s="1" t="str">
        <f t="shared" si="31"/>
        <v>EC</v>
      </c>
      <c r="AH68" s="97" t="str">
        <f t="shared" si="17"/>
        <v>"%USERPROFILE%\Documents\GitHub\eaglep3\Utilities\RefineRTDCRunTimes.py" --tripid 155-09 --locoid 4009 --swversion DE.1.0.7.0 --startMP 204:473 --initTime 2016-09-09T10:26:13 --startdatetime 2016-09-09T10:30:16 --delay 1 --endMP 204:233264 --enddatetime 2016-09-09T11:05:18 --enforcementcount 1 &gt;&gt;C:\Users\stu\Documents\GitHub\eaglep3-reporting\EC\2016-09-09-refined-times.txt</v>
      </c>
      <c r="AI68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{"issue":{"subject":"","project_id":79,"tracker_id":40,"status_id":1,"priority_id":2,"assigned_to_id":23,"start_date":"2016-09-09","description":"","custom_fields":[{"id":1,"name":"Subdivision","value":"EC"},{"id":4,"name":"Milepost","value":"23.2791"},{"id":17,"name":"Train ID","value":"155-09"},{"id":16,"name":"Locomotive ID","value":"4009"},{"id":130,"name":"Impact","value":""},{"id":150,"name":"Time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</row>
    <row r="69" spans="1:38" s="1" customFormat="1" x14ac:dyDescent="0.25">
      <c r="A69" s="38" t="s">
        <v>464</v>
      </c>
      <c r="B69" s="7">
        <v>4010</v>
      </c>
      <c r="C69" s="23" t="s">
        <v>108</v>
      </c>
      <c r="D69" s="23" t="s">
        <v>465</v>
      </c>
      <c r="E69" s="15">
        <v>42622.464201388888</v>
      </c>
      <c r="F69" s="15">
        <v>42622.4765625</v>
      </c>
      <c r="G69" s="7">
        <v>1</v>
      </c>
      <c r="H69" s="15" t="s">
        <v>305</v>
      </c>
      <c r="I69" s="15">
        <v>42622.502303240741</v>
      </c>
      <c r="J69" s="7">
        <v>1</v>
      </c>
      <c r="K69" s="114" t="str">
        <f t="shared" si="20"/>
        <v>4009/4010</v>
      </c>
      <c r="L69" s="23" t="str">
        <f>VLOOKUP(A69,'Trips&amp;Operators'!$C$1:$E$10000,3,FALSE)</f>
        <v>SANTIZO</v>
      </c>
      <c r="M69" s="6">
        <f t="shared" si="21"/>
        <v>2.5740740740729962E-2</v>
      </c>
      <c r="N69" s="7">
        <f t="shared" si="34"/>
        <v>37.066666666651145</v>
      </c>
      <c r="O69" s="7"/>
      <c r="P69" s="7"/>
      <c r="Q69" s="24"/>
      <c r="R69" s="24"/>
      <c r="S69" s="36">
        <f t="shared" si="35"/>
        <v>1</v>
      </c>
      <c r="T69" s="51" t="str">
        <f t="shared" si="22"/>
        <v>Southbound</v>
      </c>
      <c r="U69" s="17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10:08:27-0600',mode:absolute,to:'2016-09-09 13:03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9" s="179" t="str">
        <f t="shared" si="24"/>
        <v>N</v>
      </c>
      <c r="X69" s="179">
        <f t="shared" si="33"/>
        <v>1</v>
      </c>
      <c r="Y69" s="66">
        <f t="shared" si="25"/>
        <v>23.297799999999999</v>
      </c>
      <c r="Z69" s="66">
        <f t="shared" si="26"/>
        <v>1.3899999999999999E-2</v>
      </c>
      <c r="AA69" s="66">
        <f t="shared" si="27"/>
        <v>23.283899999999999</v>
      </c>
      <c r="AB69" s="63" t="e">
        <f>VLOOKUP(A69,Enforcements!$C$7:$K$21,8,0)</f>
        <v>#N/A</v>
      </c>
      <c r="AC69" s="59" t="e">
        <f>VLOOKUP(A69,Enforcements!$C$7:$E$21,3,0)</f>
        <v>#N/A</v>
      </c>
      <c r="AD69" s="60" t="str">
        <f t="shared" si="28"/>
        <v>0156-09</v>
      </c>
      <c r="AE69" s="96" t="str">
        <f t="shared" si="29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69" s="93" t="str">
        <f t="shared" si="30"/>
        <v>"C:\Program Files (x86)\AstroGrep\AstroGrep.exe" /spath="%USERPROFILE%\AppData\Local\Temp\OnboardLogs" /stypes="*4010*20160909*" /stext=" 18:.+((SYSTEM_STATE.+slice.+state.+changed )|(ment ac)|(system.+state.+changed )|(\|lc)|(penalty)|(\[timeout)|(PRM\|1\|D)|(kpr)|(kdp))" /e /r /s</v>
      </c>
      <c r="AG69" s="1" t="str">
        <f t="shared" si="31"/>
        <v>EC</v>
      </c>
      <c r="AH69" s="97" t="str">
        <f t="shared" si="17"/>
        <v>"%USERPROFILE%\Documents\GitHub\eaglep3\Utilities\RefineRTDCRunTimes.py" --tripid 156-09 --locoid 4010 --swversion DE.1.0.7.0 --startMP 204:232978 --initTime 2016-09-09T11:08:27 --startdatetime 2016-09-09T11:26:15 --delay 1 --endMP 204:139 --enddatetime 2016-09-09T12:03:19 --enforcementcount 1 &gt;&gt;C:\Users\stu\Documents\GitHub\eaglep3-reporting\EC\2016-09-09-refined-times.txt</v>
      </c>
      <c r="AI69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{"issue":{"subject":"","project_id":79,"tracker_id":40,"status_id":1,"priority_id":2,"assigned_to_id":23,"start_date":"2016-09-09","description":"","custom_fields":[{"id":1,"name":"Subdivision","value":"EC"},{"id":4,"name":"Milepost","value":"23.2839"},{"id":17,"name":"Train ID","value":"156-09"},{"id":16,"name":"Locomotive ID","value":"4010"},{"id":130,"name":"Impact","value":""},{"id":150,"name":"Time of Event (Mountain Time)","value":"12:03:19"},{"id":151,"name":"Denver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</row>
    <row r="70" spans="1:38" s="1" customFormat="1" x14ac:dyDescent="0.25">
      <c r="A70" s="38" t="s">
        <v>466</v>
      </c>
      <c r="B70" s="7">
        <v>4020</v>
      </c>
      <c r="C70" s="23" t="s">
        <v>108</v>
      </c>
      <c r="D70" s="23" t="s">
        <v>352</v>
      </c>
      <c r="E70" s="15">
        <v>42622.444675925923</v>
      </c>
      <c r="F70" s="15">
        <v>42622.448263888888</v>
      </c>
      <c r="G70" s="7">
        <v>1</v>
      </c>
      <c r="H70" s="15" t="s">
        <v>253</v>
      </c>
      <c r="I70" s="15">
        <v>42622.472638888888</v>
      </c>
      <c r="J70" s="7">
        <v>1</v>
      </c>
      <c r="K70" s="114" t="str">
        <f t="shared" si="20"/>
        <v>4019/4020</v>
      </c>
      <c r="L70" s="23" t="str">
        <f>VLOOKUP(A70,'Trips&amp;Operators'!$C$1:$E$10000,3,FALSE)</f>
        <v>BREITSCH</v>
      </c>
      <c r="M70" s="6">
        <f t="shared" si="21"/>
        <v>2.4375000000873115E-2</v>
      </c>
      <c r="N70" s="7">
        <f t="shared" si="34"/>
        <v>35.100000001257285</v>
      </c>
      <c r="O70" s="7"/>
      <c r="P70" s="7"/>
      <c r="Q70" s="24"/>
      <c r="R70" s="24"/>
      <c r="S70" s="36">
        <f t="shared" si="35"/>
        <v>1</v>
      </c>
      <c r="T70" s="51" t="str">
        <f t="shared" si="22"/>
        <v>NorthBound</v>
      </c>
      <c r="U70" s="17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09:40:20-0600',mode:absolute,to:'2016-09-09 12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0" s="179" t="str">
        <f t="shared" si="24"/>
        <v>N</v>
      </c>
      <c r="X70" s="179">
        <f t="shared" si="33"/>
        <v>1</v>
      </c>
      <c r="Y70" s="66">
        <f t="shared" si="25"/>
        <v>4.5999999999999999E-2</v>
      </c>
      <c r="Z70" s="66">
        <f t="shared" si="26"/>
        <v>23.330200000000001</v>
      </c>
      <c r="AA70" s="66">
        <f t="shared" si="27"/>
        <v>23.284200000000002</v>
      </c>
      <c r="AB70" s="63" t="e">
        <f>VLOOKUP(A70,Enforcements!$C$7:$K$21,8,0)</f>
        <v>#N/A</v>
      </c>
      <c r="AC70" s="59" t="e">
        <f>VLOOKUP(A70,Enforcements!$C$7:$E$21,3,0)</f>
        <v>#N/A</v>
      </c>
      <c r="AD70" s="60" t="str">
        <f t="shared" si="28"/>
        <v>0157-09</v>
      </c>
      <c r="AE70" s="96" t="str">
        <f t="shared" si="29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70" s="93" t="str">
        <f t="shared" si="30"/>
        <v>"C:\Program Files (x86)\AstroGrep\AstroGrep.exe" /spath="%USERPROFILE%\AppData\Local\Temp\OnboardLogs" /stypes="*4020*20160909*" /stext=" 17:.+((SYSTEM_STATE.+slice.+state.+changed )|(ment ac)|(system.+state.+changed )|(\|lc)|(penalty)|(\[timeout)|(PRM\|1\|D)|(kpr)|(kdp))" /e /r /s</v>
      </c>
      <c r="AG70" s="1" t="str">
        <f t="shared" si="31"/>
        <v>EC</v>
      </c>
      <c r="AH70" s="97" t="str">
        <f t="shared" si="17"/>
        <v>"%USERPROFILE%\Documents\GitHub\eaglep3\Utilities\RefineRTDCRunTimes.py" --tripid 157-09 --locoid 4020 --swversion DE.1.0.7.0 --startMP 204:460 --initTime 2016-09-09T10:40:20 --startdatetime 2016-09-09T10:45:30 --delay 1 --endMP 204:233302 --enddatetime 2016-09-09T11:20:36 --enforcementcount 1 &gt;&gt;C:\Users\stu\Documents\GitHub\eaglep3-reporting\EC\2016-09-09-refined-times.txt</v>
      </c>
      <c r="AI70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{"issue":{"subject":"","project_id":79,"tracker_id":40,"status_id":1,"priority_id":2,"assigned_to_id":23,"start_date":"2016-09-09","description":"","custom_fields":[{"id":1,"name":"Subdivision","value":"EC"},{"id":4,"name":"Milepost","value":"23.2842"},{"id":17,"name":"Train ID","value":"157-09"},{"id":16,"name":"Locomotive ID","value":"4020"},{"id":130,"name":"Impact","value":""},{"id":150,"name":"Time of Event (Mountain Time)","value":"11:20:36"},{"id":151,"name":"Denver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</row>
    <row r="71" spans="1:38" s="1" customFormat="1" x14ac:dyDescent="0.25">
      <c r="A71" s="38" t="s">
        <v>467</v>
      </c>
      <c r="B71" s="7">
        <v>4019</v>
      </c>
      <c r="C71" s="23" t="s">
        <v>108</v>
      </c>
      <c r="D71" s="23" t="s">
        <v>320</v>
      </c>
      <c r="E71" s="15">
        <v>42622.485682870371</v>
      </c>
      <c r="F71" s="15">
        <v>42622.487696759257</v>
      </c>
      <c r="G71" s="7">
        <v>1</v>
      </c>
      <c r="H71" s="15" t="s">
        <v>262</v>
      </c>
      <c r="I71" s="15">
        <v>42622.516238425924</v>
      </c>
      <c r="J71" s="7">
        <v>1</v>
      </c>
      <c r="K71" s="114" t="str">
        <f t="shared" si="20"/>
        <v>4019/4020</v>
      </c>
      <c r="L71" s="23" t="str">
        <f>VLOOKUP(A71,'Trips&amp;Operators'!$C$1:$E$10000,3,FALSE)</f>
        <v>BREITSCH</v>
      </c>
      <c r="M71" s="6">
        <f t="shared" si="21"/>
        <v>2.8541666666569654E-2</v>
      </c>
      <c r="N71" s="7">
        <f t="shared" si="34"/>
        <v>41.099999999860302</v>
      </c>
      <c r="O71" s="7"/>
      <c r="P71" s="7"/>
      <c r="Q71" s="24"/>
      <c r="R71" s="24"/>
      <c r="S71" s="36">
        <f t="shared" si="35"/>
        <v>1</v>
      </c>
      <c r="T71" s="51" t="str">
        <f t="shared" si="22"/>
        <v>Southbound</v>
      </c>
      <c r="U71" s="17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10:39:23-0600',mode:absolute,to:'2016-09-09 13:23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1" s="179" t="str">
        <f t="shared" si="24"/>
        <v>N</v>
      </c>
      <c r="X71" s="179">
        <f t="shared" si="33"/>
        <v>1</v>
      </c>
      <c r="Y71" s="66">
        <f t="shared" si="25"/>
        <v>23.298100000000002</v>
      </c>
      <c r="Z71" s="66">
        <f t="shared" si="26"/>
        <v>1.52E-2</v>
      </c>
      <c r="AA71" s="66">
        <f t="shared" si="27"/>
        <v>23.282900000000001</v>
      </c>
      <c r="AB71" s="63" t="e">
        <f>VLOOKUP(A71,Enforcements!$C$7:$K$21,8,0)</f>
        <v>#N/A</v>
      </c>
      <c r="AC71" s="59" t="e">
        <f>VLOOKUP(A71,Enforcements!$C$7:$E$21,3,0)</f>
        <v>#N/A</v>
      </c>
      <c r="AD71" s="60" t="str">
        <f t="shared" si="28"/>
        <v>0158-09</v>
      </c>
      <c r="AE71" s="96" t="str">
        <f t="shared" si="29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71" s="93" t="str">
        <f t="shared" si="30"/>
        <v>"C:\Program Files (x86)\AstroGrep\AstroGrep.exe" /spath="%USERPROFILE%\AppData\Local\Temp\OnboardLogs" /stypes="*4019*20160909*" /stext=" 18:.+((SYSTEM_STATE.+slice.+state.+changed )|(ment ac)|(system.+state.+changed )|(\|lc)|(penalty)|(\[timeout)|(PRM\|1\|D)|(kpr)|(kdp))" /e /r /s</v>
      </c>
      <c r="AG71" s="1" t="str">
        <f t="shared" si="31"/>
        <v>EC</v>
      </c>
      <c r="AH71" s="97" t="str">
        <f t="shared" si="17"/>
        <v>"%USERPROFILE%\Documents\GitHub\eaglep3\Utilities\RefineRTDCRunTimes.py" --tripid 158-09 --locoid 4019 --swversion DE.1.0.7.0 --startMP 204:232981 --initTime 2016-09-09T11:39:23 --startdatetime 2016-09-09T11:42:17 --delay 1 --endMP 204:152 --enddatetime 2016-09-09T12:23:23 --enforcementcount 1 &gt;&gt;C:\Users\stu\Documents\GitHub\eaglep3-reporting\EC\2016-09-09-refined-times.txt</v>
      </c>
      <c r="AI71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{"issue":{"subject":"","project_id":79,"tracker_id":40,"status_id":1,"priority_id":2,"assigned_to_id":23,"start_date":"2016-09-09","description":"","custom_fields":[{"id":1,"name":"Subdivision","value":"EC"},{"id":4,"name":"Milepost","value":"23.2829"},{"id":17,"name":"Train ID","value":"158-09"},{"id":16,"name":"Locomotive ID","value":"4019"},{"id":130,"name":"Impact","value":""},{"id":150,"name":"Time of Event (Mountain Time)","value":"12:23:23"},{"id":151,"name":"Denver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</row>
    <row r="72" spans="1:38" s="1" customFormat="1" x14ac:dyDescent="0.25">
      <c r="A72" s="38" t="s">
        <v>468</v>
      </c>
      <c r="B72" s="7">
        <v>4011</v>
      </c>
      <c r="C72" s="23" t="s">
        <v>108</v>
      </c>
      <c r="D72" s="23" t="s">
        <v>352</v>
      </c>
      <c r="E72" s="15">
        <v>42622.456342592595</v>
      </c>
      <c r="F72" s="15">
        <v>42622.459074074075</v>
      </c>
      <c r="G72" s="7">
        <v>1</v>
      </c>
      <c r="H72" s="15" t="s">
        <v>249</v>
      </c>
      <c r="I72" s="15">
        <v>42622.484212962961</v>
      </c>
      <c r="J72" s="7">
        <v>1</v>
      </c>
      <c r="K72" s="114" t="str">
        <f t="shared" si="20"/>
        <v>4011/4012</v>
      </c>
      <c r="L72" s="23" t="str">
        <f>VLOOKUP(A72,'Trips&amp;Operators'!$C$1:$E$10000,3,FALSE)</f>
        <v>STEWART</v>
      </c>
      <c r="M72" s="6">
        <f t="shared" si="21"/>
        <v>2.5138888886431232E-2</v>
      </c>
      <c r="N72" s="7">
        <f t="shared" si="34"/>
        <v>36.199999996460974</v>
      </c>
      <c r="O72" s="7"/>
      <c r="P72" s="7"/>
      <c r="Q72" s="24"/>
      <c r="R72" s="24"/>
      <c r="S72" s="36">
        <f t="shared" si="35"/>
        <v>1</v>
      </c>
      <c r="T72" s="51" t="str">
        <f t="shared" si="22"/>
        <v>NorthBound</v>
      </c>
      <c r="U72" s="17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09:57:08-0600',mode:absolute,to:'2016-09-09 12:37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72" s="179" t="str">
        <f t="shared" si="24"/>
        <v>N</v>
      </c>
      <c r="X72" s="179">
        <f t="shared" si="33"/>
        <v>1</v>
      </c>
      <c r="Y72" s="66">
        <f t="shared" si="25"/>
        <v>4.5999999999999999E-2</v>
      </c>
      <c r="Z72" s="66">
        <f t="shared" si="26"/>
        <v>23.330500000000001</v>
      </c>
      <c r="AA72" s="66">
        <f t="shared" si="27"/>
        <v>23.284500000000001</v>
      </c>
      <c r="AB72" s="63" t="e">
        <f>VLOOKUP(A72,Enforcements!$C$7:$K$21,8,0)</f>
        <v>#N/A</v>
      </c>
      <c r="AC72" s="59" t="e">
        <f>VLOOKUP(A72,Enforcements!$C$7:$E$21,3,0)</f>
        <v>#N/A</v>
      </c>
      <c r="AD72" s="60" t="str">
        <f t="shared" si="28"/>
        <v>0159-09</v>
      </c>
      <c r="AE72" s="96" t="str">
        <f t="shared" si="29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72" s="93" t="str">
        <f t="shared" si="30"/>
        <v>"C:\Program Files (x86)\AstroGrep\AstroGrep.exe" /spath="%USERPROFILE%\AppData\Local\Temp\OnboardLogs" /stypes="*4011*20160909*" /stext=" 17:.+((SYSTEM_STATE.+slice.+state.+changed )|(ment ac)|(system.+state.+changed )|(\|lc)|(penalty)|(\[timeout)|(PRM\|1\|D)|(kpr)|(kdp))" /e /r /s</v>
      </c>
      <c r="AG72" s="1" t="str">
        <f t="shared" si="31"/>
        <v>EC</v>
      </c>
      <c r="AH72" s="97" t="str">
        <f t="shared" si="17"/>
        <v>"%USERPROFILE%\Documents\GitHub\eaglep3\Utilities\RefineRTDCRunTimes.py" --tripid 159-09 --locoid 4011 --swversion DE.1.0.7.0 --startMP 204:460 --initTime 2016-09-09T10:57:08 --startdatetime 2016-09-09T11:01:04 --delay 1 --endMP 204:233305 --enddatetime 2016-09-09T11:37:16 --enforcementcount 1 &gt;&gt;C:\Users\stu\Documents\GitHub\eaglep3-reporting\EC\2016-09-09-refined-times.txt</v>
      </c>
      <c r="AI72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{"issue":{"subject":"","project_id":79,"tracker_id":40,"status_id":1,"priority_id":2,"assigned_to_id":23,"start_date":"2016-09-09","description":"","custom_fields":[{"id":1,"name":"Subdivision","value":"EC"},{"id":4,"name":"Milepost","value":"23.2845"},{"id":17,"name":"Train ID","value":"159-09"},{"id":16,"name":"Locomotive ID","value":"4011"},{"id":130,"name":"Impact","value":""},{"id":150,"name":"Time of Event (Mountain Time)","value":"11:37:16"},{"id":151,"name":"Denver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</row>
    <row r="73" spans="1:38" s="1" customFormat="1" x14ac:dyDescent="0.25">
      <c r="A73" s="38" t="s">
        <v>469</v>
      </c>
      <c r="B73" s="7">
        <v>4012</v>
      </c>
      <c r="C73" s="23" t="s">
        <v>108</v>
      </c>
      <c r="D73" s="23" t="s">
        <v>244</v>
      </c>
      <c r="E73" s="15">
        <v>42622.492430555554</v>
      </c>
      <c r="F73" s="15">
        <v>42622.497499999998</v>
      </c>
      <c r="G73" s="7">
        <v>1</v>
      </c>
      <c r="H73" s="15" t="s">
        <v>245</v>
      </c>
      <c r="I73" s="15">
        <v>42622.527291666665</v>
      </c>
      <c r="J73" s="7">
        <v>1</v>
      </c>
      <c r="K73" s="114" t="str">
        <f t="shared" si="20"/>
        <v>4011/4012</v>
      </c>
      <c r="L73" s="23" t="str">
        <f>VLOOKUP(A73,'Trips&amp;Operators'!$C$1:$E$10000,3,FALSE)</f>
        <v>STEWART</v>
      </c>
      <c r="M73" s="6">
        <f t="shared" si="21"/>
        <v>2.9791666667733807E-2</v>
      </c>
      <c r="N73" s="7">
        <f t="shared" si="34"/>
        <v>42.900000001536682</v>
      </c>
      <c r="O73" s="7"/>
      <c r="P73" s="7"/>
      <c r="Q73" s="24"/>
      <c r="R73" s="24"/>
      <c r="S73" s="36">
        <f t="shared" si="35"/>
        <v>1</v>
      </c>
      <c r="T73" s="51" t="str">
        <f t="shared" si="22"/>
        <v>Southbound</v>
      </c>
      <c r="U73" s="17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10:49:06-0600',mode:absolute,to:'2016-09-09 13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73" s="179" t="str">
        <f t="shared" si="24"/>
        <v>N</v>
      </c>
      <c r="X73" s="179">
        <f t="shared" si="33"/>
        <v>1</v>
      </c>
      <c r="Y73" s="66">
        <f t="shared" si="25"/>
        <v>23.298200000000001</v>
      </c>
      <c r="Z73" s="66">
        <f t="shared" si="26"/>
        <v>1.6299999999999999E-2</v>
      </c>
      <c r="AA73" s="66">
        <f t="shared" si="27"/>
        <v>23.2819</v>
      </c>
      <c r="AB73" s="63" t="str">
        <f>VLOOKUP(A73,Enforcements!$C$7:$K$21,8,0)</f>
        <v>Bulletin (2)</v>
      </c>
      <c r="AC73" s="59" t="str">
        <f>VLOOKUP(A73,Enforcements!$C$7:$E$21,3,0)</f>
        <v>GRADE CROSSING</v>
      </c>
      <c r="AD73" s="60" t="str">
        <f t="shared" si="28"/>
        <v>0160-09</v>
      </c>
      <c r="AE73" s="96" t="str">
        <f t="shared" si="29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73" s="93" t="str">
        <f t="shared" si="30"/>
        <v>"C:\Program Files (x86)\AstroGrep\AstroGrep.exe" /spath="%USERPROFILE%\AppData\Local\Temp\OnboardLogs" /stypes="*4012*20160909*" /stext=" 18:.+((SYSTEM_STATE.+slice.+state.+changed )|(ment ac)|(system.+state.+changed )|(\|lc)|(penalty)|(\[timeout)|(PRM\|1\|D)|(kpr)|(kdp))" /e /r /s</v>
      </c>
      <c r="AG73" s="1" t="str">
        <f t="shared" si="31"/>
        <v>EC</v>
      </c>
      <c r="AH73" s="97" t="str">
        <f t="shared" si="17"/>
        <v>"%USERPROFILE%\Documents\GitHub\eaglep3\Utilities\RefineRTDCRunTimes.py" --tripid 160-09 --locoid 4012 --swversion DE.1.0.7.0 --startMP 204:232982 --initTime 2016-09-09T11:49:06 --startdatetime 2016-09-09T11:56:24 --delay 1 --endMP 204:163 --enddatetime 2016-09-09T12:39:18 --enforcementcount 1 &gt;&gt;C:\Users\stu\Documents\GitHub\eaglep3-reporting\EC\2016-09-09-refined-times.txt</v>
      </c>
      <c r="AI73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{"issue":{"subject":"","project_id":79,"tracker_id":40,"status_id":1,"priority_id":2,"assigned_to_id":23,"start_date":"2016-09-09","description":"","custom_fields":[{"id":1,"name":"Subdivision","value":"EC"},{"id":4,"name":"Milepost","value":"23.2819"},{"id":17,"name":"Train ID","value":"160-09"},{"id":16,"name":"Locomotive ID","value":"4012"},{"id":130,"name":"Impact","value":""},{"id":150,"name":"Time of Event (Mountain Time)","value":"12:39:18"},{"id":151,"name":"Denver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</row>
    <row r="74" spans="1:38" s="1" customFormat="1" x14ac:dyDescent="0.25">
      <c r="A74" s="38" t="s">
        <v>470</v>
      </c>
      <c r="B74" s="7">
        <v>4016</v>
      </c>
      <c r="C74" s="23" t="s">
        <v>108</v>
      </c>
      <c r="D74" s="23" t="s">
        <v>309</v>
      </c>
      <c r="E74" s="15">
        <v>42622.465671296297</v>
      </c>
      <c r="F74" s="15">
        <v>42622.4690625</v>
      </c>
      <c r="G74" s="7">
        <v>1</v>
      </c>
      <c r="H74" s="15" t="s">
        <v>471</v>
      </c>
      <c r="I74" s="15">
        <v>42622.495381944442</v>
      </c>
      <c r="J74" s="7">
        <v>1</v>
      </c>
      <c r="K74" s="114" t="str">
        <f t="shared" si="20"/>
        <v>4015/4016</v>
      </c>
      <c r="L74" s="23" t="str">
        <f>VLOOKUP(A74,'Trips&amp;Operators'!$C$1:$E$10000,3,FALSE)</f>
        <v>CLARK</v>
      </c>
      <c r="M74" s="6">
        <f t="shared" si="21"/>
        <v>2.6319444441469386E-2</v>
      </c>
      <c r="N74" s="7">
        <f t="shared" si="34"/>
        <v>37.899999995715916</v>
      </c>
      <c r="O74" s="7"/>
      <c r="P74" s="7"/>
      <c r="Q74" s="24"/>
      <c r="R74" s="24"/>
      <c r="S74" s="36">
        <f t="shared" si="35"/>
        <v>1</v>
      </c>
      <c r="T74" s="51" t="str">
        <f t="shared" si="22"/>
        <v>NorthBound</v>
      </c>
      <c r="U74" s="17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10:10:34-0600',mode:absolute,to:'2016-09-09 12:53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4" s="179" t="str">
        <f t="shared" si="24"/>
        <v>N</v>
      </c>
      <c r="X74" s="179">
        <f t="shared" si="33"/>
        <v>1</v>
      </c>
      <c r="Y74" s="66">
        <f t="shared" si="25"/>
        <v>4.7699999999999999E-2</v>
      </c>
      <c r="Z74" s="66">
        <f t="shared" si="26"/>
        <v>23.331900000000001</v>
      </c>
      <c r="AA74" s="66">
        <f t="shared" si="27"/>
        <v>23.284200000000002</v>
      </c>
      <c r="AB74" s="63" t="e">
        <f>VLOOKUP(A74,Enforcements!$C$7:$K$21,8,0)</f>
        <v>#N/A</v>
      </c>
      <c r="AC74" s="59" t="e">
        <f>VLOOKUP(A74,Enforcements!$C$7:$E$21,3,0)</f>
        <v>#N/A</v>
      </c>
      <c r="AD74" s="60" t="str">
        <f t="shared" si="28"/>
        <v>0161-09</v>
      </c>
      <c r="AE74" s="96" t="str">
        <f t="shared" si="29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74" s="93" t="str">
        <f t="shared" si="30"/>
        <v>"C:\Program Files (x86)\AstroGrep\AstroGrep.exe" /spath="%USERPROFILE%\AppData\Local\Temp\OnboardLogs" /stypes="*4016*20160909*" /stext=" 17:.+((SYSTEM_STATE.+slice.+state.+changed )|(ment ac)|(system.+state.+changed )|(\|lc)|(penalty)|(\[timeout)|(PRM\|1\|D)|(kpr)|(kdp))" /e /r /s</v>
      </c>
      <c r="AG74" s="1" t="str">
        <f t="shared" si="31"/>
        <v>EC</v>
      </c>
      <c r="AH74" s="97" t="str">
        <f t="shared" si="17"/>
        <v>"%USERPROFILE%\Documents\GitHub\eaglep3\Utilities\RefineRTDCRunTimes.py" --tripid 161-09 --locoid 4016 --swversion DE.1.0.7.0 --startMP 204:477 --initTime 2016-09-09T11:10:34 --startdatetime 2016-09-09T11:15:27 --delay 1 --endMP 204:233319 --enddatetime 2016-09-09T11:53:21 --enforcementcount 1 &gt;&gt;C:\Users\stu\Documents\GitHub\eaglep3-reporting\EC\2016-09-09-refined-times.txt</v>
      </c>
      <c r="AI74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{"issue":{"subject":"","project_id":79,"tracker_id":40,"status_id":1,"priority_id":2,"assigned_to_id":23,"start_date":"2016-09-09","description":"","custom_fields":[{"id":1,"name":"Subdivision","value":"EC"},{"id":4,"name":"Milepost","value":"23.2842"},{"id":17,"name":"Train ID","value":"161-09"},{"id":16,"name":"Locomotive ID","value":"4016"},{"id":130,"name":"Impact","value":""},{"id":150,"name":"Time of Event (Mountain Time)","value":"11:53:21"},{"id":151,"name":"Denver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</row>
    <row r="75" spans="1:38" s="1" customFormat="1" x14ac:dyDescent="0.25">
      <c r="A75" s="38" t="s">
        <v>472</v>
      </c>
      <c r="B75" s="7">
        <v>4015</v>
      </c>
      <c r="C75" s="23" t="s">
        <v>108</v>
      </c>
      <c r="D75" s="23" t="s">
        <v>266</v>
      </c>
      <c r="E75" s="15">
        <v>42622.504803240743</v>
      </c>
      <c r="F75" s="15">
        <v>42622.507835648146</v>
      </c>
      <c r="G75" s="7">
        <v>1</v>
      </c>
      <c r="H75" s="15" t="s">
        <v>259</v>
      </c>
      <c r="I75" s="15">
        <v>42622.537928240738</v>
      </c>
      <c r="J75" s="7">
        <v>1</v>
      </c>
      <c r="K75" s="114" t="str">
        <f t="shared" si="20"/>
        <v>4015/4016</v>
      </c>
      <c r="L75" s="23" t="str">
        <f>VLOOKUP(A75,'Trips&amp;Operators'!$C$1:$E$10000,3,FALSE)</f>
        <v>CLARK</v>
      </c>
      <c r="M75" s="6">
        <f t="shared" si="21"/>
        <v>3.0092592591245193E-2</v>
      </c>
      <c r="N75" s="7">
        <f t="shared" si="34"/>
        <v>43.333333331393078</v>
      </c>
      <c r="O75" s="7"/>
      <c r="P75" s="7"/>
      <c r="Q75" s="24"/>
      <c r="R75" s="24"/>
      <c r="S75" s="36">
        <f t="shared" si="35"/>
        <v>1</v>
      </c>
      <c r="T75" s="51" t="str">
        <f t="shared" si="22"/>
        <v>Southbound</v>
      </c>
      <c r="U75" s="17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11:06:55-0600',mode:absolute,to:'2016-09-09 13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5" s="179" t="str">
        <f t="shared" si="24"/>
        <v>N</v>
      </c>
      <c r="X75" s="179">
        <f t="shared" si="33"/>
        <v>1</v>
      </c>
      <c r="Y75" s="66">
        <f t="shared" si="25"/>
        <v>23.299600000000002</v>
      </c>
      <c r="Z75" s="66">
        <f t="shared" si="26"/>
        <v>1.43E-2</v>
      </c>
      <c r="AA75" s="66">
        <f t="shared" si="27"/>
        <v>23.285300000000003</v>
      </c>
      <c r="AB75" s="63" t="e">
        <f>VLOOKUP(A75,Enforcements!$C$7:$K$21,8,0)</f>
        <v>#N/A</v>
      </c>
      <c r="AC75" s="59" t="e">
        <f>VLOOKUP(A75,Enforcements!$C$7:$E$21,3,0)</f>
        <v>#N/A</v>
      </c>
      <c r="AD75" s="60" t="str">
        <f t="shared" si="28"/>
        <v>0162-09</v>
      </c>
      <c r="AE75" s="96" t="str">
        <f t="shared" si="29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75" s="93" t="str">
        <f t="shared" si="30"/>
        <v>"C:\Program Files (x86)\AstroGrep\AstroGrep.exe" /spath="%USERPROFILE%\AppData\Local\Temp\OnboardLogs" /stypes="*4015*20160909*" /stext=" 18:.+((SYSTEM_STATE.+slice.+state.+changed )|(ment ac)|(system.+state.+changed )|(\|lc)|(penalty)|(\[timeout)|(PRM\|1\|D)|(kpr)|(kdp))" /e /r /s</v>
      </c>
      <c r="AG75" s="1" t="str">
        <f t="shared" si="31"/>
        <v>EC</v>
      </c>
      <c r="AH75" s="97" t="str">
        <f t="shared" si="17"/>
        <v>"%USERPROFILE%\Documents\GitHub\eaglep3\Utilities\RefineRTDCRunTimes.py" --tripid 162-09 --locoid 4015 --swversion DE.1.0.7.0 --startMP 204:232996 --initTime 2016-09-09T12:06:55 --startdatetime 2016-09-09T12:11:17 --delay 1 --endMP 204:143 --enddatetime 2016-09-09T12:54:37 --enforcementcount 1 &gt;&gt;C:\Users\stu\Documents\GitHub\eaglep3-reporting\EC\2016-09-09-refined-times.txt</v>
      </c>
      <c r="AI75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{"issue":{"subject":"","project_id":79,"tracker_id":40,"status_id":1,"priority_id":2,"assigned_to_id":23,"start_date":"2016-09-09","description":"","custom_fields":[{"id":1,"name":"Subdivision","value":"EC"},{"id":4,"name":"Milepost","value":"23.2853"},{"id":17,"name":"Train ID","value":"162-09"},{"id":16,"name":"Locomotive ID","value":"4015"},{"id":130,"name":"Impact","value":""},{"id":150,"name":"Time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</row>
    <row r="76" spans="1:38" s="1" customFormat="1" x14ac:dyDescent="0.25">
      <c r="A76" s="38" t="s">
        <v>473</v>
      </c>
      <c r="B76" s="7">
        <v>4025</v>
      </c>
      <c r="C76" s="23" t="s">
        <v>108</v>
      </c>
      <c r="D76" s="23" t="s">
        <v>243</v>
      </c>
      <c r="E76" s="15">
        <v>42622.475266203706</v>
      </c>
      <c r="F76" s="15">
        <v>42622.479409722226</v>
      </c>
      <c r="G76" s="7">
        <v>1</v>
      </c>
      <c r="H76" s="15" t="s">
        <v>286</v>
      </c>
      <c r="I76" s="15">
        <v>42622.505590277775</v>
      </c>
      <c r="J76" s="7">
        <v>1</v>
      </c>
      <c r="K76" s="114" t="str">
        <f t="shared" si="20"/>
        <v>4025/4026</v>
      </c>
      <c r="L76" s="23" t="str">
        <f>VLOOKUP(A76,'Trips&amp;Operators'!$C$1:$E$10000,3,FALSE)</f>
        <v>BONDS</v>
      </c>
      <c r="M76" s="6">
        <f t="shared" si="21"/>
        <v>2.6180555549217388E-2</v>
      </c>
      <c r="N76" s="7">
        <f t="shared" si="34"/>
        <v>37.699999990873039</v>
      </c>
      <c r="O76" s="7"/>
      <c r="P76" s="7"/>
      <c r="Q76" s="24"/>
      <c r="R76" s="24"/>
      <c r="S76" s="36">
        <f t="shared" si="35"/>
        <v>1</v>
      </c>
      <c r="T76" s="51" t="str">
        <f t="shared" si="22"/>
        <v>NorthBound</v>
      </c>
      <c r="U76" s="17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78" t="str">
        <f t="shared" si="23"/>
        <v>https://search-rtdc-monitor-bjffxe2xuh6vdkpspy63sjmuny.us-east-1.es.amazonaws.com/_plugin/kibana/#/discover/Steve-Slow-Train-Analysis-(2080s-and-2083s)?_g=(refreshInterval:(display:Off,section:0,value:0),time:(from:'2016-09-09 10:24:23-0600',mode:absolute,to:'2016-09-09 13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6" s="179" t="str">
        <f t="shared" si="24"/>
        <v>N</v>
      </c>
      <c r="X76" s="179">
        <f t="shared" si="33"/>
        <v>1</v>
      </c>
      <c r="Y76" s="66">
        <f t="shared" si="25"/>
        <v>4.4600000000000001E-2</v>
      </c>
      <c r="Z76" s="66">
        <f t="shared" si="26"/>
        <v>23.331199999999999</v>
      </c>
      <c r="AA76" s="66">
        <f t="shared" si="27"/>
        <v>23.2866</v>
      </c>
      <c r="AB76" s="63" t="e">
        <f>VLOOKUP(A76,Enforcements!$C$7:$K$21,8,0)</f>
        <v>#N/A</v>
      </c>
      <c r="AC76" s="59" t="e">
        <f>VLOOKUP(A76,Enforcements!$C$7:$E$21,3,0)</f>
        <v>#N/A</v>
      </c>
      <c r="AD76" s="60" t="str">
        <f t="shared" si="28"/>
        <v>0163-09</v>
      </c>
      <c r="AE76" s="96" t="str">
        <f t="shared" si="29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76" s="93" t="str">
        <f t="shared" si="30"/>
        <v>"C:\Program Files (x86)\AstroGrep\AstroGrep.exe" /spath="%USERPROFILE%\AppData\Local\Temp\OnboardLogs" /stypes="*4025*20160909*" /stext=" 18:.+((SYSTEM_STATE.+slice.+state.+changed )|(ment ac)|(system.+state.+changed )|(\|lc)|(penalty)|(\[timeout)|(PRM\|1\|D)|(kpr)|(kdp))" /e /r /s</v>
      </c>
      <c r="AG76" s="1" t="str">
        <f t="shared" si="31"/>
        <v>EC</v>
      </c>
      <c r="AH76" s="97" t="str">
        <f t="shared" si="17"/>
        <v>"%USERPROFILE%\Documents\GitHub\eaglep3\Utilities\RefineRTDCRunTimes.py" --tripid 163-09 --locoid 4025 --swversion DE.1.0.7.0 --startMP 204:446 --initTime 2016-09-09T11:24:23 --startdatetime 2016-09-09T11:30:21 --delay 1 --endMP 204:233312 --enddatetime 2016-09-09T12:08:03 --enforcementcount 1 &gt;&gt;C:\Users\stu\Documents\GitHub\eaglep3-reporting\EC\2016-09-09-refined-times.txt</v>
      </c>
      <c r="AI76" s="129" t="str">
        <f t="shared" si="18"/>
        <v>echo {"issue":{"subject":"","project_id":79,"tracker_id":40,"status_id":1,"priority_id":2,"assigned_to_id":23,"start_date":"2016-09-09","description":"","custom_fields":[{"id":1,"name":"Subdivision","value":"EC"},{"id":4,"name":"Milepost","value":"23.2866"},{"id":17,"name":"Train ID","value":"163-09"},{"id":16,"name":"Locomotive ID","value":"4025"},{"id":130,"name":"Impact","value":""},{"id":150,"name":"Time of Event (Mountain Time)","value":"12:08:03"},{"id":151,"name":"Denver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</row>
    <row r="77" spans="1:38" s="1" customFormat="1" x14ac:dyDescent="0.25">
      <c r="A77" s="38" t="s">
        <v>474</v>
      </c>
      <c r="B77" s="7">
        <v>4026</v>
      </c>
      <c r="C77" s="23" t="s">
        <v>108</v>
      </c>
      <c r="D77" s="23" t="s">
        <v>475</v>
      </c>
      <c r="E77" s="15">
        <v>42622.510763888888</v>
      </c>
      <c r="F77" s="15">
        <v>42622.518252314818</v>
      </c>
      <c r="G77" s="7">
        <v>1</v>
      </c>
      <c r="H77" s="15" t="s">
        <v>251</v>
      </c>
      <c r="I77" s="15">
        <v>42622.546701388892</v>
      </c>
      <c r="J77" s="7">
        <v>1</v>
      </c>
      <c r="K77" s="114" t="str">
        <f t="shared" ref="K77:K108" si="36">IF(ISEVEN(B77),(B77-1)&amp;"/"&amp;B77,B77&amp;"/"&amp;(B77+1))</f>
        <v>4025/4026</v>
      </c>
      <c r="L77" s="23" t="str">
        <f>VLOOKUP(A77,'Trips&amp;Operators'!$C$1:$E$10000,3,FALSE)</f>
        <v>BONDS</v>
      </c>
      <c r="M77" s="6">
        <f t="shared" ref="M77:M108" si="37">I77-F77</f>
        <v>2.8449074074160308E-2</v>
      </c>
      <c r="N77" s="7">
        <f t="shared" si="34"/>
        <v>40.966666666790843</v>
      </c>
      <c r="O77" s="7"/>
      <c r="P77" s="7"/>
      <c r="Q77" s="24"/>
      <c r="R77" s="24"/>
      <c r="S77" s="36">
        <f t="shared" si="35"/>
        <v>1</v>
      </c>
      <c r="T77" s="51" t="str">
        <f t="shared" ref="T77:T108" si="38">IF(ISEVEN(LEFT(AD77,4)),"Southbound","NorthBound")</f>
        <v>Southbound</v>
      </c>
      <c r="U77" s="17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78" t="str">
        <f t="shared" ref="V77:V108" si="3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https://search-rtdc-monitor-bjffxe2xuh6vdkpspy63sjmuny.us-east-1.es.amazonaws.com/_plugin/kibana/#/discover/Steve-Slow-Train-Analysis-(2080s-and-2083s)?_g=(refreshInterval:(display:Off,section:0,value:0),time:(from:'2016-09-09 11:15:30-0600',mode:absolute,to:'2016-09-09 14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7" s="179" t="str">
        <f t="shared" ref="W77:W108" si="40">IF(AA77&lt;IF(AG77="EC",23,5.65),"Y","N")</f>
        <v>N</v>
      </c>
      <c r="X77" s="179">
        <f t="shared" si="33"/>
        <v>1</v>
      </c>
      <c r="Y77" s="66">
        <f t="shared" ref="Y77:Y108" si="41">RIGHT(D77,LEN(D77)-4)/10000</f>
        <v>23.2988</v>
      </c>
      <c r="Z77" s="66">
        <f t="shared" ref="Z77:Z108" si="42">RIGHT(H77,LEN(H77)-4)/10000</f>
        <v>1.47E-2</v>
      </c>
      <c r="AA77" s="66">
        <f t="shared" ref="AA77:AA108" si="43">ABS(Z77-Y77)</f>
        <v>23.284099999999999</v>
      </c>
      <c r="AB77" s="63" t="e">
        <f>VLOOKUP(A77,Enforcements!$C$7:$K$21,8,0)</f>
        <v>#N/A</v>
      </c>
      <c r="AC77" s="59" t="e">
        <f>VLOOKUP(A77,Enforcements!$C$7:$E$21,3,0)</f>
        <v>#N/A</v>
      </c>
      <c r="AD77" s="60" t="str">
        <f t="shared" ref="AD77:AD108" si="44">IF(LEN(A77)=6,"0"&amp;A77,A77)</f>
        <v>0164-09</v>
      </c>
      <c r="AE77" s="96" t="str">
        <f t="shared" ref="AE77:AE108" si="4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77" s="93" t="str">
        <f t="shared" ref="AF77:AF108" si="46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/stypes="*4026*20160909*" /stext=" 19:.+((SYSTEM_STATE.+slice.+state.+changed )|(ment ac)|(system.+state.+changed )|(\|lc)|(penalty)|(\[timeout)|(PRM\|1\|D)|(kpr)|(kdp))" /e /r /s</v>
      </c>
      <c r="AG77" s="1" t="str">
        <f t="shared" ref="AG77:AG108" si="47">IFERROR(IF(VALUE(LEFT(AD77,2))&lt;=2,"EC",IF(OR(VALUE(LEFT(AD77,2))=8,VALUE(LEFT(AD77,2))=18),"NW","Other")),"Other")</f>
        <v>EC</v>
      </c>
      <c r="AH77" s="97" t="str">
        <f t="shared" ref="AH77:AH141" si="4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164-09 --locoid 4026 --swversion DE.1.0.7.0 --startMP 204:232988 --initTime 2016-09-09T12:15:30 --startdatetime 2016-09-09T12:26:17 --delay 1 --endMP 204:147 --enddatetime 2016-09-09T13:07:15 --enforcementcount 1 &gt;&gt;C:\Users\stu\Documents\GitHub\eaglep3-reporting\EC\2016-09-09-refined-times.txt</v>
      </c>
      <c r="AI77" s="129" t="str">
        <f t="shared" ref="AI77:AI141" si="4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{"issue":{"subject":"","project_id":79,"tracker_id":40,"status_id":1,"priority_id":2,"assigned_to_id":23,"start_date":"2016-09-09","description":"","custom_fields":[{"id":1,"name":"Subdivision","value":"EC"},{"id":4,"name":"Milepost","value":"23.2841"},{"id":17,"name":"Train ID","value":"164-09"},{"id":16,"name":"Locomotive ID","value":"4026"},{"id":130,"name":"Impact","value":""},{"id":150,"name":"Time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</row>
    <row r="78" spans="1:38" s="1" customFormat="1" x14ac:dyDescent="0.25">
      <c r="A78" s="38" t="s">
        <v>476</v>
      </c>
      <c r="B78" s="7">
        <v>4031</v>
      </c>
      <c r="C78" s="23" t="s">
        <v>108</v>
      </c>
      <c r="D78" s="23" t="s">
        <v>477</v>
      </c>
      <c r="E78" s="15">
        <v>42622.48574074074</v>
      </c>
      <c r="F78" s="15">
        <v>42622.48978009259</v>
      </c>
      <c r="G78" s="7">
        <v>1</v>
      </c>
      <c r="H78" s="15" t="s">
        <v>319</v>
      </c>
      <c r="I78" s="15">
        <v>42622.515138888892</v>
      </c>
      <c r="J78" s="7">
        <v>1</v>
      </c>
      <c r="K78" s="114" t="str">
        <f t="shared" si="36"/>
        <v>4031/4032</v>
      </c>
      <c r="L78" s="23" t="str">
        <f>VLOOKUP(A78,'Trips&amp;Operators'!$C$1:$E$10000,3,FALSE)</f>
        <v>MOSES</v>
      </c>
      <c r="M78" s="6">
        <f t="shared" si="37"/>
        <v>2.5358796301588882E-2</v>
      </c>
      <c r="N78" s="7">
        <f t="shared" si="34"/>
        <v>36.51666667428799</v>
      </c>
      <c r="O78" s="7"/>
      <c r="P78" s="7"/>
      <c r="Q78" s="24"/>
      <c r="R78" s="24"/>
      <c r="S78" s="36">
        <f t="shared" si="35"/>
        <v>1</v>
      </c>
      <c r="T78" s="51" t="str">
        <f t="shared" si="38"/>
        <v>NorthBound</v>
      </c>
      <c r="U78" s="17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10:39:28-0600',mode:absolute,to:'2016-09-09 13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78" s="179" t="str">
        <f t="shared" si="40"/>
        <v>N</v>
      </c>
      <c r="X78" s="179">
        <f t="shared" si="33"/>
        <v>1</v>
      </c>
      <c r="Y78" s="66">
        <f t="shared" si="41"/>
        <v>4.9099999999999998E-2</v>
      </c>
      <c r="Z78" s="66">
        <f t="shared" si="42"/>
        <v>23.3306</v>
      </c>
      <c r="AA78" s="66">
        <f t="shared" si="43"/>
        <v>23.281500000000001</v>
      </c>
      <c r="AB78" s="63" t="e">
        <f>VLOOKUP(A78,Enforcements!$C$7:$K$21,8,0)</f>
        <v>#N/A</v>
      </c>
      <c r="AC78" s="59" t="e">
        <f>VLOOKUP(A78,Enforcements!$C$7:$E$21,3,0)</f>
        <v>#N/A</v>
      </c>
      <c r="AD78" s="60" t="str">
        <f t="shared" si="44"/>
        <v>0165-09</v>
      </c>
      <c r="AE78" s="96" t="str">
        <f t="shared" si="45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78" s="93" t="str">
        <f t="shared" si="46"/>
        <v>"C:\Program Files (x86)\AstroGrep\AstroGrep.exe" /spath="%USERPROFILE%\AppData\Local\Temp\OnboardLogs" /stypes="*4031*20160909*" /stext=" 18:.+((SYSTEM_STATE.+slice.+state.+changed )|(ment ac)|(system.+state.+changed )|(\|lc)|(penalty)|(\[timeout)|(PRM\|1\|D)|(kpr)|(kdp))" /e /r /s</v>
      </c>
      <c r="AG78" s="1" t="str">
        <f t="shared" si="47"/>
        <v>EC</v>
      </c>
      <c r="AH78" s="97" t="str">
        <f t="shared" si="48"/>
        <v>"%USERPROFILE%\Documents\GitHub\eaglep3\Utilities\RefineRTDCRunTimes.py" --tripid 165-09 --locoid 4031 --swversion DE.1.0.7.0 --startMP 204:491 --initTime 2016-09-09T11:39:28 --startdatetime 2016-09-09T11:45:17 --delay 1 --endMP 204:233306 --enddatetime 2016-09-09T12:21:48 --enforcementcount 1 &gt;&gt;C:\Users\stu\Documents\GitHub\eaglep3-reporting\EC\2016-09-09-refined-times.txt</v>
      </c>
      <c r="AI7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{"issue":{"subject":"","project_id":79,"tracker_id":40,"status_id":1,"priority_id":2,"assigned_to_id":23,"start_date":"2016-09-09","description":"","custom_fields":[{"id":1,"name":"Subdivision","value":"EC"},{"id":4,"name":"Milepost","value":"23.2815"},{"id":17,"name":"Train ID","value":"165-09"},{"id":16,"name":"Locomotive ID","value":"4031"},{"id":130,"name":"Impact","value":""},{"id":150,"name":"Time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</row>
    <row r="79" spans="1:38" s="1" customFormat="1" x14ac:dyDescent="0.25">
      <c r="A79" s="38" t="s">
        <v>478</v>
      </c>
      <c r="B79" s="7">
        <v>4032</v>
      </c>
      <c r="C79" s="23" t="s">
        <v>108</v>
      </c>
      <c r="D79" s="23" t="s">
        <v>307</v>
      </c>
      <c r="E79" s="15">
        <v>42622.525393518517</v>
      </c>
      <c r="F79" s="15">
        <v>42622.528796296298</v>
      </c>
      <c r="G79" s="7">
        <v>1</v>
      </c>
      <c r="H79" s="15" t="s">
        <v>479</v>
      </c>
      <c r="I79" s="15">
        <v>42622.556574074071</v>
      </c>
      <c r="J79" s="7">
        <v>1</v>
      </c>
      <c r="K79" s="114" t="str">
        <f t="shared" si="36"/>
        <v>4031/4032</v>
      </c>
      <c r="L79" s="23" t="str">
        <f>VLOOKUP(A79,'Trips&amp;Operators'!$C$1:$E$10000,3,FALSE)</f>
        <v>MOSES</v>
      </c>
      <c r="M79" s="6">
        <f t="shared" si="37"/>
        <v>2.7777777773735579E-2</v>
      </c>
      <c r="N79" s="7">
        <f t="shared" si="34"/>
        <v>39.999999994179234</v>
      </c>
      <c r="O79" s="7"/>
      <c r="P79" s="7"/>
      <c r="Q79" s="24"/>
      <c r="R79" s="24"/>
      <c r="S79" s="36">
        <f t="shared" si="35"/>
        <v>1</v>
      </c>
      <c r="T79" s="51" t="str">
        <f t="shared" si="38"/>
        <v>Southbound</v>
      </c>
      <c r="U79" s="17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11:36:34-0600',mode:absolute,to:'2016-09-09 14:21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79" s="179" t="str">
        <f t="shared" si="40"/>
        <v>N</v>
      </c>
      <c r="X79" s="179">
        <f t="shared" si="33"/>
        <v>1</v>
      </c>
      <c r="Y79" s="66">
        <f t="shared" si="41"/>
        <v>23.3</v>
      </c>
      <c r="Z79" s="66">
        <f t="shared" si="42"/>
        <v>1.38E-2</v>
      </c>
      <c r="AA79" s="66">
        <f t="shared" si="43"/>
        <v>23.286200000000001</v>
      </c>
      <c r="AB79" s="63" t="e">
        <f>VLOOKUP(A79,Enforcements!$C$7:$K$21,8,0)</f>
        <v>#N/A</v>
      </c>
      <c r="AC79" s="59" t="e">
        <f>VLOOKUP(A79,Enforcements!$C$7:$E$21,3,0)</f>
        <v>#N/A</v>
      </c>
      <c r="AD79" s="60" t="str">
        <f t="shared" si="44"/>
        <v>0166-09</v>
      </c>
      <c r="AE79" s="96" t="str">
        <f t="shared" si="45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79" s="93" t="str">
        <f t="shared" si="46"/>
        <v>"C:\Program Files (x86)\AstroGrep\AstroGrep.exe" /spath="%USERPROFILE%\AppData\Local\Temp\OnboardLogs" /stypes="*4032*20160909*" /stext=" 19:.+((SYSTEM_STATE.+slice.+state.+changed )|(ment ac)|(system.+state.+changed )|(\|lc)|(penalty)|(\[timeout)|(PRM\|1\|D)|(kpr)|(kdp))" /e /r /s</v>
      </c>
      <c r="AG79" s="1" t="str">
        <f t="shared" si="47"/>
        <v>EC</v>
      </c>
      <c r="AH79" s="97" t="str">
        <f t="shared" si="48"/>
        <v>"%USERPROFILE%\Documents\GitHub\eaglep3\Utilities\RefineRTDCRunTimes.py" --tripid 166-09 --locoid 4032 --swversion DE.1.0.7.0 --startMP 204:233000 --initTime 2016-09-09T12:36:34 --startdatetime 2016-09-09T12:41:28 --delay 1 --endMP 204:138 --enddatetime 2016-09-09T13:21:28 --enforcementcount 1 &gt;&gt;C:\Users\stu\Documents\GitHub\eaglep3-reporting\EC\2016-09-09-refined-times.txt</v>
      </c>
      <c r="AI7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{"issue":{"subject":"","project_id":79,"tracker_id":40,"status_id":1,"priority_id":2,"assigned_to_id":23,"start_date":"2016-09-09","description":"","custom_fields":[{"id":1,"name":"Subdivision","value":"EC"},{"id":4,"name":"Milepost","value":"23.2862"},{"id":17,"name":"Train ID","value":"166-09"},{"id":16,"name":"Locomotive ID","value":"4032"},{"id":130,"name":"Impact","value":""},{"id":150,"name":"Time of Event (Mountain Time)","value":"13:21:28"},{"id":151,"name":"Denver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</row>
    <row r="80" spans="1:38" s="1" customFormat="1" x14ac:dyDescent="0.25">
      <c r="A80" s="38" t="s">
        <v>480</v>
      </c>
      <c r="B80" s="7">
        <v>4018</v>
      </c>
      <c r="C80" s="23" t="s">
        <v>108</v>
      </c>
      <c r="D80" s="23" t="s">
        <v>315</v>
      </c>
      <c r="E80" s="15">
        <v>42622.494629629633</v>
      </c>
      <c r="F80" s="15">
        <v>42622.500393518516</v>
      </c>
      <c r="G80" s="7">
        <v>2</v>
      </c>
      <c r="H80" s="15" t="s">
        <v>265</v>
      </c>
      <c r="I80" s="15">
        <v>42622.525173611109</v>
      </c>
      <c r="J80" s="7">
        <v>1</v>
      </c>
      <c r="K80" s="114" t="str">
        <f t="shared" si="36"/>
        <v>4017/4018</v>
      </c>
      <c r="L80" s="23" t="str">
        <f>VLOOKUP(A80,'Trips&amp;Operators'!$C$1:$E$10000,3,FALSE)</f>
        <v>ADANE</v>
      </c>
      <c r="M80" s="6">
        <f t="shared" si="37"/>
        <v>2.4780092593573499E-2</v>
      </c>
      <c r="N80" s="7">
        <f t="shared" si="34"/>
        <v>35.683333334745839</v>
      </c>
      <c r="O80" s="7"/>
      <c r="P80" s="7"/>
      <c r="Q80" s="24"/>
      <c r="R80" s="24"/>
      <c r="S80" s="36">
        <f t="shared" si="35"/>
        <v>1</v>
      </c>
      <c r="T80" s="51" t="str">
        <f t="shared" si="38"/>
        <v>NorthBound</v>
      </c>
      <c r="U80" s="17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10:52:16-0600',mode:absolute,to:'2016-09-09 13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80" s="179" t="str">
        <f t="shared" si="40"/>
        <v>N</v>
      </c>
      <c r="X80" s="179">
        <f t="shared" si="33"/>
        <v>1</v>
      </c>
      <c r="Y80" s="66">
        <f t="shared" si="41"/>
        <v>4.58E-2</v>
      </c>
      <c r="Z80" s="66">
        <f t="shared" si="42"/>
        <v>23.330300000000001</v>
      </c>
      <c r="AA80" s="66">
        <f t="shared" si="43"/>
        <v>23.284500000000001</v>
      </c>
      <c r="AB80" s="63" t="e">
        <f>VLOOKUP(A80,Enforcements!$C$7:$K$21,8,0)</f>
        <v>#N/A</v>
      </c>
      <c r="AC80" s="59" t="e">
        <f>VLOOKUP(A80,Enforcements!$C$7:$E$21,3,0)</f>
        <v>#N/A</v>
      </c>
      <c r="AD80" s="60" t="str">
        <f t="shared" si="44"/>
        <v>0167-09</v>
      </c>
      <c r="AE80" s="96" t="str">
        <f t="shared" si="45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80" s="93" t="str">
        <f t="shared" si="46"/>
        <v>"C:\Program Files (x86)\AstroGrep\AstroGrep.exe" /spath="%USERPROFILE%\AppData\Local\Temp\OnboardLogs" /stypes="*4018*20160909*" /stext=" 18:.+((SYSTEM_STATE.+slice.+state.+changed )|(ment ac)|(system.+state.+changed )|(\|lc)|(penalty)|(\[timeout)|(PRM\|1\|D)|(kpr)|(kdp))" /e /r /s</v>
      </c>
      <c r="AG80" s="1" t="str">
        <f t="shared" si="47"/>
        <v>EC</v>
      </c>
      <c r="AH80" s="97" t="str">
        <f t="shared" si="48"/>
        <v>"%USERPROFILE%\Documents\GitHub\eaglep3\Utilities\RefineRTDCRunTimes.py" --tripid 167-09 --locoid 4018 --swversion DE.1.0.7.0 --startMP 204:458 --initTime 2016-09-09T11:52:16 --startdatetime 2016-09-09T12:00:34 --delay 2 --endMP 204:233303 --enddatetime 2016-09-09T12:36:15 --enforcementcount 1 &gt;&gt;C:\Users\stu\Documents\GitHub\eaglep3-reporting\EC\2016-09-09-refined-times.txt</v>
      </c>
      <c r="AI8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{"issue":{"subject":"","project_id":79,"tracker_id":40,"status_id":1,"priority_id":2,"assigned_to_id":23,"start_date":"2016-09-09","description":"","custom_fields":[{"id":1,"name":"Subdivision","value":"EC"},{"id":4,"name":"Milepost","value":"23.2845"},{"id":17,"name":"Train ID","value":"167-09"},{"id":16,"name":"Locomotive ID","value":"4018"},{"id":130,"name":"Impact","value":""},{"id":150,"name":"Time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</row>
    <row r="81" spans="1:38" s="1" customFormat="1" x14ac:dyDescent="0.25">
      <c r="A81" s="38" t="s">
        <v>481</v>
      </c>
      <c r="B81" s="7">
        <v>4017</v>
      </c>
      <c r="C81" s="23" t="s">
        <v>108</v>
      </c>
      <c r="D81" s="23" t="s">
        <v>465</v>
      </c>
      <c r="E81" s="15">
        <v>42622.537094907406</v>
      </c>
      <c r="F81" s="15">
        <v>42622.539363425924</v>
      </c>
      <c r="G81" s="7">
        <v>1</v>
      </c>
      <c r="H81" s="15" t="s">
        <v>270</v>
      </c>
      <c r="I81" s="15">
        <v>42622.566828703704</v>
      </c>
      <c r="J81" s="7">
        <v>1</v>
      </c>
      <c r="K81" s="114" t="str">
        <f t="shared" si="36"/>
        <v>4017/4018</v>
      </c>
      <c r="L81" s="23" t="str">
        <f>VLOOKUP(A81,'Trips&amp;Operators'!$C$1:$E$10000,3,FALSE)</f>
        <v>ADANE</v>
      </c>
      <c r="M81" s="6">
        <f t="shared" si="37"/>
        <v>2.7465277780720498E-2</v>
      </c>
      <c r="N81" s="7">
        <f t="shared" si="34"/>
        <v>39.550000004237518</v>
      </c>
      <c r="O81" s="7"/>
      <c r="P81" s="7"/>
      <c r="Q81" s="24"/>
      <c r="R81" s="24"/>
      <c r="S81" s="36">
        <f t="shared" si="35"/>
        <v>1</v>
      </c>
      <c r="T81" s="51" t="str">
        <f t="shared" si="38"/>
        <v>Southbound</v>
      </c>
      <c r="U81" s="17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11:53:25-0600',mode:absolute,to:'2016-09-09 14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81" s="179" t="str">
        <f t="shared" si="40"/>
        <v>N</v>
      </c>
      <c r="X81" s="179">
        <f t="shared" si="33"/>
        <v>1</v>
      </c>
      <c r="Y81" s="66">
        <f t="shared" si="41"/>
        <v>23.297799999999999</v>
      </c>
      <c r="Z81" s="66">
        <f t="shared" si="42"/>
        <v>1.61E-2</v>
      </c>
      <c r="AA81" s="66">
        <f t="shared" si="43"/>
        <v>23.281699999999997</v>
      </c>
      <c r="AB81" s="63" t="e">
        <f>VLOOKUP(A81,Enforcements!$C$7:$K$21,8,0)</f>
        <v>#N/A</v>
      </c>
      <c r="AC81" s="59" t="e">
        <f>VLOOKUP(A81,Enforcements!$C$7:$E$21,3,0)</f>
        <v>#N/A</v>
      </c>
      <c r="AD81" s="60" t="str">
        <f t="shared" si="44"/>
        <v>0168-09</v>
      </c>
      <c r="AE81" s="96" t="str">
        <f t="shared" si="45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81" s="93" t="str">
        <f t="shared" si="46"/>
        <v>"C:\Program Files (x86)\AstroGrep\AstroGrep.exe" /spath="%USERPROFILE%\AppData\Local\Temp\OnboardLogs" /stypes="*4017*20160909*" /stext=" 19:.+((SYSTEM_STATE.+slice.+state.+changed )|(ment ac)|(system.+state.+changed )|(\|lc)|(penalty)|(\[timeout)|(PRM\|1\|D)|(kpr)|(kdp))" /e /r /s</v>
      </c>
      <c r="AG81" s="1" t="str">
        <f t="shared" si="47"/>
        <v>EC</v>
      </c>
      <c r="AH81" s="97" t="str">
        <f t="shared" si="48"/>
        <v>"%USERPROFILE%\Documents\GitHub\eaglep3\Utilities\RefineRTDCRunTimes.py" --tripid 168-09 --locoid 4017 --swversion DE.1.0.7.0 --startMP 204:232978 --initTime 2016-09-09T12:53:25 --startdatetime 2016-09-09T12:56:41 --delay 1 --endMP 204:161 --enddatetime 2016-09-09T13:36:14 --enforcementcount 1 &gt;&gt;C:\Users\stu\Documents\GitHub\eaglep3-reporting\EC\2016-09-09-refined-times.txt</v>
      </c>
      <c r="AI8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{"issue":{"subject":"","project_id":79,"tracker_id":40,"status_id":1,"priority_id":2,"assigned_to_id":23,"start_date":"2016-09-09","description":"","custom_fields":[{"id":1,"name":"Subdivision","value":"EC"},{"id":4,"name":"Milepost","value":"23.2817"},{"id":17,"name":"Train ID","value":"168-09"},{"id":16,"name":"Locomotive ID","value":"4017"},{"id":130,"name":"Impact","value":""},{"id":150,"name":"Time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</row>
    <row r="82" spans="1:38" s="1" customFormat="1" x14ac:dyDescent="0.25">
      <c r="A82" s="38" t="s">
        <v>482</v>
      </c>
      <c r="B82" s="7">
        <v>4009</v>
      </c>
      <c r="C82" s="23" t="s">
        <v>108</v>
      </c>
      <c r="D82" s="23" t="s">
        <v>308</v>
      </c>
      <c r="E82" s="15">
        <v>42622.504826388889</v>
      </c>
      <c r="F82" s="15">
        <v>42622.510567129626</v>
      </c>
      <c r="G82" s="7">
        <v>1</v>
      </c>
      <c r="H82" s="15" t="s">
        <v>483</v>
      </c>
      <c r="I82" s="15">
        <v>42622.536643518521</v>
      </c>
      <c r="J82" s="7">
        <v>1</v>
      </c>
      <c r="K82" s="114" t="str">
        <f t="shared" si="36"/>
        <v>4009/4010</v>
      </c>
      <c r="L82" s="23" t="str">
        <f>VLOOKUP(A82,'Trips&amp;Operators'!$C$1:$E$10000,3,FALSE)</f>
        <v>SHOOK</v>
      </c>
      <c r="M82" s="6">
        <f t="shared" si="37"/>
        <v>2.6076388894580305E-2</v>
      </c>
      <c r="N82" s="7">
        <f t="shared" si="34"/>
        <v>37.550000008195639</v>
      </c>
      <c r="O82" s="7"/>
      <c r="P82" s="7"/>
      <c r="Q82" s="24"/>
      <c r="R82" s="24"/>
      <c r="S82" s="36">
        <f t="shared" si="35"/>
        <v>1</v>
      </c>
      <c r="T82" s="51" t="str">
        <f t="shared" si="38"/>
        <v>NorthBound</v>
      </c>
      <c r="U82" s="17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11:06:57-0600',mode:absolute,to:'2016-09-09 13:52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82" s="179" t="str">
        <f t="shared" si="40"/>
        <v>N</v>
      </c>
      <c r="X82" s="179">
        <f t="shared" si="33"/>
        <v>1</v>
      </c>
      <c r="Y82" s="66">
        <f t="shared" si="41"/>
        <v>4.4200000000000003E-2</v>
      </c>
      <c r="Z82" s="66">
        <f t="shared" si="42"/>
        <v>23.336300000000001</v>
      </c>
      <c r="AA82" s="66">
        <f t="shared" si="43"/>
        <v>23.292100000000001</v>
      </c>
      <c r="AB82" s="63" t="e">
        <f>VLOOKUP(A82,Enforcements!$C$7:$K$21,8,0)</f>
        <v>#N/A</v>
      </c>
      <c r="AC82" s="59" t="e">
        <f>VLOOKUP(A82,Enforcements!$C$7:$E$21,3,0)</f>
        <v>#N/A</v>
      </c>
      <c r="AD82" s="60" t="str">
        <f t="shared" si="44"/>
        <v>0169-09</v>
      </c>
      <c r="AE82" s="96" t="str">
        <f t="shared" si="45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82" s="93" t="str">
        <f t="shared" si="46"/>
        <v>"C:\Program Files (x86)\AstroGrep\AstroGrep.exe" /spath="%USERPROFILE%\AppData\Local\Temp\OnboardLogs" /stypes="*4009*20160909*" /stext=" 18:.+((SYSTEM_STATE.+slice.+state.+changed )|(ment ac)|(system.+state.+changed )|(\|lc)|(penalty)|(\[timeout)|(PRM\|1\|D)|(kpr)|(kdp))" /e /r /s</v>
      </c>
      <c r="AG82" s="1" t="str">
        <f t="shared" si="47"/>
        <v>EC</v>
      </c>
      <c r="AH82" s="97" t="str">
        <f t="shared" si="48"/>
        <v>"%USERPROFILE%\Documents\GitHub\eaglep3\Utilities\RefineRTDCRunTimes.py" --tripid 169-09 --locoid 4009 --swversion DE.1.0.7.0 --startMP 204:442 --initTime 2016-09-09T12:06:57 --startdatetime 2016-09-09T12:15:13 --delay 1 --endMP 204:233363 --enddatetime 2016-09-09T12:52:46 --enforcementcount 1 &gt;&gt;C:\Users\stu\Documents\GitHub\eaglep3-reporting\EC\2016-09-09-refined-times.txt</v>
      </c>
      <c r="AI8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{"issue":{"subject":"","project_id":79,"tracker_id":40,"status_id":1,"priority_id":2,"assigned_to_id":23,"start_date":"2016-09-09","description":"","custom_fields":[{"id":1,"name":"Subdivision","value":"EC"},{"id":4,"name":"Milepost","value":"23.2921"},{"id":17,"name":"Train ID","value":"169-09"},{"id":16,"name":"Locomotive ID","value":"4009"},{"id":130,"name":"Impact","value":""},{"id":150,"name":"Time of Event (Mountain Time)","value":"12:52:46"},{"id":151,"name":"Denver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</row>
    <row r="83" spans="1:38" s="1" customFormat="1" x14ac:dyDescent="0.25">
      <c r="A83" s="38" t="s">
        <v>484</v>
      </c>
      <c r="B83" s="7">
        <v>4010</v>
      </c>
      <c r="C83" s="23" t="s">
        <v>108</v>
      </c>
      <c r="D83" s="23" t="s">
        <v>485</v>
      </c>
      <c r="E83" s="15">
        <v>42622.545138888891</v>
      </c>
      <c r="F83" s="15">
        <v>42622.549513888887</v>
      </c>
      <c r="G83" s="7">
        <v>1</v>
      </c>
      <c r="H83" s="15" t="s">
        <v>486</v>
      </c>
      <c r="I83" s="15">
        <v>42622.576099537036</v>
      </c>
      <c r="J83" s="7">
        <v>1</v>
      </c>
      <c r="K83" s="114" t="str">
        <f t="shared" si="36"/>
        <v>4009/4010</v>
      </c>
      <c r="L83" s="23" t="str">
        <f>VLOOKUP(A83,'Trips&amp;Operators'!$C$1:$E$10000,3,FALSE)</f>
        <v>SHOOK</v>
      </c>
      <c r="M83" s="6">
        <f t="shared" si="37"/>
        <v>2.658564814919373E-2</v>
      </c>
      <c r="N83" s="7"/>
      <c r="O83" s="7"/>
      <c r="P83" s="7">
        <f>24*60*SUM($M83:$M83)</f>
        <v>38.283333334838971</v>
      </c>
      <c r="Q83" s="24"/>
      <c r="R83" s="24" t="s">
        <v>746</v>
      </c>
      <c r="S83" s="36">
        <f t="shared" si="35"/>
        <v>1</v>
      </c>
      <c r="T83" s="177" t="str">
        <f t="shared" si="38"/>
        <v>Southbound</v>
      </c>
      <c r="U83" s="17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12:05:00-0600',mode:absolute,to:'2016-09-09 14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83" s="179" t="str">
        <f t="shared" si="40"/>
        <v>Y</v>
      </c>
      <c r="X83" s="179">
        <f t="shared" ref="X83:X99" si="50">VALUE(LEFT(AD83,4))-VALUE(LEFT(AD82,4))</f>
        <v>1</v>
      </c>
      <c r="Y83" s="66">
        <f t="shared" si="41"/>
        <v>23.306999999999999</v>
      </c>
      <c r="Z83" s="66">
        <f t="shared" si="42"/>
        <v>0.87739999999999996</v>
      </c>
      <c r="AA83" s="66">
        <f t="shared" si="43"/>
        <v>22.429599999999997</v>
      </c>
      <c r="AB83" s="63" t="e">
        <f>VLOOKUP(A83,Enforcements!$C$7:$K$21,8,0)</f>
        <v>#N/A</v>
      </c>
      <c r="AC83" s="59" t="e">
        <f>VLOOKUP(A83,Enforcements!$C$7:$E$21,3,0)</f>
        <v>#N/A</v>
      </c>
      <c r="AD83" s="60" t="str">
        <f t="shared" si="44"/>
        <v>0170-09</v>
      </c>
      <c r="AE83" s="96" t="str">
        <f t="shared" si="45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83" s="93" t="str">
        <f t="shared" si="46"/>
        <v>"C:\Program Files (x86)\AstroGrep\AstroGrep.exe" /spath="%USERPROFILE%\AppData\Local\Temp\OnboardLogs" /stypes="*4010*20160909*" /stext=" 19:.+((SYSTEM_STATE.+slice.+state.+changed )|(ment ac)|(system.+state.+changed )|(\|lc)|(penalty)|(\[timeout)|(PRM\|1\|D)|(kpr)|(kdp))" /e /r /s</v>
      </c>
      <c r="AG83" s="1" t="str">
        <f t="shared" si="47"/>
        <v>EC</v>
      </c>
      <c r="AH83" s="97" t="str">
        <f t="shared" si="48"/>
        <v>"%USERPROFILE%\Documents\GitHub\eaglep3\Utilities\RefineRTDCRunTimes.py" --tripid 170-09 --locoid 4010 --swversion DE.1.0.7.0 --startMP 204:233070 --initTime 2016-09-09T13:05:00 --startdatetime 2016-09-09T13:11:18 --delay 1 --endMP 204:8774 --enddatetime 2016-09-09T13:49:35 --enforcementcount 1 &gt;&gt;C:\Users\stu\Documents\GitHub\eaglep3-reporting\EC\2016-09-09-refined-times.txt</v>
      </c>
      <c r="AI83" s="129" t="str">
        <f t="shared" si="49"/>
        <v>echo {"issue":{"subject":"DUS 22S "stuck" at STOP…","project_id":79,"tracker_id":40,"status_id":1,"priority_id":2,"assigned_to_id":23,"start_date":"2016-09-09","description":"","custom_fields":[{"id":1,"name":"Subdivision","value":"EC"},{"id":4,"name":"Milepost","value":"22.4296"},{"id":17,"name":"Train ID","value":"170-09"},{"id":16,"name":"Locomotive ID","value":"4010"},{"id":130,"name":"Impact","value":""},{"id":150,"name":"Time of Event (Mountain Time)","value":"13:49:35"},{"id":151,"name":"Denver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</row>
    <row r="84" spans="1:38" x14ac:dyDescent="0.25">
      <c r="A84" s="38" t="s">
        <v>487</v>
      </c>
      <c r="B84" s="7">
        <v>4020</v>
      </c>
      <c r="C84" s="23" t="s">
        <v>108</v>
      </c>
      <c r="D84" s="23" t="s">
        <v>252</v>
      </c>
      <c r="E84" s="15">
        <v>42622.517766203702</v>
      </c>
      <c r="F84" s="15">
        <v>42622.521145833336</v>
      </c>
      <c r="G84" s="7">
        <v>1</v>
      </c>
      <c r="H84" s="15" t="s">
        <v>349</v>
      </c>
      <c r="I84" s="15">
        <v>42622.546134259261</v>
      </c>
      <c r="J84" s="7">
        <v>1</v>
      </c>
      <c r="K84" s="114" t="str">
        <f t="shared" si="36"/>
        <v>4019/4020</v>
      </c>
      <c r="L84" s="23" t="str">
        <f>VLOOKUP(A84,'Trips&amp;Operators'!$C$1:$E$10000,3,FALSE)</f>
        <v>ISHMAEL</v>
      </c>
      <c r="M84" s="6">
        <f t="shared" si="37"/>
        <v>2.4988425924675539E-2</v>
      </c>
      <c r="N84" s="7">
        <f>24*60*SUM($M84:$M84)</f>
        <v>35.983333331532776</v>
      </c>
      <c r="O84" s="7"/>
      <c r="P84" s="7"/>
      <c r="Q84" s="24"/>
      <c r="R84" s="24"/>
      <c r="S84" s="36">
        <f t="shared" si="35"/>
        <v>1</v>
      </c>
      <c r="T84" s="51" t="str">
        <f t="shared" si="38"/>
        <v>NorthBound</v>
      </c>
      <c r="U84" s="17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11:25:35-0600',mode:absolute,to:'2016-09-09 14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84" s="179" t="str">
        <f t="shared" si="40"/>
        <v>N</v>
      </c>
      <c r="X84" s="179">
        <f t="shared" si="50"/>
        <v>1</v>
      </c>
      <c r="Y84" s="66">
        <f t="shared" si="41"/>
        <v>4.53E-2</v>
      </c>
      <c r="Z84" s="66">
        <f t="shared" si="42"/>
        <v>23.329499999999999</v>
      </c>
      <c r="AA84" s="66">
        <f t="shared" si="43"/>
        <v>23.284199999999998</v>
      </c>
      <c r="AB84" s="63" t="e">
        <f>VLOOKUP(A84,Enforcements!$C$7:$K$21,8,0)</f>
        <v>#N/A</v>
      </c>
      <c r="AC84" s="59" t="e">
        <f>VLOOKUP(A84,Enforcements!$C$7:$E$21,3,0)</f>
        <v>#N/A</v>
      </c>
      <c r="AD84" s="60" t="str">
        <f t="shared" si="44"/>
        <v>0171-09</v>
      </c>
      <c r="AE84" s="96" t="str">
        <f t="shared" si="45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84" s="93" t="str">
        <f t="shared" si="46"/>
        <v>"C:\Program Files (x86)\AstroGrep\AstroGrep.exe" /spath="%USERPROFILE%\AppData\Local\Temp\OnboardLogs" /stypes="*4020*20160909*" /stext=" 19:.+((SYSTEM_STATE.+slice.+state.+changed )|(ment ac)|(system.+state.+changed )|(\|lc)|(penalty)|(\[timeout)|(PRM\|1\|D)|(kpr)|(kdp))" /e /r /s</v>
      </c>
      <c r="AG84" s="1" t="str">
        <f t="shared" si="47"/>
        <v>EC</v>
      </c>
      <c r="AH84" s="97" t="str">
        <f t="shared" si="48"/>
        <v>"%USERPROFILE%\Documents\GitHub\eaglep3\Utilities\RefineRTDCRunTimes.py" --tripid 171-09 --locoid 4020 --swversion DE.1.0.7.0 --startMP 204:453 --initTime 2016-09-09T12:25:35 --startdatetime 2016-09-09T12:30:27 --delay 1 --endMP 204:233295 --enddatetime 2016-09-09T13:06:26 --enforcementcount 1 &gt;&gt;C:\Users\stu\Documents\GitHub\eaglep3-reporting\EC\2016-09-09-refined-times.txt</v>
      </c>
      <c r="AI8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{"issue":{"subject":"","project_id":79,"tracker_id":40,"status_id":1,"priority_id":2,"assigned_to_id":23,"start_date":"2016-09-09","description":"","custom_fields":[{"id":1,"name":"Subdivision","value":"EC"},{"id":4,"name":"Milepost","value":"23.2842"},{"id":17,"name":"Train ID","value":"171-09"},{"id":16,"name":"Locomotive ID","value":"4020"},{"id":130,"name":"Impact","value":""},{"id":150,"name":"Time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</row>
    <row r="85" spans="1:38" s="1" customFormat="1" x14ac:dyDescent="0.25">
      <c r="A85" s="38" t="s">
        <v>488</v>
      </c>
      <c r="B85" s="7">
        <v>4019</v>
      </c>
      <c r="C85" s="23" t="s">
        <v>108</v>
      </c>
      <c r="D85" s="23" t="s">
        <v>274</v>
      </c>
      <c r="E85" s="15">
        <v>42622.554490740738</v>
      </c>
      <c r="F85" s="15">
        <v>42622.560011574074</v>
      </c>
      <c r="G85" s="7">
        <v>1</v>
      </c>
      <c r="H85" s="15" t="s">
        <v>489</v>
      </c>
      <c r="I85" s="15">
        <v>42622.588425925926</v>
      </c>
      <c r="J85" s="7">
        <v>1</v>
      </c>
      <c r="K85" s="114" t="str">
        <f t="shared" si="36"/>
        <v>4019/4020</v>
      </c>
      <c r="L85" s="23" t="str">
        <f>VLOOKUP(A85,'Trips&amp;Operators'!$C$1:$E$10000,3,FALSE)</f>
        <v>ISHMAEL</v>
      </c>
      <c r="M85" s="6">
        <f t="shared" si="37"/>
        <v>2.8414351851097308E-2</v>
      </c>
      <c r="N85" s="7"/>
      <c r="O85" s="7"/>
      <c r="P85" s="7">
        <f>24*60*SUM($M85:$M85)</f>
        <v>40.916666665580124</v>
      </c>
      <c r="Q85" s="24"/>
      <c r="R85" s="24" t="s">
        <v>746</v>
      </c>
      <c r="S85" s="36">
        <f t="shared" si="35"/>
        <v>1</v>
      </c>
      <c r="T85" s="177" t="str">
        <f t="shared" si="38"/>
        <v>Southbound</v>
      </c>
      <c r="U85" s="17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12:18:28-0600',mode:absolute,to:'2016-09-09 15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85" s="179" t="str">
        <f t="shared" si="40"/>
        <v>Y</v>
      </c>
      <c r="X85" s="179">
        <f t="shared" si="50"/>
        <v>1</v>
      </c>
      <c r="Y85" s="66">
        <f t="shared" si="41"/>
        <v>23.296099999999999</v>
      </c>
      <c r="Z85" s="66">
        <f t="shared" si="42"/>
        <v>0.49020000000000002</v>
      </c>
      <c r="AA85" s="66">
        <f t="shared" si="43"/>
        <v>22.805899999999998</v>
      </c>
      <c r="AB85" s="63" t="e">
        <f>VLOOKUP(A85,Enforcements!$C$7:$K$21,8,0)</f>
        <v>#N/A</v>
      </c>
      <c r="AC85" s="59" t="e">
        <f>VLOOKUP(A85,Enforcements!$C$7:$E$21,3,0)</f>
        <v>#N/A</v>
      </c>
      <c r="AD85" s="60" t="str">
        <f t="shared" si="44"/>
        <v>0172-09</v>
      </c>
      <c r="AE85" s="96" t="str">
        <f t="shared" si="45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85" s="93" t="str">
        <f t="shared" si="46"/>
        <v>"C:\Program Files (x86)\AstroGrep\AstroGrep.exe" /spath="%USERPROFILE%\AppData\Local\Temp\OnboardLogs" /stypes="*4019*20160909*" /stext=" 20:.+((SYSTEM_STATE.+slice.+state.+changed )|(ment ac)|(system.+state.+changed )|(\|lc)|(penalty)|(\[timeout)|(PRM\|1\|D)|(kpr)|(kdp))" /e /r /s</v>
      </c>
      <c r="AG85" s="1" t="str">
        <f t="shared" si="47"/>
        <v>EC</v>
      </c>
      <c r="AH85" s="97" t="str">
        <f t="shared" si="48"/>
        <v>"%USERPROFILE%\Documents\GitHub\eaglep3\Utilities\RefineRTDCRunTimes.py" --tripid 172-09 --locoid 4019 --swversion DE.1.0.7.0 --startMP 204:232961 --initTime 2016-09-09T13:18:28 --startdatetime 2016-09-09T13:26:25 --delay 1 --endMP 204:4902 --enddatetime 2016-09-09T14:07:20 --enforcementcount 1 &gt;&gt;C:\Users\stu\Documents\GitHub\eaglep3-reporting\EC\2016-09-09-refined-times.txt</v>
      </c>
      <c r="AI85" s="129" t="str">
        <f t="shared" si="49"/>
        <v>echo {"issue":{"subject":"DUS 22S "stuck" at STOP…","project_id":79,"tracker_id":40,"status_id":1,"priority_id":2,"assigned_to_id":23,"start_date":"2016-09-09","description":"","custom_fields":[{"id":1,"name":"Subdivision","value":"EC"},{"id":4,"name":"Milepost","value":"22.8059"},{"id":17,"name":"Train ID","value":"172-09"},{"id":16,"name":"Locomotive ID","value":"4019"},{"id":130,"name":"Impact","value":""},{"id":150,"name":"Time of Event (Mountain Time)","value":"14:07:20"},{"id":151,"name":"Denver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</row>
    <row r="86" spans="1:38" s="1" customFormat="1" x14ac:dyDescent="0.25">
      <c r="A86" s="38" t="s">
        <v>490</v>
      </c>
      <c r="B86" s="7">
        <v>4011</v>
      </c>
      <c r="C86" s="23" t="s">
        <v>108</v>
      </c>
      <c r="D86" s="23" t="s">
        <v>352</v>
      </c>
      <c r="E86" s="15">
        <v>42622.529594907406</v>
      </c>
      <c r="F86" s="15">
        <v>42622.531909722224</v>
      </c>
      <c r="G86" s="7">
        <v>2</v>
      </c>
      <c r="H86" s="15" t="s">
        <v>306</v>
      </c>
      <c r="I86" s="15">
        <v>42622.557476851849</v>
      </c>
      <c r="J86" s="7">
        <v>1</v>
      </c>
      <c r="K86" s="114" t="str">
        <f t="shared" si="36"/>
        <v>4011/4012</v>
      </c>
      <c r="L86" s="23" t="str">
        <f>VLOOKUP(A86,'Trips&amp;Operators'!$C$1:$E$10000,3,FALSE)</f>
        <v>STEWART</v>
      </c>
      <c r="M86" s="6">
        <f t="shared" si="37"/>
        <v>2.5567129625414964E-2</v>
      </c>
      <c r="N86" s="7">
        <f t="shared" ref="N86:N97" si="51">24*60*SUM($M86:$M86)</f>
        <v>36.816666660597548</v>
      </c>
      <c r="O86" s="7"/>
      <c r="P86" s="7"/>
      <c r="Q86" s="24"/>
      <c r="R86" s="24"/>
      <c r="S86" s="36">
        <f t="shared" si="35"/>
        <v>1</v>
      </c>
      <c r="T86" s="51" t="str">
        <f t="shared" si="38"/>
        <v>NorthBound</v>
      </c>
      <c r="U86" s="17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11:42:37-0600',mode:absolute,to:'2016-09-09 14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86" s="179" t="str">
        <f t="shared" si="40"/>
        <v>N</v>
      </c>
      <c r="X86" s="179">
        <f t="shared" si="50"/>
        <v>1</v>
      </c>
      <c r="Y86" s="66">
        <f t="shared" si="41"/>
        <v>4.5999999999999999E-2</v>
      </c>
      <c r="Z86" s="66">
        <f t="shared" si="42"/>
        <v>23.331</v>
      </c>
      <c r="AA86" s="66">
        <f t="shared" si="43"/>
        <v>23.285</v>
      </c>
      <c r="AB86" s="63" t="e">
        <f>VLOOKUP(A86,Enforcements!$C$7:$K$21,8,0)</f>
        <v>#N/A</v>
      </c>
      <c r="AC86" s="59" t="e">
        <f>VLOOKUP(A86,Enforcements!$C$7:$E$21,3,0)</f>
        <v>#N/A</v>
      </c>
      <c r="AD86" s="60" t="str">
        <f t="shared" si="44"/>
        <v>0173-09</v>
      </c>
      <c r="AE86" s="96" t="str">
        <f t="shared" si="45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86" s="93" t="str">
        <f t="shared" si="46"/>
        <v>"C:\Program Files (x86)\AstroGrep\AstroGrep.exe" /spath="%USERPROFILE%\AppData\Local\Temp\OnboardLogs" /stypes="*4011*20160909*" /stext=" 19:.+((SYSTEM_STATE.+slice.+state.+changed )|(ment ac)|(system.+state.+changed )|(\|lc)|(penalty)|(\[timeout)|(PRM\|1\|D)|(kpr)|(kdp))" /e /r /s</v>
      </c>
      <c r="AG86" s="1" t="str">
        <f t="shared" si="47"/>
        <v>EC</v>
      </c>
      <c r="AH86" s="97" t="str">
        <f t="shared" si="48"/>
        <v>"%USERPROFILE%\Documents\GitHub\eaglep3\Utilities\RefineRTDCRunTimes.py" --tripid 173-09 --locoid 4011 --swversion DE.1.0.7.0 --startMP 204:460 --initTime 2016-09-09T12:42:37 --startdatetime 2016-09-09T12:45:57 --delay 2 --endMP 204:233310 --enddatetime 2016-09-09T13:22:46 --enforcementcount 1 &gt;&gt;C:\Users\stu\Documents\GitHub\eaglep3-reporting\EC\2016-09-09-refined-times.txt</v>
      </c>
      <c r="AI86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{"issue":{"subject":"","project_id":79,"tracker_id":40,"status_id":1,"priority_id":2,"assigned_to_id":23,"start_date":"2016-09-09","description":"","custom_fields":[{"id":1,"name":"Subdivision","value":"EC"},{"id":4,"name":"Milepost","value":"23.285"},{"id":17,"name":"Train ID","value":"173-09"},{"id":16,"name":"Locomotive ID","value":"4011"},{"id":130,"name":"Impact","value":""},{"id":150,"name":"Time of Event (Mountain Time)","value":"13:22:46"},{"id":151,"name":"Denver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</row>
    <row r="87" spans="1:38" s="1" customFormat="1" x14ac:dyDescent="0.25">
      <c r="A87" s="38" t="s">
        <v>491</v>
      </c>
      <c r="B87" s="7">
        <v>4012</v>
      </c>
      <c r="C87" s="23" t="s">
        <v>108</v>
      </c>
      <c r="D87" s="23" t="s">
        <v>492</v>
      </c>
      <c r="E87" s="15">
        <v>42622.568969907406</v>
      </c>
      <c r="F87" s="15">
        <v>42622.570671296293</v>
      </c>
      <c r="G87" s="7">
        <v>1</v>
      </c>
      <c r="H87" s="15" t="s">
        <v>240</v>
      </c>
      <c r="I87" s="15">
        <v>42622.598356481481</v>
      </c>
      <c r="J87" s="7">
        <v>1</v>
      </c>
      <c r="K87" s="114" t="str">
        <f t="shared" si="36"/>
        <v>4011/4012</v>
      </c>
      <c r="L87" s="23" t="str">
        <f>VLOOKUP(A87,'Trips&amp;Operators'!$C$1:$E$10000,3,FALSE)</f>
        <v>STEWART</v>
      </c>
      <c r="M87" s="6">
        <f t="shared" si="37"/>
        <v>2.768518518860219E-2</v>
      </c>
      <c r="N87" s="7">
        <f t="shared" si="51"/>
        <v>39.866666671587154</v>
      </c>
      <c r="O87" s="7"/>
      <c r="P87" s="7"/>
      <c r="Q87" s="24"/>
      <c r="R87" s="24"/>
      <c r="S87" s="36">
        <f t="shared" ref="S87:S118" si="52">SUM(U87:U87)/IF(AG87="EC",12,1)</f>
        <v>1</v>
      </c>
      <c r="T87" s="51" t="str">
        <f t="shared" si="38"/>
        <v>Southbound</v>
      </c>
      <c r="U87" s="17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12:39:19-0600',mode:absolute,to:'2016-09-09 15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7" s="179" t="str">
        <f t="shared" si="40"/>
        <v>N</v>
      </c>
      <c r="X87" s="179">
        <f t="shared" si="50"/>
        <v>1</v>
      </c>
      <c r="Y87" s="66">
        <f t="shared" si="41"/>
        <v>23.300599999999999</v>
      </c>
      <c r="Z87" s="66">
        <f t="shared" si="42"/>
        <v>1.49E-2</v>
      </c>
      <c r="AA87" s="66">
        <f t="shared" si="43"/>
        <v>23.285699999999999</v>
      </c>
      <c r="AB87" s="63" t="e">
        <f>VLOOKUP(A87,Enforcements!$C$7:$K$21,8,0)</f>
        <v>#N/A</v>
      </c>
      <c r="AC87" s="59" t="e">
        <f>VLOOKUP(A87,Enforcements!$C$7:$E$21,3,0)</f>
        <v>#N/A</v>
      </c>
      <c r="AD87" s="60" t="str">
        <f t="shared" si="44"/>
        <v>0174-09</v>
      </c>
      <c r="AE87" s="96" t="str">
        <f t="shared" si="45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87" s="93" t="str">
        <f t="shared" si="46"/>
        <v>"C:\Program Files (x86)\AstroGrep\AstroGrep.exe" /spath="%USERPROFILE%\AppData\Local\Temp\OnboardLogs" /stypes="*4012*20160909*" /stext=" 20:.+((SYSTEM_STATE.+slice.+state.+changed )|(ment ac)|(system.+state.+changed )|(\|lc)|(penalty)|(\[timeout)|(PRM\|1\|D)|(kpr)|(kdp))" /e /r /s</v>
      </c>
      <c r="AG87" s="1" t="str">
        <f t="shared" si="47"/>
        <v>EC</v>
      </c>
      <c r="AH87" s="97" t="str">
        <f t="shared" si="48"/>
        <v>"%USERPROFILE%\Documents\GitHub\eaglep3\Utilities\RefineRTDCRunTimes.py" --tripid 174-09 --locoid 4012 --swversion DE.1.0.7.0 --startMP 204:233006 --initTime 2016-09-09T13:39:19 --startdatetime 2016-09-09T13:41:46 --delay 1 --endMP 204:149 --enddatetime 2016-09-09T14:21:38 --enforcementcount 1 &gt;&gt;C:\Users\stu\Documents\GitHub\eaglep3-reporting\EC\2016-09-09-refined-times.txt</v>
      </c>
      <c r="AI8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{"issue":{"subject":"","project_id":79,"tracker_id":40,"status_id":1,"priority_id":2,"assigned_to_id":23,"start_date":"2016-09-09","description":"","custom_fields":[{"id":1,"name":"Subdivision","value":"EC"},{"id":4,"name":"Milepost","value":"23.2857"},{"id":17,"name":"Train ID","value":"174-09"},{"id":16,"name":"Locomotive ID","value":"4012"},{"id":130,"name":"Impact","value":""},{"id":150,"name":"Time of Event (Mountain Time)","value":"14:21:38"},{"id":151,"name":"Denver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</row>
    <row r="88" spans="1:38" s="22" customFormat="1" x14ac:dyDescent="0.25">
      <c r="A88" s="38" t="s">
        <v>493</v>
      </c>
      <c r="B88" s="7">
        <v>4016</v>
      </c>
      <c r="C88" s="23" t="s">
        <v>108</v>
      </c>
      <c r="D88" s="23" t="s">
        <v>352</v>
      </c>
      <c r="E88" s="15">
        <v>42622.539340277777</v>
      </c>
      <c r="F88" s="15">
        <v>42622.541828703703</v>
      </c>
      <c r="G88" s="7">
        <v>1</v>
      </c>
      <c r="H88" s="15" t="s">
        <v>265</v>
      </c>
      <c r="I88" s="15">
        <v>42622.568657407406</v>
      </c>
      <c r="J88" s="7">
        <v>1</v>
      </c>
      <c r="K88" s="114" t="str">
        <f t="shared" si="36"/>
        <v>4015/4016</v>
      </c>
      <c r="L88" s="23" t="str">
        <f>VLOOKUP(A88,'Trips&amp;Operators'!$C$1:$E$10000,3,FALSE)</f>
        <v>CLARK</v>
      </c>
      <c r="M88" s="6">
        <f t="shared" si="37"/>
        <v>2.6828703703358769E-2</v>
      </c>
      <c r="N88" s="7">
        <f t="shared" si="51"/>
        <v>38.633333332836628</v>
      </c>
      <c r="O88" s="7"/>
      <c r="P88" s="7"/>
      <c r="Q88" s="24"/>
      <c r="R88" s="24"/>
      <c r="S88" s="36">
        <f t="shared" si="52"/>
        <v>1</v>
      </c>
      <c r="T88" s="51" t="str">
        <f t="shared" si="38"/>
        <v>NorthBound</v>
      </c>
      <c r="U88" s="17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11:56:39-0600',mode:absolute,to:'2016-09-09 14:38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8" s="179" t="str">
        <f t="shared" si="40"/>
        <v>N</v>
      </c>
      <c r="X88" s="179">
        <f t="shared" si="50"/>
        <v>1</v>
      </c>
      <c r="Y88" s="66">
        <f t="shared" si="41"/>
        <v>4.5999999999999999E-2</v>
      </c>
      <c r="Z88" s="66">
        <f t="shared" si="42"/>
        <v>23.330300000000001</v>
      </c>
      <c r="AA88" s="66">
        <f t="shared" si="43"/>
        <v>23.284300000000002</v>
      </c>
      <c r="AB88" s="63" t="e">
        <f>VLOOKUP(A88,Enforcements!$C$7:$K$21,8,0)</f>
        <v>#N/A</v>
      </c>
      <c r="AC88" s="59" t="e">
        <f>VLOOKUP(A88,Enforcements!$C$7:$E$21,3,0)</f>
        <v>#N/A</v>
      </c>
      <c r="AD88" s="60" t="str">
        <f t="shared" si="44"/>
        <v>0175-09</v>
      </c>
      <c r="AE88" s="96" t="str">
        <f t="shared" si="45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88" s="93" t="str">
        <f t="shared" si="46"/>
        <v>"C:\Program Files (x86)\AstroGrep\AstroGrep.exe" /spath="%USERPROFILE%\AppData\Local\Temp\OnboardLogs" /stypes="*4016*20160909*" /stext=" 19:.+((SYSTEM_STATE.+slice.+state.+changed )|(ment ac)|(system.+state.+changed )|(\|lc)|(penalty)|(\[timeout)|(PRM\|1\|D)|(kpr)|(kdp))" /e /r /s</v>
      </c>
      <c r="AG88" s="1" t="str">
        <f t="shared" si="47"/>
        <v>EC</v>
      </c>
      <c r="AH88" s="97" t="str">
        <f t="shared" si="48"/>
        <v>"%USERPROFILE%\Documents\GitHub\eaglep3\Utilities\RefineRTDCRunTimes.py" --tripid 175-09 --locoid 4016 --swversion DE.1.0.7.0 --startMP 204:460 --initTime 2016-09-09T12:56:39 --startdatetime 2016-09-09T13:00:14 --delay 1 --endMP 204:233303 --enddatetime 2016-09-09T13:38:52 --enforcementcount 1 &gt;&gt;C:\Users\stu\Documents\GitHub\eaglep3-reporting\EC\2016-09-09-refined-times.txt</v>
      </c>
      <c r="AI8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{"issue":{"subject":"","project_id":79,"tracker_id":40,"status_id":1,"priority_id":2,"assigned_to_id":23,"start_date":"2016-09-09","description":"","custom_fields":[{"id":1,"name":"Subdivision","value":"EC"},{"id":4,"name":"Milepost","value":"23.2843"},{"id":17,"name":"Train ID","value":"175-09"},{"id":16,"name":"Locomotive ID","value":"4016"},{"id":130,"name":"Impact","value":""},{"id":150,"name":"Time of Event (Mountain Time)","value":"13:38:52"},{"id":151,"name":"Denver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</row>
    <row r="89" spans="1:38" s="22" customFormat="1" x14ac:dyDescent="0.25">
      <c r="A89" s="38" t="s">
        <v>494</v>
      </c>
      <c r="B89" s="7">
        <v>4015</v>
      </c>
      <c r="C89" s="23" t="s">
        <v>108</v>
      </c>
      <c r="D89" s="23" t="s">
        <v>250</v>
      </c>
      <c r="E89" s="15">
        <v>42622.577638888892</v>
      </c>
      <c r="F89" s="15">
        <v>42622.580729166664</v>
      </c>
      <c r="G89" s="7">
        <v>1</v>
      </c>
      <c r="H89" s="15" t="s">
        <v>495</v>
      </c>
      <c r="I89" s="15">
        <v>42622.610243055555</v>
      </c>
      <c r="J89" s="7">
        <v>1</v>
      </c>
      <c r="K89" s="114" t="str">
        <f t="shared" si="36"/>
        <v>4015/4016</v>
      </c>
      <c r="L89" s="23" t="str">
        <f>VLOOKUP(A89,'Trips&amp;Operators'!$C$1:$E$10000,3,FALSE)</f>
        <v>CLARK</v>
      </c>
      <c r="M89" s="6">
        <f t="shared" si="37"/>
        <v>2.9513888890505768E-2</v>
      </c>
      <c r="N89" s="7">
        <f t="shared" si="51"/>
        <v>42.500000002328306</v>
      </c>
      <c r="O89" s="7"/>
      <c r="P89" s="7"/>
      <c r="Q89" s="24"/>
      <c r="R89" s="24"/>
      <c r="S89" s="36">
        <f t="shared" si="52"/>
        <v>1</v>
      </c>
      <c r="T89" s="51" t="str">
        <f t="shared" si="38"/>
        <v>Southbound</v>
      </c>
      <c r="U89" s="17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12:51:48-0600',mode:absolute,to:'2016-09-09 15:38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89" s="179" t="str">
        <f t="shared" si="40"/>
        <v>N</v>
      </c>
      <c r="X89" s="179">
        <f t="shared" si="50"/>
        <v>1</v>
      </c>
      <c r="Y89" s="66">
        <f t="shared" si="41"/>
        <v>23.298999999999999</v>
      </c>
      <c r="Z89" s="66">
        <f t="shared" si="42"/>
        <v>1.29E-2</v>
      </c>
      <c r="AA89" s="66">
        <f t="shared" si="43"/>
        <v>23.286100000000001</v>
      </c>
      <c r="AB89" s="63" t="e">
        <f>VLOOKUP(A89,Enforcements!$C$7:$K$21,8,0)</f>
        <v>#N/A</v>
      </c>
      <c r="AC89" s="59" t="e">
        <f>VLOOKUP(A89,Enforcements!$C$7:$E$21,3,0)</f>
        <v>#N/A</v>
      </c>
      <c r="AD89" s="60" t="str">
        <f t="shared" si="44"/>
        <v>0176-09</v>
      </c>
      <c r="AE89" s="96" t="str">
        <f t="shared" si="45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89" s="93" t="str">
        <f t="shared" si="46"/>
        <v>"C:\Program Files (x86)\AstroGrep\AstroGrep.exe" /spath="%USERPROFILE%\AppData\Local\Temp\OnboardLogs" /stypes="*4015*20160909*" /stext=" 20:.+((SYSTEM_STATE.+slice.+state.+changed )|(ment ac)|(system.+state.+changed )|(\|lc)|(penalty)|(\[timeout)|(PRM\|1\|D)|(kpr)|(kdp))" /e /r /s</v>
      </c>
      <c r="AG89" s="1" t="str">
        <f t="shared" si="47"/>
        <v>EC</v>
      </c>
      <c r="AH89" s="97" t="str">
        <f t="shared" si="48"/>
        <v>"%USERPROFILE%\Documents\GitHub\eaglep3\Utilities\RefineRTDCRunTimes.py" --tripid 176-09 --locoid 4015 --swversion DE.1.0.7.0 --startMP 204:232990 --initTime 2016-09-09T13:51:48 --startdatetime 2016-09-09T13:56:15 --delay 1 --endMP 204:129 --enddatetime 2016-09-09T14:38:45 --enforcementcount 1 &gt;&gt;C:\Users\stu\Documents\GitHub\eaglep3-reporting\EC\2016-09-09-refined-times.txt</v>
      </c>
      <c r="AI8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{"issue":{"subject":"","project_id":79,"tracker_id":40,"status_id":1,"priority_id":2,"assigned_to_id":23,"start_date":"2016-09-09","description":"","custom_fields":[{"id":1,"name":"Subdivision","value":"EC"},{"id":4,"name":"Milepost","value":"23.2861"},{"id":17,"name":"Train ID","value":"176-09"},{"id":16,"name":"Locomotive ID","value":"4015"},{"id":130,"name":"Impact","value":""},{"id":150,"name":"Time of Event (Mountain Time)","value":"14:38:45"},{"id":151,"name":"Denver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</row>
    <row r="90" spans="1:38" x14ac:dyDescent="0.25">
      <c r="A90" s="38" t="s">
        <v>496</v>
      </c>
      <c r="B90" s="7">
        <v>4025</v>
      </c>
      <c r="C90" s="23" t="s">
        <v>108</v>
      </c>
      <c r="D90" s="23" t="s">
        <v>264</v>
      </c>
      <c r="E90" s="15">
        <v>42622.548078703701</v>
      </c>
      <c r="F90" s="15">
        <v>42622.552361111113</v>
      </c>
      <c r="G90" s="7">
        <v>1</v>
      </c>
      <c r="H90" s="15" t="s">
        <v>346</v>
      </c>
      <c r="I90" s="15">
        <v>42622.578483796293</v>
      </c>
      <c r="J90" s="7">
        <v>1</v>
      </c>
      <c r="K90" s="114" t="str">
        <f t="shared" si="36"/>
        <v>4025/4026</v>
      </c>
      <c r="L90" s="23" t="str">
        <f>VLOOKUP(A90,'Trips&amp;Operators'!$C$1:$E$10000,3,FALSE)</f>
        <v>BONDS</v>
      </c>
      <c r="M90" s="6">
        <f t="shared" si="37"/>
        <v>2.6122685179871041E-2</v>
      </c>
      <c r="N90" s="7">
        <f t="shared" si="51"/>
        <v>37.6166666590143</v>
      </c>
      <c r="O90" s="7"/>
      <c r="P90" s="7"/>
      <c r="Q90" s="24"/>
      <c r="R90" s="24"/>
      <c r="S90" s="36">
        <f t="shared" si="52"/>
        <v>1</v>
      </c>
      <c r="T90" s="51" t="str">
        <f t="shared" si="38"/>
        <v>NorthBound</v>
      </c>
      <c r="U90" s="17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12:09:14-0600',mode:absolute,to:'2016-09-09 14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0" s="179" t="str">
        <f t="shared" si="40"/>
        <v>N</v>
      </c>
      <c r="X90" s="179">
        <f t="shared" si="50"/>
        <v>1</v>
      </c>
      <c r="Y90" s="66">
        <f t="shared" si="41"/>
        <v>4.3799999999999999E-2</v>
      </c>
      <c r="Z90" s="66">
        <f t="shared" si="42"/>
        <v>23.3323</v>
      </c>
      <c r="AA90" s="66">
        <f t="shared" si="43"/>
        <v>23.288499999999999</v>
      </c>
      <c r="AB90" s="63" t="e">
        <f>VLOOKUP(A90,Enforcements!$C$7:$K$21,8,0)</f>
        <v>#N/A</v>
      </c>
      <c r="AC90" s="59" t="e">
        <f>VLOOKUP(A90,Enforcements!$C$7:$E$21,3,0)</f>
        <v>#N/A</v>
      </c>
      <c r="AD90" s="60" t="str">
        <f t="shared" si="44"/>
        <v>0177-09</v>
      </c>
      <c r="AE90" s="96" t="str">
        <f t="shared" si="45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90" s="93" t="str">
        <f t="shared" si="46"/>
        <v>"C:\Program Files (x86)\AstroGrep\AstroGrep.exe" /spath="%USERPROFILE%\AppData\Local\Temp\OnboardLogs" /stypes="*4025*20160909*" /stext=" 19:.+((SYSTEM_STATE.+slice.+state.+changed )|(ment ac)|(system.+state.+changed )|(\|lc)|(penalty)|(\[timeout)|(PRM\|1\|D)|(kpr)|(kdp))" /e /r /s</v>
      </c>
      <c r="AG90" s="1" t="str">
        <f t="shared" si="47"/>
        <v>EC</v>
      </c>
      <c r="AH90" s="97" t="str">
        <f t="shared" si="48"/>
        <v>"%USERPROFILE%\Documents\GitHub\eaglep3\Utilities\RefineRTDCRunTimes.py" --tripid 177-09 --locoid 4025 --swversion DE.1.0.7.0 --startMP 204:438 --initTime 2016-09-09T13:09:14 --startdatetime 2016-09-09T13:15:24 --delay 1 --endMP 204:233323 --enddatetime 2016-09-09T13:53:01 --enforcementcount 1 &gt;&gt;C:\Users\stu\Documents\GitHub\eaglep3-reporting\EC\2016-09-09-refined-times.txt</v>
      </c>
      <c r="AI9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{"issue":{"subject":"","project_id":79,"tracker_id":40,"status_id":1,"priority_id":2,"assigned_to_id":23,"start_date":"2016-09-09","description":"","custom_fields":[{"id":1,"name":"Subdivision","value":"EC"},{"id":4,"name":"Milepost","value":"23.2885"},{"id":17,"name":"Train ID","value":"177-09"},{"id":16,"name":"Locomotive ID","value":"4025"},{"id":130,"name":"Impact","value":""},{"id":150,"name":"Time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</row>
    <row r="91" spans="1:38" s="22" customFormat="1" x14ac:dyDescent="0.25">
      <c r="A91" s="38" t="s">
        <v>497</v>
      </c>
      <c r="B91" s="7">
        <v>4026</v>
      </c>
      <c r="C91" s="23" t="s">
        <v>108</v>
      </c>
      <c r="D91" s="23" t="s">
        <v>498</v>
      </c>
      <c r="E91" s="15">
        <v>42622.582812499997</v>
      </c>
      <c r="F91" s="15">
        <v>42622.591284722221</v>
      </c>
      <c r="G91" s="7">
        <v>1</v>
      </c>
      <c r="H91" s="15" t="s">
        <v>499</v>
      </c>
      <c r="I91" s="15">
        <v>42622.621388888889</v>
      </c>
      <c r="J91" s="7">
        <v>1</v>
      </c>
      <c r="K91" s="114" t="str">
        <f t="shared" si="36"/>
        <v>4025/4026</v>
      </c>
      <c r="L91" s="23" t="str">
        <f>VLOOKUP(A91,'Trips&amp;Operators'!$C$1:$E$10000,3,FALSE)</f>
        <v>BONDS</v>
      </c>
      <c r="M91" s="6">
        <f t="shared" si="37"/>
        <v>3.0104166668024845E-2</v>
      </c>
      <c r="N91" s="7">
        <f t="shared" si="51"/>
        <v>43.350000001955777</v>
      </c>
      <c r="O91" s="7"/>
      <c r="P91" s="7"/>
      <c r="Q91" s="24"/>
      <c r="R91" s="24"/>
      <c r="S91" s="36">
        <f t="shared" si="52"/>
        <v>1</v>
      </c>
      <c r="T91" s="51" t="str">
        <f t="shared" si="38"/>
        <v>Southbound</v>
      </c>
      <c r="U91" s="17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12:59:15-0600',mode:absolute,to:'2016-09-09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91" s="179" t="str">
        <f t="shared" si="40"/>
        <v>N</v>
      </c>
      <c r="X91" s="179">
        <f t="shared" si="50"/>
        <v>1</v>
      </c>
      <c r="Y91" s="66">
        <f t="shared" si="41"/>
        <v>23.302700000000002</v>
      </c>
      <c r="Z91" s="66">
        <f t="shared" si="42"/>
        <v>1.9099999999999999E-2</v>
      </c>
      <c r="AA91" s="66">
        <f t="shared" si="43"/>
        <v>23.2836</v>
      </c>
      <c r="AB91" s="63" t="e">
        <f>VLOOKUP(A91,Enforcements!$C$7:$K$21,8,0)</f>
        <v>#N/A</v>
      </c>
      <c r="AC91" s="59" t="e">
        <f>VLOOKUP(A91,Enforcements!$C$7:$E$21,3,0)</f>
        <v>#N/A</v>
      </c>
      <c r="AD91" s="60" t="str">
        <f t="shared" si="44"/>
        <v>0178-09</v>
      </c>
      <c r="AE91" s="96" t="str">
        <f t="shared" si="45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91" s="93" t="str">
        <f t="shared" si="46"/>
        <v>"C:\Program Files (x86)\AstroGrep\AstroGrep.exe" /spath="%USERPROFILE%\AppData\Local\Temp\OnboardLogs" /stypes="*4026*20160909*" /stext=" 20:.+((SYSTEM_STATE.+slice.+state.+changed )|(ment ac)|(system.+state.+changed )|(\|lc)|(penalty)|(\[timeout)|(PRM\|1\|D)|(kpr)|(kdp))" /e /r /s</v>
      </c>
      <c r="AG91" s="1" t="str">
        <f t="shared" si="47"/>
        <v>EC</v>
      </c>
      <c r="AH91" s="97" t="str">
        <f t="shared" si="48"/>
        <v>"%USERPROFILE%\Documents\GitHub\eaglep3\Utilities\RefineRTDCRunTimes.py" --tripid 178-09 --locoid 4026 --swversion DE.1.0.7.0 --startMP 204:233027 --initTime 2016-09-09T13:59:15 --startdatetime 2016-09-09T14:11:27 --delay 1 --endMP 204:191 --enddatetime 2016-09-09T14:54:48 --enforcementcount 1 &gt;&gt;C:\Users\stu\Documents\GitHub\eaglep3-reporting\EC\2016-09-09-refined-times.txt</v>
      </c>
      <c r="AI9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{"issue":{"subject":"","project_id":79,"tracker_id":40,"status_id":1,"priority_id":2,"assigned_to_id":23,"start_date":"2016-09-09","description":"","custom_fields":[{"id":1,"name":"Subdivision","value":"EC"},{"id":4,"name":"Milepost","value":"23.2836"},{"id":17,"name":"Train ID","value":"178-09"},{"id":16,"name":"Locomotive ID","value":"4026"},{"id":130,"name":"Impact","value":""},{"id":150,"name":"Time of Event (Mountain Time)","value":"14:54:48"},{"id":151,"name":"Denver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</row>
    <row r="92" spans="1:38" s="22" customFormat="1" x14ac:dyDescent="0.25">
      <c r="A92" s="38" t="s">
        <v>500</v>
      </c>
      <c r="B92" s="7">
        <v>4031</v>
      </c>
      <c r="C92" s="23" t="s">
        <v>108</v>
      </c>
      <c r="D92" s="23" t="s">
        <v>501</v>
      </c>
      <c r="E92" s="15">
        <v>42622.559942129628</v>
      </c>
      <c r="F92" s="15">
        <v>42622.562719907408</v>
      </c>
      <c r="G92" s="7">
        <v>1</v>
      </c>
      <c r="H92" s="15" t="s">
        <v>285</v>
      </c>
      <c r="I92" s="15">
        <v>42622.587685185186</v>
      </c>
      <c r="J92" s="7">
        <v>1</v>
      </c>
      <c r="K92" s="114" t="str">
        <f t="shared" si="36"/>
        <v>4031/4032</v>
      </c>
      <c r="L92" s="23" t="str">
        <f>VLOOKUP(A92,'Trips&amp;Operators'!$C$1:$E$10000,3,FALSE)</f>
        <v>MOSES</v>
      </c>
      <c r="M92" s="6">
        <f t="shared" si="37"/>
        <v>2.4965277778392192E-2</v>
      </c>
      <c r="N92" s="7">
        <f t="shared" si="51"/>
        <v>35.950000000884756</v>
      </c>
      <c r="O92" s="7"/>
      <c r="P92" s="7"/>
      <c r="Q92" s="24"/>
      <c r="R92" s="24"/>
      <c r="S92" s="36">
        <f t="shared" si="52"/>
        <v>1</v>
      </c>
      <c r="T92" s="51" t="str">
        <f t="shared" si="38"/>
        <v>NorthBound</v>
      </c>
      <c r="U92" s="17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12:26:19-0600',mode:absolute,to:'2016-09-09 15:06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92" s="179" t="str">
        <f t="shared" si="40"/>
        <v>N</v>
      </c>
      <c r="X92" s="179">
        <f t="shared" si="50"/>
        <v>1</v>
      </c>
      <c r="Y92" s="66">
        <f t="shared" si="41"/>
        <v>4.2599999999999999E-2</v>
      </c>
      <c r="Z92" s="66">
        <f t="shared" si="42"/>
        <v>23.329899999999999</v>
      </c>
      <c r="AA92" s="66">
        <f t="shared" si="43"/>
        <v>23.287299999999998</v>
      </c>
      <c r="AB92" s="63" t="e">
        <f>VLOOKUP(A92,Enforcements!$C$7:$K$21,8,0)</f>
        <v>#N/A</v>
      </c>
      <c r="AC92" s="59" t="e">
        <f>VLOOKUP(A92,Enforcements!$C$7:$E$21,3,0)</f>
        <v>#N/A</v>
      </c>
      <c r="AD92" s="60" t="str">
        <f t="shared" si="44"/>
        <v>0179-09</v>
      </c>
      <c r="AE92" s="96" t="str">
        <f t="shared" si="45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92" s="93" t="str">
        <f t="shared" si="46"/>
        <v>"C:\Program Files (x86)\AstroGrep\AstroGrep.exe" /spath="%USERPROFILE%\AppData\Local\Temp\OnboardLogs" /stypes="*4031*20160909*" /stext=" 20:.+((SYSTEM_STATE.+slice.+state.+changed )|(ment ac)|(system.+state.+changed )|(\|lc)|(penalty)|(\[timeout)|(PRM\|1\|D)|(kpr)|(kdp))" /e /r /s</v>
      </c>
      <c r="AG92" s="1" t="str">
        <f t="shared" si="47"/>
        <v>EC</v>
      </c>
      <c r="AH92" s="97" t="str">
        <f t="shared" si="48"/>
        <v>"%USERPROFILE%\Documents\GitHub\eaglep3\Utilities\RefineRTDCRunTimes.py" --tripid 179-09 --locoid 4031 --swversion DE.1.0.7.0 --startMP 204:426 --initTime 2016-09-09T13:26:19 --startdatetime 2016-09-09T13:30:19 --delay 1 --endMP 204:233299 --enddatetime 2016-09-09T14:06:16 --enforcementcount 1 &gt;&gt;C:\Users\stu\Documents\GitHub\eaglep3-reporting\EC\2016-09-09-refined-times.txt</v>
      </c>
      <c r="AI9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{"issue":{"subject":"","project_id":79,"tracker_id":40,"status_id":1,"priority_id":2,"assigned_to_id":23,"start_date":"2016-09-09","description":"","custom_fields":[{"id":1,"name":"Subdivision","value":"EC"},{"id":4,"name":"Milepost","value":"23.2873"},{"id":17,"name":"Train ID","value":"179-09"},{"id":16,"name":"Locomotive ID","value":"4031"},{"id":130,"name":"Impact","value":""},{"id":150,"name":"Time of Event (Mountain Time)","value":"14:06:16"},{"id":151,"name":"Denver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</row>
    <row r="93" spans="1:38" x14ac:dyDescent="0.25">
      <c r="A93" s="38" t="s">
        <v>502</v>
      </c>
      <c r="B93" s="7">
        <v>4032</v>
      </c>
      <c r="C93" s="23" t="s">
        <v>108</v>
      </c>
      <c r="D93" s="23" t="s">
        <v>503</v>
      </c>
      <c r="E93" s="15">
        <v>42622.598530092589</v>
      </c>
      <c r="F93" s="15">
        <v>42622.601678240739</v>
      </c>
      <c r="G93" s="7">
        <v>1</v>
      </c>
      <c r="H93" s="15" t="s">
        <v>504</v>
      </c>
      <c r="I93" s="15">
        <v>42622.629803240743</v>
      </c>
      <c r="J93" s="7">
        <v>1</v>
      </c>
      <c r="K93" s="114" t="str">
        <f t="shared" si="36"/>
        <v>4031/4032</v>
      </c>
      <c r="L93" s="23" t="str">
        <f>VLOOKUP(A93,'Trips&amp;Operators'!$C$1:$E$10000,3,FALSE)</f>
        <v>MOSES</v>
      </c>
      <c r="M93" s="6">
        <f t="shared" si="37"/>
        <v>2.8125000004365575E-2</v>
      </c>
      <c r="N93" s="7">
        <f t="shared" si="51"/>
        <v>40.500000006286427</v>
      </c>
      <c r="O93" s="7"/>
      <c r="P93" s="7"/>
      <c r="Q93" s="24"/>
      <c r="R93" s="24"/>
      <c r="S93" s="36">
        <f t="shared" si="52"/>
        <v>1</v>
      </c>
      <c r="T93" s="51" t="str">
        <f t="shared" si="38"/>
        <v>Southbound</v>
      </c>
      <c r="U93" s="17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13:21:53-0600',mode:absolute,to:'2016-09-09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93" s="179" t="str">
        <f t="shared" si="40"/>
        <v>N</v>
      </c>
      <c r="X93" s="179">
        <f t="shared" si="50"/>
        <v>1</v>
      </c>
      <c r="Y93" s="66">
        <f t="shared" si="41"/>
        <v>23.297999999999998</v>
      </c>
      <c r="Z93" s="66">
        <f t="shared" si="42"/>
        <v>1.0699999999999999E-2</v>
      </c>
      <c r="AA93" s="66">
        <f t="shared" si="43"/>
        <v>23.287299999999998</v>
      </c>
      <c r="AB93" s="63" t="e">
        <f>VLOOKUP(A93,Enforcements!$C$7:$K$21,8,0)</f>
        <v>#N/A</v>
      </c>
      <c r="AC93" s="59" t="e">
        <f>VLOOKUP(A93,Enforcements!$C$7:$E$21,3,0)</f>
        <v>#N/A</v>
      </c>
      <c r="AD93" s="60" t="str">
        <f t="shared" si="44"/>
        <v>0180-09</v>
      </c>
      <c r="AE93" s="96" t="str">
        <f t="shared" si="45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93" s="93" t="str">
        <f t="shared" si="46"/>
        <v>"C:\Program Files (x86)\AstroGrep\AstroGrep.exe" /spath="%USERPROFILE%\AppData\Local\Temp\OnboardLogs" /stypes="*4032*20160909*" /stext=" 21:.+((SYSTEM_STATE.+slice.+state.+changed )|(ment ac)|(system.+state.+changed )|(\|lc)|(penalty)|(\[timeout)|(PRM\|1\|D)|(kpr)|(kdp))" /e /r /s</v>
      </c>
      <c r="AG93" s="1" t="str">
        <f t="shared" si="47"/>
        <v>EC</v>
      </c>
      <c r="AH93" s="97" t="str">
        <f t="shared" si="48"/>
        <v>"%USERPROFILE%\Documents\GitHub\eaglep3\Utilities\RefineRTDCRunTimes.py" --tripid 180-09 --locoid 4032 --swversion DE.1.0.7.0 --startMP 204:232980 --initTime 2016-09-09T14:21:53 --startdatetime 2016-09-09T14:26:25 --delay 1 --endMP 204:107 --enddatetime 2016-09-09T15:06:55 --enforcementcount 1 &gt;&gt;C:\Users\stu\Documents\GitHub\eaglep3-reporting\EC\2016-09-09-refined-times.txt</v>
      </c>
      <c r="AI93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{"issue":{"subject":"","project_id":79,"tracker_id":40,"status_id":1,"priority_id":2,"assigned_to_id":23,"start_date":"2016-09-09","description":"","custom_fields":[{"id":1,"name":"Subdivision","value":"EC"},{"id":4,"name":"Milepost","value":"23.2873"},{"id":17,"name":"Train ID","value":"180-09"},{"id":16,"name":"Locomotive ID","value":"4032"},{"id":130,"name":"Impact","value":""},{"id":150,"name":"Time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</row>
    <row r="94" spans="1:38" x14ac:dyDescent="0.25">
      <c r="A94" s="38" t="s">
        <v>505</v>
      </c>
      <c r="B94" s="7">
        <v>4018</v>
      </c>
      <c r="C94" s="23" t="s">
        <v>108</v>
      </c>
      <c r="D94" s="23" t="s">
        <v>278</v>
      </c>
      <c r="E94" s="15">
        <v>42622.568692129629</v>
      </c>
      <c r="F94" s="15">
        <v>42622.573692129627</v>
      </c>
      <c r="G94" s="7">
        <v>1</v>
      </c>
      <c r="H94" s="15" t="s">
        <v>311</v>
      </c>
      <c r="I94" s="15">
        <v>42622.600405092591</v>
      </c>
      <c r="J94" s="7">
        <v>1</v>
      </c>
      <c r="K94" s="114" t="str">
        <f t="shared" si="36"/>
        <v>4017/4018</v>
      </c>
      <c r="L94" s="23" t="str">
        <f>VLOOKUP(A94,'Trips&amp;Operators'!$C$1:$E$10000,3,FALSE)</f>
        <v>ADANE</v>
      </c>
      <c r="M94" s="6">
        <f t="shared" si="37"/>
        <v>2.6712962964666076E-2</v>
      </c>
      <c r="N94" s="7">
        <f t="shared" si="51"/>
        <v>38.466666669119149</v>
      </c>
      <c r="O94" s="7"/>
      <c r="P94" s="7"/>
      <c r="Q94" s="24"/>
      <c r="R94" s="24"/>
      <c r="S94" s="36">
        <f t="shared" si="52"/>
        <v>1</v>
      </c>
      <c r="T94" s="51" t="str">
        <f t="shared" si="38"/>
        <v>NorthBound</v>
      </c>
      <c r="U94" s="17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12:38:55-0600',mode:absolute,to:'2016-09-09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94" s="179" t="str">
        <f t="shared" si="40"/>
        <v>N</v>
      </c>
      <c r="X94" s="179">
        <f t="shared" si="50"/>
        <v>1</v>
      </c>
      <c r="Y94" s="66">
        <f t="shared" si="41"/>
        <v>4.5100000000000001E-2</v>
      </c>
      <c r="Z94" s="66">
        <f t="shared" si="42"/>
        <v>23.3308</v>
      </c>
      <c r="AA94" s="66">
        <f t="shared" si="43"/>
        <v>23.285699999999999</v>
      </c>
      <c r="AB94" s="63" t="str">
        <f>VLOOKUP(A94,Enforcements!$C$7:$K$21,8,0)</f>
        <v>Bulletin (2)</v>
      </c>
      <c r="AC94" s="59" t="str">
        <f>VLOOKUP(A94,Enforcements!$C$7:$E$21,3,0)</f>
        <v>GRADE CROSSING</v>
      </c>
      <c r="AD94" s="60" t="str">
        <f t="shared" si="44"/>
        <v>0181-09</v>
      </c>
      <c r="AE94" s="96" t="str">
        <f t="shared" si="45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94" s="93" t="str">
        <f t="shared" si="46"/>
        <v>"C:\Program Files (x86)\AstroGrep\AstroGrep.exe" /spath="%USERPROFILE%\AppData\Local\Temp\OnboardLogs" /stypes="*4018*20160909*" /stext=" 20:.+((SYSTEM_STATE.+slice.+state.+changed )|(ment ac)|(system.+state.+changed )|(\|lc)|(penalty)|(\[timeout)|(PRM\|1\|D)|(kpr)|(kdp))" /e /r /s</v>
      </c>
      <c r="AG94" s="1" t="str">
        <f t="shared" si="47"/>
        <v>EC</v>
      </c>
      <c r="AH94" s="97" t="str">
        <f t="shared" si="48"/>
        <v>"%USERPROFILE%\Documents\GitHub\eaglep3\Utilities\RefineRTDCRunTimes.py" --tripid 181-09 --locoid 4018 --swversion DE.1.0.7.0 --startMP 204:451 --initTime 2016-09-09T13:38:55 --startdatetime 2016-09-09T13:46:07 --delay 1 --endMP 204:233308 --enddatetime 2016-09-09T14:24:35 --enforcementcount 1 &gt;&gt;C:\Users\stu\Documents\GitHub\eaglep3-reporting\EC\2016-09-09-refined-times.txt</v>
      </c>
      <c r="AI9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{"issue":{"subject":"","project_id":79,"tracker_id":40,"status_id":1,"priority_id":2,"assigned_to_id":23,"start_date":"2016-09-09","description":"","custom_fields":[{"id":1,"name":"Subdivision","value":"EC"},{"id":4,"name":"Milepost","value":"23.2857"},{"id":17,"name":"Train ID","value":"181-09"},{"id":16,"name":"Locomotive ID","value":"4018"},{"id":130,"name":"Impact","value":""},{"id":150,"name":"Time of Event (Mountain Time)","value":"14:24:35"},{"id":151,"name":"Denver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38" s="22" customFormat="1" x14ac:dyDescent="0.25">
      <c r="A95" s="38" t="s">
        <v>506</v>
      </c>
      <c r="B95" s="7">
        <v>4017</v>
      </c>
      <c r="C95" s="23" t="s">
        <v>108</v>
      </c>
      <c r="D95" s="23" t="s">
        <v>328</v>
      </c>
      <c r="E95" s="15">
        <v>42622.61074074074</v>
      </c>
      <c r="F95" s="15">
        <v>42622.612141203703</v>
      </c>
      <c r="G95" s="7">
        <v>1</v>
      </c>
      <c r="H95" s="15" t="s">
        <v>305</v>
      </c>
      <c r="I95" s="15">
        <v>42622.639699074076</v>
      </c>
      <c r="J95" s="7">
        <v>1</v>
      </c>
      <c r="K95" s="114" t="str">
        <f t="shared" si="36"/>
        <v>4017/4018</v>
      </c>
      <c r="L95" s="23" t="str">
        <f>VLOOKUP(A95,'Trips&amp;Operators'!$C$1:$E$10000,3,FALSE)</f>
        <v>ADANE</v>
      </c>
      <c r="M95" s="6">
        <f t="shared" si="37"/>
        <v>2.7557870373129845E-2</v>
      </c>
      <c r="N95" s="7">
        <f t="shared" si="51"/>
        <v>39.683333337306976</v>
      </c>
      <c r="O95" s="7"/>
      <c r="P95" s="7"/>
      <c r="Q95" s="24"/>
      <c r="R95" s="24"/>
      <c r="S95" s="36">
        <f t="shared" si="52"/>
        <v>1</v>
      </c>
      <c r="T95" s="51" t="str">
        <f t="shared" si="38"/>
        <v>Southbound</v>
      </c>
      <c r="U95" s="17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13:39:28-0600',mode:absolute,to:'2016-09-09 16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95" s="179" t="str">
        <f t="shared" si="40"/>
        <v>N</v>
      </c>
      <c r="X95" s="179">
        <f t="shared" si="50"/>
        <v>1</v>
      </c>
      <c r="Y95" s="66">
        <f t="shared" si="41"/>
        <v>23.299299999999999</v>
      </c>
      <c r="Z95" s="66">
        <f t="shared" si="42"/>
        <v>1.3899999999999999E-2</v>
      </c>
      <c r="AA95" s="66">
        <f t="shared" si="43"/>
        <v>23.285399999999999</v>
      </c>
      <c r="AB95" s="63" t="e">
        <f>VLOOKUP(A95,Enforcements!$C$7:$K$21,8,0)</f>
        <v>#N/A</v>
      </c>
      <c r="AC95" s="59" t="e">
        <f>VLOOKUP(A95,Enforcements!$C$7:$E$21,3,0)</f>
        <v>#N/A</v>
      </c>
      <c r="AD95" s="60" t="str">
        <f t="shared" si="44"/>
        <v>0182-09</v>
      </c>
      <c r="AE95" s="96" t="str">
        <f t="shared" si="45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95" s="93" t="str">
        <f t="shared" si="46"/>
        <v>"C:\Program Files (x86)\AstroGrep\AstroGrep.exe" /spath="%USERPROFILE%\AppData\Local\Temp\OnboardLogs" /stypes="*4017*20160909*" /stext=" 21:.+((SYSTEM_STATE.+slice.+state.+changed )|(ment ac)|(system.+state.+changed )|(\|lc)|(penalty)|(\[timeout)|(PRM\|1\|D)|(kpr)|(kdp))" /e /r /s</v>
      </c>
      <c r="AG95" s="1" t="str">
        <f t="shared" si="47"/>
        <v>EC</v>
      </c>
      <c r="AH95" s="97" t="str">
        <f t="shared" si="48"/>
        <v>"%USERPROFILE%\Documents\GitHub\eaglep3\Utilities\RefineRTDCRunTimes.py" --tripid 182-09 --locoid 4017 --swversion DE.1.0.7.0 --startMP 204:232993 --initTime 2016-09-09T14:39:28 --startdatetime 2016-09-09T14:41:29 --delay 1 --endMP 204:139 --enddatetime 2016-09-09T15:21:10 --enforcementcount 1 &gt;&gt;C:\Users\stu\Documents\GitHub\eaglep3-reporting\EC\2016-09-09-refined-times.txt</v>
      </c>
      <c r="AI95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{"issue":{"subject":"","project_id":79,"tracker_id":40,"status_id":1,"priority_id":2,"assigned_to_id":23,"start_date":"2016-09-09","description":"","custom_fields":[{"id":1,"name":"Subdivision","value":"EC"},{"id":4,"name":"Milepost","value":"23.2854"},{"id":17,"name":"Train ID","value":"182-09"},{"id":16,"name":"Locomotive ID","value":"4017"},{"id":130,"name":"Impact","value":""},{"id":150,"name":"Time of Event (Mountain Time)","value":"15:21:10"},{"id":151,"name":"Denver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38" x14ac:dyDescent="0.25">
      <c r="A96" s="38" t="s">
        <v>507</v>
      </c>
      <c r="B96" s="7">
        <v>4009</v>
      </c>
      <c r="C96" s="23" t="s">
        <v>108</v>
      </c>
      <c r="D96" s="23" t="s">
        <v>323</v>
      </c>
      <c r="E96" s="15">
        <v>42622.586550925924</v>
      </c>
      <c r="F96" s="15">
        <v>42622.588125000002</v>
      </c>
      <c r="G96" s="7">
        <v>1</v>
      </c>
      <c r="H96" s="15" t="s">
        <v>508</v>
      </c>
      <c r="I96" s="15">
        <v>42622.615034722221</v>
      </c>
      <c r="J96" s="7">
        <v>1</v>
      </c>
      <c r="K96" s="114" t="str">
        <f t="shared" si="36"/>
        <v>4009/4010</v>
      </c>
      <c r="L96" s="23" t="str">
        <f>VLOOKUP(A96,'Trips&amp;Operators'!$C$1:$E$10000,3,FALSE)</f>
        <v>SHOOK</v>
      </c>
      <c r="M96" s="6">
        <f t="shared" si="37"/>
        <v>2.6909722218988463E-2</v>
      </c>
      <c r="N96" s="7">
        <f t="shared" si="51"/>
        <v>38.749999995343387</v>
      </c>
      <c r="O96" s="7"/>
      <c r="P96" s="7"/>
      <c r="Q96" s="24"/>
      <c r="R96" s="24"/>
      <c r="S96" s="36">
        <f t="shared" si="52"/>
        <v>1</v>
      </c>
      <c r="T96" s="51" t="str">
        <f t="shared" si="38"/>
        <v>NorthBound</v>
      </c>
      <c r="U96" s="17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13:04:38-0600',mode:absolute,to:'2016-09-09 15:45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6" s="179" t="str">
        <f t="shared" si="40"/>
        <v>N</v>
      </c>
      <c r="X96" s="179">
        <f t="shared" si="50"/>
        <v>1</v>
      </c>
      <c r="Y96" s="66">
        <f t="shared" si="41"/>
        <v>4.6399999999999997E-2</v>
      </c>
      <c r="Z96" s="66">
        <f t="shared" si="42"/>
        <v>23.334900000000001</v>
      </c>
      <c r="AA96" s="66">
        <f t="shared" si="43"/>
        <v>23.288500000000003</v>
      </c>
      <c r="AB96" s="63" t="e">
        <f>VLOOKUP(A96,Enforcements!$C$7:$K$21,8,0)</f>
        <v>#N/A</v>
      </c>
      <c r="AC96" s="59" t="e">
        <f>VLOOKUP(A96,Enforcements!$C$7:$E$21,3,0)</f>
        <v>#N/A</v>
      </c>
      <c r="AD96" s="60" t="str">
        <f t="shared" si="44"/>
        <v>0183-09</v>
      </c>
      <c r="AE96" s="96" t="str">
        <f t="shared" si="45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96" s="93" t="str">
        <f t="shared" si="46"/>
        <v>"C:\Program Files (x86)\AstroGrep\AstroGrep.exe" /spath="%USERPROFILE%\AppData\Local\Temp\OnboardLogs" /stypes="*4009*20160909*" /stext=" 20:.+((SYSTEM_STATE.+slice.+state.+changed )|(ment ac)|(system.+state.+changed )|(\|lc)|(penalty)|(\[timeout)|(PRM\|1\|D)|(kpr)|(kdp))" /e /r /s</v>
      </c>
      <c r="AG96" s="1" t="str">
        <f t="shared" si="47"/>
        <v>EC</v>
      </c>
      <c r="AH96" s="97" t="str">
        <f t="shared" si="48"/>
        <v>"%USERPROFILE%\Documents\GitHub\eaglep3\Utilities\RefineRTDCRunTimes.py" --tripid 183-09 --locoid 4009 --swversion DE.1.0.7.0 --startMP 204:464 --initTime 2016-09-09T14:04:38 --startdatetime 2016-09-09T14:06:54 --delay 1 --endMP 204:233349 --enddatetime 2016-09-09T14:45:39 --enforcementcount 1 &gt;&gt;C:\Users\stu\Documents\GitHub\eaglep3-reporting\EC\2016-09-09-refined-times.txt</v>
      </c>
      <c r="AI96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{"issue":{"subject":"","project_id":79,"tracker_id":40,"status_id":1,"priority_id":2,"assigned_to_id":23,"start_date":"2016-09-09","description":"","custom_fields":[{"id":1,"name":"Subdivision","value":"EC"},{"id":4,"name":"Milepost","value":"23.2885"},{"id":17,"name":"Train ID","value":"183-09"},{"id":16,"name":"Locomotive ID","value":"4009"},{"id":130,"name":"Impact","value":""},{"id":150,"name":"Time of Event (Mountain Time)","value":"14:45:39"},{"id":151,"name":"Denver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38" x14ac:dyDescent="0.25">
      <c r="A97" s="38" t="s">
        <v>509</v>
      </c>
      <c r="B97" s="7">
        <v>4010</v>
      </c>
      <c r="C97" s="23" t="s">
        <v>108</v>
      </c>
      <c r="D97" s="23" t="s">
        <v>510</v>
      </c>
      <c r="E97" s="15">
        <v>42622.618379629632</v>
      </c>
      <c r="F97" s="15">
        <v>42622.622453703705</v>
      </c>
      <c r="G97" s="7">
        <v>1</v>
      </c>
      <c r="H97" s="15" t="s">
        <v>344</v>
      </c>
      <c r="I97" s="15">
        <v>42622.650763888887</v>
      </c>
      <c r="J97" s="7">
        <v>1</v>
      </c>
      <c r="K97" s="114" t="str">
        <f t="shared" si="36"/>
        <v>4009/4010</v>
      </c>
      <c r="L97" s="23" t="str">
        <f>VLOOKUP(A97,'Trips&amp;Operators'!$C$1:$E$10000,3,FALSE)</f>
        <v>SHOOK</v>
      </c>
      <c r="M97" s="6">
        <f t="shared" si="37"/>
        <v>2.8310185181908309E-2</v>
      </c>
      <c r="N97" s="7">
        <f t="shared" si="51"/>
        <v>40.766666661947966</v>
      </c>
      <c r="O97" s="7"/>
      <c r="P97" s="7"/>
      <c r="Q97" s="24"/>
      <c r="R97" s="24"/>
      <c r="S97" s="36">
        <f t="shared" si="52"/>
        <v>1</v>
      </c>
      <c r="T97" s="51" t="str">
        <f t="shared" si="38"/>
        <v>Southbound</v>
      </c>
      <c r="U97" s="17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13:50:28-0600',mode:absolute,to:'2016-09-09 16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7" s="179" t="str">
        <f t="shared" si="40"/>
        <v>N</v>
      </c>
      <c r="X97" s="179">
        <f t="shared" si="50"/>
        <v>1</v>
      </c>
      <c r="Y97" s="66">
        <f t="shared" si="41"/>
        <v>23.303000000000001</v>
      </c>
      <c r="Z97" s="66">
        <f t="shared" si="42"/>
        <v>1.41E-2</v>
      </c>
      <c r="AA97" s="66">
        <f t="shared" si="43"/>
        <v>23.288900000000002</v>
      </c>
      <c r="AB97" s="63" t="e">
        <f>VLOOKUP(A97,Enforcements!$C$7:$K$21,8,0)</f>
        <v>#N/A</v>
      </c>
      <c r="AC97" s="59" t="e">
        <f>VLOOKUP(A97,Enforcements!$C$7:$E$21,3,0)</f>
        <v>#N/A</v>
      </c>
      <c r="AD97" s="60" t="str">
        <f t="shared" si="44"/>
        <v>0184-09</v>
      </c>
      <c r="AE97" s="96" t="str">
        <f t="shared" si="45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97" s="93" t="str">
        <f t="shared" si="46"/>
        <v>"C:\Program Files (x86)\AstroGrep\AstroGrep.exe" /spath="%USERPROFILE%\AppData\Local\Temp\OnboardLogs" /stypes="*4010*20160909*" /stext=" 21:.+((SYSTEM_STATE.+slice.+state.+changed )|(ment ac)|(system.+state.+changed )|(\|lc)|(penalty)|(\[timeout)|(PRM\|1\|D)|(kpr)|(kdp))" /e /r /s</v>
      </c>
      <c r="AG97" s="1" t="str">
        <f t="shared" si="47"/>
        <v>EC</v>
      </c>
      <c r="AH97" s="97" t="str">
        <f t="shared" si="48"/>
        <v>"%USERPROFILE%\Documents\GitHub\eaglep3\Utilities\RefineRTDCRunTimes.py" --tripid 184-09 --locoid 4010 --swversion DE.1.0.7.0 --startMP 204:233030 --initTime 2016-09-09T14:50:28 --startdatetime 2016-09-09T14:56:20 --delay 1 --endMP 204:141 --enddatetime 2016-09-09T15:37:06 --enforcementcount 1 &gt;&gt;C:\Users\stu\Documents\GitHub\eaglep3-reporting\EC\2016-09-09-refined-times.txt</v>
      </c>
      <c r="AI9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{"issue":{"subject":"","project_id":79,"tracker_id":40,"status_id":1,"priority_id":2,"assigned_to_id":23,"start_date":"2016-09-09","description":"","custom_fields":[{"id":1,"name":"Subdivision","value":"EC"},{"id":4,"name":"Milepost","value":"23.2889"},{"id":17,"name":"Train ID","value":"184-09"},{"id":16,"name":"Locomotive ID","value":"4010"},{"id":130,"name":"Impact","value":""},{"id":150,"name":"Time of Event (Mountain Time)","value":"15:37:06"},{"id":151,"name":"Denver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38" x14ac:dyDescent="0.25">
      <c r="A98" s="38" t="s">
        <v>511</v>
      </c>
      <c r="B98" s="7">
        <v>4020</v>
      </c>
      <c r="C98" s="23" t="s">
        <v>108</v>
      </c>
      <c r="D98" s="23" t="s">
        <v>512</v>
      </c>
      <c r="E98" s="15">
        <v>42622.601863425924</v>
      </c>
      <c r="F98" s="15">
        <v>42622.602870370371</v>
      </c>
      <c r="G98" s="7">
        <v>1</v>
      </c>
      <c r="H98" s="15" t="s">
        <v>258</v>
      </c>
      <c r="I98" s="15">
        <v>42622.625891203701</v>
      </c>
      <c r="J98" s="7">
        <v>1</v>
      </c>
      <c r="K98" s="114" t="str">
        <f t="shared" si="36"/>
        <v>4019/4020</v>
      </c>
      <c r="L98" s="23" t="str">
        <f>VLOOKUP(A98,'Trips&amp;Operators'!$C$1:$E$10000,3,FALSE)</f>
        <v>ISHMAEL</v>
      </c>
      <c r="M98" s="6">
        <f t="shared" si="37"/>
        <v>2.3020833330519963E-2</v>
      </c>
      <c r="N98" s="7"/>
      <c r="O98" s="7"/>
      <c r="P98" s="7">
        <f>24*60*SUM($M98:$M98)</f>
        <v>33.149999995948747</v>
      </c>
      <c r="Q98" s="24"/>
      <c r="R98" s="24" t="s">
        <v>744</v>
      </c>
      <c r="S98" s="36">
        <f t="shared" si="52"/>
        <v>1</v>
      </c>
      <c r="T98" s="177" t="str">
        <f t="shared" si="38"/>
        <v>NorthBound</v>
      </c>
      <c r="U98" s="17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13:26:41-0600',mode:absolute,to:'2016-09-09 16:01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8" s="179" t="str">
        <f t="shared" si="40"/>
        <v>Y</v>
      </c>
      <c r="X98" s="179">
        <f t="shared" si="50"/>
        <v>1</v>
      </c>
      <c r="Y98" s="66">
        <f t="shared" si="41"/>
        <v>1.9148000000000001</v>
      </c>
      <c r="Z98" s="66">
        <f t="shared" si="42"/>
        <v>23.3291</v>
      </c>
      <c r="AA98" s="66">
        <f t="shared" si="43"/>
        <v>21.414300000000001</v>
      </c>
      <c r="AB98" s="63" t="e">
        <f>VLOOKUP(A98,Enforcements!$C$7:$K$21,8,0)</f>
        <v>#N/A</v>
      </c>
      <c r="AC98" s="59" t="e">
        <f>VLOOKUP(A98,Enforcements!$C$7:$E$21,3,0)</f>
        <v>#N/A</v>
      </c>
      <c r="AD98" s="60" t="str">
        <f t="shared" si="44"/>
        <v>0185-09</v>
      </c>
      <c r="AE98" s="96" t="str">
        <f t="shared" si="45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98" s="93" t="str">
        <f t="shared" si="46"/>
        <v>"C:\Program Files (x86)\AstroGrep\AstroGrep.exe" /spath="%USERPROFILE%\AppData\Local\Temp\OnboardLogs" /stypes="*4020*20160909*" /stext=" 21:.+((SYSTEM_STATE.+slice.+state.+changed )|(ment ac)|(system.+state.+changed )|(\|lc)|(penalty)|(\[timeout)|(PRM\|1\|D)|(kpr)|(kdp))" /e /r /s</v>
      </c>
      <c r="AG98" s="1" t="str">
        <f t="shared" si="47"/>
        <v>EC</v>
      </c>
      <c r="AH98" s="97" t="str">
        <f t="shared" si="48"/>
        <v>"%USERPROFILE%\Documents\GitHub\eaglep3\Utilities\RefineRTDCRunTimes.py" --tripid 185-09 --locoid 4020 --swversion DE.1.0.7.0 --startMP 204:19148 --initTime 2016-09-09T14:26:41 --startdatetime 2016-09-09T14:28:08 --delay 1 --endMP 204:233291 --enddatetime 2016-09-09T15:01:17 --enforcementcount 1 &gt;&gt;C:\Users\stu\Documents\GitHub\eaglep3-reporting\EC\2016-09-09-refined-times.txt</v>
      </c>
      <c r="AI98" s="129" t="str">
        <f t="shared" si="49"/>
        <v>echo {"issue":{"subject":"Departure test performed at DUS… but no init attempt until 38th… mechanical issue?","project_id":79,"tracker_id":40,"status_id":1,"priority_id":2,"assigned_to_id":23,"start_date":"2016-09-09","description":"","custom_fields":[{"id":1,"name":"Subdivision","value":"EC"},{"id":4,"name":"Milepost","value":"21.4143"},{"id":17,"name":"Train ID","value":"185-09"},{"id":16,"name":"Locomotive ID","value":"4020"},{"id":130,"name":"Impact","value":""},{"id":150,"name":"Time of Event (Mountain Time)","value":"15:01:17"},{"id":151,"name":"Denver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38" x14ac:dyDescent="0.25">
      <c r="A99" s="38" t="s">
        <v>513</v>
      </c>
      <c r="B99" s="7">
        <v>4019</v>
      </c>
      <c r="C99" s="23" t="s">
        <v>108</v>
      </c>
      <c r="D99" s="23" t="s">
        <v>397</v>
      </c>
      <c r="E99" s="15">
        <v>42622.627071759256</v>
      </c>
      <c r="F99" s="15">
        <v>42622.632893518516</v>
      </c>
      <c r="G99" s="7">
        <v>1</v>
      </c>
      <c r="H99" s="15" t="s">
        <v>256</v>
      </c>
      <c r="I99" s="15">
        <v>42622.661689814813</v>
      </c>
      <c r="J99" s="7">
        <v>1</v>
      </c>
      <c r="K99" s="114" t="str">
        <f t="shared" si="36"/>
        <v>4019/4020</v>
      </c>
      <c r="L99" s="23" t="str">
        <f>VLOOKUP(A99,'Trips&amp;Operators'!$C$1:$E$10000,3,FALSE)</f>
        <v>ISHMAEL</v>
      </c>
      <c r="M99" s="6">
        <f t="shared" si="37"/>
        <v>2.8796296297514345E-2</v>
      </c>
      <c r="N99" s="7">
        <f t="shared" ref="N99:N114" si="53">24*60*SUM($M99:$M99)</f>
        <v>41.466666668420658</v>
      </c>
      <c r="O99" s="7"/>
      <c r="P99" s="7"/>
      <c r="Q99" s="24"/>
      <c r="R99" s="24"/>
      <c r="S99" s="36">
        <f t="shared" si="52"/>
        <v>1</v>
      </c>
      <c r="T99" s="51" t="str">
        <f t="shared" si="38"/>
        <v>Southbound</v>
      </c>
      <c r="U99" s="17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14:02:59-0600',mode:absolute,to:'2016-09-09 16:52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9" s="179" t="str">
        <f t="shared" si="40"/>
        <v>N</v>
      </c>
      <c r="X99" s="179">
        <f t="shared" si="50"/>
        <v>1</v>
      </c>
      <c r="Y99" s="66">
        <f t="shared" si="41"/>
        <v>23.296700000000001</v>
      </c>
      <c r="Z99" s="66">
        <f t="shared" si="42"/>
        <v>1.4999999999999999E-2</v>
      </c>
      <c r="AA99" s="66">
        <f t="shared" si="43"/>
        <v>23.281700000000001</v>
      </c>
      <c r="AB99" s="63" t="e">
        <f>VLOOKUP(A99,Enforcements!$C$7:$K$21,8,0)</f>
        <v>#N/A</v>
      </c>
      <c r="AC99" s="59" t="e">
        <f>VLOOKUP(A99,Enforcements!$C$7:$E$21,3,0)</f>
        <v>#N/A</v>
      </c>
      <c r="AD99" s="60" t="str">
        <f t="shared" si="44"/>
        <v>0186-09</v>
      </c>
      <c r="AE99" s="96" t="str">
        <f t="shared" si="45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99" s="93" t="str">
        <f t="shared" si="46"/>
        <v>"C:\Program Files (x86)\AstroGrep\AstroGrep.exe" /spath="%USERPROFILE%\AppData\Local\Temp\OnboardLogs" /stypes="*4019*20160909*" /stext=" 21:.+((SYSTEM_STATE.+slice.+state.+changed )|(ment ac)|(system.+state.+changed )|(\|lc)|(penalty)|(\[timeout)|(PRM\|1\|D)|(kpr)|(kdp))" /e /r /s</v>
      </c>
      <c r="AG99" s="1" t="str">
        <f t="shared" si="47"/>
        <v>EC</v>
      </c>
      <c r="AH99" s="97" t="str">
        <f t="shared" si="48"/>
        <v>"%USERPROFILE%\Documents\GitHub\eaglep3\Utilities\RefineRTDCRunTimes.py" --tripid 186-09 --locoid 4019 --swversion DE.1.0.7.0 --startMP 204:232967 --initTime 2016-09-09T15:02:59 --startdatetime 2016-09-09T15:11:22 --delay 1 --endMP 204:150 --enddatetime 2016-09-09T15:52:50 --enforcementcount 1 &gt;&gt;C:\Users\stu\Documents\GitHub\eaglep3-reporting\EC\2016-09-09-refined-times.txt</v>
      </c>
      <c r="AI9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{"issue":{"subject":"","project_id":79,"tracker_id":40,"status_id":1,"priority_id":2,"assigned_to_id":23,"start_date":"2016-09-09","description":"","custom_fields":[{"id":1,"name":"Subdivision","value":"EC"},{"id":4,"name":"Milepost","value":"23.2817"},{"id":17,"name":"Train ID","value":"186-09"},{"id":16,"name":"Locomotive ID","value":"4019"},{"id":130,"name":"Impact","value":""},{"id":150,"name":"Time of Event (Mountain Time)","value":"15:52:50"},{"id":151,"name":"Denver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38" x14ac:dyDescent="0.25">
      <c r="A100" s="38" t="s">
        <v>514</v>
      </c>
      <c r="B100" s="7">
        <v>4011</v>
      </c>
      <c r="C100" s="23" t="s">
        <v>108</v>
      </c>
      <c r="D100" s="23" t="s">
        <v>264</v>
      </c>
      <c r="E100" s="15">
        <v>42622.601122685184</v>
      </c>
      <c r="F100" s="15">
        <v>42622.604456018518</v>
      </c>
      <c r="G100" s="7">
        <v>5</v>
      </c>
      <c r="H100" s="15" t="s">
        <v>346</v>
      </c>
      <c r="I100" s="15">
        <v>42622.630185185182</v>
      </c>
      <c r="J100" s="7">
        <v>1</v>
      </c>
      <c r="K100" s="114" t="str">
        <f t="shared" si="36"/>
        <v>4011/4012</v>
      </c>
      <c r="L100" s="23" t="str">
        <f>VLOOKUP(A100,'Trips&amp;Operators'!$C$1:$E$10000,3,FALSE)</f>
        <v>STEWART</v>
      </c>
      <c r="M100" s="6">
        <f t="shared" si="37"/>
        <v>2.5729166663950309E-2</v>
      </c>
      <c r="N100" s="7">
        <f t="shared" si="53"/>
        <v>37.049999996088445</v>
      </c>
      <c r="O100" s="7"/>
      <c r="P100" s="7"/>
      <c r="Q100" s="24"/>
      <c r="R100" s="24"/>
      <c r="S100" s="36">
        <f t="shared" si="52"/>
        <v>1</v>
      </c>
      <c r="T100" s="51" t="str">
        <f t="shared" si="38"/>
        <v>NorthBound</v>
      </c>
      <c r="U100" s="17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13:25:37-0600',mode:absolute,to:'2016-09-09 16:07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0" s="179" t="str">
        <f t="shared" si="40"/>
        <v>N</v>
      </c>
      <c r="X100" s="179">
        <f t="shared" ref="X100:X104" si="54">VALUE(LEFT(AD100,4))-VALUE(LEFT(AD99,4))</f>
        <v>1</v>
      </c>
      <c r="Y100" s="66">
        <f t="shared" si="41"/>
        <v>4.3799999999999999E-2</v>
      </c>
      <c r="Z100" s="66">
        <f t="shared" si="42"/>
        <v>23.3323</v>
      </c>
      <c r="AA100" s="66">
        <f t="shared" si="43"/>
        <v>23.288499999999999</v>
      </c>
      <c r="AB100" s="63" t="e">
        <f>VLOOKUP(A100,Enforcements!$C$7:$K$21,8,0)</f>
        <v>#N/A</v>
      </c>
      <c r="AC100" s="59" t="e">
        <f>VLOOKUP(A100,Enforcements!$C$7:$E$21,3,0)</f>
        <v>#N/A</v>
      </c>
      <c r="AD100" s="60" t="str">
        <f t="shared" si="44"/>
        <v>0187-09</v>
      </c>
      <c r="AE100" s="96" t="str">
        <f t="shared" si="45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100" s="93" t="str">
        <f t="shared" si="46"/>
        <v>"C:\Program Files (x86)\AstroGrep\AstroGrep.exe" /spath="%USERPROFILE%\AppData\Local\Temp\OnboardLogs" /stypes="*4011*20160909*" /stext=" 21:.+((SYSTEM_STATE.+slice.+state.+changed )|(ment ac)|(system.+state.+changed )|(\|lc)|(penalty)|(\[timeout)|(PRM\|1\|D)|(kpr)|(kdp))" /e /r /s</v>
      </c>
      <c r="AG100" s="1" t="str">
        <f t="shared" si="47"/>
        <v>EC</v>
      </c>
      <c r="AH100" s="97" t="str">
        <f t="shared" si="48"/>
        <v>"%USERPROFILE%\Documents\GitHub\eaglep3\Utilities\RefineRTDCRunTimes.py" --tripid 187-09 --locoid 4011 --swversion DE.1.0.7.0 --startMP 204:438 --initTime 2016-09-09T14:25:37 --startdatetime 2016-09-09T14:30:25 --delay 5 --endMP 204:233323 --enddatetime 2016-09-09T15:07:28 --enforcementcount 1 &gt;&gt;C:\Users\stu\Documents\GitHub\eaglep3-reporting\EC\2016-09-09-refined-times.txt</v>
      </c>
      <c r="AI10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{"issue":{"subject":"","project_id":79,"tracker_id":40,"status_id":1,"priority_id":2,"assigned_to_id":23,"start_date":"2016-09-09","description":"","custom_fields":[{"id":1,"name":"Subdivision","value":"EC"},{"id":4,"name":"Milepost","value":"23.2885"},{"id":17,"name":"Train ID","value":"187-09"},{"id":16,"name":"Locomotive ID","value":"4011"},{"id":130,"name":"Impact","value":""},{"id":150,"name":"Time of Event (Mountain Time)","value":"15:07:28"},{"id":151,"name":"Denver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38" s="22" customFormat="1" x14ac:dyDescent="0.25">
      <c r="A101" s="38" t="s">
        <v>515</v>
      </c>
      <c r="B101" s="7">
        <v>4012</v>
      </c>
      <c r="C101" s="23" t="s">
        <v>108</v>
      </c>
      <c r="D101" s="23" t="s">
        <v>516</v>
      </c>
      <c r="E101" s="15">
        <v>42622.639270833337</v>
      </c>
      <c r="F101" s="15">
        <v>42622.643518518518</v>
      </c>
      <c r="G101" s="7">
        <v>1</v>
      </c>
      <c r="H101" s="15" t="s">
        <v>517</v>
      </c>
      <c r="I101" s="15">
        <v>42622.672511574077</v>
      </c>
      <c r="J101" s="7">
        <v>1</v>
      </c>
      <c r="K101" s="114" t="str">
        <f t="shared" si="36"/>
        <v>4011/4012</v>
      </c>
      <c r="L101" s="23" t="str">
        <f>VLOOKUP(A101,'Trips&amp;Operators'!$C$1:$E$10000,3,FALSE)</f>
        <v>STEWART</v>
      </c>
      <c r="M101" s="6">
        <f t="shared" si="37"/>
        <v>2.899305555911269E-2</v>
      </c>
      <c r="N101" s="7">
        <f t="shared" si="53"/>
        <v>41.750000005122274</v>
      </c>
      <c r="O101" s="7"/>
      <c r="P101" s="7"/>
      <c r="Q101" s="24"/>
      <c r="R101" s="24"/>
      <c r="S101" s="36">
        <f t="shared" si="52"/>
        <v>1</v>
      </c>
      <c r="T101" s="51" t="str">
        <f t="shared" si="38"/>
        <v>Southbound</v>
      </c>
      <c r="U101" s="17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14:20:33-0600',mode:absolute,to:'2016-09-09 17:08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1" s="179" t="str">
        <f t="shared" si="40"/>
        <v>N</v>
      </c>
      <c r="X101" s="179">
        <f t="shared" si="54"/>
        <v>1</v>
      </c>
      <c r="Y101" s="66">
        <f t="shared" si="41"/>
        <v>23.299399999999999</v>
      </c>
      <c r="Z101" s="66">
        <f t="shared" si="42"/>
        <v>1.9199999999999998E-2</v>
      </c>
      <c r="AA101" s="66">
        <f t="shared" si="43"/>
        <v>23.280199999999997</v>
      </c>
      <c r="AB101" s="63" t="e">
        <f>VLOOKUP(A101,Enforcements!$C$7:$K$21,8,0)</f>
        <v>#N/A</v>
      </c>
      <c r="AC101" s="59" t="e">
        <f>VLOOKUP(A101,Enforcements!$C$7:$E$21,3,0)</f>
        <v>#N/A</v>
      </c>
      <c r="AD101" s="60" t="str">
        <f t="shared" si="44"/>
        <v>0188-09</v>
      </c>
      <c r="AE101" s="96" t="str">
        <f t="shared" si="45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101" s="93" t="str">
        <f t="shared" si="46"/>
        <v>"C:\Program Files (x86)\AstroGrep\AstroGrep.exe" /spath="%USERPROFILE%\AppData\Local\Temp\OnboardLogs" /stypes="*4012*20160909*" /stext=" 22:.+((SYSTEM_STATE.+slice.+state.+changed )|(ment ac)|(system.+state.+changed )|(\|lc)|(penalty)|(\[timeout)|(PRM\|1\|D)|(kpr)|(kdp))" /e /r /s</v>
      </c>
      <c r="AG101" s="1" t="str">
        <f t="shared" si="47"/>
        <v>EC</v>
      </c>
      <c r="AH101" s="97" t="str">
        <f t="shared" si="48"/>
        <v>"%USERPROFILE%\Documents\GitHub\eaglep3\Utilities\RefineRTDCRunTimes.py" --tripid 188-09 --locoid 4012 --swversion DE.1.0.7.0 --startMP 204:232994 --initTime 2016-09-09T15:20:33 --startdatetime 2016-09-09T15:26:40 --delay 1 --endMP 204:192 --enddatetime 2016-09-09T16:08:25 --enforcementcount 1 &gt;&gt;C:\Users\stu\Documents\GitHub\eaglep3-reporting\EC\2016-09-09-refined-times.txt</v>
      </c>
      <c r="AI10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{"issue":{"subject":"","project_id":79,"tracker_id":40,"status_id":1,"priority_id":2,"assigned_to_id":23,"start_date":"2016-09-09","description":"","custom_fields":[{"id":1,"name":"Subdivision","value":"EC"},{"id":4,"name":"Milepost","value":"23.2802"},{"id":17,"name":"Train ID","value":"188-09"},{"id":16,"name":"Locomotive ID","value":"4012"},{"id":130,"name":"Impact","value":""},{"id":150,"name":"Time of Event (Mountain Time)","value":"16:08:25"},{"id":151,"name":"Denver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38" s="22" customFormat="1" x14ac:dyDescent="0.25">
      <c r="A102" s="38" t="s">
        <v>518</v>
      </c>
      <c r="B102" s="7">
        <v>4016</v>
      </c>
      <c r="C102" s="23" t="s">
        <v>108</v>
      </c>
      <c r="D102" s="23" t="s">
        <v>519</v>
      </c>
      <c r="E102" s="15">
        <v>42622.611539351848</v>
      </c>
      <c r="F102" s="15">
        <v>42622.614756944444</v>
      </c>
      <c r="G102" s="7">
        <v>1</v>
      </c>
      <c r="H102" s="15" t="s">
        <v>249</v>
      </c>
      <c r="I102" s="15">
        <v>42622.641006944446</v>
      </c>
      <c r="J102" s="7">
        <v>1</v>
      </c>
      <c r="K102" s="114" t="str">
        <f t="shared" si="36"/>
        <v>4015/4016</v>
      </c>
      <c r="L102" s="23" t="str">
        <f>VLOOKUP(A102,'Trips&amp;Operators'!$C$1:$E$10000,3,FALSE)</f>
        <v>CLARK</v>
      </c>
      <c r="M102" s="6">
        <f t="shared" si="37"/>
        <v>2.6250000002619345E-2</v>
      </c>
      <c r="N102" s="7">
        <f t="shared" si="53"/>
        <v>37.800000003771856</v>
      </c>
      <c r="O102" s="7"/>
      <c r="P102" s="7"/>
      <c r="Q102" s="24"/>
      <c r="R102" s="24"/>
      <c r="S102" s="36">
        <f t="shared" si="52"/>
        <v>1</v>
      </c>
      <c r="T102" s="51" t="str">
        <f t="shared" si="38"/>
        <v>NorthBound</v>
      </c>
      <c r="U102" s="17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13:40:37-0600',mode:absolute,to:'2016-09-09 16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2" s="179" t="str">
        <f t="shared" si="40"/>
        <v>N</v>
      </c>
      <c r="X102" s="179">
        <f t="shared" si="54"/>
        <v>1</v>
      </c>
      <c r="Y102" s="66">
        <f t="shared" si="41"/>
        <v>4.3299999999999998E-2</v>
      </c>
      <c r="Z102" s="66">
        <f t="shared" si="42"/>
        <v>23.330500000000001</v>
      </c>
      <c r="AA102" s="66">
        <f t="shared" si="43"/>
        <v>23.287200000000002</v>
      </c>
      <c r="AB102" s="63" t="e">
        <f>VLOOKUP(A102,Enforcements!$C$7:$K$21,8,0)</f>
        <v>#N/A</v>
      </c>
      <c r="AC102" s="59" t="e">
        <f>VLOOKUP(A102,Enforcements!$C$7:$E$21,3,0)</f>
        <v>#N/A</v>
      </c>
      <c r="AD102" s="60" t="str">
        <f t="shared" si="44"/>
        <v>0189-09</v>
      </c>
      <c r="AE102" s="96" t="str">
        <f t="shared" si="45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02" s="93" t="str">
        <f t="shared" si="46"/>
        <v>"C:\Program Files (x86)\AstroGrep\AstroGrep.exe" /spath="%USERPROFILE%\AppData\Local\Temp\OnboardLogs" /stypes="*4016*20160909*" /stext=" 21:.+((SYSTEM_STATE.+slice.+state.+changed )|(ment ac)|(system.+state.+changed )|(\|lc)|(penalty)|(\[timeout)|(PRM\|1\|D)|(kpr)|(kdp))" /e /r /s</v>
      </c>
      <c r="AG102" s="1" t="str">
        <f t="shared" si="47"/>
        <v>EC</v>
      </c>
      <c r="AH102" s="97" t="str">
        <f t="shared" si="48"/>
        <v>"%USERPROFILE%\Documents\GitHub\eaglep3\Utilities\RefineRTDCRunTimes.py" --tripid 189-09 --locoid 4016 --swversion DE.1.0.7.0 --startMP 204:433 --initTime 2016-09-09T14:40:37 --startdatetime 2016-09-09T14:45:15 --delay 1 --endMP 204:233305 --enddatetime 2016-09-09T15:23:03 --enforcementcount 1 &gt;&gt;C:\Users\stu\Documents\GitHub\eaglep3-reporting\EC\2016-09-09-refined-times.txt</v>
      </c>
      <c r="AI10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{"issue":{"subject":"","project_id":79,"tracker_id":40,"status_id":1,"priority_id":2,"assigned_to_id":23,"start_date":"2016-09-09","description":"","custom_fields":[{"id":1,"name":"Subdivision","value":"EC"},{"id":4,"name":"Milepost","value":"23.2872"},{"id":17,"name":"Train ID","value":"189-09"},{"id":16,"name":"Locomotive ID","value":"4016"},{"id":130,"name":"Impact","value":""},{"id":150,"name":"Time of Event (Mountain Time)","value":"15:23:03"},{"id":151,"name":"Denver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</row>
    <row r="103" spans="1:38" x14ac:dyDescent="0.25">
      <c r="A103" s="38" t="s">
        <v>520</v>
      </c>
      <c r="B103" s="7">
        <v>4015</v>
      </c>
      <c r="C103" s="23" t="s">
        <v>108</v>
      </c>
      <c r="D103" s="23" t="s">
        <v>329</v>
      </c>
      <c r="E103" s="15">
        <v>42622.648796296293</v>
      </c>
      <c r="F103" s="15">
        <v>42622.653692129628</v>
      </c>
      <c r="G103" s="7">
        <v>1</v>
      </c>
      <c r="H103" s="15" t="s">
        <v>521</v>
      </c>
      <c r="I103" s="15">
        <v>42622.684687499997</v>
      </c>
      <c r="J103" s="7">
        <v>1</v>
      </c>
      <c r="K103" s="114" t="str">
        <f t="shared" si="36"/>
        <v>4015/4016</v>
      </c>
      <c r="L103" s="23" t="str">
        <f>VLOOKUP(A103,'Trips&amp;Operators'!$C$1:$E$10000,3,FALSE)</f>
        <v>CLARK</v>
      </c>
      <c r="M103" s="6">
        <f t="shared" si="37"/>
        <v>3.0995370369055308E-2</v>
      </c>
      <c r="N103" s="7">
        <f t="shared" si="53"/>
        <v>44.633333331439644</v>
      </c>
      <c r="O103" s="7"/>
      <c r="P103" s="7"/>
      <c r="Q103" s="24"/>
      <c r="R103" s="24"/>
      <c r="S103" s="36">
        <f t="shared" si="52"/>
        <v>1</v>
      </c>
      <c r="T103" s="51" t="str">
        <f t="shared" si="38"/>
        <v>Southbound</v>
      </c>
      <c r="U103" s="17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14:34:16-0600',mode:absolute,to:'2016-09-09 17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3" s="179" t="str">
        <f t="shared" si="40"/>
        <v>N</v>
      </c>
      <c r="X103" s="179">
        <f t="shared" si="54"/>
        <v>1</v>
      </c>
      <c r="Y103" s="66">
        <f t="shared" si="41"/>
        <v>23.298400000000001</v>
      </c>
      <c r="Z103" s="66">
        <f t="shared" si="42"/>
        <v>2.1600000000000001E-2</v>
      </c>
      <c r="AA103" s="66">
        <f t="shared" si="43"/>
        <v>23.276800000000001</v>
      </c>
      <c r="AB103" s="63" t="e">
        <f>VLOOKUP(A103,Enforcements!$C$7:$K$21,8,0)</f>
        <v>#N/A</v>
      </c>
      <c r="AC103" s="59" t="e">
        <f>VLOOKUP(A103,Enforcements!$C$7:$E$21,3,0)</f>
        <v>#N/A</v>
      </c>
      <c r="AD103" s="60" t="str">
        <f t="shared" si="44"/>
        <v>0190-09</v>
      </c>
      <c r="AE103" s="96" t="str">
        <f t="shared" si="45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103" s="93" t="str">
        <f t="shared" si="46"/>
        <v>"C:\Program Files (x86)\AstroGrep\AstroGrep.exe" /spath="%USERPROFILE%\AppData\Local\Temp\OnboardLogs" /stypes="*4015*20160909*" /stext=" 22:.+((SYSTEM_STATE.+slice.+state.+changed )|(ment ac)|(system.+state.+changed )|(\|lc)|(penalty)|(\[timeout)|(PRM\|1\|D)|(kpr)|(kdp))" /e /r /s</v>
      </c>
      <c r="AG103" s="1" t="str">
        <f t="shared" si="47"/>
        <v>EC</v>
      </c>
      <c r="AH103" s="97" t="str">
        <f t="shared" si="48"/>
        <v>"%USERPROFILE%\Documents\GitHub\eaglep3\Utilities\RefineRTDCRunTimes.py" --tripid 190-09 --locoid 4015 --swversion DE.1.0.7.0 --startMP 204:232984 --initTime 2016-09-09T15:34:16 --startdatetime 2016-09-09T15:41:19 --delay 1 --endMP 204:216 --enddatetime 2016-09-09T16:25:57 --enforcementcount 1 &gt;&gt;C:\Users\stu\Documents\GitHub\eaglep3-reporting\EC\2016-09-09-refined-times.txt</v>
      </c>
      <c r="AI103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{"issue":{"subject":"","project_id":79,"tracker_id":40,"status_id":1,"priority_id":2,"assigned_to_id":23,"start_date":"2016-09-09","description":"","custom_fields":[{"id":1,"name":"Subdivision","value":"EC"},{"id":4,"name":"Milepost","value":"23.2768"},{"id":17,"name":"Train ID","value":"190-09"},{"id":16,"name":"Locomotive ID","value":"4015"},{"id":130,"name":"Impact","value":""},{"id":150,"name":"Time of Event (Mountain Time)","value":"16:25:57"},{"id":151,"name":"Denver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</row>
    <row r="104" spans="1:38" s="22" customFormat="1" x14ac:dyDescent="0.25">
      <c r="A104" s="38" t="s">
        <v>522</v>
      </c>
      <c r="B104" s="7">
        <v>4025</v>
      </c>
      <c r="C104" s="23" t="s">
        <v>108</v>
      </c>
      <c r="D104" s="23" t="s">
        <v>523</v>
      </c>
      <c r="E104" s="15">
        <v>42622.622534722221</v>
      </c>
      <c r="F104" s="15">
        <v>42622.625208333331</v>
      </c>
      <c r="G104" s="7">
        <v>1</v>
      </c>
      <c r="H104" s="15" t="s">
        <v>253</v>
      </c>
      <c r="I104" s="15">
        <v>42622.651319444441</v>
      </c>
      <c r="J104" s="7">
        <v>1</v>
      </c>
      <c r="K104" s="114" t="str">
        <f t="shared" si="36"/>
        <v>4025/4026</v>
      </c>
      <c r="L104" s="23" t="str">
        <f>VLOOKUP(A104,'Trips&amp;Operators'!$C$1:$E$10000,3,FALSE)</f>
        <v>BONDS</v>
      </c>
      <c r="M104" s="6">
        <f t="shared" si="37"/>
        <v>2.6111111110367347E-2</v>
      </c>
      <c r="N104" s="7">
        <f t="shared" si="53"/>
        <v>37.599999998928979</v>
      </c>
      <c r="O104" s="7"/>
      <c r="P104" s="7"/>
      <c r="Q104" s="24"/>
      <c r="R104" s="24"/>
      <c r="S104" s="36">
        <f t="shared" si="52"/>
        <v>1</v>
      </c>
      <c r="T104" s="51" t="str">
        <f t="shared" si="38"/>
        <v>NorthBound</v>
      </c>
      <c r="U104" s="17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13:56:27-0600',mode:absolute,to:'2016-09-09 16:37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04" s="179" t="str">
        <f t="shared" si="40"/>
        <v>N</v>
      </c>
      <c r="X104" s="179">
        <f t="shared" si="54"/>
        <v>1</v>
      </c>
      <c r="Y104" s="66">
        <f t="shared" si="41"/>
        <v>4.9500000000000002E-2</v>
      </c>
      <c r="Z104" s="66">
        <f t="shared" si="42"/>
        <v>23.330200000000001</v>
      </c>
      <c r="AA104" s="66">
        <f t="shared" si="43"/>
        <v>23.280700000000003</v>
      </c>
      <c r="AB104" s="63" t="e">
        <f>VLOOKUP(A104,Enforcements!$C$7:$K$21,8,0)</f>
        <v>#N/A</v>
      </c>
      <c r="AC104" s="59" t="e">
        <f>VLOOKUP(A104,Enforcements!$C$7:$E$21,3,0)</f>
        <v>#N/A</v>
      </c>
      <c r="AD104" s="60" t="str">
        <f t="shared" si="44"/>
        <v>0191-09</v>
      </c>
      <c r="AE104" s="96" t="str">
        <f t="shared" si="45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04" s="93" t="str">
        <f t="shared" si="46"/>
        <v>"C:\Program Files (x86)\AstroGrep\AstroGrep.exe" /spath="%USERPROFILE%\AppData\Local\Temp\OnboardLogs" /stypes="*4025*20160909*" /stext=" 21:.+((SYSTEM_STATE.+slice.+state.+changed )|(ment ac)|(system.+state.+changed )|(\|lc)|(penalty)|(\[timeout)|(PRM\|1\|D)|(kpr)|(kdp))" /e /r /s</v>
      </c>
      <c r="AG104" s="1" t="str">
        <f t="shared" si="47"/>
        <v>EC</v>
      </c>
      <c r="AH104" s="97" t="str">
        <f t="shared" si="48"/>
        <v>"%USERPROFILE%\Documents\GitHub\eaglep3\Utilities\RefineRTDCRunTimes.py" --tripid 191-09 --locoid 4025 --swversion DE.1.0.7.0 --startMP 204:495 --initTime 2016-09-09T14:56:27 --startdatetime 2016-09-09T15:00:18 --delay 1 --endMP 204:233302 --enddatetime 2016-09-09T15:37:54 --enforcementcount 1 &gt;&gt;C:\Users\stu\Documents\GitHub\eaglep3-reporting\EC\2016-09-09-refined-times.txt</v>
      </c>
      <c r="AI10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{"issue":{"subject":"","project_id":79,"tracker_id":40,"status_id":1,"priority_id":2,"assigned_to_id":23,"start_date":"2016-09-09","description":"","custom_fields":[{"id":1,"name":"Subdivision","value":"EC"},{"id":4,"name":"Milepost","value":"23.2807"},{"id":17,"name":"Train ID","value":"191-09"},{"id":16,"name":"Locomotive ID","value":"4025"},{"id":130,"name":"Impact","value":""},{"id":150,"name":"Time of Event (Mountain Time)","value":"15:37:54"},{"id":151,"name":"Denver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38" x14ac:dyDescent="0.25">
      <c r="A105" s="38" t="s">
        <v>524</v>
      </c>
      <c r="B105" s="7">
        <v>4026</v>
      </c>
      <c r="C105" s="23" t="s">
        <v>108</v>
      </c>
      <c r="D105" s="23" t="s">
        <v>516</v>
      </c>
      <c r="E105" s="15">
        <v>42622.656435185185</v>
      </c>
      <c r="F105" s="15">
        <v>42622.664293981485</v>
      </c>
      <c r="G105" s="7">
        <v>1</v>
      </c>
      <c r="H105" s="15" t="s">
        <v>330</v>
      </c>
      <c r="I105" s="15">
        <v>42622.693726851852</v>
      </c>
      <c r="J105" s="7">
        <v>1</v>
      </c>
      <c r="K105" s="114" t="str">
        <f t="shared" si="36"/>
        <v>4025/4026</v>
      </c>
      <c r="L105" s="23" t="str">
        <f>VLOOKUP(A105,'Trips&amp;Operators'!$C$1:$E$10000,3,FALSE)</f>
        <v>BONDS</v>
      </c>
      <c r="M105" s="6">
        <f t="shared" si="37"/>
        <v>2.9432870367600117E-2</v>
      </c>
      <c r="N105" s="7">
        <f t="shared" si="53"/>
        <v>42.383333329344168</v>
      </c>
      <c r="O105" s="7"/>
      <c r="P105" s="7"/>
      <c r="Q105" s="24"/>
      <c r="R105" s="24"/>
      <c r="S105" s="36">
        <f t="shared" si="52"/>
        <v>1</v>
      </c>
      <c r="T105" s="51" t="str">
        <f t="shared" si="38"/>
        <v>Southbound</v>
      </c>
      <c r="U105" s="17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14:45:16-0600',mode:absolute,to:'2016-09-09 17:38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5" s="179" t="str">
        <f t="shared" si="40"/>
        <v>N</v>
      </c>
      <c r="X105" s="179">
        <f t="shared" ref="X105:X113" si="55">VALUE(LEFT(AD105,4))-VALUE(LEFT(AD104,4))</f>
        <v>1</v>
      </c>
      <c r="Y105" s="66">
        <f t="shared" si="41"/>
        <v>23.299399999999999</v>
      </c>
      <c r="Z105" s="66">
        <f t="shared" si="42"/>
        <v>1.3599999999999999E-2</v>
      </c>
      <c r="AA105" s="66">
        <f t="shared" si="43"/>
        <v>23.285799999999998</v>
      </c>
      <c r="AB105" s="63" t="e">
        <f>VLOOKUP(A105,Enforcements!$C$7:$K$21,8,0)</f>
        <v>#N/A</v>
      </c>
      <c r="AC105" s="59" t="e">
        <f>VLOOKUP(A105,Enforcements!$C$7:$E$21,3,0)</f>
        <v>#N/A</v>
      </c>
      <c r="AD105" s="60" t="str">
        <f t="shared" si="44"/>
        <v>0192-09</v>
      </c>
      <c r="AE105" s="96" t="str">
        <f t="shared" si="45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05" s="93" t="str">
        <f t="shared" si="46"/>
        <v>"C:\Program Files (x86)\AstroGrep\AstroGrep.exe" /spath="%USERPROFILE%\AppData\Local\Temp\OnboardLogs" /stypes="*4026*20160909*" /stext=" 22:.+((SYSTEM_STATE.+slice.+state.+changed )|(ment ac)|(system.+state.+changed )|(\|lc)|(penalty)|(\[timeout)|(PRM\|1\|D)|(kpr)|(kdp))" /e /r /s</v>
      </c>
      <c r="AG105" s="1" t="str">
        <f t="shared" si="47"/>
        <v>EC</v>
      </c>
      <c r="AH105" s="97" t="str">
        <f t="shared" si="48"/>
        <v>"%USERPROFILE%\Documents\GitHub\eaglep3\Utilities\RefineRTDCRunTimes.py" --tripid 192-09 --locoid 4026 --swversion DE.1.0.7.0 --startMP 204:232994 --initTime 2016-09-09T15:45:16 --startdatetime 2016-09-09T15:56:35 --delay 1 --endMP 204:136 --enddatetime 2016-09-09T16:38:58 --enforcementcount 1 &gt;&gt;C:\Users\stu\Documents\GitHub\eaglep3-reporting\EC\2016-09-09-refined-times.txt</v>
      </c>
      <c r="AI105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{"issue":{"subject":"","project_id":79,"tracker_id":40,"status_id":1,"priority_id":2,"assigned_to_id":23,"start_date":"2016-09-09","description":"","custom_fields":[{"id":1,"name":"Subdivision","value":"EC"},{"id":4,"name":"Milepost","value":"23.2858"},{"id":17,"name":"Train ID","value":"192-09"},{"id":16,"name":"Locomotive ID","value":"4026"},{"id":130,"name":"Impact","value":""},{"id":150,"name":"Time of Event (Mountain Time)","value":"16:38:58"},{"id":151,"name":"Denver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</row>
    <row r="106" spans="1:38" s="22" customFormat="1" x14ac:dyDescent="0.25">
      <c r="A106" s="38" t="s">
        <v>525</v>
      </c>
      <c r="B106" s="7">
        <v>4031</v>
      </c>
      <c r="C106" s="23" t="s">
        <v>108</v>
      </c>
      <c r="D106" s="23" t="s">
        <v>526</v>
      </c>
      <c r="E106" s="15">
        <v>42622.632847222223</v>
      </c>
      <c r="F106" s="15">
        <v>42622.635601851849</v>
      </c>
      <c r="G106" s="7">
        <v>1</v>
      </c>
      <c r="H106" s="15" t="s">
        <v>254</v>
      </c>
      <c r="I106" s="15">
        <v>42622.66138888889</v>
      </c>
      <c r="J106" s="7">
        <v>1</v>
      </c>
      <c r="K106" s="114" t="str">
        <f t="shared" si="36"/>
        <v>4031/4032</v>
      </c>
      <c r="L106" s="23" t="str">
        <f>VLOOKUP(A106,'Trips&amp;Operators'!$C$1:$E$10000,3,FALSE)</f>
        <v>MOSES</v>
      </c>
      <c r="M106" s="6">
        <f t="shared" si="37"/>
        <v>2.5787037040572613E-2</v>
      </c>
      <c r="N106" s="7">
        <f t="shared" si="53"/>
        <v>37.133333338424563</v>
      </c>
      <c r="O106" s="7"/>
      <c r="P106" s="7"/>
      <c r="Q106" s="24"/>
      <c r="R106" s="24"/>
      <c r="S106" s="36">
        <f t="shared" si="52"/>
        <v>1</v>
      </c>
      <c r="T106" s="51" t="str">
        <f t="shared" si="38"/>
        <v>NorthBound</v>
      </c>
      <c r="U106" s="17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14:11:18-0600',mode:absolute,to:'2016-09-09 16:52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6" s="179" t="str">
        <f t="shared" si="40"/>
        <v>N</v>
      </c>
      <c r="X106" s="179">
        <f t="shared" si="55"/>
        <v>1</v>
      </c>
      <c r="Y106" s="66">
        <f t="shared" si="41"/>
        <v>4.3499999999999997E-2</v>
      </c>
      <c r="Z106" s="66">
        <f t="shared" si="42"/>
        <v>23.328800000000001</v>
      </c>
      <c r="AA106" s="66">
        <f t="shared" si="43"/>
        <v>23.285299999999999</v>
      </c>
      <c r="AB106" s="63" t="e">
        <f>VLOOKUP(A106,Enforcements!$C$7:$K$21,8,0)</f>
        <v>#N/A</v>
      </c>
      <c r="AC106" s="59" t="e">
        <f>VLOOKUP(A106,Enforcements!$C$7:$E$21,3,0)</f>
        <v>#N/A</v>
      </c>
      <c r="AD106" s="60" t="str">
        <f t="shared" si="44"/>
        <v>0193-09</v>
      </c>
      <c r="AE106" s="96" t="str">
        <f t="shared" si="45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106" s="93" t="str">
        <f t="shared" si="46"/>
        <v>"C:\Program Files (x86)\AstroGrep\AstroGrep.exe" /spath="%USERPROFILE%\AppData\Local\Temp\OnboardLogs" /stypes="*4031*20160909*" /stext=" 21:.+((SYSTEM_STATE.+slice.+state.+changed )|(ment ac)|(system.+state.+changed )|(\|lc)|(penalty)|(\[timeout)|(PRM\|1\|D)|(kpr)|(kdp))" /e /r /s</v>
      </c>
      <c r="AG106" s="1" t="str">
        <f t="shared" si="47"/>
        <v>EC</v>
      </c>
      <c r="AH106" s="97" t="str">
        <f t="shared" si="48"/>
        <v>"%USERPROFILE%\Documents\GitHub\eaglep3\Utilities\RefineRTDCRunTimes.py" --tripid 193-09 --locoid 4031 --swversion DE.1.0.7.0 --startMP 204:435 --initTime 2016-09-09T15:11:18 --startdatetime 2016-09-09T15:15:16 --delay 1 --endMP 204:233288 --enddatetime 2016-09-09T15:52:24 --enforcementcount 1 &gt;&gt;C:\Users\stu\Documents\GitHub\eaglep3-reporting\EC\2016-09-09-refined-times.txt</v>
      </c>
      <c r="AI106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{"issue":{"subject":"","project_id":79,"tracker_id":40,"status_id":1,"priority_id":2,"assigned_to_id":23,"start_date":"2016-09-09","description":"","custom_fields":[{"id":1,"name":"Subdivision","value":"EC"},{"id":4,"name":"Milepost","value":"23.2853"},{"id":17,"name":"Train ID","value":"193-09"},{"id":16,"name":"Locomotive ID","value":"4031"},{"id":130,"name":"Impact","value":""},{"id":150,"name":"Time of Event (Mountain Time)","value":"15:52:24"},{"id":151,"name":"Denver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38" x14ac:dyDescent="0.25">
      <c r="A107" s="38" t="s">
        <v>527</v>
      </c>
      <c r="B107" s="7">
        <v>4032</v>
      </c>
      <c r="C107" s="23" t="s">
        <v>108</v>
      </c>
      <c r="D107" s="23" t="s">
        <v>250</v>
      </c>
      <c r="E107" s="15">
        <v>42622.670497685183</v>
      </c>
      <c r="F107" s="15">
        <v>42622.674699074072</v>
      </c>
      <c r="G107" s="7">
        <v>1</v>
      </c>
      <c r="H107" s="15" t="s">
        <v>479</v>
      </c>
      <c r="I107" s="15">
        <v>42622.704884259256</v>
      </c>
      <c r="J107" s="7">
        <v>1</v>
      </c>
      <c r="K107" s="114" t="str">
        <f t="shared" si="36"/>
        <v>4031/4032</v>
      </c>
      <c r="L107" s="23" t="str">
        <f>VLOOKUP(A107,'Trips&amp;Operators'!$C$1:$E$10000,3,FALSE)</f>
        <v>MOSES</v>
      </c>
      <c r="M107" s="6">
        <f t="shared" si="37"/>
        <v>3.0185185183654539E-2</v>
      </c>
      <c r="N107" s="7">
        <f t="shared" si="53"/>
        <v>43.466666664462537</v>
      </c>
      <c r="O107" s="7"/>
      <c r="P107" s="7"/>
      <c r="Q107" s="24"/>
      <c r="R107" s="24"/>
      <c r="S107" s="36">
        <f t="shared" si="52"/>
        <v>1</v>
      </c>
      <c r="T107" s="51" t="str">
        <f t="shared" si="38"/>
        <v>Southbound</v>
      </c>
      <c r="U107" s="17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15:05:31-0600',mode:absolute,to:'2016-09-09 17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7" s="179" t="str">
        <f t="shared" si="40"/>
        <v>N</v>
      </c>
      <c r="X107" s="179">
        <f t="shared" si="55"/>
        <v>1</v>
      </c>
      <c r="Y107" s="66">
        <f t="shared" si="41"/>
        <v>23.298999999999999</v>
      </c>
      <c r="Z107" s="66">
        <f t="shared" si="42"/>
        <v>1.38E-2</v>
      </c>
      <c r="AA107" s="66">
        <f t="shared" si="43"/>
        <v>23.2852</v>
      </c>
      <c r="AB107" s="63" t="e">
        <f>VLOOKUP(A107,Enforcements!$C$7:$K$21,8,0)</f>
        <v>#N/A</v>
      </c>
      <c r="AC107" s="59" t="e">
        <f>VLOOKUP(A107,Enforcements!$C$7:$E$21,3,0)</f>
        <v>#N/A</v>
      </c>
      <c r="AD107" s="60" t="str">
        <f t="shared" si="44"/>
        <v>0194-09</v>
      </c>
      <c r="AE107" s="96" t="str">
        <f t="shared" si="45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107" s="93" t="str">
        <f t="shared" si="46"/>
        <v>"C:\Program Files (x86)\AstroGrep\AstroGrep.exe" /spath="%USERPROFILE%\AppData\Local\Temp\OnboardLogs" /stypes="*4032*20160909*" /stext=" 22:.+((SYSTEM_STATE.+slice.+state.+changed )|(ment ac)|(system.+state.+changed )|(\|lc)|(penalty)|(\[timeout)|(PRM\|1\|D)|(kpr)|(kdp))" /e /r /s</v>
      </c>
      <c r="AG107" s="1" t="str">
        <f t="shared" si="47"/>
        <v>EC</v>
      </c>
      <c r="AH107" s="97" t="str">
        <f t="shared" si="48"/>
        <v>"%USERPROFILE%\Documents\GitHub\eaglep3\Utilities\RefineRTDCRunTimes.py" --tripid 194-09 --locoid 4032 --swversion DE.1.0.7.0 --startMP 204:232990 --initTime 2016-09-09T16:05:31 --startdatetime 2016-09-09T16:11:34 --delay 1 --endMP 204:138 --enddatetime 2016-09-09T16:55:02 --enforcementcount 1 &gt;&gt;C:\Users\stu\Documents\GitHub\eaglep3-reporting\EC\2016-09-09-refined-times.txt</v>
      </c>
      <c r="AI10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{"issue":{"subject":"","project_id":79,"tracker_id":40,"status_id":1,"priority_id":2,"assigned_to_id":23,"start_date":"2016-09-09","description":"","custom_fields":[{"id":1,"name":"Subdivision","value":"EC"},{"id":4,"name":"Milepost","value":"23.2852"},{"id":17,"name":"Train ID","value":"194-09"},{"id":16,"name":"Locomotive ID","value":"4032"},{"id":130,"name":"Impact","value":""},{"id":150,"name":"Time of Event (Mountain Time)","value":"16:55:02"},{"id":151,"name":"Denver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38" s="22" customFormat="1" x14ac:dyDescent="0.25">
      <c r="A108" s="38" t="s">
        <v>528</v>
      </c>
      <c r="B108" s="7">
        <v>4018</v>
      </c>
      <c r="C108" s="23" t="s">
        <v>108</v>
      </c>
      <c r="D108" s="23" t="s">
        <v>315</v>
      </c>
      <c r="E108" s="15">
        <v>42622.642974537041</v>
      </c>
      <c r="F108" s="15">
        <v>42622.646284722221</v>
      </c>
      <c r="G108" s="7">
        <v>2</v>
      </c>
      <c r="H108" s="15" t="s">
        <v>260</v>
      </c>
      <c r="I108" s="15">
        <v>42622.674780092595</v>
      </c>
      <c r="J108" s="7">
        <v>1</v>
      </c>
      <c r="K108" s="114" t="str">
        <f t="shared" si="36"/>
        <v>4017/4018</v>
      </c>
      <c r="L108" s="23" t="str">
        <f>VLOOKUP(A108,'Trips&amp;Operators'!$C$1:$E$10000,3,FALSE)</f>
        <v>ADANE</v>
      </c>
      <c r="M108" s="6">
        <f t="shared" si="37"/>
        <v>2.849537037400296E-2</v>
      </c>
      <c r="N108" s="7">
        <f t="shared" si="53"/>
        <v>41.033333338564262</v>
      </c>
      <c r="O108" s="7"/>
      <c r="P108" s="7"/>
      <c r="Q108" s="24"/>
      <c r="R108" s="24"/>
      <c r="S108" s="36">
        <f t="shared" si="52"/>
        <v>1</v>
      </c>
      <c r="T108" s="51" t="str">
        <f t="shared" si="38"/>
        <v>NorthBound</v>
      </c>
      <c r="U108" s="17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78" t="str">
        <f t="shared" si="39"/>
        <v>https://search-rtdc-monitor-bjffxe2xuh6vdkpspy63sjmuny.us-east-1.es.amazonaws.com/_plugin/kibana/#/discover/Steve-Slow-Train-Analysis-(2080s-and-2083s)?_g=(refreshInterval:(display:Off,section:0,value:0),time:(from:'2016-09-09 14:25:53-0600',mode:absolute,to:'2016-09-09 17:11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08" s="179" t="str">
        <f t="shared" si="40"/>
        <v>N</v>
      </c>
      <c r="X108" s="179">
        <f t="shared" si="55"/>
        <v>1</v>
      </c>
      <c r="Y108" s="66">
        <f t="shared" si="41"/>
        <v>4.58E-2</v>
      </c>
      <c r="Z108" s="66">
        <f t="shared" si="42"/>
        <v>23.3278</v>
      </c>
      <c r="AA108" s="66">
        <f t="shared" si="43"/>
        <v>23.282</v>
      </c>
      <c r="AB108" s="63" t="e">
        <f>VLOOKUP(A108,Enforcements!$C$7:$K$21,8,0)</f>
        <v>#N/A</v>
      </c>
      <c r="AC108" s="59" t="e">
        <f>VLOOKUP(A108,Enforcements!$C$7:$E$21,3,0)</f>
        <v>#N/A</v>
      </c>
      <c r="AD108" s="60" t="str">
        <f t="shared" si="44"/>
        <v>0195-09</v>
      </c>
      <c r="AE108" s="96" t="str">
        <f t="shared" si="45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08" s="93" t="str">
        <f t="shared" si="46"/>
        <v>"C:\Program Files (x86)\AstroGrep\AstroGrep.exe" /spath="%USERPROFILE%\AppData\Local\Temp\OnboardLogs" /stypes="*4018*20160909*" /stext=" 22:.+((SYSTEM_STATE.+slice.+state.+changed )|(ment ac)|(system.+state.+changed )|(\|lc)|(penalty)|(\[timeout)|(PRM\|1\|D)|(kpr)|(kdp))" /e /r /s</v>
      </c>
      <c r="AG108" s="1" t="str">
        <f t="shared" si="47"/>
        <v>EC</v>
      </c>
      <c r="AH108" s="97" t="str">
        <f t="shared" si="48"/>
        <v>"%USERPROFILE%\Documents\GitHub\eaglep3\Utilities\RefineRTDCRunTimes.py" --tripid 195-09 --locoid 4018 --swversion DE.1.0.7.0 --startMP 204:458 --initTime 2016-09-09T15:25:53 --startdatetime 2016-09-09T15:30:39 --delay 2 --endMP 204:233278 --enddatetime 2016-09-09T16:11:41 --enforcementcount 1 &gt;&gt;C:\Users\stu\Documents\GitHub\eaglep3-reporting\EC\2016-09-09-refined-times.txt</v>
      </c>
      <c r="AI10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{"issue":{"subject":"","project_id":79,"tracker_id":40,"status_id":1,"priority_id":2,"assigned_to_id":23,"start_date":"2016-09-09","description":"","custom_fields":[{"id":1,"name":"Subdivision","value":"EC"},{"id":4,"name":"Milepost","value":"23.282"},{"id":17,"name":"Train ID","value":"195-09"},{"id":16,"name":"Locomotive ID","value":"4018"},{"id":130,"name":"Impact","value":""},{"id":150,"name":"Time of Event (Mountain Time)","value":"16:11:41"},{"id":151,"name":"Denver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38" s="22" customFormat="1" x14ac:dyDescent="0.25">
      <c r="A109" s="38" t="s">
        <v>529</v>
      </c>
      <c r="B109" s="7">
        <v>4017</v>
      </c>
      <c r="C109" s="23" t="s">
        <v>108</v>
      </c>
      <c r="D109" s="23" t="s">
        <v>530</v>
      </c>
      <c r="E109" s="15">
        <v>42622.684155092589</v>
      </c>
      <c r="F109" s="15">
        <v>42622.685439814813</v>
      </c>
      <c r="G109" s="7">
        <v>2</v>
      </c>
      <c r="H109" s="15" t="s">
        <v>479</v>
      </c>
      <c r="I109" s="15">
        <v>42622.713888888888</v>
      </c>
      <c r="J109" s="7">
        <v>1</v>
      </c>
      <c r="K109" s="114" t="str">
        <f t="shared" ref="K109:K140" si="56">IF(ISEVEN(B109),(B109-1)&amp;"/"&amp;B109,B109&amp;"/"&amp;(B109+1))</f>
        <v>4017/4018</v>
      </c>
      <c r="L109" s="23" t="str">
        <f>VLOOKUP(A109,'Trips&amp;Operators'!$C$1:$E$10000,3,FALSE)</f>
        <v>ADANE</v>
      </c>
      <c r="M109" s="6">
        <f t="shared" ref="M109:M140" si="57">I109-F109</f>
        <v>2.8449074074160308E-2</v>
      </c>
      <c r="N109" s="7">
        <f t="shared" si="53"/>
        <v>40.966666666790843</v>
      </c>
      <c r="O109" s="7"/>
      <c r="P109" s="7"/>
      <c r="Q109" s="24"/>
      <c r="R109" s="24"/>
      <c r="S109" s="36">
        <f t="shared" si="52"/>
        <v>1</v>
      </c>
      <c r="T109" s="51" t="str">
        <f t="shared" ref="T109:T140" si="58">IF(ISEVEN(LEFT(AD109,4)),"Southbound","NorthBound")</f>
        <v>Southbound</v>
      </c>
      <c r="U109" s="17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78" t="str">
        <f t="shared" ref="V109:V140" si="59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https://search-rtdc-monitor-bjffxe2xuh6vdkpspy63sjmuny.us-east-1.es.amazonaws.com/_plugin/kibana/#/discover/Steve-Slow-Train-Analysis-(2080s-and-2083s)?_g=(refreshInterval:(display:Off,section:0,value:0),time:(from:'2016-09-09 15:25:11-0600',mode:absolute,to:'2016-09-09 18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09" s="179" t="str">
        <f t="shared" ref="W109:W140" si="60">IF(AA109&lt;IF(AG109="EC",23,5.65),"Y","N")</f>
        <v>N</v>
      </c>
      <c r="X109" s="179">
        <f t="shared" si="55"/>
        <v>1</v>
      </c>
      <c r="Y109" s="66">
        <v>23.3</v>
      </c>
      <c r="Z109" s="66">
        <f t="shared" ref="Z109:Z140" si="61">RIGHT(H109,LEN(H109)-4)/10000</f>
        <v>1.38E-2</v>
      </c>
      <c r="AA109" s="66">
        <f t="shared" ref="AA109:AA140" si="62">ABS(Z109-Y109)</f>
        <v>23.286200000000001</v>
      </c>
      <c r="AB109" s="63" t="e">
        <f>VLOOKUP(A109,Enforcements!$C$7:$K$21,8,0)</f>
        <v>#N/A</v>
      </c>
      <c r="AC109" s="59" t="e">
        <f>VLOOKUP(A109,Enforcements!$C$7:$E$21,3,0)</f>
        <v>#N/A</v>
      </c>
      <c r="AD109" s="60" t="str">
        <f t="shared" ref="AD109:AD140" si="63">IF(LEN(A109)=6,"0"&amp;A109,A109)</f>
        <v>0196-09</v>
      </c>
      <c r="AE109" s="96" t="str">
        <f t="shared" ref="AE109:AE140" si="64">"aws s3 cp "&amp;s3_bucket&amp;"/RTDC"&amp;B109&amp;"/"&amp;TEXT(F109,"YYYY-MM-DD")&amp;"/ "&amp;search_path&amp;"\RTDC"&amp;B109&amp;"\"&amp;TEXT(F109,"YYYY-MM-DD")&amp;" --recursive &amp; """&amp;walkandungz&amp;""" "&amp;search_path&amp;"\RTDC"&amp;B109&amp;"\"&amp;TEXT(F109,"YYYY-MM-DD")
&amp;" &amp; "&amp;"aws s3 cp "&amp;s3_bucket&amp;"/RTDC"&amp;B109&amp;"/"&amp;TEXT(F109+1,"YYYY-MM-DD")&amp;"/ "&amp;search_path&amp;"\RTDC"&amp;B109&amp;"\"&amp;TEXT(F109+1,"YYYY-MM-DD")&amp;" --recursive &amp; """&amp;walkandungz&amp;""" "&amp;search_path&amp;"\RTDC"&amp;B109&amp;"\"&amp;TEXT(F109+1,"YYYY-MM-DD")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109" s="93" t="str">
        <f t="shared" ref="AF109:AF140" si="65">astrogrep_path&amp;" /spath="&amp;search_path&amp;" /stypes=""*"&amp;B109&amp;"*"&amp;TEXT(I109-utc_offset/24,"YYYYMMDD")&amp;"*"" /stext="" "&amp;TEXT(I109-utc_offset/24,"HH")&amp;search_regexp&amp;""" /e /r /s"</f>
        <v>"C:\Program Files (x86)\AstroGrep\AstroGrep.exe" /spath="%USERPROFILE%\AppData\Local\Temp\OnboardLogs" /stypes="*4017*20160909*" /stext=" 23:.+((SYSTEM_STATE.+slice.+state.+changed )|(ment ac)|(system.+state.+changed )|(\|lc)|(penalty)|(\[timeout)|(PRM\|1\|D)|(kpr)|(kdp))" /e /r /s</v>
      </c>
      <c r="AG109" s="1" t="str">
        <f t="shared" ref="AG109:AG140" si="66">IFERROR(IF(VALUE(LEFT(AD109,2))&lt;=2,"EC",IF(OR(VALUE(LEFT(AD109,2))=8,VALUE(LEFT(AD109,2))=18),"NW","Other")),"Other")</f>
        <v>EC</v>
      </c>
      <c r="AH109" s="97" t="str">
        <f t="shared" si="48"/>
        <v>"%USERPROFILE%\Documents\GitHub\eaglep3\Utilities\RefineRTDCRunTimes.py" --tripid 196-09 --locoid 4017 --swversion DE.1.0.7.0 --startMP 204:228660 --initTime 2016-09-09T16:25:11 --startdatetime 2016-09-09T16:27:02 --delay 2 --endMP 204:138 --enddatetime 2016-09-09T17:08:00 --enforcementcount 1 &gt;&gt;C:\Users\stu\Documents\GitHub\eaglep3-reporting\EC\2016-09-09-refined-times.txt</v>
      </c>
      <c r="AI10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{"issue":{"subject":"","project_id":79,"tracker_id":40,"status_id":1,"priority_id":2,"assigned_to_id":23,"start_date":"2016-09-09","description":"","custom_fields":[{"id":1,"name":"Subdivision","value":"EC"},{"id":4,"name":"Milepost","value":"23.2862"},{"id":17,"name":"Train ID","value":"196-09"},{"id":16,"name":"Locomotive ID","value":"4017"},{"id":130,"name":"Impact","value":""},{"id":150,"name":"Time of Event (Mountain Time)","value":"17:08:00"},{"id":151,"name":"Denver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</row>
    <row r="110" spans="1:38" s="22" customFormat="1" x14ac:dyDescent="0.25">
      <c r="A110" s="38" t="s">
        <v>531</v>
      </c>
      <c r="B110" s="7">
        <v>4009</v>
      </c>
      <c r="C110" s="23" t="s">
        <v>108</v>
      </c>
      <c r="D110" s="23" t="s">
        <v>281</v>
      </c>
      <c r="E110" s="15">
        <v>42622.652650462966</v>
      </c>
      <c r="F110" s="15">
        <v>42622.656423611108</v>
      </c>
      <c r="G110" s="7">
        <v>1</v>
      </c>
      <c r="H110" s="15" t="s">
        <v>532</v>
      </c>
      <c r="I110" s="15">
        <v>42622.684525462966</v>
      </c>
      <c r="J110" s="7">
        <v>1</v>
      </c>
      <c r="K110" s="114" t="str">
        <f t="shared" si="56"/>
        <v>4009/4010</v>
      </c>
      <c r="L110" s="23" t="str">
        <f>VLOOKUP(A110,'Trips&amp;Operators'!$C$1:$E$10000,3,FALSE)</f>
        <v>SHOOK</v>
      </c>
      <c r="M110" s="6">
        <f t="shared" si="57"/>
        <v>2.8101851858082227E-2</v>
      </c>
      <c r="N110" s="7">
        <f t="shared" si="53"/>
        <v>40.466666675638407</v>
      </c>
      <c r="O110" s="7"/>
      <c r="P110" s="7"/>
      <c r="Q110" s="24"/>
      <c r="R110" s="24"/>
      <c r="S110" s="36">
        <f t="shared" si="52"/>
        <v>1</v>
      </c>
      <c r="T110" s="51" t="str">
        <f t="shared" si="58"/>
        <v>NorthBound</v>
      </c>
      <c r="U110" s="17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14:39:49-0600',mode:absolute,to:'2016-09-09 17:25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10" s="179" t="str">
        <f t="shared" si="60"/>
        <v>N</v>
      </c>
      <c r="X110" s="179">
        <f t="shared" si="55"/>
        <v>1</v>
      </c>
      <c r="Y110" s="66">
        <f t="shared" ref="Y110:Y153" si="67">RIGHT(D110,LEN(D110)-4)/10000</f>
        <v>4.5499999999999999E-2</v>
      </c>
      <c r="Z110" s="66">
        <f t="shared" si="61"/>
        <v>23.334099999999999</v>
      </c>
      <c r="AA110" s="66">
        <f t="shared" si="62"/>
        <v>23.288599999999999</v>
      </c>
      <c r="AB110" s="63" t="e">
        <f>VLOOKUP(A110,Enforcements!$C$7:$K$21,8,0)</f>
        <v>#N/A</v>
      </c>
      <c r="AC110" s="59" t="e">
        <f>VLOOKUP(A110,Enforcements!$C$7:$E$21,3,0)</f>
        <v>#N/A</v>
      </c>
      <c r="AD110" s="60" t="str">
        <f t="shared" si="63"/>
        <v>0197-09</v>
      </c>
      <c r="AE110" s="96" t="str">
        <f t="shared" si="64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110" s="93" t="str">
        <f t="shared" si="65"/>
        <v>"C:\Program Files (x86)\AstroGrep\AstroGrep.exe" /spath="%USERPROFILE%\AppData\Local\Temp\OnboardLogs" /stypes="*4009*20160909*" /stext=" 22:.+((SYSTEM_STATE.+slice.+state.+changed )|(ment ac)|(system.+state.+changed )|(\|lc)|(penalty)|(\[timeout)|(PRM\|1\|D)|(kpr)|(kdp))" /e /r /s</v>
      </c>
      <c r="AG110" s="1" t="str">
        <f t="shared" si="66"/>
        <v>EC</v>
      </c>
      <c r="AH110" s="97" t="str">
        <f t="shared" si="48"/>
        <v>"%USERPROFILE%\Documents\GitHub\eaglep3\Utilities\RefineRTDCRunTimes.py" --tripid 197-09 --locoid 4009 --swversion DE.1.0.7.0 --startMP 204:455 --initTime 2016-09-09T15:39:49 --startdatetime 2016-09-09T15:45:15 --delay 1 --endMP 204:233341 --enddatetime 2016-09-09T16:25:43 --enforcementcount 1 &gt;&gt;C:\Users\stu\Documents\GitHub\eaglep3-reporting\EC\2016-09-09-refined-times.txt</v>
      </c>
      <c r="AI11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{"issue":{"subject":"","project_id":79,"tracker_id":40,"status_id":1,"priority_id":2,"assigned_to_id":23,"start_date":"2016-09-09","description":"","custom_fields":[{"id":1,"name":"Subdivision","value":"EC"},{"id":4,"name":"Milepost","value":"23.2886"},{"id":17,"name":"Train ID","value":"197-09"},{"id":16,"name":"Locomotive ID","value":"4009"},{"id":130,"name":"Impact","value":""},{"id":150,"name":"Time of Event (Mountain Time)","value":"16:25:43"},{"id":151,"name":"Denver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</row>
    <row r="111" spans="1:38" s="22" customFormat="1" x14ac:dyDescent="0.25">
      <c r="A111" s="38" t="s">
        <v>533</v>
      </c>
      <c r="B111" s="7">
        <v>4010</v>
      </c>
      <c r="C111" s="23" t="s">
        <v>108</v>
      </c>
      <c r="D111" s="23" t="s">
        <v>534</v>
      </c>
      <c r="E111" s="15">
        <v>42622.689050925925</v>
      </c>
      <c r="F111" s="15">
        <v>42622.695462962962</v>
      </c>
      <c r="G111" s="7">
        <v>1</v>
      </c>
      <c r="H111" s="15" t="s">
        <v>305</v>
      </c>
      <c r="I111" s="15">
        <v>42622.723819444444</v>
      </c>
      <c r="J111" s="7">
        <v>1</v>
      </c>
      <c r="K111" s="114" t="str">
        <f t="shared" si="56"/>
        <v>4009/4010</v>
      </c>
      <c r="L111" s="23" t="str">
        <f>VLOOKUP(A111,'Trips&amp;Operators'!$C$1:$E$10000,3,FALSE)</f>
        <v>SHOOK</v>
      </c>
      <c r="M111" s="6">
        <f t="shared" si="57"/>
        <v>2.8356481481750961E-2</v>
      </c>
      <c r="N111" s="7">
        <f t="shared" si="53"/>
        <v>40.833333333721384</v>
      </c>
      <c r="O111" s="7"/>
      <c r="P111" s="7"/>
      <c r="Q111" s="24"/>
      <c r="R111" s="24"/>
      <c r="S111" s="36">
        <f t="shared" si="52"/>
        <v>1</v>
      </c>
      <c r="T111" s="51" t="str">
        <f t="shared" si="58"/>
        <v>Southbound</v>
      </c>
      <c r="U111" s="17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15:32:14-0600',mode:absolute,to:'2016-09-09 18:22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11" s="179" t="str">
        <f t="shared" si="60"/>
        <v>N</v>
      </c>
      <c r="X111" s="179">
        <f t="shared" si="55"/>
        <v>1</v>
      </c>
      <c r="Y111" s="66">
        <f t="shared" si="67"/>
        <v>23.303599999999999</v>
      </c>
      <c r="Z111" s="66">
        <f t="shared" si="61"/>
        <v>1.3899999999999999E-2</v>
      </c>
      <c r="AA111" s="66">
        <f t="shared" si="62"/>
        <v>23.2897</v>
      </c>
      <c r="AB111" s="63" t="e">
        <f>VLOOKUP(A111,Enforcements!$C$7:$K$21,8,0)</f>
        <v>#N/A</v>
      </c>
      <c r="AC111" s="59" t="e">
        <f>VLOOKUP(A111,Enforcements!$C$7:$E$21,3,0)</f>
        <v>#N/A</v>
      </c>
      <c r="AD111" s="60" t="str">
        <f t="shared" si="63"/>
        <v>0198-09</v>
      </c>
      <c r="AE111" s="96" t="str">
        <f t="shared" si="64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111" s="93" t="str">
        <f t="shared" si="65"/>
        <v>"C:\Program Files (x86)\AstroGrep\AstroGrep.exe" /spath="%USERPROFILE%\AppData\Local\Temp\OnboardLogs" /stypes="*4010*20160909*" /stext=" 23:.+((SYSTEM_STATE.+slice.+state.+changed )|(ment ac)|(system.+state.+changed )|(\|lc)|(penalty)|(\[timeout)|(PRM\|1\|D)|(kpr)|(kdp))" /e /r /s</v>
      </c>
      <c r="AG111" s="1" t="str">
        <f t="shared" si="66"/>
        <v>EC</v>
      </c>
      <c r="AH111" s="97" t="str">
        <f t="shared" si="48"/>
        <v>"%USERPROFILE%\Documents\GitHub\eaglep3\Utilities\RefineRTDCRunTimes.py" --tripid 198-09 --locoid 4010 --swversion DE.1.0.7.0 --startMP 204:233036 --initTime 2016-09-09T16:32:14 --startdatetime 2016-09-09T16:41:28 --delay 1 --endMP 204:139 --enddatetime 2016-09-09T17:22:18 --enforcementcount 1 &gt;&gt;C:\Users\stu\Documents\GitHub\eaglep3-reporting\EC\2016-09-09-refined-times.txt</v>
      </c>
      <c r="AI11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{"issue":{"subject":"","project_id":79,"tracker_id":40,"status_id":1,"priority_id":2,"assigned_to_id":23,"start_date":"2016-09-09","description":"","custom_fields":[{"id":1,"name":"Subdivision","value":"EC"},{"id":4,"name":"Milepost","value":"23.2897"},{"id":17,"name":"Train ID","value":"198-09"},{"id":16,"name":"Locomotive ID","value":"4010"},{"id":130,"name":"Impact","value":""},{"id":150,"name":"Time of Event (Mountain Time)","value":"17:22:18"},{"id":151,"name":"Denver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</row>
    <row r="112" spans="1:38" s="22" customFormat="1" x14ac:dyDescent="0.25">
      <c r="A112" s="38" t="s">
        <v>535</v>
      </c>
      <c r="B112" s="7">
        <v>4020</v>
      </c>
      <c r="C112" s="23" t="s">
        <v>108</v>
      </c>
      <c r="D112" s="23" t="s">
        <v>308</v>
      </c>
      <c r="E112" s="15">
        <v>42622.663055555553</v>
      </c>
      <c r="F112" s="15">
        <v>42622.667025462964</v>
      </c>
      <c r="G112" s="7">
        <v>1</v>
      </c>
      <c r="H112" s="15" t="s">
        <v>346</v>
      </c>
      <c r="I112" s="15">
        <v>42622.692037037035</v>
      </c>
      <c r="J112" s="7">
        <v>1</v>
      </c>
      <c r="K112" s="114" t="str">
        <f t="shared" si="56"/>
        <v>4019/4020</v>
      </c>
      <c r="L112" s="23" t="str">
        <f>VLOOKUP(A112,'Trips&amp;Operators'!$C$1:$E$10000,3,FALSE)</f>
        <v>ISHMAEL</v>
      </c>
      <c r="M112" s="6">
        <f t="shared" si="57"/>
        <v>2.5011574070958886E-2</v>
      </c>
      <c r="N112" s="7">
        <f t="shared" si="53"/>
        <v>36.016666662180796</v>
      </c>
      <c r="O112" s="7"/>
      <c r="P112" s="7"/>
      <c r="Q112" s="24"/>
      <c r="R112" s="24"/>
      <c r="S112" s="36">
        <f t="shared" si="52"/>
        <v>1</v>
      </c>
      <c r="T112" s="51" t="str">
        <f t="shared" si="58"/>
        <v>NorthBound</v>
      </c>
      <c r="U112" s="17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14:54:48-0600',mode:absolute,to:'2016-09-09 17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2" s="179" t="str">
        <f t="shared" si="60"/>
        <v>N</v>
      </c>
      <c r="X112" s="179">
        <f t="shared" si="55"/>
        <v>1</v>
      </c>
      <c r="Y112" s="66">
        <f t="shared" si="67"/>
        <v>4.4200000000000003E-2</v>
      </c>
      <c r="Z112" s="66">
        <f t="shared" si="61"/>
        <v>23.3323</v>
      </c>
      <c r="AA112" s="66">
        <f t="shared" si="62"/>
        <v>23.2881</v>
      </c>
      <c r="AB112" s="63" t="e">
        <f>VLOOKUP(A112,Enforcements!$C$7:$K$21,8,0)</f>
        <v>#N/A</v>
      </c>
      <c r="AC112" s="59" t="e">
        <f>VLOOKUP(A112,Enforcements!$C$7:$E$21,3,0)</f>
        <v>#N/A</v>
      </c>
      <c r="AD112" s="60" t="str">
        <f t="shared" si="63"/>
        <v>0199-09</v>
      </c>
      <c r="AE112" s="96" t="str">
        <f t="shared" si="64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12" s="93" t="str">
        <f t="shared" si="65"/>
        <v>"C:\Program Files (x86)\AstroGrep\AstroGrep.exe" /spath="%USERPROFILE%\AppData\Local\Temp\OnboardLogs" /stypes="*4020*20160909*" /stext=" 22:.+((SYSTEM_STATE.+slice.+state.+changed )|(ment ac)|(system.+state.+changed )|(\|lc)|(penalty)|(\[timeout)|(PRM\|1\|D)|(kpr)|(kdp))" /e /r /s</v>
      </c>
      <c r="AG112" s="1" t="str">
        <f t="shared" si="66"/>
        <v>EC</v>
      </c>
      <c r="AH112" s="97" t="str">
        <f t="shared" si="48"/>
        <v>"%USERPROFILE%\Documents\GitHub\eaglep3\Utilities\RefineRTDCRunTimes.py" --tripid 199-09 --locoid 4020 --swversion DE.1.0.7.0 --startMP 204:442 --initTime 2016-09-09T15:54:48 --startdatetime 2016-09-09T16:00:31 --delay 1 --endMP 204:233323 --enddatetime 2016-09-09T16:36:32 --enforcementcount 1 &gt;&gt;C:\Users\stu\Documents\GitHub\eaglep3-reporting\EC\2016-09-09-refined-times.txt</v>
      </c>
      <c r="AI11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{"issue":{"subject":"","project_id":79,"tracker_id":40,"status_id":1,"priority_id":2,"assigned_to_id":23,"start_date":"2016-09-09","description":"","custom_fields":[{"id":1,"name":"Subdivision","value":"EC"},{"id":4,"name":"Milepost","value":"23.2881"},{"id":17,"name":"Train ID","value":"199-09"},{"id":16,"name":"Locomotive ID","value":"4020"},{"id":130,"name":"Impact","value":""},{"id":150,"name":"Time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</row>
    <row r="113" spans="1:38" s="22" customFormat="1" x14ac:dyDescent="0.25">
      <c r="A113" s="38" t="s">
        <v>536</v>
      </c>
      <c r="B113" s="7">
        <v>4019</v>
      </c>
      <c r="C113" s="23" t="s">
        <v>108</v>
      </c>
      <c r="D113" s="23" t="s">
        <v>328</v>
      </c>
      <c r="E113" s="15">
        <v>42622.700891203705</v>
      </c>
      <c r="F113" s="15">
        <v>42622.70584490741</v>
      </c>
      <c r="G113" s="7">
        <v>1</v>
      </c>
      <c r="H113" s="15" t="s">
        <v>132</v>
      </c>
      <c r="I113" s="15">
        <v>42622.734444444446</v>
      </c>
      <c r="J113" s="7">
        <v>1</v>
      </c>
      <c r="K113" s="114" t="str">
        <f t="shared" si="56"/>
        <v>4019/4020</v>
      </c>
      <c r="L113" s="23" t="str">
        <f>VLOOKUP(A113,'Trips&amp;Operators'!$C$1:$E$10000,3,FALSE)</f>
        <v>ISHMAEL</v>
      </c>
      <c r="M113" s="6">
        <f t="shared" si="57"/>
        <v>2.8599537035916001E-2</v>
      </c>
      <c r="N113" s="7">
        <f t="shared" si="53"/>
        <v>41.183333331719041</v>
      </c>
      <c r="O113" s="7"/>
      <c r="P113" s="7"/>
      <c r="Q113" s="24"/>
      <c r="R113" s="24"/>
      <c r="S113" s="36">
        <f t="shared" si="52"/>
        <v>1</v>
      </c>
      <c r="T113" s="51" t="str">
        <f t="shared" si="58"/>
        <v>Southbound</v>
      </c>
      <c r="U113" s="17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15:49:17-0600',mode:absolute,to:'2016-09-09 18:37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13" s="179" t="str">
        <f t="shared" si="60"/>
        <v>N</v>
      </c>
      <c r="X113" s="179">
        <f t="shared" si="55"/>
        <v>1</v>
      </c>
      <c r="Y113" s="66">
        <f t="shared" si="67"/>
        <v>23.299299999999999</v>
      </c>
      <c r="Z113" s="66">
        <f t="shared" si="61"/>
        <v>1.54E-2</v>
      </c>
      <c r="AA113" s="66">
        <f t="shared" si="62"/>
        <v>23.283899999999999</v>
      </c>
      <c r="AB113" s="63" t="e">
        <f>VLOOKUP(A113,Enforcements!$C$7:$K$21,8,0)</f>
        <v>#N/A</v>
      </c>
      <c r="AC113" s="59" t="e">
        <f>VLOOKUP(A113,Enforcements!$C$7:$E$21,3,0)</f>
        <v>#N/A</v>
      </c>
      <c r="AD113" s="60" t="str">
        <f t="shared" si="63"/>
        <v>0200-09</v>
      </c>
      <c r="AE113" s="96" t="str">
        <f t="shared" si="64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113" s="93" t="str">
        <f t="shared" si="65"/>
        <v>"C:\Program Files (x86)\AstroGrep\AstroGrep.exe" /spath="%USERPROFILE%\AppData\Local\Temp\OnboardLogs" /stypes="*4019*20160909*" /stext=" 23:.+((SYSTEM_STATE.+slice.+state.+changed )|(ment ac)|(system.+state.+changed )|(\|lc)|(penalty)|(\[timeout)|(PRM\|1\|D)|(kpr)|(kdp))" /e /r /s</v>
      </c>
      <c r="AG113" s="1" t="str">
        <f t="shared" si="66"/>
        <v>EC</v>
      </c>
      <c r="AH113" s="97" t="str">
        <f t="shared" si="48"/>
        <v>"%USERPROFILE%\Documents\GitHub\eaglep3\Utilities\RefineRTDCRunTimes.py" --tripid 200-09 --locoid 4019 --swversion DE.1.0.7.0 --startMP 204:232993 --initTime 2016-09-09T16:49:17 --startdatetime 2016-09-09T16:56:25 --delay 1 --endMP 204:154 --enddatetime 2016-09-09T17:37:36 --enforcementcount 1 &gt;&gt;C:\Users\stu\Documents\GitHub\eaglep3-reporting\EC\2016-09-09-refined-times.txt</v>
      </c>
      <c r="AI113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{"issue":{"subject":"","project_id":79,"tracker_id":40,"status_id":1,"priority_id":2,"assigned_to_id":23,"start_date":"2016-09-09","description":"","custom_fields":[{"id":1,"name":"Subdivision","value":"EC"},{"id":4,"name":"Milepost","value":"23.2839"},{"id":17,"name":"Train ID","value":"200-09"},{"id":16,"name":"Locomotive ID","value":"4019"},{"id":130,"name":"Impact","value":""},{"id":150,"name":"Time of Event (Mountain Time)","value":"17:37:36"},{"id":151,"name":"Denver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</row>
    <row r="114" spans="1:38" x14ac:dyDescent="0.25">
      <c r="A114" s="38" t="s">
        <v>537</v>
      </c>
      <c r="B114" s="7">
        <v>4011</v>
      </c>
      <c r="C114" s="23" t="s">
        <v>108</v>
      </c>
      <c r="D114" s="23" t="s">
        <v>477</v>
      </c>
      <c r="E114" s="15">
        <v>42622.674247685187</v>
      </c>
      <c r="F114" s="15">
        <v>42622.677777777775</v>
      </c>
      <c r="G114" s="7">
        <v>1</v>
      </c>
      <c r="H114" s="15" t="s">
        <v>258</v>
      </c>
      <c r="I114" s="15">
        <v>42622.703368055554</v>
      </c>
      <c r="J114" s="7">
        <v>1</v>
      </c>
      <c r="K114" s="114" t="str">
        <f t="shared" si="56"/>
        <v>4011/4012</v>
      </c>
      <c r="L114" s="23" t="str">
        <f>VLOOKUP(A114,'Trips&amp;Operators'!$C$1:$E$10000,3,FALSE)</f>
        <v>STEWART</v>
      </c>
      <c r="M114" s="6">
        <f t="shared" si="57"/>
        <v>2.5590277778974269E-2</v>
      </c>
      <c r="N114" s="7">
        <f t="shared" si="53"/>
        <v>36.850000001722947</v>
      </c>
      <c r="O114" s="7"/>
      <c r="P114" s="7"/>
      <c r="Q114" s="24"/>
      <c r="R114" s="24"/>
      <c r="S114" s="36">
        <f t="shared" si="52"/>
        <v>1</v>
      </c>
      <c r="T114" s="51" t="str">
        <f t="shared" si="58"/>
        <v>NorthBound</v>
      </c>
      <c r="U114" s="17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15:10:55-0600',mode:absolute,to:'2016-09-09 17:52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14" s="179" t="str">
        <f t="shared" si="60"/>
        <v>N</v>
      </c>
      <c r="X114" s="179">
        <f t="shared" ref="X114:X120" si="68">VALUE(LEFT(AD114,4))-VALUE(LEFT(AD113,4))</f>
        <v>1</v>
      </c>
      <c r="Y114" s="66">
        <f t="shared" si="67"/>
        <v>4.9099999999999998E-2</v>
      </c>
      <c r="Z114" s="66">
        <f t="shared" si="61"/>
        <v>23.3291</v>
      </c>
      <c r="AA114" s="66">
        <f t="shared" si="62"/>
        <v>23.28</v>
      </c>
      <c r="AB114" s="63" t="e">
        <f>VLOOKUP(A114,Enforcements!$C$7:$K$21,8,0)</f>
        <v>#N/A</v>
      </c>
      <c r="AC114" s="59" t="e">
        <f>VLOOKUP(A114,Enforcements!$C$7:$E$21,3,0)</f>
        <v>#N/A</v>
      </c>
      <c r="AD114" s="60" t="str">
        <f t="shared" si="63"/>
        <v>0201-09</v>
      </c>
      <c r="AE114" s="96" t="str">
        <f t="shared" si="64"/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AF114" s="93" t="str">
        <f t="shared" si="65"/>
        <v>"C:\Program Files (x86)\AstroGrep\AstroGrep.exe" /spath="%USERPROFILE%\AppData\Local\Temp\OnboardLogs" /stypes="*4011*20160909*" /stext=" 22:.+((SYSTEM_STATE.+slice.+state.+changed )|(ment ac)|(system.+state.+changed )|(\|lc)|(penalty)|(\[timeout)|(PRM\|1\|D)|(kpr)|(kdp))" /e /r /s</v>
      </c>
      <c r="AG114" s="1" t="str">
        <f t="shared" si="66"/>
        <v>EC</v>
      </c>
      <c r="AH114" s="97" t="str">
        <f t="shared" si="48"/>
        <v>"%USERPROFILE%\Documents\GitHub\eaglep3\Utilities\RefineRTDCRunTimes.py" --tripid 201-09 --locoid 4011 --swversion DE.1.0.7.0 --startMP 204:491 --initTime 2016-09-09T16:10:55 --startdatetime 2016-09-09T16:16:00 --delay 1 --endMP 204:233291 --enddatetime 2016-09-09T16:52:51 --enforcementcount 1 &gt;&gt;C:\Users\stu\Documents\GitHub\eaglep3-reporting\EC\2016-09-09-refined-times.txt</v>
      </c>
      <c r="AI11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{"issue":{"subject":"","project_id":79,"tracker_id":40,"status_id":1,"priority_id":2,"assigned_to_id":23,"start_date":"2016-09-09","description":"","custom_fields":[{"id":1,"name":"Subdivision","value":"EC"},{"id":4,"name":"Milepost","value":"23.28"},{"id":17,"name":"Train ID","value":"201-09"},{"id":16,"name":"Locomotive ID","value":"4011"},{"id":130,"name":"Impact","value":""},{"id":150,"name":"Time of Event (Mountain Time)","value":"16:52:51"},{"id":151,"name":"Denver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</row>
    <row r="115" spans="1:38" s="22" customFormat="1" x14ac:dyDescent="0.25">
      <c r="A115" s="38" t="s">
        <v>736</v>
      </c>
      <c r="B115" s="7">
        <v>4012</v>
      </c>
      <c r="C115" s="23" t="s">
        <v>108</v>
      </c>
      <c r="D115" s="23" t="s">
        <v>477</v>
      </c>
      <c r="E115" s="15">
        <v>42622.674247685187</v>
      </c>
      <c r="F115" s="15">
        <v>42622.71429398148</v>
      </c>
      <c r="G115" s="7">
        <v>1</v>
      </c>
      <c r="H115" s="15" t="s">
        <v>258</v>
      </c>
      <c r="I115" s="15">
        <v>42622.721550925926</v>
      </c>
      <c r="J115" s="7">
        <v>1</v>
      </c>
      <c r="K115" s="114" t="str">
        <f t="shared" si="56"/>
        <v>4011/4012</v>
      </c>
      <c r="L115" s="23" t="str">
        <f>VLOOKUP(A115,'Trips&amp;Operators'!$C$1:$E$10000,3,FALSE)</f>
        <v>STEWART</v>
      </c>
      <c r="M115" s="6">
        <f t="shared" si="57"/>
        <v>7.2569444455439225E-3</v>
      </c>
      <c r="N115" s="7"/>
      <c r="O115" s="7"/>
      <c r="P115" s="7">
        <f>24*60*SUM($M115:$M115)</f>
        <v>10.450000001583248</v>
      </c>
      <c r="Q115" s="24"/>
      <c r="R115" s="24" t="s">
        <v>750</v>
      </c>
      <c r="S115" s="36">
        <f t="shared" si="52"/>
        <v>0</v>
      </c>
      <c r="T115" s="177" t="str">
        <f t="shared" si="58"/>
        <v>Southbound</v>
      </c>
      <c r="U115" s="17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15:10:55-0600',mode:absolute,to:'2016-09-09 18:19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15" s="179" t="str">
        <f t="shared" si="60"/>
        <v>N</v>
      </c>
      <c r="X115" s="179">
        <f t="shared" si="68"/>
        <v>1</v>
      </c>
      <c r="Y115" s="66">
        <f t="shared" si="67"/>
        <v>4.9099999999999998E-2</v>
      </c>
      <c r="Z115" s="66">
        <f t="shared" si="61"/>
        <v>23.3291</v>
      </c>
      <c r="AA115" s="66">
        <f t="shared" si="62"/>
        <v>23.28</v>
      </c>
      <c r="AB115" s="63" t="e">
        <f>VLOOKUP(A115,Enforcements!$C$7:$K$21,8,0)</f>
        <v>#N/A</v>
      </c>
      <c r="AC115" s="59" t="e">
        <f>VLOOKUP(A115,Enforcements!$C$7:$E$21,3,0)</f>
        <v>#N/A</v>
      </c>
      <c r="AD115" s="60" t="str">
        <f t="shared" si="63"/>
        <v>0202-09</v>
      </c>
      <c r="AE115" s="96" t="str">
        <f t="shared" si="64"/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AF115" s="93" t="str">
        <f t="shared" si="65"/>
        <v>"C:\Program Files (x86)\AstroGrep\AstroGrep.exe" /spath="%USERPROFILE%\AppData\Local\Temp\OnboardLogs" /stypes="*4012*20160909*" /stext=" 23:.+((SYSTEM_STATE.+slice.+state.+changed )|(ment ac)|(system.+state.+changed )|(\|lc)|(penalty)|(\[timeout)|(PRM\|1\|D)|(kpr)|(kdp))" /e /r /s</v>
      </c>
      <c r="AG115" s="1" t="str">
        <f t="shared" si="66"/>
        <v>EC</v>
      </c>
      <c r="AH115" s="97" t="str">
        <f t="shared" ref="AH115" si="69"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"&amp;J115&amp;IF(outputrefinedruntimes," &gt;&gt;"&amp;RefinedRTDCRunTimesOutputFile,"")</f>
        <v>"%USERPROFILE%\Documents\GitHub\eaglep3\Utilities\RefineRTDCRunTimes.py" --tripid 202-09 --locoid 4012 --swversion DE.1.0.7.0 --startMP 204:491 --initTime 2016-09-09T16:10:55 --startdatetime 2016-09-09T17:08:35 --delay 1 --endMP 204:233291 --enddatetime 2016-09-09T17:19:02 --enforcementcount 1 &gt;&gt;C:\Users\stu\Documents\GitHub\eaglep3-reporting\EC\2016-09-09-refined-times.txt</v>
      </c>
      <c r="AI115" s="129" t="str">
        <f t="shared" ref="AI115" si="70"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AA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-X POST -H ""Content-Type: application/json"" -H ""X-Redmine-API-Key: "&amp;redm_api_key&amp;""" "&amp;redm_url&amp;" --data @-"</f>
        <v>echo {"issue":{"subject":""Consist Update" Issue","project_id":79,"tracker_id":40,"status_id":1,"priority_id":2,"assigned_to_id":23,"start_date":"2016-09-09","description":"","custom_fields":[{"id":1,"name":"Subdivision","value":"EC"},{"id":4,"name":"Milepost","value":"23.28"},{"id":17,"name":"Train ID","value":"202-09"},{"id":16,"name":"Locomotive ID","value":"4012"},{"id":130,"name":"Impact","value":""},{"id":150,"name":"Time of Event (Mountain Time)","value":"17:19:02"},{"id":151,"name":"Denver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</row>
    <row r="116" spans="1:38" s="22" customFormat="1" x14ac:dyDescent="0.25">
      <c r="A116" s="38" t="s">
        <v>538</v>
      </c>
      <c r="B116" s="7">
        <v>4016</v>
      </c>
      <c r="C116" s="23" t="s">
        <v>108</v>
      </c>
      <c r="D116" s="23" t="s">
        <v>539</v>
      </c>
      <c r="E116" s="15">
        <v>42622.704305555555</v>
      </c>
      <c r="F116" s="15">
        <v>42622.706099537034</v>
      </c>
      <c r="G116" s="7">
        <v>1</v>
      </c>
      <c r="H116" s="15" t="s">
        <v>337</v>
      </c>
      <c r="I116" s="15">
        <v>42622.72792824074</v>
      </c>
      <c r="J116" s="7">
        <v>1</v>
      </c>
      <c r="K116" s="114" t="str">
        <f t="shared" si="56"/>
        <v>4015/4016</v>
      </c>
      <c r="L116" s="23" t="str">
        <f>VLOOKUP(A116,'Trips&amp;Operators'!$C$1:$E$10000,3,FALSE)</f>
        <v>CLARK</v>
      </c>
      <c r="M116" s="6">
        <f t="shared" si="57"/>
        <v>2.1828703705978114E-2</v>
      </c>
      <c r="N116" s="7"/>
      <c r="O116" s="7"/>
      <c r="P116" s="7">
        <f>24*60*SUM($M116:$M116)</f>
        <v>31.433333336608484</v>
      </c>
      <c r="Q116" s="24"/>
      <c r="R116" s="24" t="s">
        <v>742</v>
      </c>
      <c r="S116" s="36">
        <f t="shared" si="52"/>
        <v>0.75</v>
      </c>
      <c r="T116" s="177" t="str">
        <f t="shared" si="58"/>
        <v>NorthBound</v>
      </c>
      <c r="U116" s="17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9</v>
      </c>
      <c r="V116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15:54:12-0600',mode:absolute,to:'2016-09-09 18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6" s="179" t="str">
        <f t="shared" si="60"/>
        <v>Y</v>
      </c>
      <c r="X116" s="179">
        <f t="shared" si="68"/>
        <v>1</v>
      </c>
      <c r="Y116" s="66">
        <f t="shared" si="67"/>
        <v>3.7170000000000001</v>
      </c>
      <c r="Z116" s="66">
        <f t="shared" si="61"/>
        <v>23.3325</v>
      </c>
      <c r="AA116" s="66">
        <f t="shared" si="62"/>
        <v>19.615500000000001</v>
      </c>
      <c r="AB116" s="63" t="str">
        <f>VLOOKUP(A116,Enforcements!$C$7:$K$21,8,0)</f>
        <v>Signal based authority (5)</v>
      </c>
      <c r="AC116" s="59" t="str">
        <f>VLOOKUP(A116,Enforcements!$C$7:$E$21,3,0)</f>
        <v>SIGNAL</v>
      </c>
      <c r="AD116" s="60" t="str">
        <f t="shared" si="63"/>
        <v>0203-09</v>
      </c>
      <c r="AE116" s="96" t="str">
        <f t="shared" si="64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16" s="93" t="str">
        <f t="shared" si="65"/>
        <v>"C:\Program Files (x86)\AstroGrep\AstroGrep.exe" /spath="%USERPROFILE%\AppData\Local\Temp\OnboardLogs" /stypes="*4016*20160909*" /stext=" 23:.+((SYSTEM_STATE.+slice.+state.+changed )|(ment ac)|(system.+state.+changed )|(\|lc)|(penalty)|(\[timeout)|(PRM\|1\|D)|(kpr)|(kdp))" /e /r /s</v>
      </c>
      <c r="AG116" s="1" t="str">
        <f t="shared" si="66"/>
        <v>EC</v>
      </c>
      <c r="AH116" s="97" t="str">
        <f t="shared" si="48"/>
        <v>"%USERPROFILE%\Documents\GitHub\eaglep3\Utilities\RefineRTDCRunTimes.py" --tripid 203-09 --locoid 4016 --swversion DE.1.0.7.0 --startMP 204:37170 --initTime 2016-09-09T16:54:12 --startdatetime 2016-09-09T16:56:47 --delay 1 --endMP 204:233325 --enddatetime 2016-09-09T17:28:13 --enforcementcount 1 &gt;&gt;C:\Users\stu\Documents\GitHub\eaglep3-reporting\EC\2016-09-09-refined-times.txt</v>
      </c>
      <c r="AI116" s="129" t="str">
        <f t="shared" si="49"/>
        <v>echo {"issue":{"subject":"Onboard in route failure","project_id":79,"tracker_id":40,"status_id":1,"priority_id":2,"assigned_to_id":23,"start_date":"2016-09-09","description":"","custom_fields":[{"id":1,"name":"Subdivision","value":"EC"},{"id":4,"name":"Milepost","value":"19.6155"},{"id":17,"name":"Train ID","value":"203-09"},{"id":16,"name":"Locomotive ID","value":"4016"},{"id":130,"name":"Impact","value":""},{"id":150,"name":"Time of Event (Mountain Time)","value":"17:28:13"},{"id":151,"name":"Denver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</row>
    <row r="117" spans="1:38" x14ac:dyDescent="0.25">
      <c r="A117" s="38" t="s">
        <v>540</v>
      </c>
      <c r="B117" s="7">
        <v>4015</v>
      </c>
      <c r="C117" s="23" t="s">
        <v>108</v>
      </c>
      <c r="D117" s="23" t="s">
        <v>541</v>
      </c>
      <c r="E117" s="15">
        <v>42622.731111111112</v>
      </c>
      <c r="F117" s="15">
        <v>42622.733159722222</v>
      </c>
      <c r="G117" s="7">
        <v>1</v>
      </c>
      <c r="H117" s="15" t="s">
        <v>305</v>
      </c>
      <c r="I117" s="15">
        <v>42622.761608796296</v>
      </c>
      <c r="J117" s="7">
        <v>1</v>
      </c>
      <c r="K117" s="114" t="str">
        <f t="shared" si="56"/>
        <v>4015/4016</v>
      </c>
      <c r="L117" s="23" t="str">
        <f>VLOOKUP(A117,'Trips&amp;Operators'!$C$1:$E$10000,3,FALSE)</f>
        <v>CLARK</v>
      </c>
      <c r="M117" s="6">
        <f t="shared" si="57"/>
        <v>2.8449074074160308E-2</v>
      </c>
      <c r="N117" s="7">
        <f t="shared" ref="N117:N127" si="71">24*60*SUM($M117:$M117)</f>
        <v>40.966666666790843</v>
      </c>
      <c r="O117" s="7"/>
      <c r="P117" s="7"/>
      <c r="Q117" s="24"/>
      <c r="R117" s="24"/>
      <c r="S117" s="36">
        <f t="shared" si="52"/>
        <v>1</v>
      </c>
      <c r="T117" s="51" t="str">
        <f t="shared" si="58"/>
        <v>Southbound</v>
      </c>
      <c r="U117" s="17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16:32:48-0600',mode:absolute,to:'2016-09-09 19:16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7" s="179" t="str">
        <f t="shared" si="60"/>
        <v>N</v>
      </c>
      <c r="X117" s="179">
        <f t="shared" si="68"/>
        <v>1</v>
      </c>
      <c r="Y117" s="66">
        <f t="shared" si="67"/>
        <v>23.301300000000001</v>
      </c>
      <c r="Z117" s="66">
        <f t="shared" si="61"/>
        <v>1.3899999999999999E-2</v>
      </c>
      <c r="AA117" s="66">
        <f t="shared" si="62"/>
        <v>23.287400000000002</v>
      </c>
      <c r="AB117" s="63" t="e">
        <f>VLOOKUP(A117,Enforcements!$C$7:$K$21,8,0)</f>
        <v>#N/A</v>
      </c>
      <c r="AC117" s="59" t="e">
        <f>VLOOKUP(A117,Enforcements!$C$7:$E$21,3,0)</f>
        <v>#N/A</v>
      </c>
      <c r="AD117" s="60" t="str">
        <f t="shared" si="63"/>
        <v>0204-09</v>
      </c>
      <c r="AE117" s="96" t="str">
        <f t="shared" si="64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117" s="93" t="str">
        <f t="shared" si="65"/>
        <v>"C:\Program Files (x86)\AstroGrep\AstroGrep.exe" /spath="%USERPROFILE%\AppData\Local\Temp\OnboardLogs" /stypes="*4015*20160910*" /stext=" 00:.+((SYSTEM_STATE.+slice.+state.+changed )|(ment ac)|(system.+state.+changed )|(\|lc)|(penalty)|(\[timeout)|(PRM\|1\|D)|(kpr)|(kdp))" /e /r /s</v>
      </c>
      <c r="AG117" s="1" t="str">
        <f t="shared" si="66"/>
        <v>EC</v>
      </c>
      <c r="AH117" s="97" t="str">
        <f t="shared" si="48"/>
        <v>"%USERPROFILE%\Documents\GitHub\eaglep3\Utilities\RefineRTDCRunTimes.py" --tripid 204-09 --locoid 4015 --swversion DE.1.0.7.0 --startMP 204:233013 --initTime 2016-09-09T17:32:48 --startdatetime 2016-09-09T17:35:45 --delay 1 --endMP 204:139 --enddatetime 2016-09-09T18:16:43 --enforcementcount 1 &gt;&gt;C:\Users\stu\Documents\GitHub\eaglep3-reporting\EC\2016-09-09-refined-times.txt</v>
      </c>
      <c r="AI11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{"issue":{"subject":"","project_id":79,"tracker_id":40,"status_id":1,"priority_id":2,"assigned_to_id":23,"start_date":"2016-09-09","description":"","custom_fields":[{"id":1,"name":"Subdivision","value":"EC"},{"id":4,"name":"Milepost","value":"23.2874"},{"id":17,"name":"Train ID","value":"204-09"},{"id":16,"name":"Locomotive ID","value":"4015"},{"id":130,"name":"Impact","value":""},{"id":150,"name":"Time of Event (Mountain Time)","value":"18:16:43"},{"id":151,"name":"Denver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</row>
    <row r="118" spans="1:38" s="22" customFormat="1" x14ac:dyDescent="0.25">
      <c r="A118" s="38" t="s">
        <v>542</v>
      </c>
      <c r="B118" s="7">
        <v>4025</v>
      </c>
      <c r="C118" s="23" t="s">
        <v>108</v>
      </c>
      <c r="D118" s="23" t="s">
        <v>267</v>
      </c>
      <c r="E118" s="15">
        <v>42622.695104166669</v>
      </c>
      <c r="F118" s="15">
        <v>42622.700555555559</v>
      </c>
      <c r="G118" s="7">
        <v>1</v>
      </c>
      <c r="H118" s="15" t="s">
        <v>430</v>
      </c>
      <c r="I118" s="15">
        <v>42622.732858796298</v>
      </c>
      <c r="J118" s="7">
        <v>1</v>
      </c>
      <c r="K118" s="114" t="str">
        <f t="shared" si="56"/>
        <v>4025/4026</v>
      </c>
      <c r="L118" s="23" t="str">
        <f>VLOOKUP(A118,'Trips&amp;Operators'!$C$1:$E$10000,3,FALSE)</f>
        <v>BONDS</v>
      </c>
      <c r="M118" s="6">
        <f t="shared" si="57"/>
        <v>3.2303240739565808E-2</v>
      </c>
      <c r="N118" s="7">
        <f t="shared" si="71"/>
        <v>46.516666664974764</v>
      </c>
      <c r="O118" s="7"/>
      <c r="P118" s="7"/>
      <c r="Q118" s="24"/>
      <c r="R118" s="24"/>
      <c r="S118" s="36">
        <f t="shared" si="52"/>
        <v>1</v>
      </c>
      <c r="T118" s="51" t="str">
        <f t="shared" si="58"/>
        <v>NorthBound</v>
      </c>
      <c r="U118" s="17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15:40:57-0600',mode:absolute,to:'2016-09-09 18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8" s="179" t="str">
        <f t="shared" si="60"/>
        <v>N</v>
      </c>
      <c r="X118" s="179">
        <f t="shared" si="68"/>
        <v>1</v>
      </c>
      <c r="Y118" s="66">
        <f t="shared" si="67"/>
        <v>4.5699999999999998E-2</v>
      </c>
      <c r="Z118" s="66">
        <f t="shared" si="61"/>
        <v>23.327999999999999</v>
      </c>
      <c r="AA118" s="66">
        <f t="shared" si="62"/>
        <v>23.282299999999999</v>
      </c>
      <c r="AB118" s="63" t="e">
        <f>VLOOKUP(A118,Enforcements!$C$7:$K$21,8,0)</f>
        <v>#N/A</v>
      </c>
      <c r="AC118" s="59" t="e">
        <f>VLOOKUP(A118,Enforcements!$C$7:$E$21,3,0)</f>
        <v>#N/A</v>
      </c>
      <c r="AD118" s="60" t="str">
        <f t="shared" si="63"/>
        <v>0205-09</v>
      </c>
      <c r="AE118" s="96" t="str">
        <f t="shared" si="64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18" s="93" t="str">
        <f t="shared" si="65"/>
        <v>"C:\Program Files (x86)\AstroGrep\AstroGrep.exe" /spath="%USERPROFILE%\AppData\Local\Temp\OnboardLogs" /stypes="*4025*20160909*" /stext=" 23:.+((SYSTEM_STATE.+slice.+state.+changed )|(ment ac)|(system.+state.+changed )|(\|lc)|(penalty)|(\[timeout)|(PRM\|1\|D)|(kpr)|(kdp))" /e /r /s</v>
      </c>
      <c r="AG118" s="1" t="str">
        <f t="shared" si="66"/>
        <v>EC</v>
      </c>
      <c r="AH118" s="97" t="str">
        <f t="shared" si="48"/>
        <v>"%USERPROFILE%\Documents\GitHub\eaglep3\Utilities\RefineRTDCRunTimes.py" --tripid 205-09 --locoid 4025 --swversion DE.1.0.7.0 --startMP 204:457 --initTime 2016-09-09T16:40:57 --startdatetime 2016-09-09T16:48:48 --delay 1 --endMP 204:233280 --enddatetime 2016-09-09T17:35:19 --enforcementcount 1 &gt;&gt;C:\Users\stu\Documents\GitHub\eaglep3-reporting\EC\2016-09-09-refined-times.txt</v>
      </c>
      <c r="AI11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{"issue":{"subject":"","project_id":79,"tracker_id":40,"status_id":1,"priority_id":2,"assigned_to_id":23,"start_date":"2016-09-09","description":"","custom_fields":[{"id":1,"name":"Subdivision","value":"EC"},{"id":4,"name":"Milepost","value":"23.2823"},{"id":17,"name":"Train ID","value":"205-09"},{"id":16,"name":"Locomotive ID","value":"4025"},{"id":130,"name":"Impact","value":""},{"id":150,"name":"Time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38" x14ac:dyDescent="0.25">
      <c r="A119" s="38" t="s">
        <v>543</v>
      </c>
      <c r="B119" s="7">
        <v>4026</v>
      </c>
      <c r="C119" s="23" t="s">
        <v>108</v>
      </c>
      <c r="D119" s="23" t="s">
        <v>274</v>
      </c>
      <c r="E119" s="15">
        <v>42622.736006944448</v>
      </c>
      <c r="F119" s="15">
        <v>42622.739201388889</v>
      </c>
      <c r="G119" s="7">
        <v>4</v>
      </c>
      <c r="H119" s="15" t="s">
        <v>305</v>
      </c>
      <c r="I119" s="15">
        <v>42622.768136574072</v>
      </c>
      <c r="J119" s="7">
        <v>1</v>
      </c>
      <c r="K119" s="114" t="str">
        <f t="shared" si="56"/>
        <v>4025/4026</v>
      </c>
      <c r="L119" s="23" t="str">
        <f>VLOOKUP(A119,'Trips&amp;Operators'!$C$1:$E$10000,3,FALSE)</f>
        <v>BONDS</v>
      </c>
      <c r="M119" s="6">
        <f t="shared" si="57"/>
        <v>2.8935185182490386E-2</v>
      </c>
      <c r="N119" s="7">
        <f t="shared" si="71"/>
        <v>41.666666662786156</v>
      </c>
      <c r="O119" s="7"/>
      <c r="P119" s="7"/>
      <c r="Q119" s="24"/>
      <c r="R119" s="24"/>
      <c r="S119" s="36">
        <f t="shared" ref="S119:S127" si="72">SUM(U119:U119)/IF(AG119="EC",12,1)</f>
        <v>1</v>
      </c>
      <c r="T119" s="51" t="str">
        <f t="shared" si="58"/>
        <v>Southbound</v>
      </c>
      <c r="U119" s="17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16:39:51-0600',mode:absolute,to:'2016-09-09 19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9" s="179" t="str">
        <f t="shared" si="60"/>
        <v>N</v>
      </c>
      <c r="X119" s="179">
        <f t="shared" si="68"/>
        <v>1</v>
      </c>
      <c r="Y119" s="66">
        <f t="shared" si="67"/>
        <v>23.296099999999999</v>
      </c>
      <c r="Z119" s="66">
        <f t="shared" si="61"/>
        <v>1.3899999999999999E-2</v>
      </c>
      <c r="AA119" s="66">
        <f t="shared" si="62"/>
        <v>23.2822</v>
      </c>
      <c r="AB119" s="63" t="e">
        <f>VLOOKUP(A119,Enforcements!$C$7:$K$21,8,0)</f>
        <v>#N/A</v>
      </c>
      <c r="AC119" s="59" t="e">
        <f>VLOOKUP(A119,Enforcements!$C$7:$E$21,3,0)</f>
        <v>#N/A</v>
      </c>
      <c r="AD119" s="60" t="str">
        <f t="shared" si="63"/>
        <v>0206-09</v>
      </c>
      <c r="AE119" s="96" t="str">
        <f t="shared" si="64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19" s="93" t="str">
        <f t="shared" si="65"/>
        <v>"C:\Program Files (x86)\AstroGrep\AstroGrep.exe" /spath="%USERPROFILE%\AppData\Local\Temp\OnboardLogs" /stypes="*4026*20160910*" /stext=" 00:.+((SYSTEM_STATE.+slice.+state.+changed )|(ment ac)|(system.+state.+changed )|(\|lc)|(penalty)|(\[timeout)|(PRM\|1\|D)|(kpr)|(kdp))" /e /r /s</v>
      </c>
      <c r="AG119" s="1" t="str">
        <f t="shared" si="66"/>
        <v>EC</v>
      </c>
      <c r="AH119" s="97" t="str">
        <f t="shared" si="48"/>
        <v>"%USERPROFILE%\Documents\GitHub\eaglep3\Utilities\RefineRTDCRunTimes.py" --tripid 206-09 --locoid 4026 --swversion DE.1.0.7.0 --startMP 204:232961 --initTime 2016-09-09T17:39:51 --startdatetime 2016-09-09T17:44:27 --delay 4 --endMP 204:139 --enddatetime 2016-09-09T18:26:07 --enforcementcount 1 &gt;&gt;C:\Users\stu\Documents\GitHub\eaglep3-reporting\EC\2016-09-09-refined-times.txt</v>
      </c>
      <c r="AI11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{"issue":{"subject":"","project_id":79,"tracker_id":40,"status_id":1,"priority_id":2,"assigned_to_id":23,"start_date":"2016-09-09","description":"","custom_fields":[{"id":1,"name":"Subdivision","value":"EC"},{"id":4,"name":"Milepost","value":"23.2822"},{"id":17,"name":"Train ID","value":"206-09"},{"id":16,"name":"Locomotive ID","value":"4026"},{"id":130,"name":"Impact","value":""},{"id":150,"name":"Time of Event (Mountain Time)","value":"18:26:07"},{"id":151,"name":"Denver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38" s="22" customFormat="1" x14ac:dyDescent="0.25">
      <c r="A120" s="38" t="s">
        <v>544</v>
      </c>
      <c r="B120" s="7">
        <v>4031</v>
      </c>
      <c r="C120" s="23" t="s">
        <v>108</v>
      </c>
      <c r="D120" s="23" t="s">
        <v>545</v>
      </c>
      <c r="E120" s="15">
        <v>42622.707615740743</v>
      </c>
      <c r="F120" s="15">
        <v>42622.709699074076</v>
      </c>
      <c r="G120" s="7">
        <v>1</v>
      </c>
      <c r="H120" s="15" t="s">
        <v>340</v>
      </c>
      <c r="I120" s="15">
        <v>42622.738969907405</v>
      </c>
      <c r="J120" s="7">
        <v>1</v>
      </c>
      <c r="K120" s="114" t="str">
        <f t="shared" si="56"/>
        <v>4031/4032</v>
      </c>
      <c r="L120" s="23" t="str">
        <f>VLOOKUP(A120,'Trips&amp;Operators'!$C$1:$E$10000,3,FALSE)</f>
        <v>MOSES</v>
      </c>
      <c r="M120" s="6">
        <f t="shared" si="57"/>
        <v>2.9270833329064772E-2</v>
      </c>
      <c r="N120" s="7">
        <f t="shared" si="71"/>
        <v>42.149999993853271</v>
      </c>
      <c r="O120" s="7"/>
      <c r="P120" s="7"/>
      <c r="Q120" s="24"/>
      <c r="R120" s="24"/>
      <c r="S120" s="36">
        <f t="shared" si="72"/>
        <v>1</v>
      </c>
      <c r="T120" s="51" t="str">
        <f t="shared" si="58"/>
        <v>NorthBound</v>
      </c>
      <c r="U120" s="17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15:58:58-0600',mode:absolute,to:'2016-09-09 18:44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0" s="179" t="str">
        <f t="shared" si="60"/>
        <v>N</v>
      </c>
      <c r="X120" s="179">
        <f t="shared" si="68"/>
        <v>1</v>
      </c>
      <c r="Y120" s="66">
        <f t="shared" si="67"/>
        <v>4.24E-2</v>
      </c>
      <c r="Z120" s="66">
        <f t="shared" si="61"/>
        <v>23.330400000000001</v>
      </c>
      <c r="AA120" s="66">
        <f t="shared" si="62"/>
        <v>23.288</v>
      </c>
      <c r="AB120" s="63" t="e">
        <f>VLOOKUP(A120,Enforcements!$C$7:$K$21,8,0)</f>
        <v>#N/A</v>
      </c>
      <c r="AC120" s="59" t="e">
        <f>VLOOKUP(A120,Enforcements!$C$7:$E$21,3,0)</f>
        <v>#N/A</v>
      </c>
      <c r="AD120" s="60" t="str">
        <f t="shared" si="63"/>
        <v>0207-09</v>
      </c>
      <c r="AE120" s="96" t="str">
        <f t="shared" si="64"/>
        <v>aws s3 cp s3://rtdc.mdm.uploadarchive/RTDC4031/2016-09-09/ "%USERPROFILE%\AppData\Local\Temp\OnboardLogs"\RTDC4031\2016-09-09 --recursive &amp; "%USERPROFILE%\Documents\GitHub\mrs-test-scripts\Headless Mode &amp; Sideloading\WalkAndUnGZ.bat" "%USERPROFILE%\AppData\Local\Temp\OnboardLogs"\RTDC4031\2016-09-09 &amp; aws s3 cp s3://rtdc.mdm.uploadarchive/RTDC4031/2016-09-10/ "%USERPROFILE%\AppData\Local\Temp\OnboardLogs"\RTDC4031\2016-09-10 --recursive &amp; "%USERPROFILE%\Documents\GitHub\mrs-test-scripts\Headless Mode &amp; Sideloading\WalkAndUnGZ.bat" "%USERPROFILE%\AppData\Local\Temp\OnboardLogs"\RTDC4031\2016-09-10</v>
      </c>
      <c r="AF120" s="93" t="str">
        <f t="shared" si="65"/>
        <v>"C:\Program Files (x86)\AstroGrep\AstroGrep.exe" /spath="%USERPROFILE%\AppData\Local\Temp\OnboardLogs" /stypes="*4031*20160909*" /stext=" 23:.+((SYSTEM_STATE.+slice.+state.+changed )|(ment ac)|(system.+state.+changed )|(\|lc)|(penalty)|(\[timeout)|(PRM\|1\|D)|(kpr)|(kdp))" /e /r /s</v>
      </c>
      <c r="AG120" s="1" t="str">
        <f t="shared" si="66"/>
        <v>EC</v>
      </c>
      <c r="AH120" s="97" t="str">
        <f t="shared" si="48"/>
        <v>"%USERPROFILE%\Documents\GitHub\eaglep3\Utilities\RefineRTDCRunTimes.py" --tripid 207-09 --locoid 4031 --swversion DE.1.0.7.0 --startMP 204:424 --initTime 2016-09-09T16:58:58 --startdatetime 2016-09-09T17:01:58 --delay 1 --endMP 204:233304 --enddatetime 2016-09-09T17:44:07 --enforcementcount 1 &gt;&gt;C:\Users\stu\Documents\GitHub\eaglep3-reporting\EC\2016-09-09-refined-times.txt</v>
      </c>
      <c r="AI12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{"issue":{"subject":"","project_id":79,"tracker_id":40,"status_id":1,"priority_id":2,"assigned_to_id":23,"start_date":"2016-09-09","description":"","custom_fields":[{"id":1,"name":"Subdivision","value":"EC"},{"id":4,"name":"Milepost","value":"23.288"},{"id":17,"name":"Train ID","value":"207-09"},{"id":16,"name":"Locomotive ID","value":"4031"},{"id":130,"name":"Impact","value":""},{"id":150,"name":"Time of Event (Mountain Time)","value":"17:44:07"},{"id":151,"name":"Denver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38" s="22" customFormat="1" x14ac:dyDescent="0.25">
      <c r="A121" s="38" t="s">
        <v>546</v>
      </c>
      <c r="B121" s="7">
        <v>4032</v>
      </c>
      <c r="C121" s="23" t="s">
        <v>108</v>
      </c>
      <c r="D121" s="23" t="s">
        <v>547</v>
      </c>
      <c r="E121" s="15">
        <v>42622.745497685188</v>
      </c>
      <c r="F121" s="15">
        <v>42622.747662037036</v>
      </c>
      <c r="G121" s="7">
        <v>1</v>
      </c>
      <c r="H121" s="15" t="s">
        <v>295</v>
      </c>
      <c r="I121" s="15">
        <v>42622.77820601852</v>
      </c>
      <c r="J121" s="7">
        <v>1</v>
      </c>
      <c r="K121" s="114" t="str">
        <f t="shared" si="56"/>
        <v>4031/4032</v>
      </c>
      <c r="L121" s="23" t="str">
        <f>VLOOKUP(A121,'Trips&amp;Operators'!$C$1:$E$10000,3,FALSE)</f>
        <v>MOSES</v>
      </c>
      <c r="M121" s="6">
        <f t="shared" si="57"/>
        <v>3.054398148378823E-2</v>
      </c>
      <c r="N121" s="7">
        <f t="shared" si="71"/>
        <v>43.983333336655051</v>
      </c>
      <c r="O121" s="7"/>
      <c r="P121" s="7"/>
      <c r="Q121" s="24"/>
      <c r="R121" s="24"/>
      <c r="S121" s="36">
        <f t="shared" si="72"/>
        <v>1</v>
      </c>
      <c r="T121" s="51" t="str">
        <f t="shared" si="58"/>
        <v>Southbound</v>
      </c>
      <c r="U121" s="17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16:53:31-0600',mode:absolute,to:'2016-09-09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1" s="179" t="str">
        <f t="shared" si="60"/>
        <v>N</v>
      </c>
      <c r="X121" s="179">
        <f t="shared" ref="X121:X133" si="73">VALUE(LEFT(AD121,4))-VALUE(LEFT(AD120,4))</f>
        <v>1</v>
      </c>
      <c r="Y121" s="66">
        <f t="shared" si="67"/>
        <v>23.298500000000001</v>
      </c>
      <c r="Z121" s="66">
        <f t="shared" si="61"/>
        <v>9.7900000000000001E-2</v>
      </c>
      <c r="AA121" s="66">
        <f t="shared" si="62"/>
        <v>23.200600000000001</v>
      </c>
      <c r="AB121" s="63" t="e">
        <f>VLOOKUP(A121,Enforcements!$C$7:$K$21,8,0)</f>
        <v>#N/A</v>
      </c>
      <c r="AC121" s="59" t="e">
        <f>VLOOKUP(A121,Enforcements!$C$7:$E$21,3,0)</f>
        <v>#N/A</v>
      </c>
      <c r="AD121" s="60" t="str">
        <f t="shared" si="63"/>
        <v>0208-09</v>
      </c>
      <c r="AE121" s="96" t="str">
        <f t="shared" si="64"/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AF121" s="93" t="str">
        <f t="shared" si="65"/>
        <v>"C:\Program Files (x86)\AstroGrep\AstroGrep.exe" /spath="%USERPROFILE%\AppData\Local\Temp\OnboardLogs" /stypes="*4032*20160910*" /stext=" 00:.+((SYSTEM_STATE.+slice.+state.+changed )|(ment ac)|(system.+state.+changed )|(\|lc)|(penalty)|(\[timeout)|(PRM\|1\|D)|(kpr)|(kdp))" /e /r /s</v>
      </c>
      <c r="AG121" s="1" t="str">
        <f t="shared" si="66"/>
        <v>EC</v>
      </c>
      <c r="AH121" s="97" t="str">
        <f t="shared" si="48"/>
        <v>"%USERPROFILE%\Documents\GitHub\eaglep3\Utilities\RefineRTDCRunTimes.py" --tripid 208-09 --locoid 4032 --swversion DE.1.0.7.0 --startMP 204:232985 --initTime 2016-09-09T17:53:31 --startdatetime 2016-09-09T17:56:38 --delay 1 --endMP 204:979 --enddatetime 2016-09-09T18:40:37 --enforcementcount 1 &gt;&gt;C:\Users\stu\Documents\GitHub\eaglep3-reporting\EC\2016-09-09-refined-times.txt</v>
      </c>
      <c r="AI12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{"issue":{"subject":"","project_id":79,"tracker_id":40,"status_id":1,"priority_id":2,"assigned_to_id":23,"start_date":"2016-09-09","description":"","custom_fields":[{"id":1,"name":"Subdivision","value":"EC"},{"id":4,"name":"Milepost","value":"23.2006"},{"id":17,"name":"Train ID","value":"208-09"},{"id":16,"name":"Locomotive ID","value":"4032"},{"id":130,"name":"Impact","value":""},{"id":150,"name":"Time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</row>
    <row r="122" spans="1:38" s="22" customFormat="1" x14ac:dyDescent="0.25">
      <c r="A122" s="38" t="s">
        <v>548</v>
      </c>
      <c r="B122" s="7">
        <v>4018</v>
      </c>
      <c r="C122" s="23" t="s">
        <v>108</v>
      </c>
      <c r="D122" s="23" t="s">
        <v>273</v>
      </c>
      <c r="E122" s="15">
        <v>42622.717673611114</v>
      </c>
      <c r="F122" s="15">
        <v>42622.719178240739</v>
      </c>
      <c r="G122" s="7">
        <v>1</v>
      </c>
      <c r="H122" s="15" t="s">
        <v>265</v>
      </c>
      <c r="I122" s="15">
        <v>42622.749363425923</v>
      </c>
      <c r="J122" s="7">
        <v>1</v>
      </c>
      <c r="K122" s="114" t="str">
        <f t="shared" si="56"/>
        <v>4017/4018</v>
      </c>
      <c r="L122" s="23" t="str">
        <f>VLOOKUP(A122,'Trips&amp;Operators'!$C$1:$E$10000,3,FALSE)</f>
        <v>ADANE</v>
      </c>
      <c r="M122" s="6">
        <f t="shared" si="57"/>
        <v>3.0185185183654539E-2</v>
      </c>
      <c r="N122" s="7">
        <f t="shared" si="71"/>
        <v>43.466666664462537</v>
      </c>
      <c r="O122" s="7"/>
      <c r="P122" s="7"/>
      <c r="Q122" s="24"/>
      <c r="R122" s="24"/>
      <c r="S122" s="36">
        <f t="shared" si="72"/>
        <v>1</v>
      </c>
      <c r="T122" s="51" t="str">
        <f t="shared" si="58"/>
        <v>NorthBound</v>
      </c>
      <c r="U122" s="17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16:13:27-0600',mode:absolute,to:'2016-09-09 18:59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22" s="179" t="str">
        <f t="shared" si="60"/>
        <v>N</v>
      </c>
      <c r="X122" s="179">
        <f t="shared" si="73"/>
        <v>1</v>
      </c>
      <c r="Y122" s="66">
        <f t="shared" si="67"/>
        <v>4.6600000000000003E-2</v>
      </c>
      <c r="Z122" s="66">
        <f t="shared" si="61"/>
        <v>23.330300000000001</v>
      </c>
      <c r="AA122" s="66">
        <f t="shared" si="62"/>
        <v>23.2837</v>
      </c>
      <c r="AB122" s="63" t="e">
        <f>VLOOKUP(A122,Enforcements!$C$7:$K$21,8,0)</f>
        <v>#N/A</v>
      </c>
      <c r="AC122" s="59" t="e">
        <f>VLOOKUP(A122,Enforcements!$C$7:$E$21,3,0)</f>
        <v>#N/A</v>
      </c>
      <c r="AD122" s="60" t="str">
        <f t="shared" si="63"/>
        <v>0209-09</v>
      </c>
      <c r="AE122" s="96" t="str">
        <f t="shared" si="64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22" s="93" t="str">
        <f t="shared" si="65"/>
        <v>"C:\Program Files (x86)\AstroGrep\AstroGrep.exe" /spath="%USERPROFILE%\AppData\Local\Temp\OnboardLogs" /stypes="*4018*20160909*" /stext=" 23:.+((SYSTEM_STATE.+slice.+state.+changed )|(ment ac)|(system.+state.+changed )|(\|lc)|(penalty)|(\[timeout)|(PRM\|1\|D)|(kpr)|(kdp))" /e /r /s</v>
      </c>
      <c r="AG122" s="1" t="str">
        <f t="shared" si="66"/>
        <v>EC</v>
      </c>
      <c r="AH122" s="97" t="str">
        <f t="shared" si="48"/>
        <v>"%USERPROFILE%\Documents\GitHub\eaglep3\Utilities\RefineRTDCRunTimes.py" --tripid 209-09 --locoid 4018 --swversion DE.1.0.7.0 --startMP 204:466 --initTime 2016-09-09T17:13:27 --startdatetime 2016-09-09T17:15:37 --delay 1 --endMP 204:233303 --enddatetime 2016-09-09T17:59:05 --enforcementcount 1 &gt;&gt;C:\Users\stu\Documents\GitHub\eaglep3-reporting\EC\2016-09-09-refined-times.txt</v>
      </c>
      <c r="AI12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{"issue":{"subject":"","project_id":79,"tracker_id":40,"status_id":1,"priority_id":2,"assigned_to_id":23,"start_date":"2016-09-09","description":"","custom_fields":[{"id":1,"name":"Subdivision","value":"EC"},{"id":4,"name":"Milepost","value":"23.2837"},{"id":17,"name":"Train ID","value":"209-09"},{"id":16,"name":"Locomotive ID","value":"4018"},{"id":130,"name":"Impact","value":""},{"id":150,"name":"Time of Event (Mountain Time)","value":"17:59:05"},{"id":151,"name":"Denver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</row>
    <row r="123" spans="1:38" x14ac:dyDescent="0.25">
      <c r="A123" s="38" t="s">
        <v>549</v>
      </c>
      <c r="B123" s="7">
        <v>4017</v>
      </c>
      <c r="C123" s="23" t="s">
        <v>108</v>
      </c>
      <c r="D123" s="23" t="s">
        <v>329</v>
      </c>
      <c r="E123" s="15">
        <v>42622.755231481482</v>
      </c>
      <c r="F123" s="15">
        <v>42622.758460648147</v>
      </c>
      <c r="G123" s="7">
        <v>1</v>
      </c>
      <c r="H123" s="15" t="s">
        <v>280</v>
      </c>
      <c r="I123" s="15">
        <v>42622.785787037035</v>
      </c>
      <c r="J123" s="7">
        <v>1</v>
      </c>
      <c r="K123" s="114" t="str">
        <f t="shared" si="56"/>
        <v>4017/4018</v>
      </c>
      <c r="L123" s="23" t="str">
        <f>VLOOKUP(A123,'Trips&amp;Operators'!$C$1:$E$10000,3,FALSE)</f>
        <v>ADANE</v>
      </c>
      <c r="M123" s="6">
        <f t="shared" si="57"/>
        <v>2.73263888884685E-2</v>
      </c>
      <c r="N123" s="7">
        <f t="shared" si="71"/>
        <v>39.34999999939464</v>
      </c>
      <c r="O123" s="7"/>
      <c r="P123" s="7"/>
      <c r="Q123" s="24"/>
      <c r="R123" s="24"/>
      <c r="S123" s="36">
        <f t="shared" si="72"/>
        <v>1</v>
      </c>
      <c r="T123" s="51" t="str">
        <f t="shared" si="58"/>
        <v>Southbound</v>
      </c>
      <c r="U123" s="17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17:07:32-0600',mode:absolute,to:'2016-09-09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23" s="179" t="str">
        <f t="shared" si="60"/>
        <v>N</v>
      </c>
      <c r="X123" s="179">
        <f t="shared" si="73"/>
        <v>1</v>
      </c>
      <c r="Y123" s="66">
        <f t="shared" si="67"/>
        <v>23.298400000000001</v>
      </c>
      <c r="Z123" s="66">
        <f t="shared" si="61"/>
        <v>1.5599999999999999E-2</v>
      </c>
      <c r="AA123" s="66">
        <f t="shared" si="62"/>
        <v>23.282800000000002</v>
      </c>
      <c r="AB123" s="63" t="str">
        <f>VLOOKUP(A123,Enforcements!$C$7:$K$21,8,0)</f>
        <v>Bulletin (2)</v>
      </c>
      <c r="AC123" s="59" t="str">
        <f>VLOOKUP(A123,Enforcements!$C$7:$E$21,3,0)</f>
        <v>GRADE CROSSING</v>
      </c>
      <c r="AD123" s="60" t="str">
        <f t="shared" si="63"/>
        <v>0210-09</v>
      </c>
      <c r="AE123" s="96" t="str">
        <f t="shared" si="64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123" s="93" t="str">
        <f t="shared" si="65"/>
        <v>"C:\Program Files (x86)\AstroGrep\AstroGrep.exe" /spath="%USERPROFILE%\AppData\Local\Temp\OnboardLogs" /stypes="*4017*20160910*" /stext=" 00:.+((SYSTEM_STATE.+slice.+state.+changed )|(ment ac)|(system.+state.+changed )|(\|lc)|(penalty)|(\[timeout)|(PRM\|1\|D)|(kpr)|(kdp))" /e /r /s</v>
      </c>
      <c r="AG123" s="1" t="str">
        <f t="shared" si="66"/>
        <v>EC</v>
      </c>
      <c r="AH123" s="97" t="str">
        <f t="shared" si="48"/>
        <v>"%USERPROFILE%\Documents\GitHub\eaglep3\Utilities\RefineRTDCRunTimes.py" --tripid 210-09 --locoid 4017 --swversion DE.1.0.7.0 --startMP 204:232984 --initTime 2016-09-09T18:07:32 --startdatetime 2016-09-09T18:12:11 --delay 1 --endMP 204:156 --enddatetime 2016-09-09T18:51:32 --enforcementcount 1 &gt;&gt;C:\Users\stu\Documents\GitHub\eaglep3-reporting\EC\2016-09-09-refined-times.txt</v>
      </c>
      <c r="AI123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{"issue":{"subject":"","project_id":79,"tracker_id":40,"status_id":1,"priority_id":2,"assigned_to_id":23,"start_date":"2016-09-09","description":"","custom_fields":[{"id":1,"name":"Subdivision","value":"EC"},{"id":4,"name":"Milepost","value":"23.2828"},{"id":17,"name":"Train ID","value":"210-09"},{"id":16,"name":"Locomotive ID","value":"4017"},{"id":130,"name":"Impact","value":""},{"id":150,"name":"Time of Event (Mountain Time)","value":"18:51:32"},{"id":151,"name":"Denver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38" x14ac:dyDescent="0.25">
      <c r="A124" s="38" t="s">
        <v>550</v>
      </c>
      <c r="B124" s="7">
        <v>4009</v>
      </c>
      <c r="C124" s="23" t="s">
        <v>108</v>
      </c>
      <c r="D124" s="23" t="s">
        <v>336</v>
      </c>
      <c r="E124" s="15">
        <v>42622.725462962961</v>
      </c>
      <c r="F124" s="15">
        <v>42622.72934027778</v>
      </c>
      <c r="G124" s="7">
        <v>1</v>
      </c>
      <c r="H124" s="15" t="s">
        <v>551</v>
      </c>
      <c r="I124" s="15">
        <v>42622.758032407408</v>
      </c>
      <c r="J124" s="7">
        <v>1</v>
      </c>
      <c r="K124" s="114" t="str">
        <f t="shared" si="56"/>
        <v>4009/4010</v>
      </c>
      <c r="L124" s="23" t="str">
        <f>VLOOKUP(A124,'Trips&amp;Operators'!$C$1:$E$10000,3,FALSE)</f>
        <v>SHOOK</v>
      </c>
      <c r="M124" s="6">
        <f t="shared" si="57"/>
        <v>2.8692129628325347E-2</v>
      </c>
      <c r="N124" s="7">
        <f t="shared" si="71"/>
        <v>41.316666664788499</v>
      </c>
      <c r="O124" s="7"/>
      <c r="P124" s="7"/>
      <c r="Q124" s="24"/>
      <c r="R124" s="24"/>
      <c r="S124" s="36">
        <f t="shared" si="72"/>
        <v>1</v>
      </c>
      <c r="T124" s="51" t="str">
        <f t="shared" si="58"/>
        <v>NorthBound</v>
      </c>
      <c r="U124" s="17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16:24:40-0600',mode:absolute,to:'2016-09-09 19:11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24" s="179" t="str">
        <f t="shared" si="60"/>
        <v>N</v>
      </c>
      <c r="X124" s="179">
        <f t="shared" si="73"/>
        <v>1</v>
      </c>
      <c r="Y124" s="66">
        <f t="shared" si="67"/>
        <v>4.6699999999999998E-2</v>
      </c>
      <c r="Z124" s="66">
        <f t="shared" si="61"/>
        <v>23.338899999999999</v>
      </c>
      <c r="AA124" s="66">
        <f t="shared" si="62"/>
        <v>23.292199999999998</v>
      </c>
      <c r="AB124" s="63" t="e">
        <f>VLOOKUP(A124,Enforcements!$C$7:$K$21,8,0)</f>
        <v>#N/A</v>
      </c>
      <c r="AC124" s="59" t="e">
        <f>VLOOKUP(A124,Enforcements!$C$7:$E$21,3,0)</f>
        <v>#N/A</v>
      </c>
      <c r="AD124" s="60" t="str">
        <f t="shared" si="63"/>
        <v>0211-09</v>
      </c>
      <c r="AE124" s="96" t="str">
        <f t="shared" si="64"/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AF124" s="93" t="str">
        <f t="shared" si="65"/>
        <v>"C:\Program Files (x86)\AstroGrep\AstroGrep.exe" /spath="%USERPROFILE%\AppData\Local\Temp\OnboardLogs" /stypes="*4009*20160910*" /stext=" 00:.+((SYSTEM_STATE.+slice.+state.+changed )|(ment ac)|(system.+state.+changed )|(\|lc)|(penalty)|(\[timeout)|(PRM\|1\|D)|(kpr)|(kdp))" /e /r /s</v>
      </c>
      <c r="AG124" s="1" t="str">
        <f t="shared" si="66"/>
        <v>EC</v>
      </c>
      <c r="AH124" s="97" t="str">
        <f t="shared" si="48"/>
        <v>"%USERPROFILE%\Documents\GitHub\eaglep3\Utilities\RefineRTDCRunTimes.py" --tripid 211-09 --locoid 4009 --swversion DE.1.0.7.0 --startMP 204:467 --initTime 2016-09-09T17:24:40 --startdatetime 2016-09-09T17:30:15 --delay 1 --endMP 204:233389 --enddatetime 2016-09-09T18:11:34 --enforcementcount 1 &gt;&gt;C:\Users\stu\Documents\GitHub\eaglep3-reporting\EC\2016-09-09-refined-times.txt</v>
      </c>
      <c r="AI12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{"issue":{"subject":"","project_id":79,"tracker_id":40,"status_id":1,"priority_id":2,"assigned_to_id":23,"start_date":"2016-09-09","description":"","custom_fields":[{"id":1,"name":"Subdivision","value":"EC"},{"id":4,"name":"Milepost","value":"23.2922"},{"id":17,"name":"Train ID","value":"211-09"},{"id":16,"name":"Locomotive ID","value":"4009"},{"id":130,"name":"Impact","value":""},{"id":150,"name":"Time of Event (Mountain Time)","value":"18:11:34"},{"id":151,"name":"Denver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</row>
    <row r="125" spans="1:38" x14ac:dyDescent="0.25">
      <c r="A125" s="38" t="s">
        <v>552</v>
      </c>
      <c r="B125" s="7">
        <v>4010</v>
      </c>
      <c r="C125" s="23" t="s">
        <v>108</v>
      </c>
      <c r="D125" s="23" t="s">
        <v>553</v>
      </c>
      <c r="E125" s="15">
        <v>42622.764467592591</v>
      </c>
      <c r="F125" s="15">
        <v>42622.768263888887</v>
      </c>
      <c r="G125" s="7">
        <v>1</v>
      </c>
      <c r="H125" s="15" t="s">
        <v>554</v>
      </c>
      <c r="I125" s="15">
        <v>42622.796122685184</v>
      </c>
      <c r="J125" s="7">
        <v>1</v>
      </c>
      <c r="K125" s="114" t="str">
        <f t="shared" si="56"/>
        <v>4009/4010</v>
      </c>
      <c r="L125" s="23" t="str">
        <f>VLOOKUP(A125,'Trips&amp;Operators'!$C$1:$E$10000,3,FALSE)</f>
        <v>SHOOK</v>
      </c>
      <c r="M125" s="6">
        <f t="shared" si="57"/>
        <v>2.7858796296641231E-2</v>
      </c>
      <c r="N125" s="7">
        <f t="shared" si="71"/>
        <v>40.116666667163372</v>
      </c>
      <c r="O125" s="7"/>
      <c r="P125" s="7"/>
      <c r="Q125" s="24"/>
      <c r="R125" s="24"/>
      <c r="S125" s="36">
        <f t="shared" si="72"/>
        <v>1</v>
      </c>
      <c r="T125" s="51" t="str">
        <f t="shared" si="58"/>
        <v>Southbound</v>
      </c>
      <c r="U125" s="17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17:20:50-0600',mode:absolute,to:'2016-09-09 20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25" s="179" t="str">
        <f t="shared" si="60"/>
        <v>N</v>
      </c>
      <c r="X125" s="179">
        <f t="shared" si="73"/>
        <v>1</v>
      </c>
      <c r="Y125" s="66">
        <f t="shared" si="67"/>
        <v>23.305499999999999</v>
      </c>
      <c r="Z125" s="66">
        <f t="shared" si="61"/>
        <v>9.9900000000000003E-2</v>
      </c>
      <c r="AA125" s="66">
        <f t="shared" si="62"/>
        <v>23.205599999999997</v>
      </c>
      <c r="AB125" s="63" t="e">
        <f>VLOOKUP(A125,Enforcements!$C$7:$K$21,8,0)</f>
        <v>#N/A</v>
      </c>
      <c r="AC125" s="59" t="e">
        <f>VLOOKUP(A125,Enforcements!$C$7:$E$21,3,0)</f>
        <v>#N/A</v>
      </c>
      <c r="AD125" s="60" t="str">
        <f t="shared" si="63"/>
        <v>0212-09</v>
      </c>
      <c r="AE125" s="96" t="str">
        <f t="shared" si="64"/>
        <v>aws s3 cp s3://rtdc.mdm.uploadarchive/RTDC4010/2016-09-09/ "%USERPROFILE%\AppData\Local\Temp\OnboardLogs"\RTDC4010\2016-09-09 --recursive &amp; "%USERPROFILE%\Documents\GitHub\mrs-test-scripts\Headless Mode &amp; Sideloading\WalkAndUnGZ.bat" "%USERPROFILE%\AppData\Local\Temp\OnboardLogs"\RTDC4010\2016-09-09 &amp; aws s3 cp s3://rtdc.mdm.uploadarchive/RTDC4010/2016-09-10/ "%USERPROFILE%\AppData\Local\Temp\OnboardLogs"\RTDC4010\2016-09-10 --recursive &amp; "%USERPROFILE%\Documents\GitHub\mrs-test-scripts\Headless Mode &amp; Sideloading\WalkAndUnGZ.bat" "%USERPROFILE%\AppData\Local\Temp\OnboardLogs"\RTDC4010\2016-09-10</v>
      </c>
      <c r="AF125" s="93" t="str">
        <f t="shared" si="65"/>
        <v>"C:\Program Files (x86)\AstroGrep\AstroGrep.exe" /spath="%USERPROFILE%\AppData\Local\Temp\OnboardLogs" /stypes="*4010*20160910*" /stext=" 01:.+((SYSTEM_STATE.+slice.+state.+changed )|(ment ac)|(system.+state.+changed )|(\|lc)|(penalty)|(\[timeout)|(PRM\|1\|D)|(kpr)|(kdp))" /e /r /s</v>
      </c>
      <c r="AG125" s="1" t="str">
        <f t="shared" si="66"/>
        <v>EC</v>
      </c>
      <c r="AH125" s="97" t="str">
        <f t="shared" si="48"/>
        <v>"%USERPROFILE%\Documents\GitHub\eaglep3\Utilities\RefineRTDCRunTimes.py" --tripid 212-09 --locoid 4010 --swversion DE.1.0.7.0 --startMP 204:233055 --initTime 2016-09-09T18:20:50 --startdatetime 2016-09-09T18:26:18 --delay 1 --endMP 204:999 --enddatetime 2016-09-09T19:06:25 --enforcementcount 1 &gt;&gt;C:\Users\stu\Documents\GitHub\eaglep3-reporting\EC\2016-09-09-refined-times.txt</v>
      </c>
      <c r="AI125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{"issue":{"subject":"","project_id":79,"tracker_id":40,"status_id":1,"priority_id":2,"assigned_to_id":23,"start_date":"2016-09-09","description":"","custom_fields":[{"id":1,"name":"Subdivision","value":"EC"},{"id":4,"name":"Milepost","value":"23.2056"},{"id":17,"name":"Train ID","value":"212-09"},{"id":16,"name":"Locomotive ID","value":"4010"},{"id":130,"name":"Impact","value":""},{"id":150,"name":"Time of Event (Mountain Time)","value":"19:06:25"},{"id":151,"name":"Denver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</row>
    <row r="126" spans="1:38" s="22" customFormat="1" x14ac:dyDescent="0.25">
      <c r="A126" s="38" t="s">
        <v>555</v>
      </c>
      <c r="B126" s="7">
        <v>4020</v>
      </c>
      <c r="C126" s="23" t="s">
        <v>108</v>
      </c>
      <c r="D126" s="23" t="s">
        <v>556</v>
      </c>
      <c r="E126" s="15">
        <v>42622.736145833333</v>
      </c>
      <c r="F126" s="15">
        <v>42622.740173611113</v>
      </c>
      <c r="G126" s="7">
        <v>2</v>
      </c>
      <c r="H126" s="15" t="s">
        <v>287</v>
      </c>
      <c r="I126" s="15">
        <v>42622.765810185185</v>
      </c>
      <c r="J126" s="7">
        <v>1</v>
      </c>
      <c r="K126" s="114" t="str">
        <f t="shared" si="56"/>
        <v>4019/4020</v>
      </c>
      <c r="L126" s="23" t="str">
        <f>VLOOKUP(A126,'Trips&amp;Operators'!$C$1:$E$10000,3,FALSE)</f>
        <v>STAMBAUGH</v>
      </c>
      <c r="M126" s="6">
        <f t="shared" si="57"/>
        <v>2.5636574071540963E-2</v>
      </c>
      <c r="N126" s="7">
        <f t="shared" si="71"/>
        <v>36.916666663018987</v>
      </c>
      <c r="O126" s="7"/>
      <c r="P126" s="7"/>
      <c r="Q126" s="24"/>
      <c r="R126" s="24"/>
      <c r="S126" s="36">
        <f t="shared" si="72"/>
        <v>1</v>
      </c>
      <c r="T126" s="51" t="str">
        <f t="shared" si="58"/>
        <v>NorthBound</v>
      </c>
      <c r="U126" s="17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16:40:03-0600',mode:absolute,to:'2016-09-09 19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26" s="179" t="str">
        <f t="shared" si="60"/>
        <v>N</v>
      </c>
      <c r="X126" s="179">
        <f t="shared" si="73"/>
        <v>1</v>
      </c>
      <c r="Y126" s="66">
        <f t="shared" si="67"/>
        <v>4.9700000000000001E-2</v>
      </c>
      <c r="Z126" s="66">
        <f t="shared" si="61"/>
        <v>23.338000000000001</v>
      </c>
      <c r="AA126" s="66">
        <f t="shared" si="62"/>
        <v>23.2883</v>
      </c>
      <c r="AB126" s="63" t="e">
        <f>VLOOKUP(A126,Enforcements!$C$7:$K$21,8,0)</f>
        <v>#N/A</v>
      </c>
      <c r="AC126" s="59" t="e">
        <f>VLOOKUP(A126,Enforcements!$C$7:$E$21,3,0)</f>
        <v>#N/A</v>
      </c>
      <c r="AD126" s="60" t="str">
        <f t="shared" si="63"/>
        <v>0213-09</v>
      </c>
      <c r="AE126" s="96" t="str">
        <f t="shared" si="64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26" s="93" t="str">
        <f t="shared" si="65"/>
        <v>"C:\Program Files (x86)\AstroGrep\AstroGrep.exe" /spath="%USERPROFILE%\AppData\Local\Temp\OnboardLogs" /stypes="*4020*20160910*" /stext=" 00:.+((SYSTEM_STATE.+slice.+state.+changed )|(ment ac)|(system.+state.+changed )|(\|lc)|(penalty)|(\[timeout)|(PRM\|1\|D)|(kpr)|(kdp))" /e /r /s</v>
      </c>
      <c r="AG126" s="1" t="str">
        <f t="shared" si="66"/>
        <v>EC</v>
      </c>
      <c r="AH126" s="97" t="str">
        <f t="shared" si="48"/>
        <v>"%USERPROFILE%\Documents\GitHub\eaglep3\Utilities\RefineRTDCRunTimes.py" --tripid 213-09 --locoid 4020 --swversion DE.1.0.7.0 --startMP 204:497 --initTime 2016-09-09T17:40:03 --startdatetime 2016-09-09T17:45:51 --delay 2 --endMP 204:233380 --enddatetime 2016-09-09T18:22:46 --enforcementcount 1 &gt;&gt;C:\Users\stu\Documents\GitHub\eaglep3-reporting\EC\2016-09-09-refined-times.txt</v>
      </c>
      <c r="AI126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{"issue":{"subject":"","project_id":79,"tracker_id":40,"status_id":1,"priority_id":2,"assigned_to_id":23,"start_date":"2016-09-09","description":"","custom_fields":[{"id":1,"name":"Subdivision","value":"EC"},{"id":4,"name":"Milepost","value":"23.2883"},{"id":17,"name":"Train ID","value":"213-09"},{"id":16,"name":"Locomotive ID","value":"4020"},{"id":130,"name":"Impact","value":""},{"id":150,"name":"Time of Event (Mountain Time)","value":"18:22:46"},{"id":151,"name":"Denver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</row>
    <row r="127" spans="1:38" s="22" customFormat="1" x14ac:dyDescent="0.25">
      <c r="A127" s="38" t="s">
        <v>557</v>
      </c>
      <c r="B127" s="7">
        <v>4019</v>
      </c>
      <c r="C127" s="23" t="s">
        <v>108</v>
      </c>
      <c r="D127" s="23" t="s">
        <v>558</v>
      </c>
      <c r="E127" s="15">
        <v>42622.774016203701</v>
      </c>
      <c r="F127" s="15">
        <v>42622.779120370367</v>
      </c>
      <c r="G127" s="7">
        <v>1</v>
      </c>
      <c r="H127" s="15" t="s">
        <v>559</v>
      </c>
      <c r="I127" s="15">
        <v>42622.806435185186</v>
      </c>
      <c r="J127" s="7">
        <v>1</v>
      </c>
      <c r="K127" s="114" t="str">
        <f t="shared" si="56"/>
        <v>4019/4020</v>
      </c>
      <c r="L127" s="23" t="str">
        <f>VLOOKUP(A127,'Trips&amp;Operators'!$C$1:$E$10000,3,FALSE)</f>
        <v>STAMBAUGH</v>
      </c>
      <c r="M127" s="6">
        <f t="shared" si="57"/>
        <v>2.7314814818964805E-2</v>
      </c>
      <c r="N127" s="7">
        <f t="shared" si="71"/>
        <v>39.33333333930932</v>
      </c>
      <c r="O127" s="7"/>
      <c r="P127" s="7"/>
      <c r="Q127" s="24"/>
      <c r="R127" s="24"/>
      <c r="S127" s="36">
        <f t="shared" si="72"/>
        <v>1</v>
      </c>
      <c r="T127" s="51" t="str">
        <f t="shared" si="58"/>
        <v>Southbound</v>
      </c>
      <c r="U127" s="17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17:34:35-0600',mode:absolute,to:'2016-09-09 20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7" s="179" t="str">
        <f t="shared" si="60"/>
        <v>N</v>
      </c>
      <c r="X127" s="179">
        <f t="shared" si="73"/>
        <v>1</v>
      </c>
      <c r="Y127" s="66">
        <f t="shared" si="67"/>
        <v>23.307099999999998</v>
      </c>
      <c r="Z127" s="66">
        <f t="shared" si="61"/>
        <v>1.21E-2</v>
      </c>
      <c r="AA127" s="66">
        <f t="shared" si="62"/>
        <v>23.294999999999998</v>
      </c>
      <c r="AB127" s="63" t="str">
        <f>VLOOKUP(A127,Enforcements!$C$7:$K$21,8,0)</f>
        <v>Bulletin (2)</v>
      </c>
      <c r="AC127" s="59" t="str">
        <f>VLOOKUP(A127,Enforcements!$C$7:$E$21,3,0)</f>
        <v>GRADE CROSSING</v>
      </c>
      <c r="AD127" s="60" t="str">
        <f t="shared" si="63"/>
        <v>0214-09</v>
      </c>
      <c r="AE127" s="96" t="str">
        <f t="shared" si="64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127" s="93" t="str">
        <f t="shared" si="65"/>
        <v>"C:\Program Files (x86)\AstroGrep\AstroGrep.exe" /spath="%USERPROFILE%\AppData\Local\Temp\OnboardLogs" /stypes="*4019*20160910*" /stext=" 01:.+((SYSTEM_STATE.+slice.+state.+changed )|(ment ac)|(system.+state.+changed )|(\|lc)|(penalty)|(\[timeout)|(PRM\|1\|D)|(kpr)|(kdp))" /e /r /s</v>
      </c>
      <c r="AG127" s="1" t="str">
        <f t="shared" si="66"/>
        <v>EC</v>
      </c>
      <c r="AH127" s="97" t="str">
        <f t="shared" si="48"/>
        <v>"%USERPROFILE%\Documents\GitHub\eaglep3\Utilities\RefineRTDCRunTimes.py" --tripid 214-09 --locoid 4019 --swversion DE.1.0.7.0 --startMP 204:233071 --initTime 2016-09-09T18:34:35 --startdatetime 2016-09-09T18:41:56 --delay 1 --endMP 204:121 --enddatetime 2016-09-09T19:21:16 --enforcementcount 1 &gt;&gt;C:\Users\stu\Documents\GitHub\eaglep3-reporting\EC\2016-09-09-refined-times.txt</v>
      </c>
      <c r="AI12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{"issue":{"subject":"","project_id":79,"tracker_id":40,"status_id":1,"priority_id":2,"assigned_to_id":23,"start_date":"2016-09-09","description":"","custom_fields":[{"id":1,"name":"Subdivision","value":"EC"},{"id":4,"name":"Milepost","value":"23.295"},{"id":17,"name":"Train ID","value":"214-09"},{"id":16,"name":"Locomotive ID","value":"4019"},{"id":130,"name":"Impact","value":""},{"id":150,"name":"Time of Event (Mountain Time)","value":"19:21:16"},{"id":151,"name":"Denver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38" s="22" customFormat="1" x14ac:dyDescent="0.25">
      <c r="A128" s="38" t="s">
        <v>560</v>
      </c>
      <c r="B128" s="7">
        <v>4040</v>
      </c>
      <c r="C128" s="23" t="s">
        <v>108</v>
      </c>
      <c r="D128" s="23" t="s">
        <v>561</v>
      </c>
      <c r="E128" s="15">
        <v>42622.744942129626</v>
      </c>
      <c r="F128" s="15">
        <v>42622.754675925928</v>
      </c>
      <c r="G128" s="7">
        <v>1</v>
      </c>
      <c r="H128" s="15" t="s">
        <v>562</v>
      </c>
      <c r="I128" s="15">
        <v>42622.776828703703</v>
      </c>
      <c r="J128" s="7">
        <v>1</v>
      </c>
      <c r="K128" s="114" t="str">
        <f t="shared" si="56"/>
        <v>4039/4040</v>
      </c>
      <c r="L128" s="23" t="str">
        <f>VLOOKUP(A128,'Trips&amp;Operators'!$C$1:$E$10000,3,FALSE)</f>
        <v>ISHMAEL</v>
      </c>
      <c r="M128" s="6">
        <f t="shared" si="57"/>
        <v>2.2152777775772847E-2</v>
      </c>
      <c r="N128" s="7"/>
      <c r="O128" s="7"/>
      <c r="P128" s="7"/>
      <c r="Q128" s="24"/>
      <c r="R128" s="24"/>
      <c r="S128" s="36"/>
      <c r="T128" s="51" t="str">
        <f t="shared" si="58"/>
        <v>NorthBound</v>
      </c>
      <c r="U128" s="17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16:52:43-0600',mode:absolute,to:'2016-09-09 19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8" s="179" t="str">
        <f t="shared" si="60"/>
        <v>Y</v>
      </c>
      <c r="X128" s="179">
        <f t="shared" si="73"/>
        <v>1</v>
      </c>
      <c r="Y128" s="66">
        <f t="shared" si="67"/>
        <v>0.14749999999999999</v>
      </c>
      <c r="Z128" s="66">
        <f t="shared" si="61"/>
        <v>0.1671</v>
      </c>
      <c r="AA128" s="66">
        <f t="shared" si="62"/>
        <v>1.9600000000000006E-2</v>
      </c>
      <c r="AB128" s="63" t="str">
        <f>VLOOKUP(A128,Enforcements!$C$7:$K$21,8,0)</f>
        <v>Signal based authority (5)</v>
      </c>
      <c r="AC128" s="59" t="str">
        <f>VLOOKUP(A128,Enforcements!$C$7:$E$21,3,0)</f>
        <v>SIGNAL</v>
      </c>
      <c r="AD128" s="60" t="str">
        <f t="shared" si="63"/>
        <v>0215-09</v>
      </c>
      <c r="AE128" s="96" t="str">
        <f t="shared" si="64"/>
        <v>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 &amp; 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</v>
      </c>
      <c r="AF128" s="93" t="str">
        <f t="shared" si="65"/>
        <v>"C:\Program Files (x86)\AstroGrep\AstroGrep.exe" /spath="%USERPROFILE%\AppData\Local\Temp\OnboardLogs" /stypes="*4040*20160910*" /stext=" 00:.+((SYSTEM_STATE.+slice.+state.+changed )|(ment ac)|(system.+state.+changed )|(\|lc)|(penalty)|(\[timeout)|(PRM\|1\|D)|(kpr)|(kdp))" /e /r /s</v>
      </c>
      <c r="AG128" s="1" t="str">
        <f t="shared" si="66"/>
        <v>EC</v>
      </c>
      <c r="AH128" s="97" t="str">
        <f t="shared" si="48"/>
        <v>"%USERPROFILE%\Documents\GitHub\eaglep3\Utilities\RefineRTDCRunTimes.py" --tripid 215-09 --locoid 4040 --swversion DE.1.0.7.0 --startMP 204:1475 --initTime 2016-09-09T17:52:43 --startdatetime 2016-09-09T18:06:44 --delay 1 --endMP 204:1671 --enddatetime 2016-09-09T18:38:38 --enforcementcount 1 &gt;&gt;C:\Users\stu\Documents\GitHub\eaglep3-reporting\EC\2016-09-09-refined-times.txt</v>
      </c>
      <c r="AI12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{"issue":{"subject":"","project_id":79,"tracker_id":40,"status_id":1,"priority_id":2,"assigned_to_id":23,"start_date":"2016-09-09","description":"","custom_fields":[{"id":1,"name":"Subdivision","value":"EC"},{"id":4,"name":"Milepost","value":"0.0196"},{"id":17,"name":"Train ID","value":"215-09"},{"id":16,"name":"Locomotive ID","value":"4040"},{"id":130,"name":"Impact","value":""},{"id":150,"name":"Time of Event (Mountain Time)","value":"18:38:38"},{"id":151,"name":"Denver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38" s="22" customFormat="1" x14ac:dyDescent="0.25">
      <c r="A129" s="38" t="s">
        <v>560</v>
      </c>
      <c r="B129" s="7">
        <v>4040</v>
      </c>
      <c r="C129" s="23" t="s">
        <v>108</v>
      </c>
      <c r="D129" s="23" t="s">
        <v>563</v>
      </c>
      <c r="E129" s="15">
        <v>42622.753750000003</v>
      </c>
      <c r="F129" s="15">
        <v>42622.754675925928</v>
      </c>
      <c r="G129" s="7">
        <v>1</v>
      </c>
      <c r="H129" s="15" t="s">
        <v>272</v>
      </c>
      <c r="I129" s="15">
        <v>42622.776828703703</v>
      </c>
      <c r="J129" s="7">
        <v>1</v>
      </c>
      <c r="K129" s="114" t="str">
        <f t="shared" si="56"/>
        <v>4039/4040</v>
      </c>
      <c r="L129" s="23" t="str">
        <f>VLOOKUP(A129,'Trips&amp;Operators'!$C$1:$E$10000,3,FALSE)</f>
        <v>ISHMAEL</v>
      </c>
      <c r="M129" s="6">
        <f t="shared" si="57"/>
        <v>2.2152777775772847E-2</v>
      </c>
      <c r="N129" s="7"/>
      <c r="O129" s="7"/>
      <c r="P129" s="7">
        <f>24*60*SUM($M129:$M129)</f>
        <v>31.8999999971129</v>
      </c>
      <c r="Q129" s="24"/>
      <c r="R129" s="24" t="s">
        <v>745</v>
      </c>
      <c r="S129" s="36">
        <f t="shared" ref="S129:S155" si="74">SUM(U129:U129)/IF(AG129="EC",12,1)</f>
        <v>1</v>
      </c>
      <c r="T129" s="177" t="str">
        <f t="shared" si="58"/>
        <v>NorthBound</v>
      </c>
      <c r="U129" s="17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17:05:24-0600',mode:absolute,to:'2016-09-09 19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29" s="179" t="str">
        <f t="shared" si="60"/>
        <v>Y</v>
      </c>
      <c r="X129" s="179">
        <f t="shared" si="73"/>
        <v>0</v>
      </c>
      <c r="Y129" s="66">
        <f t="shared" si="67"/>
        <v>1.9129</v>
      </c>
      <c r="Z129" s="66">
        <f t="shared" si="61"/>
        <v>23.329699999999999</v>
      </c>
      <c r="AA129" s="66">
        <f t="shared" si="62"/>
        <v>21.416799999999999</v>
      </c>
      <c r="AB129" s="63" t="str">
        <f>VLOOKUP(A129,Enforcements!$C$7:$K$21,8,0)</f>
        <v>Signal based authority (5)</v>
      </c>
      <c r="AC129" s="59" t="str">
        <f>VLOOKUP(A129,Enforcements!$C$7:$E$21,3,0)</f>
        <v>SIGNAL</v>
      </c>
      <c r="AD129" s="60" t="str">
        <f t="shared" si="63"/>
        <v>0215-09</v>
      </c>
      <c r="AE129" s="96" t="str">
        <f t="shared" si="64"/>
        <v>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 &amp; 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</v>
      </c>
      <c r="AF129" s="93" t="str">
        <f t="shared" si="65"/>
        <v>"C:\Program Files (x86)\AstroGrep\AstroGrep.exe" /spath="%USERPROFILE%\AppData\Local\Temp\OnboardLogs" /stypes="*4040*20160910*" /stext=" 00:.+((SYSTEM_STATE.+slice.+state.+changed )|(ment ac)|(system.+state.+changed )|(\|lc)|(penalty)|(\[timeout)|(PRM\|1\|D)|(kpr)|(kdp))" /e /r /s</v>
      </c>
      <c r="AG129" s="1" t="str">
        <f t="shared" si="66"/>
        <v>EC</v>
      </c>
      <c r="AH129" s="97" t="str">
        <f t="shared" si="48"/>
        <v>"%USERPROFILE%\Documents\GitHub\eaglep3\Utilities\RefineRTDCRunTimes.py" --tripid 215-09 --locoid 4040 --swversion DE.1.0.7.0 --startMP 204:19129 --initTime 2016-09-09T18:05:24 --startdatetime 2016-09-09T18:06:44 --delay 1 --endMP 204:233297 --enddatetime 2016-09-09T18:38:38 --enforcementcount 1 &gt;&gt;C:\Users\stu\Documents\GitHub\eaglep3-reporting\EC\2016-09-09-refined-times.txt</v>
      </c>
      <c r="AI129" s="129" t="str">
        <f t="shared" si="49"/>
        <v>echo {"issue":{"subject":"Main 3 departure","project_id":79,"tracker_id":40,"status_id":1,"priority_id":2,"assigned_to_id":23,"start_date":"2016-09-09","description":"","custom_fields":[{"id":1,"name":"Subdivision","value":"EC"},{"id":4,"name":"Milepost","value":"21.4168"},{"id":17,"name":"Train ID","value":"215-09"},{"id":16,"name":"Locomotive ID","value":"4040"},{"id":130,"name":"Impact","value":""},{"id":150,"name":"Time of Event (Mountain Time)","value":"18:38:38"},{"id":151,"name":"Denver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38" s="22" customFormat="1" x14ac:dyDescent="0.25">
      <c r="A130" s="38" t="s">
        <v>564</v>
      </c>
      <c r="B130" s="7">
        <v>4039</v>
      </c>
      <c r="C130" s="23" t="s">
        <v>108</v>
      </c>
      <c r="D130" s="23" t="s">
        <v>334</v>
      </c>
      <c r="E130" s="15">
        <v>42622.782488425924</v>
      </c>
      <c r="F130" s="15">
        <v>42622.789236111108</v>
      </c>
      <c r="G130" s="7">
        <v>1</v>
      </c>
      <c r="H130" s="15" t="s">
        <v>565</v>
      </c>
      <c r="I130" s="15">
        <v>42622.817233796297</v>
      </c>
      <c r="J130" s="7">
        <v>1</v>
      </c>
      <c r="K130" s="114" t="str">
        <f t="shared" si="56"/>
        <v>4039/4040</v>
      </c>
      <c r="L130" s="23" t="str">
        <f>VLOOKUP(A130,'Trips&amp;Operators'!$C$1:$E$10000,3,FALSE)</f>
        <v>ISHMAEL</v>
      </c>
      <c r="M130" s="6">
        <f t="shared" si="57"/>
        <v>2.7997685188893229E-2</v>
      </c>
      <c r="N130" s="7">
        <f>24*60*SUM($M130:$M130)</f>
        <v>40.316666672006249</v>
      </c>
      <c r="O130" s="7"/>
      <c r="P130" s="7"/>
      <c r="Q130" s="24"/>
      <c r="R130" s="24"/>
      <c r="S130" s="36">
        <f t="shared" si="74"/>
        <v>1</v>
      </c>
      <c r="T130" s="51" t="str">
        <f t="shared" si="58"/>
        <v>Southbound</v>
      </c>
      <c r="U130" s="17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17:46:47-0600',mode:absolute,to:'2016-09-09 20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0" s="179" t="str">
        <f t="shared" si="60"/>
        <v>N</v>
      </c>
      <c r="X130" s="179">
        <f t="shared" si="73"/>
        <v>1</v>
      </c>
      <c r="Y130" s="66">
        <f t="shared" si="67"/>
        <v>23.296800000000001</v>
      </c>
      <c r="Z130" s="66">
        <f t="shared" si="61"/>
        <v>8.9800000000000005E-2</v>
      </c>
      <c r="AA130" s="66">
        <f t="shared" si="62"/>
        <v>23.207000000000001</v>
      </c>
      <c r="AB130" s="63" t="e">
        <f>VLOOKUP(A130,Enforcements!$C$7:$K$21,8,0)</f>
        <v>#N/A</v>
      </c>
      <c r="AC130" s="59" t="e">
        <f>VLOOKUP(A130,Enforcements!$C$7:$E$21,3,0)</f>
        <v>#N/A</v>
      </c>
      <c r="AD130" s="60" t="str">
        <f t="shared" si="63"/>
        <v>0216-09</v>
      </c>
      <c r="AE130" s="96" t="str">
        <f t="shared" si="64"/>
        <v>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 &amp; 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</v>
      </c>
      <c r="AF130" s="93" t="str">
        <f t="shared" si="65"/>
        <v>"C:\Program Files (x86)\AstroGrep\AstroGrep.exe" /spath="%USERPROFILE%\AppData\Local\Temp\OnboardLogs" /stypes="*4039*20160910*" /stext=" 01:.+((SYSTEM_STATE.+slice.+state.+changed )|(ment ac)|(system.+state.+changed )|(\|lc)|(penalty)|(\[timeout)|(PRM\|1\|D)|(kpr)|(kdp))" /e /r /s</v>
      </c>
      <c r="AG130" s="1" t="str">
        <f t="shared" si="66"/>
        <v>EC</v>
      </c>
      <c r="AH130" s="97" t="str">
        <f t="shared" si="48"/>
        <v>"%USERPROFILE%\Documents\GitHub\eaglep3\Utilities\RefineRTDCRunTimes.py" --tripid 216-09 --locoid 4039 --swversion DE.1.0.7.0 --startMP 204:232968 --initTime 2016-09-09T18:46:47 --startdatetime 2016-09-09T18:56:30 --delay 1 --endMP 204:898 --enddatetime 2016-09-09T19:36:49 --enforcementcount 1 &gt;&gt;C:\Users\stu\Documents\GitHub\eaglep3-reporting\EC\2016-09-09-refined-times.txt</v>
      </c>
      <c r="AI13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{"issue":{"subject":"","project_id":79,"tracker_id":40,"status_id":1,"priority_id":2,"assigned_to_id":23,"start_date":"2016-09-09","description":"","custom_fields":[{"id":1,"name":"Subdivision","value":"EC"},{"id":4,"name":"Milepost","value":"23.207"},{"id":17,"name":"Train ID","value":"216-09"},{"id":16,"name":"Locomotive ID","value":"4039"},{"id":130,"name":"Impact","value":""},{"id":150,"name":"Time of Event (Mountain Time)","value":"19:36:49"},{"id":151,"name":"Denver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</row>
    <row r="131" spans="1:38" s="22" customFormat="1" x14ac:dyDescent="0.25">
      <c r="A131" s="38" t="s">
        <v>566</v>
      </c>
      <c r="B131" s="7">
        <v>4016</v>
      </c>
      <c r="C131" s="23" t="s">
        <v>108</v>
      </c>
      <c r="D131" s="23" t="s">
        <v>243</v>
      </c>
      <c r="E131" s="15">
        <v>42622.765428240738</v>
      </c>
      <c r="F131" s="15">
        <v>42622.76662037037</v>
      </c>
      <c r="G131" s="7">
        <v>1</v>
      </c>
      <c r="H131" s="15" t="s">
        <v>288</v>
      </c>
      <c r="I131" s="15">
        <v>42622.793657407405</v>
      </c>
      <c r="J131" s="7">
        <v>1</v>
      </c>
      <c r="K131" s="114" t="str">
        <f t="shared" si="56"/>
        <v>4015/4016</v>
      </c>
      <c r="L131" s="23" t="str">
        <f>VLOOKUP(A131,'Trips&amp;Operators'!$C$1:$E$10000,3,FALSE)</f>
        <v>CHANDLER</v>
      </c>
      <c r="M131" s="6">
        <f t="shared" si="57"/>
        <v>2.7037037034460809E-2</v>
      </c>
      <c r="N131" s="7">
        <f>24*60*SUM($M131:$M131)</f>
        <v>38.933333329623565</v>
      </c>
      <c r="O131" s="7"/>
      <c r="P131" s="7"/>
      <c r="Q131" s="24"/>
      <c r="R131" s="24"/>
      <c r="S131" s="36">
        <f t="shared" si="74"/>
        <v>1</v>
      </c>
      <c r="T131" s="51" t="str">
        <f t="shared" si="58"/>
        <v>NorthBound</v>
      </c>
      <c r="U131" s="17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17:22:13-0600',mode:absolute,to:'2016-09-09 20:02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1" s="179" t="str">
        <f t="shared" si="60"/>
        <v>N</v>
      </c>
      <c r="X131" s="179">
        <f t="shared" si="73"/>
        <v>1</v>
      </c>
      <c r="Y131" s="66">
        <f t="shared" si="67"/>
        <v>4.4600000000000001E-2</v>
      </c>
      <c r="Z131" s="66">
        <f t="shared" si="61"/>
        <v>23.331600000000002</v>
      </c>
      <c r="AA131" s="66">
        <f t="shared" si="62"/>
        <v>23.287000000000003</v>
      </c>
      <c r="AB131" s="63" t="e">
        <f>VLOOKUP(A131,Enforcements!$C$7:$K$21,8,0)</f>
        <v>#N/A</v>
      </c>
      <c r="AC131" s="59" t="e">
        <f>VLOOKUP(A131,Enforcements!$C$7:$E$21,3,0)</f>
        <v>#N/A</v>
      </c>
      <c r="AD131" s="60" t="str">
        <f t="shared" si="63"/>
        <v>0217-09</v>
      </c>
      <c r="AE131" s="96" t="str">
        <f t="shared" si="64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31" s="93" t="str">
        <f t="shared" si="65"/>
        <v>"C:\Program Files (x86)\AstroGrep\AstroGrep.exe" /spath="%USERPROFILE%\AppData\Local\Temp\OnboardLogs" /stypes="*4016*20160910*" /stext=" 01:.+((SYSTEM_STATE.+slice.+state.+changed )|(ment ac)|(system.+state.+changed )|(\|lc)|(penalty)|(\[timeout)|(PRM\|1\|D)|(kpr)|(kdp))" /e /r /s</v>
      </c>
      <c r="AG131" s="1" t="str">
        <f t="shared" si="66"/>
        <v>EC</v>
      </c>
      <c r="AH131" s="97" t="str">
        <f t="shared" si="48"/>
        <v>"%USERPROFILE%\Documents\GitHub\eaglep3\Utilities\RefineRTDCRunTimes.py" --tripid 217-09 --locoid 4016 --swversion DE.1.0.7.0 --startMP 204:446 --initTime 2016-09-09T18:22:13 --startdatetime 2016-09-09T18:23:56 --delay 1 --endMP 204:233316 --enddatetime 2016-09-09T19:02:52 --enforcementcount 1 &gt;&gt;C:\Users\stu\Documents\GitHub\eaglep3-reporting\EC\2016-09-09-refined-times.txt</v>
      </c>
      <c r="AI13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{"issue":{"subject":"","project_id":79,"tracker_id":40,"status_id":1,"priority_id":2,"assigned_to_id":23,"start_date":"2016-09-09","description":"","custom_fields":[{"id":1,"name":"Subdivision","value":"EC"},{"id":4,"name":"Milepost","value":"23.287"},{"id":17,"name":"Train ID","value":"217-09"},{"id":16,"name":"Locomotive ID","value":"4016"},{"id":130,"name":"Impact","value":""},{"id":150,"name":"Time of Event (Mountain Time)","value":"19:02:52"},{"id":151,"name":"Denver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38" s="22" customFormat="1" x14ac:dyDescent="0.25">
      <c r="A132" s="38" t="s">
        <v>567</v>
      </c>
      <c r="B132" s="7">
        <v>4015</v>
      </c>
      <c r="C132" s="23" t="s">
        <v>108</v>
      </c>
      <c r="D132" s="23" t="s">
        <v>475</v>
      </c>
      <c r="E132" s="15">
        <v>42622.799004629633</v>
      </c>
      <c r="F132" s="15">
        <v>42622.800081018519</v>
      </c>
      <c r="G132" s="7">
        <v>1</v>
      </c>
      <c r="H132" s="15" t="s">
        <v>242</v>
      </c>
      <c r="I132" s="15">
        <v>42622.827581018515</v>
      </c>
      <c r="J132" s="7">
        <v>1</v>
      </c>
      <c r="K132" s="114" t="str">
        <f t="shared" si="56"/>
        <v>4015/4016</v>
      </c>
      <c r="L132" s="23" t="str">
        <f>VLOOKUP(A132,'Trips&amp;Operators'!$C$1:$E$10000,3,FALSE)</f>
        <v>CHANDLER</v>
      </c>
      <c r="M132" s="6">
        <f t="shared" si="57"/>
        <v>2.749999999650754E-2</v>
      </c>
      <c r="N132" s="7">
        <f>24*60*SUM($M132:$M132)</f>
        <v>39.599999994970858</v>
      </c>
      <c r="O132" s="7"/>
      <c r="P132" s="7"/>
      <c r="Q132" s="24"/>
      <c r="R132" s="24"/>
      <c r="S132" s="36">
        <f t="shared" si="74"/>
        <v>1</v>
      </c>
      <c r="T132" s="51" t="str">
        <f t="shared" si="58"/>
        <v>Southbound</v>
      </c>
      <c r="U132" s="17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18:10:34-0600',mode:absolute,to:'2016-09-09 20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2" s="179" t="str">
        <f t="shared" si="60"/>
        <v>N</v>
      </c>
      <c r="X132" s="179">
        <f t="shared" si="73"/>
        <v>1</v>
      </c>
      <c r="Y132" s="66">
        <f t="shared" si="67"/>
        <v>23.2988</v>
      </c>
      <c r="Z132" s="66">
        <f t="shared" si="61"/>
        <v>1.6E-2</v>
      </c>
      <c r="AA132" s="66">
        <f t="shared" si="62"/>
        <v>23.282800000000002</v>
      </c>
      <c r="AB132" s="63" t="e">
        <f>VLOOKUP(A132,Enforcements!$C$7:$K$21,8,0)</f>
        <v>#N/A</v>
      </c>
      <c r="AC132" s="59" t="e">
        <f>VLOOKUP(A132,Enforcements!$C$7:$E$21,3,0)</f>
        <v>#N/A</v>
      </c>
      <c r="AD132" s="60" t="str">
        <f t="shared" si="63"/>
        <v>0218-09</v>
      </c>
      <c r="AE132" s="96" t="str">
        <f t="shared" si="64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132" s="93" t="str">
        <f t="shared" si="65"/>
        <v>"C:\Program Files (x86)\AstroGrep\AstroGrep.exe" /spath="%USERPROFILE%\AppData\Local\Temp\OnboardLogs" /stypes="*4015*20160910*" /stext=" 01:.+((SYSTEM_STATE.+slice.+state.+changed )|(ment ac)|(system.+state.+changed )|(\|lc)|(penalty)|(\[timeout)|(PRM\|1\|D)|(kpr)|(kdp))" /e /r /s</v>
      </c>
      <c r="AG132" s="1" t="str">
        <f t="shared" si="66"/>
        <v>EC</v>
      </c>
      <c r="AH132" s="97" t="str">
        <f t="shared" si="48"/>
        <v>"%USERPROFILE%\Documents\GitHub\eaglep3\Utilities\RefineRTDCRunTimes.py" --tripid 218-09 --locoid 4015 --swversion DE.1.0.7.0 --startMP 204:232988 --initTime 2016-09-09T19:10:34 --startdatetime 2016-09-09T19:12:07 --delay 1 --endMP 204:160 --enddatetime 2016-09-09T19:51:43 --enforcementcount 1 &gt;&gt;C:\Users\stu\Documents\GitHub\eaglep3-reporting\EC\2016-09-09-refined-times.txt</v>
      </c>
      <c r="AI132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{"issue":{"subject":"","project_id":79,"tracker_id":40,"status_id":1,"priority_id":2,"assigned_to_id":23,"start_date":"2016-09-09","description":"","custom_fields":[{"id":1,"name":"Subdivision","value":"EC"},{"id":4,"name":"Milepost","value":"23.2828"},{"id":17,"name":"Train ID","value":"218-09"},{"id":16,"name":"Locomotive ID","value":"4015"},{"id":130,"name":"Impact","value":""},{"id":150,"name":"Time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38" s="22" customFormat="1" x14ac:dyDescent="0.25">
      <c r="A133" s="38" t="s">
        <v>751</v>
      </c>
      <c r="B133" s="7">
        <v>4025</v>
      </c>
      <c r="C133" s="23" t="s">
        <v>108</v>
      </c>
      <c r="D133" s="23" t="s">
        <v>475</v>
      </c>
      <c r="E133" s="15">
        <v>42622.799004629633</v>
      </c>
      <c r="F133" s="15">
        <v>42622.800081018519</v>
      </c>
      <c r="G133" s="7">
        <v>1</v>
      </c>
      <c r="H133" s="15" t="s">
        <v>242</v>
      </c>
      <c r="I133" s="15">
        <v>42622.827581018515</v>
      </c>
      <c r="J133" s="7">
        <v>1</v>
      </c>
      <c r="K133" s="114" t="str">
        <f t="shared" si="56"/>
        <v>4025/4026</v>
      </c>
      <c r="L133" s="23" t="e">
        <f>VLOOKUP(A133,'Trips&amp;Operators'!$C$1:$E$10000,3,FALSE)</f>
        <v>#N/A</v>
      </c>
      <c r="M133" s="6">
        <f t="shared" si="57"/>
        <v>2.749999999650754E-2</v>
      </c>
      <c r="N133" s="7"/>
      <c r="O133" s="7"/>
      <c r="P133" s="7">
        <v>1</v>
      </c>
      <c r="Q133" s="24"/>
      <c r="R133" s="24" t="s">
        <v>378</v>
      </c>
      <c r="S133" s="36">
        <f t="shared" si="74"/>
        <v>0</v>
      </c>
      <c r="T133" s="177" t="str">
        <f t="shared" si="58"/>
        <v>NorthBound</v>
      </c>
      <c r="U133" s="17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18:10:34-0600',mode:absolute,to:'2016-09-09 20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33" s="179" t="str">
        <f t="shared" si="60"/>
        <v>N</v>
      </c>
      <c r="X133" s="179">
        <f t="shared" si="73"/>
        <v>1</v>
      </c>
      <c r="Y133" s="66">
        <f t="shared" si="67"/>
        <v>23.2988</v>
      </c>
      <c r="Z133" s="66">
        <f t="shared" si="61"/>
        <v>1.6E-2</v>
      </c>
      <c r="AA133" s="66">
        <f t="shared" si="62"/>
        <v>23.282800000000002</v>
      </c>
      <c r="AB133" s="63" t="e">
        <f>VLOOKUP(A133,Enforcements!$C$7:$K$21,8,0)</f>
        <v>#N/A</v>
      </c>
      <c r="AC133" s="59" t="e">
        <f>VLOOKUP(A133,Enforcements!$C$7:$E$21,3,0)</f>
        <v>#N/A</v>
      </c>
      <c r="AD133" s="60" t="str">
        <f t="shared" si="63"/>
        <v>0219-09</v>
      </c>
      <c r="AE133" s="96" t="str">
        <f t="shared" si="64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33" s="93" t="str">
        <f t="shared" si="65"/>
        <v>"C:\Program Files (x86)\AstroGrep\AstroGrep.exe" /spath="%USERPROFILE%\AppData\Local\Temp\OnboardLogs" /stypes="*4025*20160910*" /stext=" 01:.+((SYSTEM_STATE.+slice.+state.+changed )|(ment ac)|(system.+state.+changed )|(\|lc)|(penalty)|(\[timeout)|(PRM\|1\|D)|(kpr)|(kdp))" /e /r /s</v>
      </c>
      <c r="AG133" s="1" t="str">
        <f t="shared" si="66"/>
        <v>EC</v>
      </c>
      <c r="AH133" s="97" t="str">
        <f t="shared" ref="AH133" si="75"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219-09 --locoid 4025 --swversion DE.1.0.7.0 --startMP 204:232988 --initTime 2016-09-09T19:10:34 --startdatetime 2016-09-09T19:12:07 --delay 1 --endMP 204:160 --enddatetime 2016-09-09T19:51:43 --enforcementcount 1 &gt;&gt;C:\Users\stu\Documents\GitHub\eaglep3-reporting\EC\2016-09-09-refined-times.txt</v>
      </c>
      <c r="AI133" s="129" t="str">
        <f t="shared" ref="AI133" si="76"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AA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init","project_id":79,"tracker_id":40,"status_id":1,"priority_id":2,"assigned_to_id":23,"start_date":"2016-09-09","description":"","custom_fields":[{"id":1,"name":"Subdivision","value":"EC"},{"id":4,"name":"Milepost","value":"23.2828"},{"id":17,"name":"Train ID","value":"219-09"},{"id":16,"name":"Locomotive ID","value":"4025"},{"id":130,"name":"Impact","value":""},{"id":150,"name":"Time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38" x14ac:dyDescent="0.25">
      <c r="A134" s="38" t="s">
        <v>568</v>
      </c>
      <c r="B134" s="7">
        <v>4026</v>
      </c>
      <c r="C134" s="23" t="s">
        <v>108</v>
      </c>
      <c r="D134" s="23" t="s">
        <v>283</v>
      </c>
      <c r="E134" s="15">
        <v>42622.800694444442</v>
      </c>
      <c r="F134" s="15">
        <v>42622.810254629629</v>
      </c>
      <c r="G134" s="7">
        <v>1</v>
      </c>
      <c r="H134" s="15" t="s">
        <v>326</v>
      </c>
      <c r="I134" s="15">
        <v>42622.836863425924</v>
      </c>
      <c r="J134" s="7">
        <v>1</v>
      </c>
      <c r="K134" s="114" t="str">
        <f t="shared" si="56"/>
        <v>4025/4026</v>
      </c>
      <c r="L134" s="23" t="str">
        <f>VLOOKUP(A134,'Trips&amp;Operators'!$C$1:$E$10000,3,FALSE)</f>
        <v>STURGEON</v>
      </c>
      <c r="M134" s="6">
        <f t="shared" si="57"/>
        <v>2.6608796295477077E-2</v>
      </c>
      <c r="N134" s="7">
        <f t="shared" ref="N134:N147" si="77">24*60*SUM($M134:$M134)</f>
        <v>38.316666665486991</v>
      </c>
      <c r="O134" s="7"/>
      <c r="P134" s="7"/>
      <c r="Q134" s="24"/>
      <c r="R134" s="24"/>
      <c r="S134" s="36">
        <f t="shared" si="74"/>
        <v>1</v>
      </c>
      <c r="T134" s="51" t="str">
        <f t="shared" si="58"/>
        <v>Southbound</v>
      </c>
      <c r="U134" s="17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18:13:00-0600',mode:absolute,to:'2016-09-09 21:05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34" s="179" t="str">
        <f t="shared" si="60"/>
        <v>N</v>
      </c>
      <c r="X134" s="179">
        <f t="shared" ref="X134:X138" si="78">VALUE(LEFT(AD134,4))-VALUE(LEFT(AD133,4))</f>
        <v>1</v>
      </c>
      <c r="Y134" s="66">
        <f t="shared" si="67"/>
        <v>23.297599999999999</v>
      </c>
      <c r="Z134" s="66">
        <f t="shared" si="61"/>
        <v>1.7600000000000001E-2</v>
      </c>
      <c r="AA134" s="66">
        <f t="shared" si="62"/>
        <v>23.279999999999998</v>
      </c>
      <c r="AB134" s="63" t="e">
        <f>VLOOKUP(A134,Enforcements!$C$7:$K$21,8,0)</f>
        <v>#N/A</v>
      </c>
      <c r="AC134" s="59" t="e">
        <f>VLOOKUP(A134,Enforcements!$C$7:$E$21,3,0)</f>
        <v>#N/A</v>
      </c>
      <c r="AD134" s="60" t="str">
        <f t="shared" si="63"/>
        <v>0220-09</v>
      </c>
      <c r="AE134" s="96" t="str">
        <f t="shared" si="64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34" s="93" t="str">
        <f t="shared" si="65"/>
        <v>"C:\Program Files (x86)\AstroGrep\AstroGrep.exe" /spath="%USERPROFILE%\AppData\Local\Temp\OnboardLogs" /stypes="*4026*20160910*" /stext=" 02:.+((SYSTEM_STATE.+slice.+state.+changed )|(ment ac)|(system.+state.+changed )|(\|lc)|(penalty)|(\[timeout)|(PRM\|1\|D)|(kpr)|(kdp))" /e /r /s</v>
      </c>
      <c r="AG134" s="1" t="str">
        <f t="shared" si="66"/>
        <v>EC</v>
      </c>
      <c r="AH134" s="97" t="str">
        <f t="shared" si="48"/>
        <v>"%USERPROFILE%\Documents\GitHub\eaglep3\Utilities\RefineRTDCRunTimes.py" --tripid 220-09 --locoid 4026 --swversion DE.1.0.7.0 --startMP 204:232976 --initTime 2016-09-09T19:13:00 --startdatetime 2016-09-09T19:26:46 --delay 1 --endMP 204:176 --enddatetime 2016-09-09T20:05:05 --enforcementcount 1 &gt;&gt;C:\Users\stu\Documents\GitHub\eaglep3-reporting\EC\2016-09-09-refined-times.txt</v>
      </c>
      <c r="AI134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{"issue":{"subject":"","project_id":79,"tracker_id":40,"status_id":1,"priority_id":2,"assigned_to_id":23,"start_date":"2016-09-09","description":"","custom_fields":[{"id":1,"name":"Subdivision","value":"EC"},{"id":4,"name":"Milepost","value":"23.28"},{"id":17,"name":"Train ID","value":"220-09"},{"id":16,"name":"Locomotive ID","value":"4026"},{"id":130,"name":"Impact","value":""},{"id":150,"name":"Time of Event (Mountain Time)","value":"20:05:05"},{"id":151,"name":"Denver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38" x14ac:dyDescent="0.25">
      <c r="A135" s="38" t="s">
        <v>569</v>
      </c>
      <c r="B135" s="7">
        <v>4018</v>
      </c>
      <c r="C135" s="23" t="s">
        <v>108</v>
      </c>
      <c r="D135" s="23" t="s">
        <v>336</v>
      </c>
      <c r="E135" s="15">
        <v>42622.790648148148</v>
      </c>
      <c r="F135" s="15">
        <v>42622.792083333334</v>
      </c>
      <c r="G135" s="7">
        <v>1</v>
      </c>
      <c r="H135" s="15" t="s">
        <v>241</v>
      </c>
      <c r="I135" s="15">
        <v>42622.81658564815</v>
      </c>
      <c r="J135" s="7">
        <v>1</v>
      </c>
      <c r="K135" s="114" t="str">
        <f t="shared" si="56"/>
        <v>4017/4018</v>
      </c>
      <c r="L135" s="23" t="str">
        <f>VLOOKUP(A135,'Trips&amp;Operators'!$C$1:$E$10000,3,FALSE)</f>
        <v>LEVIN</v>
      </c>
      <c r="M135" s="6">
        <f t="shared" si="57"/>
        <v>2.4502314816345461E-2</v>
      </c>
      <c r="N135" s="7">
        <f t="shared" si="77"/>
        <v>35.283333335537463</v>
      </c>
      <c r="O135" s="7"/>
      <c r="P135" s="7"/>
      <c r="Q135" s="24"/>
      <c r="R135" s="24"/>
      <c r="S135" s="36">
        <f t="shared" si="74"/>
        <v>1</v>
      </c>
      <c r="T135" s="51" t="str">
        <f t="shared" si="58"/>
        <v>NorthBound</v>
      </c>
      <c r="U135" s="17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17:58:32-0600',mode:absolute,to:'2016-09-09 20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35" s="179" t="str">
        <f t="shared" si="60"/>
        <v>N</v>
      </c>
      <c r="X135" s="179">
        <f t="shared" si="78"/>
        <v>1</v>
      </c>
      <c r="Y135" s="66">
        <f t="shared" si="67"/>
        <v>4.6699999999999998E-2</v>
      </c>
      <c r="Z135" s="66">
        <f t="shared" si="61"/>
        <v>23.331399999999999</v>
      </c>
      <c r="AA135" s="66">
        <f t="shared" si="62"/>
        <v>23.284699999999997</v>
      </c>
      <c r="AB135" s="63" t="e">
        <f>VLOOKUP(A135,Enforcements!$C$7:$K$21,8,0)</f>
        <v>#N/A</v>
      </c>
      <c r="AC135" s="59" t="e">
        <f>VLOOKUP(A135,Enforcements!$C$7:$E$21,3,0)</f>
        <v>#N/A</v>
      </c>
      <c r="AD135" s="60" t="str">
        <f t="shared" si="63"/>
        <v>0221-09</v>
      </c>
      <c r="AE135" s="96" t="str">
        <f t="shared" si="64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35" s="93" t="str">
        <f t="shared" si="65"/>
        <v>"C:\Program Files (x86)\AstroGrep\AstroGrep.exe" /spath="%USERPROFILE%\AppData\Local\Temp\OnboardLogs" /stypes="*4018*20160910*" /stext=" 01:.+((SYSTEM_STATE.+slice.+state.+changed )|(ment ac)|(system.+state.+changed )|(\|lc)|(penalty)|(\[timeout)|(PRM\|1\|D)|(kpr)|(kdp))" /e /r /s</v>
      </c>
      <c r="AG135" s="1" t="str">
        <f t="shared" si="66"/>
        <v>EC</v>
      </c>
      <c r="AH135" s="97" t="str">
        <f t="shared" si="48"/>
        <v>"%USERPROFILE%\Documents\GitHub\eaglep3\Utilities\RefineRTDCRunTimes.py" --tripid 221-09 --locoid 4018 --swversion DE.1.0.7.0 --startMP 204:467 --initTime 2016-09-09T18:58:32 --startdatetime 2016-09-09T19:00:36 --delay 1 --endMP 204:233314 --enddatetime 2016-09-09T19:35:53 --enforcementcount 1 &gt;&gt;C:\Users\stu\Documents\GitHub\eaglep3-reporting\EC\2016-09-09-refined-times.txt</v>
      </c>
      <c r="AI135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{"issue":{"subject":"","project_id":79,"tracker_id":40,"status_id":1,"priority_id":2,"assigned_to_id":23,"start_date":"2016-09-09","description":"","custom_fields":[{"id":1,"name":"Subdivision","value":"EC"},{"id":4,"name":"Milepost","value":"23.2847"},{"id":17,"name":"Train ID","value":"221-09"},{"id":16,"name":"Locomotive ID","value":"4018"},{"id":130,"name":"Impact","value":""},{"id":150,"name":"Time of Event (Mountain Time)","value":"19:35:53"},{"id":151,"name":"Denver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38" s="22" customFormat="1" x14ac:dyDescent="0.25">
      <c r="A136" s="38" t="s">
        <v>570</v>
      </c>
      <c r="B136" s="7">
        <v>4017</v>
      </c>
      <c r="C136" s="23" t="s">
        <v>108</v>
      </c>
      <c r="D136" s="23" t="s">
        <v>255</v>
      </c>
      <c r="E136" s="15">
        <v>42622.823657407411</v>
      </c>
      <c r="F136" s="15">
        <v>42622.830810185187</v>
      </c>
      <c r="G136" s="7">
        <v>1</v>
      </c>
      <c r="H136" s="15" t="s">
        <v>280</v>
      </c>
      <c r="I136" s="15">
        <v>42622.859490740739</v>
      </c>
      <c r="J136" s="7">
        <v>1</v>
      </c>
      <c r="K136" s="114" t="str">
        <f t="shared" si="56"/>
        <v>4017/4018</v>
      </c>
      <c r="L136" s="23" t="str">
        <f>VLOOKUP(A136,'Trips&amp;Operators'!$C$1:$E$10000,3,FALSE)</f>
        <v>LEVIN</v>
      </c>
      <c r="M136" s="6">
        <f t="shared" si="57"/>
        <v>2.8680555551545694E-2</v>
      </c>
      <c r="N136" s="7">
        <f t="shared" si="77"/>
        <v>41.2999999942258</v>
      </c>
      <c r="O136" s="7"/>
      <c r="P136" s="7"/>
      <c r="Q136" s="24"/>
      <c r="R136" s="24"/>
      <c r="S136" s="36">
        <f t="shared" si="74"/>
        <v>1</v>
      </c>
      <c r="T136" s="51" t="str">
        <f t="shared" si="58"/>
        <v>Southbound</v>
      </c>
      <c r="U136" s="17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18:46:04-0600',mode:absolute,to:'2016-09-09 21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36" s="179" t="str">
        <f t="shared" si="60"/>
        <v>N</v>
      </c>
      <c r="X136" s="179">
        <f t="shared" si="78"/>
        <v>1</v>
      </c>
      <c r="Y136" s="66">
        <f t="shared" si="67"/>
        <v>23.2986</v>
      </c>
      <c r="Z136" s="66">
        <f t="shared" si="61"/>
        <v>1.5599999999999999E-2</v>
      </c>
      <c r="AA136" s="66">
        <f t="shared" si="62"/>
        <v>23.283000000000001</v>
      </c>
      <c r="AB136" s="63" t="e">
        <f>VLOOKUP(A136,Enforcements!$C$7:$K$21,8,0)</f>
        <v>#N/A</v>
      </c>
      <c r="AC136" s="59" t="e">
        <f>VLOOKUP(A136,Enforcements!$C$7:$E$21,3,0)</f>
        <v>#N/A</v>
      </c>
      <c r="AD136" s="60" t="str">
        <f t="shared" si="63"/>
        <v>0222-09</v>
      </c>
      <c r="AE136" s="96" t="str">
        <f t="shared" si="64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136" s="93" t="str">
        <f t="shared" si="65"/>
        <v>"C:\Program Files (x86)\AstroGrep\AstroGrep.exe" /spath="%USERPROFILE%\AppData\Local\Temp\OnboardLogs" /stypes="*4017*20160910*" /stext=" 02:.+((SYSTEM_STATE.+slice.+state.+changed )|(ment ac)|(system.+state.+changed )|(\|lc)|(penalty)|(\[timeout)|(PRM\|1\|D)|(kpr)|(kdp))" /e /r /s</v>
      </c>
      <c r="AG136" s="1" t="str">
        <f t="shared" si="66"/>
        <v>EC</v>
      </c>
      <c r="AH136" s="97" t="str">
        <f t="shared" si="48"/>
        <v>"%USERPROFILE%\Documents\GitHub\eaglep3\Utilities\RefineRTDCRunTimes.py" --tripid 222-09 --locoid 4017 --swversion DE.1.0.7.0 --startMP 204:232986 --initTime 2016-09-09T19:46:04 --startdatetime 2016-09-09T19:56:22 --delay 1 --endMP 204:156 --enddatetime 2016-09-09T20:37:40 --enforcementcount 1 &gt;&gt;C:\Users\stu\Documents\GitHub\eaglep3-reporting\EC\2016-09-09-refined-times.txt</v>
      </c>
      <c r="AI136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{"issue":{"subject":"","project_id":79,"tracker_id":40,"status_id":1,"priority_id":2,"assigned_to_id":23,"start_date":"2016-09-09","description":"","custom_fields":[{"id":1,"name":"Subdivision","value":"EC"},{"id":4,"name":"Milepost","value":"23.283"},{"id":17,"name":"Train ID","value":"222-09"},{"id":16,"name":"Locomotive ID","value":"4017"},{"id":130,"name":"Impact","value":""},{"id":150,"name":"Time of Event (Mountain Time)","value":"20:37:40"},{"id":151,"name":"Denver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</row>
    <row r="137" spans="1:38" x14ac:dyDescent="0.25">
      <c r="A137" s="38" t="s">
        <v>571</v>
      </c>
      <c r="B137" s="7">
        <v>4020</v>
      </c>
      <c r="C137" s="23" t="s">
        <v>108</v>
      </c>
      <c r="D137" s="23" t="s">
        <v>257</v>
      </c>
      <c r="E137" s="15">
        <v>42622.808877314812</v>
      </c>
      <c r="F137" s="15">
        <v>42622.812731481485</v>
      </c>
      <c r="G137" s="7">
        <v>1</v>
      </c>
      <c r="H137" s="15" t="s">
        <v>279</v>
      </c>
      <c r="I137" s="15">
        <v>42622.838495370372</v>
      </c>
      <c r="J137" s="7">
        <v>1</v>
      </c>
      <c r="K137" s="114" t="str">
        <f t="shared" si="56"/>
        <v>4019/4020</v>
      </c>
      <c r="L137" s="23" t="str">
        <f>VLOOKUP(A137,'Trips&amp;Operators'!$C$1:$E$10000,3,FALSE)</f>
        <v>STAMBAUGH</v>
      </c>
      <c r="M137" s="6">
        <f t="shared" si="57"/>
        <v>2.5763888887013309E-2</v>
      </c>
      <c r="N137" s="7">
        <f t="shared" si="77"/>
        <v>37.099999997299165</v>
      </c>
      <c r="O137" s="7"/>
      <c r="P137" s="7"/>
      <c r="Q137" s="24"/>
      <c r="R137" s="24"/>
      <c r="S137" s="36">
        <f t="shared" si="74"/>
        <v>1</v>
      </c>
      <c r="T137" s="51" t="str">
        <f t="shared" si="58"/>
        <v>NorthBound</v>
      </c>
      <c r="U137" s="17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18:24:47-0600',mode:absolute,to:'2016-09-09 21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37" s="179" t="str">
        <f t="shared" si="60"/>
        <v>N</v>
      </c>
      <c r="X137" s="179">
        <f t="shared" si="78"/>
        <v>1</v>
      </c>
      <c r="Y137" s="66">
        <f t="shared" si="67"/>
        <v>4.1599999999999998E-2</v>
      </c>
      <c r="Z137" s="66">
        <f t="shared" si="61"/>
        <v>23.328199999999999</v>
      </c>
      <c r="AA137" s="66">
        <f t="shared" si="62"/>
        <v>23.2866</v>
      </c>
      <c r="AB137" s="63" t="e">
        <f>VLOOKUP(A137,Enforcements!$C$7:$K$21,8,0)</f>
        <v>#N/A</v>
      </c>
      <c r="AC137" s="59" t="e">
        <f>VLOOKUP(A137,Enforcements!$C$7:$E$21,3,0)</f>
        <v>#N/A</v>
      </c>
      <c r="AD137" s="60" t="str">
        <f t="shared" si="63"/>
        <v>0223-09</v>
      </c>
      <c r="AE137" s="96" t="str">
        <f t="shared" si="64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37" s="93" t="str">
        <f t="shared" si="65"/>
        <v>"C:\Program Files (x86)\AstroGrep\AstroGrep.exe" /spath="%USERPROFILE%\AppData\Local\Temp\OnboardLogs" /stypes="*4020*20160910*" /stext=" 02:.+((SYSTEM_STATE.+slice.+state.+changed )|(ment ac)|(system.+state.+changed )|(\|lc)|(penalty)|(\[timeout)|(PRM\|1\|D)|(kpr)|(kdp))" /e /r /s</v>
      </c>
      <c r="AG137" s="1" t="str">
        <f t="shared" si="66"/>
        <v>EC</v>
      </c>
      <c r="AH137" s="97" t="str">
        <f t="shared" si="48"/>
        <v>"%USERPROFILE%\Documents\GitHub\eaglep3\Utilities\RefineRTDCRunTimes.py" --tripid 223-09 --locoid 4020 --swversion DE.1.0.7.0 --startMP 204:416 --initTime 2016-09-09T19:24:47 --startdatetime 2016-09-09T19:30:20 --delay 1 --endMP 204:233282 --enddatetime 2016-09-09T20:07:26 --enforcementcount 1 &gt;&gt;C:\Users\stu\Documents\GitHub\eaglep3-reporting\EC\2016-09-09-refined-times.txt</v>
      </c>
      <c r="AI137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{"issue":{"subject":"","project_id":79,"tracker_id":40,"status_id":1,"priority_id":2,"assigned_to_id":23,"start_date":"2016-09-09","description":"","custom_fields":[{"id":1,"name":"Subdivision","value":"EC"},{"id":4,"name":"Milepost","value":"23.2866"},{"id":17,"name":"Train ID","value":"223-09"},{"id":16,"name":"Locomotive ID","value":"4020"},{"id":130,"name":"Impact","value":""},{"id":150,"name":"Time of Event (Mountain Time)","value":"20:07:26"},{"id":151,"name":"Denver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</row>
    <row r="138" spans="1:38" x14ac:dyDescent="0.25">
      <c r="A138" s="38" t="s">
        <v>572</v>
      </c>
      <c r="B138" s="7">
        <v>4019</v>
      </c>
      <c r="C138" s="23" t="s">
        <v>108</v>
      </c>
      <c r="D138" s="23" t="s">
        <v>244</v>
      </c>
      <c r="E138" s="15">
        <v>42622.84814814815</v>
      </c>
      <c r="F138" s="15">
        <v>42622.851620370369</v>
      </c>
      <c r="G138" s="7">
        <v>1</v>
      </c>
      <c r="H138" s="15" t="s">
        <v>270</v>
      </c>
      <c r="I138" s="15">
        <v>42622.879363425927</v>
      </c>
      <c r="J138" s="7">
        <v>1</v>
      </c>
      <c r="K138" s="114" t="str">
        <f t="shared" si="56"/>
        <v>4019/4020</v>
      </c>
      <c r="L138" s="23" t="str">
        <f>VLOOKUP(A138,'Trips&amp;Operators'!$C$1:$E$10000,3,FALSE)</f>
        <v>STAMBAUGH</v>
      </c>
      <c r="M138" s="6">
        <f t="shared" si="57"/>
        <v>2.7743055557948537E-2</v>
      </c>
      <c r="N138" s="7">
        <f t="shared" si="77"/>
        <v>39.950000003445894</v>
      </c>
      <c r="O138" s="7"/>
      <c r="P138" s="7"/>
      <c r="Q138" s="24"/>
      <c r="R138" s="24"/>
      <c r="S138" s="36">
        <f t="shared" si="74"/>
        <v>1</v>
      </c>
      <c r="T138" s="51" t="str">
        <f t="shared" si="58"/>
        <v>Southbound</v>
      </c>
      <c r="U138" s="17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19:21:20-0600',mode:absolute,to:'2016-09-09 22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38" s="179" t="str">
        <f t="shared" si="60"/>
        <v>N</v>
      </c>
      <c r="X138" s="179">
        <f t="shared" si="78"/>
        <v>1</v>
      </c>
      <c r="Y138" s="66">
        <f t="shared" si="67"/>
        <v>23.298200000000001</v>
      </c>
      <c r="Z138" s="66">
        <f t="shared" si="61"/>
        <v>1.61E-2</v>
      </c>
      <c r="AA138" s="66">
        <f t="shared" si="62"/>
        <v>23.2821</v>
      </c>
      <c r="AB138" s="63" t="e">
        <f>VLOOKUP(A138,Enforcements!$C$7:$K$21,8,0)</f>
        <v>#N/A</v>
      </c>
      <c r="AC138" s="59" t="e">
        <f>VLOOKUP(A138,Enforcements!$C$7:$E$21,3,0)</f>
        <v>#N/A</v>
      </c>
      <c r="AD138" s="60" t="str">
        <f t="shared" si="63"/>
        <v>0224-09</v>
      </c>
      <c r="AE138" s="96" t="str">
        <f t="shared" si="64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138" s="93" t="str">
        <f t="shared" si="65"/>
        <v>"C:\Program Files (x86)\AstroGrep\AstroGrep.exe" /spath="%USERPROFILE%\AppData\Local\Temp\OnboardLogs" /stypes="*4019*20160910*" /stext=" 03:.+((SYSTEM_STATE.+slice.+state.+changed )|(ment ac)|(system.+state.+changed )|(\|lc)|(penalty)|(\[timeout)|(PRM\|1\|D)|(kpr)|(kdp))" /e /r /s</v>
      </c>
      <c r="AG138" s="1" t="str">
        <f t="shared" si="66"/>
        <v>EC</v>
      </c>
      <c r="AH138" s="97" t="str">
        <f t="shared" si="48"/>
        <v>"%USERPROFILE%\Documents\GitHub\eaglep3\Utilities\RefineRTDCRunTimes.py" --tripid 224-09 --locoid 4019 --swversion DE.1.0.7.0 --startMP 204:232982 --initTime 2016-09-09T20:21:20 --startdatetime 2016-09-09T20:26:20 --delay 1 --endMP 204:161 --enddatetime 2016-09-09T21:06:17 --enforcementcount 1 &gt;&gt;C:\Users\stu\Documents\GitHub\eaglep3-reporting\EC\2016-09-09-refined-times.txt</v>
      </c>
      <c r="AI138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{"issue":{"subject":"","project_id":79,"tracker_id":40,"status_id":1,"priority_id":2,"assigned_to_id":23,"start_date":"2016-09-09","description":"","custom_fields":[{"id":1,"name":"Subdivision","value":"EC"},{"id":4,"name":"Milepost","value":"23.2821"},{"id":17,"name":"Train ID","value":"224-09"},{"id":16,"name":"Locomotive ID","value":"4019"},{"id":130,"name":"Impact","value":""},{"id":150,"name":"Time of Event (Mountain Time)","value":"21:06:17"},{"id":151,"name":"Denver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</row>
    <row r="139" spans="1:38" x14ac:dyDescent="0.25">
      <c r="A139" s="38" t="s">
        <v>573</v>
      </c>
      <c r="B139" s="7">
        <v>4016</v>
      </c>
      <c r="C139" s="23" t="s">
        <v>108</v>
      </c>
      <c r="D139" s="23" t="s">
        <v>267</v>
      </c>
      <c r="E139" s="15">
        <v>42622.832372685189</v>
      </c>
      <c r="F139" s="15">
        <v>42622.833611111113</v>
      </c>
      <c r="G139" s="7">
        <v>1</v>
      </c>
      <c r="H139" s="15" t="s">
        <v>327</v>
      </c>
      <c r="I139" s="15">
        <v>42622.859155092592</v>
      </c>
      <c r="J139" s="7">
        <v>1</v>
      </c>
      <c r="K139" s="114" t="str">
        <f t="shared" si="56"/>
        <v>4015/4016</v>
      </c>
      <c r="L139" s="23" t="str">
        <f>VLOOKUP(A139,'Trips&amp;Operators'!$C$1:$E$10000,3,FALSE)</f>
        <v>CHANDLER</v>
      </c>
      <c r="M139" s="6">
        <f t="shared" si="57"/>
        <v>2.5543981479131617E-2</v>
      </c>
      <c r="N139" s="7">
        <f t="shared" si="77"/>
        <v>36.783333329949528</v>
      </c>
      <c r="O139" s="7"/>
      <c r="P139" s="7"/>
      <c r="Q139" s="24"/>
      <c r="R139" s="24"/>
      <c r="S139" s="36">
        <f t="shared" si="74"/>
        <v>1</v>
      </c>
      <c r="T139" s="51" t="str">
        <f t="shared" si="58"/>
        <v>NorthBound</v>
      </c>
      <c r="U139" s="17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18:58:37-0600',mode:absolute,to:'2016-09-09 21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9" s="179" t="str">
        <f t="shared" si="60"/>
        <v>N</v>
      </c>
      <c r="X139" s="179">
        <f t="shared" ref="X139:X154" si="79">VALUE(LEFT(AD139,4))-VALUE(LEFT(AD138,4))</f>
        <v>1</v>
      </c>
      <c r="Y139" s="66">
        <f t="shared" si="67"/>
        <v>4.5699999999999998E-2</v>
      </c>
      <c r="Z139" s="66">
        <f t="shared" si="61"/>
        <v>23.330100000000002</v>
      </c>
      <c r="AA139" s="66">
        <f t="shared" si="62"/>
        <v>23.284400000000002</v>
      </c>
      <c r="AB139" s="63" t="e">
        <f>VLOOKUP(A139,Enforcements!$C$7:$K$21,8,0)</f>
        <v>#N/A</v>
      </c>
      <c r="AC139" s="59" t="e">
        <f>VLOOKUP(A139,Enforcements!$C$7:$E$21,3,0)</f>
        <v>#N/A</v>
      </c>
      <c r="AD139" s="60" t="str">
        <f t="shared" si="63"/>
        <v>0225-09</v>
      </c>
      <c r="AE139" s="96" t="str">
        <f t="shared" si="64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39" s="93" t="str">
        <f t="shared" si="65"/>
        <v>"C:\Program Files (x86)\AstroGrep\AstroGrep.exe" /spath="%USERPROFILE%\AppData\Local\Temp\OnboardLogs" /stypes="*4016*20160910*" /stext=" 02:.+((SYSTEM_STATE.+slice.+state.+changed )|(ment ac)|(system.+state.+changed )|(\|lc)|(penalty)|(\[timeout)|(PRM\|1\|D)|(kpr)|(kdp))" /e /r /s</v>
      </c>
      <c r="AG139" s="1" t="str">
        <f t="shared" si="66"/>
        <v>EC</v>
      </c>
      <c r="AH139" s="97" t="str">
        <f t="shared" si="48"/>
        <v>"%USERPROFILE%\Documents\GitHub\eaglep3\Utilities\RefineRTDCRunTimes.py" --tripid 225-09 --locoid 4016 --swversion DE.1.0.7.0 --startMP 204:457 --initTime 2016-09-09T19:58:37 --startdatetime 2016-09-09T20:00:24 --delay 1 --endMP 204:233301 --enddatetime 2016-09-09T20:37:11 --enforcementcount 1 &gt;&gt;C:\Users\stu\Documents\GitHub\eaglep3-reporting\EC\2016-09-09-refined-times.txt</v>
      </c>
      <c r="AI139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{"issue":{"subject":"","project_id":79,"tracker_id":40,"status_id":1,"priority_id":2,"assigned_to_id":23,"start_date":"2016-09-09","description":"","custom_fields":[{"id":1,"name":"Subdivision","value":"EC"},{"id":4,"name":"Milepost","value":"23.2844"},{"id":17,"name":"Train ID","value":"225-09"},{"id":16,"name":"Locomotive ID","value":"4016"},{"id":130,"name":"Impact","value":""},{"id":150,"name":"Time of Event (Mountain Time)","value":"20:37:11"},{"id":151,"name":"Denver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38" x14ac:dyDescent="0.25">
      <c r="A140" s="38" t="s">
        <v>574</v>
      </c>
      <c r="B140" s="7">
        <v>4015</v>
      </c>
      <c r="C140" s="23" t="s">
        <v>108</v>
      </c>
      <c r="D140" s="23" t="s">
        <v>329</v>
      </c>
      <c r="E140" s="15">
        <v>42622.87128472222</v>
      </c>
      <c r="F140" s="15">
        <v>42622.872743055559</v>
      </c>
      <c r="G140" s="7">
        <v>1</v>
      </c>
      <c r="H140" s="15" t="s">
        <v>256</v>
      </c>
      <c r="I140" s="15">
        <v>42622.901400462964</v>
      </c>
      <c r="J140" s="7">
        <v>1</v>
      </c>
      <c r="K140" s="114" t="str">
        <f t="shared" si="56"/>
        <v>4015/4016</v>
      </c>
      <c r="L140" s="23" t="str">
        <f>VLOOKUP(A140,'Trips&amp;Operators'!$C$1:$E$10000,3,FALSE)</f>
        <v>CHANDLER</v>
      </c>
      <c r="M140" s="6">
        <f t="shared" si="57"/>
        <v>2.8657407405262347E-2</v>
      </c>
      <c r="N140" s="7">
        <f t="shared" si="77"/>
        <v>41.26666666357778</v>
      </c>
      <c r="O140" s="7"/>
      <c r="P140" s="7"/>
      <c r="Q140" s="24"/>
      <c r="R140" s="24"/>
      <c r="S140" s="36">
        <f t="shared" si="74"/>
        <v>1</v>
      </c>
      <c r="T140" s="51" t="str">
        <f t="shared" si="58"/>
        <v>Southbound</v>
      </c>
      <c r="U140" s="17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78" t="str">
        <f t="shared" si="59"/>
        <v>https://search-rtdc-monitor-bjffxe2xuh6vdkpspy63sjmuny.us-east-1.es.amazonaws.com/_plugin/kibana/#/discover/Steve-Slow-Train-Analysis-(2080s-and-2083s)?_g=(refreshInterval:(display:Off,section:0,value:0),time:(from:'2016-09-09 19:54:39-0600',mode:absolute,to:'2016-09-09 22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0" s="179" t="str">
        <f t="shared" si="60"/>
        <v>N</v>
      </c>
      <c r="X140" s="179">
        <f t="shared" si="79"/>
        <v>1</v>
      </c>
      <c r="Y140" s="66">
        <f t="shared" si="67"/>
        <v>23.298400000000001</v>
      </c>
      <c r="Z140" s="66">
        <f t="shared" si="61"/>
        <v>1.4999999999999999E-2</v>
      </c>
      <c r="AA140" s="66">
        <f t="shared" si="62"/>
        <v>23.2834</v>
      </c>
      <c r="AB140" s="63" t="e">
        <f>VLOOKUP(A140,Enforcements!$C$7:$K$21,8,0)</f>
        <v>#N/A</v>
      </c>
      <c r="AC140" s="59" t="e">
        <f>VLOOKUP(A140,Enforcements!$C$7:$E$21,3,0)</f>
        <v>#N/A</v>
      </c>
      <c r="AD140" s="60" t="str">
        <f t="shared" si="63"/>
        <v>0226-09</v>
      </c>
      <c r="AE140" s="96" t="str">
        <f t="shared" si="64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140" s="93" t="str">
        <f t="shared" si="65"/>
        <v>"C:\Program Files (x86)\AstroGrep\AstroGrep.exe" /spath="%USERPROFILE%\AppData\Local\Temp\OnboardLogs" /stypes="*4015*20160910*" /stext=" 03:.+((SYSTEM_STATE.+slice.+state.+changed )|(ment ac)|(system.+state.+changed )|(\|lc)|(penalty)|(\[timeout)|(PRM\|1\|D)|(kpr)|(kdp))" /e /r /s</v>
      </c>
      <c r="AG140" s="1" t="str">
        <f t="shared" si="66"/>
        <v>EC</v>
      </c>
      <c r="AH140" s="97" t="str">
        <f t="shared" si="48"/>
        <v>"%USERPROFILE%\Documents\GitHub\eaglep3\Utilities\RefineRTDCRunTimes.py" --tripid 226-09 --locoid 4015 --swversion DE.1.0.7.0 --startMP 204:232984 --initTime 2016-09-09T20:54:39 --startdatetime 2016-09-09T20:56:45 --delay 1 --endMP 204:150 --enddatetime 2016-09-09T21:38:01 --enforcementcount 1 &gt;&gt;C:\Users\stu\Documents\GitHub\eaglep3-reporting\EC\2016-09-09-refined-times.txt</v>
      </c>
      <c r="AI140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{"issue":{"subject":"","project_id":79,"tracker_id":40,"status_id":1,"priority_id":2,"assigned_to_id":23,"start_date":"2016-09-09","description":"","custom_fields":[{"id":1,"name":"Subdivision","value":"EC"},{"id":4,"name":"Milepost","value":"23.2834"},{"id":17,"name":"Train ID","value":"226-09"},{"id":16,"name":"Locomotive ID","value":"4015"},{"id":130,"name":"Impact","value":""},{"id":150,"name":"Time of Event (Mountain Time)","value":"21:38:01"},{"id":151,"name":"Denver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38" x14ac:dyDescent="0.25">
      <c r="A141" s="38" t="s">
        <v>575</v>
      </c>
      <c r="B141" s="7">
        <v>4025</v>
      </c>
      <c r="C141" s="23" t="s">
        <v>108</v>
      </c>
      <c r="D141" s="23" t="s">
        <v>261</v>
      </c>
      <c r="E141" s="15">
        <v>42622.846145833333</v>
      </c>
      <c r="F141" s="15">
        <v>42622.854780092595</v>
      </c>
      <c r="G141" s="7">
        <v>2</v>
      </c>
      <c r="H141" s="15" t="s">
        <v>451</v>
      </c>
      <c r="I141" s="15">
        <v>42622.881099537037</v>
      </c>
      <c r="J141" s="7">
        <v>1</v>
      </c>
      <c r="K141" s="114" t="str">
        <f t="shared" ref="K141:K155" si="80">IF(ISEVEN(B141),(B141-1)&amp;"/"&amp;B141,B141&amp;"/"&amp;(B141+1))</f>
        <v>4025/4026</v>
      </c>
      <c r="L141" s="23" t="str">
        <f>VLOOKUP(A141,'Trips&amp;Operators'!$C$1:$E$10000,3,FALSE)</f>
        <v>DELGADO</v>
      </c>
      <c r="M141" s="6">
        <f t="shared" ref="M141:M155" si="81">I141-F141</f>
        <v>2.6319444441469386E-2</v>
      </c>
      <c r="N141" s="7">
        <f t="shared" si="77"/>
        <v>37.899999995715916</v>
      </c>
      <c r="O141" s="7"/>
      <c r="P141" s="7"/>
      <c r="Q141" s="24"/>
      <c r="R141" s="24"/>
      <c r="S141" s="36">
        <f t="shared" si="74"/>
        <v>1</v>
      </c>
      <c r="T141" s="51" t="str">
        <f t="shared" ref="T141:T155" si="82">IF(ISEVEN(LEFT(AD141,4)),"Southbound","NorthBound")</f>
        <v>NorthBound</v>
      </c>
      <c r="U141" s="17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78" t="str">
        <f t="shared" ref="V141:V155" si="83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https://search-rtdc-monitor-bjffxe2xuh6vdkpspy63sjmuny.us-east-1.es.amazonaws.com/_plugin/kibana/#/discover/Steve-Slow-Train-Analysis-(2080s-and-2083s)?_g=(refreshInterval:(display:Off,section:0,value:0),time:(from:'2016-09-09 19:18:27-0600',mode:absolute,to:'2016-09-09 22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1" s="179" t="str">
        <f t="shared" ref="W141:W155" si="84">IF(AA141&lt;IF(AG141="EC",23,5.65),"Y","N")</f>
        <v>N</v>
      </c>
      <c r="X141" s="179">
        <f t="shared" si="79"/>
        <v>1</v>
      </c>
      <c r="Y141" s="66">
        <f t="shared" si="67"/>
        <v>4.6199999999999998E-2</v>
      </c>
      <c r="Z141" s="66">
        <f t="shared" ref="Z141:Z153" si="85">RIGHT(H141,LEN(H141)-4)/10000</f>
        <v>23.328900000000001</v>
      </c>
      <c r="AA141" s="66">
        <f t="shared" ref="AA141:AA155" si="86">ABS(Z141-Y141)</f>
        <v>23.282700000000002</v>
      </c>
      <c r="AB141" s="63" t="e">
        <f>VLOOKUP(A141,Enforcements!$C$7:$K$21,8,0)</f>
        <v>#N/A</v>
      </c>
      <c r="AC141" s="59" t="e">
        <f>VLOOKUP(A141,Enforcements!$C$7:$E$21,3,0)</f>
        <v>#N/A</v>
      </c>
      <c r="AD141" s="60" t="str">
        <f t="shared" ref="AD141:AD155" si="87">IF(LEN(A141)=6,"0"&amp;A141,A141)</f>
        <v>0227-09</v>
      </c>
      <c r="AE141" s="96" t="str">
        <f t="shared" ref="AE141:AE157" si="8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41" s="93" t="str">
        <f t="shared" ref="AF141:AF157" si="89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/stypes="*4025*20160910*" /stext=" 03:.+((SYSTEM_STATE.+slice.+state.+changed )|(ment ac)|(system.+state.+changed )|(\|lc)|(penalty)|(\[timeout)|(PRM\|1\|D)|(kpr)|(kdp))" /e /r /s</v>
      </c>
      <c r="AG141" s="1" t="str">
        <f t="shared" ref="AG141:AG155" si="90">IFERROR(IF(VALUE(LEFT(AD141,2))&lt;=2,"EC",IF(OR(VALUE(LEFT(AD141,2))=8,VALUE(LEFT(AD141,2))=18),"NW","Other")),"Other")</f>
        <v>EC</v>
      </c>
      <c r="AH141" s="97" t="str">
        <f t="shared" si="48"/>
        <v>"%USERPROFILE%\Documents\GitHub\eaglep3\Utilities\RefineRTDCRunTimes.py" --tripid 227-09 --locoid 4025 --swversion DE.1.0.7.0 --startMP 204:462 --initTime 2016-09-09T20:18:27 --startdatetime 2016-09-09T20:30:53 --delay 2 --endMP 204:233289 --enddatetime 2016-09-09T21:08:47 --enforcementcount 1 &gt;&gt;C:\Users\stu\Documents\GitHub\eaglep3-reporting\EC\2016-09-09-refined-times.txt</v>
      </c>
      <c r="AI141" s="129" t="str">
        <f t="shared" si="49"/>
        <v>echo {"issue":{"subject":"","project_id":79,"tracker_id":40,"status_id":1,"priority_id":2,"assigned_to_id":23,"start_date":"2016-09-09","description":"","custom_fields":[{"id":1,"name":"Subdivision","value":"EC"},{"id":4,"name":"Milepost","value":"23.2827"},{"id":17,"name":"Train ID","value":"227-09"},{"id":16,"name":"Locomotive ID","value":"4025"},{"id":130,"name":"Impact","value":""},{"id":150,"name":"Time of Event (Mountain Time)","value":"21:08:47"},{"id":151,"name":"Denver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38" s="22" customFormat="1" x14ac:dyDescent="0.25">
      <c r="A142" s="38" t="s">
        <v>576</v>
      </c>
      <c r="B142" s="7">
        <v>4026</v>
      </c>
      <c r="C142" s="23" t="s">
        <v>108</v>
      </c>
      <c r="D142" s="23" t="s">
        <v>332</v>
      </c>
      <c r="E142" s="15">
        <v>42622.88622685185</v>
      </c>
      <c r="F142" s="15">
        <v>42622.893449074072</v>
      </c>
      <c r="G142" s="7">
        <v>1</v>
      </c>
      <c r="H142" s="15" t="s">
        <v>577</v>
      </c>
      <c r="I142" s="15">
        <v>42622.921689814815</v>
      </c>
      <c r="J142" s="7">
        <v>1</v>
      </c>
      <c r="K142" s="114" t="str">
        <f t="shared" si="80"/>
        <v>4025/4026</v>
      </c>
      <c r="L142" s="23" t="str">
        <f>VLOOKUP(A142,'Trips&amp;Operators'!$C$1:$E$10000,3,FALSE)</f>
        <v>DELGADO</v>
      </c>
      <c r="M142" s="6">
        <f t="shared" si="81"/>
        <v>2.8240740743058268E-2</v>
      </c>
      <c r="N142" s="7">
        <f t="shared" si="77"/>
        <v>40.666666670003906</v>
      </c>
      <c r="O142" s="7"/>
      <c r="P142" s="7"/>
      <c r="Q142" s="24"/>
      <c r="R142" s="24"/>
      <c r="S142" s="36">
        <f t="shared" si="74"/>
        <v>1</v>
      </c>
      <c r="T142" s="51" t="str">
        <f t="shared" si="82"/>
        <v>Southbound</v>
      </c>
      <c r="U142" s="17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20:16:10-0600',mode:absolute,to:'2016-09-09 23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42" s="179" t="str">
        <f t="shared" si="84"/>
        <v>N</v>
      </c>
      <c r="X142" s="179">
        <f t="shared" si="79"/>
        <v>1</v>
      </c>
      <c r="Y142" s="66">
        <f t="shared" si="67"/>
        <v>23.296900000000001</v>
      </c>
      <c r="Z142" s="66">
        <f t="shared" si="85"/>
        <v>1.8499999999999999E-2</v>
      </c>
      <c r="AA142" s="66">
        <f t="shared" si="86"/>
        <v>23.278400000000001</v>
      </c>
      <c r="AB142" s="63" t="e">
        <f>VLOOKUP(A142,Enforcements!$C$7:$K$21,8,0)</f>
        <v>#N/A</v>
      </c>
      <c r="AC142" s="59" t="e">
        <f>VLOOKUP(A142,Enforcements!$C$7:$E$21,3,0)</f>
        <v>#N/A</v>
      </c>
      <c r="AD142" s="60" t="str">
        <f t="shared" si="87"/>
        <v>0228-09</v>
      </c>
      <c r="AE142" s="96" t="str">
        <f t="shared" si="88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42" s="93" t="str">
        <f t="shared" si="89"/>
        <v>"C:\Program Files (x86)\AstroGrep\AstroGrep.exe" /spath="%USERPROFILE%\AppData\Local\Temp\OnboardLogs" /stypes="*4026*20160910*" /stext=" 04:.+((SYSTEM_STATE.+slice.+state.+changed )|(ment ac)|(system.+state.+changed )|(\|lc)|(penalty)|(\[timeout)|(PRM\|1\|D)|(kpr)|(kdp))" /e /r /s</v>
      </c>
      <c r="AG142" s="1" t="str">
        <f t="shared" si="90"/>
        <v>EC</v>
      </c>
      <c r="AH142" s="97" t="str">
        <f t="shared" ref="AH142:AH211" si="9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228-09 --locoid 4026 --swversion DE.1.0.7.0 --startMP 204:232969 --initTime 2016-09-09T21:16:10 --startdatetime 2016-09-09T21:26:34 --delay 1 --endMP 204:185 --enddatetime 2016-09-09T22:07:14 --enforcementcount 1 &gt;&gt;C:\Users\stu\Documents\GitHub\eaglep3-reporting\EC\2016-09-09-refined-times.txt</v>
      </c>
      <c r="AI142" s="129" t="str">
        <f t="shared" ref="AI142:AI211" si="9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AA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{"issue":{"subject":"","project_id":79,"tracker_id":40,"status_id":1,"priority_id":2,"assigned_to_id":23,"start_date":"2016-09-09","description":"","custom_fields":[{"id":1,"name":"Subdivision","value":"EC"},{"id":4,"name":"Milepost","value":"23.2784"},{"id":17,"name":"Train ID","value":"228-09"},{"id":16,"name":"Locomotive ID","value":"4026"},{"id":130,"name":"Impact","value":""},{"id":150,"name":"Time of Event (Mountain Time)","value":"22:07:14"},{"id":151,"name":"Denver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38" s="22" customFormat="1" x14ac:dyDescent="0.25">
      <c r="A143" s="38" t="s">
        <v>578</v>
      </c>
      <c r="B143" s="7">
        <v>4018</v>
      </c>
      <c r="C143" s="23" t="s">
        <v>108</v>
      </c>
      <c r="D143" s="23" t="s">
        <v>399</v>
      </c>
      <c r="E143" s="15">
        <v>42622.868344907409</v>
      </c>
      <c r="F143" s="15">
        <v>42622.875717592593</v>
      </c>
      <c r="G143" s="7">
        <v>1</v>
      </c>
      <c r="H143" s="15" t="s">
        <v>316</v>
      </c>
      <c r="I143" s="15">
        <v>42622.901504629626</v>
      </c>
      <c r="J143" s="7">
        <v>1</v>
      </c>
      <c r="K143" s="114" t="str">
        <f t="shared" si="80"/>
        <v>4017/4018</v>
      </c>
      <c r="L143" s="23" t="str">
        <f>VLOOKUP(A143,'Trips&amp;Operators'!$C$1:$E$10000,3,FALSE)</f>
        <v>LEVIN</v>
      </c>
      <c r="M143" s="6">
        <f t="shared" si="81"/>
        <v>2.5787037033296656E-2</v>
      </c>
      <c r="N143" s="7">
        <f t="shared" si="77"/>
        <v>37.133333327947184</v>
      </c>
      <c r="O143" s="7"/>
      <c r="P143" s="7"/>
      <c r="Q143" s="24"/>
      <c r="R143" s="24"/>
      <c r="S143" s="36">
        <f t="shared" si="74"/>
        <v>1</v>
      </c>
      <c r="T143" s="51" t="str">
        <f t="shared" si="82"/>
        <v>NorthBound</v>
      </c>
      <c r="U143" s="17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19:50:25-0600',mode:absolute,to:'2016-09-09 22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43" s="179" t="str">
        <f t="shared" si="84"/>
        <v>N</v>
      </c>
      <c r="X143" s="179">
        <f t="shared" si="79"/>
        <v>1</v>
      </c>
      <c r="Y143" s="66">
        <f t="shared" si="67"/>
        <v>4.3999999999999997E-2</v>
      </c>
      <c r="Z143" s="66">
        <f t="shared" si="85"/>
        <v>23.332000000000001</v>
      </c>
      <c r="AA143" s="66">
        <f t="shared" si="86"/>
        <v>23.288</v>
      </c>
      <c r="AB143" s="63" t="e">
        <f>VLOOKUP(A143,Enforcements!$C$7:$K$21,8,0)</f>
        <v>#N/A</v>
      </c>
      <c r="AC143" s="59" t="e">
        <f>VLOOKUP(A143,Enforcements!$C$7:$E$21,3,0)</f>
        <v>#N/A</v>
      </c>
      <c r="AD143" s="60" t="str">
        <f t="shared" si="87"/>
        <v>0229-09</v>
      </c>
      <c r="AE143" s="96" t="str">
        <f t="shared" si="88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43" s="93" t="str">
        <f t="shared" si="89"/>
        <v>"C:\Program Files (x86)\AstroGrep\AstroGrep.exe" /spath="%USERPROFILE%\AppData\Local\Temp\OnboardLogs" /stypes="*4018*20160910*" /stext=" 03:.+((SYSTEM_STATE.+slice.+state.+changed )|(ment ac)|(system.+state.+changed )|(\|lc)|(penalty)|(\[timeout)|(PRM\|1\|D)|(kpr)|(kdp))" /e /r /s</v>
      </c>
      <c r="AG143" s="1" t="str">
        <f t="shared" si="90"/>
        <v>EC</v>
      </c>
      <c r="AH143" s="97" t="str">
        <f t="shared" si="91"/>
        <v>"%USERPROFILE%\Documents\GitHub\eaglep3\Utilities\RefineRTDCRunTimes.py" --tripid 229-09 --locoid 4018 --swversion DE.1.0.7.0 --startMP 204:440 --initTime 2016-09-09T20:50:25 --startdatetime 2016-09-09T21:01:02 --delay 1 --endMP 204:233320 --enddatetime 2016-09-09T21:38:10 --enforcementcount 1 &gt;&gt;C:\Users\stu\Documents\GitHub\eaglep3-reporting\EC\2016-09-09-refined-times.txt</v>
      </c>
      <c r="AI143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{"issue":{"subject":"","project_id":79,"tracker_id":40,"status_id":1,"priority_id":2,"assigned_to_id":23,"start_date":"2016-09-09","description":"","custom_fields":[{"id":1,"name":"Subdivision","value":"EC"},{"id":4,"name":"Milepost","value":"23.288"},{"id":17,"name":"Train ID","value":"229-09"},{"id":16,"name":"Locomotive ID","value":"4018"},{"id":130,"name":"Impact","value":""},{"id":150,"name":"Time of Event (Mountain Time)","value":"21:38:10"},{"id":151,"name":"Denver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38" s="22" customFormat="1" x14ac:dyDescent="0.25">
      <c r="A144" s="38" t="s">
        <v>579</v>
      </c>
      <c r="B144" s="7">
        <v>4017</v>
      </c>
      <c r="C144" s="23" t="s">
        <v>108</v>
      </c>
      <c r="D144" s="23" t="s">
        <v>580</v>
      </c>
      <c r="E144" s="15">
        <v>42622.906053240738</v>
      </c>
      <c r="F144" s="15">
        <v>42622.914224537039</v>
      </c>
      <c r="G144" s="7">
        <v>6</v>
      </c>
      <c r="H144" s="15" t="s">
        <v>313</v>
      </c>
      <c r="I144" s="15">
        <v>42622.940937500003</v>
      </c>
      <c r="J144" s="7">
        <v>1</v>
      </c>
      <c r="K144" s="114" t="str">
        <f t="shared" si="80"/>
        <v>4017/4018</v>
      </c>
      <c r="L144" s="23" t="str">
        <f>VLOOKUP(A144,'Trips&amp;Operators'!$C$1:$E$10000,3,FALSE)</f>
        <v>LEVIN</v>
      </c>
      <c r="M144" s="6">
        <f t="shared" si="81"/>
        <v>2.6712962964666076E-2</v>
      </c>
      <c r="N144" s="7">
        <f t="shared" si="77"/>
        <v>38.466666669119149</v>
      </c>
      <c r="O144" s="7"/>
      <c r="P144" s="7"/>
      <c r="Q144" s="24"/>
      <c r="R144" s="24"/>
      <c r="S144" s="36">
        <f t="shared" si="74"/>
        <v>1</v>
      </c>
      <c r="T144" s="51" t="str">
        <f t="shared" si="82"/>
        <v>Southbound</v>
      </c>
      <c r="U144" s="17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20:44:43-0600',mode:absolute,to:'2016-09-09 23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44" s="179" t="str">
        <f t="shared" si="84"/>
        <v>N</v>
      </c>
      <c r="X144" s="179">
        <f t="shared" si="79"/>
        <v>1</v>
      </c>
      <c r="Y144" s="66">
        <f t="shared" si="67"/>
        <v>23.300899999999999</v>
      </c>
      <c r="Z144" s="66">
        <f t="shared" si="85"/>
        <v>1.6899999999999998E-2</v>
      </c>
      <c r="AA144" s="66">
        <f t="shared" si="86"/>
        <v>23.283999999999999</v>
      </c>
      <c r="AB144" s="63" t="e">
        <f>VLOOKUP(A144,Enforcements!$C$7:$K$21,8,0)</f>
        <v>#N/A</v>
      </c>
      <c r="AC144" s="59" t="e">
        <f>VLOOKUP(A144,Enforcements!$C$7:$E$21,3,0)</f>
        <v>#N/A</v>
      </c>
      <c r="AD144" s="60" t="str">
        <f t="shared" si="87"/>
        <v>0230-09</v>
      </c>
      <c r="AE144" s="96" t="str">
        <f t="shared" si="88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144" s="93" t="str">
        <f t="shared" si="89"/>
        <v>"C:\Program Files (x86)\AstroGrep\AstroGrep.exe" /spath="%USERPROFILE%\AppData\Local\Temp\OnboardLogs" /stypes="*4017*20160910*" /stext=" 04:.+((SYSTEM_STATE.+slice.+state.+changed )|(ment ac)|(system.+state.+changed )|(\|lc)|(penalty)|(\[timeout)|(PRM\|1\|D)|(kpr)|(kdp))" /e /r /s</v>
      </c>
      <c r="AG144" s="1" t="str">
        <f t="shared" si="90"/>
        <v>EC</v>
      </c>
      <c r="AH144" s="97" t="str">
        <f t="shared" si="91"/>
        <v>"%USERPROFILE%\Documents\GitHub\eaglep3\Utilities\RefineRTDCRunTimes.py" --tripid 230-09 --locoid 4017 --swversion DE.1.0.7.0 --startMP 204:233009 --initTime 2016-09-09T21:44:43 --startdatetime 2016-09-09T21:56:29 --delay 6 --endMP 204:169 --enddatetime 2016-09-09T22:34:57 --enforcementcount 1 &gt;&gt;C:\Users\stu\Documents\GitHub\eaglep3-reporting\EC\2016-09-09-refined-times.txt</v>
      </c>
      <c r="AI144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{"issue":{"subject":"","project_id":79,"tracker_id":40,"status_id":1,"priority_id":2,"assigned_to_id":23,"start_date":"2016-09-09","description":"","custom_fields":[{"id":1,"name":"Subdivision","value":"EC"},{"id":4,"name":"Milepost","value":"23.284"},{"id":17,"name":"Train ID","value":"230-09"},{"id":16,"name":"Locomotive ID","value":"4017"},{"id":130,"name":"Impact","value":""},{"id":150,"name":"Time of Event (Mountain Time)","value":"22:34:57"},{"id":151,"name":"Denver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38" x14ac:dyDescent="0.25">
      <c r="A145" s="38" t="s">
        <v>581</v>
      </c>
      <c r="B145" s="7">
        <v>4020</v>
      </c>
      <c r="C145" s="23" t="s">
        <v>108</v>
      </c>
      <c r="D145" s="23" t="s">
        <v>331</v>
      </c>
      <c r="E145" s="15">
        <v>42622.891504629632</v>
      </c>
      <c r="F145" s="15">
        <v>42622.896331018521</v>
      </c>
      <c r="G145" s="7">
        <v>1</v>
      </c>
      <c r="H145" s="15" t="s">
        <v>582</v>
      </c>
      <c r="I145" s="15">
        <v>42622.921064814815</v>
      </c>
      <c r="J145" s="7">
        <v>1</v>
      </c>
      <c r="K145" s="114" t="str">
        <f t="shared" si="80"/>
        <v>4019/4020</v>
      </c>
      <c r="L145" s="23" t="str">
        <f>VLOOKUP(A145,'Trips&amp;Operators'!$C$1:$E$10000,3,FALSE)</f>
        <v>STAMBAUGH</v>
      </c>
      <c r="M145" s="6">
        <f t="shared" si="81"/>
        <v>2.4733796293730848E-2</v>
      </c>
      <c r="N145" s="7">
        <f t="shared" si="77"/>
        <v>35.61666666297242</v>
      </c>
      <c r="O145" s="7"/>
      <c r="P145" s="7"/>
      <c r="Q145" s="24"/>
      <c r="R145" s="24"/>
      <c r="S145" s="36">
        <f t="shared" si="74"/>
        <v>1</v>
      </c>
      <c r="T145" s="51" t="str">
        <f t="shared" si="82"/>
        <v>NorthBound</v>
      </c>
      <c r="U145" s="17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20:23:46-0600',mode:absolute,to:'2016-09-09 23:06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45" s="179" t="str">
        <f t="shared" si="84"/>
        <v>N</v>
      </c>
      <c r="X145" s="179">
        <f t="shared" si="79"/>
        <v>1</v>
      </c>
      <c r="Y145" s="66">
        <f t="shared" si="67"/>
        <v>4.2000000000000003E-2</v>
      </c>
      <c r="Z145" s="66">
        <f t="shared" si="85"/>
        <v>23.3324</v>
      </c>
      <c r="AA145" s="66">
        <f t="shared" si="86"/>
        <v>23.290399999999998</v>
      </c>
      <c r="AB145" s="63" t="e">
        <f>VLOOKUP(A145,Enforcements!$C$7:$K$21,8,0)</f>
        <v>#N/A</v>
      </c>
      <c r="AC145" s="59" t="e">
        <f>VLOOKUP(A145,Enforcements!$C$7:$E$21,3,0)</f>
        <v>#N/A</v>
      </c>
      <c r="AD145" s="60" t="str">
        <f t="shared" si="87"/>
        <v>0231-09</v>
      </c>
      <c r="AE145" s="96" t="str">
        <f t="shared" si="88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45" s="93" t="str">
        <f t="shared" si="89"/>
        <v>"C:\Program Files (x86)\AstroGrep\AstroGrep.exe" /spath="%USERPROFILE%\AppData\Local\Temp\OnboardLogs" /stypes="*4020*20160910*" /stext=" 04:.+((SYSTEM_STATE.+slice.+state.+changed )|(ment ac)|(system.+state.+changed )|(\|lc)|(penalty)|(\[timeout)|(PRM\|1\|D)|(kpr)|(kdp))" /e /r /s</v>
      </c>
      <c r="AG145" s="1" t="str">
        <f t="shared" si="90"/>
        <v>EC</v>
      </c>
      <c r="AH145" s="97" t="str">
        <f t="shared" si="91"/>
        <v>"%USERPROFILE%\Documents\GitHub\eaglep3\Utilities\RefineRTDCRunTimes.py" --tripid 231-09 --locoid 4020 --swversion DE.1.0.7.0 --startMP 204:420 --initTime 2016-09-09T21:23:46 --startdatetime 2016-09-09T21:30:43 --delay 1 --endMP 204:233324 --enddatetime 2016-09-09T22:06:20 --enforcementcount 1 &gt;&gt;C:\Users\stu\Documents\GitHub\eaglep3-reporting\EC\2016-09-09-refined-times.txt</v>
      </c>
      <c r="AI145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{"issue":{"subject":"","project_id":79,"tracker_id":40,"status_id":1,"priority_id":2,"assigned_to_id":23,"start_date":"2016-09-09","description":"","custom_fields":[{"id":1,"name":"Subdivision","value":"EC"},{"id":4,"name":"Milepost","value":"23.2904"},{"id":17,"name":"Train ID","value":"231-09"},{"id":16,"name":"Locomotive ID","value":"4020"},{"id":130,"name":"Impact","value":""},{"id":150,"name":"Time of Event (Mountain Time)","value":"22:06:20"},{"id":151,"name":"Denver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38" x14ac:dyDescent="0.25">
      <c r="A146" s="38" t="s">
        <v>583</v>
      </c>
      <c r="B146" s="7">
        <v>4019</v>
      </c>
      <c r="C146" s="23" t="s">
        <v>108</v>
      </c>
      <c r="D146" s="23" t="s">
        <v>584</v>
      </c>
      <c r="E146" s="15">
        <v>42622.930381944447</v>
      </c>
      <c r="F146" s="15">
        <v>42622.935057870367</v>
      </c>
      <c r="G146" s="7">
        <v>1</v>
      </c>
      <c r="H146" s="15" t="s">
        <v>248</v>
      </c>
      <c r="I146" s="15">
        <v>42622.965439814812</v>
      </c>
      <c r="J146" s="7">
        <v>1</v>
      </c>
      <c r="K146" s="114" t="str">
        <f t="shared" si="80"/>
        <v>4019/4020</v>
      </c>
      <c r="L146" s="23" t="str">
        <f>VLOOKUP(A146,'Trips&amp;Operators'!$C$1:$E$10000,3,FALSE)</f>
        <v>STAMBAUGH</v>
      </c>
      <c r="M146" s="6">
        <f t="shared" si="81"/>
        <v>3.0381944445252884E-2</v>
      </c>
      <c r="N146" s="7">
        <f t="shared" si="77"/>
        <v>43.750000001164153</v>
      </c>
      <c r="O146" s="7"/>
      <c r="P146" s="7"/>
      <c r="Q146" s="24"/>
      <c r="R146" s="24"/>
      <c r="S146" s="36">
        <f t="shared" si="74"/>
        <v>1</v>
      </c>
      <c r="T146" s="51" t="str">
        <f t="shared" si="82"/>
        <v>Southbound</v>
      </c>
      <c r="U146" s="17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21:19:45-0600',mode:absolute,to:'2016-09-10 00:10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46" s="179" t="str">
        <f t="shared" si="84"/>
        <v>N</v>
      </c>
      <c r="X146" s="179">
        <f t="shared" si="79"/>
        <v>1</v>
      </c>
      <c r="Y146" s="66">
        <f t="shared" si="67"/>
        <v>23.3001</v>
      </c>
      <c r="Z146" s="66">
        <f t="shared" si="85"/>
        <v>1.5800000000000002E-2</v>
      </c>
      <c r="AA146" s="66">
        <f t="shared" si="86"/>
        <v>23.284300000000002</v>
      </c>
      <c r="AB146" s="63" t="e">
        <f>VLOOKUP(A146,Enforcements!$C$7:$K$21,8,0)</f>
        <v>#N/A</v>
      </c>
      <c r="AC146" s="59" t="e">
        <f>VLOOKUP(A146,Enforcements!$C$7:$E$21,3,0)</f>
        <v>#N/A</v>
      </c>
      <c r="AD146" s="60" t="str">
        <f t="shared" si="87"/>
        <v>0232-09</v>
      </c>
      <c r="AE146" s="96" t="str">
        <f t="shared" si="88"/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AF146" s="93" t="str">
        <f t="shared" si="89"/>
        <v>"C:\Program Files (x86)\AstroGrep\AstroGrep.exe" /spath="%USERPROFILE%\AppData\Local\Temp\OnboardLogs" /stypes="*4019*20160910*" /stext=" 05:.+((SYSTEM_STATE.+slice.+state.+changed )|(ment ac)|(system.+state.+changed )|(\|lc)|(penalty)|(\[timeout)|(PRM\|1\|D)|(kpr)|(kdp))" /e /r /s</v>
      </c>
      <c r="AG146" s="1" t="str">
        <f t="shared" si="90"/>
        <v>EC</v>
      </c>
      <c r="AH146" s="97" t="str">
        <f t="shared" si="91"/>
        <v>"%USERPROFILE%\Documents\GitHub\eaglep3\Utilities\RefineRTDCRunTimes.py" --tripid 232-09 --locoid 4019 --swversion DE.1.0.7.0 --startMP 204:233001 --initTime 2016-09-09T22:19:45 --startdatetime 2016-09-09T22:26:29 --delay 1 --endMP 204:158 --enddatetime 2016-09-09T23:10:14 --enforcementcount 1 &gt;&gt;C:\Users\stu\Documents\GitHub\eaglep3-reporting\EC\2016-09-09-refined-times.txt</v>
      </c>
      <c r="AI146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{"issue":{"subject":"","project_id":79,"tracker_id":40,"status_id":1,"priority_id":2,"assigned_to_id":23,"start_date":"2016-09-09","description":"","custom_fields":[{"id":1,"name":"Subdivision","value":"EC"},{"id":4,"name":"Milepost","value":"23.2843"},{"id":17,"name":"Train ID","value":"232-09"},{"id":16,"name":"Locomotive ID","value":"4019"},{"id":130,"name":"Impact","value":""},{"id":150,"name":"Time of Event (Mountain Time)","value":"23:10:14"},{"id":151,"name":"Denver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</row>
    <row r="147" spans="1:38" x14ac:dyDescent="0.25">
      <c r="A147" s="38" t="s">
        <v>585</v>
      </c>
      <c r="B147" s="7">
        <v>4016</v>
      </c>
      <c r="C147" s="23" t="s">
        <v>108</v>
      </c>
      <c r="D147" s="23" t="s">
        <v>252</v>
      </c>
      <c r="E147" s="15">
        <v>42622.915601851855</v>
      </c>
      <c r="F147" s="15">
        <v>42622.916886574072</v>
      </c>
      <c r="G147" s="7">
        <v>1</v>
      </c>
      <c r="H147" s="15" t="s">
        <v>451</v>
      </c>
      <c r="I147" s="15">
        <v>42622.942002314812</v>
      </c>
      <c r="J147" s="7">
        <v>1</v>
      </c>
      <c r="K147" s="114" t="str">
        <f t="shared" si="80"/>
        <v>4015/4016</v>
      </c>
      <c r="L147" s="23" t="str">
        <f>VLOOKUP(A147,'Trips&amp;Operators'!$C$1:$E$10000,3,FALSE)</f>
        <v>CHANDLER</v>
      </c>
      <c r="M147" s="6">
        <f t="shared" si="81"/>
        <v>2.5115740740147885E-2</v>
      </c>
      <c r="N147" s="7">
        <f t="shared" si="77"/>
        <v>36.166666665812954</v>
      </c>
      <c r="O147" s="7"/>
      <c r="P147" s="7"/>
      <c r="Q147" s="24"/>
      <c r="R147" s="24"/>
      <c r="S147" s="36">
        <f t="shared" si="74"/>
        <v>1</v>
      </c>
      <c r="T147" s="51" t="str">
        <f t="shared" si="82"/>
        <v>NorthBound</v>
      </c>
      <c r="U147" s="17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20:58:28-0600',mode:absolute,to:'2016-09-09 23:36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7" s="179" t="str">
        <f t="shared" si="84"/>
        <v>N</v>
      </c>
      <c r="X147" s="179">
        <f t="shared" si="79"/>
        <v>1</v>
      </c>
      <c r="Y147" s="66">
        <f t="shared" si="67"/>
        <v>4.53E-2</v>
      </c>
      <c r="Z147" s="66">
        <f t="shared" si="85"/>
        <v>23.328900000000001</v>
      </c>
      <c r="AA147" s="66">
        <f t="shared" si="86"/>
        <v>23.2836</v>
      </c>
      <c r="AB147" s="63" t="e">
        <f>VLOOKUP(A147,Enforcements!$C$7:$K$21,8,0)</f>
        <v>#N/A</v>
      </c>
      <c r="AC147" s="59" t="e">
        <f>VLOOKUP(A147,Enforcements!$C$7:$E$21,3,0)</f>
        <v>#N/A</v>
      </c>
      <c r="AD147" s="60" t="str">
        <f t="shared" si="87"/>
        <v>0233-09</v>
      </c>
      <c r="AE147" s="96" t="str">
        <f t="shared" si="88"/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AF147" s="93" t="str">
        <f t="shared" si="89"/>
        <v>"C:\Program Files (x86)\AstroGrep\AstroGrep.exe" /spath="%USERPROFILE%\AppData\Local\Temp\OnboardLogs" /stypes="*4016*20160910*" /stext=" 04:.+((SYSTEM_STATE.+slice.+state.+changed )|(ment ac)|(system.+state.+changed )|(\|lc)|(penalty)|(\[timeout)|(PRM\|1\|D)|(kpr)|(kdp))" /e /r /s</v>
      </c>
      <c r="AG147" s="1" t="str">
        <f t="shared" si="90"/>
        <v>EC</v>
      </c>
      <c r="AH147" s="97" t="str">
        <f t="shared" si="91"/>
        <v>"%USERPROFILE%\Documents\GitHub\eaglep3\Utilities\RefineRTDCRunTimes.py" --tripid 233-09 --locoid 4016 --swversion DE.1.0.7.0 --startMP 204:453 --initTime 2016-09-09T21:58:28 --startdatetime 2016-09-09T22:00:19 --delay 1 --endMP 204:233289 --enddatetime 2016-09-09T22:36:29 --enforcementcount 1 &gt;&gt;C:\Users\stu\Documents\GitHub\eaglep3-reporting\EC\2016-09-09-refined-times.txt</v>
      </c>
      <c r="AI147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{"issue":{"subject":"","project_id":79,"tracker_id":40,"status_id":1,"priority_id":2,"assigned_to_id":23,"start_date":"2016-09-09","description":"","custom_fields":[{"id":1,"name":"Subdivision","value":"EC"},{"id":4,"name":"Milepost","value":"23.2836"},{"id":17,"name":"Train ID","value":"233-09"},{"id":16,"name":"Locomotive ID","value":"4016"},{"id":130,"name":"Impact","value":""},{"id":150,"name":"Time of Event (Mountain Time)","value":"22:36:29"},{"id":151,"name":"Denver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38" x14ac:dyDescent="0.25">
      <c r="A148" s="38" t="s">
        <v>586</v>
      </c>
      <c r="B148" s="7">
        <v>4015</v>
      </c>
      <c r="C148" s="23" t="s">
        <v>108</v>
      </c>
      <c r="D148" s="23" t="s">
        <v>503</v>
      </c>
      <c r="E148" s="15">
        <v>42622.953263888892</v>
      </c>
      <c r="F148" s="15">
        <v>42622.95590277778</v>
      </c>
      <c r="G148" s="7">
        <v>1</v>
      </c>
      <c r="H148" s="15" t="s">
        <v>587</v>
      </c>
      <c r="I148" s="15">
        <v>42622.982743055552</v>
      </c>
      <c r="J148" s="7">
        <v>1</v>
      </c>
      <c r="K148" s="114" t="str">
        <f t="shared" si="80"/>
        <v>4015/4016</v>
      </c>
      <c r="L148" s="23" t="str">
        <f>VLOOKUP(A148,'Trips&amp;Operators'!$C$1:$E$10000,3,FALSE)</f>
        <v>CHANDLER</v>
      </c>
      <c r="M148" s="6">
        <f t="shared" si="81"/>
        <v>2.6840277772862464E-2</v>
      </c>
      <c r="N148" s="7"/>
      <c r="O148" s="7"/>
      <c r="P148" s="7">
        <f>24*60*SUM($M148:$M148)</f>
        <v>38.649999992921948</v>
      </c>
      <c r="Q148" s="24"/>
      <c r="R148" s="24" t="s">
        <v>746</v>
      </c>
      <c r="S148" s="36">
        <f t="shared" si="74"/>
        <v>1</v>
      </c>
      <c r="T148" s="177" t="str">
        <f t="shared" si="82"/>
        <v>Southbound</v>
      </c>
      <c r="U148" s="17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21:52:42-0600',mode:absolute,to:'2016-09-10 00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8" s="179" t="str">
        <f t="shared" si="84"/>
        <v>Y</v>
      </c>
      <c r="X148" s="179">
        <f t="shared" si="79"/>
        <v>1</v>
      </c>
      <c r="Y148" s="66">
        <f t="shared" si="67"/>
        <v>23.297999999999998</v>
      </c>
      <c r="Z148" s="66">
        <f t="shared" si="85"/>
        <v>0.48330000000000001</v>
      </c>
      <c r="AA148" s="66">
        <f t="shared" si="86"/>
        <v>22.814699999999998</v>
      </c>
      <c r="AB148" s="63" t="e">
        <f>VLOOKUP(A148,Enforcements!$C$7:$K$21,8,0)</f>
        <v>#N/A</v>
      </c>
      <c r="AC148" s="59" t="e">
        <f>VLOOKUP(A148,Enforcements!$C$7:$E$21,3,0)</f>
        <v>#N/A</v>
      </c>
      <c r="AD148" s="60" t="str">
        <f t="shared" si="87"/>
        <v>0234-09</v>
      </c>
      <c r="AE148" s="96" t="str">
        <f t="shared" si="88"/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AF148" s="93" t="str">
        <f t="shared" si="89"/>
        <v>"C:\Program Files (x86)\AstroGrep\AstroGrep.exe" /spath="%USERPROFILE%\AppData\Local\Temp\OnboardLogs" /stypes="*4015*20160910*" /stext=" 05:.+((SYSTEM_STATE.+slice.+state.+changed )|(ment ac)|(system.+state.+changed )|(\|lc)|(penalty)|(\[timeout)|(PRM\|1\|D)|(kpr)|(kdp))" /e /r /s</v>
      </c>
      <c r="AG148" s="1" t="str">
        <f t="shared" si="90"/>
        <v>EC</v>
      </c>
      <c r="AH148" s="97" t="str">
        <f t="shared" si="91"/>
        <v>"%USERPROFILE%\Documents\GitHub\eaglep3\Utilities\RefineRTDCRunTimes.py" --tripid 234-09 --locoid 4015 --swversion DE.1.0.7.0 --startMP 204:232980 --initTime 2016-09-09T22:52:42 --startdatetime 2016-09-09T22:56:30 --delay 1 --endMP 204:4833 --enddatetime 2016-09-09T23:35:09 --enforcementcount 1 &gt;&gt;C:\Users\stu\Documents\GitHub\eaglep3-reporting\EC\2016-09-09-refined-times.txt</v>
      </c>
      <c r="AI148" s="129" t="str">
        <f t="shared" si="92"/>
        <v>echo {"issue":{"subject":"DUS 22S "stuck" at STOP…","project_id":79,"tracker_id":40,"status_id":1,"priority_id":2,"assigned_to_id":23,"start_date":"2016-09-09","description":"","custom_fields":[{"id":1,"name":"Subdivision","value":"EC"},{"id":4,"name":"Milepost","value":"22.8147"},{"id":17,"name":"Train ID","value":"234-09"},{"id":16,"name":"Locomotive ID","value":"4015"},{"id":130,"name":"Impact","value":""},{"id":150,"name":"Time of Event (Mountain Time)","value":"23:35:09"},{"id":151,"name":"Denver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38" x14ac:dyDescent="0.25">
      <c r="A149" s="38" t="s">
        <v>588</v>
      </c>
      <c r="B149" s="7">
        <v>4025</v>
      </c>
      <c r="C149" s="23" t="s">
        <v>108</v>
      </c>
      <c r="D149" s="23" t="s">
        <v>556</v>
      </c>
      <c r="E149" s="15">
        <v>42622.92459490741</v>
      </c>
      <c r="F149" s="15">
        <v>42622.937905092593</v>
      </c>
      <c r="G149" s="7">
        <v>1</v>
      </c>
      <c r="H149" s="15" t="s">
        <v>258</v>
      </c>
      <c r="I149" s="15">
        <v>42622.963900462964</v>
      </c>
      <c r="J149" s="7">
        <v>1</v>
      </c>
      <c r="K149" s="114" t="str">
        <f t="shared" si="80"/>
        <v>4025/4026</v>
      </c>
      <c r="L149" s="23" t="str">
        <f>VLOOKUP(A149,'Trips&amp;Operators'!$C$1:$E$10000,3,FALSE)</f>
        <v>DELGADO</v>
      </c>
      <c r="M149" s="6">
        <f t="shared" si="81"/>
        <v>2.5995370371674653E-2</v>
      </c>
      <c r="N149" s="7">
        <f>24*60*SUM($M149:$M149)</f>
        <v>37.433333335211501</v>
      </c>
      <c r="O149" s="7"/>
      <c r="P149" s="7"/>
      <c r="Q149" s="24"/>
      <c r="R149" s="24"/>
      <c r="S149" s="36">
        <f t="shared" si="74"/>
        <v>1</v>
      </c>
      <c r="T149" s="51" t="str">
        <f t="shared" si="82"/>
        <v>NorthBound</v>
      </c>
      <c r="U149" s="17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21:11:25-0600',mode:absolute,to:'2016-09-10 00:08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49" s="179" t="str">
        <f t="shared" si="84"/>
        <v>N</v>
      </c>
      <c r="X149" s="179">
        <f t="shared" si="79"/>
        <v>1</v>
      </c>
      <c r="Y149" s="66">
        <f t="shared" si="67"/>
        <v>4.9700000000000001E-2</v>
      </c>
      <c r="Z149" s="66">
        <f t="shared" si="85"/>
        <v>23.3291</v>
      </c>
      <c r="AA149" s="66">
        <f t="shared" si="86"/>
        <v>23.279399999999999</v>
      </c>
      <c r="AB149" s="63" t="e">
        <f>VLOOKUP(A149,Enforcements!$C$7:$K$21,8,0)</f>
        <v>#N/A</v>
      </c>
      <c r="AC149" s="59" t="e">
        <f>VLOOKUP(A149,Enforcements!$C$7:$E$21,3,0)</f>
        <v>#N/A</v>
      </c>
      <c r="AD149" s="60" t="str">
        <f t="shared" si="87"/>
        <v>0235-09</v>
      </c>
      <c r="AE149" s="96" t="str">
        <f t="shared" si="88"/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AF149" s="93" t="str">
        <f t="shared" si="89"/>
        <v>"C:\Program Files (x86)\AstroGrep\AstroGrep.exe" /spath="%USERPROFILE%\AppData\Local\Temp\OnboardLogs" /stypes="*4025*20160910*" /stext=" 05:.+((SYSTEM_STATE.+slice.+state.+changed )|(ment ac)|(system.+state.+changed )|(\|lc)|(penalty)|(\[timeout)|(PRM\|1\|D)|(kpr)|(kdp))" /e /r /s</v>
      </c>
      <c r="AG149" s="1" t="str">
        <f t="shared" si="90"/>
        <v>EC</v>
      </c>
      <c r="AH149" s="97" t="str">
        <f t="shared" si="91"/>
        <v>"%USERPROFILE%\Documents\GitHub\eaglep3\Utilities\RefineRTDCRunTimes.py" --tripid 235-09 --locoid 4025 --swversion DE.1.0.7.0 --startMP 204:497 --initTime 2016-09-09T22:11:25 --startdatetime 2016-09-09T22:30:35 --delay 1 --endMP 204:233291 --enddatetime 2016-09-09T23:08:01 --enforcementcount 1 &gt;&gt;C:\Users\stu\Documents\GitHub\eaglep3-reporting\EC\2016-09-09-refined-times.txt</v>
      </c>
      <c r="AI149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{"issue":{"subject":"","project_id":79,"tracker_id":40,"status_id":1,"priority_id":2,"assigned_to_id":23,"start_date":"2016-09-09","description":"","custom_fields":[{"id":1,"name":"Subdivision","value":"EC"},{"id":4,"name":"Milepost","value":"23.2794"},{"id":17,"name":"Train ID","value":"235-09"},{"id":16,"name":"Locomotive ID","value":"4025"},{"id":130,"name":"Impact","value":""},{"id":150,"name":"Time of Event (Mountain Time)","value":"23:08:01"},{"id":151,"name":"Denver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</row>
    <row r="150" spans="1:38" s="22" customFormat="1" x14ac:dyDescent="0.25">
      <c r="A150" s="38" t="s">
        <v>589</v>
      </c>
      <c r="B150" s="7">
        <v>4026</v>
      </c>
      <c r="C150" s="23" t="s">
        <v>108</v>
      </c>
      <c r="D150" s="23" t="s">
        <v>547</v>
      </c>
      <c r="E150" s="15">
        <v>42622.967210648145</v>
      </c>
      <c r="F150" s="15">
        <v>42622.977164351854</v>
      </c>
      <c r="G150" s="7">
        <v>2</v>
      </c>
      <c r="H150" s="15" t="s">
        <v>242</v>
      </c>
      <c r="I150" s="15">
        <v>42623.00681712963</v>
      </c>
      <c r="J150" s="7">
        <v>1</v>
      </c>
      <c r="K150" s="114" t="str">
        <f t="shared" si="80"/>
        <v>4025/4026</v>
      </c>
      <c r="L150" s="23" t="str">
        <f>VLOOKUP(A150,'Trips&amp;Operators'!$C$1:$E$10000,3,FALSE)</f>
        <v>DELGADO</v>
      </c>
      <c r="M150" s="6">
        <f t="shared" si="81"/>
        <v>2.9652777775481809E-2</v>
      </c>
      <c r="N150" s="7">
        <f>24*60*SUM($M150:$M150)</f>
        <v>42.699999996693805</v>
      </c>
      <c r="O150" s="7"/>
      <c r="P150" s="7"/>
      <c r="Q150" s="24"/>
      <c r="R150" s="24"/>
      <c r="S150" s="36">
        <f t="shared" si="74"/>
        <v>1</v>
      </c>
      <c r="T150" s="51" t="str">
        <f t="shared" si="82"/>
        <v>Southbound</v>
      </c>
      <c r="U150" s="17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22:12:47-0600',mode:absolute,to:'2016-09-10 01:09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50" s="179" t="str">
        <f t="shared" si="84"/>
        <v>N</v>
      </c>
      <c r="X150" s="179">
        <f t="shared" si="79"/>
        <v>1</v>
      </c>
      <c r="Y150" s="66">
        <f t="shared" si="67"/>
        <v>23.298500000000001</v>
      </c>
      <c r="Z150" s="66">
        <f t="shared" si="85"/>
        <v>1.6E-2</v>
      </c>
      <c r="AA150" s="66">
        <f t="shared" si="86"/>
        <v>23.282500000000002</v>
      </c>
      <c r="AB150" s="63" t="e">
        <f>VLOOKUP(A150,Enforcements!$C$7:$K$21,8,0)</f>
        <v>#N/A</v>
      </c>
      <c r="AC150" s="59" t="e">
        <f>VLOOKUP(A150,Enforcements!$C$7:$E$21,3,0)</f>
        <v>#N/A</v>
      </c>
      <c r="AD150" s="60" t="str">
        <f t="shared" si="87"/>
        <v>0236-09</v>
      </c>
      <c r="AE150" s="96" t="str">
        <f t="shared" si="88"/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AF150" s="93" t="str">
        <f t="shared" si="89"/>
        <v>"C:\Program Files (x86)\AstroGrep\AstroGrep.exe" /spath="%USERPROFILE%\AppData\Local\Temp\OnboardLogs" /stypes="*4026*20160910*" /stext=" 06:.+((SYSTEM_STATE.+slice.+state.+changed )|(ment ac)|(system.+state.+changed )|(\|lc)|(penalty)|(\[timeout)|(PRM\|1\|D)|(kpr)|(kdp))" /e /r /s</v>
      </c>
      <c r="AG150" s="1" t="str">
        <f t="shared" si="90"/>
        <v>EC</v>
      </c>
      <c r="AH150" s="97" t="str">
        <f t="shared" si="91"/>
        <v>"%USERPROFILE%\Documents\GitHub\eaglep3\Utilities\RefineRTDCRunTimes.py" --tripid 236-09 --locoid 4026 --swversion DE.1.0.7.0 --startMP 204:232985 --initTime 2016-09-09T23:12:47 --startdatetime 2016-09-09T23:27:07 --delay 2 --endMP 204:160 --enddatetime 2016-09-10T00:09:49 --enforcementcount 1 &gt;&gt;C:\Users\stu\Documents\GitHub\eaglep3-reporting\EC\2016-09-09-refined-times.txt</v>
      </c>
      <c r="AI150" s="129" t="str">
        <f t="shared" si="92"/>
        <v>echo {"issue":{"subject":"","project_id":79,"tracker_id":40,"status_id":1,"priority_id":2,"assigned_to_id":23,"start_date":"2016-09-10","description":"","custom_fields":[{"id":1,"name":"Subdivision","value":"EC"},{"id":4,"name":"Milepost","value":"23.2825"},{"id":17,"name":"Train ID","value":"236-09"},{"id":16,"name":"Locomotive ID","value":"4026"},{"id":130,"name":"Impact","value":""},{"id":150,"name":"Time of Event (Mountain Time)","value":"00:09:49"},{"id":151,"name":"Denver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</row>
    <row r="151" spans="1:38" x14ac:dyDescent="0.25">
      <c r="A151" s="38" t="s">
        <v>590</v>
      </c>
      <c r="B151" s="7">
        <v>4018</v>
      </c>
      <c r="C151" s="23" t="s">
        <v>108</v>
      </c>
      <c r="D151" s="23" t="s">
        <v>323</v>
      </c>
      <c r="E151" s="15">
        <v>42622.951574074075</v>
      </c>
      <c r="F151" s="15">
        <v>42622.958495370367</v>
      </c>
      <c r="G151" s="7">
        <v>2</v>
      </c>
      <c r="H151" s="15" t="s">
        <v>591</v>
      </c>
      <c r="I151" s="15">
        <v>42622.983171296299</v>
      </c>
      <c r="J151" s="7">
        <v>1</v>
      </c>
      <c r="K151" s="114" t="str">
        <f t="shared" si="80"/>
        <v>4017/4018</v>
      </c>
      <c r="L151" s="23" t="str">
        <f>VLOOKUP(A151,'Trips&amp;Operators'!$C$1:$E$10000,3,FALSE)</f>
        <v>LEVIN</v>
      </c>
      <c r="M151" s="6">
        <f t="shared" si="81"/>
        <v>2.4675925931660458E-2</v>
      </c>
      <c r="N151" s="7">
        <f>24*60*SUM($M151:$M151)</f>
        <v>35.53333334159106</v>
      </c>
      <c r="O151" s="7"/>
      <c r="P151" s="7"/>
      <c r="Q151" s="24"/>
      <c r="R151" s="24"/>
      <c r="S151" s="36">
        <f t="shared" si="74"/>
        <v>1</v>
      </c>
      <c r="T151" s="51" t="str">
        <f t="shared" si="82"/>
        <v>NorthBound</v>
      </c>
      <c r="U151" s="17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21:50:16-0600',mode:absolute,to:'2016-09-10 00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51" s="179" t="str">
        <f t="shared" si="84"/>
        <v>N</v>
      </c>
      <c r="X151" s="179">
        <f t="shared" si="79"/>
        <v>1</v>
      </c>
      <c r="Y151" s="66">
        <f t="shared" si="67"/>
        <v>4.6399999999999997E-2</v>
      </c>
      <c r="Z151" s="66">
        <f t="shared" si="85"/>
        <v>23.334199999999999</v>
      </c>
      <c r="AA151" s="66">
        <f t="shared" si="86"/>
        <v>23.287800000000001</v>
      </c>
      <c r="AB151" s="63" t="e">
        <f>VLOOKUP(A151,Enforcements!$C$7:$K$21,8,0)</f>
        <v>#N/A</v>
      </c>
      <c r="AC151" s="59" t="e">
        <f>VLOOKUP(A151,Enforcements!$C$7:$E$21,3,0)</f>
        <v>#N/A</v>
      </c>
      <c r="AD151" s="60" t="str">
        <f t="shared" si="87"/>
        <v>0237-09</v>
      </c>
      <c r="AE151" s="96" t="str">
        <f t="shared" si="88"/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AF151" s="93" t="str">
        <f t="shared" si="89"/>
        <v>"C:\Program Files (x86)\AstroGrep\AstroGrep.exe" /spath="%USERPROFILE%\AppData\Local\Temp\OnboardLogs" /stypes="*4018*20160910*" /stext=" 05:.+((SYSTEM_STATE.+slice.+state.+changed )|(ment ac)|(system.+state.+changed )|(\|lc)|(penalty)|(\[timeout)|(PRM\|1\|D)|(kpr)|(kdp))" /e /r /s</v>
      </c>
      <c r="AG151" s="1" t="str">
        <f t="shared" si="90"/>
        <v>EC</v>
      </c>
      <c r="AH151" s="97" t="str">
        <f t="shared" si="91"/>
        <v>"%USERPROFILE%\Documents\GitHub\eaglep3\Utilities\RefineRTDCRunTimes.py" --tripid 237-09 --locoid 4018 --swversion DE.1.0.7.0 --startMP 204:464 --initTime 2016-09-09T22:50:16 --startdatetime 2016-09-09T23:00:14 --delay 2 --endMP 204:233342 --enddatetime 2016-09-09T23:35:46 --enforcementcount 1 &gt;&gt;C:\Users\stu\Documents\GitHub\eaglep3-reporting\EC\2016-09-09-refined-times.txt</v>
      </c>
      <c r="AI151" s="129" t="str">
        <f t="shared" si="92"/>
        <v>echo {"issue":{"subject":"","project_id":79,"tracker_id":40,"status_id":1,"priority_id":2,"assigned_to_id":23,"start_date":"2016-09-09","description":"","custom_fields":[{"id":1,"name":"Subdivision","value":"EC"},{"id":4,"name":"Milepost","value":"23.2878"},{"id":17,"name":"Train ID","value":"237-09"},{"id":16,"name":"Locomotive ID","value":"4018"},{"id":130,"name":"Impact","value":""},{"id":150,"name":"Time of Event (Mountain Time)","value":"23:35:46"},{"id":151,"name":"Denver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</row>
    <row r="152" spans="1:38" s="22" customFormat="1" x14ac:dyDescent="0.25">
      <c r="A152" s="38" t="s">
        <v>592</v>
      </c>
      <c r="B152" s="7">
        <v>4017</v>
      </c>
      <c r="C152" s="23" t="s">
        <v>108</v>
      </c>
      <c r="D152" s="23" t="s">
        <v>541</v>
      </c>
      <c r="E152" s="15">
        <v>42622.991157407407</v>
      </c>
      <c r="F152" s="15">
        <v>42622.997523148151</v>
      </c>
      <c r="G152" s="7">
        <v>1</v>
      </c>
      <c r="H152" s="15" t="s">
        <v>593</v>
      </c>
      <c r="I152" s="15">
        <v>42623.028182870374</v>
      </c>
      <c r="J152" s="7">
        <v>1</v>
      </c>
      <c r="K152" s="114" t="str">
        <f t="shared" si="80"/>
        <v>4017/4018</v>
      </c>
      <c r="L152" s="23" t="str">
        <f>VLOOKUP(A152,'Trips&amp;Operators'!$C$1:$E$10000,3,FALSE)</f>
        <v>LEVIN</v>
      </c>
      <c r="M152" s="6">
        <f t="shared" si="81"/>
        <v>3.0659722222480923E-2</v>
      </c>
      <c r="N152" s="7">
        <f>24*60*SUM($M152:$M152)</f>
        <v>44.150000000372529</v>
      </c>
      <c r="O152" s="7"/>
      <c r="P152" s="7"/>
      <c r="Q152" s="24"/>
      <c r="R152" s="24"/>
      <c r="S152" s="36">
        <f t="shared" si="74"/>
        <v>1</v>
      </c>
      <c r="T152" s="51" t="str">
        <f t="shared" si="82"/>
        <v>Southbound</v>
      </c>
      <c r="U152" s="17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22:47:16-0600',mode:absolute,to:'2016-09-10 01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52" s="179" t="str">
        <f t="shared" si="84"/>
        <v>N</v>
      </c>
      <c r="X152" s="179">
        <f t="shared" si="79"/>
        <v>1</v>
      </c>
      <c r="Y152" s="66">
        <f t="shared" si="67"/>
        <v>23.301300000000001</v>
      </c>
      <c r="Z152" s="66">
        <f t="shared" si="85"/>
        <v>1.1900000000000001E-2</v>
      </c>
      <c r="AA152" s="66">
        <f t="shared" si="86"/>
        <v>23.289400000000001</v>
      </c>
      <c r="AB152" s="63" t="e">
        <f>VLOOKUP(A152,Enforcements!$C$7:$K$21,8,0)</f>
        <v>#N/A</v>
      </c>
      <c r="AC152" s="59" t="e">
        <f>VLOOKUP(A152,Enforcements!$C$7:$E$21,3,0)</f>
        <v>#N/A</v>
      </c>
      <c r="AD152" s="60" t="str">
        <f t="shared" si="87"/>
        <v>0238-09</v>
      </c>
      <c r="AE152" s="96" t="str">
        <f t="shared" si="88"/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AF152" s="93" t="str">
        <f t="shared" si="89"/>
        <v>"C:\Program Files (x86)\AstroGrep\AstroGrep.exe" /spath="%USERPROFILE%\AppData\Local\Temp\OnboardLogs" /stypes="*4017*20160910*" /stext=" 06:.+((SYSTEM_STATE.+slice.+state.+changed )|(ment ac)|(system.+state.+changed )|(\|lc)|(penalty)|(\[timeout)|(PRM\|1\|D)|(kpr)|(kdp))" /e /r /s</v>
      </c>
      <c r="AG152" s="1" t="str">
        <f t="shared" si="90"/>
        <v>EC</v>
      </c>
      <c r="AH152" s="97" t="str">
        <f t="shared" si="91"/>
        <v>"%USERPROFILE%\Documents\GitHub\eaglep3\Utilities\RefineRTDCRunTimes.py" --tripid 238-09 --locoid 4017 --swversion DE.1.0.7.0 --startMP 204:233013 --initTime 2016-09-09T23:47:16 --startdatetime 2016-09-09T23:56:26 --delay 1 --endMP 204:119 --enddatetime 2016-09-10T00:40:35 --enforcementcount 1 &gt;&gt;C:\Users\stu\Documents\GitHub\eaglep3-reporting\EC\2016-09-09-refined-times.txt</v>
      </c>
      <c r="AI152" s="129" t="str">
        <f t="shared" si="92"/>
        <v>echo {"issue":{"subject":"","project_id":79,"tracker_id":40,"status_id":1,"priority_id":2,"assigned_to_id":23,"start_date":"2016-09-10","description":"","custom_fields":[{"id":1,"name":"Subdivision","value":"EC"},{"id":4,"name":"Milepost","value":"23.2894"},{"id":17,"name":"Train ID","value":"238-09"},{"id":16,"name":"Locomotive ID","value":"4017"},{"id":130,"name":"Impact","value":""},{"id":150,"name":"Time of Event (Mountain Time)","value":"00:40:35"},{"id":151,"name":"Denver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</row>
    <row r="153" spans="1:38" x14ac:dyDescent="0.25">
      <c r="A153" s="38" t="s">
        <v>594</v>
      </c>
      <c r="B153" s="7">
        <v>4020</v>
      </c>
      <c r="C153" s="23" t="s">
        <v>108</v>
      </c>
      <c r="D153" s="23" t="s">
        <v>246</v>
      </c>
      <c r="E153" s="15">
        <v>42622.975046296298</v>
      </c>
      <c r="F153" s="15">
        <v>42622.979525462964</v>
      </c>
      <c r="G153" s="7">
        <v>1</v>
      </c>
      <c r="H153" s="15" t="s">
        <v>595</v>
      </c>
      <c r="I153" s="15">
        <v>42623.005787037036</v>
      </c>
      <c r="J153" s="7">
        <v>1</v>
      </c>
      <c r="K153" s="114" t="str">
        <f t="shared" si="80"/>
        <v>4019/4020</v>
      </c>
      <c r="L153" s="23" t="str">
        <f>VLOOKUP(A153,'Trips&amp;Operators'!$C$1:$E$10000,3,FALSE)</f>
        <v>STAMBAUGH</v>
      </c>
      <c r="M153" s="6">
        <f t="shared" si="81"/>
        <v>2.626157407212304E-2</v>
      </c>
      <c r="N153" s="7">
        <f>24*60*SUM($M153:$M153)</f>
        <v>37.816666663857177</v>
      </c>
      <c r="O153" s="7"/>
      <c r="P153" s="7"/>
      <c r="Q153" s="24"/>
      <c r="R153" s="24"/>
      <c r="S153" s="36">
        <f t="shared" si="74"/>
        <v>1</v>
      </c>
      <c r="T153" s="51" t="str">
        <f t="shared" si="82"/>
        <v>NorthBound</v>
      </c>
      <c r="U153" s="17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22:24:04-0600',mode:absolute,to:'2016-09-10 01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53" s="179" t="str">
        <f t="shared" si="84"/>
        <v>N</v>
      </c>
      <c r="X153" s="179">
        <f t="shared" si="79"/>
        <v>1</v>
      </c>
      <c r="Y153" s="66">
        <f t="shared" si="67"/>
        <v>4.7100000000000003E-2</v>
      </c>
      <c r="Z153" s="66">
        <f t="shared" si="85"/>
        <v>23.328299999999999</v>
      </c>
      <c r="AA153" s="66">
        <f t="shared" si="86"/>
        <v>23.281199999999998</v>
      </c>
      <c r="AB153" s="63" t="e">
        <f>VLOOKUP(A153,Enforcements!$C$7:$K$21,8,0)</f>
        <v>#N/A</v>
      </c>
      <c r="AC153" s="59" t="e">
        <f>VLOOKUP(A153,Enforcements!$C$7:$E$21,3,0)</f>
        <v>#N/A</v>
      </c>
      <c r="AD153" s="60" t="str">
        <f t="shared" si="87"/>
        <v>0239-09</v>
      </c>
      <c r="AE153" s="96" t="str">
        <f t="shared" si="88"/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AF153" s="93" t="str">
        <f t="shared" si="89"/>
        <v>"C:\Program Files (x86)\AstroGrep\AstroGrep.exe" /spath="%USERPROFILE%\AppData\Local\Temp\OnboardLogs" /stypes="*4020*20160910*" /stext=" 06:.+((SYSTEM_STATE.+slice.+state.+changed )|(ment ac)|(system.+state.+changed )|(\|lc)|(penalty)|(\[timeout)|(PRM\|1\|D)|(kpr)|(kdp))" /e /r /s</v>
      </c>
      <c r="AG153" s="1" t="str">
        <f t="shared" si="90"/>
        <v>EC</v>
      </c>
      <c r="AH153" s="97" t="str">
        <f t="shared" si="91"/>
        <v>"%USERPROFILE%\Documents\GitHub\eaglep3\Utilities\RefineRTDCRunTimes.py" --tripid 239-09 --locoid 4020 --swversion DE.1.0.7.0 --startMP 204:471 --initTime 2016-09-09T23:24:04 --startdatetime 2016-09-09T23:30:31 --delay 1 --endMP 204:233283 --enddatetime 2016-09-10T00:08:20 --enforcementcount 1 &gt;&gt;C:\Users\stu\Documents\GitHub\eaglep3-reporting\EC\2016-09-09-refined-times.txt</v>
      </c>
      <c r="AI153" s="129" t="str">
        <f t="shared" si="92"/>
        <v>echo {"issue":{"subject":"","project_id":79,"tracker_id":40,"status_id":1,"priority_id":2,"assigned_to_id":23,"start_date":"2016-09-10","description":"","custom_fields":[{"id":1,"name":"Subdivision","value":"EC"},{"id":4,"name":"Milepost","value":"23.2812"},{"id":17,"name":"Train ID","value":"239-09"},{"id":16,"name":"Locomotive ID","value":"4020"},{"id":130,"name":"Impact","value":""},{"id":150,"name":"Time of Event (Mountain Time)","value":"00:08:20"},{"id":151,"name":"Denver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</row>
    <row r="154" spans="1:38" s="22" customFormat="1" x14ac:dyDescent="0.25">
      <c r="A154" s="38" t="s">
        <v>739</v>
      </c>
      <c r="B154" s="7">
        <v>4019</v>
      </c>
      <c r="C154" s="23" t="s">
        <v>108</v>
      </c>
      <c r="D154" s="23" t="s">
        <v>246</v>
      </c>
      <c r="E154" s="15">
        <v>42622.975046296298</v>
      </c>
      <c r="F154" s="15">
        <v>42623.014976851853</v>
      </c>
      <c r="G154" s="7">
        <v>1</v>
      </c>
      <c r="H154" s="15" t="s">
        <v>595</v>
      </c>
      <c r="I154" s="15">
        <v>42623.038831018515</v>
      </c>
      <c r="J154" s="7">
        <v>1</v>
      </c>
      <c r="K154" s="114" t="str">
        <f t="shared" si="80"/>
        <v>4019/4020</v>
      </c>
      <c r="L154" s="23" t="str">
        <f>VLOOKUP(A154,'Trips&amp;Operators'!$C$1:$E$10000,3,FALSE)</f>
        <v>STAMBAUGH</v>
      </c>
      <c r="M154" s="6">
        <f t="shared" si="81"/>
        <v>2.3854166662204079E-2</v>
      </c>
      <c r="N154" s="7"/>
      <c r="O154" s="7"/>
      <c r="P154" s="7">
        <f>24*60*SUM($M154:$M154)</f>
        <v>34.349999993573874</v>
      </c>
      <c r="Q154" s="24"/>
      <c r="R154" s="24" t="s">
        <v>755</v>
      </c>
      <c r="S154" s="36">
        <f t="shared" si="74"/>
        <v>0.75</v>
      </c>
      <c r="T154" s="177" t="str">
        <f t="shared" si="82"/>
        <v>Southbound</v>
      </c>
      <c r="U154" s="17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9</v>
      </c>
      <c r="V154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22:24:04-0600',mode:absolute,to:'2016-09-10 01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54" s="179" t="str">
        <f t="shared" si="84"/>
        <v>Y</v>
      </c>
      <c r="X154" s="179">
        <f t="shared" si="79"/>
        <v>1</v>
      </c>
      <c r="Y154" s="66">
        <v>23.3</v>
      </c>
      <c r="Z154" s="66">
        <v>3.6</v>
      </c>
      <c r="AA154" s="66">
        <f t="shared" si="86"/>
        <v>19.7</v>
      </c>
      <c r="AB154" s="63" t="e">
        <f>VLOOKUP(A154,Enforcements!$C$7:$K$21,8,0)</f>
        <v>#N/A</v>
      </c>
      <c r="AC154" s="59" t="e">
        <f>VLOOKUP(A154,Enforcements!$C$7:$E$21,3,0)</f>
        <v>#N/A</v>
      </c>
      <c r="AD154" s="60" t="str">
        <f t="shared" si="87"/>
        <v>0240-09</v>
      </c>
      <c r="AE154" s="96" t="str">
        <f t="shared" si="88"/>
        <v>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 &amp; aws s3 cp s3://rtdc.mdm.uploadarchive/RTDC4019/2016-09-11/ "%USERPROFILE%\AppData\Local\Temp\OnboardLogs"\RTDC4019\2016-09-11 --recursive &amp; "%USERPROFILE%\Documents\GitHub\mrs-test-scripts\Headless Mode &amp; Sideloading\WalkAndUnGZ.bat" "%USERPROFILE%\AppData\Local\Temp\OnboardLogs"\RTDC4019\2016-09-11</v>
      </c>
      <c r="AF154" s="93" t="str">
        <f t="shared" si="89"/>
        <v>"C:\Program Files (x86)\AstroGrep\AstroGrep.exe" /spath="%USERPROFILE%\AppData\Local\Temp\OnboardLogs" /stypes="*4019*20160910*" /stext=" 06:.+((SYSTEM_STATE.+slice.+state.+changed )|(ment ac)|(system.+state.+changed )|(\|lc)|(penalty)|(\[timeout)|(PRM\|1\|D)|(kpr)|(kdp))" /e /r /s</v>
      </c>
      <c r="AG154" s="1" t="str">
        <f t="shared" si="90"/>
        <v>EC</v>
      </c>
      <c r="AH154" s="97" t="str">
        <f t="shared" ref="AH154" si="93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240-09 --locoid 4019 --swversion DE.1.0.7.0 --startMP 204:471 --initTime 2016-09-09T23:24:04 --startdatetime 2016-09-10T00:21:34 --delay 1 --endMP 204:233283 --enddatetime 2016-09-10T00:55:55 --enforcementcount 1 &gt;&gt;C:\Users\stu\Documents\GitHub\eaglep3-reporting\EC\2016-09-09-refined-times.txt</v>
      </c>
      <c r="AI154" s="129" t="str">
        <f t="shared" ref="AI154" si="94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AA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{"issue":{"subject":"Power outage at OCC. BOS was offline 2016-09-10 00:55:42 - 04:29:41.","project_id":79,"tracker_id":40,"status_id":1,"priority_id":2,"assigned_to_id":23,"start_date":"2016-09-10","description":"","custom_fields":[{"id":1,"name":"Subdivision","value":"EC"},{"id":4,"name":"Milepost","value":"19.7"},{"id":17,"name":"Train ID","value":"240-09"},{"id":16,"name":"Locomotive ID","value":"4019"},{"id":130,"name":"Impact","value":""},{"id":150,"name":"Time of Event (Mountain Time)","value":"00:55:55"},{"id":151,"name":"Denver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38" x14ac:dyDescent="0.25">
      <c r="A155" s="38" t="s">
        <v>596</v>
      </c>
      <c r="B155" s="7">
        <v>4016</v>
      </c>
      <c r="C155" s="23" t="s">
        <v>108</v>
      </c>
      <c r="D155" s="23" t="s">
        <v>269</v>
      </c>
      <c r="E155" s="15">
        <v>42622.998981481483</v>
      </c>
      <c r="F155" s="15">
        <v>42623.000347222223</v>
      </c>
      <c r="G155" s="7">
        <v>1</v>
      </c>
      <c r="H155" s="15" t="s">
        <v>311</v>
      </c>
      <c r="I155" s="15">
        <v>42623.025856481479</v>
      </c>
      <c r="J155" s="7">
        <v>1</v>
      </c>
      <c r="K155" s="114" t="str">
        <f t="shared" si="80"/>
        <v>4015/4016</v>
      </c>
      <c r="L155" s="23" t="str">
        <f>VLOOKUP(A155,'Trips&amp;Operators'!$C$1:$E$10000,3,FALSE)</f>
        <v>CHANDLER</v>
      </c>
      <c r="M155" s="6">
        <f t="shared" si="81"/>
        <v>2.5509259256068617E-2</v>
      </c>
      <c r="N155" s="7">
        <f>24*60*SUM($M155:$M155)</f>
        <v>36.733333328738809</v>
      </c>
      <c r="O155" s="7"/>
      <c r="P155" s="7"/>
      <c r="Q155" s="24"/>
      <c r="R155" s="24"/>
      <c r="S155" s="36">
        <f t="shared" si="74"/>
        <v>1</v>
      </c>
      <c r="T155" s="51" t="str">
        <f t="shared" si="82"/>
        <v>NorthBound</v>
      </c>
      <c r="U155" s="17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78" t="str">
        <f t="shared" si="83"/>
        <v>https://search-rtdc-monitor-bjffxe2xuh6vdkpspy63sjmuny.us-east-1.es.amazonaws.com/_plugin/kibana/#/discover/Steve-Slow-Train-Analysis-(2080s-and-2083s)?_g=(refreshInterval:(display:Off,section:0,value:0),time:(from:'2016-09-09 22:58:32-0600',mode:absolute,to:'2016-09-10 01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5" s="179" t="str">
        <f t="shared" si="84"/>
        <v>N</v>
      </c>
      <c r="X155" s="179">
        <f t="shared" ref="X155:X156" si="95">VALUE(LEFT(AD155,4))-VALUE(LEFT(AD154,4))</f>
        <v>1</v>
      </c>
      <c r="Y155" s="66">
        <f>RIGHT(D155,LEN(D155)-4)/10000</f>
        <v>4.4699999999999997E-2</v>
      </c>
      <c r="Z155" s="66">
        <f>RIGHT(H155,LEN(H155)-4)/10000</f>
        <v>23.3308</v>
      </c>
      <c r="AA155" s="66">
        <f t="shared" si="86"/>
        <v>23.286100000000001</v>
      </c>
      <c r="AB155" s="63" t="e">
        <f>VLOOKUP(A155,Enforcements!$C$7:$K$21,8,0)</f>
        <v>#N/A</v>
      </c>
      <c r="AC155" s="59" t="e">
        <f>VLOOKUP(A155,Enforcements!$C$7:$E$21,3,0)</f>
        <v>#N/A</v>
      </c>
      <c r="AD155" s="60" t="str">
        <f t="shared" si="87"/>
        <v>0241-09</v>
      </c>
      <c r="AE155" s="96" t="str">
        <f t="shared" si="88"/>
        <v>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 &amp; aws s3 cp s3://rtdc.mdm.uploadarchive/RTDC4016/2016-09-11/ "%USERPROFILE%\AppData\Local\Temp\OnboardLogs"\RTDC4016\2016-09-11 --recursive &amp; "%USERPROFILE%\Documents\GitHub\mrs-test-scripts\Headless Mode &amp; Sideloading\WalkAndUnGZ.bat" "%USERPROFILE%\AppData\Local\Temp\OnboardLogs"\RTDC4016\2016-09-11</v>
      </c>
      <c r="AF155" s="93" t="str">
        <f t="shared" si="89"/>
        <v>"C:\Program Files (x86)\AstroGrep\AstroGrep.exe" /spath="%USERPROFILE%\AppData\Local\Temp\OnboardLogs" /stypes="*4016*20160910*" /stext=" 06:.+((SYSTEM_STATE.+slice.+state.+changed )|(ment ac)|(system.+state.+changed )|(\|lc)|(penalty)|(\[timeout)|(PRM\|1\|D)|(kpr)|(kdp))" /e /r /s</v>
      </c>
      <c r="AG155" s="1" t="str">
        <f t="shared" si="90"/>
        <v>EC</v>
      </c>
      <c r="AH155" s="97" t="str">
        <f t="shared" si="91"/>
        <v>"%USERPROFILE%\Documents\GitHub\eaglep3\Utilities\RefineRTDCRunTimes.py" --tripid 241-09 --locoid 4016 --swversion DE.1.0.7.0 --startMP 204:447 --initTime 2016-09-09T23:58:32 --startdatetime 2016-09-10T00:00:30 --delay 1 --endMP 204:233308 --enddatetime 2016-09-10T00:37:14 --enforcementcount 1 &gt;&gt;C:\Users\stu\Documents\GitHub\eaglep3-reporting\EC\2016-09-09-refined-times.txt</v>
      </c>
      <c r="AI155" s="129" t="str">
        <f t="shared" si="92"/>
        <v>echo {"issue":{"subject":"","project_id":79,"tracker_id":40,"status_id":1,"priority_id":2,"assigned_to_id":23,"start_date":"2016-09-10","description":"","custom_fields":[{"id":1,"name":"Subdivision","value":"EC"},{"id":4,"name":"Milepost","value":"23.2861"},{"id":17,"name":"Train ID","value":"241-09"},{"id":16,"name":"Locomotive ID","value":"4016"},{"id":130,"name":"Impact","value":""},{"id":150,"name":"Time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38" s="22" customFormat="1" x14ac:dyDescent="0.25">
      <c r="A156" s="38" t="s">
        <v>740</v>
      </c>
      <c r="B156" s="7">
        <v>4015</v>
      </c>
      <c r="C156" s="23" t="s">
        <v>108</v>
      </c>
      <c r="D156" s="23" t="s">
        <v>269</v>
      </c>
      <c r="E156" s="15">
        <v>42622.998981481483</v>
      </c>
      <c r="F156" s="15">
        <v>42623.038402777776</v>
      </c>
      <c r="G156" s="7">
        <v>1</v>
      </c>
      <c r="H156" s="15" t="s">
        <v>311</v>
      </c>
      <c r="I156" s="15">
        <v>42623.038680555554</v>
      </c>
      <c r="J156" s="7">
        <v>1</v>
      </c>
      <c r="K156" s="114" t="str">
        <f t="shared" ref="K156:K157" si="96">IF(ISEVEN(B156),(B156-1)&amp;"/"&amp;B156,B156&amp;"/"&amp;(B156+1))</f>
        <v>4015/4016</v>
      </c>
      <c r="L156" s="23" t="str">
        <f>VLOOKUP(A156,'Trips&amp;Operators'!$C$1:$E$10000,3,FALSE)</f>
        <v>CHANDLER</v>
      </c>
      <c r="M156" s="6">
        <f t="shared" ref="M156:M157" si="97">I156-F156</f>
        <v>2.7777777722803876E-4</v>
      </c>
      <c r="N156" s="7"/>
      <c r="O156" s="7"/>
      <c r="P156" s="7">
        <f t="shared" ref="P156:P157" si="98">24*60*SUM($M156:$M156)</f>
        <v>0.39999999920837581</v>
      </c>
      <c r="Q156" s="24"/>
      <c r="R156" s="24" t="s">
        <v>755</v>
      </c>
      <c r="S156" s="36">
        <f t="shared" ref="S156:S157" si="99">SUM(U156:U156)/IF(AG156="EC",12,1)</f>
        <v>0</v>
      </c>
      <c r="T156" s="177" t="str">
        <f t="shared" ref="T156:T160" si="100">IF(ISEVEN(LEFT(AD156,4)),"Southbound","NorthBound")</f>
        <v>Southbound</v>
      </c>
      <c r="U156" s="17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78" t="str">
        <f t="shared" ref="V156:V157" si="101"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https://search-rtdc-monitor-bjffxe2xuh6vdkpspy63sjmuny.us-east-1.es.amazonaws.com/_plugin/kibana/#/discover/Steve-Slow-Train-Analysis-(2080s-and-2083s)?_g=(refreshInterval:(display:Off,section:0,value:0),time:(from:'2016-09-09 22:58:32-0600',mode:absolute,to:'2016-09-10 01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6" s="179" t="str">
        <f t="shared" ref="W156:W157" si="102">IF(AA156&lt;IF(AG156="EC",23,5.65),"Y","N")</f>
        <v>N</v>
      </c>
      <c r="X156" s="179">
        <f t="shared" si="95"/>
        <v>1</v>
      </c>
      <c r="Y156" s="66">
        <f t="shared" ref="Y156:Y157" si="103">RIGHT(D156,LEN(D156)-4)/10000</f>
        <v>4.4699999999999997E-2</v>
      </c>
      <c r="Z156" s="66">
        <f t="shared" ref="Z156" si="104">RIGHT(H156,LEN(H156)-4)/10000</f>
        <v>23.3308</v>
      </c>
      <c r="AA156" s="66">
        <f t="shared" ref="AA156:AA157" si="105">ABS(Z156-Y156)</f>
        <v>23.286100000000001</v>
      </c>
      <c r="AB156" s="63" t="e">
        <f>VLOOKUP(A156,Enforcements!$C$7:$K$21,8,0)</f>
        <v>#N/A</v>
      </c>
      <c r="AC156" s="59" t="e">
        <f>VLOOKUP(A156,Enforcements!$C$7:$E$21,3,0)</f>
        <v>#N/A</v>
      </c>
      <c r="AD156" s="60" t="str">
        <f t="shared" ref="AD156:AD160" si="106">IF(LEN(A156)=6,"0"&amp;A156,A156)</f>
        <v>0242-09</v>
      </c>
      <c r="AE156" s="96" t="str">
        <f t="shared" si="88"/>
        <v>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 &amp; aws s3 cp s3://rtdc.mdm.uploadarchive/RTDC4015/2016-09-11/ "%USERPROFILE%\AppData\Local\Temp\OnboardLogs"\RTDC4015\2016-09-11 --recursive &amp; "%USERPROFILE%\Documents\GitHub\mrs-test-scripts\Headless Mode &amp; Sideloading\WalkAndUnGZ.bat" "%USERPROFILE%\AppData\Local\Temp\OnboardLogs"\RTDC4015\2016-09-11</v>
      </c>
      <c r="AF156" s="93" t="str">
        <f t="shared" si="89"/>
        <v>"C:\Program Files (x86)\AstroGrep\AstroGrep.exe" /spath="%USERPROFILE%\AppData\Local\Temp\OnboardLogs" /stypes="*4015*20160910*" /stext=" 06:.+((SYSTEM_STATE.+slice.+state.+changed )|(ment ac)|(system.+state.+changed )|(\|lc)|(penalty)|(\[timeout)|(PRM\|1\|D)|(kpr)|(kdp))" /e /r /s</v>
      </c>
      <c r="AG156" s="1" t="str">
        <f t="shared" ref="AG156:AG160" si="107">IFERROR(IF(VALUE(LEFT(AD156,2))&lt;=2,"EC",IF(OR(VALUE(LEFT(AD156,2))=8,VALUE(LEFT(AD156,2))=18),"NW","Other")),"Other")</f>
        <v>EC</v>
      </c>
      <c r="AH156" s="97" t="str">
        <f t="shared" ref="AH156:AH157" si="108"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242-09 --locoid 4015 --swversion DE.1.0.7.0 --startMP 204:447 --initTime 2016-09-09T23:58:32 --startdatetime 2016-09-10T00:55:18 --delay 1 --endMP 204:233308 --enddatetime 2016-09-10T00:55:42 --enforcementcount 1 &gt;&gt;C:\Users\stu\Documents\GitHub\eaglep3-reporting\EC\2016-09-09-refined-times.txt</v>
      </c>
      <c r="AI156" s="129" t="str">
        <f t="shared" ref="AI156:AI157" si="109"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AA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{"issue":{"subject":"Power outage at OCC. BOS was offline 2016-09-10 00:55:42 - 04:29:41.","project_id":79,"tracker_id":40,"status_id":1,"priority_id":2,"assigned_to_id":23,"start_date":"2016-09-10","description":"","custom_fields":[{"id":1,"name":"Subdivision","value":"EC"},{"id":4,"name":"Milepost","value":"23.2861"},{"id":17,"name":"Train ID","value":"242-09"},{"id":16,"name":"Locomotive ID","value":"4015"},{"id":130,"name":"Impact","value":""},{"id":150,"name":"Time of Event (Mountain Time)","value":"00:55:42"},{"id":151,"name":"Denver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38" s="22" customFormat="1" x14ac:dyDescent="0.25">
      <c r="A157" s="38" t="s">
        <v>738</v>
      </c>
      <c r="B157" s="7">
        <v>4025</v>
      </c>
      <c r="C157" s="23" t="s">
        <v>108</v>
      </c>
      <c r="D157" s="23" t="s">
        <v>269</v>
      </c>
      <c r="E157" s="15">
        <v>42622.998981481483</v>
      </c>
      <c r="F157" s="15">
        <v>42623.009884259256</v>
      </c>
      <c r="G157" s="7">
        <v>1</v>
      </c>
      <c r="H157" s="15" t="s">
        <v>311</v>
      </c>
      <c r="I157" s="15">
        <v>42623.038680555554</v>
      </c>
      <c r="J157" s="7">
        <v>1</v>
      </c>
      <c r="K157" s="114" t="str">
        <f t="shared" si="96"/>
        <v>4025/4026</v>
      </c>
      <c r="L157" s="23" t="str">
        <f>VLOOKUP(A157,'Trips&amp;Operators'!$C$1:$E$10000,3,FALSE)</f>
        <v>DELGADO</v>
      </c>
      <c r="M157" s="6">
        <f t="shared" si="97"/>
        <v>2.8796296297514345E-2</v>
      </c>
      <c r="N157" s="7"/>
      <c r="O157" s="7"/>
      <c r="P157" s="7">
        <f t="shared" si="98"/>
        <v>41.466666668420658</v>
      </c>
      <c r="Q157" s="24"/>
      <c r="R157" s="24" t="s">
        <v>755</v>
      </c>
      <c r="S157" s="36">
        <f t="shared" si="99"/>
        <v>1</v>
      </c>
      <c r="T157" s="177" t="str">
        <f t="shared" si="100"/>
        <v>NorthBound</v>
      </c>
      <c r="U157" s="17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78" t="str">
        <f t="shared" si="101"/>
        <v>https://search-rtdc-monitor-bjffxe2xuh6vdkpspy63sjmuny.us-east-1.es.amazonaws.com/_plugin/kibana/#/discover/Steve-Slow-Train-Analysis-(2080s-and-2083s)?_g=(refreshInterval:(display:Off,section:0,value:0),time:(from:'2016-09-09 22:58:32-0600',mode:absolute,to:'2016-09-10 01:55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57" s="179" t="str">
        <f t="shared" si="102"/>
        <v>Y</v>
      </c>
      <c r="X157" s="179">
        <f t="shared" ref="X157:X164" si="110">VALUE(LEFT(AD157,4))-VALUE(LEFT(AD156,4))</f>
        <v>1</v>
      </c>
      <c r="Y157" s="66">
        <f t="shared" si="103"/>
        <v>4.4699999999999997E-2</v>
      </c>
      <c r="Z157" s="66">
        <v>12.8</v>
      </c>
      <c r="AA157" s="66">
        <f t="shared" si="105"/>
        <v>12.7553</v>
      </c>
      <c r="AB157" s="63" t="e">
        <f>VLOOKUP(A157,Enforcements!$C$7:$K$21,8,0)</f>
        <v>#N/A</v>
      </c>
      <c r="AC157" s="59" t="e">
        <f>VLOOKUP(A157,Enforcements!$C$7:$E$21,3,0)</f>
        <v>#N/A</v>
      </c>
      <c r="AD157" s="60" t="str">
        <f t="shared" si="106"/>
        <v>0243-09</v>
      </c>
      <c r="AE157" s="96" t="str">
        <f t="shared" si="88"/>
        <v>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 &amp; aws s3 cp s3://rtdc.mdm.uploadarchive/RTDC4025/2016-09-11/ "%USERPROFILE%\AppData\Local\Temp\OnboardLogs"\RTDC4025\2016-09-11 --recursive &amp; "%USERPROFILE%\Documents\GitHub\mrs-test-scripts\Headless Mode &amp; Sideloading\WalkAndUnGZ.bat" "%USERPROFILE%\AppData\Local\Temp\OnboardLogs"\RTDC4025\2016-09-11</v>
      </c>
      <c r="AF157" s="93" t="str">
        <f t="shared" si="89"/>
        <v>"C:\Program Files (x86)\AstroGrep\AstroGrep.exe" /spath="%USERPROFILE%\AppData\Local\Temp\OnboardLogs" /stypes="*4025*20160910*" /stext=" 06:.+((SYSTEM_STATE.+slice.+state.+changed )|(ment ac)|(system.+state.+changed )|(\|lc)|(penalty)|(\[timeout)|(PRM\|1\|D)|(kpr)|(kdp))" /e /r /s</v>
      </c>
      <c r="AG157" s="1" t="str">
        <f t="shared" si="107"/>
        <v>EC</v>
      </c>
      <c r="AH157" s="97" t="str">
        <f t="shared" si="108"/>
        <v>"%USERPROFILE%\Documents\GitHub\eaglep3\Utilities\RefineRTDCRunTimes.py" --tripid 243-09 --locoid 4025 --swversion DE.1.0.7.0 --startMP 204:447 --initTime 2016-09-09T23:58:32 --startdatetime 2016-09-10T00:14:14 --delay 1 --endMP 204:233308 --enddatetime 2016-09-10T00:55:42 --enforcementcount 1 &gt;&gt;C:\Users\stu\Documents\GitHub\eaglep3-reporting\EC\2016-09-09-refined-times.txt</v>
      </c>
      <c r="AI157" s="129" t="str">
        <f t="shared" si="109"/>
        <v>echo {"issue":{"subject":"Power outage at OCC. BOS was offline 2016-09-10 00:55:42 - 04:29:41.","project_id":79,"tracker_id":40,"status_id":1,"priority_id":2,"assigned_to_id":23,"start_date":"2016-09-10","description":"","custom_fields":[{"id":1,"name":"Subdivision","value":"EC"},{"id":4,"name":"Milepost","value":"12.7553"},{"id":17,"name":"Train ID","value":"243-09"},{"id":16,"name":"Locomotive ID","value":"4025"},{"id":130,"name":"Impact","value":""},{"id":150,"name":"Time of Event (Mountain Time)","value":"00:55:42"},{"id":151,"name":"Denver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38" s="22" customFormat="1" x14ac:dyDescent="0.25">
      <c r="A158" s="38" t="s">
        <v>752</v>
      </c>
      <c r="B158" s="7"/>
      <c r="C158" s="23"/>
      <c r="D158" s="23"/>
      <c r="E158" s="15"/>
      <c r="F158" s="15"/>
      <c r="G158" s="7"/>
      <c r="H158" s="15"/>
      <c r="I158" s="15"/>
      <c r="J158" s="7"/>
      <c r="K158" s="114"/>
      <c r="L158" s="23"/>
      <c r="M158" s="6"/>
      <c r="N158" s="7"/>
      <c r="O158" s="7"/>
      <c r="P158" s="7">
        <v>1</v>
      </c>
      <c r="Q158" s="24"/>
      <c r="R158" s="24" t="s">
        <v>755</v>
      </c>
      <c r="S158" s="36">
        <v>0</v>
      </c>
      <c r="T158" s="177" t="str">
        <f t="shared" si="100"/>
        <v>Southbound</v>
      </c>
      <c r="U158" s="177"/>
      <c r="V158" s="178"/>
      <c r="W158" s="179"/>
      <c r="X158" s="179"/>
      <c r="Y158" s="66"/>
      <c r="Z158" s="66"/>
      <c r="AA158" s="66"/>
      <c r="AB158" s="63"/>
      <c r="AC158" s="59"/>
      <c r="AD158" s="60" t="str">
        <f t="shared" si="106"/>
        <v>0244-09</v>
      </c>
      <c r="AE158" s="96"/>
      <c r="AF158" s="93"/>
      <c r="AG158" s="1" t="str">
        <f t="shared" si="107"/>
        <v>EC</v>
      </c>
      <c r="AH158" s="97"/>
      <c r="AI158" s="129"/>
      <c r="AJ158" s="53"/>
      <c r="AK158" s="53"/>
      <c r="AL158" s="53"/>
    </row>
    <row r="159" spans="1:38" s="22" customFormat="1" x14ac:dyDescent="0.25">
      <c r="A159" s="38" t="s">
        <v>753</v>
      </c>
      <c r="B159" s="7"/>
      <c r="C159" s="23"/>
      <c r="D159" s="23"/>
      <c r="E159" s="15"/>
      <c r="F159" s="15"/>
      <c r="G159" s="7"/>
      <c r="H159" s="15"/>
      <c r="I159" s="15"/>
      <c r="J159" s="7"/>
      <c r="K159" s="114"/>
      <c r="L159" s="23"/>
      <c r="M159" s="6"/>
      <c r="N159" s="7"/>
      <c r="O159" s="7"/>
      <c r="P159" s="7">
        <v>1</v>
      </c>
      <c r="Q159" s="24"/>
      <c r="R159" s="24" t="s">
        <v>755</v>
      </c>
      <c r="S159" s="36">
        <v>0</v>
      </c>
      <c r="T159" s="177" t="str">
        <f t="shared" si="100"/>
        <v>NorthBound</v>
      </c>
      <c r="U159" s="177"/>
      <c r="V159" s="178"/>
      <c r="W159" s="179"/>
      <c r="X159" s="179"/>
      <c r="Y159" s="66"/>
      <c r="Z159" s="66"/>
      <c r="AA159" s="66"/>
      <c r="AB159" s="63"/>
      <c r="AC159" s="59"/>
      <c r="AD159" s="60" t="str">
        <f t="shared" si="106"/>
        <v>0245-09</v>
      </c>
      <c r="AE159" s="96"/>
      <c r="AF159" s="93"/>
      <c r="AG159" s="1" t="str">
        <f t="shared" si="107"/>
        <v>EC</v>
      </c>
      <c r="AH159" s="97"/>
      <c r="AI159" s="129"/>
      <c r="AJ159" s="53"/>
      <c r="AK159" s="53"/>
      <c r="AL159" s="53"/>
    </row>
    <row r="160" spans="1:38" s="22" customFormat="1" x14ac:dyDescent="0.25">
      <c r="A160" s="38" t="s">
        <v>754</v>
      </c>
      <c r="B160" s="7"/>
      <c r="C160" s="23"/>
      <c r="D160" s="23"/>
      <c r="E160" s="15"/>
      <c r="F160" s="15"/>
      <c r="G160" s="7"/>
      <c r="H160" s="15"/>
      <c r="I160" s="15"/>
      <c r="J160" s="7"/>
      <c r="K160" s="114"/>
      <c r="L160" s="23"/>
      <c r="M160" s="6"/>
      <c r="N160" s="7"/>
      <c r="O160" s="7"/>
      <c r="P160" s="7">
        <v>1</v>
      </c>
      <c r="Q160" s="24"/>
      <c r="R160" s="24" t="s">
        <v>755</v>
      </c>
      <c r="S160" s="36">
        <v>0</v>
      </c>
      <c r="T160" s="177" t="str">
        <f t="shared" si="100"/>
        <v>Southbound</v>
      </c>
      <c r="U160" s="177"/>
      <c r="V160" s="178"/>
      <c r="W160" s="179"/>
      <c r="X160" s="179"/>
      <c r="Y160" s="66"/>
      <c r="Z160" s="66"/>
      <c r="AA160" s="66"/>
      <c r="AB160" s="63"/>
      <c r="AC160" s="59"/>
      <c r="AD160" s="60" t="str">
        <f t="shared" si="106"/>
        <v>0246-09</v>
      </c>
      <c r="AE160" s="96"/>
      <c r="AF160" s="93"/>
      <c r="AG160" s="1" t="str">
        <f t="shared" si="107"/>
        <v>EC</v>
      </c>
      <c r="AH160" s="97"/>
      <c r="AI160" s="129"/>
      <c r="AJ160" s="53"/>
      <c r="AK160" s="53"/>
      <c r="AL160" s="53"/>
    </row>
    <row r="161" spans="1:38" s="22" customFormat="1" x14ac:dyDescent="0.25">
      <c r="A161" s="38" t="s">
        <v>614</v>
      </c>
      <c r="B161" s="7">
        <v>4037</v>
      </c>
      <c r="C161" s="23" t="s">
        <v>108</v>
      </c>
      <c r="D161" s="23" t="s">
        <v>294</v>
      </c>
      <c r="E161" s="15">
        <v>42622.211736111109</v>
      </c>
      <c r="F161" s="15">
        <v>42622.213530092595</v>
      </c>
      <c r="G161" s="7">
        <v>1</v>
      </c>
      <c r="H161" s="15" t="s">
        <v>615</v>
      </c>
      <c r="I161" s="15">
        <v>42622.225949074076</v>
      </c>
      <c r="J161" s="7">
        <v>1</v>
      </c>
      <c r="K161" s="114" t="str">
        <f t="shared" ref="K161:K192" si="111">IF(ISEVEN(B161),(B161-1)&amp;"/"&amp;B161,B161&amp;"/"&amp;(B161+1))</f>
        <v>4037/4038</v>
      </c>
      <c r="L161" s="23" t="str">
        <f>VLOOKUP(A161,'Trips&amp;Operators'!$C$1:$E$10000,3,FALSE)</f>
        <v>SANTIZO</v>
      </c>
      <c r="M161" s="6">
        <f t="shared" ref="M161:M192" si="112">I161-F161</f>
        <v>1.2418981481459923E-2</v>
      </c>
      <c r="N161" s="7">
        <f t="shared" ref="N161:N182" si="113">24*60*SUM($M161:$M161)</f>
        <v>17.883333333302289</v>
      </c>
      <c r="O161" s="7"/>
      <c r="P161" s="7"/>
      <c r="Q161" s="24"/>
      <c r="R161" s="24"/>
      <c r="S161" s="36">
        <f t="shared" ref="S161:S192" si="114">SUM(U161:U161)/IF(AG161="EC",12,1)</f>
        <v>1</v>
      </c>
      <c r="T161" s="51" t="str">
        <f t="shared" ref="T161:T192" si="115">IF(ISEVEN(LEFT(AD161,4)),"Southbound","NorthBound")</f>
        <v>Southbound</v>
      </c>
      <c r="U161" s="17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78" t="str">
        <f t="shared" ref="V161:V192" si="116"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https://search-rtdc-monitor-bjffxe2xuh6vdkpspy63sjmuny.us-east-1.es.amazonaws.com/_plugin/kibana/#/discover/Steve-Slow-Train-Analysis-(2080s-and-2083s)?_g=(refreshInterval:(display:Off,section:0,value:0),time:(from:'2016-09-09 04:04:54-0600',mode:absolute,to:'2016-09-09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1" s="179" t="str">
        <f t="shared" ref="W161:W192" si="117">IF(AA161&lt;IF(AG161="EC",23,5.65),"Y","N")</f>
        <v>N</v>
      </c>
      <c r="X161" s="179">
        <f>VALUE(LEFT(AD161,4))-VALUE(LEFT(AD157,4))</f>
        <v>557</v>
      </c>
      <c r="Y161" s="66">
        <f t="shared" ref="Y161:Y192" si="118">RIGHT(D161,LEN(D161)-4)/10000</f>
        <v>5.8672000000000004</v>
      </c>
      <c r="Z161" s="66">
        <f t="shared" ref="Z161:Z192" si="119">RIGHT(H161,LEN(H161)-4)/10000</f>
        <v>7.9000000000000001E-2</v>
      </c>
      <c r="AA161" s="66">
        <f t="shared" ref="AA161:AA192" si="120">ABS(Z161-Y161)</f>
        <v>5.7882000000000007</v>
      </c>
      <c r="AB161" s="63" t="e">
        <f>VLOOKUP(A161,Enforcements!$C$7:$K$21,8,0)</f>
        <v>#N/A</v>
      </c>
      <c r="AC161" s="59" t="e">
        <f>VLOOKUP(A161,Enforcements!$C$7:$E$21,3,0)</f>
        <v>#N/A</v>
      </c>
      <c r="AD161" s="60" t="str">
        <f t="shared" ref="AD161:AD192" si="121">IF(LEN(A161)=6,"0"&amp;A161,A161)</f>
        <v>0800-09</v>
      </c>
      <c r="AE161" s="96" t="str">
        <f t="shared" ref="AE161:AE192" si="122">"aws s3 cp "&amp;s3_bucket&amp;"/RTDC"&amp;B161&amp;"/"&amp;TEXT(F161,"YYYY-MM-DD")&amp;"/ "&amp;search_path&amp;"\RTDC"&amp;B161&amp;"\"&amp;TEXT(F161,"YYYY-MM-DD")&amp;" --recursive &amp; """&amp;walkandungz&amp;""" "&amp;search_path&amp;"\RTDC"&amp;B161&amp;"\"&amp;TEXT(F161,"YYYY-MM-DD")
&amp;" &amp; "&amp;"aws s3 cp "&amp;s3_bucket&amp;"/RTDC"&amp;B161&amp;"/"&amp;TEXT(F161+1,"YYYY-MM-DD")&amp;"/ "&amp;search_path&amp;"\RTDC"&amp;B161&amp;"\"&amp;TEXT(F161+1,"YYYY-MM-DD")&amp;" --recursive &amp; """&amp;walkandungz&amp;""" "&amp;search_path&amp;"\RTDC"&amp;B161&amp;"\"&amp;TEXT(F161+1,"YYYY-MM-DD")</f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61" s="93" t="str">
        <f t="shared" ref="AF161:AF192" si="123">astrogrep_path&amp;" /spath="&amp;search_path&amp;" /stypes=""*"&amp;B161&amp;"*"&amp;TEXT(I161-utc_offset/24,"YYYYMMDD")&amp;"*"" /stext="" "&amp;TEXT(I161-utc_offset/24,"HH")&amp;search_regexp&amp;""" /e /r /s"</f>
        <v>"C:\Program Files (x86)\AstroGrep\AstroGrep.exe" /spath="%USERPROFILE%\AppData\Local\Temp\OnboardLogs" /stypes="*4037*20160909*" /stext=" 11:.+((SYSTEM_STATE.+slice.+state.+changed )|(ment ac)|(system.+state.+changed )|(\|lc)|(penalty)|(\[timeout)|(PRM\|1\|D)|(kpr)|(kdp))" /e /r /s</v>
      </c>
      <c r="AG161" s="1" t="str">
        <f t="shared" ref="AG161:AG192" si="124">IFERROR(IF(VALUE(LEFT(AD161,2))&lt;=2,"EC",IF(OR(VALUE(LEFT(AD161,2))=8,VALUE(LEFT(AD161,2))=18),"NW","Other")),"Other")</f>
        <v>NW</v>
      </c>
      <c r="AH161" s="97" t="str">
        <f t="shared" si="91"/>
        <v>"%USERPROFILE%\Documents\GitHub\eaglep3\Utilities\RefineRTDCRunTimes.py" --tripid 800-09 --locoid 4037 --swversion DE.1.0.7.0 --startMP 300:58672 --initTime 2016-09-09T05:04:54 --startdatetime 2016-09-09T05:07:29 --delay 1 --endMP 204:790 --enddatetime 2016-09-09T05:25:22 --enforcementcount 1 &gt;&gt;C:\Users\stu\Documents\GitHub\eaglep3-reporting\EC\2016-09-09-refined-times.txt</v>
      </c>
      <c r="AI161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{"issue":{"subject":"","project_id":79,"tracker_id":40,"status_id":1,"priority_id":2,"assigned_to_id":23,"start_date":"2016-09-09","description":"","custom_fields":[{"id":1,"name":"Subdivision","value":"NW"},{"id":4,"name":"Milepost","value":"5.7882"},{"id":17,"name":"Train ID","value":"800-09"},{"id":16,"name":"Locomotive ID","value":"4037"},{"id":130,"name":"Impact","value":""},{"id":150,"name":"Time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38" x14ac:dyDescent="0.25">
      <c r="A162" s="38" t="s">
        <v>616</v>
      </c>
      <c r="B162" s="7">
        <v>4038</v>
      </c>
      <c r="C162" s="23" t="s">
        <v>108</v>
      </c>
      <c r="D162" s="23" t="s">
        <v>617</v>
      </c>
      <c r="E162" s="15">
        <v>42622.226956018516</v>
      </c>
      <c r="F162" s="15">
        <v>42622.243935185186</v>
      </c>
      <c r="G162" s="7">
        <v>1</v>
      </c>
      <c r="H162" s="15" t="s">
        <v>363</v>
      </c>
      <c r="I162" s="15">
        <v>42622.253206018519</v>
      </c>
      <c r="J162" s="7">
        <v>1</v>
      </c>
      <c r="K162" s="114" t="str">
        <f t="shared" si="111"/>
        <v>4037/4038</v>
      </c>
      <c r="L162" s="23" t="str">
        <f>VLOOKUP(A162,'Trips&amp;Operators'!$C$1:$E$10000,3,FALSE)</f>
        <v>SANTIZO</v>
      </c>
      <c r="M162" s="6">
        <f t="shared" si="112"/>
        <v>9.2708333322661929E-3</v>
      </c>
      <c r="N162" s="7">
        <f t="shared" si="113"/>
        <v>13.349999998463318</v>
      </c>
      <c r="O162" s="7"/>
      <c r="P162" s="7"/>
      <c r="Q162" s="24"/>
      <c r="R162" s="24"/>
      <c r="S162" s="36">
        <f t="shared" si="114"/>
        <v>1</v>
      </c>
      <c r="T162" s="51" t="str">
        <f t="shared" si="115"/>
        <v>NorthBound</v>
      </c>
      <c r="U162" s="17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04:26:49-0600',mode:absolute,to:'2016-09-09 07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2" s="179" t="str">
        <f t="shared" si="117"/>
        <v>N</v>
      </c>
      <c r="X162" s="179">
        <f t="shared" si="110"/>
        <v>1</v>
      </c>
      <c r="Y162" s="66">
        <f t="shared" si="118"/>
        <v>0.10879999999999999</v>
      </c>
      <c r="Z162" s="66">
        <f t="shared" si="119"/>
        <v>5.8952</v>
      </c>
      <c r="AA162" s="66">
        <f t="shared" si="120"/>
        <v>5.7864000000000004</v>
      </c>
      <c r="AB162" s="63" t="e">
        <f>VLOOKUP(A162,Enforcements!$C$7:$K$21,8,0)</f>
        <v>#N/A</v>
      </c>
      <c r="AC162" s="59" t="e">
        <f>VLOOKUP(A162,Enforcements!$C$7:$E$21,3,0)</f>
        <v>#N/A</v>
      </c>
      <c r="AD162" s="60" t="str">
        <f t="shared" si="121"/>
        <v>0801-09</v>
      </c>
      <c r="AE162" s="96" t="str">
        <f t="shared" si="122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62" s="93" t="str">
        <f t="shared" si="123"/>
        <v>"C:\Program Files (x86)\AstroGrep\AstroGrep.exe" /spath="%USERPROFILE%\AppData\Local\Temp\OnboardLogs" /stypes="*4038*20160909*" /stext=" 12:.+((SYSTEM_STATE.+slice.+state.+changed )|(ment ac)|(system.+state.+changed )|(\|lc)|(penalty)|(\[timeout)|(PRM\|1\|D)|(kpr)|(kdp))" /e /r /s</v>
      </c>
      <c r="AG162" s="1" t="str">
        <f t="shared" si="124"/>
        <v>NW</v>
      </c>
      <c r="AH162" s="97" t="str">
        <f t="shared" si="91"/>
        <v>"%USERPROFILE%\Documents\GitHub\eaglep3\Utilities\RefineRTDCRunTimes.py" --tripid 801-09 --locoid 4038 --swversion DE.1.0.7.0 --startMP 204:1088 --initTime 2016-09-09T05:26:49 --startdatetime 2016-09-09T05:51:16 --delay 1 --endMP 300:58952 --enddatetime 2016-09-09T06:04:37 --enforcementcount 1 &gt;&gt;C:\Users\stu\Documents\GitHub\eaglep3-reporting\EC\2016-09-09-refined-times.txt</v>
      </c>
      <c r="AI162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{"issue":{"subject":"","project_id":79,"tracker_id":40,"status_id":1,"priority_id":2,"assigned_to_id":23,"start_date":"2016-09-09","description":"","custom_fields":[{"id":1,"name":"Subdivision","value":"NW"},{"id":4,"name":"Milepost","value":"5.7864"},{"id":17,"name":"Train ID","value":"801-09"},{"id":16,"name":"Locomotive ID","value":"4038"},{"id":130,"name":"Impact","value":""},{"id":150,"name":"Time of Event (Mountain Time)","value":"06:04:37"},{"id":151,"name":"Denver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38" x14ac:dyDescent="0.25">
      <c r="A163" s="38" t="s">
        <v>618</v>
      </c>
      <c r="B163" s="7">
        <v>4037</v>
      </c>
      <c r="C163" s="23" t="s">
        <v>108</v>
      </c>
      <c r="D163" s="23" t="s">
        <v>619</v>
      </c>
      <c r="E163" s="15">
        <v>42622.25408564815</v>
      </c>
      <c r="F163" s="15">
        <v>42622.255729166667</v>
      </c>
      <c r="G163" s="7">
        <v>1</v>
      </c>
      <c r="H163" s="15" t="s">
        <v>620</v>
      </c>
      <c r="I163" s="15">
        <v>42622.268171296295</v>
      </c>
      <c r="J163" s="7">
        <v>1</v>
      </c>
      <c r="K163" s="114" t="str">
        <f t="shared" si="111"/>
        <v>4037/4038</v>
      </c>
      <c r="L163" s="23" t="str">
        <f>VLOOKUP(A163,'Trips&amp;Operators'!$C$1:$E$10000,3,FALSE)</f>
        <v>SANTIZO</v>
      </c>
      <c r="M163" s="6">
        <f t="shared" si="112"/>
        <v>1.244212962774327E-2</v>
      </c>
      <c r="N163" s="7">
        <f t="shared" si="113"/>
        <v>17.916666663950309</v>
      </c>
      <c r="O163" s="7"/>
      <c r="P163" s="7"/>
      <c r="Q163" s="24"/>
      <c r="R163" s="24"/>
      <c r="S163" s="36">
        <f t="shared" si="114"/>
        <v>1</v>
      </c>
      <c r="T163" s="51" t="str">
        <f t="shared" si="115"/>
        <v>Southbound</v>
      </c>
      <c r="U163" s="17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05:05:53-0600',mode:absolute,to:'2016-09-09 07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3" s="179" t="str">
        <f t="shared" si="117"/>
        <v>N</v>
      </c>
      <c r="X163" s="179">
        <f t="shared" si="110"/>
        <v>1</v>
      </c>
      <c r="Y163" s="66">
        <f t="shared" si="118"/>
        <v>5.8638000000000003</v>
      </c>
      <c r="Z163" s="66">
        <f t="shared" si="119"/>
        <v>7.3099999999999998E-2</v>
      </c>
      <c r="AA163" s="66">
        <f t="shared" si="120"/>
        <v>5.7907000000000002</v>
      </c>
      <c r="AB163" s="63" t="e">
        <f>VLOOKUP(A163,Enforcements!$C$7:$K$21,8,0)</f>
        <v>#N/A</v>
      </c>
      <c r="AC163" s="59" t="e">
        <f>VLOOKUP(A163,Enforcements!$C$7:$E$21,3,0)</f>
        <v>#N/A</v>
      </c>
      <c r="AD163" s="60" t="str">
        <f t="shared" si="121"/>
        <v>0802-09</v>
      </c>
      <c r="AE163" s="96" t="str">
        <f t="shared" si="122"/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63" s="93" t="str">
        <f t="shared" si="123"/>
        <v>"C:\Program Files (x86)\AstroGrep\AstroGrep.exe" /spath="%USERPROFILE%\AppData\Local\Temp\OnboardLogs" /stypes="*4037*20160909*" /stext=" 12:.+((SYSTEM_STATE.+slice.+state.+changed )|(ment ac)|(system.+state.+changed )|(\|lc)|(penalty)|(\[timeout)|(PRM\|1\|D)|(kpr)|(kdp))" /e /r /s</v>
      </c>
      <c r="AG163" s="1" t="str">
        <f t="shared" si="124"/>
        <v>NW</v>
      </c>
      <c r="AH163" s="97" t="str">
        <f t="shared" si="91"/>
        <v>"%USERPROFILE%\Documents\GitHub\eaglep3\Utilities\RefineRTDCRunTimes.py" --tripid 802-09 --locoid 4037 --swversion DE.1.0.7.0 --startMP 300:58638 --initTime 2016-09-09T06:05:53 --startdatetime 2016-09-09T06:08:15 --delay 1 --endMP 204:731 --enddatetime 2016-09-09T06:26:10 --enforcementcount 1 &gt;&gt;C:\Users\stu\Documents\GitHub\eaglep3-reporting\EC\2016-09-09-refined-times.txt</v>
      </c>
      <c r="AI163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{"issue":{"subject":"","project_id":79,"tracker_id":40,"status_id":1,"priority_id":2,"assigned_to_id":23,"start_date":"2016-09-09","description":"","custom_fields":[{"id":1,"name":"Subdivision","value":"NW"},{"id":4,"name":"Milepost","value":"5.7907"},{"id":17,"name":"Train ID","value":"802-09"},{"id":16,"name":"Locomotive ID","value":"4037"},{"id":130,"name":"Impact","value":""},{"id":150,"name":"Time of Event (Mountain Time)","value":"06:26:10"},{"id":151,"name":"Denver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38" s="22" customFormat="1" x14ac:dyDescent="0.25">
      <c r="A164" s="38" t="s">
        <v>621</v>
      </c>
      <c r="B164" s="7">
        <v>4042</v>
      </c>
      <c r="C164" s="23" t="s">
        <v>108</v>
      </c>
      <c r="D164" s="23" t="s">
        <v>622</v>
      </c>
      <c r="E164" s="15">
        <v>42622.259745370371</v>
      </c>
      <c r="F164" s="15">
        <v>42622.264965277776</v>
      </c>
      <c r="G164" s="7">
        <v>1</v>
      </c>
      <c r="H164" s="15" t="s">
        <v>361</v>
      </c>
      <c r="I164" s="15">
        <v>42622.274062500001</v>
      </c>
      <c r="J164" s="7">
        <v>1</v>
      </c>
      <c r="K164" s="114" t="str">
        <f t="shared" si="111"/>
        <v>4041/4042</v>
      </c>
      <c r="L164" s="23" t="str">
        <f>VLOOKUP(A164,'Trips&amp;Operators'!$C$1:$E$10000,3,FALSE)</f>
        <v>HILLS</v>
      </c>
      <c r="M164" s="6">
        <f t="shared" si="112"/>
        <v>9.0972222242271528E-3</v>
      </c>
      <c r="N164" s="7">
        <f t="shared" si="113"/>
        <v>13.1000000028871</v>
      </c>
      <c r="O164" s="7"/>
      <c r="P164" s="7"/>
      <c r="Q164" s="24"/>
      <c r="R164" s="24"/>
      <c r="S164" s="36">
        <f t="shared" si="114"/>
        <v>1</v>
      </c>
      <c r="T164" s="51" t="str">
        <f t="shared" si="115"/>
        <v>NorthBound</v>
      </c>
      <c r="U164" s="17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05:14:02-0600',mode:absolute,to:'2016-09-09 07:34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64" s="179" t="str">
        <f t="shared" si="117"/>
        <v>N</v>
      </c>
      <c r="X164" s="179">
        <f t="shared" si="110"/>
        <v>1</v>
      </c>
      <c r="Y164" s="66">
        <f t="shared" si="118"/>
        <v>0.11210000000000001</v>
      </c>
      <c r="Z164" s="66">
        <f t="shared" si="119"/>
        <v>5.8936999999999999</v>
      </c>
      <c r="AA164" s="66">
        <f t="shared" si="120"/>
        <v>5.7816000000000001</v>
      </c>
      <c r="AB164" s="63" t="e">
        <f>VLOOKUP(A164,Enforcements!$C$7:$K$21,8,0)</f>
        <v>#N/A</v>
      </c>
      <c r="AC164" s="59" t="e">
        <f>VLOOKUP(A164,Enforcements!$C$7:$E$21,3,0)</f>
        <v>#N/A</v>
      </c>
      <c r="AD164" s="60" t="str">
        <f t="shared" si="121"/>
        <v>0803-09</v>
      </c>
      <c r="AE164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64" s="93" t="str">
        <f t="shared" si="123"/>
        <v>"C:\Program Files (x86)\AstroGrep\AstroGrep.exe" /spath="%USERPROFILE%\AppData\Local\Temp\OnboardLogs" /stypes="*4042*20160909*" /stext=" 12:.+((SYSTEM_STATE.+slice.+state.+changed )|(ment ac)|(system.+state.+changed )|(\|lc)|(penalty)|(\[timeout)|(PRM\|1\|D)|(kpr)|(kdp))" /e /r /s</v>
      </c>
      <c r="AG164" s="1" t="str">
        <f t="shared" si="124"/>
        <v>NW</v>
      </c>
      <c r="AH164" s="97" t="str">
        <f t="shared" si="91"/>
        <v>"%USERPROFILE%\Documents\GitHub\eaglep3\Utilities\RefineRTDCRunTimes.py" --tripid 803-09 --locoid 4042 --swversion DE.1.0.7.0 --startMP 204:1121 --initTime 2016-09-09T06:14:02 --startdatetime 2016-09-09T06:21:33 --delay 1 --endMP 300:58937 --enddatetime 2016-09-09T06:34:39 --enforcementcount 1 &gt;&gt;C:\Users\stu\Documents\GitHub\eaglep3-reporting\EC\2016-09-09-refined-times.txt</v>
      </c>
      <c r="AI164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{"issue":{"subject":"","project_id":79,"tracker_id":40,"status_id":1,"priority_id":2,"assigned_to_id":23,"start_date":"2016-09-09","description":"","custom_fields":[{"id":1,"name":"Subdivision","value":"NW"},{"id":4,"name":"Milepost","value":"5.7816"},{"id":17,"name":"Train ID","value":"803-09"},{"id":16,"name":"Locomotive ID","value":"4042"},{"id":130,"name":"Impact","value":""},{"id":150,"name":"Time of Event (Mountain Time)","value":"06:34:39"},{"id":151,"name":"Denver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38" s="22" customFormat="1" x14ac:dyDescent="0.25">
      <c r="A165" s="38" t="s">
        <v>623</v>
      </c>
      <c r="B165" s="7">
        <v>4041</v>
      </c>
      <c r="C165" s="23" t="s">
        <v>108</v>
      </c>
      <c r="D165" s="23" t="s">
        <v>290</v>
      </c>
      <c r="E165" s="15">
        <v>42622.275960648149</v>
      </c>
      <c r="F165" s="15">
        <v>42622.278287037036</v>
      </c>
      <c r="G165" s="7">
        <v>1</v>
      </c>
      <c r="H165" s="15" t="s">
        <v>624</v>
      </c>
      <c r="I165" s="15">
        <v>42622.288171296299</v>
      </c>
      <c r="J165" s="7">
        <v>1</v>
      </c>
      <c r="K165" s="114" t="str">
        <f t="shared" si="111"/>
        <v>4041/4042</v>
      </c>
      <c r="L165" s="23" t="str">
        <f>VLOOKUP(A165,'Trips&amp;Operators'!$C$1:$E$10000,3,FALSE)</f>
        <v>HILLS</v>
      </c>
      <c r="M165" s="6">
        <f t="shared" si="112"/>
        <v>9.8842592633445747E-3</v>
      </c>
      <c r="N165" s="7">
        <f t="shared" si="113"/>
        <v>14.233333339216188</v>
      </c>
      <c r="O165" s="7"/>
      <c r="P165" s="7"/>
      <c r="Q165" s="24"/>
      <c r="R165" s="24"/>
      <c r="S165" s="36">
        <f t="shared" si="114"/>
        <v>1</v>
      </c>
      <c r="T165" s="51" t="str">
        <f t="shared" si="115"/>
        <v>Southbound</v>
      </c>
      <c r="U165" s="17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05:37:23-0600',mode:absolute,to:'2016-09-09 07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65" s="179" t="str">
        <f t="shared" si="117"/>
        <v>N</v>
      </c>
      <c r="X165" s="179">
        <f t="shared" ref="X165:X196" si="125">VALUE(LEFT(AD165,4))-VALUE(LEFT(AD164,4))</f>
        <v>1</v>
      </c>
      <c r="Y165" s="66">
        <f t="shared" si="118"/>
        <v>5.8623000000000003</v>
      </c>
      <c r="Z165" s="66">
        <f t="shared" si="119"/>
        <v>8.5900000000000004E-2</v>
      </c>
      <c r="AA165" s="66">
        <f t="shared" si="120"/>
        <v>5.7764000000000006</v>
      </c>
      <c r="AB165" s="63" t="e">
        <f>VLOOKUP(A165,Enforcements!$C$7:$K$21,8,0)</f>
        <v>#N/A</v>
      </c>
      <c r="AC165" s="59" t="e">
        <f>VLOOKUP(A165,Enforcements!$C$7:$E$21,3,0)</f>
        <v>#N/A</v>
      </c>
      <c r="AD165" s="60" t="str">
        <f t="shared" si="121"/>
        <v>0804-09</v>
      </c>
      <c r="AE165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65" s="93" t="str">
        <f t="shared" si="123"/>
        <v>"C:\Program Files (x86)\AstroGrep\AstroGrep.exe" /spath="%USERPROFILE%\AppData\Local\Temp\OnboardLogs" /stypes="*4041*20160909*" /stext=" 12:.+((SYSTEM_STATE.+slice.+state.+changed )|(ment ac)|(system.+state.+changed )|(\|lc)|(penalty)|(\[timeout)|(PRM\|1\|D)|(kpr)|(kdp))" /e /r /s</v>
      </c>
      <c r="AG165" s="1" t="str">
        <f t="shared" si="124"/>
        <v>NW</v>
      </c>
      <c r="AH165" s="97" t="str">
        <f t="shared" si="91"/>
        <v>"%USERPROFILE%\Documents\GitHub\eaglep3\Utilities\RefineRTDCRunTimes.py" --tripid 804-09 --locoid 4041 --swversion DE.1.0.7.0 --startMP 300:58623 --initTime 2016-09-09T06:37:23 --startdatetime 2016-09-09T06:40:44 --delay 1 --endMP 204:859 --enddatetime 2016-09-09T06:54:58 --enforcementcount 1 &gt;&gt;C:\Users\stu\Documents\GitHub\eaglep3-reporting\EC\2016-09-09-refined-times.txt</v>
      </c>
      <c r="AI165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{"issue":{"subject":"","project_id":79,"tracker_id":40,"status_id":1,"priority_id":2,"assigned_to_id":23,"start_date":"2016-09-09","description":"","custom_fields":[{"id":1,"name":"Subdivision","value":"NW"},{"id":4,"name":"Milepost","value":"5.7764"},{"id":17,"name":"Train ID","value":"804-09"},{"id":16,"name":"Locomotive ID","value":"4041"},{"id":130,"name":"Impact","value":""},{"id":150,"name":"Time of Event (Mountain Time)","value":"06:54:58"},{"id":151,"name":"Denver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38" s="22" customFormat="1" x14ac:dyDescent="0.25">
      <c r="A166" s="38" t="s">
        <v>625</v>
      </c>
      <c r="B166" s="7">
        <v>4038</v>
      </c>
      <c r="C166" s="23" t="s">
        <v>108</v>
      </c>
      <c r="D166" s="23" t="s">
        <v>626</v>
      </c>
      <c r="E166" s="15">
        <v>42622.269375000003</v>
      </c>
      <c r="F166" s="15">
        <v>42622.285567129627</v>
      </c>
      <c r="G166" s="7">
        <v>1</v>
      </c>
      <c r="H166" s="15" t="s">
        <v>361</v>
      </c>
      <c r="I166" s="15">
        <v>42622.29446759259</v>
      </c>
      <c r="J166" s="7">
        <v>1</v>
      </c>
      <c r="K166" s="114" t="str">
        <f t="shared" si="111"/>
        <v>4037/4038</v>
      </c>
      <c r="L166" s="23" t="str">
        <f>VLOOKUP(A166,'Trips&amp;Operators'!$C$1:$E$10000,3,FALSE)</f>
        <v>SANTIZO</v>
      </c>
      <c r="M166" s="6">
        <f t="shared" si="112"/>
        <v>8.9004629626288079E-3</v>
      </c>
      <c r="N166" s="7">
        <f t="shared" si="113"/>
        <v>12.816666666185483</v>
      </c>
      <c r="O166" s="7"/>
      <c r="P166" s="7"/>
      <c r="Q166" s="24"/>
      <c r="R166" s="24"/>
      <c r="S166" s="36">
        <f t="shared" si="114"/>
        <v>1</v>
      </c>
      <c r="T166" s="51" t="str">
        <f t="shared" si="115"/>
        <v>NorthBound</v>
      </c>
      <c r="U166" s="17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05:27:54-0600',mode:absolute,to:'2016-09-09 08:04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66" s="179" t="str">
        <f t="shared" si="117"/>
        <v>N</v>
      </c>
      <c r="X166" s="179">
        <f t="shared" si="125"/>
        <v>1</v>
      </c>
      <c r="Y166" s="66">
        <f t="shared" si="118"/>
        <v>0.10199999999999999</v>
      </c>
      <c r="Z166" s="66">
        <f t="shared" si="119"/>
        <v>5.8936999999999999</v>
      </c>
      <c r="AA166" s="66">
        <f t="shared" si="120"/>
        <v>5.7916999999999996</v>
      </c>
      <c r="AB166" s="63" t="e">
        <f>VLOOKUP(A166,Enforcements!$C$7:$K$21,8,0)</f>
        <v>#N/A</v>
      </c>
      <c r="AC166" s="59" t="e">
        <f>VLOOKUP(A166,Enforcements!$C$7:$E$21,3,0)</f>
        <v>#N/A</v>
      </c>
      <c r="AD166" s="60" t="str">
        <f t="shared" si="121"/>
        <v>0805-09</v>
      </c>
      <c r="AE166" s="96" t="str">
        <f t="shared" si="122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66" s="93" t="str">
        <f t="shared" si="123"/>
        <v>"C:\Program Files (x86)\AstroGrep\AstroGrep.exe" /spath="%USERPROFILE%\AppData\Local\Temp\OnboardLogs" /stypes="*4038*20160909*" /stext=" 13:.+((SYSTEM_STATE.+slice.+state.+changed )|(ment ac)|(system.+state.+changed )|(\|lc)|(penalty)|(\[timeout)|(PRM\|1\|D)|(kpr)|(kdp))" /e /r /s</v>
      </c>
      <c r="AG166" s="1" t="str">
        <f t="shared" si="124"/>
        <v>NW</v>
      </c>
      <c r="AH166" s="97" t="str">
        <f t="shared" si="91"/>
        <v>"%USERPROFILE%\Documents\GitHub\eaglep3\Utilities\RefineRTDCRunTimes.py" --tripid 805-09 --locoid 4038 --swversion DE.1.0.7.0 --startMP 204:1020 --initTime 2016-09-09T06:27:54 --startdatetime 2016-09-09T06:51:13 --delay 1 --endMP 300:58937 --enddatetime 2016-09-09T07:04:02 --enforcementcount 1 &gt;&gt;C:\Users\stu\Documents\GitHub\eaglep3-reporting\EC\2016-09-09-refined-times.txt</v>
      </c>
      <c r="AI166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{"issue":{"subject":"","project_id":79,"tracker_id":40,"status_id":1,"priority_id":2,"assigned_to_id":23,"start_date":"2016-09-09","description":"","custom_fields":[{"id":1,"name":"Subdivision","value":"NW"},{"id":4,"name":"Milepost","value":"5.7917"},{"id":17,"name":"Train ID","value":"805-09"},{"id":16,"name":"Locomotive ID","value":"4038"},{"id":130,"name":"Impact","value":""},{"id":150,"name":"Time of Event (Mountain Time)","value":"07:04:02"},{"id":151,"name":"Denver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</row>
    <row r="167" spans="1:38" x14ac:dyDescent="0.25">
      <c r="A167" s="38" t="s">
        <v>627</v>
      </c>
      <c r="B167" s="7">
        <v>4037</v>
      </c>
      <c r="C167" s="23" t="s">
        <v>108</v>
      </c>
      <c r="D167" s="23" t="s">
        <v>628</v>
      </c>
      <c r="E167" s="15">
        <v>42622.296782407408</v>
      </c>
      <c r="F167" s="15">
        <v>42622.298055555555</v>
      </c>
      <c r="G167" s="7">
        <v>1</v>
      </c>
      <c r="H167" s="15" t="s">
        <v>629</v>
      </c>
      <c r="I167" s="15">
        <v>42622.309270833335</v>
      </c>
      <c r="J167" s="7">
        <v>1</v>
      </c>
      <c r="K167" s="114" t="str">
        <f t="shared" si="111"/>
        <v>4037/4038</v>
      </c>
      <c r="L167" s="23" t="str">
        <f>VLOOKUP(A167,'Trips&amp;Operators'!$C$1:$E$10000,3,FALSE)</f>
        <v>SANTIZO</v>
      </c>
      <c r="M167" s="6">
        <f t="shared" si="112"/>
        <v>1.1215277780138422E-2</v>
      </c>
      <c r="N167" s="7">
        <f t="shared" si="113"/>
        <v>16.150000003399327</v>
      </c>
      <c r="O167" s="7"/>
      <c r="P167" s="7"/>
      <c r="Q167" s="24"/>
      <c r="R167" s="24"/>
      <c r="S167" s="36">
        <f t="shared" si="114"/>
        <v>1</v>
      </c>
      <c r="T167" s="51" t="str">
        <f t="shared" si="115"/>
        <v>Southbound</v>
      </c>
      <c r="U167" s="17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06:07:22-0600',mode:absolute,to:'2016-09-09 08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67" s="179" t="str">
        <f t="shared" si="117"/>
        <v>N</v>
      </c>
      <c r="X167" s="179">
        <f t="shared" si="125"/>
        <v>1</v>
      </c>
      <c r="Y167" s="66">
        <f t="shared" si="118"/>
        <v>5.8619000000000003</v>
      </c>
      <c r="Z167" s="66">
        <f t="shared" si="119"/>
        <v>7.2599999999999998E-2</v>
      </c>
      <c r="AA167" s="66">
        <f t="shared" si="120"/>
        <v>5.7893000000000008</v>
      </c>
      <c r="AB167" s="63" t="e">
        <f>VLOOKUP(A167,Enforcements!$C$7:$K$21,8,0)</f>
        <v>#N/A</v>
      </c>
      <c r="AC167" s="59" t="e">
        <f>VLOOKUP(A167,Enforcements!$C$7:$E$21,3,0)</f>
        <v>#N/A</v>
      </c>
      <c r="AD167" s="60" t="str">
        <f t="shared" si="121"/>
        <v>0806-09</v>
      </c>
      <c r="AE167" s="96" t="str">
        <f t="shared" si="122"/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67" s="93" t="str">
        <f t="shared" si="123"/>
        <v>"C:\Program Files (x86)\AstroGrep\AstroGrep.exe" /spath="%USERPROFILE%\AppData\Local\Temp\OnboardLogs" /stypes="*4037*20160909*" /stext=" 13:.+((SYSTEM_STATE.+slice.+state.+changed )|(ment ac)|(system.+state.+changed )|(\|lc)|(penalty)|(\[timeout)|(PRM\|1\|D)|(kpr)|(kdp))" /e /r /s</v>
      </c>
      <c r="AG167" s="1" t="str">
        <f t="shared" si="124"/>
        <v>NW</v>
      </c>
      <c r="AH167" s="97" t="str">
        <f t="shared" si="91"/>
        <v>"%USERPROFILE%\Documents\GitHub\eaglep3\Utilities\RefineRTDCRunTimes.py" --tripid 806-09 --locoid 4037 --swversion DE.1.0.7.0 --startMP 300:58619 --initTime 2016-09-09T07:07:22 --startdatetime 2016-09-09T07:09:12 --delay 1 --endMP 204:726 --enddatetime 2016-09-09T07:25:21 --enforcementcount 1 &gt;&gt;C:\Users\stu\Documents\GitHub\eaglep3-reporting\EC\2016-09-09-refined-times.txt</v>
      </c>
      <c r="AI167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{"issue":{"subject":"","project_id":79,"tracker_id":40,"status_id":1,"priority_id":2,"assigned_to_id":23,"start_date":"2016-09-09","description":"","custom_fields":[{"id":1,"name":"Subdivision","value":"NW"},{"id":4,"name":"Milepost","value":"5.7893"},{"id":17,"name":"Train ID","value":"806-09"},{"id":16,"name":"Locomotive ID","value":"4037"},{"id":130,"name":"Impact","value":""},{"id":150,"name":"Time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38" x14ac:dyDescent="0.25">
      <c r="A168" s="38" t="s">
        <v>630</v>
      </c>
      <c r="B168" s="7">
        <v>4042</v>
      </c>
      <c r="C168" s="23" t="s">
        <v>108</v>
      </c>
      <c r="D168" s="23" t="s">
        <v>631</v>
      </c>
      <c r="E168" s="15">
        <v>42622.289965277778</v>
      </c>
      <c r="F168" s="15">
        <v>42622.306747685187</v>
      </c>
      <c r="G168" s="7">
        <v>2</v>
      </c>
      <c r="H168" s="15" t="s">
        <v>632</v>
      </c>
      <c r="I168" s="15">
        <v>42622.316006944442</v>
      </c>
      <c r="J168" s="7">
        <v>1</v>
      </c>
      <c r="K168" s="114" t="str">
        <f t="shared" si="111"/>
        <v>4041/4042</v>
      </c>
      <c r="L168" s="23" t="str">
        <f>VLOOKUP(A168,'Trips&amp;Operators'!$C$1:$E$10000,3,FALSE)</f>
        <v>HILLS</v>
      </c>
      <c r="M168" s="6">
        <f t="shared" si="112"/>
        <v>9.2592592554865405E-3</v>
      </c>
      <c r="N168" s="7">
        <f t="shared" si="113"/>
        <v>13.333333327900618</v>
      </c>
      <c r="O168" s="7"/>
      <c r="P168" s="7"/>
      <c r="Q168" s="24"/>
      <c r="R168" s="24"/>
      <c r="S168" s="36">
        <f t="shared" si="114"/>
        <v>1</v>
      </c>
      <c r="T168" s="51" t="str">
        <f t="shared" si="115"/>
        <v>NorthBound</v>
      </c>
      <c r="U168" s="17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05:57:33-0600',mode:absolute,to:'2016-09-09 08:35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68" s="179" t="str">
        <f t="shared" si="117"/>
        <v>N</v>
      </c>
      <c r="X168" s="179">
        <f t="shared" si="125"/>
        <v>1</v>
      </c>
      <c r="Y168" s="66">
        <f t="shared" si="118"/>
        <v>0.1137</v>
      </c>
      <c r="Z168" s="66">
        <f t="shared" si="119"/>
        <v>5.8939000000000004</v>
      </c>
      <c r="AA168" s="66">
        <f t="shared" si="120"/>
        <v>5.7802000000000007</v>
      </c>
      <c r="AB168" s="63" t="e">
        <f>VLOOKUP(A168,Enforcements!$C$7:$K$21,8,0)</f>
        <v>#N/A</v>
      </c>
      <c r="AC168" s="59" t="e">
        <f>VLOOKUP(A168,Enforcements!$C$7:$E$21,3,0)</f>
        <v>#N/A</v>
      </c>
      <c r="AD168" s="60" t="str">
        <f t="shared" si="121"/>
        <v>0807-09</v>
      </c>
      <c r="AE168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68" s="93" t="str">
        <f t="shared" si="123"/>
        <v>"C:\Program Files (x86)\AstroGrep\AstroGrep.exe" /spath="%USERPROFILE%\AppData\Local\Temp\OnboardLogs" /stypes="*4042*20160909*" /stext=" 13:.+((SYSTEM_STATE.+slice.+state.+changed )|(ment ac)|(system.+state.+changed )|(\|lc)|(penalty)|(\[timeout)|(PRM\|1\|D)|(kpr)|(kdp))" /e /r /s</v>
      </c>
      <c r="AG168" s="1" t="str">
        <f t="shared" si="124"/>
        <v>NW</v>
      </c>
      <c r="AH168" s="97" t="str">
        <f t="shared" si="91"/>
        <v>"%USERPROFILE%\Documents\GitHub\eaglep3\Utilities\RefineRTDCRunTimes.py" --tripid 807-09 --locoid 4042 --swversion DE.1.0.7.0 --startMP 204:1137 --initTime 2016-09-09T06:57:33 --startdatetime 2016-09-09T07:21:43 --delay 2 --endMP 300:58939 --enddatetime 2016-09-09T07:35:03 --enforcementcount 1 &gt;&gt;C:\Users\stu\Documents\GitHub\eaglep3-reporting\EC\2016-09-09-refined-times.txt</v>
      </c>
      <c r="AI168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{"issue":{"subject":"","project_id":79,"tracker_id":40,"status_id":1,"priority_id":2,"assigned_to_id":23,"start_date":"2016-09-09","description":"","custom_fields":[{"id":1,"name":"Subdivision","value":"NW"},{"id":4,"name":"Milepost","value":"5.7802"},{"id":17,"name":"Train ID","value":"807-09"},{"id":16,"name":"Locomotive ID","value":"4042"},{"id":130,"name":"Impact","value":""},{"id":150,"name":"Time of Event (Mountain Time)","value":"07:35:03"},{"id":151,"name":"Denver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38" x14ac:dyDescent="0.25">
      <c r="A169" s="38" t="s">
        <v>633</v>
      </c>
      <c r="B169" s="7">
        <v>4041</v>
      </c>
      <c r="C169" s="23" t="s">
        <v>108</v>
      </c>
      <c r="D169" s="23" t="s">
        <v>634</v>
      </c>
      <c r="E169" s="15">
        <v>42622.317129629628</v>
      </c>
      <c r="F169" s="15">
        <v>42622.320601851854</v>
      </c>
      <c r="G169" s="7">
        <v>1</v>
      </c>
      <c r="H169" s="15" t="s">
        <v>296</v>
      </c>
      <c r="I169" s="15">
        <v>42622.330185185187</v>
      </c>
      <c r="J169" s="7">
        <v>1</v>
      </c>
      <c r="K169" s="114" t="str">
        <f t="shared" si="111"/>
        <v>4041/4042</v>
      </c>
      <c r="L169" s="23" t="str">
        <f>VLOOKUP(A169,'Trips&amp;Operators'!$C$1:$E$10000,3,FALSE)</f>
        <v>HILLS</v>
      </c>
      <c r="M169" s="6">
        <f t="shared" si="112"/>
        <v>9.5833333325572312E-3</v>
      </c>
      <c r="N169" s="7">
        <f t="shared" si="113"/>
        <v>13.799999998882413</v>
      </c>
      <c r="O169" s="7"/>
      <c r="P169" s="7"/>
      <c r="Q169" s="24"/>
      <c r="R169" s="24"/>
      <c r="S169" s="36">
        <f t="shared" si="114"/>
        <v>1</v>
      </c>
      <c r="T169" s="51" t="str">
        <f t="shared" si="115"/>
        <v>Southbound</v>
      </c>
      <c r="U169" s="17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06:36:40-0600',mode:absolute,to:'2016-09-09 08:55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69" s="179" t="str">
        <f t="shared" si="117"/>
        <v>N</v>
      </c>
      <c r="X169" s="179">
        <f t="shared" si="125"/>
        <v>1</v>
      </c>
      <c r="Y169" s="66">
        <f t="shared" si="118"/>
        <v>5.8620999999999999</v>
      </c>
      <c r="Z169" s="66">
        <f t="shared" si="119"/>
        <v>7.7299999999999994E-2</v>
      </c>
      <c r="AA169" s="66">
        <f t="shared" si="120"/>
        <v>5.7847999999999997</v>
      </c>
      <c r="AB169" s="63" t="e">
        <f>VLOOKUP(A169,Enforcements!$C$7:$K$21,8,0)</f>
        <v>#N/A</v>
      </c>
      <c r="AC169" s="59" t="e">
        <f>VLOOKUP(A169,Enforcements!$C$7:$E$21,3,0)</f>
        <v>#N/A</v>
      </c>
      <c r="AD169" s="60" t="str">
        <f t="shared" si="121"/>
        <v>0808-09</v>
      </c>
      <c r="AE169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69" s="93" t="str">
        <f t="shared" si="123"/>
        <v>"C:\Program Files (x86)\AstroGrep\AstroGrep.exe" /spath="%USERPROFILE%\AppData\Local\Temp\OnboardLogs" /stypes="*4041*20160909*" /stext=" 13:.+((SYSTEM_STATE.+slice.+state.+changed )|(ment ac)|(system.+state.+changed )|(\|lc)|(penalty)|(\[timeout)|(PRM\|1\|D)|(kpr)|(kdp))" /e /r /s</v>
      </c>
      <c r="AG169" s="1" t="str">
        <f t="shared" si="124"/>
        <v>NW</v>
      </c>
      <c r="AH169" s="97" t="str">
        <f t="shared" si="91"/>
        <v>"%USERPROFILE%\Documents\GitHub\eaglep3\Utilities\RefineRTDCRunTimes.py" --tripid 808-09 --locoid 4041 --swversion DE.1.0.7.0 --startMP 300:58621 --initTime 2016-09-09T07:36:40 --startdatetime 2016-09-09T07:41:40 --delay 1 --endMP 204:773 --enddatetime 2016-09-09T07:55:28 --enforcementcount 1 &gt;&gt;C:\Users\stu\Documents\GitHub\eaglep3-reporting\EC\2016-09-09-refined-times.txt</v>
      </c>
      <c r="AI169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{"issue":{"subject":"","project_id":79,"tracker_id":40,"status_id":1,"priority_id":2,"assigned_to_id":23,"start_date":"2016-09-09","description":"","custom_fields":[{"id":1,"name":"Subdivision","value":"NW"},{"id":4,"name":"Milepost","value":"5.7848"},{"id":17,"name":"Train ID","value":"808-09"},{"id":16,"name":"Locomotive ID","value":"4041"},{"id":130,"name":"Impact","value":""},{"id":150,"name":"Time of Event (Mountain Time)","value":"07:55:28"},{"id":151,"name":"Denver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38" x14ac:dyDescent="0.25">
      <c r="A170" s="38" t="s">
        <v>635</v>
      </c>
      <c r="B170" s="7">
        <v>4038</v>
      </c>
      <c r="C170" s="23" t="s">
        <v>108</v>
      </c>
      <c r="D170" s="23" t="s">
        <v>362</v>
      </c>
      <c r="E170" s="15">
        <v>42622.310590277775</v>
      </c>
      <c r="F170" s="15">
        <v>42622.327280092592</v>
      </c>
      <c r="G170" s="7">
        <v>1</v>
      </c>
      <c r="H170" s="15" t="s">
        <v>636</v>
      </c>
      <c r="I170" s="15">
        <v>42622.336377314816</v>
      </c>
      <c r="J170" s="7">
        <v>1</v>
      </c>
      <c r="K170" s="114" t="str">
        <f t="shared" si="111"/>
        <v>4037/4038</v>
      </c>
      <c r="L170" s="23" t="str">
        <f>VLOOKUP(A170,'Trips&amp;Operators'!$C$1:$E$10000,3,FALSE)</f>
        <v>SANTIZO</v>
      </c>
      <c r="M170" s="6">
        <f t="shared" si="112"/>
        <v>9.0972222242271528E-3</v>
      </c>
      <c r="N170" s="7">
        <f t="shared" si="113"/>
        <v>13.1000000028871</v>
      </c>
      <c r="O170" s="7"/>
      <c r="P170" s="7"/>
      <c r="Q170" s="24"/>
      <c r="R170" s="24"/>
      <c r="S170" s="36">
        <f t="shared" si="114"/>
        <v>1</v>
      </c>
      <c r="T170" s="51" t="str">
        <f t="shared" si="115"/>
        <v>NorthBound</v>
      </c>
      <c r="U170" s="17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06:27:15-0600',mode:absolute,to:'2016-09-09 09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70" s="179" t="str">
        <f t="shared" si="117"/>
        <v>N</v>
      </c>
      <c r="X170" s="179">
        <f t="shared" si="125"/>
        <v>1</v>
      </c>
      <c r="Y170" s="66">
        <f t="shared" si="118"/>
        <v>0.1004</v>
      </c>
      <c r="Z170" s="66">
        <f t="shared" si="119"/>
        <v>5.8920000000000003</v>
      </c>
      <c r="AA170" s="66">
        <f t="shared" si="120"/>
        <v>5.7916000000000007</v>
      </c>
      <c r="AB170" s="63" t="e">
        <f>VLOOKUP(A170,Enforcements!$C$7:$K$21,8,0)</f>
        <v>#N/A</v>
      </c>
      <c r="AC170" s="59" t="e">
        <f>VLOOKUP(A170,Enforcements!$C$7:$E$21,3,0)</f>
        <v>#N/A</v>
      </c>
      <c r="AD170" s="60" t="str">
        <f t="shared" si="121"/>
        <v>0809-09</v>
      </c>
      <c r="AE170" s="96" t="str">
        <f t="shared" si="122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70" s="93" t="str">
        <f t="shared" si="123"/>
        <v>"C:\Program Files (x86)\AstroGrep\AstroGrep.exe" /spath="%USERPROFILE%\AppData\Local\Temp\OnboardLogs" /stypes="*4038*20160909*" /stext=" 14:.+((SYSTEM_STATE.+slice.+state.+changed )|(ment ac)|(system.+state.+changed )|(\|lc)|(penalty)|(\[timeout)|(PRM\|1\|D)|(kpr)|(kdp))" /e /r /s</v>
      </c>
      <c r="AG170" s="1" t="str">
        <f t="shared" si="124"/>
        <v>NW</v>
      </c>
      <c r="AH170" s="97" t="str">
        <f t="shared" si="91"/>
        <v>"%USERPROFILE%\Documents\GitHub\eaglep3\Utilities\RefineRTDCRunTimes.py" --tripid 809-09 --locoid 4038 --swversion DE.1.0.7.0 --startMP 204:1004 --initTime 2016-09-09T07:27:15 --startdatetime 2016-09-09T07:51:17 --delay 1 --endMP 300:58920 --enddatetime 2016-09-09T08:04:23 --enforcementcount 1 &gt;&gt;C:\Users\stu\Documents\GitHub\eaglep3-reporting\EC\2016-09-09-refined-times.txt</v>
      </c>
      <c r="AI170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{"issue":{"subject":"","project_id":79,"tracker_id":40,"status_id":1,"priority_id":2,"assigned_to_id":23,"start_date":"2016-09-09","description":"","custom_fields":[{"id":1,"name":"Subdivision","value":"NW"},{"id":4,"name":"Milepost","value":"5.7916"},{"id":17,"name":"Train ID","value":"809-09"},{"id":16,"name":"Locomotive ID","value":"4038"},{"id":130,"name":"Impact","value":""},{"id":150,"name":"Time of Event (Mountain Time)","value":"08:04:23"},{"id":151,"name":"Denver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38" x14ac:dyDescent="0.25">
      <c r="A171" s="38" t="s">
        <v>637</v>
      </c>
      <c r="B171" s="7">
        <v>4037</v>
      </c>
      <c r="C171" s="23" t="s">
        <v>108</v>
      </c>
      <c r="D171" s="23" t="s">
        <v>638</v>
      </c>
      <c r="E171" s="15">
        <v>42622.337245370371</v>
      </c>
      <c r="F171" s="15">
        <v>42622.339282407411</v>
      </c>
      <c r="G171" s="7">
        <v>1</v>
      </c>
      <c r="H171" s="15" t="s">
        <v>639</v>
      </c>
      <c r="I171" s="15">
        <v>42622.351203703707</v>
      </c>
      <c r="J171" s="7">
        <v>1</v>
      </c>
      <c r="K171" s="114" t="str">
        <f t="shared" si="111"/>
        <v>4037/4038</v>
      </c>
      <c r="L171" s="23" t="str">
        <f>VLOOKUP(A171,'Trips&amp;Operators'!$C$1:$E$10000,3,FALSE)</f>
        <v>SANTIZO</v>
      </c>
      <c r="M171" s="6">
        <f t="shared" si="112"/>
        <v>1.1921296296350192E-2</v>
      </c>
      <c r="N171" s="7">
        <f t="shared" si="113"/>
        <v>17.166666666744277</v>
      </c>
      <c r="O171" s="7"/>
      <c r="P171" s="7"/>
      <c r="Q171" s="24"/>
      <c r="R171" s="24"/>
      <c r="S171" s="36">
        <f t="shared" si="114"/>
        <v>1</v>
      </c>
      <c r="T171" s="51" t="str">
        <f t="shared" si="115"/>
        <v>Southbound</v>
      </c>
      <c r="U171" s="17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07:05:38-0600',mode:absolute,to:'2016-09-09 09:25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71" s="179" t="str">
        <f t="shared" si="117"/>
        <v>N</v>
      </c>
      <c r="X171" s="179">
        <f t="shared" si="125"/>
        <v>1</v>
      </c>
      <c r="Y171" s="66">
        <f t="shared" si="118"/>
        <v>5.8597999999999999</v>
      </c>
      <c r="Z171" s="66">
        <f t="shared" si="119"/>
        <v>7.2700000000000001E-2</v>
      </c>
      <c r="AA171" s="66">
        <f t="shared" si="120"/>
        <v>5.7870999999999997</v>
      </c>
      <c r="AB171" s="63" t="e">
        <f>VLOOKUP(A171,Enforcements!$C$7:$K$21,8,0)</f>
        <v>#N/A</v>
      </c>
      <c r="AC171" s="59" t="e">
        <f>VLOOKUP(A171,Enforcements!$C$7:$E$21,3,0)</f>
        <v>#N/A</v>
      </c>
      <c r="AD171" s="60" t="str">
        <f t="shared" si="121"/>
        <v>0810-09</v>
      </c>
      <c r="AE171" s="96" t="str">
        <f t="shared" si="122"/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71" s="93" t="str">
        <f t="shared" si="123"/>
        <v>"C:\Program Files (x86)\AstroGrep\AstroGrep.exe" /spath="%USERPROFILE%\AppData\Local\Temp\OnboardLogs" /stypes="*4037*20160909*" /stext=" 14:.+((SYSTEM_STATE.+slice.+state.+changed )|(ment ac)|(system.+state.+changed )|(\|lc)|(penalty)|(\[timeout)|(PRM\|1\|D)|(kpr)|(kdp))" /e /r /s</v>
      </c>
      <c r="AG171" s="1" t="str">
        <f t="shared" si="124"/>
        <v>NW</v>
      </c>
      <c r="AH171" s="97" t="str">
        <f t="shared" si="91"/>
        <v>"%USERPROFILE%\Documents\GitHub\eaglep3\Utilities\RefineRTDCRunTimes.py" --tripid 810-09 --locoid 4037 --swversion DE.1.0.7.0 --startMP 300:58598 --initTime 2016-09-09T08:05:38 --startdatetime 2016-09-09T08:08:34 --delay 1 --endMP 204:727 --enddatetime 2016-09-09T08:25:44 --enforcementcount 1 &gt;&gt;C:\Users\stu\Documents\GitHub\eaglep3-reporting\EC\2016-09-09-refined-times.txt</v>
      </c>
      <c r="AI171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{"issue":{"subject":"","project_id":79,"tracker_id":40,"status_id":1,"priority_id":2,"assigned_to_id":23,"start_date":"2016-09-09","description":"","custom_fields":[{"id":1,"name":"Subdivision","value":"NW"},{"id":4,"name":"Milepost","value":"5.7871"},{"id":17,"name":"Train ID","value":"810-09"},{"id":16,"name":"Locomotive ID","value":"4037"},{"id":130,"name":"Impact","value":""},{"id":150,"name":"Time of Event (Mountain Time)","value":"08:25:44"},{"id":151,"name":"Denver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38" s="22" customFormat="1" x14ac:dyDescent="0.25">
      <c r="A172" s="38" t="s">
        <v>640</v>
      </c>
      <c r="B172" s="7">
        <v>4042</v>
      </c>
      <c r="C172" s="23" t="s">
        <v>108</v>
      </c>
      <c r="D172" s="23" t="s">
        <v>641</v>
      </c>
      <c r="E172" s="15">
        <v>42622.331331018519</v>
      </c>
      <c r="F172" s="15">
        <v>42622.348078703704</v>
      </c>
      <c r="G172" s="7">
        <v>2</v>
      </c>
      <c r="H172" s="15" t="s">
        <v>642</v>
      </c>
      <c r="I172" s="15">
        <v>42622.357222222221</v>
      </c>
      <c r="J172" s="7">
        <v>1</v>
      </c>
      <c r="K172" s="114" t="str">
        <f t="shared" si="111"/>
        <v>4041/4042</v>
      </c>
      <c r="L172" s="23" t="str">
        <f>VLOOKUP(A172,'Trips&amp;Operators'!$C$1:$E$10000,3,FALSE)</f>
        <v>HILLS</v>
      </c>
      <c r="M172" s="6">
        <f t="shared" si="112"/>
        <v>9.1435185167938471E-3</v>
      </c>
      <c r="N172" s="7">
        <f t="shared" si="113"/>
        <v>13.16666666418314</v>
      </c>
      <c r="O172" s="7"/>
      <c r="P172" s="7"/>
      <c r="Q172" s="24"/>
      <c r="R172" s="24"/>
      <c r="S172" s="36">
        <f t="shared" si="114"/>
        <v>1</v>
      </c>
      <c r="T172" s="51" t="str">
        <f t="shared" si="115"/>
        <v>NorthBound</v>
      </c>
      <c r="U172" s="17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06:57:07-0600',mode:absolute,to:'2016-09-09 09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72" s="179" t="str">
        <f t="shared" si="117"/>
        <v>N</v>
      </c>
      <c r="X172" s="179">
        <f t="shared" si="125"/>
        <v>1</v>
      </c>
      <c r="Y172" s="66">
        <f t="shared" si="118"/>
        <v>0.1076</v>
      </c>
      <c r="Z172" s="66">
        <f t="shared" si="119"/>
        <v>5.8727999999999998</v>
      </c>
      <c r="AA172" s="66">
        <f t="shared" si="120"/>
        <v>5.7652000000000001</v>
      </c>
      <c r="AB172" s="63" t="e">
        <f>VLOOKUP(A172,Enforcements!$C$7:$K$21,8,0)</f>
        <v>#N/A</v>
      </c>
      <c r="AC172" s="59" t="e">
        <f>VLOOKUP(A172,Enforcements!$C$7:$E$21,3,0)</f>
        <v>#N/A</v>
      </c>
      <c r="AD172" s="60" t="str">
        <f t="shared" si="121"/>
        <v>0811-09</v>
      </c>
      <c r="AE172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72" s="93" t="str">
        <f t="shared" si="123"/>
        <v>"C:\Program Files (x86)\AstroGrep\AstroGrep.exe" /spath="%USERPROFILE%\AppData\Local\Temp\OnboardLogs" /stypes="*4042*20160909*" /stext=" 14:.+((SYSTEM_STATE.+slice.+state.+changed )|(ment ac)|(system.+state.+changed )|(\|lc)|(penalty)|(\[timeout)|(PRM\|1\|D)|(kpr)|(kdp))" /e /r /s</v>
      </c>
      <c r="AG172" s="1" t="str">
        <f t="shared" si="124"/>
        <v>NW</v>
      </c>
      <c r="AH172" s="97" t="str">
        <f t="shared" si="91"/>
        <v>"%USERPROFILE%\Documents\GitHub\eaglep3\Utilities\RefineRTDCRunTimes.py" --tripid 811-09 --locoid 4042 --swversion DE.1.0.7.0 --startMP 204:1076 --initTime 2016-09-09T07:57:07 --startdatetime 2016-09-09T08:21:14 --delay 2 --endMP 300:58728 --enddatetime 2016-09-09T08:34:24 --enforcementcount 1 &gt;&gt;C:\Users\stu\Documents\GitHub\eaglep3-reporting\EC\2016-09-09-refined-times.txt</v>
      </c>
      <c r="AI172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{"issue":{"subject":"","project_id":79,"tracker_id":40,"status_id":1,"priority_id":2,"assigned_to_id":23,"start_date":"2016-09-09","description":"","custom_fields":[{"id":1,"name":"Subdivision","value":"NW"},{"id":4,"name":"Milepost","value":"5.7652"},{"id":17,"name":"Train ID","value":"811-09"},{"id":16,"name":"Locomotive ID","value":"4042"},{"id":130,"name":"Impact","value":""},{"id":150,"name":"Time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38" x14ac:dyDescent="0.25">
      <c r="A173" s="38" t="s">
        <v>643</v>
      </c>
      <c r="B173" s="7">
        <v>4041</v>
      </c>
      <c r="C173" s="23" t="s">
        <v>108</v>
      </c>
      <c r="D173" s="23" t="s">
        <v>628</v>
      </c>
      <c r="E173" s="15">
        <v>42622.358981481484</v>
      </c>
      <c r="F173" s="15">
        <v>42622.361111111109</v>
      </c>
      <c r="G173" s="7">
        <v>1</v>
      </c>
      <c r="H173" s="15" t="s">
        <v>644</v>
      </c>
      <c r="I173" s="15">
        <v>42622.371493055558</v>
      </c>
      <c r="J173" s="7">
        <v>1</v>
      </c>
      <c r="K173" s="114" t="str">
        <f t="shared" si="111"/>
        <v>4041/4042</v>
      </c>
      <c r="L173" s="23" t="str">
        <f>VLOOKUP(A173,'Trips&amp;Operators'!$C$1:$E$10000,3,FALSE)</f>
        <v>HILLS</v>
      </c>
      <c r="M173" s="6">
        <f t="shared" si="112"/>
        <v>1.0381944448454306E-2</v>
      </c>
      <c r="N173" s="7">
        <f t="shared" si="113"/>
        <v>14.9500000057742</v>
      </c>
      <c r="O173" s="7"/>
      <c r="P173" s="7"/>
      <c r="Q173" s="24"/>
      <c r="R173" s="24"/>
      <c r="S173" s="36">
        <f t="shared" si="114"/>
        <v>1</v>
      </c>
      <c r="T173" s="51" t="str">
        <f t="shared" si="115"/>
        <v>Southbound</v>
      </c>
      <c r="U173" s="17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07:36:56-0600',mode:absolute,to:'2016-09-09 09:54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73" s="179" t="str">
        <f t="shared" si="117"/>
        <v>N</v>
      </c>
      <c r="X173" s="179">
        <f t="shared" si="125"/>
        <v>1</v>
      </c>
      <c r="Y173" s="66">
        <f t="shared" si="118"/>
        <v>5.8619000000000003</v>
      </c>
      <c r="Z173" s="66">
        <f t="shared" si="119"/>
        <v>8.4099999999999994E-2</v>
      </c>
      <c r="AA173" s="66">
        <f t="shared" si="120"/>
        <v>5.7778</v>
      </c>
      <c r="AB173" s="63" t="e">
        <f>VLOOKUP(A173,Enforcements!$C$7:$K$21,8,0)</f>
        <v>#N/A</v>
      </c>
      <c r="AC173" s="59" t="e">
        <f>VLOOKUP(A173,Enforcements!$C$7:$E$21,3,0)</f>
        <v>#N/A</v>
      </c>
      <c r="AD173" s="60" t="str">
        <f t="shared" si="121"/>
        <v>0812-09</v>
      </c>
      <c r="AE173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73" s="93" t="str">
        <f t="shared" si="123"/>
        <v>"C:\Program Files (x86)\AstroGrep\AstroGrep.exe" /spath="%USERPROFILE%\AppData\Local\Temp\OnboardLogs" /stypes="*4041*20160909*" /stext=" 14:.+((SYSTEM_STATE.+slice.+state.+changed )|(ment ac)|(system.+state.+changed )|(\|lc)|(penalty)|(\[timeout)|(PRM\|1\|D)|(kpr)|(kdp))" /e /r /s</v>
      </c>
      <c r="AG173" s="1" t="str">
        <f t="shared" si="124"/>
        <v>NW</v>
      </c>
      <c r="AH173" s="97" t="str">
        <f t="shared" si="91"/>
        <v>"%USERPROFILE%\Documents\GitHub\eaglep3\Utilities\RefineRTDCRunTimes.py" --tripid 812-09 --locoid 4041 --swversion DE.1.0.7.0 --startMP 300:58619 --initTime 2016-09-09T08:36:56 --startdatetime 2016-09-09T08:40:00 --delay 1 --endMP 204:841 --enddatetime 2016-09-09T08:54:57 --enforcementcount 1 &gt;&gt;C:\Users\stu\Documents\GitHub\eaglep3-reporting\EC\2016-09-09-refined-times.txt</v>
      </c>
      <c r="AI173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{"issue":{"subject":"","project_id":79,"tracker_id":40,"status_id":1,"priority_id":2,"assigned_to_id":23,"start_date":"2016-09-09","description":"","custom_fields":[{"id":1,"name":"Subdivision","value":"NW"},{"id":4,"name":"Milepost","value":"5.7778"},{"id":17,"name":"Train ID","value":"812-09"},{"id":16,"name":"Locomotive ID","value":"4041"},{"id":130,"name":"Impact","value":""},{"id":150,"name":"Time of Event (Mountain Time)","value":"08:54:57"},{"id":151,"name":"Denver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38" x14ac:dyDescent="0.25">
      <c r="A174" s="38" t="s">
        <v>645</v>
      </c>
      <c r="B174" s="7">
        <v>4042</v>
      </c>
      <c r="C174" s="23" t="s">
        <v>108</v>
      </c>
      <c r="D174" s="23" t="s">
        <v>646</v>
      </c>
      <c r="E174" s="15">
        <v>42622.374108796299</v>
      </c>
      <c r="F174" s="15">
        <v>42622.389745370368</v>
      </c>
      <c r="G174" s="7">
        <v>1</v>
      </c>
      <c r="H174" s="15" t="s">
        <v>632</v>
      </c>
      <c r="I174" s="15">
        <v>42622.399305555555</v>
      </c>
      <c r="J174" s="7">
        <v>1</v>
      </c>
      <c r="K174" s="114" t="str">
        <f t="shared" si="111"/>
        <v>4041/4042</v>
      </c>
      <c r="L174" s="23" t="str">
        <f>VLOOKUP(A174,'Trips&amp;Operators'!$C$1:$E$10000,3,FALSE)</f>
        <v>HILLS</v>
      </c>
      <c r="M174" s="6">
        <f t="shared" si="112"/>
        <v>9.560185186273884E-3</v>
      </c>
      <c r="N174" s="7">
        <f t="shared" si="113"/>
        <v>13.766666668234393</v>
      </c>
      <c r="O174" s="7"/>
      <c r="P174" s="7"/>
      <c r="Q174" s="24"/>
      <c r="R174" s="24"/>
      <c r="S174" s="36">
        <f t="shared" si="114"/>
        <v>1</v>
      </c>
      <c r="T174" s="51" t="str">
        <f t="shared" si="115"/>
        <v>NorthBound</v>
      </c>
      <c r="U174" s="17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07:58:43-0600',mode:absolute,to:'2016-09-09 10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74" s="179" t="str">
        <f t="shared" si="117"/>
        <v>N</v>
      </c>
      <c r="X174" s="179">
        <f t="shared" si="125"/>
        <v>1</v>
      </c>
      <c r="Y174" s="66">
        <f t="shared" si="118"/>
        <v>0.1133</v>
      </c>
      <c r="Z174" s="66">
        <f t="shared" si="119"/>
        <v>5.8939000000000004</v>
      </c>
      <c r="AA174" s="66">
        <f t="shared" si="120"/>
        <v>5.7806000000000006</v>
      </c>
      <c r="AB174" s="63" t="e">
        <f>VLOOKUP(A174,Enforcements!$C$7:$K$21,8,0)</f>
        <v>#N/A</v>
      </c>
      <c r="AC174" s="59" t="e">
        <f>VLOOKUP(A174,Enforcements!$C$7:$E$21,3,0)</f>
        <v>#N/A</v>
      </c>
      <c r="AD174" s="60" t="str">
        <f t="shared" si="121"/>
        <v>0813-09</v>
      </c>
      <c r="AE174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74" s="93" t="str">
        <f t="shared" si="123"/>
        <v>"C:\Program Files (x86)\AstroGrep\AstroGrep.exe" /spath="%USERPROFILE%\AppData\Local\Temp\OnboardLogs" /stypes="*4042*20160909*" /stext=" 15:.+((SYSTEM_STATE.+slice.+state.+changed )|(ment ac)|(system.+state.+changed )|(\|lc)|(penalty)|(\[timeout)|(PRM\|1\|D)|(kpr)|(kdp))" /e /r /s</v>
      </c>
      <c r="AG174" s="1" t="str">
        <f t="shared" si="124"/>
        <v>NW</v>
      </c>
      <c r="AH174" s="97" t="str">
        <f t="shared" si="91"/>
        <v>"%USERPROFILE%\Documents\GitHub\eaglep3\Utilities\RefineRTDCRunTimes.py" --tripid 813-09 --locoid 4042 --swversion DE.1.0.7.0 --startMP 204:1133 --initTime 2016-09-09T08:58:43 --startdatetime 2016-09-09T09:21:14 --delay 1 --endMP 300:58939 --enddatetime 2016-09-09T09:35:00 --enforcementcount 1 &gt;&gt;C:\Users\stu\Documents\GitHub\eaglep3-reporting\EC\2016-09-09-refined-times.txt</v>
      </c>
      <c r="AI174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{"issue":{"subject":"","project_id":79,"tracker_id":40,"status_id":1,"priority_id":2,"assigned_to_id":23,"start_date":"2016-09-09","description":"","custom_fields":[{"id":1,"name":"Subdivision","value":"NW"},{"id":4,"name":"Milepost","value":"5.7806"},{"id":17,"name":"Train ID","value":"813-09"},{"id":16,"name":"Locomotive ID","value":"4042"},{"id":130,"name":"Impact","value":""},{"id":150,"name":"Time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38" x14ac:dyDescent="0.25">
      <c r="A175" s="38" t="s">
        <v>647</v>
      </c>
      <c r="B175" s="7">
        <v>4041</v>
      </c>
      <c r="C175" s="23" t="s">
        <v>108</v>
      </c>
      <c r="D175" s="23" t="s">
        <v>289</v>
      </c>
      <c r="E175" s="15">
        <v>42622.400706018518</v>
      </c>
      <c r="F175" s="15">
        <v>42622.402592592596</v>
      </c>
      <c r="G175" s="7">
        <v>1</v>
      </c>
      <c r="H175" s="15" t="s">
        <v>648</v>
      </c>
      <c r="I175" s="15">
        <v>42622.413310185184</v>
      </c>
      <c r="J175" s="7">
        <v>1</v>
      </c>
      <c r="K175" s="114" t="str">
        <f t="shared" si="111"/>
        <v>4041/4042</v>
      </c>
      <c r="L175" s="23" t="str">
        <f>VLOOKUP(A175,'Trips&amp;Operators'!$C$1:$E$10000,3,FALSE)</f>
        <v>HILLS</v>
      </c>
      <c r="M175" s="6">
        <f t="shared" si="112"/>
        <v>1.0717592587752733E-2</v>
      </c>
      <c r="N175" s="7">
        <f t="shared" si="113"/>
        <v>15.433333326363936</v>
      </c>
      <c r="O175" s="7"/>
      <c r="P175" s="7"/>
      <c r="Q175" s="24"/>
      <c r="R175" s="24"/>
      <c r="S175" s="36">
        <f t="shared" si="114"/>
        <v>1</v>
      </c>
      <c r="T175" s="51" t="str">
        <f t="shared" si="115"/>
        <v>Southbound</v>
      </c>
      <c r="U175" s="17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08:37:01-0600',mode:absolute,to:'2016-09-09 10:55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75" s="179" t="str">
        <f t="shared" si="117"/>
        <v>N</v>
      </c>
      <c r="X175" s="179">
        <f t="shared" si="125"/>
        <v>1</v>
      </c>
      <c r="Y175" s="66">
        <f t="shared" si="118"/>
        <v>5.8625999999999996</v>
      </c>
      <c r="Z175" s="66">
        <f t="shared" si="119"/>
        <v>8.0600000000000005E-2</v>
      </c>
      <c r="AA175" s="66">
        <f t="shared" si="120"/>
        <v>5.782</v>
      </c>
      <c r="AB175" s="63" t="e">
        <f>VLOOKUP(A175,Enforcements!$C$7:$K$21,8,0)</f>
        <v>#N/A</v>
      </c>
      <c r="AC175" s="59" t="e">
        <f>VLOOKUP(A175,Enforcements!$C$7:$E$21,3,0)</f>
        <v>#N/A</v>
      </c>
      <c r="AD175" s="60" t="str">
        <f t="shared" si="121"/>
        <v>0814-09</v>
      </c>
      <c r="AE175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75" s="93" t="str">
        <f t="shared" si="123"/>
        <v>"C:\Program Files (x86)\AstroGrep\AstroGrep.exe" /spath="%USERPROFILE%\AppData\Local\Temp\OnboardLogs" /stypes="*4041*20160909*" /stext=" 15:.+((SYSTEM_STATE.+slice.+state.+changed )|(ment ac)|(system.+state.+changed )|(\|lc)|(penalty)|(\[timeout)|(PRM\|1\|D)|(kpr)|(kdp))" /e /r /s</v>
      </c>
      <c r="AG175" s="1" t="str">
        <f t="shared" si="124"/>
        <v>NW</v>
      </c>
      <c r="AH175" s="97" t="str">
        <f t="shared" si="91"/>
        <v>"%USERPROFILE%\Documents\GitHub\eaglep3\Utilities\RefineRTDCRunTimes.py" --tripid 814-09 --locoid 4041 --swversion DE.1.0.7.0 --startMP 300:58626 --initTime 2016-09-09T09:37:01 --startdatetime 2016-09-09T09:39:44 --delay 1 --endMP 204:806 --enddatetime 2016-09-09T09:55:10 --enforcementcount 1 &gt;&gt;C:\Users\stu\Documents\GitHub\eaglep3-reporting\EC\2016-09-09-refined-times.txt</v>
      </c>
      <c r="AI175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{"issue":{"subject":"","project_id":79,"tracker_id":40,"status_id":1,"priority_id":2,"assigned_to_id":23,"start_date":"2016-09-09","description":"","custom_fields":[{"id":1,"name":"Subdivision","value":"NW"},{"id":4,"name":"Milepost","value":"5.782"},{"id":17,"name":"Train ID","value":"814-09"},{"id":16,"name":"Locomotive ID","value":"4041"},{"id":130,"name":"Impact","value":""},{"id":150,"name":"Time of Event (Mountain Time)","value":"09:55:10"},{"id":151,"name":"Denver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38" x14ac:dyDescent="0.25">
      <c r="A176" s="38" t="s">
        <v>649</v>
      </c>
      <c r="B176" s="7">
        <v>4042</v>
      </c>
      <c r="C176" s="23" t="s">
        <v>108</v>
      </c>
      <c r="D176" s="23" t="s">
        <v>650</v>
      </c>
      <c r="E176" s="15">
        <v>42622.415173611109</v>
      </c>
      <c r="F176" s="15">
        <v>42622.431504629632</v>
      </c>
      <c r="G176" s="7">
        <v>1</v>
      </c>
      <c r="H176" s="15" t="s">
        <v>632</v>
      </c>
      <c r="I176" s="15">
        <v>42622.440520833334</v>
      </c>
      <c r="J176" s="7">
        <v>1</v>
      </c>
      <c r="K176" s="114" t="str">
        <f t="shared" si="111"/>
        <v>4041/4042</v>
      </c>
      <c r="L176" s="23" t="str">
        <f>VLOOKUP(A176,'Trips&amp;Operators'!$C$1:$E$10000,3,FALSE)</f>
        <v>HILLS</v>
      </c>
      <c r="M176" s="6">
        <f t="shared" si="112"/>
        <v>9.0162037013215013E-3</v>
      </c>
      <c r="N176" s="7">
        <f t="shared" si="113"/>
        <v>12.983333329902962</v>
      </c>
      <c r="O176" s="7"/>
      <c r="P176" s="7"/>
      <c r="Q176" s="24"/>
      <c r="R176" s="24"/>
      <c r="S176" s="36">
        <f t="shared" si="114"/>
        <v>1</v>
      </c>
      <c r="T176" s="51" t="str">
        <f t="shared" si="115"/>
        <v>NorthBound</v>
      </c>
      <c r="U176" s="17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08:57:51-0600',mode:absolute,to:'2016-09-09 11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76" s="179" t="str">
        <f t="shared" si="117"/>
        <v>N</v>
      </c>
      <c r="X176" s="179">
        <f t="shared" si="125"/>
        <v>1</v>
      </c>
      <c r="Y176" s="66">
        <f t="shared" si="118"/>
        <v>0.11070000000000001</v>
      </c>
      <c r="Z176" s="66">
        <f t="shared" si="119"/>
        <v>5.8939000000000004</v>
      </c>
      <c r="AA176" s="66">
        <f t="shared" si="120"/>
        <v>5.7832000000000008</v>
      </c>
      <c r="AB176" s="63" t="e">
        <f>VLOOKUP(A176,Enforcements!$C$7:$K$21,8,0)</f>
        <v>#N/A</v>
      </c>
      <c r="AC176" s="59" t="e">
        <f>VLOOKUP(A176,Enforcements!$C$7:$E$21,3,0)</f>
        <v>#N/A</v>
      </c>
      <c r="AD176" s="60" t="str">
        <f t="shared" si="121"/>
        <v>0815-09</v>
      </c>
      <c r="AE176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76" s="93" t="str">
        <f t="shared" si="123"/>
        <v>"C:\Program Files (x86)\AstroGrep\AstroGrep.exe" /spath="%USERPROFILE%\AppData\Local\Temp\OnboardLogs" /stypes="*4042*20160909*" /stext=" 16:.+((SYSTEM_STATE.+slice.+state.+changed )|(ment ac)|(system.+state.+changed )|(\|lc)|(penalty)|(\[timeout)|(PRM\|1\|D)|(kpr)|(kdp))" /e /r /s</v>
      </c>
      <c r="AG176" s="1" t="str">
        <f t="shared" si="124"/>
        <v>NW</v>
      </c>
      <c r="AH176" s="97" t="str">
        <f t="shared" si="91"/>
        <v>"%USERPROFILE%\Documents\GitHub\eaglep3\Utilities\RefineRTDCRunTimes.py" --tripid 815-09 --locoid 4042 --swversion DE.1.0.7.0 --startMP 204:1107 --initTime 2016-09-09T09:57:51 --startdatetime 2016-09-09T10:21:22 --delay 1 --endMP 300:58939 --enddatetime 2016-09-09T10:34:21 --enforcementcount 1 &gt;&gt;C:\Users\stu\Documents\GitHub\eaglep3-reporting\EC\2016-09-09-refined-times.txt</v>
      </c>
      <c r="AI176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{"issue":{"subject":"","project_id":79,"tracker_id":40,"status_id":1,"priority_id":2,"assigned_to_id":23,"start_date":"2016-09-09","description":"","custom_fields":[{"id":1,"name":"Subdivision","value":"NW"},{"id":4,"name":"Milepost","value":"5.7832"},{"id":17,"name":"Train ID","value":"815-09"},{"id":16,"name":"Locomotive ID","value":"4042"},{"id":130,"name":"Impact","value":""},{"id":150,"name":"Time of Event (Mountain Time)","value":"10:34:21"},{"id":151,"name":"Denver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38" x14ac:dyDescent="0.25">
      <c r="A177" s="38" t="s">
        <v>651</v>
      </c>
      <c r="B177" s="7">
        <v>4041</v>
      </c>
      <c r="C177" s="23" t="s">
        <v>108</v>
      </c>
      <c r="D177" s="23" t="s">
        <v>634</v>
      </c>
      <c r="E177" s="15">
        <v>42622.441990740743</v>
      </c>
      <c r="F177" s="15">
        <v>42622.443935185183</v>
      </c>
      <c r="G177" s="7">
        <v>1</v>
      </c>
      <c r="H177" s="15" t="s">
        <v>652</v>
      </c>
      <c r="I177" s="15">
        <v>42622.454456018517</v>
      </c>
      <c r="J177" s="7">
        <v>1</v>
      </c>
      <c r="K177" s="114" t="str">
        <f t="shared" si="111"/>
        <v>4041/4042</v>
      </c>
      <c r="L177" s="23" t="str">
        <f>VLOOKUP(A177,'Trips&amp;Operators'!$C$1:$E$10000,3,FALSE)</f>
        <v>HILLS</v>
      </c>
      <c r="M177" s="6">
        <f t="shared" si="112"/>
        <v>1.0520833333430346E-2</v>
      </c>
      <c r="N177" s="7">
        <f t="shared" si="113"/>
        <v>15.150000000139698</v>
      </c>
      <c r="O177" s="7"/>
      <c r="P177" s="7"/>
      <c r="Q177" s="24"/>
      <c r="R177" s="24"/>
      <c r="S177" s="36">
        <f t="shared" si="114"/>
        <v>1</v>
      </c>
      <c r="T177" s="51" t="str">
        <f t="shared" si="115"/>
        <v>Southbound</v>
      </c>
      <c r="U177" s="17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09:36:28-0600',mode:absolute,to:'2016-09-09 11:54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77" s="179" t="str">
        <f t="shared" si="117"/>
        <v>N</v>
      </c>
      <c r="X177" s="179">
        <f t="shared" si="125"/>
        <v>1</v>
      </c>
      <c r="Y177" s="66">
        <f t="shared" si="118"/>
        <v>5.8620999999999999</v>
      </c>
      <c r="Z177" s="66">
        <f t="shared" si="119"/>
        <v>8.7800000000000003E-2</v>
      </c>
      <c r="AA177" s="66">
        <f t="shared" si="120"/>
        <v>5.7743000000000002</v>
      </c>
      <c r="AB177" s="63" t="e">
        <f>VLOOKUP(A177,Enforcements!$C$7:$K$21,8,0)</f>
        <v>#N/A</v>
      </c>
      <c r="AC177" s="59" t="e">
        <f>VLOOKUP(A177,Enforcements!$C$7:$E$21,3,0)</f>
        <v>#N/A</v>
      </c>
      <c r="AD177" s="60" t="str">
        <f t="shared" si="121"/>
        <v>0816-09</v>
      </c>
      <c r="AE177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77" s="93" t="str">
        <f t="shared" si="123"/>
        <v>"C:\Program Files (x86)\AstroGrep\AstroGrep.exe" /spath="%USERPROFILE%\AppData\Local\Temp\OnboardLogs" /stypes="*4041*20160909*" /stext=" 16:.+((SYSTEM_STATE.+slice.+state.+changed )|(ment ac)|(system.+state.+changed )|(\|lc)|(penalty)|(\[timeout)|(PRM\|1\|D)|(kpr)|(kdp))" /e /r /s</v>
      </c>
      <c r="AG177" s="1" t="str">
        <f t="shared" si="124"/>
        <v>NW</v>
      </c>
      <c r="AH177" s="97" t="str">
        <f t="shared" si="91"/>
        <v>"%USERPROFILE%\Documents\GitHub\eaglep3\Utilities\RefineRTDCRunTimes.py" --tripid 816-09 --locoid 4041 --swversion DE.1.0.7.0 --startMP 300:58621 --initTime 2016-09-09T10:36:28 --startdatetime 2016-09-09T10:39:16 --delay 1 --endMP 204:878 --enddatetime 2016-09-09T10:54:25 --enforcementcount 1 &gt;&gt;C:\Users\stu\Documents\GitHub\eaglep3-reporting\EC\2016-09-09-refined-times.txt</v>
      </c>
      <c r="AI177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{"issue":{"subject":"","project_id":79,"tracker_id":40,"status_id":1,"priority_id":2,"assigned_to_id":23,"start_date":"2016-09-09","description":"","custom_fields":[{"id":1,"name":"Subdivision","value":"NW"},{"id":4,"name":"Milepost","value":"5.7743"},{"id":17,"name":"Train ID","value":"816-09"},{"id":16,"name":"Locomotive ID","value":"4041"},{"id":130,"name":"Impact","value":""},{"id":150,"name":"Time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38" x14ac:dyDescent="0.25">
      <c r="A178" s="38" t="s">
        <v>653</v>
      </c>
      <c r="B178" s="7">
        <v>4042</v>
      </c>
      <c r="C178" s="23" t="s">
        <v>108</v>
      </c>
      <c r="D178" s="23" t="s">
        <v>654</v>
      </c>
      <c r="E178" s="15">
        <v>42622.455752314818</v>
      </c>
      <c r="F178" s="15">
        <v>42622.47315972222</v>
      </c>
      <c r="G178" s="7">
        <v>1</v>
      </c>
      <c r="H178" s="15" t="s">
        <v>655</v>
      </c>
      <c r="I178" s="15">
        <v>42622.482928240737</v>
      </c>
      <c r="J178" s="7">
        <v>1</v>
      </c>
      <c r="K178" s="114" t="str">
        <f t="shared" si="111"/>
        <v>4041/4042</v>
      </c>
      <c r="L178" s="23" t="str">
        <f>VLOOKUP(A178,'Trips&amp;Operators'!$C$1:$E$10000,3,FALSE)</f>
        <v>HILLS</v>
      </c>
      <c r="M178" s="6">
        <f t="shared" si="112"/>
        <v>9.7685185173759237E-3</v>
      </c>
      <c r="N178" s="7">
        <f t="shared" si="113"/>
        <v>14.06666666502133</v>
      </c>
      <c r="O178" s="7"/>
      <c r="P178" s="7"/>
      <c r="Q178" s="24"/>
      <c r="R178" s="24"/>
      <c r="S178" s="36">
        <f t="shared" si="114"/>
        <v>1</v>
      </c>
      <c r="T178" s="51" t="str">
        <f t="shared" si="115"/>
        <v>NorthBound</v>
      </c>
      <c r="U178" s="17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09:56:17-0600',mode:absolute,to:'2016-09-09 12:35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78" s="179" t="str">
        <f t="shared" si="117"/>
        <v>N</v>
      </c>
      <c r="X178" s="179">
        <f t="shared" si="125"/>
        <v>1</v>
      </c>
      <c r="Y178" s="66">
        <f t="shared" si="118"/>
        <v>0.11749999999999999</v>
      </c>
      <c r="Z178" s="66">
        <f t="shared" si="119"/>
        <v>5.8935000000000004</v>
      </c>
      <c r="AA178" s="66">
        <f t="shared" si="120"/>
        <v>5.7760000000000007</v>
      </c>
      <c r="AB178" s="63" t="e">
        <f>VLOOKUP(A178,Enforcements!$C$7:$K$21,8,0)</f>
        <v>#N/A</v>
      </c>
      <c r="AC178" s="59" t="e">
        <f>VLOOKUP(A178,Enforcements!$C$7:$E$21,3,0)</f>
        <v>#N/A</v>
      </c>
      <c r="AD178" s="60" t="str">
        <f t="shared" si="121"/>
        <v>0817-09</v>
      </c>
      <c r="AE178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78" s="93" t="str">
        <f t="shared" si="123"/>
        <v>"C:\Program Files (x86)\AstroGrep\AstroGrep.exe" /spath="%USERPROFILE%\AppData\Local\Temp\OnboardLogs" /stypes="*4042*20160909*" /stext=" 17:.+((SYSTEM_STATE.+slice.+state.+changed )|(ment ac)|(system.+state.+changed )|(\|lc)|(penalty)|(\[timeout)|(PRM\|1\|D)|(kpr)|(kdp))" /e /r /s</v>
      </c>
      <c r="AG178" s="1" t="str">
        <f t="shared" si="124"/>
        <v>NW</v>
      </c>
      <c r="AH178" s="97" t="str">
        <f t="shared" si="91"/>
        <v>"%USERPROFILE%\Documents\GitHub\eaglep3\Utilities\RefineRTDCRunTimes.py" --tripid 817-09 --locoid 4042 --swversion DE.1.0.7.0 --startMP 204:1175 --initTime 2016-09-09T10:56:17 --startdatetime 2016-09-09T11:21:21 --delay 1 --endMP 300:58935 --enddatetime 2016-09-09T11:35:25 --enforcementcount 1 &gt;&gt;C:\Users\stu\Documents\GitHub\eaglep3-reporting\EC\2016-09-09-refined-times.txt</v>
      </c>
      <c r="AI178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{"issue":{"subject":"","project_id":79,"tracker_id":40,"status_id":1,"priority_id":2,"assigned_to_id":23,"start_date":"2016-09-09","description":"","custom_fields":[{"id":1,"name":"Subdivision","value":"NW"},{"id":4,"name":"Milepost","value":"5.776"},{"id":17,"name":"Train ID","value":"817-09"},{"id":16,"name":"Locomotive ID","value":"4042"},{"id":130,"name":"Impact","value":""},{"id":150,"name":"Time of Event (Mountain Time)","value":"11:35:25"},{"id":151,"name":"Denver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38" x14ac:dyDescent="0.25">
      <c r="A179" s="38" t="s">
        <v>656</v>
      </c>
      <c r="B179" s="7">
        <v>4041</v>
      </c>
      <c r="C179" s="23" t="s">
        <v>108</v>
      </c>
      <c r="D179" s="23" t="s">
        <v>628</v>
      </c>
      <c r="E179" s="15">
        <v>42622.484085648146</v>
      </c>
      <c r="F179" s="15">
        <v>42622.486481481479</v>
      </c>
      <c r="G179" s="7">
        <v>1</v>
      </c>
      <c r="H179" s="15" t="s">
        <v>359</v>
      </c>
      <c r="I179" s="15">
        <v>42622.497094907405</v>
      </c>
      <c r="J179" s="7">
        <v>1</v>
      </c>
      <c r="K179" s="114" t="str">
        <f t="shared" si="111"/>
        <v>4041/4042</v>
      </c>
      <c r="L179" s="23" t="str">
        <f>VLOOKUP(A179,'Trips&amp;Operators'!$C$1:$E$10000,3,FALSE)</f>
        <v>HILLS</v>
      </c>
      <c r="M179" s="6">
        <f t="shared" si="112"/>
        <v>1.0613425925839692E-2</v>
      </c>
      <c r="N179" s="7">
        <f t="shared" si="113"/>
        <v>15.283333333209157</v>
      </c>
      <c r="O179" s="7"/>
      <c r="P179" s="7"/>
      <c r="Q179" s="24"/>
      <c r="R179" s="24"/>
      <c r="S179" s="36">
        <f t="shared" si="114"/>
        <v>1</v>
      </c>
      <c r="T179" s="51" t="str">
        <f t="shared" si="115"/>
        <v>Southbound</v>
      </c>
      <c r="U179" s="17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10:37:05-0600',mode:absolute,to:'2016-09-09 12:55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79" s="179" t="str">
        <f t="shared" si="117"/>
        <v>N</v>
      </c>
      <c r="X179" s="179">
        <f t="shared" si="125"/>
        <v>1</v>
      </c>
      <c r="Y179" s="66">
        <f t="shared" si="118"/>
        <v>5.8619000000000003</v>
      </c>
      <c r="Z179" s="66">
        <f t="shared" si="119"/>
        <v>7.9399999999999998E-2</v>
      </c>
      <c r="AA179" s="66">
        <f t="shared" si="120"/>
        <v>5.7825000000000006</v>
      </c>
      <c r="AB179" s="63" t="e">
        <f>VLOOKUP(A179,Enforcements!$C$7:$K$21,8,0)</f>
        <v>#N/A</v>
      </c>
      <c r="AC179" s="59" t="e">
        <f>VLOOKUP(A179,Enforcements!$C$7:$E$21,3,0)</f>
        <v>#N/A</v>
      </c>
      <c r="AD179" s="60" t="str">
        <f t="shared" si="121"/>
        <v>0818-09</v>
      </c>
      <c r="AE179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79" s="93" t="str">
        <f t="shared" si="123"/>
        <v>"C:\Program Files (x86)\AstroGrep\AstroGrep.exe" /spath="%USERPROFILE%\AppData\Local\Temp\OnboardLogs" /stypes="*4041*20160909*" /stext=" 17:.+((SYSTEM_STATE.+slice.+state.+changed )|(ment ac)|(system.+state.+changed )|(\|lc)|(penalty)|(\[timeout)|(PRM\|1\|D)|(kpr)|(kdp))" /e /r /s</v>
      </c>
      <c r="AG179" s="1" t="str">
        <f t="shared" si="124"/>
        <v>NW</v>
      </c>
      <c r="AH179" s="97" t="str">
        <f t="shared" si="91"/>
        <v>"%USERPROFILE%\Documents\GitHub\eaglep3\Utilities\RefineRTDCRunTimes.py" --tripid 818-09 --locoid 4041 --swversion DE.1.0.7.0 --startMP 300:58619 --initTime 2016-09-09T11:37:05 --startdatetime 2016-09-09T11:40:32 --delay 1 --endMP 204:794 --enddatetime 2016-09-09T11:55:49 --enforcementcount 1 &gt;&gt;C:\Users\stu\Documents\GitHub\eaglep3-reporting\EC\2016-09-09-refined-times.txt</v>
      </c>
      <c r="AI179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{"issue":{"subject":"","project_id":79,"tracker_id":40,"status_id":1,"priority_id":2,"assigned_to_id":23,"start_date":"2016-09-09","description":"","custom_fields":[{"id":1,"name":"Subdivision","value":"NW"},{"id":4,"name":"Milepost","value":"5.7825"},{"id":17,"name":"Train ID","value":"818-09"},{"id":16,"name":"Locomotive ID","value":"4041"},{"id":130,"name":"Impact","value":""},{"id":150,"name":"Time of Event (Mountain Time)","value":"11:55:49"},{"id":151,"name":"Denver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38" s="22" customFormat="1" x14ac:dyDescent="0.25">
      <c r="A180" s="38" t="s">
        <v>657</v>
      </c>
      <c r="B180" s="7">
        <v>4042</v>
      </c>
      <c r="C180" s="23" t="s">
        <v>108</v>
      </c>
      <c r="D180" s="23" t="s">
        <v>658</v>
      </c>
      <c r="E180" s="15">
        <v>42622.499247685184</v>
      </c>
      <c r="F180" s="15">
        <v>42622.514733796299</v>
      </c>
      <c r="G180" s="7">
        <v>1</v>
      </c>
      <c r="H180" s="15" t="s">
        <v>659</v>
      </c>
      <c r="I180" s="15">
        <v>42622.524699074071</v>
      </c>
      <c r="J180" s="7">
        <v>1</v>
      </c>
      <c r="K180" s="114" t="str">
        <f t="shared" si="111"/>
        <v>4041/4042</v>
      </c>
      <c r="L180" s="23" t="str">
        <f>VLOOKUP(A180,'Trips&amp;Operators'!$C$1:$E$10000,3,FALSE)</f>
        <v>HILLS</v>
      </c>
      <c r="M180" s="6">
        <f t="shared" si="112"/>
        <v>9.965277771698311E-3</v>
      </c>
      <c r="N180" s="7">
        <f t="shared" si="113"/>
        <v>14.349999991245568</v>
      </c>
      <c r="O180" s="7"/>
      <c r="P180" s="7"/>
      <c r="Q180" s="24"/>
      <c r="R180" s="24"/>
      <c r="S180" s="36">
        <f t="shared" si="114"/>
        <v>1</v>
      </c>
      <c r="T180" s="51" t="str">
        <f t="shared" si="115"/>
        <v>NorthBound</v>
      </c>
      <c r="U180" s="17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10:58:55-0600',mode:absolute,to:'2016-09-09 13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80" s="179" t="str">
        <f t="shared" si="117"/>
        <v>N</v>
      </c>
      <c r="X180" s="179">
        <f t="shared" si="125"/>
        <v>1</v>
      </c>
      <c r="Y180" s="66">
        <f t="shared" si="118"/>
        <v>0.1072</v>
      </c>
      <c r="Z180" s="66">
        <f t="shared" si="119"/>
        <v>5.8929</v>
      </c>
      <c r="AA180" s="66">
        <f t="shared" si="120"/>
        <v>5.7857000000000003</v>
      </c>
      <c r="AB180" s="63" t="e">
        <f>VLOOKUP(A180,Enforcements!$C$7:$K$21,8,0)</f>
        <v>#N/A</v>
      </c>
      <c r="AC180" s="59" t="e">
        <f>VLOOKUP(A180,Enforcements!$C$7:$E$21,3,0)</f>
        <v>#N/A</v>
      </c>
      <c r="AD180" s="60" t="str">
        <f t="shared" si="121"/>
        <v>0819-09</v>
      </c>
      <c r="AE180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80" s="93" t="str">
        <f t="shared" si="123"/>
        <v>"C:\Program Files (x86)\AstroGrep\AstroGrep.exe" /spath="%USERPROFILE%\AppData\Local\Temp\OnboardLogs" /stypes="*4042*20160909*" /stext=" 18:.+((SYSTEM_STATE.+slice.+state.+changed )|(ment ac)|(system.+state.+changed )|(\|lc)|(penalty)|(\[timeout)|(PRM\|1\|D)|(kpr)|(kdp))" /e /r /s</v>
      </c>
      <c r="AG180" s="1" t="str">
        <f t="shared" si="124"/>
        <v>NW</v>
      </c>
      <c r="AH180" s="97" t="str">
        <f t="shared" si="91"/>
        <v>"%USERPROFILE%\Documents\GitHub\eaglep3\Utilities\RefineRTDCRunTimes.py" --tripid 819-09 --locoid 4042 --swversion DE.1.0.7.0 --startMP 204:1072 --initTime 2016-09-09T11:58:55 --startdatetime 2016-09-09T12:21:13 --delay 1 --endMP 300:58929 --enddatetime 2016-09-09T12:35:34 --enforcementcount 1 &gt;&gt;C:\Users\stu\Documents\GitHub\eaglep3-reporting\EC\2016-09-09-refined-times.txt</v>
      </c>
      <c r="AI180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{"issue":{"subject":"","project_id":79,"tracker_id":40,"status_id":1,"priority_id":2,"assigned_to_id":23,"start_date":"2016-09-09","description":"","custom_fields":[{"id":1,"name":"Subdivision","value":"NW"},{"id":4,"name":"Milepost","value":"5.7857"},{"id":17,"name":"Train ID","value":"819-09"},{"id":16,"name":"Locomotive ID","value":"4042"},{"id":130,"name":"Impact","value":""},{"id":150,"name":"Time of Event (Mountain Time)","value":"12:35:34"},{"id":151,"name":"Denver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38" x14ac:dyDescent="0.25">
      <c r="A181" s="38" t="s">
        <v>660</v>
      </c>
      <c r="B181" s="7">
        <v>4041</v>
      </c>
      <c r="C181" s="23" t="s">
        <v>108</v>
      </c>
      <c r="D181" s="23" t="s">
        <v>661</v>
      </c>
      <c r="E181" s="15">
        <v>42622.525925925926</v>
      </c>
      <c r="F181" s="15">
        <v>42622.52747685185</v>
      </c>
      <c r="G181" s="7">
        <v>1</v>
      </c>
      <c r="H181" s="15" t="s">
        <v>662</v>
      </c>
      <c r="I181" s="15">
        <v>42622.537928240738</v>
      </c>
      <c r="J181" s="7">
        <v>1</v>
      </c>
      <c r="K181" s="114" t="str">
        <f t="shared" si="111"/>
        <v>4041/4042</v>
      </c>
      <c r="L181" s="23" t="str">
        <f>VLOOKUP(A181,'Trips&amp;Operators'!$C$1:$E$10000,3,FALSE)</f>
        <v>HILLS</v>
      </c>
      <c r="M181" s="6">
        <f t="shared" si="112"/>
        <v>1.0451388887304347E-2</v>
      </c>
      <c r="N181" s="7">
        <f t="shared" si="113"/>
        <v>15.04999999771826</v>
      </c>
      <c r="O181" s="7"/>
      <c r="P181" s="7"/>
      <c r="Q181" s="24"/>
      <c r="R181" s="24"/>
      <c r="S181" s="36">
        <f t="shared" si="114"/>
        <v>1</v>
      </c>
      <c r="T181" s="51" t="str">
        <f t="shared" si="115"/>
        <v>Southbound</v>
      </c>
      <c r="U181" s="17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11:37:20-0600',mode:absolute,to:'2016-09-09 13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1" s="179" t="str">
        <f t="shared" si="117"/>
        <v>N</v>
      </c>
      <c r="X181" s="179">
        <f t="shared" si="125"/>
        <v>1</v>
      </c>
      <c r="Y181" s="66">
        <f t="shared" si="118"/>
        <v>5.8624000000000001</v>
      </c>
      <c r="Z181" s="66">
        <f t="shared" si="119"/>
        <v>7.6399999999999996E-2</v>
      </c>
      <c r="AA181" s="66">
        <f t="shared" si="120"/>
        <v>5.7860000000000005</v>
      </c>
      <c r="AB181" s="63" t="e">
        <f>VLOOKUP(A181,Enforcements!$C$7:$K$21,8,0)</f>
        <v>#N/A</v>
      </c>
      <c r="AC181" s="59" t="e">
        <f>VLOOKUP(A181,Enforcements!$C$7:$E$21,3,0)</f>
        <v>#N/A</v>
      </c>
      <c r="AD181" s="60" t="str">
        <f t="shared" si="121"/>
        <v>0820-09</v>
      </c>
      <c r="AE181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81" s="93" t="str">
        <f t="shared" si="123"/>
        <v>"C:\Program Files (x86)\AstroGrep\AstroGrep.exe" /spath="%USERPROFILE%\AppData\Local\Temp\OnboardLogs" /stypes="*4041*20160909*" /stext=" 18:.+((SYSTEM_STATE.+slice.+state.+changed )|(ment ac)|(system.+state.+changed )|(\|lc)|(penalty)|(\[timeout)|(PRM\|1\|D)|(kpr)|(kdp))" /e /r /s</v>
      </c>
      <c r="AG181" s="1" t="str">
        <f t="shared" si="124"/>
        <v>NW</v>
      </c>
      <c r="AH181" s="97" t="str">
        <f t="shared" si="91"/>
        <v>"%USERPROFILE%\Documents\GitHub\eaglep3\Utilities\RefineRTDCRunTimes.py" --tripid 820-09 --locoid 4041 --swversion DE.1.0.7.0 --startMP 300:58624 --initTime 2016-09-09T12:37:20 --startdatetime 2016-09-09T12:39:34 --delay 1 --endMP 204:764 --enddatetime 2016-09-09T12:54:37 --enforcementcount 1 &gt;&gt;C:\Users\stu\Documents\GitHub\eaglep3-reporting\EC\2016-09-09-refined-times.txt</v>
      </c>
      <c r="AI181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{"issue":{"subject":"","project_id":79,"tracker_id":40,"status_id":1,"priority_id":2,"assigned_to_id":23,"start_date":"2016-09-09","description":"","custom_fields":[{"id":1,"name":"Subdivision","value":"NW"},{"id":4,"name":"Milepost","value":"5.786"},{"id":17,"name":"Train ID","value":"820-09"},{"id":16,"name":"Locomotive ID","value":"4041"},{"id":130,"name":"Impact","value":""},{"id":150,"name":"Time of Event (Mountain Time)","value":"12:54:37"},{"id":151,"name":"Denver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38" s="22" customFormat="1" x14ac:dyDescent="0.25">
      <c r="A182" s="38" t="s">
        <v>663</v>
      </c>
      <c r="B182" s="7">
        <v>4042</v>
      </c>
      <c r="C182" s="23" t="s">
        <v>108</v>
      </c>
      <c r="D182" s="23" t="s">
        <v>664</v>
      </c>
      <c r="E182" s="15">
        <v>42622.547951388886</v>
      </c>
      <c r="F182" s="15">
        <v>42622.556701388887</v>
      </c>
      <c r="G182" s="7">
        <v>3</v>
      </c>
      <c r="H182" s="15" t="s">
        <v>655</v>
      </c>
      <c r="I182" s="15">
        <v>42622.567118055558</v>
      </c>
      <c r="J182" s="7">
        <v>1</v>
      </c>
      <c r="K182" s="114" t="str">
        <f t="shared" si="111"/>
        <v>4041/4042</v>
      </c>
      <c r="L182" s="23" t="str">
        <f>VLOOKUP(A182,'Trips&amp;Operators'!$C$1:$E$10000,3,FALSE)</f>
        <v>BERLING</v>
      </c>
      <c r="M182" s="6">
        <f t="shared" si="112"/>
        <v>1.0416666671517305E-2</v>
      </c>
      <c r="N182" s="7">
        <f t="shared" si="113"/>
        <v>15.000000006984919</v>
      </c>
      <c r="O182" s="7"/>
      <c r="P182" s="7"/>
      <c r="Q182" s="24"/>
      <c r="R182" s="24"/>
      <c r="S182" s="36">
        <f t="shared" si="114"/>
        <v>1</v>
      </c>
      <c r="T182" s="51" t="str">
        <f t="shared" si="115"/>
        <v>NorthBound</v>
      </c>
      <c r="U182" s="17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12:09:03-0600',mode:absolute,to:'2016-09-09 14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82" s="179" t="str">
        <f t="shared" si="117"/>
        <v>N</v>
      </c>
      <c r="X182" s="179">
        <f t="shared" si="125"/>
        <v>1</v>
      </c>
      <c r="Y182" s="66">
        <f t="shared" si="118"/>
        <v>0.1077</v>
      </c>
      <c r="Z182" s="66">
        <f t="shared" si="119"/>
        <v>5.8935000000000004</v>
      </c>
      <c r="AA182" s="66">
        <f t="shared" si="120"/>
        <v>5.7858000000000001</v>
      </c>
      <c r="AB182" s="63" t="e">
        <f>VLOOKUP(A182,Enforcements!$C$7:$K$21,8,0)</f>
        <v>#N/A</v>
      </c>
      <c r="AC182" s="59" t="e">
        <f>VLOOKUP(A182,Enforcements!$C$7:$E$21,3,0)</f>
        <v>#N/A</v>
      </c>
      <c r="AD182" s="60" t="str">
        <f t="shared" si="121"/>
        <v>0821-09</v>
      </c>
      <c r="AE182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82" s="93" t="str">
        <f t="shared" si="123"/>
        <v>"C:\Program Files (x86)\AstroGrep\AstroGrep.exe" /spath="%USERPROFILE%\AppData\Local\Temp\OnboardLogs" /stypes="*4042*20160909*" /stext=" 19:.+((SYSTEM_STATE.+slice.+state.+changed )|(ment ac)|(system.+state.+changed )|(\|lc)|(penalty)|(\[timeout)|(PRM\|1\|D)|(kpr)|(kdp))" /e /r /s</v>
      </c>
      <c r="AG182" s="1" t="str">
        <f t="shared" si="124"/>
        <v>NW</v>
      </c>
      <c r="AH182" s="97" t="str">
        <f t="shared" si="91"/>
        <v>"%USERPROFILE%\Documents\GitHub\eaglep3\Utilities\RefineRTDCRunTimes.py" --tripid 821-09 --locoid 4042 --swversion DE.1.0.7.0 --startMP 204:1077 --initTime 2016-09-09T13:09:03 --startdatetime 2016-09-09T13:21:39 --delay 3 --endMP 300:58935 --enddatetime 2016-09-09T13:36:39 --enforcementcount 1 &gt;&gt;C:\Users\stu\Documents\GitHub\eaglep3-reporting\EC\2016-09-09-refined-times.txt</v>
      </c>
      <c r="AI182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{"issue":{"subject":"","project_id":79,"tracker_id":40,"status_id":1,"priority_id":2,"assigned_to_id":23,"start_date":"2016-09-09","description":"","custom_fields":[{"id":1,"name":"Subdivision","value":"NW"},{"id":4,"name":"Milepost","value":"5.7858"},{"id":17,"name":"Train ID","value":"821-09"},{"id":16,"name":"Locomotive ID","value":"4042"},{"id":130,"name":"Impact","value":""},{"id":150,"name":"Time of Event (Mountain Time)","value":"13:36:39"},{"id":151,"name":"Denver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38" s="22" customFormat="1" x14ac:dyDescent="0.25">
      <c r="A183" s="38" t="s">
        <v>665</v>
      </c>
      <c r="B183" s="7">
        <v>4041</v>
      </c>
      <c r="C183" s="23" t="s">
        <v>108</v>
      </c>
      <c r="D183" s="23" t="s">
        <v>293</v>
      </c>
      <c r="E183" s="15">
        <v>42622.569027777776</v>
      </c>
      <c r="F183" s="15">
        <v>42622.571203703701</v>
      </c>
      <c r="G183" s="7">
        <v>1</v>
      </c>
      <c r="H183" s="15" t="s">
        <v>666</v>
      </c>
      <c r="I183" s="15">
        <v>42622.594375000001</v>
      </c>
      <c r="J183" s="7">
        <v>1</v>
      </c>
      <c r="K183" s="114" t="str">
        <f t="shared" si="111"/>
        <v>4041/4042</v>
      </c>
      <c r="L183" s="23" t="str">
        <f>VLOOKUP(A183,'Trips&amp;Operators'!$C$1:$E$10000,3,FALSE)</f>
        <v>BERLING</v>
      </c>
      <c r="M183" s="6">
        <f t="shared" si="112"/>
        <v>2.3171296299551614E-2</v>
      </c>
      <c r="N183" s="7"/>
      <c r="O183" s="7"/>
      <c r="P183" s="7">
        <f>24*60*SUM($M183:$M183)</f>
        <v>33.366666671354324</v>
      </c>
      <c r="Q183" s="24"/>
      <c r="R183" s="24" t="s">
        <v>747</v>
      </c>
      <c r="S183" s="36">
        <f t="shared" si="114"/>
        <v>1</v>
      </c>
      <c r="T183" s="177" t="str">
        <f t="shared" si="115"/>
        <v>Southbound</v>
      </c>
      <c r="U183" s="17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12:39:24-0600',mode:absolute,to:'2016-09-09 15:15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3" s="179" t="str">
        <f t="shared" si="117"/>
        <v>Y</v>
      </c>
      <c r="X183" s="179">
        <f t="shared" si="125"/>
        <v>1</v>
      </c>
      <c r="Y183" s="66">
        <f t="shared" si="118"/>
        <v>5.8615000000000004</v>
      </c>
      <c r="Z183" s="66">
        <f t="shared" si="119"/>
        <v>0.49630000000000002</v>
      </c>
      <c r="AA183" s="66">
        <f t="shared" si="120"/>
        <v>5.3652000000000006</v>
      </c>
      <c r="AB183" s="63" t="e">
        <f>VLOOKUP(A183,Enforcements!$C$7:$K$21,8,0)</f>
        <v>#N/A</v>
      </c>
      <c r="AC183" s="59" t="e">
        <f>VLOOKUP(A183,Enforcements!$C$7:$E$21,3,0)</f>
        <v>#N/A</v>
      </c>
      <c r="AD183" s="60" t="str">
        <f t="shared" si="121"/>
        <v>0822-09</v>
      </c>
      <c r="AE183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83" s="93" t="str">
        <f t="shared" si="123"/>
        <v>"C:\Program Files (x86)\AstroGrep\AstroGrep.exe" /spath="%USERPROFILE%\AppData\Local\Temp\OnboardLogs" /stypes="*4041*20160909*" /stext=" 20:.+((SYSTEM_STATE.+slice.+state.+changed )|(ment ac)|(system.+state.+changed )|(\|lc)|(penalty)|(\[timeout)|(PRM\|1\|D)|(kpr)|(kdp))" /e /r /s</v>
      </c>
      <c r="AG183" s="1" t="str">
        <f t="shared" si="124"/>
        <v>NW</v>
      </c>
      <c r="AH183" s="97" t="str">
        <f t="shared" si="91"/>
        <v>"%USERPROFILE%\Documents\GitHub\eaglep3\Utilities\RefineRTDCRunTimes.py" --tripid 822-09 --locoid 4041 --swversion DE.1.0.7.0 --startMP 300:58615 --initTime 2016-09-09T13:39:24 --startdatetime 2016-09-09T13:42:32 --delay 1 --endMP 300:4963 --enddatetime 2016-09-09T14:15:54 --enforcementcount 1 &gt;&gt;C:\Users\stu\Documents\GitHub\eaglep3-reporting\EC\2016-09-09-refined-times.txt</v>
      </c>
      <c r="AI183" s="129" t="str">
        <f t="shared" si="92"/>
        <v>echo {"issue":{"subject":"DUS 28S "stuck" at STOP…","project_id":79,"tracker_id":40,"status_id":1,"priority_id":2,"assigned_to_id":23,"start_date":"2016-09-09","description":"","custom_fields":[{"id":1,"name":"Subdivision","value":"NW"},{"id":4,"name":"Milepost","value":"5.3652"},{"id":17,"name":"Train ID","value":"822-09"},{"id":16,"name":"Locomotive ID","value":"4041"},{"id":130,"name":"Impact","value":""},{"id":150,"name":"Time of Event (Mountain Time)","value":"14:15:54"},{"id":151,"name":"Denver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38" s="22" customFormat="1" x14ac:dyDescent="0.25">
      <c r="A184" s="38" t="s">
        <v>667</v>
      </c>
      <c r="B184" s="7">
        <v>4042</v>
      </c>
      <c r="C184" s="23" t="s">
        <v>108</v>
      </c>
      <c r="D184" s="23" t="s">
        <v>668</v>
      </c>
      <c r="E184" s="15">
        <v>42622.597581018519</v>
      </c>
      <c r="F184" s="15">
        <v>42622.599548611113</v>
      </c>
      <c r="G184" s="7">
        <v>1</v>
      </c>
      <c r="H184" s="15" t="s">
        <v>669</v>
      </c>
      <c r="I184" s="15">
        <v>42622.600601851853</v>
      </c>
      <c r="J184" s="7">
        <v>1</v>
      </c>
      <c r="K184" s="114" t="str">
        <f t="shared" si="111"/>
        <v>4041/4042</v>
      </c>
      <c r="L184" s="23" t="str">
        <f>VLOOKUP(A184,'Trips&amp;Operators'!$C$1:$E$10000,3,FALSE)</f>
        <v>BERLING</v>
      </c>
      <c r="M184" s="6">
        <f t="shared" si="112"/>
        <v>1.0532407395658083E-3</v>
      </c>
      <c r="N184" s="7"/>
      <c r="O184" s="7"/>
      <c r="P184" s="7">
        <f>24*60*SUM($M184:$M184)</f>
        <v>1.516666664974764</v>
      </c>
      <c r="Q184" s="24"/>
      <c r="R184" s="24" t="s">
        <v>748</v>
      </c>
      <c r="S184" s="36">
        <f t="shared" si="114"/>
        <v>0</v>
      </c>
      <c r="T184" s="177" t="str">
        <f t="shared" si="115"/>
        <v>NorthBound</v>
      </c>
      <c r="U184" s="17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0</v>
      </c>
      <c r="V184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13:20:31-0600',mode:absolute,to:'2016-09-09 15:24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84" s="179" t="str">
        <f t="shared" si="117"/>
        <v>Y</v>
      </c>
      <c r="X184" s="179">
        <f t="shared" si="125"/>
        <v>1</v>
      </c>
      <c r="Y184" s="66">
        <f t="shared" si="118"/>
        <v>9.4299999999999995E-2</v>
      </c>
      <c r="Z184" s="66">
        <f t="shared" si="119"/>
        <v>0.1648</v>
      </c>
      <c r="AA184" s="66">
        <f t="shared" si="120"/>
        <v>7.0500000000000007E-2</v>
      </c>
      <c r="AB184" s="63" t="e">
        <f>VLOOKUP(A184,Enforcements!$C$7:$K$21,8,0)</f>
        <v>#N/A</v>
      </c>
      <c r="AC184" s="59" t="e">
        <f>VLOOKUP(A184,Enforcements!$C$7:$E$21,3,0)</f>
        <v>#N/A</v>
      </c>
      <c r="AD184" s="60" t="str">
        <f t="shared" si="121"/>
        <v>0823-09</v>
      </c>
      <c r="AE184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84" s="93" t="str">
        <f t="shared" si="123"/>
        <v>"C:\Program Files (x86)\AstroGrep\AstroGrep.exe" /spath="%USERPROFILE%\AppData\Local\Temp\OnboardLogs" /stypes="*4042*20160909*" /stext=" 20:.+((SYSTEM_STATE.+slice.+state.+changed )|(ment ac)|(system.+state.+changed )|(\|lc)|(penalty)|(\[timeout)|(PRM\|1\|D)|(kpr)|(kdp))" /e /r /s</v>
      </c>
      <c r="AG184" s="1" t="str">
        <f t="shared" si="124"/>
        <v>NW</v>
      </c>
      <c r="AH184" s="97" t="str">
        <f t="shared" si="91"/>
        <v>"%USERPROFILE%\Documents\GitHub\eaglep3\Utilities\RefineRTDCRunTimes.py" --tripid 823-09 --locoid 4042 --swversion DE.1.0.7.0 --startMP 204:943 --initTime 2016-09-09T14:20:31 --startdatetime 2016-09-09T14:23:21 --delay 1 --endMP 204:1648 --enddatetime 2016-09-09T14:24:52 --enforcementcount 1 &gt;&gt;C:\Users\stu\Documents\GitHub\eaglep3-reporting\EC\2016-09-09-refined-times.txt</v>
      </c>
      <c r="AI184" s="129" t="str">
        <f t="shared" si="92"/>
        <v>echo {"issue":{"subject":"DUS 28N "stuck" at STOP…","project_id":79,"tracker_id":40,"status_id":1,"priority_id":2,"assigned_to_id":23,"start_date":"2016-09-09","description":"","custom_fields":[{"id":1,"name":"Subdivision","value":"NW"},{"id":4,"name":"Milepost","value":"0.0705"},{"id":17,"name":"Train ID","value":"823-09"},{"id":16,"name":"Locomotive ID","value":"4042"},{"id":130,"name":"Impact","value":""},{"id":150,"name":"Time of Event (Mountain Time)","value":"14:24:52"},{"id":151,"name":"Denver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38" x14ac:dyDescent="0.25">
      <c r="A185" s="38" t="s">
        <v>670</v>
      </c>
      <c r="B185" s="7">
        <v>4041</v>
      </c>
      <c r="C185" s="23" t="s">
        <v>108</v>
      </c>
      <c r="D185" s="23" t="s">
        <v>291</v>
      </c>
      <c r="E185" s="15">
        <v>42622.612824074073</v>
      </c>
      <c r="F185" s="15">
        <v>42622.614201388889</v>
      </c>
      <c r="G185" s="7">
        <v>1</v>
      </c>
      <c r="H185" s="15" t="s">
        <v>671</v>
      </c>
      <c r="I185" s="15">
        <v>42622.623831018522</v>
      </c>
      <c r="J185" s="7">
        <v>1</v>
      </c>
      <c r="K185" s="114" t="str">
        <f t="shared" si="111"/>
        <v>4041/4042</v>
      </c>
      <c r="L185" s="23" t="str">
        <f>VLOOKUP(A185,'Trips&amp;Operators'!$C$1:$E$10000,3,FALSE)</f>
        <v>BERLING</v>
      </c>
      <c r="M185" s="6">
        <f t="shared" si="112"/>
        <v>9.6296296323998831E-3</v>
      </c>
      <c r="N185" s="7">
        <f t="shared" ref="N185:N217" si="126">24*60*SUM($M185:$M185)</f>
        <v>13.866666670655832</v>
      </c>
      <c r="O185" s="7"/>
      <c r="P185" s="7"/>
      <c r="Q185" s="24"/>
      <c r="R185" s="24"/>
      <c r="S185" s="36">
        <f t="shared" si="114"/>
        <v>1</v>
      </c>
      <c r="T185" s="51" t="str">
        <f t="shared" si="115"/>
        <v>Southbound</v>
      </c>
      <c r="U185" s="17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13:42:28-0600',mode:absolute,to:'2016-09-09 15:58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5" s="179" t="str">
        <f t="shared" si="117"/>
        <v>N</v>
      </c>
      <c r="X185" s="179">
        <f t="shared" si="125"/>
        <v>1</v>
      </c>
      <c r="Y185" s="66">
        <f t="shared" si="118"/>
        <v>5.8616999999999999</v>
      </c>
      <c r="Z185" s="66">
        <f t="shared" si="119"/>
        <v>6.6600000000000006E-2</v>
      </c>
      <c r="AA185" s="66">
        <f t="shared" si="120"/>
        <v>5.7950999999999997</v>
      </c>
      <c r="AB185" s="63" t="e">
        <f>VLOOKUP(A185,Enforcements!$C$7:$K$21,8,0)</f>
        <v>#N/A</v>
      </c>
      <c r="AC185" s="59" t="e">
        <f>VLOOKUP(A185,Enforcements!$C$7:$E$21,3,0)</f>
        <v>#N/A</v>
      </c>
      <c r="AD185" s="60" t="str">
        <f t="shared" si="121"/>
        <v>0824-09</v>
      </c>
      <c r="AE185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85" s="93" t="str">
        <f t="shared" si="123"/>
        <v>"C:\Program Files (x86)\AstroGrep\AstroGrep.exe" /spath="%USERPROFILE%\AppData\Local\Temp\OnboardLogs" /stypes="*4041*20160909*" /stext=" 20:.+((SYSTEM_STATE.+slice.+state.+changed )|(ment ac)|(system.+state.+changed )|(\|lc)|(penalty)|(\[timeout)|(PRM\|1\|D)|(kpr)|(kdp))" /e /r /s</v>
      </c>
      <c r="AG185" s="1" t="str">
        <f t="shared" si="124"/>
        <v>NW</v>
      </c>
      <c r="AH185" s="97" t="str">
        <f t="shared" si="91"/>
        <v>"%USERPROFILE%\Documents\GitHub\eaglep3\Utilities\RefineRTDCRunTimes.py" --tripid 824-09 --locoid 4041 --swversion DE.1.0.7.0 --startMP 300:58617 --initTime 2016-09-09T14:42:28 --startdatetime 2016-09-09T14:44:27 --delay 1 --endMP 204:666 --enddatetime 2016-09-09T14:58:19 --enforcementcount 1 &gt;&gt;C:\Users\stu\Documents\GitHub\eaglep3-reporting\EC\2016-09-09-refined-times.txt</v>
      </c>
      <c r="AI185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{"issue":{"subject":"","project_id":79,"tracker_id":40,"status_id":1,"priority_id":2,"assigned_to_id":23,"start_date":"2016-09-09","description":"","custom_fields":[{"id":1,"name":"Subdivision","value":"NW"},{"id":4,"name":"Milepost","value":"5.7951"},{"id":17,"name":"Train ID","value":"824-09"},{"id":16,"name":"Locomotive ID","value":"4041"},{"id":130,"name":"Impact","value":""},{"id":150,"name":"Time of Event (Mountain Time)","value":"14:58:19"},{"id":151,"name":"Denver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38" x14ac:dyDescent="0.25">
      <c r="A186" s="38" t="s">
        <v>672</v>
      </c>
      <c r="B186" s="7">
        <v>4042</v>
      </c>
      <c r="C186" s="23" t="s">
        <v>108</v>
      </c>
      <c r="D186" s="23" t="s">
        <v>673</v>
      </c>
      <c r="E186" s="15">
        <v>42622.626805555556</v>
      </c>
      <c r="F186" s="15">
        <v>42622.640034722222</v>
      </c>
      <c r="G186" s="7">
        <v>1</v>
      </c>
      <c r="H186" s="15" t="s">
        <v>674</v>
      </c>
      <c r="I186" s="15">
        <v>42622.650671296295</v>
      </c>
      <c r="J186" s="7">
        <v>1</v>
      </c>
      <c r="K186" s="114" t="str">
        <f t="shared" si="111"/>
        <v>4041/4042</v>
      </c>
      <c r="L186" s="23" t="str">
        <f>VLOOKUP(A186,'Trips&amp;Operators'!$C$1:$E$10000,3,FALSE)</f>
        <v>BERLING</v>
      </c>
      <c r="M186" s="6">
        <f t="shared" si="112"/>
        <v>1.063657407212304E-2</v>
      </c>
      <c r="N186" s="7">
        <f t="shared" si="126"/>
        <v>15.316666663857177</v>
      </c>
      <c r="O186" s="7"/>
      <c r="P186" s="7"/>
      <c r="Q186" s="24"/>
      <c r="R186" s="24"/>
      <c r="S186" s="36">
        <f t="shared" si="114"/>
        <v>1</v>
      </c>
      <c r="T186" s="51" t="str">
        <f t="shared" si="115"/>
        <v>NorthBound</v>
      </c>
      <c r="U186" s="17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14:02:36-0600',mode:absolute,to:'2016-09-09 16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86" s="179" t="str">
        <f t="shared" si="117"/>
        <v>N</v>
      </c>
      <c r="X186" s="179">
        <f t="shared" si="125"/>
        <v>1</v>
      </c>
      <c r="Y186" s="66">
        <f t="shared" si="118"/>
        <v>9.64E-2</v>
      </c>
      <c r="Z186" s="66">
        <f t="shared" si="119"/>
        <v>5.8928000000000003</v>
      </c>
      <c r="AA186" s="66">
        <f t="shared" si="120"/>
        <v>5.7964000000000002</v>
      </c>
      <c r="AB186" s="63" t="e">
        <f>VLOOKUP(A186,Enforcements!$C$7:$K$21,8,0)</f>
        <v>#N/A</v>
      </c>
      <c r="AC186" s="59" t="e">
        <f>VLOOKUP(A186,Enforcements!$C$7:$E$21,3,0)</f>
        <v>#N/A</v>
      </c>
      <c r="AD186" s="60" t="str">
        <f t="shared" si="121"/>
        <v>0825-09</v>
      </c>
      <c r="AE186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86" s="93" t="str">
        <f t="shared" si="123"/>
        <v>"C:\Program Files (x86)\AstroGrep\AstroGrep.exe" /spath="%USERPROFILE%\AppData\Local\Temp\OnboardLogs" /stypes="*4042*20160909*" /stext=" 21:.+((SYSTEM_STATE.+slice.+state.+changed )|(ment ac)|(system.+state.+changed )|(\|lc)|(penalty)|(\[timeout)|(PRM\|1\|D)|(kpr)|(kdp))" /e /r /s</v>
      </c>
      <c r="AG186" s="1" t="str">
        <f t="shared" si="124"/>
        <v>NW</v>
      </c>
      <c r="AH186" s="97" t="str">
        <f t="shared" si="91"/>
        <v>"%USERPROFILE%\Documents\GitHub\eaglep3\Utilities\RefineRTDCRunTimes.py" --tripid 825-09 --locoid 4042 --swversion DE.1.0.7.0 --startMP 204:964 --initTime 2016-09-09T15:02:36 --startdatetime 2016-09-09T15:21:39 --delay 1 --endMP 300:58928 --enddatetime 2016-09-09T15:36:58 --enforcementcount 1 &gt;&gt;C:\Users\stu\Documents\GitHub\eaglep3-reporting\EC\2016-09-09-refined-times.txt</v>
      </c>
      <c r="AI186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{"issue":{"subject":"","project_id":79,"tracker_id":40,"status_id":1,"priority_id":2,"assigned_to_id":23,"start_date":"2016-09-09","description":"","custom_fields":[{"id":1,"name":"Subdivision","value":"NW"},{"id":4,"name":"Milepost","value":"5.7964"},{"id":17,"name":"Train ID","value":"825-09"},{"id":16,"name":"Locomotive ID","value":"4042"},{"id":130,"name":"Impact","value":""},{"id":150,"name":"Time of Event (Mountain Time)","value":"15:36:58"},{"id":151,"name":"Denver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38" s="22" customFormat="1" x14ac:dyDescent="0.25">
      <c r="A187" s="38" t="s">
        <v>675</v>
      </c>
      <c r="B187" s="7">
        <v>4041</v>
      </c>
      <c r="C187" s="23" t="s">
        <v>108</v>
      </c>
      <c r="D187" s="23" t="s">
        <v>293</v>
      </c>
      <c r="E187" s="15">
        <v>42622.652106481481</v>
      </c>
      <c r="F187" s="15">
        <v>42622.653923611113</v>
      </c>
      <c r="G187" s="7">
        <v>1</v>
      </c>
      <c r="H187" s="15" t="s">
        <v>676</v>
      </c>
      <c r="I187" s="15">
        <v>42622.664895833332</v>
      </c>
      <c r="J187" s="7">
        <v>1</v>
      </c>
      <c r="K187" s="114" t="str">
        <f t="shared" si="111"/>
        <v>4041/4042</v>
      </c>
      <c r="L187" s="23" t="str">
        <f>VLOOKUP(A187,'Trips&amp;Operators'!$C$1:$E$10000,3,FALSE)</f>
        <v>BERLING</v>
      </c>
      <c r="M187" s="6">
        <f t="shared" si="112"/>
        <v>1.0972222218697425E-2</v>
      </c>
      <c r="N187" s="7">
        <f t="shared" si="126"/>
        <v>15.799999994924292</v>
      </c>
      <c r="O187" s="7"/>
      <c r="P187" s="7"/>
      <c r="Q187" s="24"/>
      <c r="R187" s="24"/>
      <c r="S187" s="36">
        <f t="shared" si="114"/>
        <v>1</v>
      </c>
      <c r="T187" s="51" t="str">
        <f t="shared" si="115"/>
        <v>Southbound</v>
      </c>
      <c r="U187" s="17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14:39:02-0600',mode:absolute,to:'2016-09-09 16:57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87" s="179" t="str">
        <f t="shared" si="117"/>
        <v>N</v>
      </c>
      <c r="X187" s="179">
        <f t="shared" si="125"/>
        <v>1</v>
      </c>
      <c r="Y187" s="66">
        <f t="shared" si="118"/>
        <v>5.8615000000000004</v>
      </c>
      <c r="Z187" s="66">
        <f t="shared" si="119"/>
        <v>6.7000000000000004E-2</v>
      </c>
      <c r="AA187" s="66">
        <f t="shared" si="120"/>
        <v>5.7945000000000002</v>
      </c>
      <c r="AB187" s="63" t="e">
        <f>VLOOKUP(A187,Enforcements!$C$7:$K$21,8,0)</f>
        <v>#N/A</v>
      </c>
      <c r="AC187" s="59" t="e">
        <f>VLOOKUP(A187,Enforcements!$C$7:$E$21,3,0)</f>
        <v>#N/A</v>
      </c>
      <c r="AD187" s="60" t="str">
        <f t="shared" si="121"/>
        <v>0826-09</v>
      </c>
      <c r="AE187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87" s="93" t="str">
        <f t="shared" si="123"/>
        <v>"C:\Program Files (x86)\AstroGrep\AstroGrep.exe" /spath="%USERPROFILE%\AppData\Local\Temp\OnboardLogs" /stypes="*4041*20160909*" /stext=" 21:.+((SYSTEM_STATE.+slice.+state.+changed )|(ment ac)|(system.+state.+changed )|(\|lc)|(penalty)|(\[timeout)|(PRM\|1\|D)|(kpr)|(kdp))" /e /r /s</v>
      </c>
      <c r="AG187" s="1" t="str">
        <f t="shared" si="124"/>
        <v>NW</v>
      </c>
      <c r="AH187" s="97" t="str">
        <f t="shared" si="91"/>
        <v>"%USERPROFILE%\Documents\GitHub\eaglep3\Utilities\RefineRTDCRunTimes.py" --tripid 826-09 --locoid 4041 --swversion DE.1.0.7.0 --startMP 300:58615 --initTime 2016-09-09T15:39:02 --startdatetime 2016-09-09T15:41:39 --delay 1 --endMP 204:670 --enddatetime 2016-09-09T15:57:27 --enforcementcount 1 &gt;&gt;C:\Users\stu\Documents\GitHub\eaglep3-reporting\EC\2016-09-09-refined-times.txt</v>
      </c>
      <c r="AI187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{"issue":{"subject":"","project_id":79,"tracker_id":40,"status_id":1,"priority_id":2,"assigned_to_id":23,"start_date":"2016-09-09","description":"","custom_fields":[{"id":1,"name":"Subdivision","value":"NW"},{"id":4,"name":"Milepost","value":"5.7945"},{"id":17,"name":"Train ID","value":"826-09"},{"id":16,"name":"Locomotive ID","value":"4041"},{"id":130,"name":"Impact","value":""},{"id":150,"name":"Time of Event (Mountain Time)","value":"15:57:27"},{"id":151,"name":"Denver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38" x14ac:dyDescent="0.25">
      <c r="A188" s="38" t="s">
        <v>677</v>
      </c>
      <c r="B188" s="7">
        <v>4038</v>
      </c>
      <c r="C188" s="23" t="s">
        <v>108</v>
      </c>
      <c r="D188" s="23" t="s">
        <v>678</v>
      </c>
      <c r="E188" s="15">
        <v>42622.647048611114</v>
      </c>
      <c r="F188" s="15">
        <v>42622.661030092589</v>
      </c>
      <c r="G188" s="7">
        <v>4</v>
      </c>
      <c r="H188" s="15" t="s">
        <v>363</v>
      </c>
      <c r="I188" s="15">
        <v>42622.671446759261</v>
      </c>
      <c r="J188" s="7">
        <v>1</v>
      </c>
      <c r="K188" s="114" t="str">
        <f t="shared" si="111"/>
        <v>4037/4038</v>
      </c>
      <c r="L188" s="23" t="str">
        <f>VLOOKUP(A188,'Trips&amp;Operators'!$C$1:$E$10000,3,FALSE)</f>
        <v>CRAYTON</v>
      </c>
      <c r="M188" s="6">
        <f t="shared" si="112"/>
        <v>1.0416666671517305E-2</v>
      </c>
      <c r="N188" s="7">
        <f t="shared" si="126"/>
        <v>15.000000006984919</v>
      </c>
      <c r="O188" s="7"/>
      <c r="P188" s="7"/>
      <c r="Q188" s="24"/>
      <c r="R188" s="24"/>
      <c r="S188" s="36">
        <f t="shared" si="114"/>
        <v>1</v>
      </c>
      <c r="T188" s="51" t="str">
        <f t="shared" si="115"/>
        <v>NorthBound</v>
      </c>
      <c r="U188" s="17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14:31:45-0600',mode:absolute,to:'2016-09-09 17:06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88" s="179" t="str">
        <f t="shared" si="117"/>
        <v>N</v>
      </c>
      <c r="X188" s="179">
        <f t="shared" si="125"/>
        <v>1</v>
      </c>
      <c r="Y188" s="66">
        <f t="shared" si="118"/>
        <v>0.1027</v>
      </c>
      <c r="Z188" s="66">
        <f t="shared" si="119"/>
        <v>5.8952</v>
      </c>
      <c r="AA188" s="66">
        <f t="shared" si="120"/>
        <v>5.7925000000000004</v>
      </c>
      <c r="AB188" s="63" t="e">
        <f>VLOOKUP(A188,Enforcements!$C$7:$K$21,8,0)</f>
        <v>#N/A</v>
      </c>
      <c r="AC188" s="59" t="e">
        <f>VLOOKUP(A188,Enforcements!$C$7:$E$21,3,0)</f>
        <v>#N/A</v>
      </c>
      <c r="AD188" s="60" t="str">
        <f t="shared" si="121"/>
        <v>0827-09</v>
      </c>
      <c r="AE188" s="96" t="str">
        <f t="shared" si="122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88" s="93" t="str">
        <f t="shared" si="123"/>
        <v>"C:\Program Files (x86)\AstroGrep\AstroGrep.exe" /spath="%USERPROFILE%\AppData\Local\Temp\OnboardLogs" /stypes="*4038*20160909*" /stext=" 22:.+((SYSTEM_STATE.+slice.+state.+changed )|(ment ac)|(system.+state.+changed )|(\|lc)|(penalty)|(\[timeout)|(PRM\|1\|D)|(kpr)|(kdp))" /e /r /s</v>
      </c>
      <c r="AG188" s="1" t="str">
        <f t="shared" si="124"/>
        <v>NW</v>
      </c>
      <c r="AH188" s="97" t="str">
        <f t="shared" si="91"/>
        <v>"%USERPROFILE%\Documents\GitHub\eaglep3\Utilities\RefineRTDCRunTimes.py" --tripid 827-09 --locoid 4038 --swversion DE.1.0.7.0 --startMP 204:1027 --initTime 2016-09-09T15:31:45 --startdatetime 2016-09-09T15:51:53 --delay 4 --endMP 300:58952 --enddatetime 2016-09-09T16:06:53 --enforcementcount 1 &gt;&gt;C:\Users\stu\Documents\GitHub\eaglep3-reporting\EC\2016-09-09-refined-times.txt</v>
      </c>
      <c r="AI188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{"issue":{"subject":"","project_id":79,"tracker_id":40,"status_id":1,"priority_id":2,"assigned_to_id":23,"start_date":"2016-09-09","description":"","custom_fields":[{"id":1,"name":"Subdivision","value":"NW"},{"id":4,"name":"Milepost","value":"5.7925"},{"id":17,"name":"Train ID","value":"827-09"},{"id":16,"name":"Locomotive ID","value":"4038"},{"id":130,"name":"Impact","value":""},{"id":150,"name":"Time of Event (Mountain Time)","value":"16:06:53"},{"id":151,"name":"Denver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38" x14ac:dyDescent="0.25">
      <c r="A189" s="38" t="s">
        <v>679</v>
      </c>
      <c r="B189" s="7">
        <v>4037</v>
      </c>
      <c r="C189" s="23" t="s">
        <v>108</v>
      </c>
      <c r="D189" s="23" t="s">
        <v>680</v>
      </c>
      <c r="E189" s="15">
        <v>42622.672476851854</v>
      </c>
      <c r="F189" s="15">
        <v>42622.673900462964</v>
      </c>
      <c r="G189" s="7">
        <v>1</v>
      </c>
      <c r="H189" s="15" t="s">
        <v>681</v>
      </c>
      <c r="I189" s="15">
        <v>42622.68540509259</v>
      </c>
      <c r="J189" s="7">
        <v>1</v>
      </c>
      <c r="K189" s="114" t="str">
        <f t="shared" si="111"/>
        <v>4037/4038</v>
      </c>
      <c r="L189" s="23" t="str">
        <f>VLOOKUP(A189,'Trips&amp;Operators'!$C$1:$E$10000,3,FALSE)</f>
        <v>CRAYTON</v>
      </c>
      <c r="M189" s="6">
        <f t="shared" si="112"/>
        <v>1.1504629626870155E-2</v>
      </c>
      <c r="N189" s="7">
        <f t="shared" si="126"/>
        <v>16.566666662693024</v>
      </c>
      <c r="O189" s="7"/>
      <c r="P189" s="7"/>
      <c r="Q189" s="24"/>
      <c r="R189" s="24"/>
      <c r="S189" s="36">
        <f t="shared" si="114"/>
        <v>1</v>
      </c>
      <c r="T189" s="51" t="str">
        <f t="shared" si="115"/>
        <v>Southbound</v>
      </c>
      <c r="U189" s="17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15:08:22-0600',mode:absolute,to:'2016-09-09 17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89" s="179" t="str">
        <f t="shared" si="117"/>
        <v>N</v>
      </c>
      <c r="X189" s="179">
        <f t="shared" si="125"/>
        <v>1</v>
      </c>
      <c r="Y189" s="66">
        <f t="shared" si="118"/>
        <v>5.8648999999999996</v>
      </c>
      <c r="Z189" s="66">
        <f t="shared" si="119"/>
        <v>7.5700000000000003E-2</v>
      </c>
      <c r="AA189" s="66">
        <f t="shared" si="120"/>
        <v>5.7891999999999992</v>
      </c>
      <c r="AB189" s="63" t="e">
        <f>VLOOKUP(A189,Enforcements!$C$7:$K$21,8,0)</f>
        <v>#N/A</v>
      </c>
      <c r="AC189" s="59" t="e">
        <f>VLOOKUP(A189,Enforcements!$C$7:$E$21,3,0)</f>
        <v>#N/A</v>
      </c>
      <c r="AD189" s="60" t="str">
        <f t="shared" si="121"/>
        <v>0828-09</v>
      </c>
      <c r="AE189" s="96" t="str">
        <f t="shared" si="122"/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89" s="93" t="str">
        <f t="shared" si="123"/>
        <v>"C:\Program Files (x86)\AstroGrep\AstroGrep.exe" /spath="%USERPROFILE%\AppData\Local\Temp\OnboardLogs" /stypes="*4037*20160909*" /stext=" 22:.+((SYSTEM_STATE.+slice.+state.+changed )|(ment ac)|(system.+state.+changed )|(\|lc)|(penalty)|(\[timeout)|(PRM\|1\|D)|(kpr)|(kdp))" /e /r /s</v>
      </c>
      <c r="AG189" s="1" t="str">
        <f t="shared" si="124"/>
        <v>NW</v>
      </c>
      <c r="AH189" s="97" t="str">
        <f t="shared" si="91"/>
        <v>"%USERPROFILE%\Documents\GitHub\eaglep3\Utilities\RefineRTDCRunTimes.py" --tripid 828-09 --locoid 4037 --swversion DE.1.0.7.0 --startMP 300:58649 --initTime 2016-09-09T16:08:22 --startdatetime 2016-09-09T16:10:25 --delay 1 --endMP 204:757 --enddatetime 2016-09-09T16:26:59 --enforcementcount 1 &gt;&gt;C:\Users\stu\Documents\GitHub\eaglep3-reporting\EC\2016-09-09-refined-times.txt</v>
      </c>
      <c r="AI189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{"issue":{"subject":"","project_id":79,"tracker_id":40,"status_id":1,"priority_id":2,"assigned_to_id":23,"start_date":"2016-09-09","description":"","custom_fields":[{"id":1,"name":"Subdivision","value":"NW"},{"id":4,"name":"Milepost","value":"5.7892"},{"id":17,"name":"Train ID","value":"828-09"},{"id":16,"name":"Locomotive ID","value":"4037"},{"id":130,"name":"Impact","value":""},{"id":150,"name":"Time of Event (Mountain Time)","value":"16:26:59"},{"id":151,"name":"Denver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38" s="22" customFormat="1" x14ac:dyDescent="0.25">
      <c r="A190" s="38" t="s">
        <v>682</v>
      </c>
      <c r="B190" s="7">
        <v>4042</v>
      </c>
      <c r="C190" s="23" t="s">
        <v>108</v>
      </c>
      <c r="D190" s="23" t="s">
        <v>683</v>
      </c>
      <c r="E190" s="15">
        <v>42622.666886574072</v>
      </c>
      <c r="F190" s="15">
        <v>42622.681493055556</v>
      </c>
      <c r="G190" s="7">
        <v>1</v>
      </c>
      <c r="H190" s="15" t="s">
        <v>659</v>
      </c>
      <c r="I190" s="15">
        <v>42622.692129629628</v>
      </c>
      <c r="J190" s="7">
        <v>1</v>
      </c>
      <c r="K190" s="114" t="str">
        <f t="shared" si="111"/>
        <v>4041/4042</v>
      </c>
      <c r="L190" s="23" t="str">
        <f>VLOOKUP(A190,'Trips&amp;Operators'!$C$1:$E$10000,3,FALSE)</f>
        <v>BERLING</v>
      </c>
      <c r="M190" s="6">
        <f t="shared" si="112"/>
        <v>1.063657407212304E-2</v>
      </c>
      <c r="N190" s="7">
        <f t="shared" si="126"/>
        <v>15.316666663857177</v>
      </c>
      <c r="O190" s="7"/>
      <c r="P190" s="7"/>
      <c r="Q190" s="24"/>
      <c r="R190" s="24"/>
      <c r="S190" s="36">
        <f t="shared" si="114"/>
        <v>1</v>
      </c>
      <c r="T190" s="51" t="str">
        <f t="shared" si="115"/>
        <v>NorthBound</v>
      </c>
      <c r="U190" s="17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15:00:19-0600',mode:absolute,to:'2016-09-09 17:36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0" s="179" t="str">
        <f t="shared" si="117"/>
        <v>N</v>
      </c>
      <c r="X190" s="179">
        <f t="shared" si="125"/>
        <v>1</v>
      </c>
      <c r="Y190" s="66">
        <f t="shared" si="118"/>
        <v>9.5699999999999993E-2</v>
      </c>
      <c r="Z190" s="66">
        <f t="shared" si="119"/>
        <v>5.8929</v>
      </c>
      <c r="AA190" s="66">
        <f t="shared" si="120"/>
        <v>5.7972000000000001</v>
      </c>
      <c r="AB190" s="63" t="e">
        <f>VLOOKUP(A190,Enforcements!$C$7:$K$21,8,0)</f>
        <v>#N/A</v>
      </c>
      <c r="AC190" s="59" t="e">
        <f>VLOOKUP(A190,Enforcements!$C$7:$E$21,3,0)</f>
        <v>#N/A</v>
      </c>
      <c r="AD190" s="60" t="str">
        <f t="shared" si="121"/>
        <v>0829-09</v>
      </c>
      <c r="AE190" s="96" t="str">
        <f t="shared" si="122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90" s="93" t="str">
        <f t="shared" si="123"/>
        <v>"C:\Program Files (x86)\AstroGrep\AstroGrep.exe" /spath="%USERPROFILE%\AppData\Local\Temp\OnboardLogs" /stypes="*4042*20160909*" /stext=" 22:.+((SYSTEM_STATE.+slice.+state.+changed )|(ment ac)|(system.+state.+changed )|(\|lc)|(penalty)|(\[timeout)|(PRM\|1\|D)|(kpr)|(kdp))" /e /r /s</v>
      </c>
      <c r="AG190" s="1" t="str">
        <f t="shared" si="124"/>
        <v>NW</v>
      </c>
      <c r="AH190" s="97" t="str">
        <f t="shared" si="91"/>
        <v>"%USERPROFILE%\Documents\GitHub\eaglep3\Utilities\RefineRTDCRunTimes.py" --tripid 829-09 --locoid 4042 --swversion DE.1.0.7.0 --startMP 204:957 --initTime 2016-09-09T16:00:19 --startdatetime 2016-09-09T16:21:21 --delay 1 --endMP 300:58929 --enddatetime 2016-09-09T16:36:40 --enforcementcount 1 &gt;&gt;C:\Users\stu\Documents\GitHub\eaglep3-reporting\EC\2016-09-09-refined-times.txt</v>
      </c>
      <c r="AI190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{"issue":{"subject":"","project_id":79,"tracker_id":40,"status_id":1,"priority_id":2,"assigned_to_id":23,"start_date":"2016-09-09","description":"","custom_fields":[{"id":1,"name":"Subdivision","value":"NW"},{"id":4,"name":"Milepost","value":"5.7972"},{"id":17,"name":"Train ID","value":"829-09"},{"id":16,"name":"Locomotive ID","value":"4042"},{"id":130,"name":"Impact","value":""},{"id":150,"name":"Time of Event (Mountain Time)","value":"16:36:40"},{"id":151,"name":"Denver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38" s="22" customFormat="1" x14ac:dyDescent="0.25">
      <c r="A191" s="38" t="s">
        <v>684</v>
      </c>
      <c r="B191" s="7">
        <v>4041</v>
      </c>
      <c r="C191" s="23" t="s">
        <v>108</v>
      </c>
      <c r="D191" s="23" t="s">
        <v>685</v>
      </c>
      <c r="E191" s="15">
        <v>42622.693379629629</v>
      </c>
      <c r="F191" s="15">
        <v>42622.694745370369</v>
      </c>
      <c r="G191" s="7">
        <v>1</v>
      </c>
      <c r="H191" s="15" t="s">
        <v>671</v>
      </c>
      <c r="I191" s="15">
        <v>42622.705567129633</v>
      </c>
      <c r="J191" s="7">
        <v>1</v>
      </c>
      <c r="K191" s="114" t="str">
        <f t="shared" si="111"/>
        <v>4041/4042</v>
      </c>
      <c r="L191" s="23" t="str">
        <f>VLOOKUP(A191,'Trips&amp;Operators'!$C$1:$E$10000,3,FALSE)</f>
        <v>BERLING</v>
      </c>
      <c r="M191" s="6">
        <f t="shared" si="112"/>
        <v>1.082175926421769E-2</v>
      </c>
      <c r="N191" s="7">
        <f t="shared" si="126"/>
        <v>15.583333340473473</v>
      </c>
      <c r="O191" s="7"/>
      <c r="P191" s="7"/>
      <c r="Q191" s="24"/>
      <c r="R191" s="24"/>
      <c r="S191" s="36">
        <f t="shared" si="114"/>
        <v>1</v>
      </c>
      <c r="T191" s="51" t="str">
        <f t="shared" si="115"/>
        <v>Southbound</v>
      </c>
      <c r="U191" s="17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15:38:28-0600',mode:absolute,to:'2016-09-09 17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91" s="179" t="str">
        <f t="shared" si="117"/>
        <v>N</v>
      </c>
      <c r="X191" s="179">
        <f t="shared" si="125"/>
        <v>1</v>
      </c>
      <c r="Y191" s="66">
        <f t="shared" si="118"/>
        <v>5.8613</v>
      </c>
      <c r="Z191" s="66">
        <f t="shared" si="119"/>
        <v>6.6600000000000006E-2</v>
      </c>
      <c r="AA191" s="66">
        <f t="shared" si="120"/>
        <v>5.7946999999999997</v>
      </c>
      <c r="AB191" s="63" t="e">
        <f>VLOOKUP(A191,Enforcements!$C$7:$K$21,8,0)</f>
        <v>#N/A</v>
      </c>
      <c r="AC191" s="59" t="e">
        <f>VLOOKUP(A191,Enforcements!$C$7:$E$21,3,0)</f>
        <v>#N/A</v>
      </c>
      <c r="AD191" s="60" t="str">
        <f t="shared" si="121"/>
        <v>0830-09</v>
      </c>
      <c r="AE191" s="96" t="str">
        <f t="shared" si="122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91" s="93" t="str">
        <f t="shared" si="123"/>
        <v>"C:\Program Files (x86)\AstroGrep\AstroGrep.exe" /spath="%USERPROFILE%\AppData\Local\Temp\OnboardLogs" /stypes="*4041*20160909*" /stext=" 22:.+((SYSTEM_STATE.+slice.+state.+changed )|(ment ac)|(system.+state.+changed )|(\|lc)|(penalty)|(\[timeout)|(PRM\|1\|D)|(kpr)|(kdp))" /e /r /s</v>
      </c>
      <c r="AG191" s="1" t="str">
        <f t="shared" si="124"/>
        <v>NW</v>
      </c>
      <c r="AH191" s="97" t="str">
        <f t="shared" si="91"/>
        <v>"%USERPROFILE%\Documents\GitHub\eaglep3\Utilities\RefineRTDCRunTimes.py" --tripid 830-09 --locoid 4041 --swversion DE.1.0.7.0 --startMP 300:58613 --initTime 2016-09-09T16:38:28 --startdatetime 2016-09-09T16:40:26 --delay 1 --endMP 204:666 --enddatetime 2016-09-09T16:56:01 --enforcementcount 1 &gt;&gt;C:\Users\stu\Documents\GitHub\eaglep3-reporting\EC\2016-09-09-refined-times.txt</v>
      </c>
      <c r="AI191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{"issue":{"subject":"","project_id":79,"tracker_id":40,"status_id":1,"priority_id":2,"assigned_to_id":23,"start_date":"2016-09-09","description":"","custom_fields":[{"id":1,"name":"Subdivision","value":"NW"},{"id":4,"name":"Milepost","value":"5.7947"},{"id":17,"name":"Train ID","value":"830-09"},{"id":16,"name":"Locomotive ID","value":"4041"},{"id":130,"name":"Impact","value":""},{"id":150,"name":"Time of Event (Mountain Time)","value":"16:56:01"},{"id":151,"name":"Denver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38" x14ac:dyDescent="0.25">
      <c r="A192" s="38" t="s">
        <v>686</v>
      </c>
      <c r="B192" s="7">
        <v>4038</v>
      </c>
      <c r="C192" s="23" t="s">
        <v>108</v>
      </c>
      <c r="D192" s="23" t="s">
        <v>687</v>
      </c>
      <c r="E192" s="15">
        <v>42622.687754629631</v>
      </c>
      <c r="F192" s="15">
        <v>42622.702256944445</v>
      </c>
      <c r="G192" s="7">
        <v>1</v>
      </c>
      <c r="H192" s="15" t="s">
        <v>659</v>
      </c>
      <c r="I192" s="15">
        <v>42622.712372685186</v>
      </c>
      <c r="J192" s="7">
        <v>1</v>
      </c>
      <c r="K192" s="114" t="str">
        <f t="shared" si="111"/>
        <v>4037/4038</v>
      </c>
      <c r="L192" s="23" t="str">
        <f>VLOOKUP(A192,'Trips&amp;Operators'!$C$1:$E$10000,3,FALSE)</f>
        <v>CRAYTON</v>
      </c>
      <c r="M192" s="6">
        <f t="shared" si="112"/>
        <v>1.0115740740729962E-2</v>
      </c>
      <c r="N192" s="7">
        <f t="shared" si="126"/>
        <v>14.566666666651145</v>
      </c>
      <c r="O192" s="7"/>
      <c r="P192" s="7"/>
      <c r="Q192" s="24"/>
      <c r="R192" s="24"/>
      <c r="S192" s="36">
        <f t="shared" si="114"/>
        <v>1</v>
      </c>
      <c r="T192" s="51" t="str">
        <f t="shared" si="115"/>
        <v>NorthBound</v>
      </c>
      <c r="U192" s="17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78" t="str">
        <f t="shared" si="116"/>
        <v>https://search-rtdc-monitor-bjffxe2xuh6vdkpspy63sjmuny.us-east-1.es.amazonaws.com/_plugin/kibana/#/discover/Steve-Slow-Train-Analysis-(2080s-and-2083s)?_g=(refreshInterval:(display:Off,section:0,value:0),time:(from:'2016-09-09 15:30:22-0600',mode:absolute,to:'2016-09-09 18:05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2" s="179" t="str">
        <f t="shared" si="117"/>
        <v>N</v>
      </c>
      <c r="X192" s="179">
        <f t="shared" si="125"/>
        <v>1</v>
      </c>
      <c r="Y192" s="66">
        <f t="shared" si="118"/>
        <v>0.1053</v>
      </c>
      <c r="Z192" s="66">
        <f t="shared" si="119"/>
        <v>5.8929</v>
      </c>
      <c r="AA192" s="66">
        <f t="shared" si="120"/>
        <v>5.7876000000000003</v>
      </c>
      <c r="AB192" s="63" t="e">
        <f>VLOOKUP(A192,Enforcements!$C$7:$K$21,8,0)</f>
        <v>#N/A</v>
      </c>
      <c r="AC192" s="59" t="e">
        <f>VLOOKUP(A192,Enforcements!$C$7:$E$21,3,0)</f>
        <v>#N/A</v>
      </c>
      <c r="AD192" s="60" t="str">
        <f t="shared" si="121"/>
        <v>0831-09</v>
      </c>
      <c r="AE192" s="96" t="str">
        <f t="shared" si="122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92" s="93" t="str">
        <f t="shared" si="123"/>
        <v>"C:\Program Files (x86)\AstroGrep\AstroGrep.exe" /spath="%USERPROFILE%\AppData\Local\Temp\OnboardLogs" /stypes="*4038*20160909*" /stext=" 23:.+((SYSTEM_STATE.+slice.+state.+changed )|(ment ac)|(system.+state.+changed )|(\|lc)|(penalty)|(\[timeout)|(PRM\|1\|D)|(kpr)|(kdp))" /e /r /s</v>
      </c>
      <c r="AG192" s="1" t="str">
        <f t="shared" si="124"/>
        <v>NW</v>
      </c>
      <c r="AH192" s="97" t="str">
        <f t="shared" si="91"/>
        <v>"%USERPROFILE%\Documents\GitHub\eaglep3\Utilities\RefineRTDCRunTimes.py" --tripid 831-09 --locoid 4038 --swversion DE.1.0.7.0 --startMP 204:1053 --initTime 2016-09-09T16:30:22 --startdatetime 2016-09-09T16:51:15 --delay 1 --endMP 300:58929 --enddatetime 2016-09-09T17:05:49 --enforcementcount 1 &gt;&gt;C:\Users\stu\Documents\GitHub\eaglep3-reporting\EC\2016-09-09-refined-times.txt</v>
      </c>
      <c r="AI192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{"issue":{"subject":"","project_id":79,"tracker_id":40,"status_id":1,"priority_id":2,"assigned_to_id":23,"start_date":"2016-09-09","description":"","custom_fields":[{"id":1,"name":"Subdivision","value":"NW"},{"id":4,"name":"Milepost","value":"5.7876"},{"id":17,"name":"Train ID","value":"831-09"},{"id":16,"name":"Locomotive ID","value":"4038"},{"id":130,"name":"Impact","value":""},{"id":150,"name":"Time of Event (Mountain Time)","value":"17:05:49"},{"id":151,"name":"Denver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8" t="s">
        <v>688</v>
      </c>
      <c r="B193" s="7">
        <v>4037</v>
      </c>
      <c r="C193" s="23" t="s">
        <v>108</v>
      </c>
      <c r="D193" s="23" t="s">
        <v>689</v>
      </c>
      <c r="E193" s="15">
        <v>42622.71361111111</v>
      </c>
      <c r="F193" s="15">
        <v>42622.715104166666</v>
      </c>
      <c r="G193" s="7">
        <v>1</v>
      </c>
      <c r="H193" s="15" t="s">
        <v>690</v>
      </c>
      <c r="I193" s="15">
        <v>42622.727083333331</v>
      </c>
      <c r="J193" s="7">
        <v>1</v>
      </c>
      <c r="K193" s="114" t="str">
        <f t="shared" ref="K193:K217" si="127">IF(ISEVEN(B193),(B193-1)&amp;"/"&amp;B193,B193&amp;"/"&amp;(B193+1))</f>
        <v>4037/4038</v>
      </c>
      <c r="L193" s="23" t="str">
        <f>VLOOKUP(A193,'Trips&amp;Operators'!$C$1:$E$10000,3,FALSE)</f>
        <v>CRAYTON</v>
      </c>
      <c r="M193" s="6">
        <f t="shared" ref="M193:M217" si="128">I193-F193</f>
        <v>1.1979166665696539E-2</v>
      </c>
      <c r="N193" s="7">
        <f t="shared" si="126"/>
        <v>17.249999998603016</v>
      </c>
      <c r="O193" s="7"/>
      <c r="P193" s="7"/>
      <c r="Q193" s="24"/>
      <c r="R193" s="24"/>
      <c r="S193" s="36">
        <f t="shared" ref="S193:S217" si="129">SUM(U193:U193)/IF(AG193="EC",12,1)</f>
        <v>1</v>
      </c>
      <c r="T193" s="51" t="str">
        <f t="shared" ref="T193:T217" si="130">IF(ISEVEN(LEFT(AD193,4)),"Southbound","NorthBound")</f>
        <v>Southbound</v>
      </c>
      <c r="U193" s="17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78" t="str">
        <f t="shared" ref="V193:V217" si="131"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https://search-rtdc-monitor-bjffxe2xuh6vdkpspy63sjmuny.us-east-1.es.amazonaws.com/_plugin/kibana/#/discover/Steve-Slow-Train-Analysis-(2080s-and-2083s)?_g=(refreshInterval:(display:Off,section:0,value:0),time:(from:'2016-09-09 16:07:36-0600',mode:absolute,to:'2016-09-09 18:27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93" s="179" t="str">
        <f t="shared" ref="W193:W217" si="132">IF(AA193&lt;IF(AG193="EC",23,5.65),"Y","N")</f>
        <v>N</v>
      </c>
      <c r="X193" s="179">
        <f t="shared" si="125"/>
        <v>1</v>
      </c>
      <c r="Y193" s="66">
        <f t="shared" ref="Y193:Y217" si="133">RIGHT(D193,LEN(D193)-4)/10000</f>
        <v>5.8608000000000002</v>
      </c>
      <c r="Z193" s="66">
        <f t="shared" ref="Z193:Z217" si="134">RIGHT(H193,LEN(H193)-4)/10000</f>
        <v>7.6200000000000004E-2</v>
      </c>
      <c r="AA193" s="66">
        <f t="shared" ref="AA193:AA217" si="135">ABS(Z193-Y193)</f>
        <v>5.7846000000000002</v>
      </c>
      <c r="AB193" s="63" t="e">
        <f>VLOOKUP(A193,Enforcements!$C$7:$K$21,8,0)</f>
        <v>#N/A</v>
      </c>
      <c r="AC193" s="59" t="e">
        <f>VLOOKUP(A193,Enforcements!$C$7:$E$21,3,0)</f>
        <v>#N/A</v>
      </c>
      <c r="AD193" s="60" t="str">
        <f t="shared" ref="AD193:AD217" si="136">IF(LEN(A193)=6,"0"&amp;A193,A193)</f>
        <v>0832-09</v>
      </c>
      <c r="AE193" s="96" t="str">
        <f t="shared" ref="AE193:AE217" si="137">"aws s3 cp "&amp;s3_bucket&amp;"/RTDC"&amp;B193&amp;"/"&amp;TEXT(F193,"YYYY-MM-DD")&amp;"/ "&amp;search_path&amp;"\RTDC"&amp;B193&amp;"\"&amp;TEXT(F193,"YYYY-MM-DD")&amp;" --recursive &amp; """&amp;walkandungz&amp;""" "&amp;search_path&amp;"\RTDC"&amp;B193&amp;"\"&amp;TEXT(F193,"YYYY-MM-DD")
&amp;" &amp; "&amp;"aws s3 cp "&amp;s3_bucket&amp;"/RTDC"&amp;B193&amp;"/"&amp;TEXT(F193+1,"YYYY-MM-DD")&amp;"/ "&amp;search_path&amp;"\RTDC"&amp;B193&amp;"\"&amp;TEXT(F193+1,"YYYY-MM-DD")&amp;" --recursive &amp; """&amp;walkandungz&amp;""" "&amp;search_path&amp;"\RTDC"&amp;B193&amp;"\"&amp;TEXT(F193+1,"YYYY-MM-DD")</f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93" s="93" t="str">
        <f t="shared" ref="AF193:AF217" si="138">astrogrep_path&amp;" /spath="&amp;search_path&amp;" /stypes=""*"&amp;B193&amp;"*"&amp;TEXT(I193-utc_offset/24,"YYYYMMDD")&amp;"*"" /stext="" "&amp;TEXT(I193-utc_offset/24,"HH")&amp;search_regexp&amp;""" /e /r /s"</f>
        <v>"C:\Program Files (x86)\AstroGrep\AstroGrep.exe" /spath="%USERPROFILE%\AppData\Local\Temp\OnboardLogs" /stypes="*4037*20160909*" /stext=" 23:.+((SYSTEM_STATE.+slice.+state.+changed )|(ment ac)|(system.+state.+changed )|(\|lc)|(penalty)|(\[timeout)|(PRM\|1\|D)|(kpr)|(kdp))" /e /r /s</v>
      </c>
      <c r="AG193" s="1" t="str">
        <f t="shared" ref="AG193:AG217" si="139">IFERROR(IF(VALUE(LEFT(AD193,2))&lt;=2,"EC",IF(OR(VALUE(LEFT(AD193,2))=8,VALUE(LEFT(AD193,2))=18),"NW","Other")),"Other")</f>
        <v>NW</v>
      </c>
      <c r="AH193" s="97" t="str">
        <f t="shared" si="91"/>
        <v>"%USERPROFILE%\Documents\GitHub\eaglep3\Utilities\RefineRTDCRunTimes.py" --tripid 832-09 --locoid 4037 --swversion DE.1.0.7.0 --startMP 300:58608 --initTime 2016-09-09T17:07:36 --startdatetime 2016-09-09T17:09:45 --delay 1 --endMP 204:762 --enddatetime 2016-09-09T17:27:00 --enforcementcount 1 &gt;&gt;C:\Users\stu\Documents\GitHub\eaglep3-reporting\EC\2016-09-09-refined-times.txt</v>
      </c>
      <c r="AI193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{"issue":{"subject":"","project_id":79,"tracker_id":40,"status_id":1,"priority_id":2,"assigned_to_id":23,"start_date":"2016-09-09","description":"","custom_fields":[{"id":1,"name":"Subdivision","value":"NW"},{"id":4,"name":"Milepost","value":"5.7846"},{"id":17,"name":"Train ID","value":"832-09"},{"id":16,"name":"Locomotive ID","value":"4037"},{"id":130,"name":"Impact","value":""},{"id":150,"name":"Time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8" t="s">
        <v>691</v>
      </c>
      <c r="B194" s="7">
        <v>4042</v>
      </c>
      <c r="C194" s="23" t="s">
        <v>108</v>
      </c>
      <c r="D194" s="23" t="s">
        <v>683</v>
      </c>
      <c r="E194" s="15">
        <v>42622.707453703704</v>
      </c>
      <c r="F194" s="15">
        <v>42622.72314814815</v>
      </c>
      <c r="G194" s="7">
        <v>1</v>
      </c>
      <c r="H194" s="15" t="s">
        <v>674</v>
      </c>
      <c r="I194" s="15">
        <v>42622.733124999999</v>
      </c>
      <c r="J194" s="7">
        <v>1</v>
      </c>
      <c r="K194" s="114" t="str">
        <f t="shared" si="127"/>
        <v>4041/4042</v>
      </c>
      <c r="L194" s="23" t="str">
        <f>VLOOKUP(A194,'Trips&amp;Operators'!$C$1:$E$10000,3,FALSE)</f>
        <v>BERLING</v>
      </c>
      <c r="M194" s="6">
        <f t="shared" si="128"/>
        <v>9.9768518484779634E-3</v>
      </c>
      <c r="N194" s="7">
        <f t="shared" si="126"/>
        <v>14.366666661808267</v>
      </c>
      <c r="O194" s="7"/>
      <c r="P194" s="7"/>
      <c r="Q194" s="24"/>
      <c r="R194" s="24"/>
      <c r="S194" s="36">
        <f t="shared" si="129"/>
        <v>1</v>
      </c>
      <c r="T194" s="51" t="str">
        <f t="shared" si="130"/>
        <v>NorthBound</v>
      </c>
      <c r="U194" s="17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15:58:44-0600',mode:absolute,to:'2016-09-09 18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4" s="179" t="str">
        <f t="shared" si="132"/>
        <v>N</v>
      </c>
      <c r="X194" s="179">
        <f t="shared" si="125"/>
        <v>1</v>
      </c>
      <c r="Y194" s="66">
        <f t="shared" si="133"/>
        <v>9.5699999999999993E-2</v>
      </c>
      <c r="Z194" s="66">
        <f t="shared" si="134"/>
        <v>5.8928000000000003</v>
      </c>
      <c r="AA194" s="66">
        <f t="shared" si="135"/>
        <v>5.7971000000000004</v>
      </c>
      <c r="AB194" s="63" t="e">
        <f>VLOOKUP(A194,Enforcements!$C$7:$K$21,8,0)</f>
        <v>#N/A</v>
      </c>
      <c r="AC194" s="59" t="e">
        <f>VLOOKUP(A194,Enforcements!$C$7:$E$21,3,0)</f>
        <v>#N/A</v>
      </c>
      <c r="AD194" s="60" t="str">
        <f t="shared" si="136"/>
        <v>0833-09</v>
      </c>
      <c r="AE194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94" s="93" t="str">
        <f t="shared" si="138"/>
        <v>"C:\Program Files (x86)\AstroGrep\AstroGrep.exe" /spath="%USERPROFILE%\AppData\Local\Temp\OnboardLogs" /stypes="*4042*20160909*" /stext=" 23:.+((SYSTEM_STATE.+slice.+state.+changed )|(ment ac)|(system.+state.+changed )|(\|lc)|(penalty)|(\[timeout)|(PRM\|1\|D)|(kpr)|(kdp))" /e /r /s</v>
      </c>
      <c r="AG194" s="1" t="str">
        <f t="shared" si="139"/>
        <v>NW</v>
      </c>
      <c r="AH194" s="97" t="str">
        <f t="shared" si="91"/>
        <v>"%USERPROFILE%\Documents\GitHub\eaglep3\Utilities\RefineRTDCRunTimes.py" --tripid 833-09 --locoid 4042 --swversion DE.1.0.7.0 --startMP 204:957 --initTime 2016-09-09T16:58:44 --startdatetime 2016-09-09T17:21:20 --delay 1 --endMP 300:58928 --enddatetime 2016-09-09T17:35:42 --enforcementcount 1 &gt;&gt;C:\Users\stu\Documents\GitHub\eaglep3-reporting\EC\2016-09-09-refined-times.txt</v>
      </c>
      <c r="AI194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{"issue":{"subject":"","project_id":79,"tracker_id":40,"status_id":1,"priority_id":2,"assigned_to_id":23,"start_date":"2016-09-09","description":"","custom_fields":[{"id":1,"name":"Subdivision","value":"NW"},{"id":4,"name":"Milepost","value":"5.7971"},{"id":17,"name":"Train ID","value":"833-09"},{"id":16,"name":"Locomotive ID","value":"4042"},{"id":130,"name":"Impact","value":""},{"id":150,"name":"Time of Event (Mountain Time)","value":"17:35:42"},{"id":151,"name":"Denver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s="22" customFormat="1" x14ac:dyDescent="0.25">
      <c r="A195" s="38" t="s">
        <v>692</v>
      </c>
      <c r="B195" s="7">
        <v>4041</v>
      </c>
      <c r="C195" s="23" t="s">
        <v>108</v>
      </c>
      <c r="D195" s="23" t="s">
        <v>693</v>
      </c>
      <c r="E195" s="15">
        <v>42622.734756944446</v>
      </c>
      <c r="F195" s="15">
        <v>42622.736145833333</v>
      </c>
      <c r="G195" s="7">
        <v>1</v>
      </c>
      <c r="H195" s="15" t="s">
        <v>694</v>
      </c>
      <c r="I195" s="15">
        <v>42622.747442129628</v>
      </c>
      <c r="J195" s="7">
        <v>1</v>
      </c>
      <c r="K195" s="114" t="str">
        <f t="shared" si="127"/>
        <v>4041/4042</v>
      </c>
      <c r="L195" s="23" t="str">
        <f>VLOOKUP(A195,'Trips&amp;Operators'!$C$1:$E$10000,3,FALSE)</f>
        <v>BERLING</v>
      </c>
      <c r="M195" s="6">
        <f t="shared" si="128"/>
        <v>1.1296296295768116E-2</v>
      </c>
      <c r="N195" s="7">
        <f t="shared" si="126"/>
        <v>16.266666665906087</v>
      </c>
      <c r="O195" s="7"/>
      <c r="P195" s="7"/>
      <c r="Q195" s="24"/>
      <c r="R195" s="24"/>
      <c r="S195" s="36">
        <f t="shared" si="129"/>
        <v>1</v>
      </c>
      <c r="T195" s="51" t="str">
        <f t="shared" si="130"/>
        <v>Southbound</v>
      </c>
      <c r="U195" s="17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16:38:03-0600',mode:absolute,to:'2016-09-09 18:56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95" s="179" t="str">
        <f t="shared" si="132"/>
        <v>N</v>
      </c>
      <c r="X195" s="179">
        <f t="shared" si="125"/>
        <v>1</v>
      </c>
      <c r="Y195" s="66">
        <f t="shared" si="133"/>
        <v>5.8611000000000004</v>
      </c>
      <c r="Z195" s="66">
        <f t="shared" si="134"/>
        <v>6.6100000000000006E-2</v>
      </c>
      <c r="AA195" s="66">
        <f t="shared" si="135"/>
        <v>5.7950000000000008</v>
      </c>
      <c r="AB195" s="63" t="e">
        <f>VLOOKUP(A195,Enforcements!$C$7:$K$21,8,0)</f>
        <v>#N/A</v>
      </c>
      <c r="AC195" s="59" t="e">
        <f>VLOOKUP(A195,Enforcements!$C$7:$E$21,3,0)</f>
        <v>#N/A</v>
      </c>
      <c r="AD195" s="60" t="str">
        <f t="shared" si="136"/>
        <v>0834-09</v>
      </c>
      <c r="AE195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95" s="93" t="str">
        <f t="shared" si="138"/>
        <v>"C:\Program Files (x86)\AstroGrep\AstroGrep.exe" /spath="%USERPROFILE%\AppData\Local\Temp\OnboardLogs" /stypes="*4041*20160909*" /stext=" 23:.+((SYSTEM_STATE.+slice.+state.+changed )|(ment ac)|(system.+state.+changed )|(\|lc)|(penalty)|(\[timeout)|(PRM\|1\|D)|(kpr)|(kdp))" /e /r /s</v>
      </c>
      <c r="AG195" s="1" t="str">
        <f t="shared" si="139"/>
        <v>NW</v>
      </c>
      <c r="AH195" s="97" t="str">
        <f t="shared" si="91"/>
        <v>"%USERPROFILE%\Documents\GitHub\eaglep3\Utilities\RefineRTDCRunTimes.py" --tripid 834-09 --locoid 4041 --swversion DE.1.0.7.0 --startMP 300:58611 --initTime 2016-09-09T17:38:03 --startdatetime 2016-09-09T17:40:03 --delay 1 --endMP 204:661 --enddatetime 2016-09-09T17:56:19 --enforcementcount 1 &gt;&gt;C:\Users\stu\Documents\GitHub\eaglep3-reporting\EC\2016-09-09-refined-times.txt</v>
      </c>
      <c r="AI195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{"issue":{"subject":"","project_id":79,"tracker_id":40,"status_id":1,"priority_id":2,"assigned_to_id":23,"start_date":"2016-09-09","description":"","custom_fields":[{"id":1,"name":"Subdivision","value":"NW"},{"id":4,"name":"Milepost","value":"5.795"},{"id":17,"name":"Train ID","value":"834-09"},{"id":16,"name":"Locomotive ID","value":"4041"},{"id":130,"name":"Impact","value":""},{"id":150,"name":"Time of Event (Mountain Time)","value":"17:56:19"},{"id":151,"name":"Denver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8" t="s">
        <v>695</v>
      </c>
      <c r="B196" s="7">
        <v>4038</v>
      </c>
      <c r="C196" s="23" t="s">
        <v>108</v>
      </c>
      <c r="D196" s="23" t="s">
        <v>696</v>
      </c>
      <c r="E196" s="15">
        <v>42622.728576388887</v>
      </c>
      <c r="F196" s="15">
        <v>42622.743888888886</v>
      </c>
      <c r="G196" s="7">
        <v>1</v>
      </c>
      <c r="H196" s="15" t="s">
        <v>697</v>
      </c>
      <c r="I196" s="15">
        <v>42622.753981481481</v>
      </c>
      <c r="J196" s="7">
        <v>1</v>
      </c>
      <c r="K196" s="114" t="str">
        <f t="shared" si="127"/>
        <v>4037/4038</v>
      </c>
      <c r="L196" s="23" t="str">
        <f>VLOOKUP(A196,'Trips&amp;Operators'!$C$1:$E$10000,3,FALSE)</f>
        <v>CRAYTON</v>
      </c>
      <c r="M196" s="6">
        <f t="shared" si="128"/>
        <v>1.0092592594446614E-2</v>
      </c>
      <c r="N196" s="7">
        <f t="shared" si="126"/>
        <v>14.533333336003125</v>
      </c>
      <c r="O196" s="7"/>
      <c r="P196" s="7"/>
      <c r="Q196" s="24"/>
      <c r="R196" s="24"/>
      <c r="S196" s="36">
        <f t="shared" si="129"/>
        <v>1</v>
      </c>
      <c r="T196" s="51" t="str">
        <f t="shared" si="130"/>
        <v>NorthBound</v>
      </c>
      <c r="U196" s="17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16:29:09-0600',mode:absolute,to:'2016-09-09 19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96" s="179" t="str">
        <f t="shared" si="132"/>
        <v>N</v>
      </c>
      <c r="X196" s="179">
        <f t="shared" si="125"/>
        <v>1</v>
      </c>
      <c r="Y196" s="66">
        <f t="shared" si="133"/>
        <v>0.1046</v>
      </c>
      <c r="Z196" s="66">
        <f t="shared" si="134"/>
        <v>5.8921999999999999</v>
      </c>
      <c r="AA196" s="66">
        <f t="shared" si="135"/>
        <v>5.7876000000000003</v>
      </c>
      <c r="AB196" s="63" t="e">
        <f>VLOOKUP(A196,Enforcements!$C$7:$K$21,8,0)</f>
        <v>#N/A</v>
      </c>
      <c r="AC196" s="59" t="e">
        <f>VLOOKUP(A196,Enforcements!$C$7:$E$21,3,0)</f>
        <v>#N/A</v>
      </c>
      <c r="AD196" s="60" t="str">
        <f t="shared" si="136"/>
        <v>0835-09</v>
      </c>
      <c r="AE196" s="96" t="str">
        <f t="shared" si="137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196" s="93" t="str">
        <f t="shared" si="138"/>
        <v>"C:\Program Files (x86)\AstroGrep\AstroGrep.exe" /spath="%USERPROFILE%\AppData\Local\Temp\OnboardLogs" /stypes="*4038*20160910*" /stext=" 00:.+((SYSTEM_STATE.+slice.+state.+changed )|(ment ac)|(system.+state.+changed )|(\|lc)|(penalty)|(\[timeout)|(PRM\|1\|D)|(kpr)|(kdp))" /e /r /s</v>
      </c>
      <c r="AG196" s="1" t="str">
        <f t="shared" si="139"/>
        <v>NW</v>
      </c>
      <c r="AH196" s="97" t="str">
        <f t="shared" si="91"/>
        <v>"%USERPROFILE%\Documents\GitHub\eaglep3\Utilities\RefineRTDCRunTimes.py" --tripid 835-09 --locoid 4038 --swversion DE.1.0.7.0 --startMP 204:1046 --initTime 2016-09-09T17:29:09 --startdatetime 2016-09-09T17:51:12 --delay 1 --endMP 300:58922 --enddatetime 2016-09-09T18:05:44 --enforcementcount 1 &gt;&gt;C:\Users\stu\Documents\GitHub\eaglep3-reporting\EC\2016-09-09-refined-times.txt</v>
      </c>
      <c r="AI196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{"issue":{"subject":"","project_id":79,"tracker_id":40,"status_id":1,"priority_id":2,"assigned_to_id":23,"start_date":"2016-09-09","description":"","custom_fields":[{"id":1,"name":"Subdivision","value":"NW"},{"id":4,"name":"Milepost","value":"5.7876"},{"id":17,"name":"Train ID","value":"835-09"},{"id":16,"name":"Locomotive ID","value":"4038"},{"id":130,"name":"Impact","value":""},{"id":150,"name":"Time of Event (Mountain Time)","value":"18:05:44"},{"id":151,"name":"Denver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8" t="s">
        <v>698</v>
      </c>
      <c r="B197" s="7">
        <v>4037</v>
      </c>
      <c r="C197" s="23" t="s">
        <v>108</v>
      </c>
      <c r="D197" s="23" t="s">
        <v>699</v>
      </c>
      <c r="E197" s="15">
        <v>42622.755289351851</v>
      </c>
      <c r="F197" s="15">
        <v>42622.756944444445</v>
      </c>
      <c r="G197" s="7">
        <v>1</v>
      </c>
      <c r="H197" s="15" t="s">
        <v>392</v>
      </c>
      <c r="I197" s="15">
        <v>42622.768750000003</v>
      </c>
      <c r="J197" s="7">
        <v>1</v>
      </c>
      <c r="K197" s="114" t="str">
        <f t="shared" si="127"/>
        <v>4037/4038</v>
      </c>
      <c r="L197" s="23" t="str">
        <f>VLOOKUP(A197,'Trips&amp;Operators'!$C$1:$E$10000,3,FALSE)</f>
        <v>CRAYTON</v>
      </c>
      <c r="M197" s="6">
        <f t="shared" si="128"/>
        <v>1.1805555557657499E-2</v>
      </c>
      <c r="N197" s="7">
        <f t="shared" si="126"/>
        <v>17.000000003026798</v>
      </c>
      <c r="O197" s="7"/>
      <c r="P197" s="7"/>
      <c r="Q197" s="24"/>
      <c r="R197" s="24"/>
      <c r="S197" s="36">
        <f t="shared" si="129"/>
        <v>1</v>
      </c>
      <c r="T197" s="51" t="str">
        <f t="shared" si="130"/>
        <v>Southbound</v>
      </c>
      <c r="U197" s="17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17:07:37-0600',mode:absolute,to:'2016-09-09 19:27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97" s="179" t="str">
        <f t="shared" si="132"/>
        <v>N</v>
      </c>
      <c r="X197" s="179">
        <f t="shared" ref="X197:X217" si="140">VALUE(LEFT(AD197,4))-VALUE(LEFT(AD196,4))</f>
        <v>1</v>
      </c>
      <c r="Y197" s="66">
        <f t="shared" si="133"/>
        <v>5.8605999999999998</v>
      </c>
      <c r="Z197" s="66">
        <f t="shared" si="134"/>
        <v>7.5499999999999998E-2</v>
      </c>
      <c r="AA197" s="66">
        <f t="shared" si="135"/>
        <v>5.7850999999999999</v>
      </c>
      <c r="AB197" s="63" t="e">
        <f>VLOOKUP(A197,Enforcements!$C$7:$K$21,8,0)</f>
        <v>#N/A</v>
      </c>
      <c r="AC197" s="59" t="e">
        <f>VLOOKUP(A197,Enforcements!$C$7:$E$21,3,0)</f>
        <v>#N/A</v>
      </c>
      <c r="AD197" s="60" t="str">
        <f t="shared" si="136"/>
        <v>0836-09</v>
      </c>
      <c r="AE197" s="96" t="str">
        <f t="shared" si="137"/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AF197" s="93" t="str">
        <f t="shared" si="138"/>
        <v>"C:\Program Files (x86)\AstroGrep\AstroGrep.exe" /spath="%USERPROFILE%\AppData\Local\Temp\OnboardLogs" /stypes="*4037*20160910*" /stext=" 00:.+((SYSTEM_STATE.+slice.+state.+changed )|(ment ac)|(system.+state.+changed )|(\|lc)|(penalty)|(\[timeout)|(PRM\|1\|D)|(kpr)|(kdp))" /e /r /s</v>
      </c>
      <c r="AG197" s="1" t="str">
        <f t="shared" si="139"/>
        <v>NW</v>
      </c>
      <c r="AH197" s="97" t="str">
        <f t="shared" si="91"/>
        <v>"%USERPROFILE%\Documents\GitHub\eaglep3\Utilities\RefineRTDCRunTimes.py" --tripid 836-09 --locoid 4037 --swversion DE.1.0.7.0 --startMP 300:58606 --initTime 2016-09-09T18:07:37 --startdatetime 2016-09-09T18:10:00 --delay 1 --endMP 204:755 --enddatetime 2016-09-09T18:27:00 --enforcementcount 1 &gt;&gt;C:\Users\stu\Documents\GitHub\eaglep3-reporting\EC\2016-09-09-refined-times.txt</v>
      </c>
      <c r="AI197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{"issue":{"subject":"","project_id":79,"tracker_id":40,"status_id":1,"priority_id":2,"assigned_to_id":23,"start_date":"2016-09-09","description":"","custom_fields":[{"id":1,"name":"Subdivision","value":"NW"},{"id":4,"name":"Milepost","value":"5.7851"},{"id":17,"name":"Train ID","value":"836-09"},{"id":16,"name":"Locomotive ID","value":"4037"},{"id":130,"name":"Impact","value":""},{"id":150,"name":"Time of Event (Mountain Time)","value":"18:27:00"},{"id":151,"name":"Denver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8" t="s">
        <v>700</v>
      </c>
      <c r="B198" s="7">
        <v>4042</v>
      </c>
      <c r="C198" s="23" t="s">
        <v>108</v>
      </c>
      <c r="D198" s="23" t="s">
        <v>701</v>
      </c>
      <c r="E198" s="15">
        <v>42622.749398148146</v>
      </c>
      <c r="F198" s="15">
        <v>42622.764988425923</v>
      </c>
      <c r="G198" s="7">
        <v>1</v>
      </c>
      <c r="H198" s="15" t="s">
        <v>674</v>
      </c>
      <c r="I198" s="15">
        <v>42622.775092592594</v>
      </c>
      <c r="J198" s="7">
        <v>1</v>
      </c>
      <c r="K198" s="114" t="str">
        <f t="shared" si="127"/>
        <v>4041/4042</v>
      </c>
      <c r="L198" s="23" t="str">
        <f>VLOOKUP(A198,'Trips&amp;Operators'!$C$1:$E$10000,3,FALSE)</f>
        <v>BERLING</v>
      </c>
      <c r="M198" s="6">
        <f t="shared" si="128"/>
        <v>1.0104166671226267E-2</v>
      </c>
      <c r="N198" s="7">
        <f t="shared" si="126"/>
        <v>14.550000006565824</v>
      </c>
      <c r="O198" s="7"/>
      <c r="P198" s="7"/>
      <c r="Q198" s="24"/>
      <c r="R198" s="24"/>
      <c r="S198" s="36">
        <f t="shared" si="129"/>
        <v>1</v>
      </c>
      <c r="T198" s="51" t="str">
        <f t="shared" si="130"/>
        <v>NorthBound</v>
      </c>
      <c r="U198" s="17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16:59:08-0600',mode:absolute,to:'2016-09-09 19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98" s="179" t="str">
        <f t="shared" si="132"/>
        <v>N</v>
      </c>
      <c r="X198" s="179">
        <f t="shared" si="140"/>
        <v>1</v>
      </c>
      <c r="Y198" s="66">
        <f t="shared" si="133"/>
        <v>9.6199999999999994E-2</v>
      </c>
      <c r="Z198" s="66">
        <f t="shared" si="134"/>
        <v>5.8928000000000003</v>
      </c>
      <c r="AA198" s="66">
        <f t="shared" si="135"/>
        <v>5.7966000000000006</v>
      </c>
      <c r="AB198" s="63" t="e">
        <f>VLOOKUP(A198,Enforcements!$C$7:$K$21,8,0)</f>
        <v>#N/A</v>
      </c>
      <c r="AC198" s="59" t="e">
        <f>VLOOKUP(A198,Enforcements!$C$7:$E$21,3,0)</f>
        <v>#N/A</v>
      </c>
      <c r="AD198" s="60" t="str">
        <f t="shared" si="136"/>
        <v>0837-09</v>
      </c>
      <c r="AE198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198" s="93" t="str">
        <f t="shared" si="138"/>
        <v>"C:\Program Files (x86)\AstroGrep\AstroGrep.exe" /spath="%USERPROFILE%\AppData\Local\Temp\OnboardLogs" /stypes="*4042*20160910*" /stext=" 00:.+((SYSTEM_STATE.+slice.+state.+changed )|(ment ac)|(system.+state.+changed )|(\|lc)|(penalty)|(\[timeout)|(PRM\|1\|D)|(kpr)|(kdp))" /e /r /s</v>
      </c>
      <c r="AG198" s="1" t="str">
        <f t="shared" si="139"/>
        <v>NW</v>
      </c>
      <c r="AH198" s="97" t="str">
        <f t="shared" si="91"/>
        <v>"%USERPROFILE%\Documents\GitHub\eaglep3\Utilities\RefineRTDCRunTimes.py" --tripid 837-09 --locoid 4042 --swversion DE.1.0.7.0 --startMP 204:962 --initTime 2016-09-09T17:59:08 --startdatetime 2016-09-09T18:21:35 --delay 1 --endMP 300:58928 --enddatetime 2016-09-09T18:36:08 --enforcementcount 1 &gt;&gt;C:\Users\stu\Documents\GitHub\eaglep3-reporting\EC\2016-09-09-refined-times.txt</v>
      </c>
      <c r="AI198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{"issue":{"subject":"","project_id":79,"tracker_id":40,"status_id":1,"priority_id":2,"assigned_to_id":23,"start_date":"2016-09-09","description":"","custom_fields":[{"id":1,"name":"Subdivision","value":"NW"},{"id":4,"name":"Milepost","value":"5.7966"},{"id":17,"name":"Train ID","value":"837-09"},{"id":16,"name":"Locomotive ID","value":"4042"},{"id":130,"name":"Impact","value":""},{"id":150,"name":"Time of Event (Mountain Time)","value":"18:36:08"},{"id":151,"name":"Denver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8" t="s">
        <v>702</v>
      </c>
      <c r="B199" s="7">
        <v>4041</v>
      </c>
      <c r="C199" s="23" t="s">
        <v>108</v>
      </c>
      <c r="D199" s="23" t="s">
        <v>628</v>
      </c>
      <c r="E199" s="15">
        <v>42622.776354166665</v>
      </c>
      <c r="F199" s="15">
        <v>42622.778229166666</v>
      </c>
      <c r="G199" s="7">
        <v>1</v>
      </c>
      <c r="H199" s="15" t="s">
        <v>703</v>
      </c>
      <c r="I199" s="15">
        <v>42622.789039351854</v>
      </c>
      <c r="J199" s="7">
        <v>1</v>
      </c>
      <c r="K199" s="114" t="str">
        <f t="shared" si="127"/>
        <v>4041/4042</v>
      </c>
      <c r="L199" s="23" t="str">
        <f>VLOOKUP(A199,'Trips&amp;Operators'!$C$1:$E$10000,3,FALSE)</f>
        <v>BERLING</v>
      </c>
      <c r="M199" s="6">
        <f t="shared" si="128"/>
        <v>1.0810185187438037E-2</v>
      </c>
      <c r="N199" s="7">
        <f t="shared" si="126"/>
        <v>15.566666669910774</v>
      </c>
      <c r="O199" s="7"/>
      <c r="P199" s="7"/>
      <c r="Q199" s="24"/>
      <c r="R199" s="24"/>
      <c r="S199" s="36">
        <f t="shared" si="129"/>
        <v>1</v>
      </c>
      <c r="T199" s="51" t="str">
        <f t="shared" si="130"/>
        <v>Southbound</v>
      </c>
      <c r="U199" s="17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17:37:57-0600',mode:absolute,to:'2016-09-09 19:56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99" s="179" t="str">
        <f t="shared" si="132"/>
        <v>N</v>
      </c>
      <c r="X199" s="179">
        <f t="shared" si="140"/>
        <v>1</v>
      </c>
      <c r="Y199" s="66">
        <f t="shared" si="133"/>
        <v>5.8619000000000003</v>
      </c>
      <c r="Z199" s="66">
        <f t="shared" si="134"/>
        <v>6.6799999999999998E-2</v>
      </c>
      <c r="AA199" s="66">
        <f t="shared" si="135"/>
        <v>5.7951000000000006</v>
      </c>
      <c r="AB199" s="63" t="e">
        <f>VLOOKUP(A199,Enforcements!$C$7:$K$21,8,0)</f>
        <v>#N/A</v>
      </c>
      <c r="AC199" s="59" t="e">
        <f>VLOOKUP(A199,Enforcements!$C$7:$E$21,3,0)</f>
        <v>#N/A</v>
      </c>
      <c r="AD199" s="60" t="str">
        <f t="shared" si="136"/>
        <v>0838-09</v>
      </c>
      <c r="AE199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199" s="93" t="str">
        <f t="shared" si="138"/>
        <v>"C:\Program Files (x86)\AstroGrep\AstroGrep.exe" /spath="%USERPROFILE%\AppData\Local\Temp\OnboardLogs" /stypes="*4041*20160910*" /stext=" 00:.+((SYSTEM_STATE.+slice.+state.+changed )|(ment ac)|(system.+state.+changed )|(\|lc)|(penalty)|(\[timeout)|(PRM\|1\|D)|(kpr)|(kdp))" /e /r /s</v>
      </c>
      <c r="AG199" s="1" t="str">
        <f t="shared" si="139"/>
        <v>NW</v>
      </c>
      <c r="AH199" s="97" t="str">
        <f t="shared" si="91"/>
        <v>"%USERPROFILE%\Documents\GitHub\eaglep3\Utilities\RefineRTDCRunTimes.py" --tripid 838-09 --locoid 4041 --swversion DE.1.0.7.0 --startMP 300:58619 --initTime 2016-09-09T18:37:57 --startdatetime 2016-09-09T18:40:39 --delay 1 --endMP 204:668 --enddatetime 2016-09-09T18:56:13 --enforcementcount 1 &gt;&gt;C:\Users\stu\Documents\GitHub\eaglep3-reporting\EC\2016-09-09-refined-times.txt</v>
      </c>
      <c r="AI199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{"issue":{"subject":"","project_id":79,"tracker_id":40,"status_id":1,"priority_id":2,"assigned_to_id":23,"start_date":"2016-09-09","description":"","custom_fields":[{"id":1,"name":"Subdivision","value":"NW"},{"id":4,"name":"Milepost","value":"5.7951"},{"id":17,"name":"Train ID","value":"838-09"},{"id":16,"name":"Locomotive ID","value":"4041"},{"id":130,"name":"Impact","value":""},{"id":150,"name":"Time of Event (Mountain Time)","value":"18:56:13"},{"id":151,"name":"Denver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8" t="s">
        <v>704</v>
      </c>
      <c r="B200" s="7">
        <v>4038</v>
      </c>
      <c r="C200" s="23" t="s">
        <v>108</v>
      </c>
      <c r="D200" s="23" t="s">
        <v>360</v>
      </c>
      <c r="E200" s="15">
        <v>42622.770833333336</v>
      </c>
      <c r="F200" s="15">
        <v>42622.785601851851</v>
      </c>
      <c r="G200" s="7">
        <v>1</v>
      </c>
      <c r="H200" s="15" t="s">
        <v>705</v>
      </c>
      <c r="I200" s="15">
        <v>42622.795763888891</v>
      </c>
      <c r="J200" s="7">
        <v>1</v>
      </c>
      <c r="K200" s="114" t="str">
        <f t="shared" si="127"/>
        <v>4037/4038</v>
      </c>
      <c r="L200" s="23" t="str">
        <f>VLOOKUP(A200,'Trips&amp;Operators'!$C$1:$E$10000,3,FALSE)</f>
        <v>CRAYTON</v>
      </c>
      <c r="M200" s="6">
        <f t="shared" si="128"/>
        <v>1.0162037040572613E-2</v>
      </c>
      <c r="N200" s="7">
        <f t="shared" si="126"/>
        <v>14.633333338424563</v>
      </c>
      <c r="O200" s="7"/>
      <c r="P200" s="7"/>
      <c r="Q200" s="24"/>
      <c r="R200" s="24"/>
      <c r="S200" s="36">
        <f t="shared" si="129"/>
        <v>1</v>
      </c>
      <c r="T200" s="51" t="str">
        <f t="shared" si="130"/>
        <v>NorthBound</v>
      </c>
      <c r="U200" s="17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17:30:00-0600',mode:absolute,to:'2016-09-09 20:05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00" s="179" t="str">
        <f t="shared" si="132"/>
        <v>N</v>
      </c>
      <c r="X200" s="179">
        <f t="shared" si="140"/>
        <v>1</v>
      </c>
      <c r="Y200" s="66">
        <f t="shared" si="133"/>
        <v>0.1056</v>
      </c>
      <c r="Z200" s="66">
        <f t="shared" si="134"/>
        <v>5.8930999999999996</v>
      </c>
      <c r="AA200" s="66">
        <f t="shared" si="135"/>
        <v>5.7874999999999996</v>
      </c>
      <c r="AB200" s="63" t="e">
        <f>VLOOKUP(A200,Enforcements!$C$7:$K$21,8,0)</f>
        <v>#N/A</v>
      </c>
      <c r="AC200" s="59" t="e">
        <f>VLOOKUP(A200,Enforcements!$C$7:$E$21,3,0)</f>
        <v>#N/A</v>
      </c>
      <c r="AD200" s="60" t="str">
        <f t="shared" si="136"/>
        <v>0839-09</v>
      </c>
      <c r="AE200" s="96" t="str">
        <f t="shared" si="137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200" s="93" t="str">
        <f t="shared" si="138"/>
        <v>"C:\Program Files (x86)\AstroGrep\AstroGrep.exe" /spath="%USERPROFILE%\AppData\Local\Temp\OnboardLogs" /stypes="*4038*20160910*" /stext=" 01:.+((SYSTEM_STATE.+slice.+state.+changed )|(ment ac)|(system.+state.+changed )|(\|lc)|(penalty)|(\[timeout)|(PRM\|1\|D)|(kpr)|(kdp))" /e /r /s</v>
      </c>
      <c r="AG200" s="1" t="str">
        <f t="shared" si="139"/>
        <v>NW</v>
      </c>
      <c r="AH200" s="97" t="str">
        <f t="shared" si="91"/>
        <v>"%USERPROFILE%\Documents\GitHub\eaglep3\Utilities\RefineRTDCRunTimes.py" --tripid 839-09 --locoid 4038 --swversion DE.1.0.7.0 --startMP 204:1056 --initTime 2016-09-09T18:30:00 --startdatetime 2016-09-09T18:51:16 --delay 1 --endMP 300:58931 --enddatetime 2016-09-09T19:05:54 --enforcementcount 1 &gt;&gt;C:\Users\stu\Documents\GitHub\eaglep3-reporting\EC\2016-09-09-refined-times.txt</v>
      </c>
      <c r="AI200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{"issue":{"subject":"","project_id":79,"tracker_id":40,"status_id":1,"priority_id":2,"assigned_to_id":23,"start_date":"2016-09-09","description":"","custom_fields":[{"id":1,"name":"Subdivision","value":"NW"},{"id":4,"name":"Milepost","value":"5.7875"},{"id":17,"name":"Train ID","value":"839-09"},{"id":16,"name":"Locomotive ID","value":"4038"},{"id":130,"name":"Impact","value":""},{"id":150,"name":"Time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8" t="s">
        <v>706</v>
      </c>
      <c r="B201" s="7">
        <v>4041</v>
      </c>
      <c r="C201" s="23" t="s">
        <v>108</v>
      </c>
      <c r="D201" s="23" t="s">
        <v>289</v>
      </c>
      <c r="E201" s="15">
        <v>42622.818020833336</v>
      </c>
      <c r="F201" s="15">
        <v>42622.81958333333</v>
      </c>
      <c r="G201" s="7">
        <v>1</v>
      </c>
      <c r="H201" s="15" t="s">
        <v>292</v>
      </c>
      <c r="I201" s="15">
        <v>42622.830636574072</v>
      </c>
      <c r="J201" s="7">
        <v>1</v>
      </c>
      <c r="K201" s="114" t="str">
        <f t="shared" si="127"/>
        <v>4041/4042</v>
      </c>
      <c r="L201" s="23" t="str">
        <f>VLOOKUP(A201,'Trips&amp;Operators'!$C$1:$E$10000,3,FALSE)</f>
        <v>BERLING</v>
      </c>
      <c r="M201" s="6">
        <f t="shared" si="128"/>
        <v>1.1053240741603076E-2</v>
      </c>
      <c r="N201" s="7">
        <f t="shared" si="126"/>
        <v>15.91666666790843</v>
      </c>
      <c r="O201" s="7"/>
      <c r="P201" s="7"/>
      <c r="Q201" s="24"/>
      <c r="R201" s="24"/>
      <c r="S201" s="36">
        <f t="shared" si="129"/>
        <v>1</v>
      </c>
      <c r="T201" s="51" t="str">
        <f t="shared" si="130"/>
        <v>Southbound</v>
      </c>
      <c r="U201" s="17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18:37:57-0600',mode:absolute,to:'2016-09-09 20:56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1" s="179" t="str">
        <f t="shared" si="132"/>
        <v>N</v>
      </c>
      <c r="X201" s="179">
        <f t="shared" si="140"/>
        <v>1</v>
      </c>
      <c r="Y201" s="66">
        <f t="shared" si="133"/>
        <v>5.8625999999999996</v>
      </c>
      <c r="Z201" s="66">
        <f t="shared" si="134"/>
        <v>6.8500000000000005E-2</v>
      </c>
      <c r="AA201" s="66">
        <f t="shared" si="135"/>
        <v>5.7940999999999994</v>
      </c>
      <c r="AB201" s="63" t="e">
        <f>VLOOKUP(A201,Enforcements!$C$7:$K$21,8,0)</f>
        <v>#N/A</v>
      </c>
      <c r="AC201" s="59" t="e">
        <f>VLOOKUP(A201,Enforcements!$C$7:$E$21,3,0)</f>
        <v>#N/A</v>
      </c>
      <c r="AD201" s="60" t="str">
        <f t="shared" si="136"/>
        <v>0840-09</v>
      </c>
      <c r="AE201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201" s="93" t="str">
        <f t="shared" si="138"/>
        <v>"C:\Program Files (x86)\AstroGrep\AstroGrep.exe" /spath="%USERPROFILE%\AppData\Local\Temp\OnboardLogs" /stypes="*4041*20160910*" /stext=" 01:.+((SYSTEM_STATE.+slice.+state.+changed )|(ment ac)|(system.+state.+changed )|(\|lc)|(penalty)|(\[timeout)|(PRM\|1\|D)|(kpr)|(kdp))" /e /r /s</v>
      </c>
      <c r="AG201" s="1" t="str">
        <f t="shared" si="139"/>
        <v>NW</v>
      </c>
      <c r="AH201" s="97" t="str">
        <f t="shared" si="91"/>
        <v>"%USERPROFILE%\Documents\GitHub\eaglep3\Utilities\RefineRTDCRunTimes.py" --tripid 840-09 --locoid 4041 --swversion DE.1.0.7.0 --startMP 300:58626 --initTime 2016-09-09T19:37:57 --startdatetime 2016-09-09T19:40:12 --delay 1 --endMP 204:685 --enddatetime 2016-09-09T19:56:07 --enforcementcount 1 &gt;&gt;C:\Users\stu\Documents\GitHub\eaglep3-reporting\EC\2016-09-09-refined-times.txt</v>
      </c>
      <c r="AI201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{"issue":{"subject":"","project_id":79,"tracker_id":40,"status_id":1,"priority_id":2,"assigned_to_id":23,"start_date":"2016-09-09","description":"","custom_fields":[{"id":1,"name":"Subdivision","value":"NW"},{"id":4,"name":"Milepost","value":"5.7941"},{"id":17,"name":"Train ID","value":"840-09"},{"id":16,"name":"Locomotive ID","value":"4041"},{"id":130,"name":"Impact","value":""},{"id":150,"name":"Time of Event (Mountain Time)","value":"19:56:07"},{"id":151,"name":"Denver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8" t="s">
        <v>707</v>
      </c>
      <c r="B202" s="7">
        <v>4042</v>
      </c>
      <c r="C202" s="23" t="s">
        <v>108</v>
      </c>
      <c r="D202" s="23" t="s">
        <v>708</v>
      </c>
      <c r="E202" s="15">
        <v>42622.793263888889</v>
      </c>
      <c r="F202" s="15">
        <v>42622.806504629632</v>
      </c>
      <c r="G202" s="7">
        <v>1</v>
      </c>
      <c r="H202" s="15" t="s">
        <v>632</v>
      </c>
      <c r="I202" s="15">
        <v>42622.816770833335</v>
      </c>
      <c r="J202" s="7">
        <v>1</v>
      </c>
      <c r="K202" s="114" t="str">
        <f t="shared" si="127"/>
        <v>4041/4042</v>
      </c>
      <c r="L202" s="23" t="str">
        <f>VLOOKUP(A202,'Trips&amp;Operators'!$C$1:$E$10000,3,FALSE)</f>
        <v>BERLING</v>
      </c>
      <c r="M202" s="6">
        <f t="shared" si="128"/>
        <v>1.0266203702485655E-2</v>
      </c>
      <c r="N202" s="7">
        <f t="shared" si="126"/>
        <v>14.783333331579342</v>
      </c>
      <c r="O202" s="7"/>
      <c r="P202" s="7"/>
      <c r="Q202" s="24"/>
      <c r="R202" s="24"/>
      <c r="S202" s="36">
        <f t="shared" si="129"/>
        <v>1</v>
      </c>
      <c r="T202" s="51" t="str">
        <f t="shared" si="130"/>
        <v>NorthBound</v>
      </c>
      <c r="U202" s="17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18:02:18-0600',mode:absolute,to:'2016-09-09 20:36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2" s="179" t="str">
        <f t="shared" si="132"/>
        <v>N</v>
      </c>
      <c r="X202" s="179">
        <f t="shared" si="140"/>
        <v>1</v>
      </c>
      <c r="Y202" s="66">
        <f t="shared" si="133"/>
        <v>9.5799999999999996E-2</v>
      </c>
      <c r="Z202" s="66">
        <f t="shared" si="134"/>
        <v>5.8939000000000004</v>
      </c>
      <c r="AA202" s="66">
        <f t="shared" si="135"/>
        <v>5.7981000000000007</v>
      </c>
      <c r="AB202" s="63" t="e">
        <f>VLOOKUP(A202,Enforcements!$C$7:$K$21,8,0)</f>
        <v>#N/A</v>
      </c>
      <c r="AC202" s="59" t="e">
        <f>VLOOKUP(A202,Enforcements!$C$7:$E$21,3,0)</f>
        <v>#N/A</v>
      </c>
      <c r="AD202" s="60" t="str">
        <f t="shared" si="136"/>
        <v>0841-09</v>
      </c>
      <c r="AE202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202" s="93" t="str">
        <f t="shared" si="138"/>
        <v>"C:\Program Files (x86)\AstroGrep\AstroGrep.exe" /spath="%USERPROFILE%\AppData\Local\Temp\OnboardLogs" /stypes="*4042*20160910*" /stext=" 01:.+((SYSTEM_STATE.+slice.+state.+changed )|(ment ac)|(system.+state.+changed )|(\|lc)|(penalty)|(\[timeout)|(PRM\|1\|D)|(kpr)|(kdp))" /e /r /s</v>
      </c>
      <c r="AG202" s="1" t="str">
        <f t="shared" si="139"/>
        <v>NW</v>
      </c>
      <c r="AH202" s="97" t="str">
        <f t="shared" si="91"/>
        <v>"%USERPROFILE%\Documents\GitHub\eaglep3\Utilities\RefineRTDCRunTimes.py" --tripid 841-09 --locoid 4042 --swversion DE.1.0.7.0 --startMP 204:958 --initTime 2016-09-09T19:02:18 --startdatetime 2016-09-09T19:21:22 --delay 1 --endMP 300:58939 --enddatetime 2016-09-09T19:36:09 --enforcementcount 1 &gt;&gt;C:\Users\stu\Documents\GitHub\eaglep3-reporting\EC\2016-09-09-refined-times.txt</v>
      </c>
      <c r="AI202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{"issue":{"subject":"","project_id":79,"tracker_id":40,"status_id":1,"priority_id":2,"assigned_to_id":23,"start_date":"2016-09-09","description":"","custom_fields":[{"id":1,"name":"Subdivision","value":"NW"},{"id":4,"name":"Milepost","value":"5.7981"},{"id":17,"name":"Train ID","value":"841-09"},{"id":16,"name":"Locomotive ID","value":"4042"},{"id":130,"name":"Impact","value":""},{"id":150,"name":"Time of Event (Mountain Time)","value":"19:36:09"},{"id":151,"name":"Denver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8" t="s">
        <v>709</v>
      </c>
      <c r="B203" s="7">
        <v>4041</v>
      </c>
      <c r="C203" s="23" t="s">
        <v>108</v>
      </c>
      <c r="D203" s="23" t="s">
        <v>689</v>
      </c>
      <c r="E203" s="15">
        <v>42622.859895833331</v>
      </c>
      <c r="F203" s="15">
        <v>42622.861307870371</v>
      </c>
      <c r="G203" s="7">
        <v>1</v>
      </c>
      <c r="H203" s="15" t="s">
        <v>710</v>
      </c>
      <c r="I203" s="15">
        <v>42622.872361111113</v>
      </c>
      <c r="J203" s="7">
        <v>1</v>
      </c>
      <c r="K203" s="114" t="str">
        <f t="shared" si="127"/>
        <v>4041/4042</v>
      </c>
      <c r="L203" s="23" t="str">
        <f>VLOOKUP(A203,'Trips&amp;Operators'!$C$1:$E$10000,3,FALSE)</f>
        <v>BERLING</v>
      </c>
      <c r="M203" s="6">
        <f t="shared" si="128"/>
        <v>1.1053240741603076E-2</v>
      </c>
      <c r="N203" s="7">
        <f t="shared" si="126"/>
        <v>15.91666666790843</v>
      </c>
      <c r="O203" s="7"/>
      <c r="P203" s="7"/>
      <c r="Q203" s="24"/>
      <c r="R203" s="24"/>
      <c r="S203" s="36">
        <f t="shared" si="129"/>
        <v>1</v>
      </c>
      <c r="T203" s="51" t="str">
        <f t="shared" si="130"/>
        <v>Southbound</v>
      </c>
      <c r="U203" s="17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19:38:15-0600',mode:absolute,to:'2016-09-09 21:56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3" s="179" t="str">
        <f t="shared" si="132"/>
        <v>N</v>
      </c>
      <c r="X203" s="179">
        <f t="shared" si="140"/>
        <v>1</v>
      </c>
      <c r="Y203" s="66">
        <f t="shared" si="133"/>
        <v>5.8608000000000002</v>
      </c>
      <c r="Z203" s="66">
        <f t="shared" si="134"/>
        <v>6.7799999999999999E-2</v>
      </c>
      <c r="AA203" s="66">
        <f t="shared" si="135"/>
        <v>5.7930000000000001</v>
      </c>
      <c r="AB203" s="63" t="e">
        <f>VLOOKUP(A203,Enforcements!$C$7:$K$21,8,0)</f>
        <v>#N/A</v>
      </c>
      <c r="AC203" s="59" t="e">
        <f>VLOOKUP(A203,Enforcements!$C$7:$E$21,3,0)</f>
        <v>#N/A</v>
      </c>
      <c r="AD203" s="60" t="str">
        <f t="shared" si="136"/>
        <v>0842-09</v>
      </c>
      <c r="AE203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203" s="93" t="str">
        <f t="shared" si="138"/>
        <v>"C:\Program Files (x86)\AstroGrep\AstroGrep.exe" /spath="%USERPROFILE%\AppData\Local\Temp\OnboardLogs" /stypes="*4041*20160910*" /stext=" 02:.+((SYSTEM_STATE.+slice.+state.+changed )|(ment ac)|(system.+state.+changed )|(\|lc)|(penalty)|(\[timeout)|(PRM\|1\|D)|(kpr)|(kdp))" /e /r /s</v>
      </c>
      <c r="AG203" s="1" t="str">
        <f t="shared" si="139"/>
        <v>NW</v>
      </c>
      <c r="AH203" s="97" t="str">
        <f t="shared" si="91"/>
        <v>"%USERPROFILE%\Documents\GitHub\eaglep3\Utilities\RefineRTDCRunTimes.py" --tripid 842-09 --locoid 4041 --swversion DE.1.0.7.0 --startMP 300:58608 --initTime 2016-09-09T20:38:15 --startdatetime 2016-09-09T20:40:17 --delay 1 --endMP 204:678 --enddatetime 2016-09-09T20:56:12 --enforcementcount 1 &gt;&gt;C:\Users\stu\Documents\GitHub\eaglep3-reporting\EC\2016-09-09-refined-times.txt</v>
      </c>
      <c r="AI203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{"issue":{"subject":"","project_id":79,"tracker_id":40,"status_id":1,"priority_id":2,"assigned_to_id":23,"start_date":"2016-09-09","description":"","custom_fields":[{"id":1,"name":"Subdivision","value":"NW"},{"id":4,"name":"Milepost","value":"5.793"},{"id":17,"name":"Train ID","value":"842-09"},{"id":16,"name":"Locomotive ID","value":"4041"},{"id":130,"name":"Impact","value":""},{"id":150,"name":"Time of Event (Mountain Time)","value":"20:56:12"},{"id":151,"name":"Denver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8" t="s">
        <v>711</v>
      </c>
      <c r="B204" s="7">
        <v>4042</v>
      </c>
      <c r="C204" s="23" t="s">
        <v>108</v>
      </c>
      <c r="D204" s="23" t="s">
        <v>701</v>
      </c>
      <c r="E204" s="15">
        <v>42622.836863425924</v>
      </c>
      <c r="F204" s="15">
        <v>42622.848217592589</v>
      </c>
      <c r="G204" s="7">
        <v>2</v>
      </c>
      <c r="H204" s="15" t="s">
        <v>674</v>
      </c>
      <c r="I204" s="15">
        <v>42622.858425925922</v>
      </c>
      <c r="J204" s="7">
        <v>1</v>
      </c>
      <c r="K204" s="114" t="str">
        <f t="shared" si="127"/>
        <v>4041/4042</v>
      </c>
      <c r="L204" s="23" t="str">
        <f>VLOOKUP(A204,'Trips&amp;Operators'!$C$1:$E$10000,3,FALSE)</f>
        <v>BERLING</v>
      </c>
      <c r="M204" s="6">
        <f t="shared" si="128"/>
        <v>1.0208333333139308E-2</v>
      </c>
      <c r="N204" s="7">
        <f t="shared" si="126"/>
        <v>14.699999999720603</v>
      </c>
      <c r="O204" s="7"/>
      <c r="P204" s="7"/>
      <c r="Q204" s="24"/>
      <c r="R204" s="24"/>
      <c r="S204" s="36">
        <f t="shared" si="129"/>
        <v>1</v>
      </c>
      <c r="T204" s="51" t="str">
        <f t="shared" si="130"/>
        <v>NorthBound</v>
      </c>
      <c r="U204" s="17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19:05:05-0600',mode:absolute,to:'2016-09-09 21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4" s="179" t="str">
        <f t="shared" si="132"/>
        <v>N</v>
      </c>
      <c r="X204" s="179">
        <f t="shared" si="140"/>
        <v>1</v>
      </c>
      <c r="Y204" s="66">
        <f t="shared" si="133"/>
        <v>9.6199999999999994E-2</v>
      </c>
      <c r="Z204" s="66">
        <f t="shared" si="134"/>
        <v>5.8928000000000003</v>
      </c>
      <c r="AA204" s="66">
        <f t="shared" si="135"/>
        <v>5.7966000000000006</v>
      </c>
      <c r="AB204" s="63" t="e">
        <f>VLOOKUP(A204,Enforcements!$C$7:$K$21,8,0)</f>
        <v>#N/A</v>
      </c>
      <c r="AC204" s="59" t="e">
        <f>VLOOKUP(A204,Enforcements!$C$7:$E$21,3,0)</f>
        <v>#N/A</v>
      </c>
      <c r="AD204" s="60" t="str">
        <f t="shared" si="136"/>
        <v>0843-09</v>
      </c>
      <c r="AE204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204" s="93" t="str">
        <f t="shared" si="138"/>
        <v>"C:\Program Files (x86)\AstroGrep\AstroGrep.exe" /spath="%USERPROFILE%\AppData\Local\Temp\OnboardLogs" /stypes="*4042*20160910*" /stext=" 02:.+((SYSTEM_STATE.+slice.+state.+changed )|(ment ac)|(system.+state.+changed )|(\|lc)|(penalty)|(\[timeout)|(PRM\|1\|D)|(kpr)|(kdp))" /e /r /s</v>
      </c>
      <c r="AG204" s="1" t="str">
        <f t="shared" si="139"/>
        <v>NW</v>
      </c>
      <c r="AH204" s="97" t="str">
        <f t="shared" si="91"/>
        <v>"%USERPROFILE%\Documents\GitHub\eaglep3\Utilities\RefineRTDCRunTimes.py" --tripid 843-09 --locoid 4042 --swversion DE.1.0.7.0 --startMP 204:962 --initTime 2016-09-09T20:05:05 --startdatetime 2016-09-09T20:21:26 --delay 2 --endMP 300:58928 --enddatetime 2016-09-09T20:36:08 --enforcementcount 1 &gt;&gt;C:\Users\stu\Documents\GitHub\eaglep3-reporting\EC\2016-09-09-refined-times.txt</v>
      </c>
      <c r="AI204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{"issue":{"subject":"","project_id":79,"tracker_id":40,"status_id":1,"priority_id":2,"assigned_to_id":23,"start_date":"2016-09-09","description":"","custom_fields":[{"id":1,"name":"Subdivision","value":"NW"},{"id":4,"name":"Milepost","value":"5.7966"},{"id":17,"name":"Train ID","value":"843-09"},{"id":16,"name":"Locomotive ID","value":"4042"},{"id":130,"name":"Impact","value":""},{"id":150,"name":"Time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8" t="s">
        <v>712</v>
      </c>
      <c r="B205" s="7">
        <v>4041</v>
      </c>
      <c r="C205" s="23" t="s">
        <v>108</v>
      </c>
      <c r="D205" s="23" t="s">
        <v>713</v>
      </c>
      <c r="E205" s="15">
        <v>42622.906446759262</v>
      </c>
      <c r="F205" s="15">
        <v>42622.908113425925</v>
      </c>
      <c r="G205" s="7">
        <v>1</v>
      </c>
      <c r="H205" s="15" t="s">
        <v>714</v>
      </c>
      <c r="I205" s="15">
        <v>42622.919907407406</v>
      </c>
      <c r="J205" s="7">
        <v>1</v>
      </c>
      <c r="K205" s="114" t="str">
        <f t="shared" si="127"/>
        <v>4041/4042</v>
      </c>
      <c r="L205" s="23" t="str">
        <f>VLOOKUP(A205,'Trips&amp;Operators'!$C$1:$E$10000,3,FALSE)</f>
        <v>MAHAN</v>
      </c>
      <c r="M205" s="6">
        <f t="shared" si="128"/>
        <v>1.1793981480877846E-2</v>
      </c>
      <c r="N205" s="7">
        <f t="shared" si="126"/>
        <v>16.983333332464099</v>
      </c>
      <c r="O205" s="7"/>
      <c r="P205" s="7"/>
      <c r="Q205" s="24"/>
      <c r="R205" s="24"/>
      <c r="S205" s="36">
        <f t="shared" si="129"/>
        <v>1</v>
      </c>
      <c r="T205" s="51" t="str">
        <f t="shared" si="130"/>
        <v>Southbound</v>
      </c>
      <c r="U205" s="17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20:45:17-0600',mode:absolute,to:'2016-09-09 23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05" s="179" t="str">
        <f t="shared" si="132"/>
        <v>N</v>
      </c>
      <c r="X205" s="179">
        <f t="shared" si="140"/>
        <v>1</v>
      </c>
      <c r="Y205" s="66">
        <f t="shared" si="133"/>
        <v>5.8634000000000004</v>
      </c>
      <c r="Z205" s="66">
        <f t="shared" si="134"/>
        <v>6.7500000000000004E-2</v>
      </c>
      <c r="AA205" s="66">
        <f t="shared" si="135"/>
        <v>5.7959000000000005</v>
      </c>
      <c r="AB205" s="63" t="e">
        <f>VLOOKUP(A205,Enforcements!$C$7:$K$21,8,0)</f>
        <v>#N/A</v>
      </c>
      <c r="AC205" s="59" t="e">
        <f>VLOOKUP(A205,Enforcements!$C$7:$E$21,3,0)</f>
        <v>#N/A</v>
      </c>
      <c r="AD205" s="60" t="str">
        <f t="shared" si="136"/>
        <v>0844-09</v>
      </c>
      <c r="AE205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205" s="93" t="str">
        <f t="shared" si="138"/>
        <v>"C:\Program Files (x86)\AstroGrep\AstroGrep.exe" /spath="%USERPROFILE%\AppData\Local\Temp\OnboardLogs" /stypes="*4041*20160910*" /stext=" 04:.+((SYSTEM_STATE.+slice.+state.+changed )|(ment ac)|(system.+state.+changed )|(\|lc)|(penalty)|(\[timeout)|(PRM\|1\|D)|(kpr)|(kdp))" /e /r /s</v>
      </c>
      <c r="AG205" s="1" t="str">
        <f t="shared" si="139"/>
        <v>NW</v>
      </c>
      <c r="AH205" s="97" t="str">
        <f t="shared" si="91"/>
        <v>"%USERPROFILE%\Documents\GitHub\eaglep3\Utilities\RefineRTDCRunTimes.py" --tripid 844-09 --locoid 4041 --swversion DE.1.0.7.0 --startMP 300:58634 --initTime 2016-09-09T21:45:17 --startdatetime 2016-09-09T21:47:41 --delay 1 --endMP 204:675 --enddatetime 2016-09-09T22:04:40 --enforcementcount 1 &gt;&gt;C:\Users\stu\Documents\GitHub\eaglep3-reporting\EC\2016-09-09-refined-times.txt</v>
      </c>
      <c r="AI205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{"issue":{"subject":"","project_id":79,"tracker_id":40,"status_id":1,"priority_id":2,"assigned_to_id":23,"start_date":"2016-09-09","description":"","custom_fields":[{"id":1,"name":"Subdivision","value":"NW"},{"id":4,"name":"Milepost","value":"5.7959"},{"id":17,"name":"Train ID","value":"844-09"},{"id":16,"name":"Locomotive ID","value":"4041"},{"id":130,"name":"Impact","value":""},{"id":150,"name":"Time of Event (Mountain Time)","value":"22:04:40"},{"id":151,"name":"Denver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8" t="s">
        <v>715</v>
      </c>
      <c r="B206" s="7">
        <v>4042</v>
      </c>
      <c r="C206" s="23" t="s">
        <v>108</v>
      </c>
      <c r="D206" s="23" t="s">
        <v>673</v>
      </c>
      <c r="E206" s="15">
        <v>42622.891215277778</v>
      </c>
      <c r="F206" s="15">
        <v>42622.89267361111</v>
      </c>
      <c r="G206" s="7">
        <v>1</v>
      </c>
      <c r="H206" s="15" t="s">
        <v>716</v>
      </c>
      <c r="I206" s="15">
        <v>42622.905439814815</v>
      </c>
      <c r="J206" s="7">
        <v>1</v>
      </c>
      <c r="K206" s="114" t="str">
        <f t="shared" si="127"/>
        <v>4041/4042</v>
      </c>
      <c r="L206" s="23" t="str">
        <f>VLOOKUP(A206,'Trips&amp;Operators'!$C$1:$E$10000,3,FALSE)</f>
        <v>MAHAN</v>
      </c>
      <c r="M206" s="6">
        <f t="shared" si="128"/>
        <v>1.2766203704813961E-2</v>
      </c>
      <c r="N206" s="7">
        <f t="shared" si="126"/>
        <v>18.383333334932104</v>
      </c>
      <c r="O206" s="7"/>
      <c r="P206" s="7"/>
      <c r="Q206" s="24"/>
      <c r="R206" s="24"/>
      <c r="S206" s="36">
        <f t="shared" si="129"/>
        <v>1</v>
      </c>
      <c r="T206" s="51" t="str">
        <f t="shared" si="130"/>
        <v>NorthBound</v>
      </c>
      <c r="U206" s="17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20:23:21-0600',mode:absolute,to:'2016-09-09 22:43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6" s="179" t="str">
        <f t="shared" si="132"/>
        <v>N</v>
      </c>
      <c r="X206" s="179">
        <f t="shared" si="140"/>
        <v>1</v>
      </c>
      <c r="Y206" s="66">
        <f t="shared" si="133"/>
        <v>9.64E-2</v>
      </c>
      <c r="Z206" s="66">
        <f t="shared" si="134"/>
        <v>5.8949999999999996</v>
      </c>
      <c r="AA206" s="66">
        <f t="shared" si="135"/>
        <v>5.7985999999999995</v>
      </c>
      <c r="AB206" s="63" t="e">
        <f>VLOOKUP(A206,Enforcements!$C$7:$K$21,8,0)</f>
        <v>#N/A</v>
      </c>
      <c r="AC206" s="59" t="e">
        <f>VLOOKUP(A206,Enforcements!$C$7:$E$21,3,0)</f>
        <v>#N/A</v>
      </c>
      <c r="AD206" s="60" t="str">
        <f t="shared" si="136"/>
        <v>0845-09</v>
      </c>
      <c r="AE206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206" s="93" t="str">
        <f t="shared" si="138"/>
        <v>"C:\Program Files (x86)\AstroGrep\AstroGrep.exe" /spath="%USERPROFILE%\AppData\Local\Temp\OnboardLogs" /stypes="*4042*20160910*" /stext=" 03:.+((SYSTEM_STATE.+slice.+state.+changed )|(ment ac)|(system.+state.+changed )|(\|lc)|(penalty)|(\[timeout)|(PRM\|1\|D)|(kpr)|(kdp))" /e /r /s</v>
      </c>
      <c r="AG206" s="1" t="str">
        <f t="shared" si="139"/>
        <v>NW</v>
      </c>
      <c r="AH206" s="97" t="str">
        <f t="shared" si="91"/>
        <v>"%USERPROFILE%\Documents\GitHub\eaglep3\Utilities\RefineRTDCRunTimes.py" --tripid 845-09 --locoid 4042 --swversion DE.1.0.7.0 --startMP 204:964 --initTime 2016-09-09T21:23:21 --startdatetime 2016-09-09T21:25:27 --delay 1 --endMP 300:58950 --enddatetime 2016-09-09T21:43:50 --enforcementcount 1 &gt;&gt;C:\Users\stu\Documents\GitHub\eaglep3-reporting\EC\2016-09-09-refined-times.txt</v>
      </c>
      <c r="AI206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{"issue":{"subject":"","project_id":79,"tracker_id":40,"status_id":1,"priority_id":2,"assigned_to_id":23,"start_date":"2016-09-09","description":"","custom_fields":[{"id":1,"name":"Subdivision","value":"NW"},{"id":4,"name":"Milepost","value":"5.7986"},{"id":17,"name":"Train ID","value":"845-09"},{"id":16,"name":"Locomotive ID","value":"4042"},{"id":130,"name":"Impact","value":""},{"id":150,"name":"Time of Event (Mountain Time)","value":"21:43:50"},{"id":151,"name":"Denver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s="22" customFormat="1" x14ac:dyDescent="0.25">
      <c r="A207" s="38" t="s">
        <v>717</v>
      </c>
      <c r="B207" s="7">
        <v>4042</v>
      </c>
      <c r="C207" s="23" t="s">
        <v>108</v>
      </c>
      <c r="D207" s="23" t="s">
        <v>718</v>
      </c>
      <c r="E207" s="15">
        <v>42622.923275462963</v>
      </c>
      <c r="F207" s="15">
        <v>42622.931504629632</v>
      </c>
      <c r="G207" s="7">
        <v>2</v>
      </c>
      <c r="H207" s="15" t="s">
        <v>719</v>
      </c>
      <c r="I207" s="15">
        <v>42622.942627314813</v>
      </c>
      <c r="J207" s="7">
        <v>1</v>
      </c>
      <c r="K207" s="114" t="str">
        <f t="shared" si="127"/>
        <v>4041/4042</v>
      </c>
      <c r="L207" s="23" t="str">
        <f>VLOOKUP(A207,'Trips&amp;Operators'!$C$1:$E$10000,3,FALSE)</f>
        <v>MAHAN</v>
      </c>
      <c r="M207" s="6">
        <f t="shared" si="128"/>
        <v>1.1122685180453118E-2</v>
      </c>
      <c r="N207" s="7">
        <f t="shared" si="126"/>
        <v>16.01666665985249</v>
      </c>
      <c r="O207" s="7"/>
      <c r="P207" s="7"/>
      <c r="Q207" s="24"/>
      <c r="R207" s="24"/>
      <c r="S207" s="36">
        <f t="shared" si="129"/>
        <v>1</v>
      </c>
      <c r="T207" s="51" t="str">
        <f t="shared" si="130"/>
        <v>NorthBound</v>
      </c>
      <c r="U207" s="17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21:09:31-0600',mode:absolute,to:'2016-09-09 23:37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7" s="179" t="str">
        <f t="shared" si="132"/>
        <v>N</v>
      </c>
      <c r="X207" s="179">
        <f t="shared" si="140"/>
        <v>2</v>
      </c>
      <c r="Y207" s="66">
        <f t="shared" si="133"/>
        <v>9.8100000000000007E-2</v>
      </c>
      <c r="Z207" s="66">
        <f t="shared" si="134"/>
        <v>5.8956</v>
      </c>
      <c r="AA207" s="66">
        <f t="shared" si="135"/>
        <v>5.7975000000000003</v>
      </c>
      <c r="AB207" s="63" t="e">
        <f>VLOOKUP(A207,Enforcements!$C$7:$K$21,8,0)</f>
        <v>#N/A</v>
      </c>
      <c r="AC207" s="59" t="e">
        <f>VLOOKUP(A207,Enforcements!$C$7:$E$21,3,0)</f>
        <v>#N/A</v>
      </c>
      <c r="AD207" s="60" t="str">
        <f t="shared" si="136"/>
        <v>0847-09</v>
      </c>
      <c r="AE207" s="96" t="str">
        <f t="shared" si="137"/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AF207" s="93" t="str">
        <f t="shared" si="138"/>
        <v>"C:\Program Files (x86)\AstroGrep\AstroGrep.exe" /spath="%USERPROFILE%\AppData\Local\Temp\OnboardLogs" /stypes="*4042*20160910*" /stext=" 04:.+((SYSTEM_STATE.+slice.+state.+changed )|(ment ac)|(system.+state.+changed )|(\|lc)|(penalty)|(\[timeout)|(PRM\|1\|D)|(kpr)|(kdp))" /e /r /s</v>
      </c>
      <c r="AG207" s="1" t="str">
        <f t="shared" si="139"/>
        <v>NW</v>
      </c>
      <c r="AH207" s="97" t="str">
        <f t="shared" si="91"/>
        <v>"%USERPROFILE%\Documents\GitHub\eaglep3\Utilities\RefineRTDCRunTimes.py" --tripid 847-09 --locoid 4042 --swversion DE.1.0.7.0 --startMP 204:981 --initTime 2016-09-09T22:09:31 --startdatetime 2016-09-09T22:21:22 --delay 2 --endMP 300:58956 --enddatetime 2016-09-09T22:37:23 --enforcementcount 1 &gt;&gt;C:\Users\stu\Documents\GitHub\eaglep3-reporting\EC\2016-09-09-refined-times.txt</v>
      </c>
      <c r="AI207" s="129" t="str">
        <f t="shared" si="92"/>
        <v>echo {"issue":{"subject":"","project_id":79,"tracker_id":40,"status_id":1,"priority_id":2,"assigned_to_id":23,"start_date":"2016-09-09","description":"","custom_fields":[{"id":1,"name":"Subdivision","value":"NW"},{"id":4,"name":"Milepost","value":"5.7975"},{"id":17,"name":"Train ID","value":"847-09"},{"id":16,"name":"Locomotive ID","value":"4042"},{"id":130,"name":"Impact","value":""},{"id":150,"name":"Time of Event (Mountain Time)","value":"22:37:23"},{"id":151,"name":"Denver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8" t="s">
        <v>597</v>
      </c>
      <c r="B208" s="7">
        <v>4031</v>
      </c>
      <c r="C208" s="23" t="s">
        <v>108</v>
      </c>
      <c r="D208" s="23" t="s">
        <v>598</v>
      </c>
      <c r="E208" s="15">
        <v>42622.780717592592</v>
      </c>
      <c r="F208" s="15">
        <v>25568.958333333332</v>
      </c>
      <c r="G208" s="7">
        <v>1</v>
      </c>
      <c r="H208" s="15" t="s">
        <v>599</v>
      </c>
      <c r="I208" s="15">
        <v>25568.958333333332</v>
      </c>
      <c r="J208" s="7">
        <v>1</v>
      </c>
      <c r="K208" s="114" t="str">
        <f t="shared" si="127"/>
        <v>4031/4032</v>
      </c>
      <c r="L208" s="23" t="str">
        <f>VLOOKUP(A208,'Trips&amp;Operators'!$C$1:$E$10000,3,FALSE)</f>
        <v>MOSES</v>
      </c>
      <c r="M208" s="6">
        <f t="shared" si="128"/>
        <v>0</v>
      </c>
      <c r="N208" s="7">
        <f t="shared" si="126"/>
        <v>0</v>
      </c>
      <c r="O208" s="7"/>
      <c r="P208" s="7"/>
      <c r="Q208" s="24"/>
      <c r="R208" s="24"/>
      <c r="S208" s="36">
        <f t="shared" si="129"/>
        <v>1</v>
      </c>
      <c r="T208" s="51" t="str">
        <f t="shared" si="130"/>
        <v>NorthBound</v>
      </c>
      <c r="U208" s="17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17:44:14-0600',mode:absolute,to:'1970-01-01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08" s="179" t="str">
        <f t="shared" si="132"/>
        <v>Y</v>
      </c>
      <c r="X208" s="179">
        <f t="shared" si="140"/>
        <v>-544</v>
      </c>
      <c r="Y208" s="66">
        <f t="shared" si="133"/>
        <v>0.1303</v>
      </c>
      <c r="Z208" s="66">
        <f t="shared" si="134"/>
        <v>2.3308</v>
      </c>
      <c r="AA208" s="66">
        <f t="shared" si="135"/>
        <v>2.2004999999999999</v>
      </c>
      <c r="AB208" s="63" t="e">
        <f>VLOOKUP(A208,Enforcements!$C$7:$K$21,8,0)</f>
        <v>#N/A</v>
      </c>
      <c r="AC208" s="59" t="e">
        <f>VLOOKUP(A208,Enforcements!$C$7:$E$21,3,0)</f>
        <v>#N/A</v>
      </c>
      <c r="AD208" s="60" t="str">
        <f t="shared" si="136"/>
        <v>0303-09</v>
      </c>
      <c r="AE208" s="96" t="str">
        <f t="shared" si="137"/>
        <v>aws s3 cp s3://rtdc.mdm.uploadarchive/RTDC4031/1969-12-31/ "%USERPROFILE%\AppData\Local\Temp\OnboardLogs"\RTDC4031\1969-12-31 --recursive &amp; "%USERPROFILE%\Documents\GitHub\mrs-test-scripts\Headless Mode &amp; Sideloading\WalkAndUnGZ.bat" "%USERPROFILE%\AppData\Local\Temp\OnboardLogs"\RTDC4031\1969-12-31 &amp; aws s3 cp s3://rtdc.mdm.uploadarchive/RTDC4031/1970-01-01/ "%USERPROFILE%\AppData\Local\Temp\OnboardLogs"\RTDC4031\1970-01-01 --recursive &amp; "%USERPROFILE%\Documents\GitHub\mrs-test-scripts\Headless Mode &amp; Sideloading\WalkAndUnGZ.bat" "%USERPROFILE%\AppData\Local\Temp\OnboardLogs"\RTDC4031\1970-01-01</v>
      </c>
      <c r="AF208" s="93" t="str">
        <f t="shared" si="138"/>
        <v>"C:\Program Files (x86)\AstroGrep\AstroGrep.exe" /spath="%USERPROFILE%\AppData\Local\Temp\OnboardLogs" /stypes="*4031*19700101*" /stext=" 05:.+((SYSTEM_STATE.+slice.+state.+changed )|(ment ac)|(system.+state.+changed )|(\|lc)|(penalty)|(\[timeout)|(PRM\|1\|D)|(kpr)|(kdp))" /e /r /s</v>
      </c>
      <c r="AG208" s="1" t="str">
        <f t="shared" si="139"/>
        <v>Other</v>
      </c>
      <c r="AH208" s="97" t="str">
        <f t="shared" si="91"/>
        <v>"%USERPROFILE%\Documents\GitHub\eaglep3\Utilities\RefineRTDCRunTimes.py" --tripid 303-09 --locoid 4031 --swversion DE.1.0.7.0 --startMP 204:1303 --initTime 2016-09-09T18:44:14 --startdatetime 1969-12-31T23:00:00 --delay 1 --endMP 300:23308 --enddatetime 1969-12-31T23:00:00 --enforcementcount 1 &gt;&gt;C:\Users\stu\Documents\GitHub\eaglep3-reporting\EC\2016-09-09-refined-times.txt</v>
      </c>
      <c r="AI208" s="12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{"issue":{"subject":"","project_id":79,"tracker_id":40,"status_id":1,"priority_id":2,"assigned_to_id":23,"start_date":"1969-12-31","description":"","custom_fields":[{"id":1,"name":"Subdivision","value":"Other"},{"id":4,"name":"Milepost","value":"2.2005"},{"id":17,"name":"Train ID","value":"303-09"},{"id":16,"name":"Locomotive ID","value":"4031"},{"id":130,"name":"Impact","value":""},{"id":150,"name":"Time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s="22" customFormat="1" x14ac:dyDescent="0.25">
      <c r="A209" s="38" t="s">
        <v>600</v>
      </c>
      <c r="B209" s="7">
        <v>4009</v>
      </c>
      <c r="C209" s="23" t="s">
        <v>108</v>
      </c>
      <c r="D209" s="23" t="s">
        <v>601</v>
      </c>
      <c r="E209" s="15">
        <v>42622.798368055555</v>
      </c>
      <c r="F209" s="15">
        <v>25568.958333333332</v>
      </c>
      <c r="G209" s="7">
        <v>1</v>
      </c>
      <c r="H209" s="15" t="s">
        <v>351</v>
      </c>
      <c r="I209" s="15">
        <v>25568.958333333332</v>
      </c>
      <c r="J209" s="7">
        <v>1</v>
      </c>
      <c r="K209" s="114" t="str">
        <f t="shared" si="127"/>
        <v>4009/4010</v>
      </c>
      <c r="L209" s="23" t="str">
        <f>VLOOKUP(A209,'Trips&amp;Operators'!$C$1:$E$10000,3,FALSE)</f>
        <v>SHOOK</v>
      </c>
      <c r="M209" s="6">
        <f t="shared" si="128"/>
        <v>0</v>
      </c>
      <c r="N209" s="7">
        <f t="shared" si="126"/>
        <v>0</v>
      </c>
      <c r="O209" s="7"/>
      <c r="P209" s="7"/>
      <c r="Q209" s="24"/>
      <c r="R209" s="24"/>
      <c r="S209" s="36">
        <f t="shared" si="129"/>
        <v>1</v>
      </c>
      <c r="T209" s="51" t="str">
        <f t="shared" si="130"/>
        <v>NorthBound</v>
      </c>
      <c r="U209" s="17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18:09:39-0600',mode:absolute,to:'1970-01-01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09" s="179" t="str">
        <f t="shared" si="132"/>
        <v>Y</v>
      </c>
      <c r="X209" s="179">
        <f t="shared" si="140"/>
        <v>2</v>
      </c>
      <c r="Y209" s="66">
        <f t="shared" si="133"/>
        <v>0.13089999999999999</v>
      </c>
      <c r="Z209" s="66">
        <f t="shared" si="134"/>
        <v>2.331</v>
      </c>
      <c r="AA209" s="66">
        <f t="shared" si="135"/>
        <v>2.2000999999999999</v>
      </c>
      <c r="AB209" s="63" t="e">
        <f>VLOOKUP(A209,Enforcements!$C$7:$K$21,8,0)</f>
        <v>#N/A</v>
      </c>
      <c r="AC209" s="59" t="e">
        <f>VLOOKUP(A209,Enforcements!$C$7:$E$21,3,0)</f>
        <v>#N/A</v>
      </c>
      <c r="AD209" s="60" t="str">
        <f t="shared" si="136"/>
        <v>0305-09</v>
      </c>
      <c r="AE209" s="96" t="str">
        <f t="shared" si="137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9" s="93" t="str">
        <f t="shared" si="138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9" s="1" t="str">
        <f t="shared" si="139"/>
        <v>Other</v>
      </c>
      <c r="AH209" s="97" t="str">
        <f t="shared" si="91"/>
        <v>"%USERPROFILE%\Documents\GitHub\eaglep3\Utilities\RefineRTDCRunTimes.py" --tripid 305-09 --locoid 4009 --swversion DE.1.0.7.0 --startMP 204:1309 --initTime 2016-09-09T19:09:39 --startdatetime 1969-12-31T23:00:00 --delay 1 --endMP 300:23310 --enddatetime 1969-12-31T23:00:00 --enforcementcount 1 &gt;&gt;C:\Users\stu\Documents\GitHub\eaglep3-reporting\EC\2016-09-09-refined-times.txt</v>
      </c>
      <c r="AI209" s="12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{"issue":{"subject":"","project_id":79,"tracker_id":40,"status_id":1,"priority_id":2,"assigned_to_id":23,"start_date":"1969-12-31","description":"","custom_fields":[{"id":1,"name":"Subdivision","value":"Other"},{"id":4,"name":"Milepost","value":"2.2001"},{"id":17,"name":"Train ID","value":"305-09"},{"id":16,"name":"Locomotive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8" t="s">
        <v>602</v>
      </c>
      <c r="B210" s="7">
        <v>4040</v>
      </c>
      <c r="C210" s="23" t="s">
        <v>108</v>
      </c>
      <c r="D210" s="23" t="s">
        <v>603</v>
      </c>
      <c r="E210" s="15">
        <v>42622.822013888886</v>
      </c>
      <c r="F210" s="15">
        <v>25568.958333333332</v>
      </c>
      <c r="G210" s="7">
        <v>1</v>
      </c>
      <c r="H210" s="15" t="s">
        <v>604</v>
      </c>
      <c r="I210" s="15">
        <v>25568.958333333332</v>
      </c>
      <c r="J210" s="7">
        <v>1</v>
      </c>
      <c r="K210" s="114" t="str">
        <f t="shared" si="127"/>
        <v>4039/4040</v>
      </c>
      <c r="L210" s="23" t="str">
        <f>VLOOKUP(A210,'Trips&amp;Operators'!$C$1:$E$10000,3,FALSE)</f>
        <v>ISHMAEL</v>
      </c>
      <c r="M210" s="6">
        <f t="shared" si="128"/>
        <v>0</v>
      </c>
      <c r="N210" s="7">
        <f t="shared" si="126"/>
        <v>0</v>
      </c>
      <c r="O210" s="7"/>
      <c r="P210" s="7"/>
      <c r="Q210" s="24"/>
      <c r="R210" s="24"/>
      <c r="S210" s="36">
        <f t="shared" si="129"/>
        <v>1</v>
      </c>
      <c r="T210" s="51" t="str">
        <f t="shared" si="130"/>
        <v>NorthBound</v>
      </c>
      <c r="U210" s="17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18:43:42-0600',mode:absolute,to:'1970-01-01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0" s="179" t="str">
        <f t="shared" si="132"/>
        <v>Y</v>
      </c>
      <c r="X210" s="179">
        <f t="shared" si="140"/>
        <v>2</v>
      </c>
      <c r="Y210" s="66">
        <f t="shared" si="133"/>
        <v>0.12089999999999999</v>
      </c>
      <c r="Z210" s="66">
        <f t="shared" si="134"/>
        <v>2.3346</v>
      </c>
      <c r="AA210" s="66">
        <f t="shared" si="135"/>
        <v>2.2137000000000002</v>
      </c>
      <c r="AB210" s="63" t="e">
        <f>VLOOKUP(A210,Enforcements!$C$7:$K$21,8,0)</f>
        <v>#N/A</v>
      </c>
      <c r="AC210" s="59" t="e">
        <f>VLOOKUP(A210,Enforcements!$C$7:$E$21,3,0)</f>
        <v>#N/A</v>
      </c>
      <c r="AD210" s="60" t="str">
        <f t="shared" si="136"/>
        <v>0307-09</v>
      </c>
      <c r="AE210" s="96" t="str">
        <f t="shared" si="137"/>
        <v>aws s3 cp s3://rtdc.mdm.uploadarchive/RTDC4040/1969-12-31/ "%USERPROFILE%\AppData\Local\Temp\OnboardLogs"\RTDC4040\1969-12-31 --recursive &amp; "%USERPROFILE%\Documents\GitHub\mrs-test-scripts\Headless Mode &amp; Sideloading\WalkAndUnGZ.bat" "%USERPROFILE%\AppData\Local\Temp\OnboardLogs"\RTDC4040\1969-12-31 &amp; aws s3 cp s3://rtdc.mdm.uploadarchive/RTDC4040/1970-01-01/ "%USERPROFILE%\AppData\Local\Temp\OnboardLogs"\RTDC4040\1970-01-01 --recursive &amp; "%USERPROFILE%\Documents\GitHub\mrs-test-scripts\Headless Mode &amp; Sideloading\WalkAndUnGZ.bat" "%USERPROFILE%\AppData\Local\Temp\OnboardLogs"\RTDC4040\1970-01-01</v>
      </c>
      <c r="AF210" s="93" t="str">
        <f t="shared" si="138"/>
        <v>"C:\Program Files (x86)\AstroGrep\AstroGrep.exe" /spath="%USERPROFILE%\AppData\Local\Temp\OnboardLogs" /stypes="*4040*19700101*" /stext=" 05:.+((SYSTEM_STATE.+slice.+state.+changed )|(ment ac)|(system.+state.+changed )|(\|lc)|(penalty)|(\[timeout)|(PRM\|1\|D)|(kpr)|(kdp))" /e /r /s</v>
      </c>
      <c r="AG210" s="1" t="str">
        <f t="shared" si="139"/>
        <v>Other</v>
      </c>
      <c r="AH210" s="97" t="str">
        <f t="shared" si="91"/>
        <v>"%USERPROFILE%\Documents\GitHub\eaglep3\Utilities\RefineRTDCRunTimes.py" --tripid 307-09 --locoid 4040 --swversion DE.1.0.7.0 --startMP 204:1209 --initTime 2016-09-09T19:43:42 --startdatetime 1969-12-31T23:00:00 --delay 1 --endMP 300:23346 --enddatetime 1969-12-31T23:00:00 --enforcementcount 1 &gt;&gt;C:\Users\stu\Documents\GitHub\eaglep3-reporting\EC\2016-09-09-refined-times.txt</v>
      </c>
      <c r="AI210" s="129" t="str">
        <f t="shared" si="92"/>
        <v>echo {"issue":{"subject":"","project_id":79,"tracker_id":40,"status_id":1,"priority_id":2,"assigned_to_id":23,"start_date":"1969-12-31","description":"","custom_fields":[{"id":1,"name":"Subdivision","value":"Other"},{"id":4,"name":"Milepost","value":"2.2137"},{"id":17,"name":"Train ID","value":"307-09"},{"id":16,"name":"Locomotive ID","value":"4040"},{"id":130,"name":"Impact","value":""},{"id":150,"name":"Time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8" t="s">
        <v>356</v>
      </c>
      <c r="B211" s="7">
        <v>4014</v>
      </c>
      <c r="C211" s="23" t="s">
        <v>108</v>
      </c>
      <c r="D211" s="23" t="s">
        <v>357</v>
      </c>
      <c r="E211" s="15">
        <v>42622.09171296296</v>
      </c>
      <c r="F211" s="15">
        <v>42622.095914351848</v>
      </c>
      <c r="G211" s="7">
        <v>1</v>
      </c>
      <c r="H211" s="15" t="s">
        <v>358</v>
      </c>
      <c r="I211" s="15">
        <v>42622.102824074071</v>
      </c>
      <c r="J211" s="7">
        <v>1</v>
      </c>
      <c r="K211" s="114" t="str">
        <f t="shared" si="127"/>
        <v>4013/4014</v>
      </c>
      <c r="L211" s="23" t="str">
        <f>VLOOKUP(A211,'Trips&amp;Operators'!$C$1:$E$10000,3,FALSE)</f>
        <v>ARVIDSON</v>
      </c>
      <c r="M211" s="6">
        <f t="shared" si="128"/>
        <v>6.9097222221898846E-3</v>
      </c>
      <c r="N211" s="7">
        <f t="shared" si="126"/>
        <v>9.9499999999534339</v>
      </c>
      <c r="O211" s="7"/>
      <c r="P211" s="7"/>
      <c r="Q211" s="24"/>
      <c r="R211" s="24"/>
      <c r="S211" s="36">
        <f t="shared" si="129"/>
        <v>1</v>
      </c>
      <c r="T211" s="51" t="str">
        <f t="shared" si="130"/>
        <v>NorthBound</v>
      </c>
      <c r="U211" s="17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01:12:04-0600',mode:absolute,to:'2016-09-09 03:28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1" s="179" t="str">
        <f t="shared" si="132"/>
        <v>Y</v>
      </c>
      <c r="X211" s="179">
        <f t="shared" si="140"/>
        <v>8</v>
      </c>
      <c r="Y211" s="66">
        <f t="shared" si="133"/>
        <v>7.2800000000000004E-2</v>
      </c>
      <c r="Z211" s="66">
        <f t="shared" si="134"/>
        <v>2.2629000000000001</v>
      </c>
      <c r="AA211" s="66">
        <f t="shared" si="135"/>
        <v>2.1901000000000002</v>
      </c>
      <c r="AB211" s="63" t="e">
        <f>VLOOKUP(A211,Enforcements!$C$7:$K$21,8,0)</f>
        <v>#N/A</v>
      </c>
      <c r="AC211" s="59" t="e">
        <f>VLOOKUP(A211,Enforcements!$C$7:$E$21,3,0)</f>
        <v>#N/A</v>
      </c>
      <c r="AD211" s="60" t="str">
        <f t="shared" si="136"/>
        <v>0315-08</v>
      </c>
      <c r="AE211" s="96" t="str">
        <f t="shared" si="137"/>
        <v>aws s3 cp s3://rtdc.mdm.uploadarchive/RTDC4014/2016-09-09/ "%USERPROFILE%\AppData\Local\Temp\OnboardLogs"\RTDC4014\2016-09-09 --recursive &amp; "%USERPROFILE%\Documents\GitHub\mrs-test-scripts\Headless Mode &amp; Sideloading\WalkAndUnGZ.bat" "%USERPROFILE%\AppData\Local\Temp\OnboardLogs"\RTDC4014\2016-09-09 &amp; aws s3 cp s3://rtdc.mdm.uploadarchive/RTDC4014/2016-09-10/ "%USERPROFILE%\AppData\Local\Temp\OnboardLogs"\RTDC4014\2016-09-10 --recursive &amp; "%USERPROFILE%\Documents\GitHub\mrs-test-scripts\Headless Mode &amp; Sideloading\WalkAndUnGZ.bat" "%USERPROFILE%\AppData\Local\Temp\OnboardLogs"\RTDC4014\2016-09-10</v>
      </c>
      <c r="AF211" s="93" t="str">
        <f t="shared" si="138"/>
        <v>"C:\Program Files (x86)\AstroGrep\AstroGrep.exe" /spath="%USERPROFILE%\AppData\Local\Temp\OnboardLogs" /stypes="*4014*20160909*" /stext=" 08:.+((SYSTEM_STATE.+slice.+state.+changed )|(ment ac)|(system.+state.+changed )|(\|lc)|(penalty)|(\[timeout)|(PRM\|1\|D)|(kpr)|(kdp))" /e /r /s</v>
      </c>
      <c r="AG211" s="1" t="str">
        <f t="shared" si="139"/>
        <v>Other</v>
      </c>
      <c r="AH211" s="97" t="str">
        <f t="shared" si="91"/>
        <v>"%USERPROFILE%\Documents\GitHub\eaglep3\Utilities\RefineRTDCRunTimes.py" --tripid 315-08 --locoid 4014 --swversion DE.1.0.7.0 --startMP 204:728 --initTime 2016-09-09T02:12:04 --startdatetime 2016-09-09T02:18:07 --delay 1 --endMP 300:22629 --enddatetime 2016-09-09T02:28:04 --enforcementcount 1 &gt;&gt;C:\Users\stu\Documents\GitHub\eaglep3-reporting\EC\2016-09-09-refined-times.txt</v>
      </c>
      <c r="AI211" s="129" t="str">
        <f t="shared" si="92"/>
        <v>echo {"issue":{"subject":"","project_id":79,"tracker_id":40,"status_id":1,"priority_id":2,"assigned_to_id":23,"start_date":"2016-09-09","description":"","custom_fields":[{"id":1,"name":"Subdivision","value":"Other"},{"id":4,"name":"Milepost","value":"2.1901"},{"id":17,"name":"Train ID","value":"315-08"},{"id":16,"name":"Locomotive ID","value":"4014"},{"id":130,"name":"Impact","value":""},{"id":150,"name":"Time of Event (Mountain Time)","value":"02:28:04"},{"id":151,"name":"Denver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8" t="s">
        <v>720</v>
      </c>
      <c r="B212" s="7">
        <v>4038</v>
      </c>
      <c r="C212" s="23" t="s">
        <v>108</v>
      </c>
      <c r="D212" s="23" t="s">
        <v>721</v>
      </c>
      <c r="E212" s="15">
        <v>42622.352777777778</v>
      </c>
      <c r="F212" s="15">
        <v>42622.355856481481</v>
      </c>
      <c r="G212" s="7">
        <v>1</v>
      </c>
      <c r="H212" s="15" t="s">
        <v>722</v>
      </c>
      <c r="I212" s="15">
        <v>42622.361655092594</v>
      </c>
      <c r="J212" s="7">
        <v>1</v>
      </c>
      <c r="K212" s="114" t="str">
        <f t="shared" si="127"/>
        <v>4037/4038</v>
      </c>
      <c r="L212" s="23" t="str">
        <f>VLOOKUP(A212,'Trips&amp;Operators'!$C$1:$E$10000,3,FALSE)</f>
        <v>SANTIZO</v>
      </c>
      <c r="M212" s="6">
        <f t="shared" si="128"/>
        <v>5.7986111132777296E-3</v>
      </c>
      <c r="N212" s="7">
        <f t="shared" si="126"/>
        <v>8.3500000031199306</v>
      </c>
      <c r="O212" s="7"/>
      <c r="P212" s="7"/>
      <c r="Q212" s="24"/>
      <c r="R212" s="24"/>
      <c r="S212" s="36">
        <f t="shared" si="129"/>
        <v>1</v>
      </c>
      <c r="T212" s="51" t="str">
        <f t="shared" si="130"/>
        <v>NorthBound</v>
      </c>
      <c r="U212" s="17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07:28:00-0600',mode:absolute,to:'2016-09-09 09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12" s="179" t="str">
        <f t="shared" si="132"/>
        <v>Y</v>
      </c>
      <c r="X212" s="179">
        <f t="shared" si="140"/>
        <v>588</v>
      </c>
      <c r="Y212" s="66">
        <f t="shared" si="133"/>
        <v>0.1021</v>
      </c>
      <c r="Z212" s="66">
        <f t="shared" si="134"/>
        <v>2.4249999999999998</v>
      </c>
      <c r="AA212" s="66">
        <f t="shared" si="135"/>
        <v>2.3228999999999997</v>
      </c>
      <c r="AB212" s="63" t="e">
        <f>VLOOKUP(A212,Enforcements!$C$7:$K$21,8,0)</f>
        <v>#N/A</v>
      </c>
      <c r="AC212" s="59" t="e">
        <f>VLOOKUP(A212,Enforcements!$C$7:$E$21,3,0)</f>
        <v>#N/A</v>
      </c>
      <c r="AD212" s="60" t="str">
        <f t="shared" si="136"/>
        <v>0903-09</v>
      </c>
      <c r="AE212" s="96" t="str">
        <f t="shared" si="137"/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AF212" s="93" t="str">
        <f t="shared" si="138"/>
        <v>"C:\Program Files (x86)\AstroGrep\AstroGrep.exe" /spath="%USERPROFILE%\AppData\Local\Temp\OnboardLogs" /stypes="*4038*20160909*" /stext=" 14:.+((SYSTEM_STATE.+slice.+state.+changed )|(ment ac)|(system.+state.+changed )|(\|lc)|(penalty)|(\[timeout)|(PRM\|1\|D)|(kpr)|(kdp))" /e /r /s</v>
      </c>
      <c r="AG212" s="1" t="str">
        <f t="shared" si="139"/>
        <v>Other</v>
      </c>
      <c r="AH212" s="97" t="str">
        <f t="shared" ref="AH212:AH217" si="141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903-09 --locoid 4038 --swversion DE.1.0.7.0 --startMP 204:1021 --initTime 2016-09-09T08:28:00 --startdatetime 2016-09-09T08:32:26 --delay 1 --endMP 300:24250 --enddatetime 2016-09-09T08:40:47 --enforcementcount 1 &gt;&gt;C:\Users\stu\Documents\GitHub\eaglep3-reporting\EC\2016-09-09-refined-times.txt</v>
      </c>
      <c r="AI212" s="129" t="str">
        <f t="shared" ref="AI212:AI217" si="142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AA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{"issue":{"subject":"","project_id":79,"tracker_id":40,"status_id":1,"priority_id":2,"assigned_to_id":23,"start_date":"2016-09-09","description":"","custom_fields":[{"id":1,"name":"Subdivision","value":"Other"},{"id":4,"name":"Milepost","value":"2.3229"},{"id":17,"name":"Train ID","value":"903-09"},{"id":16,"name":"Locomotive ID","value":"4038"},{"id":130,"name":"Impact","value":""},{"id":150,"name":"Time of Event (Mountain Time)","value":"08:40:47"},{"id":151,"name":"Denver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8" t="s">
        <v>723</v>
      </c>
      <c r="B213" s="7">
        <v>4037</v>
      </c>
      <c r="C213" s="23" t="s">
        <v>108</v>
      </c>
      <c r="D213" s="23" t="s">
        <v>689</v>
      </c>
      <c r="E213" s="15">
        <v>42622.796863425923</v>
      </c>
      <c r="F213" s="15">
        <v>25568.958333333332</v>
      </c>
      <c r="G213" s="7">
        <v>1</v>
      </c>
      <c r="H213" s="15" t="s">
        <v>724</v>
      </c>
      <c r="I213" s="15">
        <v>25568.958333333332</v>
      </c>
      <c r="J213" s="7">
        <v>1</v>
      </c>
      <c r="K213" s="114" t="str">
        <f t="shared" si="127"/>
        <v>4037/4038</v>
      </c>
      <c r="L213" s="23" t="str">
        <f>VLOOKUP(A213,'Trips&amp;Operators'!$C$1:$E$10000,3,FALSE)</f>
        <v>CRAYTON</v>
      </c>
      <c r="M213" s="6">
        <f t="shared" si="128"/>
        <v>0</v>
      </c>
      <c r="N213" s="7">
        <f t="shared" si="126"/>
        <v>0</v>
      </c>
      <c r="O213" s="7"/>
      <c r="P213" s="7"/>
      <c r="Q213" s="24"/>
      <c r="R213" s="24"/>
      <c r="S213" s="36">
        <f t="shared" si="129"/>
        <v>0</v>
      </c>
      <c r="T213" s="51" t="str">
        <f t="shared" si="130"/>
        <v>Southbound</v>
      </c>
      <c r="U213" s="17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18:07:29-0600',mode:absolute,to:'1970-01-01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13" s="179" t="str">
        <f t="shared" si="132"/>
        <v>Y</v>
      </c>
      <c r="X213" s="179">
        <f t="shared" si="140"/>
        <v>3</v>
      </c>
      <c r="Y213" s="66">
        <f t="shared" si="133"/>
        <v>5.8608000000000002</v>
      </c>
      <c r="Z213" s="66">
        <f t="shared" si="134"/>
        <v>2.8767</v>
      </c>
      <c r="AA213" s="66">
        <f t="shared" si="135"/>
        <v>2.9841000000000002</v>
      </c>
      <c r="AB213" s="63" t="e">
        <f>VLOOKUP(A213,Enforcements!$C$7:$K$21,8,0)</f>
        <v>#N/A</v>
      </c>
      <c r="AC213" s="59" t="e">
        <f>VLOOKUP(A213,Enforcements!$C$7:$E$21,3,0)</f>
        <v>#N/A</v>
      </c>
      <c r="AD213" s="60" t="str">
        <f t="shared" si="136"/>
        <v>0906-09</v>
      </c>
      <c r="AE213" s="96" t="str">
        <f t="shared" si="137"/>
        <v>aws s3 cp s3://rtdc.mdm.uploadarchive/RTDC4037/1969-12-31/ "%USERPROFILE%\AppData\Local\Temp\OnboardLogs"\RTDC4037\1969-12-31 --recursive &amp; "%USERPROFILE%\Documents\GitHub\mrs-test-scripts\Headless Mode &amp; Sideloading\WalkAndUnGZ.bat" "%USERPROFILE%\AppData\Local\Temp\OnboardLogs"\RTDC4037\1969-12-31 &amp; aws s3 cp s3://rtdc.mdm.uploadarchive/RTDC4037/1970-01-01/ "%USERPROFILE%\AppData\Local\Temp\OnboardLogs"\RTDC4037\1970-01-01 --recursive &amp; "%USERPROFILE%\Documents\GitHub\mrs-test-scripts\Headless Mode &amp; Sideloading\WalkAndUnGZ.bat" "%USERPROFILE%\AppData\Local\Temp\OnboardLogs"\RTDC4037\1970-01-01</v>
      </c>
      <c r="AF213" s="93" t="str">
        <f t="shared" si="138"/>
        <v>"C:\Program Files (x86)\AstroGrep\AstroGrep.exe" /spath="%USERPROFILE%\AppData\Local\Temp\OnboardLogs" /stypes="*4037*19700101*" /stext=" 05:.+((SYSTEM_STATE.+slice.+state.+changed )|(ment ac)|(system.+state.+changed )|(\|lc)|(penalty)|(\[timeout)|(PRM\|1\|D)|(kpr)|(kdp))" /e /r /s</v>
      </c>
      <c r="AG213" s="1" t="str">
        <f t="shared" si="139"/>
        <v>Other</v>
      </c>
      <c r="AH213" s="97" t="str">
        <f t="shared" si="141"/>
        <v>"%USERPROFILE%\Documents\GitHub\eaglep3\Utilities\RefineRTDCRunTimes.py" --tripid 906-09 --locoid 4037 --swversion DE.1.0.7.0 --startMP 300:58608 --initTime 2016-09-09T19:07:29 --startdatetime 1969-12-31T23:00:00 --delay 1 --endMP 300:28767 --enddatetime 1969-12-31T23:00:00 --enforcementcount 1 &gt;&gt;C:\Users\stu\Documents\GitHub\eaglep3-reporting\EC\2016-09-09-refined-times.txt</v>
      </c>
      <c r="AI213" s="129" t="str">
        <f t="shared" si="142"/>
        <v>echo {"issue":{"subject":"","project_id":79,"tracker_id":40,"status_id":1,"priority_id":2,"assigned_to_id":23,"start_date":"1969-12-31","description":"","custom_fields":[{"id":1,"name":"Subdivision","value":"Other"},{"id":4,"name":"Milepost","value":"2.9841"},{"id":17,"name":"Train ID","value":"906-09"},{"id":16,"name":"Locomotive ID","value":"4037"},{"id":130,"name":"Impact","value":""},{"id":150,"name":"Time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8" t="s">
        <v>725</v>
      </c>
      <c r="B214" s="7">
        <v>4041</v>
      </c>
      <c r="C214" s="23" t="s">
        <v>108</v>
      </c>
      <c r="D214" s="23" t="s">
        <v>726</v>
      </c>
      <c r="E214" s="15">
        <v>42622.945567129631</v>
      </c>
      <c r="F214" s="15">
        <v>42622.947905092595</v>
      </c>
      <c r="G214" s="7">
        <v>1</v>
      </c>
      <c r="H214" s="15" t="s">
        <v>727</v>
      </c>
      <c r="I214" s="15">
        <v>42622.954895833333</v>
      </c>
      <c r="J214" s="7">
        <v>1</v>
      </c>
      <c r="K214" s="114" t="str">
        <f t="shared" si="127"/>
        <v>4041/4042</v>
      </c>
      <c r="L214" s="23" t="str">
        <f>VLOOKUP(A214,'Trips&amp;Operators'!$C$1:$E$10000,3,FALSE)</f>
        <v>MAHAN</v>
      </c>
      <c r="M214" s="6">
        <f t="shared" si="128"/>
        <v>6.9907407378195785E-3</v>
      </c>
      <c r="N214" s="7">
        <f t="shared" si="126"/>
        <v>10.066666662460193</v>
      </c>
      <c r="O214" s="7"/>
      <c r="P214" s="7"/>
      <c r="Q214" s="24"/>
      <c r="R214" s="24"/>
      <c r="S214" s="36">
        <f t="shared" si="129"/>
        <v>0</v>
      </c>
      <c r="T214" s="51" t="str">
        <f t="shared" si="130"/>
        <v>Southbound</v>
      </c>
      <c r="U214" s="17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21:41:37-0600',mode:absolute,to:'2016-09-09 23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14" s="179" t="str">
        <f t="shared" si="132"/>
        <v>Y</v>
      </c>
      <c r="X214" s="179">
        <f t="shared" si="140"/>
        <v>2</v>
      </c>
      <c r="Y214" s="66">
        <f t="shared" si="133"/>
        <v>5.8653000000000004</v>
      </c>
      <c r="Z214" s="66">
        <f t="shared" si="134"/>
        <v>2.1587000000000001</v>
      </c>
      <c r="AA214" s="66">
        <f t="shared" si="135"/>
        <v>3.7066000000000003</v>
      </c>
      <c r="AB214" s="63" t="e">
        <f>VLOOKUP(A214,Enforcements!$C$7:$K$21,8,0)</f>
        <v>#N/A</v>
      </c>
      <c r="AC214" s="59" t="e">
        <f>VLOOKUP(A214,Enforcements!$C$7:$E$21,3,0)</f>
        <v>#N/A</v>
      </c>
      <c r="AD214" s="60" t="str">
        <f t="shared" si="136"/>
        <v>0908-09</v>
      </c>
      <c r="AE214" s="96" t="str">
        <f t="shared" si="137"/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AF214" s="93" t="str">
        <f t="shared" si="138"/>
        <v>"C:\Program Files (x86)\AstroGrep\AstroGrep.exe" /spath="%USERPROFILE%\AppData\Local\Temp\OnboardLogs" /stypes="*4041*20160910*" /stext=" 04:.+((SYSTEM_STATE.+slice.+state.+changed )|(ment ac)|(system.+state.+changed )|(\|lc)|(penalty)|(\[timeout)|(PRM\|1\|D)|(kpr)|(kdp))" /e /r /s</v>
      </c>
      <c r="AG214" s="1" t="str">
        <f t="shared" si="139"/>
        <v>Other</v>
      </c>
      <c r="AH214" s="97" t="str">
        <f t="shared" si="141"/>
        <v>"%USERPROFILE%\Documents\GitHub\eaglep3\Utilities\RefineRTDCRunTimes.py" --tripid 908-09 --locoid 4041 --swversion DE.1.0.7.0 --startMP 300:58653 --initTime 2016-09-09T22:41:37 --startdatetime 2016-09-09T22:44:59 --delay 1 --endMP 300:21587 --enddatetime 2016-09-09T22:55:03 --enforcementcount 1 &gt;&gt;C:\Users\stu\Documents\GitHub\eaglep3-reporting\EC\2016-09-09-refined-times.txt</v>
      </c>
      <c r="AI214" s="129" t="str">
        <f t="shared" si="142"/>
        <v>echo {"issue":{"subject":"","project_id":79,"tracker_id":40,"status_id":1,"priority_id":2,"assigned_to_id":23,"start_date":"2016-09-09","description":"","custom_fields":[{"id":1,"name":"Subdivision","value":"Other"},{"id":4,"name":"Milepost","value":"3.7066"},{"id":17,"name":"Train ID","value":"908-09"},{"id":16,"name":"Locomotive ID","value":"4041"},{"id":130,"name":"Impact","value":""},{"id":150,"name":"Time of Event (Mountain Time)","value":"22:55:03"},{"id":151,"name":"Denver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8" t="s">
        <v>605</v>
      </c>
      <c r="B215" s="7">
        <v>4022</v>
      </c>
      <c r="C215" s="23" t="s">
        <v>108</v>
      </c>
      <c r="D215" s="23" t="s">
        <v>606</v>
      </c>
      <c r="E215" s="15">
        <v>42622.791921296295</v>
      </c>
      <c r="F215" s="15">
        <v>25568.958333333332</v>
      </c>
      <c r="G215" s="7">
        <v>2</v>
      </c>
      <c r="H215" s="15" t="s">
        <v>607</v>
      </c>
      <c r="I215" s="15">
        <v>25568.958333333332</v>
      </c>
      <c r="J215" s="7">
        <v>1</v>
      </c>
      <c r="K215" s="114" t="str">
        <f t="shared" si="127"/>
        <v>4021/4022</v>
      </c>
      <c r="L215" s="23" t="str">
        <f>VLOOKUP(A215,'Trips&amp;Operators'!$C$1:$E$10000,3,FALSE)</f>
        <v>ADANE</v>
      </c>
      <c r="M215" s="6">
        <f t="shared" si="128"/>
        <v>0</v>
      </c>
      <c r="N215" s="7">
        <f t="shared" si="126"/>
        <v>0</v>
      </c>
      <c r="O215" s="7"/>
      <c r="P215" s="7"/>
      <c r="Q215" s="24"/>
      <c r="R215" s="24"/>
      <c r="S215" s="36">
        <f t="shared" si="129"/>
        <v>0</v>
      </c>
      <c r="T215" s="51" t="e">
        <f t="shared" si="130"/>
        <v>#VALUE!</v>
      </c>
      <c r="U215" s="17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18:00:22-0600',mode:absolute,to:'1970-01-01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15" s="179" t="str">
        <f t="shared" si="132"/>
        <v>Y</v>
      </c>
      <c r="X215" s="179" t="e">
        <f t="shared" si="140"/>
        <v>#VALUE!</v>
      </c>
      <c r="Y215" s="66">
        <f t="shared" si="133"/>
        <v>6.1199999999999997E-2</v>
      </c>
      <c r="Z215" s="66">
        <f t="shared" si="134"/>
        <v>2.4266999999999999</v>
      </c>
      <c r="AA215" s="66">
        <f t="shared" si="135"/>
        <v>2.3654999999999999</v>
      </c>
      <c r="AB215" s="63" t="e">
        <f>VLOOKUP(A215,Enforcements!$C$7:$K$21,8,0)</f>
        <v>#N/A</v>
      </c>
      <c r="AC215" s="59" t="e">
        <f>VLOOKUP(A215,Enforcements!$C$7:$E$21,3,0)</f>
        <v>#N/A</v>
      </c>
      <c r="AD215" s="60" t="str">
        <f t="shared" si="136"/>
        <v>50-09</v>
      </c>
      <c r="AE215" s="96" t="str">
        <f t="shared" si="137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15" s="93" t="str">
        <f t="shared" si="138"/>
        <v>"C:\Program Files (x86)\AstroGrep\AstroGrep.exe" /spath="%USERPROFILE%\AppData\Local\Temp\OnboardLogs" /stypes="*4022*19700101*" /stext=" 05:.+((SYSTEM_STATE.+slice.+state.+changed )|(ment ac)|(system.+state.+changed )|(\|lc)|(penalty)|(\[timeout)|(PRM\|1\|D)|(kpr)|(kdp))" /e /r /s</v>
      </c>
      <c r="AG215" s="1" t="str">
        <f t="shared" si="139"/>
        <v>Other</v>
      </c>
      <c r="AH215" s="97" t="str">
        <f t="shared" si="141"/>
        <v>"%USERPROFILE%\Documents\GitHub\eaglep3\Utilities\RefineRTDCRunTimes.py" --tripid 50-09 --locoid 4022 --swversion DE.1.0.7.0 --startMP 204:612 --initTime 2016-09-09T19:00:22 --startdatetime 1969-12-31T23:00:00 --delay 2 --endMP 300:24267 --enddatetime 1969-12-31T23:00:00 --enforcementcount 1 &gt;&gt;C:\Users\stu\Documents\GitHub\eaglep3-reporting\EC\2016-09-09-refined-times.txt</v>
      </c>
      <c r="AI215" s="129" t="str">
        <f t="shared" si="142"/>
        <v>echo {"issue":{"subject":"","project_id":79,"tracker_id":40,"status_id":1,"priority_id":2,"assigned_to_id":23,"start_date":"1969-12-31","description":"","custom_fields":[{"id":1,"name":"Subdivision","value":"Other"},{"id":4,"name":"Milepost","value":"2.3655"},{"id":17,"name":"Train ID","value":"50-09"},{"id":16,"name":"Locomotive ID","value":"4022"},{"id":130,"name":"Impact","value":""},{"id":150,"name":"Time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8" t="s">
        <v>608</v>
      </c>
      <c r="B216" s="7">
        <v>4003</v>
      </c>
      <c r="C216" s="23" t="s">
        <v>108</v>
      </c>
      <c r="D216" s="23" t="s">
        <v>609</v>
      </c>
      <c r="E216" s="15">
        <v>42622.820451388892</v>
      </c>
      <c r="F216" s="15">
        <v>42622.822939814818</v>
      </c>
      <c r="G216" s="7">
        <v>1</v>
      </c>
      <c r="H216" s="15" t="s">
        <v>610</v>
      </c>
      <c r="I216" s="15">
        <v>42622.825069444443</v>
      </c>
      <c r="J216" s="7">
        <v>1</v>
      </c>
      <c r="K216" s="114" t="str">
        <f t="shared" si="127"/>
        <v>4003/4004</v>
      </c>
      <c r="L216" s="23" t="str">
        <f>VLOOKUP(A216,'Trips&amp;Operators'!$C$1:$E$10000,3,FALSE)</f>
        <v>COOPER</v>
      </c>
      <c r="M216" s="6">
        <f t="shared" si="128"/>
        <v>2.1296296254149638E-3</v>
      </c>
      <c r="N216" s="7">
        <f t="shared" si="126"/>
        <v>3.0666666605975479</v>
      </c>
      <c r="O216" s="7"/>
      <c r="P216" s="7"/>
      <c r="Q216" s="24"/>
      <c r="R216" s="24"/>
      <c r="S216" s="36">
        <f t="shared" si="129"/>
        <v>0</v>
      </c>
      <c r="T216" s="51" t="e">
        <f t="shared" si="130"/>
        <v>#VALUE!</v>
      </c>
      <c r="U216" s="17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18:41:27-0600',mode:absolute,to:'2016-09-09 20:48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6" s="179" t="str">
        <f t="shared" si="132"/>
        <v>Y</v>
      </c>
      <c r="X216" s="179" t="e">
        <f t="shared" si="140"/>
        <v>#VALUE!</v>
      </c>
      <c r="Y216" s="66">
        <f t="shared" si="133"/>
        <v>0.12280000000000001</v>
      </c>
      <c r="Z216" s="66">
        <f t="shared" si="134"/>
        <v>0.14549999999999999</v>
      </c>
      <c r="AA216" s="66">
        <f t="shared" si="135"/>
        <v>2.2699999999999984E-2</v>
      </c>
      <c r="AB216" s="63" t="e">
        <f>VLOOKUP(A216,Enforcements!$C$7:$K$21,8,0)</f>
        <v>#N/A</v>
      </c>
      <c r="AC216" s="59" t="e">
        <f>VLOOKUP(A216,Enforcements!$C$7:$E$21,3,0)</f>
        <v>#N/A</v>
      </c>
      <c r="AD216" s="60" t="str">
        <f t="shared" si="136"/>
        <v>52-09</v>
      </c>
      <c r="AE216" s="96" t="str">
        <f t="shared" si="137"/>
        <v>aws s3 cp s3://rtdc.mdm.uploadarchive/RTDC4003/2016-09-09/ "%USERPROFILE%\AppData\Local\Temp\OnboardLogs"\RTDC4003\2016-09-09 --recursive &amp; "%USERPROFILE%\Documents\GitHub\mrs-test-scripts\Headless Mode &amp; Sideloading\WalkAndUnGZ.bat" "%USERPROFILE%\AppData\Local\Temp\OnboardLogs"\RTDC4003\2016-09-09 &amp; aws s3 cp s3://rtdc.mdm.uploadarchive/RTDC4003/2016-09-10/ "%USERPROFILE%\AppData\Local\Temp\OnboardLogs"\RTDC4003\2016-09-10 --recursive &amp; "%USERPROFILE%\Documents\GitHub\mrs-test-scripts\Headless Mode &amp; Sideloading\WalkAndUnGZ.bat" "%USERPROFILE%\AppData\Local\Temp\OnboardLogs"\RTDC4003\2016-09-10</v>
      </c>
      <c r="AF216" s="93" t="str">
        <f t="shared" si="138"/>
        <v>"C:\Program Files (x86)\AstroGrep\AstroGrep.exe" /spath="%USERPROFILE%\AppData\Local\Temp\OnboardLogs" /stypes="*4003*20160910*" /stext=" 01:.+((SYSTEM_STATE.+slice.+state.+changed )|(ment ac)|(system.+state.+changed )|(\|lc)|(penalty)|(\[timeout)|(PRM\|1\|D)|(kpr)|(kdp))" /e /r /s</v>
      </c>
      <c r="AG216" s="1" t="str">
        <f t="shared" si="139"/>
        <v>Other</v>
      </c>
      <c r="AH216" s="97" t="str">
        <f t="shared" si="141"/>
        <v>"%USERPROFILE%\Documents\GitHub\eaglep3\Utilities\RefineRTDCRunTimes.py" --tripid 52-09 --locoid 4003 --swversion DE.1.0.7.0 --startMP 204:1228 --initTime 2016-09-09T19:41:27 --startdatetime 2016-09-09T19:45:02 --delay 1 --endMP 204:1455 --enddatetime 2016-09-09T19:48:06 --enforcementcount 1 &gt;&gt;C:\Users\stu\Documents\GitHub\eaglep3-reporting\EC\2016-09-09-refined-times.txt</v>
      </c>
      <c r="AI216" s="129" t="str">
        <f t="shared" si="142"/>
        <v>echo {"issue":{"subject":"","project_id":79,"tracker_id":40,"status_id":1,"priority_id":2,"assigned_to_id":23,"start_date":"2016-09-09","description":"","custom_fields":[{"id":1,"name":"Subdivision","value":"Other"},{"id":4,"name":"Milepost","value":"0.0227"},{"id":17,"name":"Train ID","value":"52-09"},{"id":16,"name":"Locomotive ID","value":"4003"},{"id":130,"name":"Impact","value":""},{"id":150,"name":"Time of Event (Mountain Time)","value":"19:48:06"},{"id":151,"name":"Denver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8" t="s">
        <v>611</v>
      </c>
      <c r="B217" s="7">
        <v>4051</v>
      </c>
      <c r="C217" s="23" t="s">
        <v>108</v>
      </c>
      <c r="D217" s="23" t="s">
        <v>612</v>
      </c>
      <c r="E217" s="15">
        <v>42622.982928240737</v>
      </c>
      <c r="F217" s="15">
        <v>42623.008148148147</v>
      </c>
      <c r="G217" s="7">
        <v>36</v>
      </c>
      <c r="H217" s="15" t="s">
        <v>613</v>
      </c>
      <c r="I217" s="15">
        <v>42623.008344907408</v>
      </c>
      <c r="J217" s="7">
        <v>1</v>
      </c>
      <c r="K217" s="114" t="str">
        <f t="shared" si="127"/>
        <v>4051/4052</v>
      </c>
      <c r="L217" s="23" t="b">
        <f>VLOOKUP(A217,'Trips&amp;Operators'!$C$1:$E$10000,3,FALSE)</f>
        <v>1</v>
      </c>
      <c r="M217" s="6">
        <f t="shared" si="128"/>
        <v>1.9675926159834489E-4</v>
      </c>
      <c r="N217" s="7">
        <f t="shared" si="126"/>
        <v>0.28333333670161664</v>
      </c>
      <c r="O217" s="7"/>
      <c r="P217" s="7"/>
      <c r="Q217" s="24"/>
      <c r="R217" s="24"/>
      <c r="S217" s="36">
        <f t="shared" si="129"/>
        <v>0</v>
      </c>
      <c r="T217" s="51" t="e">
        <f t="shared" si="130"/>
        <v>#VALUE!</v>
      </c>
      <c r="U217" s="17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78" t="str">
        <f t="shared" si="131"/>
        <v>https://search-rtdc-monitor-bjffxe2xuh6vdkpspy63sjmuny.us-east-1.es.amazonaws.com/_plugin/kibana/#/discover/Steve-Slow-Train-Analysis-(2080s-and-2083s)?_g=(refreshInterval:(display:Off,section:0,value:0),time:(from:'2016-09-09 22:35:25-0600',mode:absolute,to:'2016-09-10 01:12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4051%22')),sort:!(Time,asc))</v>
      </c>
      <c r="W217" s="179" t="str">
        <f t="shared" si="132"/>
        <v>Y</v>
      </c>
      <c r="X217" s="179" t="e">
        <f t="shared" si="140"/>
        <v>#VALUE!</v>
      </c>
      <c r="Y217" s="66">
        <f t="shared" si="133"/>
        <v>2.7692999999999999</v>
      </c>
      <c r="Z217" s="66">
        <f t="shared" si="134"/>
        <v>2.8363</v>
      </c>
      <c r="AA217" s="66">
        <f t="shared" si="135"/>
        <v>6.7000000000000171E-2</v>
      </c>
      <c r="AB217" s="63" t="e">
        <f>VLOOKUP(A217,Enforcements!$C$7:$K$21,8,0)</f>
        <v>#N/A</v>
      </c>
      <c r="AC217" s="59" t="e">
        <f>VLOOKUP(A217,Enforcements!$C$7:$E$21,3,0)</f>
        <v>#N/A</v>
      </c>
      <c r="AD217" s="60" t="str">
        <f t="shared" si="136"/>
        <v>61-09</v>
      </c>
      <c r="AE217" s="96" t="str">
        <f t="shared" si="137"/>
        <v>aws s3 cp s3://rtdc.mdm.uploadarchive/RTDC4051/2016-09-10/ "%USERPROFILE%\AppData\Local\Temp\OnboardLogs"\RTDC4051\2016-09-10 --recursive &amp; "%USERPROFILE%\Documents\GitHub\mrs-test-scripts\Headless Mode &amp; Sideloading\WalkAndUnGZ.bat" "%USERPROFILE%\AppData\Local\Temp\OnboardLogs"\RTDC4051\2016-09-10 &amp; aws s3 cp s3://rtdc.mdm.uploadarchive/RTDC4051/2016-09-11/ "%USERPROFILE%\AppData\Local\Temp\OnboardLogs"\RTDC4051\2016-09-11 --recursive &amp; "%USERPROFILE%\Documents\GitHub\mrs-test-scripts\Headless Mode &amp; Sideloading\WalkAndUnGZ.bat" "%USERPROFILE%\AppData\Local\Temp\OnboardLogs"\RTDC4051\2016-09-11</v>
      </c>
      <c r="AF217" s="93" t="str">
        <f t="shared" si="138"/>
        <v>"C:\Program Files (x86)\AstroGrep\AstroGrep.exe" /spath="%USERPROFILE%\AppData\Local\Temp\OnboardLogs" /stypes="*4051*20160910*" /stext=" 06:.+((SYSTEM_STATE.+slice.+state.+changed )|(ment ac)|(system.+state.+changed )|(\|lc)|(penalty)|(\[timeout)|(PRM\|1\|D)|(kpr)|(kdp))" /e /r /s</v>
      </c>
      <c r="AG217" s="1" t="str">
        <f t="shared" si="139"/>
        <v>Other</v>
      </c>
      <c r="AH217" s="97" t="str">
        <f t="shared" si="141"/>
        <v>"%USERPROFILE%\Documents\GitHub\eaglep3\Utilities\RefineRTDCRunTimes.py" --tripid 61-09 --locoid 4051 --swversion DE.1.0.7.0 --startMP 300:27693 --initTime 2016-09-09T23:35:25 --startdatetime 2016-09-10T00:11:44 --delay 36 --endMP 300:28363 --enddatetime 2016-09-10T00:12:01 --enforcementcount 1 &gt;&gt;C:\Users\stu\Documents\GitHub\eaglep3-reporting\EC\2016-09-09-refined-times.txt</v>
      </c>
      <c r="AI217" s="129" t="str">
        <f t="shared" si="142"/>
        <v>echo {"issue":{"subject":"","project_id":79,"tracker_id":40,"status_id":1,"priority_id":2,"assigned_to_id":23,"start_date":"2016-09-10","description":"","custom_fields":[{"id":1,"name":"Subdivision","value":"Other"},{"id":4,"name":"Milepost","value":"0.0670000000000002"},{"id":17,"name":"Train ID","value":"61-09"},{"id":16,"name":"Locomotive ID","value":"4051"},{"id":130,"name":"Impact","value":""},{"id":150,"name":"Time of Event (Mountain Time)","value":"00:12:01"},{"id":151,"name":"Denver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8"/>
      <c r="B218" s="7"/>
      <c r="C218" s="23"/>
      <c r="D218" s="23"/>
      <c r="E218" s="15"/>
      <c r="F218" s="15"/>
      <c r="G218" s="7"/>
      <c r="H218" s="15"/>
      <c r="I218" s="15"/>
      <c r="J218" s="7"/>
      <c r="K218" s="114"/>
      <c r="L218" s="23"/>
      <c r="M218" s="6"/>
      <c r="N218" s="7"/>
      <c r="O218" s="7"/>
      <c r="P218" s="7"/>
      <c r="Q218" s="24"/>
      <c r="R218" s="24"/>
      <c r="S218" s="36"/>
      <c r="T218" s="51"/>
      <c r="U218" s="177"/>
      <c r="V218" s="178"/>
      <c r="W218" s="179"/>
      <c r="X218" s="179"/>
      <c r="Y218" s="66"/>
      <c r="Z218" s="66"/>
      <c r="AA218" s="66"/>
      <c r="AB218" s="63"/>
      <c r="AC218" s="59"/>
      <c r="AD218" s="60"/>
      <c r="AE218" s="96"/>
      <c r="AF218" s="93"/>
      <c r="AG218" s="1"/>
      <c r="AI218" s="129"/>
      <c r="AJ218" s="53"/>
      <c r="AK218" s="53"/>
      <c r="AL218" s="53"/>
    </row>
    <row r="219" spans="1:38" x14ac:dyDescent="0.25">
      <c r="A219" s="38"/>
      <c r="B219" s="7"/>
      <c r="C219" s="23"/>
      <c r="D219" s="23"/>
      <c r="E219" s="15"/>
      <c r="F219" s="15"/>
      <c r="G219" s="7"/>
      <c r="H219" s="15"/>
      <c r="I219" s="15"/>
      <c r="J219" s="7"/>
      <c r="K219" s="114"/>
      <c r="L219" s="23"/>
      <c r="M219" s="6"/>
      <c r="N219" s="7"/>
      <c r="O219" s="7"/>
      <c r="P219" s="7"/>
      <c r="Q219" s="24"/>
      <c r="R219" s="24"/>
      <c r="S219" s="36"/>
      <c r="T219" s="51"/>
      <c r="U219" s="177"/>
      <c r="V219" s="178"/>
      <c r="W219" s="179"/>
      <c r="X219" s="179"/>
      <c r="Y219" s="66"/>
      <c r="Z219" s="66"/>
      <c r="AA219" s="66"/>
      <c r="AB219" s="63"/>
      <c r="AC219" s="59"/>
      <c r="AD219" s="60"/>
      <c r="AE219" s="96"/>
      <c r="AF219" s="93"/>
      <c r="AG219" s="1"/>
      <c r="AI219" s="129"/>
      <c r="AJ219" s="53"/>
      <c r="AK219" s="53"/>
      <c r="AL219" s="53"/>
    </row>
    <row r="220" spans="1:38" x14ac:dyDescent="0.25">
      <c r="A220" s="38"/>
      <c r="B220" s="7"/>
      <c r="C220" s="23"/>
      <c r="D220" s="23"/>
      <c r="E220" s="15"/>
      <c r="F220" s="15"/>
      <c r="G220" s="7"/>
      <c r="H220" s="15"/>
      <c r="I220" s="15"/>
      <c r="J220" s="7"/>
      <c r="K220" s="114"/>
      <c r="L220" s="23"/>
      <c r="M220" s="6"/>
      <c r="N220" s="7"/>
      <c r="O220" s="7"/>
      <c r="P220" s="7"/>
      <c r="Q220" s="24"/>
      <c r="R220" s="24"/>
      <c r="S220" s="36"/>
      <c r="T220" s="51"/>
      <c r="U220" s="177"/>
      <c r="V220" s="178"/>
      <c r="W220" s="179"/>
      <c r="X220" s="179"/>
      <c r="Y220" s="66"/>
      <c r="Z220" s="66"/>
      <c r="AA220" s="66"/>
      <c r="AB220" s="63"/>
      <c r="AC220" s="59"/>
      <c r="AD220" s="60"/>
      <c r="AE220" s="96"/>
      <c r="AF220" s="93"/>
      <c r="AG220" s="1"/>
      <c r="AI220" s="129"/>
      <c r="AJ220" s="53"/>
      <c r="AK220" s="53"/>
      <c r="AL220" s="53"/>
    </row>
    <row r="221" spans="1:38" x14ac:dyDescent="0.25">
      <c r="A221" s="38"/>
      <c r="B221" s="7"/>
      <c r="C221" s="23"/>
      <c r="D221" s="23"/>
      <c r="E221" s="15"/>
      <c r="F221" s="15"/>
      <c r="G221" s="7"/>
      <c r="H221" s="15"/>
      <c r="I221" s="15"/>
      <c r="J221" s="7"/>
      <c r="K221" s="114"/>
      <c r="L221" s="23"/>
      <c r="M221" s="6"/>
      <c r="N221" s="7"/>
      <c r="O221" s="7"/>
      <c r="P221" s="7"/>
      <c r="Q221" s="24"/>
      <c r="R221" s="24"/>
      <c r="S221" s="36"/>
      <c r="T221" s="51"/>
      <c r="U221" s="177"/>
      <c r="V221" s="178"/>
      <c r="W221" s="179"/>
      <c r="X221" s="179"/>
      <c r="Y221" s="66"/>
      <c r="Z221" s="66"/>
      <c r="AA221" s="66"/>
      <c r="AB221" s="63"/>
      <c r="AC221" s="59"/>
      <c r="AD221" s="60"/>
      <c r="AE221" s="96"/>
      <c r="AF221" s="93"/>
      <c r="AG221" s="1"/>
      <c r="AI221" s="129"/>
      <c r="AJ221" s="53"/>
      <c r="AK221" s="53"/>
      <c r="AL221" s="53"/>
    </row>
    <row r="222" spans="1:38" x14ac:dyDescent="0.25">
      <c r="A222" s="38"/>
      <c r="B222" s="7"/>
      <c r="C222" s="23"/>
      <c r="D222" s="23"/>
      <c r="E222" s="15"/>
      <c r="F222" s="15"/>
      <c r="G222" s="7"/>
      <c r="H222" s="15"/>
      <c r="I222" s="15"/>
      <c r="J222" s="7"/>
      <c r="K222" s="114"/>
      <c r="L222" s="23"/>
      <c r="M222" s="6"/>
      <c r="N222" s="7"/>
      <c r="O222" s="7"/>
      <c r="P222" s="7"/>
      <c r="Q222" s="24"/>
      <c r="R222" s="24"/>
      <c r="S222" s="36"/>
      <c r="T222" s="51"/>
      <c r="U222" s="177"/>
      <c r="V222" s="178"/>
      <c r="W222" s="179"/>
      <c r="X222" s="179"/>
      <c r="Y222" s="66"/>
      <c r="Z222" s="66"/>
      <c r="AA222" s="66"/>
      <c r="AB222" s="63"/>
      <c r="AC222" s="59"/>
      <c r="AD222" s="60"/>
      <c r="AE222" s="96"/>
      <c r="AF222" s="93"/>
      <c r="AG222" s="1"/>
      <c r="AI222" s="129"/>
      <c r="AJ222" s="53"/>
      <c r="AK222" s="53"/>
      <c r="AL222" s="53"/>
    </row>
    <row r="223" spans="1:38" x14ac:dyDescent="0.25">
      <c r="A223" s="38"/>
      <c r="B223" s="7"/>
      <c r="C223" s="23"/>
      <c r="D223" s="23"/>
      <c r="E223" s="15"/>
      <c r="F223" s="15"/>
      <c r="G223" s="7"/>
      <c r="H223" s="15"/>
      <c r="I223" s="15"/>
      <c r="J223" s="7"/>
      <c r="K223" s="114"/>
      <c r="L223" s="23"/>
      <c r="M223" s="6"/>
      <c r="N223" s="7"/>
      <c r="O223" s="7"/>
      <c r="P223" s="7"/>
      <c r="Q223" s="24"/>
      <c r="R223" s="24"/>
      <c r="S223" s="36"/>
      <c r="T223" s="51"/>
      <c r="U223" s="177"/>
      <c r="V223" s="178"/>
      <c r="W223" s="179"/>
      <c r="X223" s="179"/>
      <c r="Y223" s="66"/>
      <c r="Z223" s="66"/>
      <c r="AA223" s="66"/>
      <c r="AB223" s="63"/>
      <c r="AC223" s="59"/>
      <c r="AD223" s="60"/>
      <c r="AE223" s="96"/>
      <c r="AF223" s="93"/>
      <c r="AG223" s="1"/>
      <c r="AI223" s="129"/>
      <c r="AJ223" s="53"/>
      <c r="AK223" s="53"/>
      <c r="AL223" s="53"/>
    </row>
    <row r="224" spans="1:38" x14ac:dyDescent="0.25">
      <c r="A224" s="38"/>
      <c r="B224" s="7"/>
      <c r="C224" s="23"/>
      <c r="D224" s="23"/>
      <c r="E224" s="15"/>
      <c r="F224" s="15"/>
      <c r="G224" s="7"/>
      <c r="H224" s="15"/>
      <c r="I224" s="15"/>
      <c r="J224" s="7"/>
      <c r="K224" s="114"/>
      <c r="L224" s="23"/>
      <c r="M224" s="6"/>
      <c r="N224" s="7"/>
      <c r="O224" s="7"/>
      <c r="P224" s="7"/>
      <c r="Q224" s="24"/>
      <c r="R224" s="24"/>
      <c r="S224" s="36"/>
      <c r="T224" s="51"/>
      <c r="U224" s="177"/>
      <c r="V224" s="178"/>
      <c r="W224" s="179"/>
      <c r="X224" s="179"/>
      <c r="Y224" s="66"/>
      <c r="Z224" s="66"/>
      <c r="AA224" s="66"/>
      <c r="AB224" s="63"/>
      <c r="AC224" s="59"/>
      <c r="AD224" s="60"/>
      <c r="AE224" s="96"/>
      <c r="AF224" s="93"/>
      <c r="AG224" s="1"/>
      <c r="AI224" s="129"/>
      <c r="AJ224" s="53"/>
      <c r="AK224" s="53"/>
      <c r="AL224" s="53"/>
    </row>
    <row r="225" spans="1:38" x14ac:dyDescent="0.25">
      <c r="A225" s="38"/>
      <c r="B225" s="7"/>
      <c r="C225" s="23"/>
      <c r="D225" s="23"/>
      <c r="E225" s="15"/>
      <c r="F225" s="15"/>
      <c r="G225" s="7"/>
      <c r="H225" s="15"/>
      <c r="I225" s="15"/>
      <c r="J225" s="7"/>
      <c r="K225" s="114"/>
      <c r="L225" s="23"/>
      <c r="M225" s="6"/>
      <c r="N225" s="7"/>
      <c r="O225" s="7"/>
      <c r="P225" s="7"/>
      <c r="Q225" s="24"/>
      <c r="R225" s="24"/>
      <c r="S225" s="36"/>
      <c r="T225" s="51"/>
      <c r="U225" s="177"/>
      <c r="V225" s="178"/>
      <c r="W225" s="179"/>
      <c r="X225" s="179"/>
      <c r="Y225" s="66"/>
      <c r="Z225" s="66"/>
      <c r="AA225" s="66"/>
      <c r="AB225" s="63"/>
      <c r="AC225" s="59"/>
      <c r="AD225" s="60"/>
      <c r="AE225" s="96"/>
      <c r="AF225" s="93"/>
      <c r="AG225" s="1"/>
      <c r="AI225" s="129"/>
      <c r="AJ225" s="53"/>
      <c r="AK225" s="53"/>
      <c r="AL225" s="53"/>
    </row>
    <row r="226" spans="1:38" x14ac:dyDescent="0.25">
      <c r="A226" s="38"/>
      <c r="B226" s="7"/>
      <c r="C226" s="23"/>
      <c r="D226" s="23"/>
      <c r="E226" s="15"/>
      <c r="F226" s="15"/>
      <c r="G226" s="7"/>
      <c r="H226" s="15"/>
      <c r="I226" s="15"/>
      <c r="J226" s="7"/>
      <c r="K226" s="114"/>
      <c r="L226" s="23"/>
      <c r="M226" s="6"/>
      <c r="N226" s="7"/>
      <c r="O226" s="7"/>
      <c r="P226" s="7"/>
      <c r="Q226" s="24"/>
      <c r="R226" s="24"/>
      <c r="S226" s="36"/>
      <c r="T226" s="51"/>
      <c r="U226" s="177"/>
      <c r="V226" s="178"/>
      <c r="W226" s="179"/>
      <c r="X226" s="179"/>
      <c r="Y226" s="66"/>
      <c r="Z226" s="66"/>
      <c r="AA226" s="66"/>
      <c r="AB226" s="63"/>
      <c r="AC226" s="59"/>
      <c r="AD226" s="60"/>
      <c r="AE226" s="96"/>
      <c r="AF226" s="93"/>
      <c r="AG226" s="1"/>
      <c r="AI226" s="129"/>
      <c r="AJ226" s="53"/>
      <c r="AK226" s="53"/>
      <c r="AL226" s="53"/>
    </row>
    <row r="227" spans="1:38" x14ac:dyDescent="0.25">
      <c r="A227" s="38"/>
      <c r="B227" s="7"/>
      <c r="C227" s="23"/>
      <c r="D227" s="23"/>
      <c r="E227" s="15"/>
      <c r="F227" s="15"/>
      <c r="G227" s="7"/>
      <c r="H227" s="15"/>
      <c r="I227" s="15"/>
      <c r="J227" s="7"/>
      <c r="K227" s="114"/>
      <c r="L227" s="23"/>
      <c r="M227" s="6"/>
      <c r="N227" s="7"/>
      <c r="O227" s="7"/>
      <c r="P227" s="7"/>
      <c r="Q227" s="24"/>
      <c r="R227" s="24"/>
      <c r="S227" s="36"/>
      <c r="T227" s="51"/>
      <c r="U227" s="177"/>
      <c r="V227" s="178"/>
      <c r="W227" s="179"/>
      <c r="X227" s="179"/>
      <c r="Y227" s="66"/>
      <c r="Z227" s="66"/>
      <c r="AA227" s="66"/>
      <c r="AB227" s="63"/>
      <c r="AC227" s="59"/>
      <c r="AD227" s="60"/>
      <c r="AE227" s="96"/>
      <c r="AF227" s="93"/>
      <c r="AG227" s="1"/>
      <c r="AI227" s="129"/>
      <c r="AJ227" s="53"/>
      <c r="AK227" s="53"/>
      <c r="AL227" s="53"/>
    </row>
    <row r="228" spans="1:38" x14ac:dyDescent="0.25">
      <c r="A228" s="38"/>
      <c r="B228" s="7"/>
      <c r="C228" s="23"/>
      <c r="D228" s="23"/>
      <c r="E228" s="15"/>
      <c r="F228" s="15"/>
      <c r="G228" s="7"/>
      <c r="H228" s="15"/>
      <c r="I228" s="15"/>
      <c r="J228" s="7"/>
      <c r="K228" s="114"/>
      <c r="L228" s="23"/>
      <c r="M228" s="6"/>
      <c r="N228" s="7"/>
      <c r="O228" s="7"/>
      <c r="P228" s="7"/>
      <c r="Q228" s="24"/>
      <c r="R228" s="24"/>
      <c r="S228" s="36"/>
      <c r="T228" s="51"/>
      <c r="U228" s="177"/>
      <c r="V228" s="178"/>
      <c r="W228" s="179"/>
      <c r="X228" s="179"/>
      <c r="Y228" s="66"/>
      <c r="Z228" s="66"/>
      <c r="AA228" s="66"/>
      <c r="AB228" s="63"/>
      <c r="AC228" s="59"/>
      <c r="AD228" s="60"/>
      <c r="AE228" s="96"/>
      <c r="AF228" s="93"/>
      <c r="AG228" s="1"/>
      <c r="AI228" s="129"/>
      <c r="AJ228" s="53"/>
      <c r="AK228" s="53"/>
      <c r="AL228" s="53"/>
    </row>
    <row r="229" spans="1:38" x14ac:dyDescent="0.25">
      <c r="A229" s="38"/>
      <c r="B229" s="7"/>
      <c r="C229" s="23"/>
      <c r="D229" s="23"/>
      <c r="E229" s="15"/>
      <c r="F229" s="15"/>
      <c r="G229" s="7"/>
      <c r="H229" s="15"/>
      <c r="I229" s="15"/>
      <c r="J229" s="7"/>
      <c r="K229" s="114"/>
      <c r="L229" s="23"/>
      <c r="M229" s="6"/>
      <c r="N229" s="7"/>
      <c r="O229" s="7"/>
      <c r="P229" s="7"/>
      <c r="Q229" s="24"/>
      <c r="R229" s="24"/>
      <c r="S229" s="36"/>
      <c r="T229" s="51"/>
      <c r="U229" s="177"/>
      <c r="V229" s="178"/>
      <c r="W229" s="179"/>
      <c r="X229" s="179"/>
      <c r="Y229" s="66"/>
      <c r="Z229" s="66"/>
      <c r="AA229" s="66"/>
      <c r="AB229" s="63"/>
      <c r="AC229" s="59"/>
      <c r="AD229" s="60"/>
      <c r="AE229" s="96"/>
      <c r="AF229" s="93"/>
      <c r="AG229" s="1"/>
      <c r="AI229" s="129"/>
      <c r="AJ229" s="53"/>
      <c r="AK229" s="53"/>
      <c r="AL229" s="53"/>
    </row>
    <row r="230" spans="1:38" x14ac:dyDescent="0.25">
      <c r="A230" s="38"/>
      <c r="B230" s="7"/>
      <c r="C230" s="23"/>
      <c r="D230" s="23"/>
      <c r="E230" s="15"/>
      <c r="F230" s="15"/>
      <c r="G230" s="7"/>
      <c r="H230" s="15"/>
      <c r="I230" s="15"/>
      <c r="J230" s="7"/>
      <c r="K230" s="114"/>
      <c r="L230" s="23"/>
      <c r="M230" s="6"/>
      <c r="N230" s="7"/>
      <c r="O230" s="7"/>
      <c r="P230" s="7"/>
      <c r="Q230" s="24"/>
      <c r="R230" s="24"/>
      <c r="S230" s="36"/>
      <c r="T230" s="51"/>
      <c r="U230" s="177"/>
      <c r="V230" s="178"/>
      <c r="W230" s="179"/>
      <c r="X230" s="179"/>
      <c r="Y230" s="66"/>
      <c r="Z230" s="66"/>
      <c r="AA230" s="66"/>
      <c r="AB230" s="63"/>
      <c r="AC230" s="59"/>
      <c r="AD230" s="60"/>
      <c r="AE230" s="96"/>
      <c r="AF230" s="93"/>
      <c r="AG230" s="1"/>
      <c r="AI230" s="129"/>
      <c r="AJ230" s="53"/>
      <c r="AK230" s="53"/>
      <c r="AL230" s="53"/>
    </row>
    <row r="231" spans="1:38" x14ac:dyDescent="0.25">
      <c r="A231" s="38"/>
      <c r="B231" s="7"/>
      <c r="C231" s="23"/>
      <c r="D231" s="23"/>
      <c r="E231" s="15"/>
      <c r="F231" s="15"/>
      <c r="G231" s="7"/>
      <c r="H231" s="15"/>
      <c r="I231" s="15"/>
      <c r="J231" s="7"/>
      <c r="K231" s="114"/>
      <c r="L231" s="23"/>
      <c r="M231" s="6"/>
      <c r="N231" s="7"/>
      <c r="O231" s="7"/>
      <c r="P231" s="7"/>
      <c r="Q231" s="24"/>
      <c r="R231" s="24"/>
      <c r="S231" s="36"/>
      <c r="T231" s="51"/>
      <c r="U231" s="177"/>
      <c r="V231" s="178"/>
      <c r="W231" s="179"/>
      <c r="X231" s="179"/>
      <c r="Y231" s="66"/>
      <c r="Z231" s="66"/>
      <c r="AA231" s="66"/>
      <c r="AB231" s="63"/>
      <c r="AC231" s="59"/>
      <c r="AD231" s="60"/>
      <c r="AE231" s="96"/>
      <c r="AF231" s="93"/>
      <c r="AG231" s="1"/>
      <c r="AI231" s="129"/>
      <c r="AJ231" s="53"/>
      <c r="AK231" s="53"/>
      <c r="AL231" s="53"/>
    </row>
    <row r="232" spans="1:38" x14ac:dyDescent="0.25">
      <c r="A232" s="38"/>
      <c r="B232" s="7"/>
      <c r="C232" s="23"/>
      <c r="D232" s="23"/>
      <c r="E232" s="15"/>
      <c r="F232" s="15"/>
      <c r="G232" s="7"/>
      <c r="H232" s="15"/>
      <c r="I232" s="15"/>
      <c r="J232" s="7"/>
      <c r="K232" s="114"/>
      <c r="L232" s="23"/>
      <c r="M232" s="6"/>
      <c r="N232" s="7"/>
      <c r="O232" s="7"/>
      <c r="P232" s="7"/>
      <c r="Q232" s="24"/>
      <c r="R232" s="24"/>
      <c r="S232" s="36"/>
      <c r="T232" s="51"/>
      <c r="U232" s="177"/>
      <c r="V232" s="178"/>
      <c r="W232" s="179"/>
      <c r="X232" s="179"/>
      <c r="Y232" s="66"/>
      <c r="Z232" s="66"/>
      <c r="AA232" s="66"/>
      <c r="AB232" s="63"/>
      <c r="AC232" s="59"/>
      <c r="AD232" s="60"/>
      <c r="AE232" s="96"/>
      <c r="AF232" s="93"/>
      <c r="AG232" s="1"/>
      <c r="AI232" s="129"/>
      <c r="AJ232" s="53"/>
      <c r="AK232" s="53"/>
      <c r="AL232" s="53"/>
    </row>
    <row r="233" spans="1:38" x14ac:dyDescent="0.25">
      <c r="A233" s="38"/>
      <c r="B233" s="7"/>
      <c r="C233" s="23"/>
      <c r="D233" s="23"/>
      <c r="E233" s="15"/>
      <c r="F233" s="15"/>
      <c r="G233" s="7"/>
      <c r="H233" s="15"/>
      <c r="I233" s="15"/>
      <c r="J233" s="7"/>
      <c r="K233" s="114"/>
      <c r="L233" s="23"/>
      <c r="M233" s="6"/>
      <c r="N233" s="7"/>
      <c r="O233" s="7"/>
      <c r="P233" s="7"/>
      <c r="Q233" s="24"/>
      <c r="R233" s="24"/>
      <c r="S233" s="36"/>
      <c r="T233" s="51"/>
      <c r="U233" s="177"/>
      <c r="V233" s="178"/>
      <c r="W233" s="179"/>
      <c r="X233" s="179"/>
      <c r="Y233" s="66"/>
      <c r="Z233" s="66"/>
      <c r="AA233" s="66"/>
      <c r="AB233" s="63"/>
      <c r="AC233" s="59"/>
      <c r="AD233" s="60"/>
      <c r="AE233" s="96"/>
      <c r="AF233" s="93"/>
      <c r="AG233" s="1"/>
      <c r="AI233" s="129"/>
      <c r="AJ233" s="53"/>
      <c r="AK233" s="53"/>
      <c r="AL233" s="53"/>
    </row>
    <row r="234" spans="1:38" x14ac:dyDescent="0.25">
      <c r="A234" s="38"/>
      <c r="B234" s="7"/>
      <c r="C234" s="23"/>
      <c r="D234" s="23"/>
      <c r="E234" s="15"/>
      <c r="F234" s="15"/>
      <c r="G234" s="7"/>
      <c r="H234" s="15"/>
      <c r="I234" s="15"/>
      <c r="J234" s="7"/>
      <c r="K234" s="114"/>
      <c r="L234" s="23"/>
      <c r="M234" s="6"/>
      <c r="N234" s="7"/>
      <c r="O234" s="7"/>
      <c r="P234" s="7"/>
      <c r="Q234" s="24"/>
      <c r="R234" s="24"/>
      <c r="S234" s="36"/>
      <c r="T234" s="51"/>
      <c r="U234" s="177"/>
      <c r="V234" s="178"/>
      <c r="W234" s="179"/>
      <c r="X234" s="179"/>
      <c r="Y234" s="66"/>
      <c r="Z234" s="66"/>
      <c r="AA234" s="66"/>
      <c r="AB234" s="63"/>
      <c r="AC234" s="59"/>
      <c r="AD234" s="60"/>
      <c r="AE234" s="96"/>
      <c r="AF234" s="93"/>
      <c r="AG234" s="1"/>
      <c r="AI234" s="129"/>
      <c r="AJ234" s="53"/>
      <c r="AK234" s="53"/>
      <c r="AL234" s="53"/>
    </row>
    <row r="235" spans="1:38" x14ac:dyDescent="0.25">
      <c r="A235" s="38"/>
      <c r="B235" s="7"/>
      <c r="C235" s="23"/>
      <c r="D235" s="23"/>
      <c r="E235" s="15"/>
      <c r="F235" s="15"/>
      <c r="G235" s="7"/>
      <c r="H235" s="15"/>
      <c r="I235" s="15"/>
      <c r="J235" s="7"/>
      <c r="K235" s="114"/>
      <c r="L235" s="23"/>
      <c r="M235" s="6"/>
      <c r="N235" s="7"/>
      <c r="O235" s="7"/>
      <c r="P235" s="7"/>
      <c r="Q235" s="24"/>
      <c r="R235" s="24"/>
      <c r="S235" s="36"/>
      <c r="T235" s="51"/>
      <c r="U235" s="177"/>
      <c r="V235" s="178"/>
      <c r="W235" s="179"/>
      <c r="X235" s="179"/>
      <c r="Y235" s="66"/>
      <c r="Z235" s="66"/>
      <c r="AA235" s="66"/>
      <c r="AB235" s="63"/>
      <c r="AC235" s="59"/>
      <c r="AD235" s="60"/>
      <c r="AE235" s="96"/>
      <c r="AF235" s="93"/>
      <c r="AG235" s="1"/>
      <c r="AI235" s="129"/>
      <c r="AJ235" s="53"/>
      <c r="AK235" s="53"/>
      <c r="AL235" s="53"/>
    </row>
    <row r="236" spans="1:38" x14ac:dyDescent="0.25">
      <c r="A236" s="38"/>
      <c r="B236" s="7"/>
      <c r="C236" s="23"/>
      <c r="D236" s="23"/>
      <c r="E236" s="15"/>
      <c r="F236" s="15"/>
      <c r="G236" s="7"/>
      <c r="H236" s="15"/>
      <c r="I236" s="15"/>
      <c r="J236" s="7"/>
      <c r="K236" s="114"/>
      <c r="L236" s="23"/>
      <c r="M236" s="6"/>
      <c r="N236" s="7"/>
      <c r="O236" s="7"/>
      <c r="P236" s="7"/>
      <c r="Q236" s="24"/>
      <c r="R236" s="24"/>
      <c r="S236" s="36"/>
      <c r="T236" s="51"/>
      <c r="U236" s="177"/>
      <c r="V236" s="178"/>
      <c r="W236" s="179"/>
      <c r="X236" s="179"/>
      <c r="Y236" s="66"/>
      <c r="Z236" s="66"/>
      <c r="AA236" s="66"/>
      <c r="AB236" s="63"/>
      <c r="AC236" s="59"/>
      <c r="AD236" s="60"/>
      <c r="AE236" s="96"/>
      <c r="AF236" s="93"/>
      <c r="AG236" s="1"/>
      <c r="AI236" s="129"/>
      <c r="AJ236" s="53"/>
      <c r="AK236" s="53"/>
      <c r="AL236" s="53"/>
    </row>
    <row r="237" spans="1:38" x14ac:dyDescent="0.25">
      <c r="A237" s="38"/>
      <c r="B237" s="7"/>
      <c r="C237" s="23"/>
      <c r="D237" s="23"/>
      <c r="E237" s="15"/>
      <c r="F237" s="15"/>
      <c r="G237" s="7"/>
      <c r="H237" s="15"/>
      <c r="I237" s="15"/>
      <c r="J237" s="7"/>
      <c r="K237" s="114"/>
      <c r="L237" s="23"/>
      <c r="M237" s="6"/>
      <c r="N237" s="7"/>
      <c r="O237" s="7"/>
      <c r="P237" s="7"/>
      <c r="Q237" s="24"/>
      <c r="R237" s="24"/>
      <c r="S237" s="36"/>
      <c r="T237" s="51"/>
      <c r="U237" s="177"/>
      <c r="V237" s="178"/>
      <c r="W237" s="179"/>
      <c r="X237" s="179"/>
      <c r="Y237" s="66"/>
      <c r="Z237" s="66"/>
      <c r="AA237" s="66"/>
      <c r="AB237" s="63"/>
      <c r="AC237" s="59"/>
      <c r="AD237" s="60"/>
      <c r="AE237" s="96"/>
      <c r="AF237" s="93"/>
      <c r="AG237" s="1"/>
      <c r="AI237" s="129"/>
      <c r="AJ237" s="53"/>
      <c r="AK237" s="53"/>
      <c r="AL237" s="53"/>
    </row>
    <row r="238" spans="1:38" x14ac:dyDescent="0.25">
      <c r="A238" s="38"/>
      <c r="B238" s="7"/>
      <c r="C238" s="23"/>
      <c r="D238" s="23"/>
      <c r="E238" s="15"/>
      <c r="F238" s="15"/>
      <c r="G238" s="7"/>
      <c r="H238" s="15"/>
      <c r="I238" s="15"/>
      <c r="J238" s="7"/>
      <c r="K238" s="114"/>
      <c r="L238" s="23"/>
      <c r="M238" s="6"/>
      <c r="N238" s="7"/>
      <c r="O238" s="7"/>
      <c r="P238" s="7"/>
      <c r="Q238" s="24"/>
      <c r="R238" s="24"/>
      <c r="S238" s="36"/>
      <c r="T238" s="51"/>
      <c r="U238" s="177"/>
      <c r="V238" s="178"/>
      <c r="W238" s="179"/>
      <c r="X238" s="179"/>
      <c r="Y238" s="66"/>
      <c r="Z238" s="66"/>
      <c r="AA238" s="66"/>
      <c r="AB238" s="63"/>
      <c r="AC238" s="59"/>
      <c r="AD238" s="60"/>
      <c r="AE238" s="96"/>
      <c r="AF238" s="93"/>
      <c r="AG238" s="1"/>
      <c r="AI238" s="129"/>
      <c r="AJ238" s="53"/>
      <c r="AK238" s="53"/>
      <c r="AL238" s="53"/>
    </row>
    <row r="239" spans="1:38" x14ac:dyDescent="0.25">
      <c r="A239" s="38"/>
      <c r="B239" s="7"/>
      <c r="C239" s="23"/>
      <c r="D239" s="23"/>
      <c r="E239" s="15"/>
      <c r="F239" s="15"/>
      <c r="G239" s="7"/>
      <c r="H239" s="15"/>
      <c r="I239" s="15"/>
      <c r="J239" s="7"/>
      <c r="K239" s="114"/>
      <c r="L239" s="23"/>
      <c r="M239" s="6"/>
      <c r="N239" s="7"/>
      <c r="O239" s="7"/>
      <c r="P239" s="7"/>
      <c r="Q239" s="24"/>
      <c r="R239" s="24"/>
      <c r="S239" s="36"/>
      <c r="T239" s="51"/>
      <c r="U239" s="177"/>
      <c r="V239" s="178"/>
      <c r="W239" s="179"/>
      <c r="X239" s="179"/>
      <c r="Y239" s="66"/>
      <c r="Z239" s="66"/>
      <c r="AA239" s="66"/>
      <c r="AB239" s="63"/>
      <c r="AC239" s="59"/>
      <c r="AD239" s="60"/>
      <c r="AE239" s="96"/>
      <c r="AF239" s="93"/>
      <c r="AG239" s="1"/>
      <c r="AI239" s="129"/>
      <c r="AJ239" s="53"/>
      <c r="AK239" s="53"/>
      <c r="AL239" s="53"/>
    </row>
    <row r="240" spans="1:38" x14ac:dyDescent="0.25">
      <c r="A240" s="38"/>
      <c r="B240" s="7"/>
      <c r="C240" s="23"/>
      <c r="D240" s="23"/>
      <c r="E240" s="15"/>
      <c r="F240" s="15"/>
      <c r="G240" s="7"/>
      <c r="H240" s="15"/>
      <c r="I240" s="15"/>
      <c r="J240" s="7"/>
      <c r="K240" s="114"/>
      <c r="L240" s="23"/>
      <c r="M240" s="6"/>
      <c r="N240" s="7"/>
      <c r="O240" s="7"/>
      <c r="P240" s="7"/>
      <c r="Q240" s="24"/>
      <c r="R240" s="24"/>
      <c r="S240" s="36"/>
      <c r="T240" s="51"/>
      <c r="U240" s="177"/>
      <c r="V240" s="178"/>
      <c r="W240" s="179"/>
      <c r="X240" s="179"/>
      <c r="Y240" s="66"/>
      <c r="Z240" s="66"/>
      <c r="AA240" s="66"/>
      <c r="AB240" s="63"/>
      <c r="AC240" s="59"/>
      <c r="AD240" s="60"/>
      <c r="AE240" s="96"/>
      <c r="AF240" s="93"/>
      <c r="AG240" s="1"/>
      <c r="AI240" s="129"/>
      <c r="AJ240" s="53"/>
      <c r="AK240" s="53"/>
      <c r="AL240" s="53"/>
    </row>
    <row r="241" spans="1:38" x14ac:dyDescent="0.25">
      <c r="A241" s="38"/>
      <c r="B241" s="7"/>
      <c r="C241" s="23"/>
      <c r="D241" s="23"/>
      <c r="E241" s="15"/>
      <c r="F241" s="15"/>
      <c r="G241" s="7"/>
      <c r="H241" s="15"/>
      <c r="I241" s="15"/>
      <c r="J241" s="7"/>
      <c r="K241" s="114"/>
      <c r="L241" s="23"/>
      <c r="M241" s="6"/>
      <c r="N241" s="7"/>
      <c r="O241" s="7"/>
      <c r="P241" s="7"/>
      <c r="Q241" s="24"/>
      <c r="R241" s="24"/>
      <c r="S241" s="36"/>
      <c r="T241" s="51"/>
      <c r="U241" s="177"/>
      <c r="V241" s="178"/>
      <c r="W241" s="179"/>
      <c r="X241" s="179"/>
      <c r="Y241" s="66"/>
      <c r="Z241" s="66"/>
      <c r="AA241" s="66"/>
      <c r="AB241" s="63"/>
      <c r="AC241" s="59"/>
      <c r="AD241" s="60"/>
      <c r="AE241" s="96"/>
      <c r="AF241" s="93"/>
      <c r="AG241" s="1"/>
      <c r="AI241" s="129"/>
      <c r="AJ241" s="53"/>
      <c r="AK241" s="53"/>
      <c r="AL241" s="53"/>
    </row>
    <row r="242" spans="1:38" x14ac:dyDescent="0.25">
      <c r="A242" s="38"/>
      <c r="B242" s="7"/>
      <c r="C242" s="23"/>
      <c r="D242" s="23"/>
      <c r="E242" s="15"/>
      <c r="F242" s="15"/>
      <c r="G242" s="7"/>
      <c r="H242" s="15"/>
      <c r="I242" s="15"/>
      <c r="J242" s="7"/>
      <c r="K242" s="114"/>
      <c r="L242" s="23"/>
      <c r="M242" s="6"/>
      <c r="N242" s="7"/>
      <c r="O242" s="7"/>
      <c r="P242" s="7"/>
      <c r="Q242" s="24"/>
      <c r="R242" s="24"/>
      <c r="S242" s="36"/>
      <c r="T242" s="51"/>
      <c r="U242" s="177"/>
      <c r="V242" s="178"/>
      <c r="W242" s="179"/>
      <c r="X242" s="179"/>
      <c r="Y242" s="66"/>
      <c r="Z242" s="66"/>
      <c r="AA242" s="66"/>
      <c r="AB242" s="63"/>
      <c r="AC242" s="59"/>
      <c r="AD242" s="60"/>
      <c r="AE242" s="96"/>
      <c r="AF242" s="93"/>
      <c r="AG242" s="1"/>
      <c r="AI242" s="129"/>
      <c r="AJ242" s="53"/>
      <c r="AK242" s="53"/>
      <c r="AL242" s="53"/>
    </row>
    <row r="243" spans="1:38" x14ac:dyDescent="0.25">
      <c r="A243" s="38"/>
      <c r="B243" s="7"/>
      <c r="C243" s="23"/>
      <c r="D243" s="23"/>
      <c r="E243" s="15"/>
      <c r="F243" s="15"/>
      <c r="G243" s="7"/>
      <c r="H243" s="15"/>
      <c r="I243" s="15"/>
      <c r="J243" s="7"/>
      <c r="K243" s="114"/>
      <c r="L243" s="23"/>
      <c r="M243" s="6"/>
      <c r="N243" s="7"/>
      <c r="O243" s="7"/>
      <c r="P243" s="7"/>
      <c r="Q243" s="24"/>
      <c r="R243" s="24"/>
      <c r="S243" s="36"/>
      <c r="T243" s="51"/>
      <c r="U243" s="177"/>
      <c r="V243" s="178"/>
      <c r="W243" s="179"/>
      <c r="X243" s="179"/>
      <c r="Y243" s="66"/>
      <c r="Z243" s="66"/>
      <c r="AA243" s="66"/>
      <c r="AB243" s="63"/>
      <c r="AC243" s="59"/>
      <c r="AD243" s="60"/>
      <c r="AE243" s="96"/>
      <c r="AF243" s="93"/>
      <c r="AG243" s="1"/>
      <c r="AI243" s="129"/>
      <c r="AJ243" s="53"/>
      <c r="AK243" s="53"/>
      <c r="AL243" s="53"/>
    </row>
    <row r="244" spans="1:38" x14ac:dyDescent="0.25">
      <c r="A244" s="38"/>
      <c r="B244" s="7"/>
      <c r="C244" s="23"/>
      <c r="D244" s="23"/>
      <c r="E244" s="15"/>
      <c r="F244" s="15"/>
      <c r="G244" s="7"/>
      <c r="H244" s="15"/>
      <c r="I244" s="15"/>
      <c r="J244" s="7"/>
      <c r="K244" s="114"/>
      <c r="L244" s="23"/>
      <c r="M244" s="6"/>
      <c r="N244" s="7"/>
      <c r="O244" s="7"/>
      <c r="P244" s="7"/>
      <c r="Q244" s="24"/>
      <c r="R244" s="24"/>
      <c r="S244" s="36"/>
      <c r="T244" s="51"/>
      <c r="U244" s="177"/>
      <c r="V244" s="178"/>
      <c r="W244" s="179"/>
      <c r="X244" s="179"/>
      <c r="Y244" s="66"/>
      <c r="Z244" s="66"/>
      <c r="AA244" s="66"/>
      <c r="AB244" s="63"/>
      <c r="AC244" s="59"/>
      <c r="AD244" s="60"/>
      <c r="AE244" s="96"/>
      <c r="AF244" s="93"/>
      <c r="AG244" s="1"/>
      <c r="AI244" s="129"/>
      <c r="AJ244" s="53"/>
      <c r="AK244" s="53"/>
      <c r="AL244" s="53"/>
    </row>
    <row r="245" spans="1:38" x14ac:dyDescent="0.25">
      <c r="A245" s="38"/>
      <c r="B245" s="7"/>
      <c r="C245" s="23"/>
      <c r="D245" s="23"/>
      <c r="E245" s="15"/>
      <c r="F245" s="15"/>
      <c r="G245" s="7"/>
      <c r="H245" s="15"/>
      <c r="I245" s="15"/>
      <c r="J245" s="7"/>
      <c r="K245" s="114"/>
      <c r="L245" s="23"/>
      <c r="M245" s="6"/>
      <c r="N245" s="7"/>
      <c r="O245" s="7"/>
      <c r="P245" s="7"/>
      <c r="Q245" s="24"/>
      <c r="R245" s="24"/>
      <c r="S245" s="36"/>
      <c r="T245" s="51"/>
      <c r="U245" s="177"/>
      <c r="V245" s="178"/>
      <c r="W245" s="179"/>
      <c r="X245" s="179"/>
      <c r="Y245" s="66"/>
      <c r="Z245" s="66"/>
      <c r="AA245" s="66"/>
      <c r="AB245" s="63"/>
      <c r="AC245" s="59"/>
      <c r="AD245" s="60"/>
      <c r="AE245" s="96"/>
      <c r="AF245" s="93"/>
      <c r="AG245" s="1"/>
      <c r="AI245" s="129"/>
      <c r="AJ245" s="53"/>
      <c r="AK245" s="53"/>
      <c r="AL245" s="53"/>
    </row>
    <row r="246" spans="1:38" x14ac:dyDescent="0.25">
      <c r="A246" s="38"/>
      <c r="B246" s="7"/>
      <c r="C246" s="23"/>
      <c r="D246" s="23"/>
      <c r="E246" s="15"/>
      <c r="F246" s="15"/>
      <c r="G246" s="7"/>
      <c r="H246" s="15"/>
      <c r="I246" s="15"/>
      <c r="J246" s="7"/>
      <c r="K246" s="114"/>
      <c r="L246" s="23"/>
      <c r="M246" s="6"/>
      <c r="N246" s="7"/>
      <c r="O246" s="7"/>
      <c r="P246" s="7"/>
      <c r="Q246" s="24"/>
      <c r="R246" s="24"/>
      <c r="S246" s="36"/>
      <c r="T246" s="51"/>
      <c r="U246" s="177"/>
      <c r="V246" s="178"/>
      <c r="W246" s="179"/>
      <c r="X246" s="179"/>
      <c r="Y246" s="66"/>
      <c r="Z246" s="66"/>
      <c r="AA246" s="66"/>
      <c r="AB246" s="63"/>
      <c r="AC246" s="59"/>
      <c r="AD246" s="60"/>
      <c r="AE246" s="96"/>
      <c r="AF246" s="93"/>
      <c r="AG246" s="1"/>
      <c r="AI246" s="129"/>
      <c r="AJ246" s="53"/>
      <c r="AK246" s="53"/>
      <c r="AL246" s="53"/>
    </row>
    <row r="247" spans="1:38" x14ac:dyDescent="0.25">
      <c r="A247" s="38"/>
      <c r="B247" s="7"/>
      <c r="C247" s="23"/>
      <c r="D247" s="23"/>
      <c r="E247" s="15"/>
      <c r="F247" s="15"/>
      <c r="G247" s="7"/>
      <c r="H247" s="15"/>
      <c r="I247" s="15"/>
      <c r="J247" s="7"/>
      <c r="K247" s="114"/>
      <c r="L247" s="23"/>
      <c r="M247" s="6"/>
      <c r="N247" s="7"/>
      <c r="O247" s="7"/>
      <c r="P247" s="7"/>
      <c r="Q247" s="24"/>
      <c r="R247" s="24"/>
      <c r="S247" s="36"/>
      <c r="T247" s="51"/>
      <c r="U247" s="177"/>
      <c r="V247" s="178"/>
      <c r="W247" s="179"/>
      <c r="X247" s="179"/>
      <c r="Y247" s="66"/>
      <c r="Z247" s="66"/>
      <c r="AA247" s="66"/>
      <c r="AB247" s="63"/>
      <c r="AC247" s="59"/>
      <c r="AD247" s="60"/>
      <c r="AE247" s="96"/>
      <c r="AF247" s="93"/>
      <c r="AG247" s="1"/>
      <c r="AI247" s="129"/>
      <c r="AJ247" s="53"/>
      <c r="AK247" s="53"/>
      <c r="AL247" s="53"/>
    </row>
    <row r="248" spans="1:38" x14ac:dyDescent="0.25">
      <c r="A248" s="38"/>
      <c r="B248" s="7"/>
      <c r="C248" s="23"/>
      <c r="D248" s="23"/>
      <c r="E248" s="15"/>
      <c r="F248" s="15"/>
      <c r="G248" s="7"/>
      <c r="H248" s="15"/>
      <c r="I248" s="15"/>
      <c r="J248" s="7"/>
      <c r="K248" s="114"/>
      <c r="L248" s="23"/>
      <c r="M248" s="6"/>
      <c r="N248" s="7"/>
      <c r="O248" s="7"/>
      <c r="P248" s="7"/>
      <c r="Q248" s="24"/>
      <c r="R248" s="24"/>
      <c r="S248" s="36"/>
      <c r="T248" s="51"/>
      <c r="U248" s="177"/>
      <c r="V248" s="178"/>
      <c r="W248" s="179"/>
      <c r="X248" s="179"/>
      <c r="Y248" s="66"/>
      <c r="Z248" s="66"/>
      <c r="AA248" s="66"/>
      <c r="AB248" s="63"/>
      <c r="AC248" s="59"/>
      <c r="AD248" s="60"/>
      <c r="AE248" s="96"/>
      <c r="AF248" s="93"/>
      <c r="AG248" s="1"/>
      <c r="AI248" s="129"/>
      <c r="AJ248" s="53"/>
      <c r="AK248" s="53"/>
      <c r="AL248" s="53"/>
    </row>
    <row r="249" spans="1:38" x14ac:dyDescent="0.25">
      <c r="A249" s="38"/>
      <c r="B249" s="7"/>
      <c r="C249" s="23"/>
      <c r="D249" s="23"/>
      <c r="E249" s="15"/>
      <c r="F249" s="15"/>
      <c r="G249" s="7"/>
      <c r="H249" s="15"/>
      <c r="I249" s="15"/>
      <c r="J249" s="7"/>
      <c r="K249" s="114"/>
      <c r="L249" s="23"/>
      <c r="M249" s="6"/>
      <c r="N249" s="7"/>
      <c r="O249" s="7"/>
      <c r="P249" s="7"/>
      <c r="Q249" s="24"/>
      <c r="R249" s="24"/>
      <c r="S249" s="36"/>
      <c r="T249" s="51"/>
      <c r="U249" s="177"/>
      <c r="V249" s="178"/>
      <c r="W249" s="179"/>
      <c r="X249" s="179"/>
      <c r="Y249" s="66"/>
      <c r="Z249" s="66"/>
      <c r="AA249" s="66"/>
      <c r="AB249" s="63"/>
      <c r="AC249" s="59"/>
      <c r="AD249" s="60"/>
      <c r="AE249" s="96"/>
      <c r="AF249" s="93"/>
      <c r="AG249" s="1"/>
      <c r="AI249" s="129"/>
      <c r="AJ249" s="53"/>
      <c r="AK249" s="53"/>
      <c r="AL249" s="53"/>
    </row>
    <row r="250" spans="1:38" x14ac:dyDescent="0.25">
      <c r="A250" s="38"/>
      <c r="B250" s="7"/>
      <c r="C250" s="23"/>
      <c r="D250" s="23"/>
      <c r="E250" s="15"/>
      <c r="F250" s="15"/>
      <c r="G250" s="7"/>
      <c r="H250" s="15"/>
      <c r="I250" s="15"/>
      <c r="J250" s="7"/>
      <c r="K250" s="114"/>
      <c r="L250" s="23"/>
      <c r="M250" s="6"/>
      <c r="N250" s="7"/>
      <c r="O250" s="7"/>
      <c r="P250" s="7"/>
      <c r="Q250" s="24"/>
      <c r="R250" s="24"/>
      <c r="S250" s="36"/>
      <c r="T250" s="51"/>
      <c r="U250" s="177"/>
      <c r="V250" s="178"/>
      <c r="W250" s="179"/>
      <c r="X250" s="179"/>
      <c r="Y250" s="66"/>
      <c r="Z250" s="66"/>
      <c r="AA250" s="66"/>
      <c r="AB250" s="63"/>
      <c r="AC250" s="59"/>
      <c r="AD250" s="60"/>
      <c r="AE250" s="96"/>
      <c r="AF250" s="93"/>
      <c r="AG250" s="1"/>
      <c r="AI250" s="129"/>
      <c r="AJ250" s="53"/>
      <c r="AK250" s="53"/>
      <c r="AL250" s="53"/>
    </row>
    <row r="251" spans="1:38" x14ac:dyDescent="0.25">
      <c r="A251" s="38"/>
      <c r="B251" s="7"/>
      <c r="C251" s="23"/>
      <c r="D251" s="23"/>
      <c r="E251" s="15"/>
      <c r="F251" s="15"/>
      <c r="G251" s="7"/>
      <c r="H251" s="15"/>
      <c r="I251" s="15"/>
      <c r="J251" s="7"/>
      <c r="K251" s="114"/>
      <c r="L251" s="23"/>
      <c r="M251" s="6"/>
      <c r="N251" s="7"/>
      <c r="O251" s="7"/>
      <c r="P251" s="7"/>
      <c r="Q251" s="24"/>
      <c r="R251" s="24"/>
      <c r="S251" s="36"/>
      <c r="T251" s="51"/>
      <c r="U251" s="177"/>
      <c r="V251" s="178"/>
      <c r="W251" s="179"/>
      <c r="X251" s="179"/>
      <c r="Y251" s="66"/>
      <c r="Z251" s="66"/>
      <c r="AA251" s="66"/>
      <c r="AB251" s="63"/>
      <c r="AC251" s="59"/>
      <c r="AD251" s="60"/>
      <c r="AE251" s="96"/>
      <c r="AF251" s="93"/>
      <c r="AG251" s="1"/>
      <c r="AI251" s="129"/>
      <c r="AJ251" s="53"/>
      <c r="AK251" s="53"/>
      <c r="AL251" s="53"/>
    </row>
  </sheetData>
  <autoFilter ref="A12:AG25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51">
    <cfRule type="expression" dxfId="5" priority="235">
      <formula>$O13&gt;0</formula>
    </cfRule>
  </conditionalFormatting>
  <conditionalFormatting sqref="A13:S251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Values'!$C$2:$C$13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abSelected="1" topLeftCell="A2" workbookViewId="0">
      <selection activeCell="P43" sqref="P43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69" customWidth="1"/>
    <col min="13" max="13" width="7.85546875" style="2" customWidth="1"/>
    <col min="14" max="14" width="11.85546875" style="29" customWidth="1"/>
    <col min="15" max="15" width="5.140625" style="106" customWidth="1"/>
    <col min="16" max="16" width="30.7109375" customWidth="1"/>
    <col min="17" max="17" width="5" hidden="1" customWidth="1"/>
    <col min="18" max="18" width="5.5703125" style="94" customWidth="1"/>
    <col min="19" max="19" width="4.42578125" style="101" customWidth="1"/>
    <col min="20" max="20" width="6" style="91" customWidth="1"/>
    <col min="21" max="21" width="5.140625" customWidth="1"/>
    <col min="22" max="22" width="18.28515625" style="49" bestFit="1" customWidth="1"/>
    <col min="23" max="23" width="5.28515625" customWidth="1"/>
    <col min="24" max="24" width="6.7109375" hidden="1" customWidth="1"/>
  </cols>
  <sheetData>
    <row r="1" spans="1:28" s="22" customFormat="1" ht="15.75" hidden="1" thickBot="1" x14ac:dyDescent="0.3">
      <c r="A1" s="8"/>
      <c r="F1" s="2"/>
      <c r="G1" s="2"/>
      <c r="H1" s="2"/>
      <c r="I1" s="2"/>
      <c r="K1" s="2"/>
      <c r="L1" s="69"/>
      <c r="M1" s="2"/>
      <c r="N1" s="29"/>
      <c r="O1" s="106"/>
      <c r="R1" s="94"/>
      <c r="S1" s="101"/>
      <c r="T1" s="91"/>
      <c r="V1" s="49"/>
    </row>
    <row r="2" spans="1:28" s="22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5"/>
      <c r="O2" s="116">
        <f>COUNTIF($O$7:$O$401,"=Y")</f>
        <v>3</v>
      </c>
      <c r="P2" s="117"/>
      <c r="R2" s="94"/>
      <c r="S2" s="101"/>
      <c r="T2" s="91"/>
      <c r="V2" s="49"/>
    </row>
    <row r="3" spans="1:28" s="22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18"/>
      <c r="O3" s="119">
        <f>COUNTA($O$7:$O$401)-O2</f>
        <v>39</v>
      </c>
      <c r="P3" s="117"/>
      <c r="R3" s="94"/>
      <c r="S3" s="101"/>
      <c r="T3" s="91"/>
      <c r="V3" s="49"/>
    </row>
    <row r="4" spans="1:28" s="22" customFormat="1" x14ac:dyDescent="0.25">
      <c r="A4" s="8"/>
      <c r="F4" s="2"/>
      <c r="G4" s="2"/>
      <c r="H4" s="2"/>
      <c r="I4" s="2"/>
      <c r="K4" s="2"/>
      <c r="L4" s="69"/>
      <c r="M4" s="2"/>
      <c r="N4" s="29"/>
      <c r="O4" s="106"/>
      <c r="R4" s="94"/>
      <c r="S4" s="101"/>
      <c r="T4" s="91"/>
      <c r="V4" s="49"/>
    </row>
    <row r="5" spans="1:28" s="11" customFormat="1" ht="15" customHeight="1" x14ac:dyDescent="0.25">
      <c r="A5" s="156" t="str">
        <f>"Eagle P3 Braking Events - "&amp;TEXT(Variables!$A$2,"YYYY-mm-dd")</f>
        <v>Eagle P3 Braking Events - 2016-09-09</v>
      </c>
      <c r="B5" s="156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2"/>
      <c r="R5" s="99"/>
      <c r="S5" s="102"/>
      <c r="T5" s="104"/>
      <c r="V5" s="50"/>
    </row>
    <row r="6" spans="1:28" s="142" customFormat="1" ht="69.75" customHeight="1" x14ac:dyDescent="0.2">
      <c r="A6" s="130" t="s">
        <v>38</v>
      </c>
      <c r="B6" s="131" t="s">
        <v>37</v>
      </c>
      <c r="C6" s="131" t="s">
        <v>36</v>
      </c>
      <c r="D6" s="131" t="s">
        <v>35</v>
      </c>
      <c r="E6" s="131" t="s">
        <v>34</v>
      </c>
      <c r="F6" s="132" t="s">
        <v>33</v>
      </c>
      <c r="G6" s="132" t="s">
        <v>32</v>
      </c>
      <c r="H6" s="132" t="s">
        <v>31</v>
      </c>
      <c r="I6" s="132" t="s">
        <v>194</v>
      </c>
      <c r="J6" s="131" t="s">
        <v>30</v>
      </c>
      <c r="K6" s="132" t="s">
        <v>29</v>
      </c>
      <c r="L6" s="145" t="s">
        <v>28</v>
      </c>
      <c r="M6" s="132" t="s">
        <v>195</v>
      </c>
      <c r="N6" s="133" t="s">
        <v>47</v>
      </c>
      <c r="O6" s="134" t="s">
        <v>27</v>
      </c>
      <c r="P6" s="131" t="s">
        <v>24</v>
      </c>
      <c r="Q6" s="135"/>
      <c r="R6" s="136" t="s">
        <v>97</v>
      </c>
      <c r="S6" s="137" t="s">
        <v>61</v>
      </c>
      <c r="T6" s="138" t="s">
        <v>96</v>
      </c>
      <c r="U6" s="131" t="s">
        <v>91</v>
      </c>
      <c r="V6" s="139" t="s">
        <v>92</v>
      </c>
      <c r="W6" s="135" t="s">
        <v>104</v>
      </c>
      <c r="X6" s="135" t="s">
        <v>105</v>
      </c>
      <c r="Y6" s="140" t="s">
        <v>167</v>
      </c>
      <c r="Z6" s="141" t="s">
        <v>168</v>
      </c>
      <c r="AA6" s="141" t="s">
        <v>140</v>
      </c>
      <c r="AB6" s="141" t="s">
        <v>169</v>
      </c>
    </row>
    <row r="7" spans="1:28" s="1" customFormat="1" x14ac:dyDescent="0.25">
      <c r="A7" s="37">
        <v>42622.52003472222</v>
      </c>
      <c r="B7" s="32" t="s">
        <v>183</v>
      </c>
      <c r="C7" s="32" t="s">
        <v>469</v>
      </c>
      <c r="D7" s="32" t="s">
        <v>178</v>
      </c>
      <c r="E7" s="32" t="s">
        <v>175</v>
      </c>
      <c r="F7" s="48">
        <v>0</v>
      </c>
      <c r="G7" s="48">
        <v>104</v>
      </c>
      <c r="H7" s="48">
        <v>27279</v>
      </c>
      <c r="I7" s="48">
        <v>27242</v>
      </c>
      <c r="J7" s="32" t="s">
        <v>174</v>
      </c>
      <c r="K7" s="48">
        <v>27350</v>
      </c>
      <c r="L7" s="146" t="s">
        <v>53</v>
      </c>
      <c r="M7" s="149">
        <f>CONVERT((I7-K7)/10000,"mi","ft")*IF(L7="Increasing Mileposts (1)",-1,1)</f>
        <v>-57.024000000000001</v>
      </c>
      <c r="N7" s="89" t="str">
        <f>VLOOKUP(C7,'Trips&amp;Operators'!$C$1:$E$99999,3,FALSE)</f>
        <v>STEWART</v>
      </c>
      <c r="O7" s="113" t="s">
        <v>86</v>
      </c>
      <c r="P7" s="10" t="s">
        <v>239</v>
      </c>
      <c r="Q7" s="32"/>
      <c r="R7" s="100" t="str">
        <f>VLOOKUP(C7,'Train Runs'!$A$13:$AE$10014,31,0)</f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S7" s="103" t="str">
        <f>VLOOKUP(C7,'Train Runs'!$A$13:$AE$10014,22,0)</f>
        <v>https://search-rtdc-monitor-bjffxe2xuh6vdkpspy63sjmuny.us-east-1.es.amazonaws.com/_plugin/kibana/#/discover/Steve-Slow-Train-Analysis-(2080s-and-2083s)?_g=(refreshInterval:(display:Off,section:0,value:0),time:(from:'2016-09-09 10:49:06-0600',mode:absolute,to:'2016-09-09 13:39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7" s="105" t="str">
        <f t="shared" ref="T7:T48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/stypes="*4012*201609091*" /stext=" 18:.+((SYSTEM_STATE.+slice.+state.+changed )|(ment ac)|(system.+state.+changed )|(\|lc)|(penalty)|(\[timeout)|(PRM\|1\|D)|(kpr)|(kdp))" /e /r /s</v>
      </c>
      <c r="U7" s="9" t="str">
        <f t="shared" ref="U7:U48" si="1">MID(B7,13,4)</f>
        <v>4012</v>
      </c>
      <c r="V7" s="37">
        <f t="shared" ref="V7:V48" si="2">A7+6/24</f>
        <v>42622.77003472222</v>
      </c>
      <c r="W7" s="51" t="str">
        <f t="shared" ref="W7:W48" si="3">IF(VALUE(LEFT(IF(LEN(C7)=6,"0"&amp;C7,C7),2))&lt;=2,"EC",IF(OR(VALUE(LEFT(IF(LEN(C7)=6,"0"&amp;C7,C7),2))=8,VALUE(LEFT(IF(LEN(C7)=6,"0"&amp;C7,C7),2))=18),"NW","Other"))</f>
        <v>EC</v>
      </c>
      <c r="X7" s="51" t="str">
        <f t="shared" ref="X7:X48" si="4">IF(AND(E7="TRACK WARRANT AUTHORITY",G7&lt;10),"OMIT","KEEP")</f>
        <v>KEEP</v>
      </c>
      <c r="Y7" s="129" t="str">
        <f t="shared" ref="Y7:Y48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arrival","project_id":79,"tracker_id":40,"status_id":1,"priority_id":2,"assigned_to_id":23,"start_date":"2016-09-09","description":"","custom_fields":[{"id":1,"name":"Subdivision","value":"EC"},{"id":4,"name":"Milepost","value":"2.735"},{"id":17,"name":"Train ID","value":"160-09"},{"id":16,"name":"Locomotive ID","value":"4012"},{"id":130,"name":"Impact","value":""},{"id":150,"name":"Time of Event (Mountain Time)","value":"12:28:51"},{"id":151,"name":"Denver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</row>
    <row r="8" spans="1:28" s="1" customFormat="1" x14ac:dyDescent="0.25">
      <c r="A8" s="37">
        <v>42622.800219907411</v>
      </c>
      <c r="B8" s="32" t="s">
        <v>170</v>
      </c>
      <c r="C8" s="32" t="s">
        <v>557</v>
      </c>
      <c r="D8" s="32" t="s">
        <v>178</v>
      </c>
      <c r="E8" s="32" t="s">
        <v>175</v>
      </c>
      <c r="F8" s="48">
        <v>0</v>
      </c>
      <c r="G8" s="48">
        <v>79</v>
      </c>
      <c r="H8" s="48">
        <v>27247</v>
      </c>
      <c r="I8" s="48">
        <v>27229</v>
      </c>
      <c r="J8" s="32" t="s">
        <v>174</v>
      </c>
      <c r="K8" s="48">
        <v>27350</v>
      </c>
      <c r="L8" s="146" t="s">
        <v>53</v>
      </c>
      <c r="M8" s="149">
        <f t="shared" ref="M8:M32" si="6">CONVERT((I8-K8)/10000,"mi","ft")*IF(L8="Increasing Mileposts (1)",-1,1)</f>
        <v>-63.887999999999998</v>
      </c>
      <c r="N8" s="89" t="str">
        <f>VLOOKUP(C8,'Trips&amp;Operators'!$C$1:$E$99999,3,FALSE)</f>
        <v>STAMBAUGH</v>
      </c>
      <c r="O8" s="113" t="s">
        <v>86</v>
      </c>
      <c r="P8" s="10" t="s">
        <v>239</v>
      </c>
      <c r="Q8" s="32"/>
      <c r="R8" s="100" t="str">
        <f>VLOOKUP(C8,'Train Runs'!$A$13:$AE$10014,31,0)</f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S8" s="103" t="str">
        <f>VLOOKUP(C8,'Train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17:34:35-0600',mode:absolute,to:'2016-09-09 20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8" s="105" t="str">
        <f t="shared" si="0"/>
        <v>"C:\Program Files (x86)\AstroGrep\AstroGrep.exe" /spath="%USERPROFILE%\AppData\Local\Temp\OnboardLogs" /stypes="*4019*201609100*" /stext=" 01:.+((SYSTEM_STATE.+slice.+state.+changed )|(ment ac)|(system.+state.+changed )|(\|lc)|(penalty)|(\[timeout)|(PRM\|1\|D)|(kpr)|(kdp))" /e /r /s</v>
      </c>
      <c r="U8" s="9" t="str">
        <f t="shared" si="1"/>
        <v>4019</v>
      </c>
      <c r="V8" s="37">
        <f t="shared" si="2"/>
        <v>42623.050219907411</v>
      </c>
      <c r="W8" s="51" t="str">
        <f t="shared" si="3"/>
        <v>EC</v>
      </c>
      <c r="X8" s="51" t="str">
        <f t="shared" si="4"/>
        <v>KEEP</v>
      </c>
      <c r="Y8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arrival","project_id":79,"tracker_id":40,"status_id":1,"priority_id":2,"assigned_to_id":23,"start_date":"2016-09-09","description":"","custom_fields":[{"id":1,"name":"Subdivision","value":"EC"},{"id":4,"name":"Milepost","value":"2.735"},{"id":17,"name":"Train ID","value":"214-09"},{"id":16,"name":"Locomotive ID","value":"4019"},{"id":130,"name":"Impact","value":""},{"id":150,"name":"Time of Event (Mountain Time)","value":"19:12:19"},{"id":151,"name":"Denver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</row>
    <row r="9" spans="1:28" s="1" customFormat="1" x14ac:dyDescent="0.25">
      <c r="A9" s="37">
        <v>42622.401458333334</v>
      </c>
      <c r="B9" s="32" t="s">
        <v>297</v>
      </c>
      <c r="C9" s="32" t="s">
        <v>450</v>
      </c>
      <c r="D9" s="32" t="s">
        <v>178</v>
      </c>
      <c r="E9" s="32" t="s">
        <v>175</v>
      </c>
      <c r="F9" s="48">
        <v>0</v>
      </c>
      <c r="G9" s="48">
        <v>184</v>
      </c>
      <c r="H9" s="48">
        <v>30882</v>
      </c>
      <c r="I9" s="48">
        <v>31005</v>
      </c>
      <c r="J9" s="32" t="s">
        <v>174</v>
      </c>
      <c r="K9" s="48">
        <v>30830</v>
      </c>
      <c r="L9" s="146" t="s">
        <v>52</v>
      </c>
      <c r="M9" s="149">
        <f t="shared" si="6"/>
        <v>-92.4</v>
      </c>
      <c r="N9" s="89" t="str">
        <f>VLOOKUP(C9,'Trips&amp;Operators'!$C$1:$E$99999,3,FALSE)</f>
        <v>MALAVE</v>
      </c>
      <c r="O9" s="113" t="s">
        <v>86</v>
      </c>
      <c r="P9" s="10" t="s">
        <v>239</v>
      </c>
      <c r="Q9" s="32"/>
      <c r="R9" s="100" t="str">
        <f>VLOOKUP(C9,'Train Runs'!$A$13:$AE$10014,31,0)</f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S9" s="103" t="str">
        <f>VLOOKUP(C9,'Train Runs'!$A$13:$AE$10014,22,0)</f>
        <v>https://search-rtdc-monitor-bjffxe2xuh6vdkpspy63sjmuny.us-east-1.es.amazonaws.com/_plugin/kibana/#/discover/Steve-Slow-Train-Analysis-(2080s-and-2083s)?_g=(refreshInterval:(display:Off,section:0,value:0),time:(from:'2016-09-09 08:27:07-0600',mode:absolute,to:'2016-09-09 11:07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9" s="105" t="str">
        <f t="shared" si="0"/>
        <v>"C:\Program Files (x86)\AstroGrep\AstroGrep.exe" /spath="%USERPROFILE%\AppData\Local\Temp\OnboardLogs" /stypes="*4016*201609091*" /stext=" 15:.+((SYSTEM_STATE.+slice.+state.+changed )|(ment ac)|(system.+state.+changed )|(\|lc)|(penalty)|(\[timeout)|(PRM\|1\|D)|(kpr)|(kdp))" /e /r /s</v>
      </c>
      <c r="U9" s="9" t="str">
        <f t="shared" si="1"/>
        <v>4016</v>
      </c>
      <c r="V9" s="37">
        <f t="shared" si="2"/>
        <v>42622.651458333334</v>
      </c>
      <c r="W9" s="51" t="str">
        <f t="shared" si="3"/>
        <v>EC</v>
      </c>
      <c r="X9" s="51" t="str">
        <f t="shared" si="4"/>
        <v>KEEP</v>
      </c>
      <c r="Y9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arrival","project_id":79,"tracker_id":40,"status_id":1,"priority_id":2,"assigned_to_id":23,"start_date":"2016-09-09","description":"","custom_fields":[{"id":1,"name":"Subdivision","value":"EC"},{"id":4,"name":"Milepost","value":"3.083"},{"id":17,"name":"Train ID","value":"147-09"},{"id":16,"name":"Locomotive ID","value":"4016"},{"id":130,"name":"Impact","value":""},{"id":150,"name":"Time of Event (Mountain Time)","value":"09:38:06"},{"id":151,"name":"Denver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</row>
    <row r="10" spans="1:28" s="1" customFormat="1" x14ac:dyDescent="0.25">
      <c r="A10" s="37">
        <v>42622.779421296298</v>
      </c>
      <c r="B10" s="32" t="s">
        <v>299</v>
      </c>
      <c r="C10" s="32" t="s">
        <v>549</v>
      </c>
      <c r="D10" s="32" t="s">
        <v>106</v>
      </c>
      <c r="E10" s="32" t="s">
        <v>175</v>
      </c>
      <c r="F10" s="48">
        <v>0</v>
      </c>
      <c r="G10" s="48">
        <v>246</v>
      </c>
      <c r="H10" s="48">
        <v>33239</v>
      </c>
      <c r="I10" s="48">
        <v>32927</v>
      </c>
      <c r="J10" s="32" t="s">
        <v>174</v>
      </c>
      <c r="K10" s="48">
        <v>33257</v>
      </c>
      <c r="L10" s="146" t="s">
        <v>53</v>
      </c>
      <c r="M10" s="149">
        <f t="shared" si="6"/>
        <v>-174.24</v>
      </c>
      <c r="N10" s="89" t="str">
        <f>VLOOKUP(C10,'Trips&amp;Operators'!$C$1:$E$99999,3,FALSE)</f>
        <v>ADANE</v>
      </c>
      <c r="O10" s="113" t="s">
        <v>86</v>
      </c>
      <c r="P10" s="10" t="s">
        <v>239</v>
      </c>
      <c r="Q10" s="32"/>
      <c r="R10" s="100" t="str">
        <f>VLOOKUP(C10,'Train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10" s="103" t="str">
        <f>VLOOKUP(C10,'Train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17:07:32-0600',mode:absolute,to:'2016-09-09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0" s="105" t="str">
        <f t="shared" si="0"/>
        <v>"C:\Program Files (x86)\AstroGrep\AstroGrep.exe" /spath="%USERPROFILE%\AppData\Local\Temp\OnboardLogs" /stypes="*4017*201609100*" /stext=" 00:.+((SYSTEM_STATE.+slice.+state.+changed )|(ment ac)|(system.+state.+changed )|(\|lc)|(penalty)|(\[timeout)|(PRM\|1\|D)|(kpr)|(kdp))" /e /r /s</v>
      </c>
      <c r="U10" s="9" t="str">
        <f t="shared" si="1"/>
        <v>4017</v>
      </c>
      <c r="V10" s="37">
        <f t="shared" si="2"/>
        <v>42623.029421296298</v>
      </c>
      <c r="W10" s="51" t="str">
        <f t="shared" si="3"/>
        <v>EC</v>
      </c>
      <c r="X10" s="51" t="str">
        <f t="shared" si="4"/>
        <v>KEEP</v>
      </c>
      <c r="Y10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arrival","project_id":79,"tracker_id":40,"status_id":1,"priority_id":2,"assigned_to_id":23,"start_date":"2016-09-09","description":"","custom_fields":[{"id":1,"name":"Subdivision","value":"EC"},{"id":4,"name":"Milepost","value":"3.3257"},{"id":17,"name":"Train ID","value":"210-09"},{"id":16,"name":"Locomotive ID","value":"4017"},{"id":130,"name":"Impact","value":""},{"id":150,"name":"Time of Event (Mountain Time)","value":"18:42:22"},{"id":151,"name":"Denver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</row>
    <row r="11" spans="1:28" s="1" customFormat="1" x14ac:dyDescent="0.25">
      <c r="A11" s="37">
        <v>42622.581192129626</v>
      </c>
      <c r="B11" s="32" t="s">
        <v>298</v>
      </c>
      <c r="C11" s="32" t="s">
        <v>505</v>
      </c>
      <c r="D11" s="32" t="s">
        <v>178</v>
      </c>
      <c r="E11" s="32" t="s">
        <v>175</v>
      </c>
      <c r="F11" s="48">
        <v>0</v>
      </c>
      <c r="G11" s="48">
        <v>269</v>
      </c>
      <c r="H11" s="48">
        <v>42855</v>
      </c>
      <c r="I11" s="48">
        <v>43148</v>
      </c>
      <c r="J11" s="32" t="s">
        <v>174</v>
      </c>
      <c r="K11" s="48">
        <v>42779</v>
      </c>
      <c r="L11" s="146" t="s">
        <v>52</v>
      </c>
      <c r="M11" s="149">
        <f t="shared" si="6"/>
        <v>-194.83199999999999</v>
      </c>
      <c r="N11" s="89" t="str">
        <f>VLOOKUP(C11,'Trips&amp;Operators'!$C$1:$E$99999,3,FALSE)</f>
        <v>ADANE</v>
      </c>
      <c r="O11" s="113" t="s">
        <v>86</v>
      </c>
      <c r="P11" s="10" t="s">
        <v>239</v>
      </c>
      <c r="Q11" s="32"/>
      <c r="R11" s="100" t="str">
        <f>VLOOKUP(C11,'Train Runs'!$A$13:$AE$10014,31,0)</f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S11" s="103" t="str">
        <f>VLOOKUP(C11,'Train Runs'!$A$13:$AE$10014,22,0)</f>
        <v>https://search-rtdc-monitor-bjffxe2xuh6vdkpspy63sjmuny.us-east-1.es.amazonaws.com/_plugin/kibana/#/discover/Steve-Slow-Train-Analysis-(2080s-and-2083s)?_g=(refreshInterval:(display:Off,section:0,value:0),time:(from:'2016-09-09 12:38:55-0600',mode:absolute,to:'2016-09-09 15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11" s="105" t="str">
        <f t="shared" si="0"/>
        <v>"C:\Program Files (x86)\AstroGrep\AstroGrep.exe" /spath="%USERPROFILE%\AppData\Local\Temp\OnboardLogs" /stypes="*4018*201609091*" /stext=" 19:.+((SYSTEM_STATE.+slice.+state.+changed )|(ment ac)|(system.+state.+changed )|(\|lc)|(penalty)|(\[timeout)|(PRM\|1\|D)|(kpr)|(kdp))" /e /r /s</v>
      </c>
      <c r="U11" s="9" t="str">
        <f t="shared" si="1"/>
        <v>4018</v>
      </c>
      <c r="V11" s="37">
        <f t="shared" si="2"/>
        <v>42622.831192129626</v>
      </c>
      <c r="W11" s="51" t="str">
        <f t="shared" si="3"/>
        <v>EC</v>
      </c>
      <c r="X11" s="51" t="str">
        <f t="shared" si="4"/>
        <v>KEEP</v>
      </c>
      <c r="Y11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arrival","project_id":79,"tracker_id":40,"status_id":1,"priority_id":2,"assigned_to_id":23,"start_date":"2016-09-09","description":"","custom_fields":[{"id":1,"name":"Subdivision","value":"EC"},{"id":4,"name":"Milepost","value":"4.2779"},{"id":17,"name":"Train ID","value":"181-09"},{"id":16,"name":"Locomotive ID","value":"4018"},{"id":130,"name":"Impact","value":""},{"id":150,"name":"Time of Event (Mountain Time)","value":"13:56:55"},{"id":151,"name":"Denver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</row>
    <row r="12" spans="1:28" s="1" customFormat="1" x14ac:dyDescent="0.25">
      <c r="A12" s="37">
        <v>42622.375833333332</v>
      </c>
      <c r="B12" s="32" t="s">
        <v>300</v>
      </c>
      <c r="C12" s="32" t="s">
        <v>431</v>
      </c>
      <c r="D12" s="32" t="s">
        <v>49</v>
      </c>
      <c r="E12" s="32" t="s">
        <v>175</v>
      </c>
      <c r="F12" s="48">
        <v>0</v>
      </c>
      <c r="G12" s="48">
        <v>337</v>
      </c>
      <c r="H12" s="48">
        <v>105330</v>
      </c>
      <c r="I12" s="48">
        <v>104617</v>
      </c>
      <c r="J12" s="32" t="s">
        <v>174</v>
      </c>
      <c r="K12" s="48">
        <v>103800</v>
      </c>
      <c r="L12" s="146" t="s">
        <v>53</v>
      </c>
      <c r="M12" s="149">
        <f t="shared" si="6"/>
        <v>431.37599999999998</v>
      </c>
      <c r="N12" s="89" t="str">
        <f>VLOOKUP(C12,'Trips&amp;Operators'!$C$1:$E$99999,3,FALSE)</f>
        <v>MALAVE</v>
      </c>
      <c r="O12" s="113" t="s">
        <v>86</v>
      </c>
      <c r="P12" s="10" t="s">
        <v>379</v>
      </c>
      <c r="Q12" s="32"/>
      <c r="R12" s="100" t="str">
        <f>VLOOKUP(C12,'Train Runs'!$A$13:$AE$10014,31,0)</f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S12" s="103" t="str">
        <f>VLOOKUP(C12,'Train Runs'!$A$13:$AE$10014,22,0)</f>
        <v>https://search-rtdc-monitor-bjffxe2xuh6vdkpspy63sjmuny.us-east-1.es.amazonaws.com/_plugin/kibana/#/discover/Steve-Slow-Train-Analysis-(2080s-and-2083s)?_g=(refreshInterval:(display:Off,section:0,value:0),time:(from:'2016-09-09 07:38:45-0600',mode:absolute,to:'2016-09-09 10:23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2" s="105" t="str">
        <f t="shared" si="0"/>
        <v>"C:\Program Files (x86)\AstroGrep\AstroGrep.exe" /spath="%USERPROFILE%\AppData\Local\Temp\OnboardLogs" /stypes="*4015*201609091*" /stext=" 15:.+((SYSTEM_STATE.+slice.+state.+changed )|(ment ac)|(system.+state.+changed )|(\|lc)|(penalty)|(\[timeout)|(PRM\|1\|D)|(kpr)|(kdp))" /e /r /s</v>
      </c>
      <c r="U12" s="9" t="str">
        <f t="shared" si="1"/>
        <v>4015</v>
      </c>
      <c r="V12" s="37">
        <f t="shared" si="2"/>
        <v>42622.625833333332</v>
      </c>
      <c r="W12" s="51" t="str">
        <f t="shared" si="3"/>
        <v>EC</v>
      </c>
      <c r="X12" s="51" t="str">
        <f t="shared" si="4"/>
        <v>KEEP</v>
      </c>
      <c r="Y12" s="129" t="str">
        <f t="shared" si="5"/>
        <v>echo {"issue":{"subject":"Form C","project_id":79,"tracker_id":40,"status_id":1,"priority_id":2,"assigned_to_id":23,"start_date":"2016-09-09","description":"","custom_fields":[{"id":1,"name":"Subdivision","value":"EC"},{"id":4,"name":"Milepost","value":"10.38"},{"id":17,"name":"Train ID","value":"134-09"},{"id":16,"name":"Locomotive ID","value":"4015"},{"id":130,"name":"Impact","value":""},{"id":150,"name":"Time of Event (Mountain Time)","value":"09:01:12"},{"id":151,"name":"Denver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</row>
    <row r="13" spans="1:28" s="1" customFormat="1" x14ac:dyDescent="0.25">
      <c r="A13" s="37">
        <v>42622.44703703704</v>
      </c>
      <c r="B13" s="32" t="s">
        <v>300</v>
      </c>
      <c r="C13" s="32" t="s">
        <v>452</v>
      </c>
      <c r="D13" s="32" t="s">
        <v>49</v>
      </c>
      <c r="E13" s="32" t="s">
        <v>175</v>
      </c>
      <c r="F13" s="48">
        <v>0</v>
      </c>
      <c r="G13" s="48">
        <v>278</v>
      </c>
      <c r="H13" s="48">
        <v>109216</v>
      </c>
      <c r="I13" s="48">
        <v>109016</v>
      </c>
      <c r="J13" s="32" t="s">
        <v>174</v>
      </c>
      <c r="K13" s="48">
        <v>109135</v>
      </c>
      <c r="L13" s="146" t="s">
        <v>53</v>
      </c>
      <c r="M13" s="149">
        <f t="shared" si="6"/>
        <v>-62.832000000000001</v>
      </c>
      <c r="N13" s="89" t="str">
        <f>VLOOKUP(C13,'Trips&amp;Operators'!$C$1:$E$99999,3,FALSE)</f>
        <v>MALAVE</v>
      </c>
      <c r="O13" s="113" t="s">
        <v>86</v>
      </c>
      <c r="P13" s="10" t="s">
        <v>239</v>
      </c>
      <c r="Q13" s="32"/>
      <c r="R13" s="100" t="str">
        <f>VLOOKUP(C13,'Train Runs'!$A$13:$AE$10014,31,0)</f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S13" s="103" t="str">
        <f>VLOOKUP(C13,'Train Runs'!$A$13:$AE$10014,22,0)</f>
        <v>https://search-rtdc-monitor-bjffxe2xuh6vdkpspy63sjmuny.us-east-1.es.amazonaws.com/_plugin/kibana/#/discover/Steve-Slow-Train-Analysis-(2080s-and-2083s)?_g=(refreshInterval:(display:Off,section:0,value:0),time:(from:'2016-09-09 09:23:02-0600',mode:absolute,to:'2016-09-09 12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3" s="105" t="str">
        <f t="shared" si="0"/>
        <v>"C:\Program Files (x86)\AstroGrep\AstroGrep.exe" /spath="%USERPROFILE%\AppData\Local\Temp\OnboardLogs" /stypes="*4015*201609091*" /stext=" 16:.+((SYSTEM_STATE.+slice.+state.+changed )|(ment ac)|(system.+state.+changed )|(\|lc)|(penalty)|(\[timeout)|(PRM\|1\|D)|(kpr)|(kdp))" /e /r /s</v>
      </c>
      <c r="U13" s="9" t="str">
        <f t="shared" si="1"/>
        <v>4015</v>
      </c>
      <c r="V13" s="37">
        <f t="shared" si="2"/>
        <v>42622.69703703704</v>
      </c>
      <c r="W13" s="51" t="str">
        <f t="shared" si="3"/>
        <v>EC</v>
      </c>
      <c r="X13" s="51" t="str">
        <f t="shared" si="4"/>
        <v>KEEP</v>
      </c>
      <c r="Y13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arrival","project_id":79,"tracker_id":40,"status_id":1,"priority_id":2,"assigned_to_id":23,"start_date":"2016-09-09","description":"","custom_fields":[{"id":1,"name":"Subdivision","value":"EC"},{"id":4,"name":"Milepost","value":"10.9135"},{"id":17,"name":"Train ID","value":"148-09"},{"id":16,"name":"Locomotive ID","value":"4015"},{"id":130,"name":"Impact","value":""},{"id":150,"name":"Time of Event (Mountain Time)","value":"10:43:44"},{"id":151,"name":"Denver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</row>
    <row r="14" spans="1:28" s="1" customFormat="1" x14ac:dyDescent="0.25">
      <c r="A14" s="37">
        <v>42622.367175925923</v>
      </c>
      <c r="B14" s="32" t="s">
        <v>170</v>
      </c>
      <c r="C14" s="32" t="s">
        <v>425</v>
      </c>
      <c r="D14" s="32" t="s">
        <v>49</v>
      </c>
      <c r="E14" s="32" t="s">
        <v>56</v>
      </c>
      <c r="F14" s="48">
        <v>300</v>
      </c>
      <c r="G14" s="48">
        <v>520</v>
      </c>
      <c r="H14" s="48">
        <v>24585</v>
      </c>
      <c r="I14" s="48">
        <v>22795</v>
      </c>
      <c r="J14" s="32" t="s">
        <v>57</v>
      </c>
      <c r="K14" s="48">
        <v>21848</v>
      </c>
      <c r="L14" s="146" t="s">
        <v>53</v>
      </c>
      <c r="M14" s="149">
        <f t="shared" si="6"/>
        <v>500.01600000000002</v>
      </c>
      <c r="N14" s="89" t="str">
        <f>VLOOKUP(C14,'Trips&amp;Operators'!$C$1:$E$99999,3,FALSE)</f>
        <v>BREITSCH</v>
      </c>
      <c r="O14" s="113" t="s">
        <v>86</v>
      </c>
      <c r="P14" s="10"/>
      <c r="Q14" s="32"/>
      <c r="R14" s="100" t="str">
        <f>VLOOKUP(C14,'Train Runs'!$A$13:$AE$10014,31,0)</f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S14" s="103" t="str">
        <f>VLOOKUP(C14,'Train Runs'!$A$13:$AE$10014,22,0)</f>
        <v>https://search-rtdc-monitor-bjffxe2xuh6vdkpspy63sjmuny.us-east-1.es.amazonaws.com/_plugin/kibana/#/discover/Steve-Slow-Train-Analysis-(2080s-and-2083s)?_g=(refreshInterval:(display:Off,section:0,value:0),time:(from:'2016-09-09 06:57:48-0600',mode:absolute,to:'2016-09-09 09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4" s="105" t="str">
        <f t="shared" si="0"/>
        <v>"C:\Program Files (x86)\AstroGrep\AstroGrep.exe" /spath="%USERPROFILE%\AppData\Local\Temp\OnboardLogs" /stypes="*4019*201609091*" /stext=" 14:.+((SYSTEM_STATE.+slice.+state.+changed )|(ment ac)|(system.+state.+changed )|(\|lc)|(penalty)|(\[timeout)|(PRM\|1\|D)|(kpr)|(kdp))" /e /r /s</v>
      </c>
      <c r="U14" s="9" t="str">
        <f t="shared" si="1"/>
        <v>4019</v>
      </c>
      <c r="V14" s="37">
        <f t="shared" si="2"/>
        <v>42622.617175925923</v>
      </c>
      <c r="W14" s="51" t="str">
        <f t="shared" si="3"/>
        <v>EC</v>
      </c>
      <c r="X14" s="51" t="str">
        <f t="shared" si="4"/>
        <v>KEEP</v>
      </c>
      <c r="Y14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{"issue":{"subject":"","project_id":79,"tracker_id":40,"status_id":1,"priority_id":2,"assigned_to_id":23,"start_date":"2016-09-09","description":"","custom_fields":[{"id":1,"name":"Subdivision","value":"EC"},{"id":4,"name":"Milepost","value":"2.1848"},{"id":17,"name":"Train ID","value":"130-09"},{"id":16,"name":"Locomotive ID","value":"4019"},{"id":130,"name":"Impact","value":""},{"id":150,"name":"Time of Event (Mountain Time)","value":"08:48:44"},{"id":151,"name":"Denver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</row>
    <row r="15" spans="1:28" s="1" customFormat="1" x14ac:dyDescent="0.25">
      <c r="A15" s="37">
        <v>42622.274386574078</v>
      </c>
      <c r="B15" s="32" t="s">
        <v>170</v>
      </c>
      <c r="C15" s="32" t="s">
        <v>408</v>
      </c>
      <c r="D15" s="32" t="s">
        <v>106</v>
      </c>
      <c r="E15" s="32" t="s">
        <v>56</v>
      </c>
      <c r="F15" s="48">
        <v>700</v>
      </c>
      <c r="G15" s="48">
        <v>754</v>
      </c>
      <c r="H15" s="48">
        <v>180435</v>
      </c>
      <c r="I15" s="48">
        <v>176675</v>
      </c>
      <c r="J15" s="32" t="s">
        <v>57</v>
      </c>
      <c r="K15" s="48">
        <v>183829</v>
      </c>
      <c r="L15" s="146" t="s">
        <v>53</v>
      </c>
      <c r="M15" s="149">
        <f t="shared" si="6"/>
        <v>-3777.3119999999999</v>
      </c>
      <c r="N15" s="89" t="str">
        <f>VLOOKUP(C15,'Trips&amp;Operators'!$C$1:$E$99999,3,FALSE)</f>
        <v>BREITSCH</v>
      </c>
      <c r="O15" s="113" t="s">
        <v>86</v>
      </c>
      <c r="P15" s="10"/>
      <c r="Q15" s="32"/>
      <c r="R15" s="100" t="str">
        <f>VLOOKUP(C15,'Train Runs'!$A$13:$AE$10014,31,0)</f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S15" s="103" t="str">
        <f>VLOOKUP(C15,'Train Runs'!$A$13:$AE$10014,22,0)</f>
        <v>https://search-rtdc-monitor-bjffxe2xuh6vdkpspy63sjmuny.us-east-1.es.amazonaws.com/_plugin/kibana/#/discover/Steve-Slow-Train-Analysis-(2080s-and-2083s)?_g=(refreshInterval:(display:Off,section:0,value:0),time:(from:'2016-09-09 05:10:41-0600',mode:absolute,to:'2016-09-09 08:07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15" s="105" t="str">
        <f t="shared" si="0"/>
        <v>"C:\Program Files (x86)\AstroGrep\AstroGrep.exe" /spath="%USERPROFILE%\AppData\Local\Temp\OnboardLogs" /stypes="*4019*201609091*" /stext=" 12:.+((SYSTEM_STATE.+slice.+state.+changed )|(ment ac)|(system.+state.+changed )|(\|lc)|(penalty)|(\[timeout)|(PRM\|1\|D)|(kpr)|(kdp))" /e /r /s</v>
      </c>
      <c r="U15" s="9" t="str">
        <f t="shared" si="1"/>
        <v>4019</v>
      </c>
      <c r="V15" s="37">
        <f t="shared" si="2"/>
        <v>42622.524386574078</v>
      </c>
      <c r="W15" s="51" t="str">
        <f t="shared" si="3"/>
        <v>EC</v>
      </c>
      <c r="X15" s="51" t="str">
        <f t="shared" si="4"/>
        <v>KEEP</v>
      </c>
      <c r="Y15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{"issue":{"subject":"","project_id":79,"tracker_id":40,"status_id":1,"priority_id":2,"assigned_to_id":23,"start_date":"2016-09-09","description":"","custom_fields":[{"id":1,"name":"Subdivision","value":"EC"},{"id":4,"name":"Milepost","value":"18.3829"},{"id":17,"name":"Train ID","value":"116-09"},{"id":16,"name":"Locomotive ID","value":"4019"},{"id":130,"name":"Impact","value":""},{"id":150,"name":"Time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</row>
    <row r="16" spans="1:28" s="1" customFormat="1" x14ac:dyDescent="0.25">
      <c r="A16" s="37">
        <v>42622.39947916667</v>
      </c>
      <c r="B16" s="32" t="s">
        <v>171</v>
      </c>
      <c r="C16" s="32" t="s">
        <v>444</v>
      </c>
      <c r="D16" s="32" t="s">
        <v>49</v>
      </c>
      <c r="E16" s="32" t="s">
        <v>56</v>
      </c>
      <c r="F16" s="48">
        <v>350</v>
      </c>
      <c r="G16" s="48">
        <v>540</v>
      </c>
      <c r="H16" s="48">
        <v>222636</v>
      </c>
      <c r="I16" s="48">
        <v>224469</v>
      </c>
      <c r="J16" s="32" t="s">
        <v>57</v>
      </c>
      <c r="K16" s="48">
        <v>224578</v>
      </c>
      <c r="L16" s="146" t="s">
        <v>52</v>
      </c>
      <c r="M16" s="149">
        <f t="shared" si="6"/>
        <v>57.552</v>
      </c>
      <c r="N16" s="89" t="str">
        <f>VLOOKUP(C16,'Trips&amp;Operators'!$C$1:$E$99999,3,FALSE)</f>
        <v>BREITSCH</v>
      </c>
      <c r="O16" s="113" t="s">
        <v>86</v>
      </c>
      <c r="P16" s="10"/>
      <c r="Q16" s="32"/>
      <c r="R16" s="100" t="str">
        <f>VLOOKUP(C16,'Train Runs'!$A$13:$AE$10014,31,0)</f>
        <v>aws s3 cp s3://rtdc.mdm.uploadarchive/RTDC4020/2016-09-09/ "%USERPROFILE%\AppData\Local\Temp\OnboardLogs"\RTDC4020\2016-09-09 --recursive &amp; "%USERPROFILE%\Documents\GitHub\mrs-test-scripts\Headless Mode &amp; Sideloading\WalkAndUnGZ.bat" "%USERPROFILE%\AppData\Local\Temp\OnboardLogs"\RTDC4020\2016-09-09 &amp; aws s3 cp s3://rtdc.mdm.uploadarchive/RTDC4020/2016-09-10/ "%USERPROFILE%\AppData\Local\Temp\OnboardLogs"\RTDC4020\2016-09-10 --recursive &amp; "%USERPROFILE%\Documents\GitHub\mrs-test-scripts\Headless Mode &amp; Sideloading\WalkAndUnGZ.bat" "%USERPROFILE%\AppData\Local\Temp\OnboardLogs"\RTDC4020\2016-09-10</v>
      </c>
      <c r="S16" s="103" t="str">
        <f>VLOOKUP(C16,'Train Runs'!$A$13:$AE$10014,22,0)</f>
        <v>https://search-rtdc-monitor-bjffxe2xuh6vdkpspy63sjmuny.us-east-1.es.amazonaws.com/_plugin/kibana/#/discover/Steve-Slow-Train-Analysis-(2080s-and-2083s)?_g=(refreshInterval:(display:Off,section:0,value:0),time:(from:'2016-09-09 07:57:31-0600',mode:absolute,to:'2016-09-09 10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16" s="105" t="str">
        <f t="shared" si="0"/>
        <v>"C:\Program Files (x86)\AstroGrep\AstroGrep.exe" /spath="%USERPROFILE%\AppData\Local\Temp\OnboardLogs" /stypes="*4020*201609091*" /stext=" 15:.+((SYSTEM_STATE.+slice.+state.+changed )|(ment ac)|(system.+state.+changed )|(\|lc)|(penalty)|(\[timeout)|(PRM\|1\|D)|(kpr)|(kdp))" /e /r /s</v>
      </c>
      <c r="U16" s="9" t="str">
        <f t="shared" si="1"/>
        <v>4020</v>
      </c>
      <c r="V16" s="37">
        <f t="shared" si="2"/>
        <v>42622.64947916667</v>
      </c>
      <c r="W16" s="51" t="str">
        <f t="shared" si="3"/>
        <v>EC</v>
      </c>
      <c r="X16" s="51" t="str">
        <f t="shared" si="4"/>
        <v>KEEP</v>
      </c>
      <c r="Y16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{"issue":{"subject":"","project_id":79,"tracker_id":40,"status_id":1,"priority_id":2,"assigned_to_id":23,"start_date":"2016-09-09","description":"","custom_fields":[{"id":1,"name":"Subdivision","value":"EC"},{"id":4,"name":"Milepost","value":"22.4578"},{"id":17,"name":"Train ID","value":"143-09"},{"id":16,"name":"Locomotive ID","value":"4020"},{"id":130,"name":"Impact","value":""},{"id":150,"name":"Time of Event (Mountain Time)","value":"09:35:15"},{"id":151,"name":"Denver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</row>
    <row r="17" spans="1:28" s="1" customFormat="1" x14ac:dyDescent="0.25">
      <c r="A17" s="37">
        <v>42622.759421296294</v>
      </c>
      <c r="B17" s="32" t="s">
        <v>299</v>
      </c>
      <c r="C17" s="32" t="s">
        <v>549</v>
      </c>
      <c r="D17" s="32" t="s">
        <v>106</v>
      </c>
      <c r="E17" s="32" t="s">
        <v>56</v>
      </c>
      <c r="F17" s="48">
        <v>350</v>
      </c>
      <c r="G17" s="48">
        <v>400</v>
      </c>
      <c r="H17" s="48">
        <v>228878</v>
      </c>
      <c r="I17" s="48">
        <v>228034</v>
      </c>
      <c r="J17" s="32" t="s">
        <v>57</v>
      </c>
      <c r="K17" s="48">
        <v>232080</v>
      </c>
      <c r="L17" s="146" t="s">
        <v>53</v>
      </c>
      <c r="M17" s="149">
        <f t="shared" si="6"/>
        <v>-2136.288</v>
      </c>
      <c r="N17" s="89" t="str">
        <f>VLOOKUP(C17,'Trips&amp;Operators'!$C$1:$E$99999,3,FALSE)</f>
        <v>ADANE</v>
      </c>
      <c r="O17" s="113" t="s">
        <v>86</v>
      </c>
      <c r="P17" s="10"/>
      <c r="Q17" s="32"/>
      <c r="R17" s="100" t="str">
        <f>VLOOKUP(C17,'Train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17" s="103" t="str">
        <f>VLOOKUP(C17,'Train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17:07:32-0600',mode:absolute,to:'2016-09-09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17" s="105" t="str">
        <f t="shared" si="0"/>
        <v>"C:\Program Files (x86)\AstroGrep\AstroGrep.exe" /spath="%USERPROFILE%\AppData\Local\Temp\OnboardLogs" /stypes="*4017*201609100*" /stext=" 00:.+((SYSTEM_STATE.+slice.+state.+changed )|(ment ac)|(system.+state.+changed )|(\|lc)|(penalty)|(\[timeout)|(PRM\|1\|D)|(kpr)|(kdp))" /e /r /s</v>
      </c>
      <c r="U17" s="9" t="str">
        <f t="shared" si="1"/>
        <v>4017</v>
      </c>
      <c r="V17" s="37">
        <f t="shared" si="2"/>
        <v>42623.009421296294</v>
      </c>
      <c r="W17" s="51" t="str">
        <f t="shared" si="3"/>
        <v>EC</v>
      </c>
      <c r="X17" s="51" t="str">
        <f t="shared" si="4"/>
        <v>KEEP</v>
      </c>
      <c r="Y17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{"issue":{"subject":"","project_id":79,"tracker_id":40,"status_id":1,"priority_id":2,"assigned_to_id":23,"start_date":"2016-09-09","description":"","custom_fields":[{"id":1,"name":"Subdivision","value":"EC"},{"id":4,"name":"Milepost","value":"23.208"},{"id":17,"name":"Train ID","value":"210-09"},{"id":16,"name":"Locomotive ID","value":"4017"},{"id":130,"name":"Impact","value":""},{"id":150,"name":"Time of Event (Mountain Time)","value":"18:13:34"},{"id":151,"name":"Denver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</row>
    <row r="18" spans="1:28" s="1" customFormat="1" x14ac:dyDescent="0.25">
      <c r="A18" s="37">
        <v>42622.750613425924</v>
      </c>
      <c r="B18" s="32" t="s">
        <v>373</v>
      </c>
      <c r="C18" s="32" t="s">
        <v>560</v>
      </c>
      <c r="D18" s="32" t="s">
        <v>106</v>
      </c>
      <c r="E18" s="32" t="s">
        <v>54</v>
      </c>
      <c r="F18" s="48">
        <v>0</v>
      </c>
      <c r="G18" s="48">
        <v>3</v>
      </c>
      <c r="H18" s="48">
        <v>0</v>
      </c>
      <c r="I18" s="48">
        <v>0</v>
      </c>
      <c r="J18" s="32" t="s">
        <v>55</v>
      </c>
      <c r="K18" s="48">
        <v>0</v>
      </c>
      <c r="L18" s="146" t="s">
        <v>52</v>
      </c>
      <c r="M18" s="149">
        <f t="shared" si="6"/>
        <v>0</v>
      </c>
      <c r="N18" s="89" t="str">
        <f>VLOOKUP(C18,'Trips&amp;Operators'!$C$1:$E$99999,3,FALSE)</f>
        <v>ISHMAEL</v>
      </c>
      <c r="O18" s="113" t="s">
        <v>86</v>
      </c>
      <c r="P18" s="10" t="s">
        <v>745</v>
      </c>
      <c r="Q18" s="32"/>
      <c r="R18" s="100" t="str">
        <f>VLOOKUP(C18,'Train Runs'!$A$13:$AE$10014,31,0)</f>
        <v>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 &amp; 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</v>
      </c>
      <c r="S18" s="103" t="str">
        <f>VLOOKUP(C18,'Train Runs'!$A$13:$AE$10014,22,0)</f>
        <v>https://search-rtdc-monitor-bjffxe2xuh6vdkpspy63sjmuny.us-east-1.es.amazonaws.com/_plugin/kibana/#/discover/Steve-Slow-Train-Analysis-(2080s-and-2083s)?_g=(refreshInterval:(display:Off,section:0,value:0),time:(from:'2016-09-09 16:52:43-0600',mode:absolute,to:'2016-09-09 19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8" s="105" t="str">
        <f t="shared" si="0"/>
        <v>"C:\Program Files (x86)\AstroGrep\AstroGrep.exe" /spath="%USERPROFILE%\AppData\Local\Temp\OnboardLogs" /stypes="*4040*201609100*" /stext=" 00:.+((SYSTEM_STATE.+slice.+state.+changed )|(ment ac)|(system.+state.+changed )|(\|lc)|(penalty)|(\[timeout)|(PRM\|1\|D)|(kpr)|(kdp))" /e /r /s</v>
      </c>
      <c r="U18" s="9" t="str">
        <f t="shared" si="1"/>
        <v>4040</v>
      </c>
      <c r="V18" s="37">
        <f t="shared" si="2"/>
        <v>42623.000613425924</v>
      </c>
      <c r="W18" s="51" t="str">
        <f t="shared" si="3"/>
        <v>EC</v>
      </c>
      <c r="X18" s="51" t="str">
        <f t="shared" si="4"/>
        <v>KEEP</v>
      </c>
      <c r="Y18" s="129" t="str">
        <f t="shared" si="5"/>
        <v>echo {"issue":{"subject":"Main 3 departure","project_id":79,"tracker_id":40,"status_id":1,"priority_id":2,"assigned_to_id":23,"start_date":"2016-09-09","description":"","custom_fields":[{"id":1,"name":"Subdivision","value":"EC"},{"id":4,"name":"Milepost","value":"0"},{"id":17,"name":"Train ID","value":"215-09"},{"id":16,"name":"Locomotive ID","value":"4040"},{"id":130,"name":"Impact","value":""},{"id":150,"name":"Time of Event (Mountain Time)","value":"18:00:53"},{"id":151,"name":"Denver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</row>
    <row r="19" spans="1:28" s="1" customFormat="1" x14ac:dyDescent="0.25">
      <c r="A19" s="37">
        <v>42622.7502662037</v>
      </c>
      <c r="B19" s="32" t="s">
        <v>373</v>
      </c>
      <c r="C19" s="32" t="s">
        <v>560</v>
      </c>
      <c r="D19" s="32" t="s">
        <v>106</v>
      </c>
      <c r="E19" s="32" t="s">
        <v>54</v>
      </c>
      <c r="F19" s="48">
        <v>0</v>
      </c>
      <c r="G19" s="48">
        <v>4</v>
      </c>
      <c r="H19" s="48">
        <v>1703</v>
      </c>
      <c r="I19" s="48">
        <v>1699</v>
      </c>
      <c r="J19" s="32" t="s">
        <v>55</v>
      </c>
      <c r="K19" s="48">
        <v>1692</v>
      </c>
      <c r="L19" s="146" t="s">
        <v>52</v>
      </c>
      <c r="M19" s="149">
        <f t="shared" si="6"/>
        <v>-3.6960000000000002</v>
      </c>
      <c r="N19" s="89" t="str">
        <f>VLOOKUP(C19,'Trips&amp;Operators'!$C$1:$E$99999,3,FALSE)</f>
        <v>ISHMAEL</v>
      </c>
      <c r="O19" s="113" t="s">
        <v>86</v>
      </c>
      <c r="P19" s="10" t="s">
        <v>745</v>
      </c>
      <c r="Q19" s="32"/>
      <c r="R19" s="100" t="str">
        <f>VLOOKUP(C19,'Train Runs'!$A$13:$AE$10014,31,0)</f>
        <v>aws s3 cp s3://rtdc.mdm.uploadarchive/RTDC4040/2016-09-09/ "%USERPROFILE%\AppData\Local\Temp\OnboardLogs"\RTDC4040\2016-09-09 --recursive &amp; "%USERPROFILE%\Documents\GitHub\mrs-test-scripts\Headless Mode &amp; Sideloading\WalkAndUnGZ.bat" "%USERPROFILE%\AppData\Local\Temp\OnboardLogs"\RTDC4040\2016-09-09 &amp; aws s3 cp s3://rtdc.mdm.uploadarchive/RTDC4040/2016-09-10/ "%USERPROFILE%\AppData\Local\Temp\OnboardLogs"\RTDC4040\2016-09-10 --recursive &amp; "%USERPROFILE%\Documents\GitHub\mrs-test-scripts\Headless Mode &amp; Sideloading\WalkAndUnGZ.bat" "%USERPROFILE%\AppData\Local\Temp\OnboardLogs"\RTDC4040\2016-09-10</v>
      </c>
      <c r="S19" s="103" t="str">
        <f>VLOOKUP(C19,'Train Runs'!$A$13:$AE$10014,22,0)</f>
        <v>https://search-rtdc-monitor-bjffxe2xuh6vdkpspy63sjmuny.us-east-1.es.amazonaws.com/_plugin/kibana/#/discover/Steve-Slow-Train-Analysis-(2080s-and-2083s)?_g=(refreshInterval:(display:Off,section:0,value:0),time:(from:'2016-09-09 16:52:43-0600',mode:absolute,to:'2016-09-09 19:38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9" s="105" t="str">
        <f t="shared" si="0"/>
        <v>"C:\Program Files (x86)\AstroGrep\AstroGrep.exe" /spath="%USERPROFILE%\AppData\Local\Temp\OnboardLogs" /stypes="*4040*201609100*" /stext=" 00:.+((SYSTEM_STATE.+slice.+state.+changed )|(ment ac)|(system.+state.+changed )|(\|lc)|(penalty)|(\[timeout)|(PRM\|1\|D)|(kpr)|(kdp))" /e /r /s</v>
      </c>
      <c r="U19" s="9" t="str">
        <f t="shared" si="1"/>
        <v>4040</v>
      </c>
      <c r="V19" s="37">
        <f t="shared" si="2"/>
        <v>42623.0002662037</v>
      </c>
      <c r="W19" s="51" t="str">
        <f t="shared" si="3"/>
        <v>EC</v>
      </c>
      <c r="X19" s="51" t="str">
        <f t="shared" si="4"/>
        <v>KEEP</v>
      </c>
      <c r="Y19" s="129" t="str">
        <f t="shared" si="5"/>
        <v>echo {"issue":{"subject":"Main 3 departure","project_id":79,"tracker_id":40,"status_id":1,"priority_id":2,"assigned_to_id":23,"start_date":"2016-09-09","description":"","custom_fields":[{"id":1,"name":"Subdivision","value":"EC"},{"id":4,"name":"Milepost","value":"0.1692"},{"id":17,"name":"Train ID","value":"215-09"},{"id":16,"name":"Locomotive ID","value":"4040"},{"id":130,"name":"Impact","value":""},{"id":150,"name":"Time of Event (Mountain Time)","value":"18:00:23"},{"id":151,"name":"Denver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</row>
    <row r="20" spans="1:28" s="1" customFormat="1" x14ac:dyDescent="0.25">
      <c r="A20" s="37">
        <v>42622.365810185183</v>
      </c>
      <c r="B20" s="32" t="s">
        <v>133</v>
      </c>
      <c r="C20" s="32" t="s">
        <v>440</v>
      </c>
      <c r="D20" s="32" t="s">
        <v>49</v>
      </c>
      <c r="E20" s="32" t="s">
        <v>54</v>
      </c>
      <c r="F20" s="48">
        <v>0</v>
      </c>
      <c r="G20" s="48">
        <v>40</v>
      </c>
      <c r="H20" s="48">
        <v>2228</v>
      </c>
      <c r="I20" s="48">
        <v>2326</v>
      </c>
      <c r="J20" s="32" t="s">
        <v>55</v>
      </c>
      <c r="K20" s="48">
        <v>2789</v>
      </c>
      <c r="L20" s="146" t="s">
        <v>52</v>
      </c>
      <c r="M20" s="149">
        <f t="shared" si="6"/>
        <v>244.464</v>
      </c>
      <c r="N20" s="89" t="str">
        <f>VLOOKUP(C20,'Trips&amp;Operators'!$C$1:$E$99999,3,FALSE)</f>
        <v>MAELZER</v>
      </c>
      <c r="O20" s="113" t="s">
        <v>179</v>
      </c>
      <c r="P20" s="10" t="s">
        <v>186</v>
      </c>
      <c r="Q20" s="32"/>
      <c r="R20" s="100" t="str">
        <f>VLOOKUP(C20,'Train Runs'!$A$13:$AE$10014,31,0)</f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S20" s="103" t="str">
        <f>VLOOKUP(C20,'Train Runs'!$A$13:$AE$10014,22,0)</f>
        <v>https://search-rtdc-monitor-bjffxe2xuh6vdkpspy63sjmuny.us-east-1.es.amazonaws.com/_plugin/kibana/#/discover/Steve-Slow-Train-Analysis-(2080s-and-2083s)?_g=(refreshInterval:(display:Off,section:0,value:0),time:(from:'2016-09-09 07:50:54-0600',mode:absolute,to:'2016-09-09 10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0" s="105" t="str">
        <f t="shared" si="0"/>
        <v>"C:\Program Files (x86)\AstroGrep\AstroGrep.exe" /spath="%USERPROFILE%\AppData\Local\Temp\OnboardLogs" /stypes="*4009*201609091*" /stext=" 14:.+((SYSTEM_STATE.+slice.+state.+changed )|(ment ac)|(system.+state.+changed )|(\|lc)|(penalty)|(\[timeout)|(PRM\|1\|D)|(kpr)|(kdp))" /e /r /s</v>
      </c>
      <c r="U20" s="9" t="str">
        <f t="shared" si="1"/>
        <v>4009</v>
      </c>
      <c r="V20" s="37">
        <f t="shared" si="2"/>
        <v>42622.615810185183</v>
      </c>
      <c r="W20" s="51" t="str">
        <f t="shared" si="3"/>
        <v>EC</v>
      </c>
      <c r="X20" s="51" t="str">
        <f t="shared" si="4"/>
        <v>KEEP</v>
      </c>
      <c r="Y20" s="129" t="str">
        <f t="shared" si="5"/>
        <v>echo {"issue":{"subject":"Wi-MAX outage","project_id":79,"tracker_id":40,"status_id":1,"priority_id":2,"assigned_to_id":23,"start_date":"2016-09-09","description":"","custom_fields":[{"id":1,"name":"Subdivision","value":"EC"},{"id":4,"name":"Milepost","value":"0.2789"},{"id":17,"name":"Train ID","value":"141-09"},{"id":16,"name":"Locomotive ID","value":"4009"},{"id":130,"name":"Impact","value":""},{"id":150,"name":"Time of Event (Mountain Time)","value":"08:46:46"},{"id":151,"name":"Denver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</row>
    <row r="21" spans="1:28" s="1" customFormat="1" x14ac:dyDescent="0.25">
      <c r="A21" s="37">
        <v>42622.706342592595</v>
      </c>
      <c r="B21" s="32" t="s">
        <v>297</v>
      </c>
      <c r="C21" s="32" t="s">
        <v>538</v>
      </c>
      <c r="D21" s="32" t="s">
        <v>106</v>
      </c>
      <c r="E21" s="32" t="s">
        <v>54</v>
      </c>
      <c r="F21" s="48">
        <v>200</v>
      </c>
      <c r="G21" s="48">
        <v>251</v>
      </c>
      <c r="H21" s="48">
        <v>37837</v>
      </c>
      <c r="I21" s="48">
        <v>38633</v>
      </c>
      <c r="J21" s="32" t="s">
        <v>55</v>
      </c>
      <c r="K21" s="48">
        <v>36645</v>
      </c>
      <c r="L21" s="146" t="s">
        <v>52</v>
      </c>
      <c r="M21" s="149">
        <f t="shared" si="6"/>
        <v>-1049.664</v>
      </c>
      <c r="N21" s="89" t="str">
        <f>VLOOKUP(C21,'Trips&amp;Operators'!$C$1:$E$99999,3,FALSE)</f>
        <v>CLARK</v>
      </c>
      <c r="O21" s="113" t="s">
        <v>86</v>
      </c>
      <c r="P21" s="10" t="s">
        <v>380</v>
      </c>
      <c r="Q21" s="32"/>
      <c r="R21" s="100" t="str">
        <f>VLOOKUP(C21,'Train Runs'!$A$13:$AE$10014,31,0)</f>
        <v>aws s3 cp s3://rtdc.mdm.uploadarchive/RTDC4016/2016-09-09/ "%USERPROFILE%\AppData\Local\Temp\OnboardLogs"\RTDC4016\2016-09-09 --recursive &amp; "%USERPROFILE%\Documents\GitHub\mrs-test-scripts\Headless Mode &amp; Sideloading\WalkAndUnGZ.bat" "%USERPROFILE%\AppData\Local\Temp\OnboardLogs"\RTDC4016\2016-09-09 &amp; aws s3 cp s3://rtdc.mdm.uploadarchive/RTDC4016/2016-09-10/ "%USERPROFILE%\AppData\Local\Temp\OnboardLogs"\RTDC4016\2016-09-10 --recursive &amp; "%USERPROFILE%\Documents\GitHub\mrs-test-scripts\Headless Mode &amp; Sideloading\WalkAndUnGZ.bat" "%USERPROFILE%\AppData\Local\Temp\OnboardLogs"\RTDC4016\2016-09-10</v>
      </c>
      <c r="S21" s="103" t="str">
        <f>VLOOKUP(C21,'Train Runs'!$A$13:$AE$10014,22,0)</f>
        <v>https://search-rtdc-monitor-bjffxe2xuh6vdkpspy63sjmuny.us-east-1.es.amazonaws.com/_plugin/kibana/#/discover/Steve-Slow-Train-Analysis-(2080s-and-2083s)?_g=(refreshInterval:(display:Off,section:0,value:0),time:(from:'2016-09-09 15:54:12-0600',mode:absolute,to:'2016-09-09 18:28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1" s="105" t="str">
        <f t="shared" si="0"/>
        <v>"C:\Program Files (x86)\AstroGrep\AstroGrep.exe" /spath="%USERPROFILE%\AppData\Local\Temp\OnboardLogs" /stypes="*4016*201609092*" /stext=" 22:.+((SYSTEM_STATE.+slice.+state.+changed )|(ment ac)|(system.+state.+changed )|(\|lc)|(penalty)|(\[timeout)|(PRM\|1\|D)|(kpr)|(kdp))" /e /r /s</v>
      </c>
      <c r="U21" s="9" t="str">
        <f t="shared" si="1"/>
        <v>4016</v>
      </c>
      <c r="V21" s="37">
        <f t="shared" si="2"/>
        <v>42622.956342592595</v>
      </c>
      <c r="W21" s="51" t="str">
        <f t="shared" si="3"/>
        <v>EC</v>
      </c>
      <c r="X21" s="51" t="str">
        <f t="shared" si="4"/>
        <v>KEEP</v>
      </c>
      <c r="Y21" s="129" t="str">
        <f t="shared" si="5"/>
        <v>echo {"issue":{"subject":"Overspeed","project_id":79,"tracker_id":40,"status_id":1,"priority_id":2,"assigned_to_id":23,"start_date":"2016-09-09","description":"","custom_fields":[{"id":1,"name":"Subdivision","value":"EC"},{"id":4,"name":"Milepost","value":"3.6645"},{"id":17,"name":"Train ID","value":"203-09"},{"id":16,"name":"Locomotive ID","value":"4016"},{"id":130,"name":"Impact","value":""},{"id":150,"name":"Time of Event (Mountain Time)","value":"16:57:08"},{"id":151,"name":"Denver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</row>
    <row r="22" spans="1:28" x14ac:dyDescent="0.25">
      <c r="A22" s="37">
        <v>42622.7106712963</v>
      </c>
      <c r="B22" s="32" t="s">
        <v>180</v>
      </c>
      <c r="C22" s="32" t="s">
        <v>542</v>
      </c>
      <c r="D22" s="32" t="s">
        <v>106</v>
      </c>
      <c r="E22" s="32" t="s">
        <v>54</v>
      </c>
      <c r="F22" s="48">
        <v>200</v>
      </c>
      <c r="G22" s="48">
        <v>252</v>
      </c>
      <c r="H22" s="48">
        <v>37854</v>
      </c>
      <c r="I22" s="48">
        <v>38642</v>
      </c>
      <c r="J22" s="32" t="s">
        <v>55</v>
      </c>
      <c r="K22" s="48">
        <v>36645</v>
      </c>
      <c r="L22" s="146" t="s">
        <v>52</v>
      </c>
      <c r="M22" s="149">
        <f t="shared" si="6"/>
        <v>-1054.4159999999999</v>
      </c>
      <c r="N22" s="89" t="str">
        <f>VLOOKUP(C22,'Trips&amp;Operators'!$C$1:$E$99999,3,FALSE)</f>
        <v>BONDS</v>
      </c>
      <c r="O22" s="113" t="s">
        <v>86</v>
      </c>
      <c r="P22" s="10" t="s">
        <v>380</v>
      </c>
      <c r="Q22" s="32"/>
      <c r="R22" s="100" t="str">
        <f>VLOOKUP(C22,'Train Runs'!$A$13:$AE$10014,31,0)</f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S22" s="103" t="str">
        <f>VLOOKUP(C22,'Train Runs'!$A$13:$AE$10014,22,0)</f>
        <v>https://search-rtdc-monitor-bjffxe2xuh6vdkpspy63sjmuny.us-east-1.es.amazonaws.com/_plugin/kibana/#/discover/Steve-Slow-Train-Analysis-(2080s-and-2083s)?_g=(refreshInterval:(display:Off,section:0,value:0),time:(from:'2016-09-09 15:40:57-0600',mode:absolute,to:'2016-09-09 18:35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22" s="105" t="str">
        <f t="shared" si="0"/>
        <v>"C:\Program Files (x86)\AstroGrep\AstroGrep.exe" /spath="%USERPROFILE%\AppData\Local\Temp\OnboardLogs" /stypes="*4025*201609092*" /stext=" 23:.+((SYSTEM_STATE.+slice.+state.+changed )|(ment ac)|(system.+state.+changed )|(\|lc)|(penalty)|(\[timeout)|(PRM\|1\|D)|(kpr)|(kdp))" /e /r /s</v>
      </c>
      <c r="U22" s="9" t="str">
        <f t="shared" si="1"/>
        <v>4025</v>
      </c>
      <c r="V22" s="37">
        <f t="shared" si="2"/>
        <v>42622.9606712963</v>
      </c>
      <c r="W22" s="51" t="str">
        <f t="shared" si="3"/>
        <v>EC</v>
      </c>
      <c r="X22" s="51" t="str">
        <f t="shared" si="4"/>
        <v>KEEP</v>
      </c>
      <c r="Y22" s="129" t="str">
        <f t="shared" si="5"/>
        <v>echo {"issue":{"subject":"Overspeed","project_id":79,"tracker_id":40,"status_id":1,"priority_id":2,"assigned_to_id":23,"start_date":"2016-09-09","description":"","custom_fields":[{"id":1,"name":"Subdivision","value":"EC"},{"id":4,"name":"Milepost","value":"3.6645"},{"id":17,"name":"Train ID","value":"205-09"},{"id":16,"name":"Locomotive ID","value":"4025"},{"id":130,"name":"Impact","value":""},{"id":150,"name":"Time of Event (Mountain Time)","value":"17:03:22"},{"id":151,"name":"Denver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</row>
    <row r="23" spans="1:28" x14ac:dyDescent="0.25">
      <c r="A23" s="37">
        <v>42622.152083333334</v>
      </c>
      <c r="B23" s="32" t="s">
        <v>298</v>
      </c>
      <c r="C23" s="32" t="s">
        <v>381</v>
      </c>
      <c r="D23" s="32" t="s">
        <v>106</v>
      </c>
      <c r="E23" s="32" t="s">
        <v>54</v>
      </c>
      <c r="F23" s="48">
        <v>200</v>
      </c>
      <c r="G23" s="48">
        <v>279</v>
      </c>
      <c r="H23" s="48">
        <v>65464</v>
      </c>
      <c r="I23" s="48">
        <v>66186</v>
      </c>
      <c r="J23" s="32" t="s">
        <v>55</v>
      </c>
      <c r="K23" s="48">
        <v>63995</v>
      </c>
      <c r="L23" s="146" t="s">
        <v>52</v>
      </c>
      <c r="M23" s="149">
        <f t="shared" si="6"/>
        <v>-1156.848</v>
      </c>
      <c r="N23" s="89" t="str">
        <f>VLOOKUP(C23,'Trips&amp;Operators'!$C$1:$E$99999,3,FALSE)</f>
        <v>MAELZER</v>
      </c>
      <c r="O23" s="113" t="s">
        <v>86</v>
      </c>
      <c r="P23" s="10" t="s">
        <v>380</v>
      </c>
      <c r="Q23" s="32"/>
      <c r="R23" s="100" t="str">
        <f>VLOOKUP(C23,'Train Runs'!$A$13:$AE$10014,31,0)</f>
        <v>aws s3 cp s3://rtdc.mdm.uploadarchive/RTDC4018/2016-09-09/ "%USERPROFILE%\AppData\Local\Temp\OnboardLogs"\RTDC4018\2016-09-09 --recursive &amp; "%USERPROFILE%\Documents\GitHub\mrs-test-scripts\Headless Mode &amp; Sideloading\WalkAndUnGZ.bat" "%USERPROFILE%\AppData\Local\Temp\OnboardLogs"\RTDC4018\2016-09-09 &amp; aws s3 cp s3://rtdc.mdm.uploadarchive/RTDC4018/2016-09-10/ "%USERPROFILE%\AppData\Local\Temp\OnboardLogs"\RTDC4018\2016-09-10 --recursive &amp; "%USERPROFILE%\Documents\GitHub\mrs-test-scripts\Headless Mode &amp; Sideloading\WalkAndUnGZ.bat" "%USERPROFILE%\AppData\Local\Temp\OnboardLogs"\RTDC4018\2016-09-10</v>
      </c>
      <c r="S23" s="103" t="str">
        <f>VLOOKUP(C23,'Train Runs'!$A$13:$AE$10014,22,0)</f>
        <v>https://search-rtdc-monitor-bjffxe2xuh6vdkpspy63sjmuny.us-east-1.es.amazonaws.com/_plugin/kibana/#/discover/Steve-Slow-Train-Analysis-(2080s-and-2083s)?_g=(refreshInterval:(display:Off,section:0,value:0),time:(from:'2016-09-09 02:37:14-0600',mode:absolute,to:'2016-09-09 05:01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23" s="105" t="str">
        <f t="shared" si="0"/>
        <v>"C:\Program Files (x86)\AstroGrep\AstroGrep.exe" /spath="%USERPROFILE%\AppData\Local\Temp\OnboardLogs" /stypes="*4018*201609090*" /stext=" 09:.+((SYSTEM_STATE.+slice.+state.+changed )|(ment ac)|(system.+state.+changed )|(\|lc)|(penalty)|(\[timeout)|(PRM\|1\|D)|(kpr)|(kdp))" /e /r /s</v>
      </c>
      <c r="U23" s="9" t="str">
        <f t="shared" si="1"/>
        <v>4018</v>
      </c>
      <c r="V23" s="37">
        <f t="shared" si="2"/>
        <v>42622.402083333334</v>
      </c>
      <c r="W23" s="51" t="str">
        <f t="shared" si="3"/>
        <v>EC</v>
      </c>
      <c r="X23" s="51" t="str">
        <f t="shared" si="4"/>
        <v>KEEP</v>
      </c>
      <c r="Y23" s="129" t="str">
        <f t="shared" si="5"/>
        <v>echo {"issue":{"subject":"Overspeed","project_id":79,"tracker_id":40,"status_id":1,"priority_id":2,"assigned_to_id":23,"start_date":"2016-09-09","description":"","custom_fields":[{"id":1,"name":"Subdivision","value":"EC"},{"id":4,"name":"Milepost","value":"6.3995"},{"id":17,"name":"Train ID","value":"101-09"},{"id":16,"name":"Locomotive ID","value":"4018"},{"id":130,"name":"Impact","value":""},{"id":150,"name":"Time of Event (Mountain Time)","value":"03:39:00"},{"id":151,"name":"Denver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</row>
    <row r="24" spans="1:28" x14ac:dyDescent="0.25">
      <c r="A24" s="37">
        <v>42622.602800925924</v>
      </c>
      <c r="B24" s="32" t="s">
        <v>181</v>
      </c>
      <c r="C24" s="32" t="s">
        <v>497</v>
      </c>
      <c r="D24" s="32" t="s">
        <v>49</v>
      </c>
      <c r="E24" s="32" t="s">
        <v>54</v>
      </c>
      <c r="F24" s="48">
        <v>0</v>
      </c>
      <c r="G24" s="48">
        <v>128</v>
      </c>
      <c r="H24" s="48">
        <v>128073</v>
      </c>
      <c r="I24" s="48">
        <v>127924</v>
      </c>
      <c r="J24" s="32" t="s">
        <v>55</v>
      </c>
      <c r="K24" s="48">
        <v>127587</v>
      </c>
      <c r="L24" s="146" t="s">
        <v>53</v>
      </c>
      <c r="M24" s="149">
        <f t="shared" si="6"/>
        <v>177.93600000000001</v>
      </c>
      <c r="N24" s="89" t="str">
        <f>VLOOKUP(C24,'Trips&amp;Operators'!$C$1:$E$99999,3,FALSE)</f>
        <v>BONDS</v>
      </c>
      <c r="O24" s="113" t="s">
        <v>86</v>
      </c>
      <c r="P24" s="10" t="s">
        <v>237</v>
      </c>
      <c r="Q24" s="32"/>
      <c r="R24" s="100" t="str">
        <f>VLOOKUP(C24,'Train Runs'!$A$13:$AE$10014,31,0)</f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S24" s="103" t="str">
        <f>VLOOKUP(C24,'Train Runs'!$A$13:$AE$10014,22,0)</f>
        <v>https://search-rtdc-monitor-bjffxe2xuh6vdkpspy63sjmuny.us-east-1.es.amazonaws.com/_plugin/kibana/#/discover/Steve-Slow-Train-Analysis-(2080s-and-2083s)?_g=(refreshInterval:(display:Off,section:0,value:0),time:(from:'2016-09-09 12:59:15-0600',mode:absolute,to:'2016-09-09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4" s="105" t="str">
        <f t="shared" si="0"/>
        <v>"C:\Program Files (x86)\AstroGrep\AstroGrep.exe" /spath="%USERPROFILE%\AppData\Local\Temp\OnboardLogs" /stypes="*4026*201609092*" /stext=" 20:.+((SYSTEM_STATE.+slice.+state.+changed )|(ment ac)|(system.+state.+changed )|(\|lc)|(penalty)|(\[timeout)|(PRM\|1\|D)|(kpr)|(kdp))" /e /r /s</v>
      </c>
      <c r="U24" s="9" t="str">
        <f t="shared" si="1"/>
        <v>4026</v>
      </c>
      <c r="V24" s="37">
        <f t="shared" si="2"/>
        <v>42622.852800925924</v>
      </c>
      <c r="W24" s="51" t="str">
        <f t="shared" si="3"/>
        <v>EC</v>
      </c>
      <c r="X24" s="51" t="str">
        <f t="shared" si="4"/>
        <v>KEEP</v>
      </c>
      <c r="Y24" s="129" t="str">
        <f t="shared" si="5"/>
        <v>echo {"issue":{"subject":"40th 4S STOP, cleared shortly","project_id":79,"tracker_id":40,"status_id":1,"priority_id":2,"assigned_to_id":23,"start_date":"2016-09-09","description":"","custom_fields":[{"id":1,"name":"Subdivision","value":"EC"},{"id":4,"name":"Milepost","value":"12.7587"},{"id":17,"name":"Train ID","value":"178-09"},{"id":16,"name":"Locomotive ID","value":"4026"},{"id":130,"name":"Impact","value":""},{"id":150,"name":"Time of Event (Mountain Time)","value":"14:28:02"},{"id":151,"name":"Denver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</row>
    <row r="25" spans="1:28" ht="15" customHeight="1" x14ac:dyDescent="0.25">
      <c r="A25" s="37">
        <v>42622.603275462963</v>
      </c>
      <c r="B25" s="32" t="s">
        <v>181</v>
      </c>
      <c r="C25" s="32" t="s">
        <v>497</v>
      </c>
      <c r="D25" s="32" t="s">
        <v>49</v>
      </c>
      <c r="E25" s="32" t="s">
        <v>54</v>
      </c>
      <c r="F25" s="48">
        <v>0</v>
      </c>
      <c r="G25" s="48">
        <v>37</v>
      </c>
      <c r="H25" s="48">
        <v>127910</v>
      </c>
      <c r="I25" s="48">
        <v>127840</v>
      </c>
      <c r="J25" s="32" t="s">
        <v>55</v>
      </c>
      <c r="K25" s="48">
        <v>127587</v>
      </c>
      <c r="L25" s="146" t="s">
        <v>53</v>
      </c>
      <c r="M25" s="149">
        <f t="shared" si="6"/>
        <v>133.584</v>
      </c>
      <c r="N25" s="89" t="str">
        <f>VLOOKUP(C25,'Trips&amp;Operators'!$C$1:$E$99999,3,FALSE)</f>
        <v>BONDS</v>
      </c>
      <c r="O25" s="113" t="s">
        <v>86</v>
      </c>
      <c r="P25" s="10" t="s">
        <v>237</v>
      </c>
      <c r="Q25" s="32"/>
      <c r="R25" s="100" t="str">
        <f>VLOOKUP(C25,'Train Runs'!$A$13:$AE$10014,31,0)</f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S25" s="103" t="str">
        <f>VLOOKUP(C25,'Train Runs'!$A$13:$AE$10014,22,0)</f>
        <v>https://search-rtdc-monitor-bjffxe2xuh6vdkpspy63sjmuny.us-east-1.es.amazonaws.com/_plugin/kibana/#/discover/Steve-Slow-Train-Analysis-(2080s-and-2083s)?_g=(refreshInterval:(display:Off,section:0,value:0),time:(from:'2016-09-09 12:59:15-0600',mode:absolute,to:'2016-09-09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25" s="105" t="str">
        <f t="shared" si="0"/>
        <v>"C:\Program Files (x86)\AstroGrep\AstroGrep.exe" /spath="%USERPROFILE%\AppData\Local\Temp\OnboardLogs" /stypes="*4026*201609092*" /stext=" 20:.+((SYSTEM_STATE.+slice.+state.+changed )|(ment ac)|(system.+state.+changed )|(\|lc)|(penalty)|(\[timeout)|(PRM\|1\|D)|(kpr)|(kdp))" /e /r /s</v>
      </c>
      <c r="U25" s="9" t="str">
        <f t="shared" si="1"/>
        <v>4026</v>
      </c>
      <c r="V25" s="37">
        <f t="shared" si="2"/>
        <v>42622.853275462963</v>
      </c>
      <c r="W25" s="51" t="str">
        <f t="shared" si="3"/>
        <v>EC</v>
      </c>
      <c r="X25" s="51" t="str">
        <f t="shared" si="4"/>
        <v>KEEP</v>
      </c>
      <c r="Y25" s="129" t="str">
        <f t="shared" si="5"/>
        <v>echo {"issue":{"subject":"40th 4S STOP, cleared shortly","project_id":79,"tracker_id":40,"status_id":1,"priority_id":2,"assigned_to_id":23,"start_date":"2016-09-09","description":"","custom_fields":[{"id":1,"name":"Subdivision","value":"EC"},{"id":4,"name":"Milepost","value":"12.7587"},{"id":17,"name":"Train ID","value":"178-09"},{"id":16,"name":"Locomotive ID","value":"4026"},{"id":130,"name":"Impact","value":""},{"id":150,"name":"Time of Event (Mountain Time)","value":"14:28:43"},{"id":151,"name":"Denver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</row>
    <row r="26" spans="1:28" x14ac:dyDescent="0.25">
      <c r="A26" s="37">
        <v>42622.621053240742</v>
      </c>
      <c r="B26" s="32" t="s">
        <v>299</v>
      </c>
      <c r="C26" s="32" t="s">
        <v>506</v>
      </c>
      <c r="D26" s="32" t="s">
        <v>49</v>
      </c>
      <c r="E26" s="32" t="s">
        <v>54</v>
      </c>
      <c r="F26" s="48">
        <v>0</v>
      </c>
      <c r="G26" s="48">
        <v>419</v>
      </c>
      <c r="H26" s="48">
        <v>129533</v>
      </c>
      <c r="I26" s="48">
        <v>128390</v>
      </c>
      <c r="J26" s="32" t="s">
        <v>55</v>
      </c>
      <c r="K26" s="48">
        <v>127587</v>
      </c>
      <c r="L26" s="146" t="s">
        <v>53</v>
      </c>
      <c r="M26" s="149">
        <f t="shared" si="6"/>
        <v>423.98399999999998</v>
      </c>
      <c r="N26" s="89" t="str">
        <f>VLOOKUP(C26,'Trips&amp;Operators'!$C$1:$E$99999,3,FALSE)</f>
        <v>ADANE</v>
      </c>
      <c r="O26" s="113" t="s">
        <v>86</v>
      </c>
      <c r="P26" s="10" t="s">
        <v>237</v>
      </c>
      <c r="Q26" s="32"/>
      <c r="R26" s="100" t="str">
        <f>VLOOKUP(C26,'Train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26" s="103" t="str">
        <f>VLOOKUP(C26,'Train Runs'!$A$13:$AE$10014,22,0)</f>
        <v>https://search-rtdc-monitor-bjffxe2xuh6vdkpspy63sjmuny.us-east-1.es.amazonaws.com/_plugin/kibana/#/discover/Steve-Slow-Train-Analysis-(2080s-and-2083s)?_g=(refreshInterval:(display:Off,section:0,value:0),time:(from:'2016-09-09 13:39:28-0600',mode:absolute,to:'2016-09-09 16:21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6" s="105" t="str">
        <f t="shared" si="0"/>
        <v>"C:\Program Files (x86)\AstroGrep\AstroGrep.exe" /spath="%USERPROFILE%\AppData\Local\Temp\OnboardLogs" /stypes="*4017*201609092*" /stext=" 20:.+((SYSTEM_STATE.+slice.+state.+changed )|(ment ac)|(system.+state.+changed )|(\|lc)|(penalty)|(\[timeout)|(PRM\|1\|D)|(kpr)|(kdp))" /e /r /s</v>
      </c>
      <c r="U26" s="9" t="str">
        <f t="shared" si="1"/>
        <v>4017</v>
      </c>
      <c r="V26" s="37">
        <f t="shared" si="2"/>
        <v>42622.871053240742</v>
      </c>
      <c r="W26" s="51" t="str">
        <f t="shared" si="3"/>
        <v>EC</v>
      </c>
      <c r="X26" s="51" t="str">
        <f t="shared" si="4"/>
        <v>KEEP</v>
      </c>
      <c r="Y26" s="129" t="str">
        <f t="shared" si="5"/>
        <v>echo {"issue":{"subject":"40th 4S STOP, cleared shortly","project_id":79,"tracker_id":40,"status_id":1,"priority_id":2,"assigned_to_id":23,"start_date":"2016-09-09","description":"","custom_fields":[{"id":1,"name":"Subdivision","value":"EC"},{"id":4,"name":"Milepost","value":"12.7587"},{"id":17,"name":"Train ID","value":"182-09"},{"id":16,"name":"Locomotive ID","value":"4017"},{"id":130,"name":"Impact","value":""},{"id":150,"name":"Time of Event (Mountain Time)","value":"14:54:19"},{"id":151,"name":"Denver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</row>
    <row r="27" spans="1:28" x14ac:dyDescent="0.25">
      <c r="A27" s="37">
        <v>42622.694143518522</v>
      </c>
      <c r="B27" s="32" t="s">
        <v>299</v>
      </c>
      <c r="C27" s="32" t="s">
        <v>529</v>
      </c>
      <c r="D27" s="32" t="s">
        <v>49</v>
      </c>
      <c r="E27" s="32" t="s">
        <v>54</v>
      </c>
      <c r="F27" s="48">
        <v>0</v>
      </c>
      <c r="G27" s="48">
        <v>461</v>
      </c>
      <c r="H27" s="48">
        <v>129859</v>
      </c>
      <c r="I27" s="48">
        <v>128404</v>
      </c>
      <c r="J27" s="32" t="s">
        <v>55</v>
      </c>
      <c r="K27" s="48">
        <v>127587</v>
      </c>
      <c r="L27" s="146" t="s">
        <v>53</v>
      </c>
      <c r="M27" s="149">
        <f t="shared" si="6"/>
        <v>431.37599999999998</v>
      </c>
      <c r="N27" s="89" t="str">
        <f>VLOOKUP(C27,'Trips&amp;Operators'!$C$1:$E$99999,3,FALSE)</f>
        <v>ADANE</v>
      </c>
      <c r="O27" s="113" t="s">
        <v>86</v>
      </c>
      <c r="P27" s="10" t="s">
        <v>237</v>
      </c>
      <c r="Q27" s="32"/>
      <c r="R27" s="100" t="str">
        <f>VLOOKUP(C27,'Train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27" s="103" t="str">
        <f>VLOOKUP(C27,'Train Runs'!$A$13:$AE$10014,22,0)</f>
        <v>https://search-rtdc-monitor-bjffxe2xuh6vdkpspy63sjmuny.us-east-1.es.amazonaws.com/_plugin/kibana/#/discover/Steve-Slow-Train-Analysis-(2080s-and-2083s)?_g=(refreshInterval:(display:Off,section:0,value:0),time:(from:'2016-09-09 15:25:11-0600',mode:absolute,to:'2016-09-09 18:08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7" s="105" t="str">
        <f t="shared" si="0"/>
        <v>"C:\Program Files (x86)\AstroGrep\AstroGrep.exe" /spath="%USERPROFILE%\AppData\Local\Temp\OnboardLogs" /stypes="*4017*201609092*" /stext=" 22:.+((SYSTEM_STATE.+slice.+state.+changed )|(ment ac)|(system.+state.+changed )|(\|lc)|(penalty)|(\[timeout)|(PRM\|1\|D)|(kpr)|(kdp))" /e /r /s</v>
      </c>
      <c r="U27" s="9" t="str">
        <f t="shared" si="1"/>
        <v>4017</v>
      </c>
      <c r="V27" s="37">
        <f t="shared" si="2"/>
        <v>42622.944143518522</v>
      </c>
      <c r="W27" s="51" t="str">
        <f t="shared" si="3"/>
        <v>EC</v>
      </c>
      <c r="X27" s="51" t="str">
        <f t="shared" si="4"/>
        <v>KEEP</v>
      </c>
      <c r="Y27" s="129" t="str">
        <f t="shared" si="5"/>
        <v>echo {"issue":{"subject":"40th 4S STOP, cleared shortly","project_id":79,"tracker_id":40,"status_id":1,"priority_id":2,"assigned_to_id":23,"start_date":"2016-09-09","description":"","custom_fields":[{"id":1,"name":"Subdivision","value":"EC"},{"id":4,"name":"Milepost","value":"12.7587"},{"id":17,"name":"Train ID","value":"196-09"},{"id":16,"name":"Locomotive ID","value":"4017"},{"id":130,"name":"Impact","value":""},{"id":150,"name":"Time of Event (Mountain Time)","value":"16:39:34"},{"id":151,"name":"Denver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</row>
    <row r="28" spans="1:28" x14ac:dyDescent="0.25">
      <c r="A28" s="37">
        <v>42622.768067129633</v>
      </c>
      <c r="B28" s="32" t="s">
        <v>299</v>
      </c>
      <c r="C28" s="32" t="s">
        <v>549</v>
      </c>
      <c r="D28" s="32" t="s">
        <v>49</v>
      </c>
      <c r="E28" s="32" t="s">
        <v>54</v>
      </c>
      <c r="F28" s="48">
        <v>0</v>
      </c>
      <c r="G28" s="48">
        <v>353</v>
      </c>
      <c r="H28" s="48">
        <v>128914</v>
      </c>
      <c r="I28" s="48">
        <v>128165</v>
      </c>
      <c r="J28" s="32" t="s">
        <v>55</v>
      </c>
      <c r="K28" s="48">
        <v>127587</v>
      </c>
      <c r="L28" s="146" t="s">
        <v>53</v>
      </c>
      <c r="M28" s="149">
        <f t="shared" si="6"/>
        <v>305.18400000000003</v>
      </c>
      <c r="N28" s="89" t="str">
        <f>VLOOKUP(C28,'Trips&amp;Operators'!$C$1:$E$99999,3,FALSE)</f>
        <v>ADANE</v>
      </c>
      <c r="O28" s="113" t="s">
        <v>86</v>
      </c>
      <c r="P28" s="10" t="s">
        <v>237</v>
      </c>
      <c r="Q28" s="32"/>
      <c r="R28" s="100" t="str">
        <f>VLOOKUP(C28,'Train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28" s="103" t="str">
        <f>VLOOKUP(C28,'Train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17:07:32-0600',mode:absolute,to:'2016-09-09 19:51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28" s="105" t="str">
        <f t="shared" si="0"/>
        <v>"C:\Program Files (x86)\AstroGrep\AstroGrep.exe" /spath="%USERPROFILE%\AppData\Local\Temp\OnboardLogs" /stypes="*4017*201609100*" /stext=" 00:.+((SYSTEM_STATE.+slice.+state.+changed )|(ment ac)|(system.+state.+changed )|(\|lc)|(penalty)|(\[timeout)|(PRM\|1\|D)|(kpr)|(kdp))" /e /r /s</v>
      </c>
      <c r="U28" s="9" t="str">
        <f t="shared" si="1"/>
        <v>4017</v>
      </c>
      <c r="V28" s="37">
        <f t="shared" si="2"/>
        <v>42623.018067129633</v>
      </c>
      <c r="W28" s="51" t="str">
        <f t="shared" si="3"/>
        <v>EC</v>
      </c>
      <c r="X28" s="51" t="str">
        <f t="shared" si="4"/>
        <v>KEEP</v>
      </c>
      <c r="Y28" s="129" t="str">
        <f t="shared" si="5"/>
        <v>echo {"issue":{"subject":"40th 4S STOP, cleared shortly","project_id":79,"tracker_id":40,"status_id":1,"priority_id":2,"assigned_to_id":23,"start_date":"2016-09-09","description":"","custom_fields":[{"id":1,"name":"Subdivision","value":"EC"},{"id":4,"name":"Milepost","value":"12.7587"},{"id":17,"name":"Train ID","value":"210-09"},{"id":16,"name":"Locomotive ID","value":"4017"},{"id":130,"name":"Impact","value":""},{"id":150,"name":"Time of Event (Mountain Time)","value":"18:26:01"},{"id":151,"name":"Denver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</row>
    <row r="29" spans="1:28" x14ac:dyDescent="0.25">
      <c r="A29" s="37">
        <v>42622.292847222219</v>
      </c>
      <c r="B29" s="32" t="s">
        <v>300</v>
      </c>
      <c r="C29" s="32" t="s">
        <v>413</v>
      </c>
      <c r="D29" s="32" t="s">
        <v>49</v>
      </c>
      <c r="E29" s="32" t="s">
        <v>54</v>
      </c>
      <c r="F29" s="48">
        <v>0</v>
      </c>
      <c r="G29" s="48">
        <v>519</v>
      </c>
      <c r="H29" s="48">
        <v>195444</v>
      </c>
      <c r="I29" s="48">
        <v>193795</v>
      </c>
      <c r="J29" s="32" t="s">
        <v>55</v>
      </c>
      <c r="K29" s="48">
        <v>191723</v>
      </c>
      <c r="L29" s="146" t="s">
        <v>53</v>
      </c>
      <c r="M29" s="149">
        <f t="shared" si="6"/>
        <v>1094.0160000000001</v>
      </c>
      <c r="N29" s="89" t="str">
        <f>VLOOKUP(C29,'Trips&amp;Operators'!$C$1:$E$99999,3,FALSE)</f>
        <v>MALAVE</v>
      </c>
      <c r="O29" s="113" t="s">
        <v>86</v>
      </c>
      <c r="P29" s="10" t="s">
        <v>238</v>
      </c>
      <c r="Q29" s="32"/>
      <c r="R29" s="100" t="str">
        <f>VLOOKUP(C29,'Train Runs'!$A$13:$AE$10014,31,0)</f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S29" s="103" t="str">
        <f>VLOOKUP(C29,'Train Runs'!$A$13:$AE$10014,22,0)</f>
        <v>https://search-rtdc-monitor-bjffxe2xuh6vdkpspy63sjmuny.us-east-1.es.amazonaws.com/_plugin/kibana/#/discover/Steve-Slow-Train-Analysis-(2080s-and-2083s)?_g=(refreshInterval:(display:Off,section:0,value:0),time:(from:'2016-09-09 05:54:28-0600',mode:absolute,to:'2016-09-09 08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9" s="105" t="str">
        <f t="shared" si="0"/>
        <v>"C:\Program Files (x86)\AstroGrep\AstroGrep.exe" /spath="%USERPROFILE%\AppData\Local\Temp\OnboardLogs" /stypes="*4015*201609091*" /stext=" 13:.+((SYSTEM_STATE.+slice.+state.+changed )|(ment ac)|(system.+state.+changed )|(\|lc)|(penalty)|(\[timeout)|(PRM\|1\|D)|(kpr)|(kdp))" /e /r /s</v>
      </c>
      <c r="U29" s="9" t="str">
        <f t="shared" si="1"/>
        <v>4015</v>
      </c>
      <c r="V29" s="37">
        <f t="shared" si="2"/>
        <v>42622.542847222219</v>
      </c>
      <c r="W29" s="51" t="str">
        <f t="shared" si="3"/>
        <v>EC</v>
      </c>
      <c r="X29" s="51" t="str">
        <f t="shared" si="4"/>
        <v>KEEP</v>
      </c>
      <c r="Y29" s="129" t="str">
        <f t="shared" si="5"/>
        <v>echo {"issue":{"subject":"Pena 4S STOP, cleared shortly","project_id":79,"tracker_id":40,"status_id":1,"priority_id":2,"assigned_to_id":23,"start_date":"2016-09-09","description":"","custom_fields":[{"id":1,"name":"Subdivision","value":"EC"},{"id":4,"name":"Milepost","value":"19.1723"},{"id":17,"name":"Train ID","value":"120-09"},{"id":16,"name":"Locomotive ID","value":"4015"},{"id":130,"name":"Impact","value":""},{"id":150,"name":"Time of Event (Mountain Time)","value":"07:01:42"},{"id":151,"name":"Denver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</row>
    <row r="30" spans="1:28" x14ac:dyDescent="0.25">
      <c r="A30" s="37">
        <v>42622.344467592593</v>
      </c>
      <c r="B30" s="32" t="s">
        <v>170</v>
      </c>
      <c r="C30" s="32" t="s">
        <v>425</v>
      </c>
      <c r="D30" s="32" t="s">
        <v>49</v>
      </c>
      <c r="E30" s="32" t="s">
        <v>54</v>
      </c>
      <c r="F30" s="48">
        <v>0</v>
      </c>
      <c r="G30" s="48">
        <v>726</v>
      </c>
      <c r="H30" s="48">
        <v>198421</v>
      </c>
      <c r="I30" s="48">
        <v>195002</v>
      </c>
      <c r="J30" s="32" t="s">
        <v>55</v>
      </c>
      <c r="K30" s="48">
        <v>191723</v>
      </c>
      <c r="L30" s="146" t="s">
        <v>53</v>
      </c>
      <c r="M30" s="149">
        <f t="shared" si="6"/>
        <v>1731.3119999999999</v>
      </c>
      <c r="N30" s="89" t="str">
        <f>VLOOKUP(C30,'Trips&amp;Operators'!$C$1:$E$99999,3,FALSE)</f>
        <v>BREITSCH</v>
      </c>
      <c r="O30" s="113" t="s">
        <v>86</v>
      </c>
      <c r="P30" s="10" t="s">
        <v>238</v>
      </c>
      <c r="Q30" s="32"/>
      <c r="R30" s="100" t="str">
        <f>VLOOKUP(C30,'Train Runs'!$A$13:$AE$10014,31,0)</f>
        <v>aws s3 cp s3://rtdc.mdm.uploadarchive/RTDC4019/2016-09-09/ "%USERPROFILE%\AppData\Local\Temp\OnboardLogs"\RTDC4019\2016-09-09 --recursive &amp; "%USERPROFILE%\Documents\GitHub\mrs-test-scripts\Headless Mode &amp; Sideloading\WalkAndUnGZ.bat" "%USERPROFILE%\AppData\Local\Temp\OnboardLogs"\RTDC4019\2016-09-09 &amp; aws s3 cp s3://rtdc.mdm.uploadarchive/RTDC4019/2016-09-10/ "%USERPROFILE%\AppData\Local\Temp\OnboardLogs"\RTDC4019\2016-09-10 --recursive &amp; "%USERPROFILE%\Documents\GitHub\mrs-test-scripts\Headless Mode &amp; Sideloading\WalkAndUnGZ.bat" "%USERPROFILE%\AppData\Local\Temp\OnboardLogs"\RTDC4019\2016-09-10</v>
      </c>
      <c r="S30" s="103" t="str">
        <f>VLOOKUP(C30,'Train Runs'!$A$13:$AE$10014,22,0)</f>
        <v>https://search-rtdc-monitor-bjffxe2xuh6vdkpspy63sjmuny.us-east-1.es.amazonaws.com/_plugin/kibana/#/discover/Steve-Slow-Train-Analysis-(2080s-and-2083s)?_g=(refreshInterval:(display:Off,section:0,value:0),time:(from:'2016-09-09 06:57:48-0600',mode:absolute,to:'2016-09-09 09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30" s="105" t="str">
        <f t="shared" si="0"/>
        <v>"C:\Program Files (x86)\AstroGrep\AstroGrep.exe" /spath="%USERPROFILE%\AppData\Local\Temp\OnboardLogs" /stypes="*4019*201609091*" /stext=" 14:.+((SYSTEM_STATE.+slice.+state.+changed )|(ment ac)|(system.+state.+changed )|(\|lc)|(penalty)|(\[timeout)|(PRM\|1\|D)|(kpr)|(kdp))" /e /r /s</v>
      </c>
      <c r="U30" s="9" t="str">
        <f t="shared" si="1"/>
        <v>4019</v>
      </c>
      <c r="V30" s="37">
        <f t="shared" si="2"/>
        <v>42622.594467592593</v>
      </c>
      <c r="W30" s="51" t="str">
        <f t="shared" si="3"/>
        <v>EC</v>
      </c>
      <c r="X30" s="51" t="str">
        <f t="shared" si="4"/>
        <v>KEEP</v>
      </c>
      <c r="Y30" s="129" t="str">
        <f t="shared" si="5"/>
        <v>echo {"issue":{"subject":"Pena 4S STOP, cleared shortly","project_id":79,"tracker_id":40,"status_id":1,"priority_id":2,"assigned_to_id":23,"start_date":"2016-09-09","description":"","custom_fields":[{"id":1,"name":"Subdivision","value":"EC"},{"id":4,"name":"Milepost","value":"19.1723"},{"id":17,"name":"Train ID","value":"130-09"},{"id":16,"name":"Locomotive ID","value":"4019"},{"id":130,"name":"Impact","value":""},{"id":150,"name":"Time of Event (Mountain Time)","value":"08:16:02"},{"id":151,"name":"Denver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</row>
    <row r="31" spans="1:28" x14ac:dyDescent="0.25">
      <c r="A31" s="37">
        <v>42622.470208333332</v>
      </c>
      <c r="B31" s="32" t="s">
        <v>299</v>
      </c>
      <c r="C31" s="32" t="s">
        <v>461</v>
      </c>
      <c r="D31" s="32" t="s">
        <v>49</v>
      </c>
      <c r="E31" s="32" t="s">
        <v>54</v>
      </c>
      <c r="F31" s="48">
        <v>0</v>
      </c>
      <c r="G31" s="48">
        <v>340</v>
      </c>
      <c r="H31" s="48">
        <v>193254</v>
      </c>
      <c r="I31" s="48">
        <v>188778</v>
      </c>
      <c r="J31" s="32" t="s">
        <v>55</v>
      </c>
      <c r="K31" s="48">
        <v>191723</v>
      </c>
      <c r="L31" s="146" t="s">
        <v>53</v>
      </c>
      <c r="M31" s="149">
        <f t="shared" si="6"/>
        <v>-1554.96</v>
      </c>
      <c r="N31" s="89" t="str">
        <f>VLOOKUP(C31,'Trips&amp;Operators'!$C$1:$E$99999,3,FALSE)</f>
        <v>BEAM</v>
      </c>
      <c r="O31" s="113" t="s">
        <v>86</v>
      </c>
      <c r="P31" s="10" t="s">
        <v>238</v>
      </c>
      <c r="Q31" s="32"/>
      <c r="R31" s="100" t="str">
        <f>VLOOKUP(C31,'Train Runs'!$A$13:$AE$10014,31,0)</f>
        <v>aws s3 cp s3://rtdc.mdm.uploadarchive/RTDC4017/2016-09-09/ "%USERPROFILE%\AppData\Local\Temp\OnboardLogs"\RTDC4017\2016-09-09 --recursive &amp; "%USERPROFILE%\Documents\GitHub\mrs-test-scripts\Headless Mode &amp; Sideloading\WalkAndUnGZ.bat" "%USERPROFILE%\AppData\Local\Temp\OnboardLogs"\RTDC4017\2016-09-09 &amp; aws s3 cp s3://rtdc.mdm.uploadarchive/RTDC4017/2016-09-10/ "%USERPROFILE%\AppData\Local\Temp\OnboardLogs"\RTDC4017\2016-09-10 --recursive &amp; "%USERPROFILE%\Documents\GitHub\mrs-test-scripts\Headless Mode &amp; Sideloading\WalkAndUnGZ.bat" "%USERPROFILE%\AppData\Local\Temp\OnboardLogs"\RTDC4017\2016-09-10</v>
      </c>
      <c r="S31" s="103" t="str">
        <f>VLOOKUP(C31,'Train Runs'!$A$13:$AE$10014,22,0)</f>
        <v>https://search-rtdc-monitor-bjffxe2xuh6vdkpspy63sjmuny.us-east-1.es.amazonaws.com/_plugin/kibana/#/discover/Steve-Slow-Train-Analysis-(2080s-and-2083s)?_g=(refreshInterval:(display:Off,section:0,value:0),time:(from:'2016-09-09 10:05:29-0600',mode:absolute,to:'2016-09-09 12:47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31" s="105" t="str">
        <f t="shared" si="0"/>
        <v>"C:\Program Files (x86)\AstroGrep\AstroGrep.exe" /spath="%USERPROFILE%\AppData\Local\Temp\OnboardLogs" /stypes="*4017*201609091*" /stext=" 17:.+((SYSTEM_STATE.+slice.+state.+changed )|(ment ac)|(system.+state.+changed )|(\|lc)|(penalty)|(\[timeout)|(PRM\|1\|D)|(kpr)|(kdp))" /e /r /s</v>
      </c>
      <c r="U31" s="9" t="str">
        <f t="shared" si="1"/>
        <v>4017</v>
      </c>
      <c r="V31" s="37">
        <f t="shared" si="2"/>
        <v>42622.720208333332</v>
      </c>
      <c r="W31" s="51" t="str">
        <f t="shared" si="3"/>
        <v>EC</v>
      </c>
      <c r="X31" s="51" t="str">
        <f t="shared" si="4"/>
        <v>KEEP</v>
      </c>
      <c r="Y31" s="129" t="str">
        <f t="shared" si="5"/>
        <v>echo {"issue":{"subject":"Pena 4S STOP, cleared shortly","project_id":79,"tracker_id":40,"status_id":1,"priority_id":2,"assigned_to_id":23,"start_date":"2016-09-09","description":"","custom_fields":[{"id":1,"name":"Subdivision","value":"EC"},{"id":4,"name":"Milepost","value":"19.1723"},{"id":17,"name":"Train ID","value":"154-09"},{"id":16,"name":"Locomotive ID","value":"4017"},{"id":130,"name":"Impact","value":""},{"id":150,"name":"Time of Event (Mountain Time)","value":"11:17:06"},{"id":151,"name":"Denver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</row>
    <row r="32" spans="1:28" ht="15" customHeight="1" x14ac:dyDescent="0.25">
      <c r="A32" s="37">
        <v>42622.365370370368</v>
      </c>
      <c r="B32" s="32" t="s">
        <v>133</v>
      </c>
      <c r="C32" s="32" t="s">
        <v>440</v>
      </c>
      <c r="D32" s="32" t="s">
        <v>106</v>
      </c>
      <c r="E32" s="32" t="s">
        <v>728</v>
      </c>
      <c r="F32" s="48">
        <v>0</v>
      </c>
      <c r="G32" s="48">
        <v>159</v>
      </c>
      <c r="H32" s="48">
        <v>1991</v>
      </c>
      <c r="I32" s="48">
        <v>2216</v>
      </c>
      <c r="J32" s="32" t="s">
        <v>729</v>
      </c>
      <c r="K32" s="48">
        <v>1692</v>
      </c>
      <c r="L32" s="146" t="s">
        <v>52</v>
      </c>
      <c r="M32" s="149">
        <f t="shared" si="6"/>
        <v>-276.67200000000003</v>
      </c>
      <c r="N32" s="89" t="str">
        <f>VLOOKUP(C32,'Trips&amp;Operators'!$C$1:$E$99999,3,FALSE)</f>
        <v>MAELZER</v>
      </c>
      <c r="O32" s="113" t="s">
        <v>179</v>
      </c>
      <c r="P32" s="10" t="s">
        <v>186</v>
      </c>
      <c r="Q32" s="32"/>
      <c r="R32" s="100" t="str">
        <f>VLOOKUP(C32,'Train Runs'!$A$13:$AE$10014,31,0)</f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S32" s="103" t="str">
        <f>VLOOKUP(C32,'Train Runs'!$A$13:$AE$10014,22,0)</f>
        <v>https://search-rtdc-monitor-bjffxe2xuh6vdkpspy63sjmuny.us-east-1.es.amazonaws.com/_plugin/kibana/#/discover/Steve-Slow-Train-Analysis-(2080s-and-2083s)?_g=(refreshInterval:(display:Off,section:0,value:0),time:(from:'2016-09-09 07:50:54-0600',mode:absolute,to:'2016-09-09 10:24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32" s="105" t="str">
        <f t="shared" si="0"/>
        <v>"C:\Program Files (x86)\AstroGrep\AstroGrep.exe" /spath="%USERPROFILE%\AppData\Local\Temp\OnboardLogs" /stypes="*4009*201609091*" /stext=" 14:.+((SYSTEM_STATE.+slice.+state.+changed )|(ment ac)|(system.+state.+changed )|(\|lc)|(penalty)|(\[timeout)|(PRM\|1\|D)|(kpr)|(kdp))" /e /r /s</v>
      </c>
      <c r="U32" s="9" t="str">
        <f t="shared" si="1"/>
        <v>4009</v>
      </c>
      <c r="V32" s="37">
        <f t="shared" si="2"/>
        <v>42622.615370370368</v>
      </c>
      <c r="W32" s="51" t="str">
        <f t="shared" si="3"/>
        <v>EC</v>
      </c>
      <c r="X32" s="51" t="str">
        <f t="shared" si="4"/>
        <v>KEEP</v>
      </c>
      <c r="Y32" s="129" t="str">
        <f t="shared" si="5"/>
        <v>echo {"issue":{"subject":"Wi-MAX outage","project_id":79,"tracker_id":40,"status_id":1,"priority_id":2,"assigned_to_id":23,"start_date":"2016-09-09","description":"","custom_fields":[{"id":1,"name":"Subdivision","value":"EC"},{"id":4,"name":"Milepost","value":"0.1692"},{"id":17,"name":"Train ID","value":"141-09"},{"id":16,"name":"Locomotive ID","value":"4009"},{"id":130,"name":"Impact","value":""},{"id":150,"name":"Time of Event (Mountain Time)","value":"08:46:08"},{"id":151,"name":"Denver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</row>
    <row r="33" spans="1:28" x14ac:dyDescent="0.25">
      <c r="A33" s="37">
        <v>42622.621400462966</v>
      </c>
      <c r="B33" s="32" t="s">
        <v>181</v>
      </c>
      <c r="C33" s="32" t="s">
        <v>497</v>
      </c>
      <c r="D33" s="32" t="s">
        <v>49</v>
      </c>
      <c r="E33" s="32" t="s">
        <v>50</v>
      </c>
      <c r="F33" s="48">
        <v>0</v>
      </c>
      <c r="G33" s="48">
        <v>58</v>
      </c>
      <c r="H33" s="48">
        <v>211</v>
      </c>
      <c r="I33" s="48">
        <v>152</v>
      </c>
      <c r="J33" s="32" t="s">
        <v>51</v>
      </c>
      <c r="K33" s="48">
        <v>1</v>
      </c>
      <c r="L33" s="146" t="s">
        <v>53</v>
      </c>
      <c r="M33" s="149">
        <f t="shared" ref="M33:M48" si="7">CONVERT((I33-K33)/10000,"mi","ft")*IF(L33="Increasing Mileposts (1)",-1,1)</f>
        <v>79.727999999999994</v>
      </c>
      <c r="N33" s="89" t="str">
        <f>VLOOKUP(C33,'Trips&amp;Operators'!$C$1:$E$99999,3,FALSE)</f>
        <v>BONDS</v>
      </c>
      <c r="O33" s="113" t="s">
        <v>86</v>
      </c>
      <c r="P33" s="10"/>
      <c r="Q33" s="32"/>
      <c r="R33" s="100" t="str">
        <f>VLOOKUP(C33,'Train Runs'!$A$13:$AE$10014,31,0)</f>
        <v>aws s3 cp s3://rtdc.mdm.uploadarchive/RTDC4026/2016-09-09/ "%USERPROFILE%\AppData\Local\Temp\OnboardLogs"\RTDC4026\2016-09-09 --recursive &amp; "%USERPROFILE%\Documents\GitHub\mrs-test-scripts\Headless Mode &amp; Sideloading\WalkAndUnGZ.bat" "%USERPROFILE%\AppData\Local\Temp\OnboardLogs"\RTDC4026\2016-09-09 &amp; aws s3 cp s3://rtdc.mdm.uploadarchive/RTDC4026/2016-09-10/ "%USERPROFILE%\AppData\Local\Temp\OnboardLogs"\RTDC4026\2016-09-10 --recursive &amp; "%USERPROFILE%\Documents\GitHub\mrs-test-scripts\Headless Mode &amp; Sideloading\WalkAndUnGZ.bat" "%USERPROFILE%\AppData\Local\Temp\OnboardLogs"\RTDC4026\2016-09-10</v>
      </c>
      <c r="S33" s="103" t="str">
        <f>VLOOKUP(C33,'Train Runs'!$A$13:$AE$10014,22,0)</f>
        <v>https://search-rtdc-monitor-bjffxe2xuh6vdkpspy63sjmuny.us-east-1.es.amazonaws.com/_plugin/kibana/#/discover/Steve-Slow-Train-Analysis-(2080s-and-2083s)?_g=(refreshInterval:(display:Off,section:0,value:0),time:(from:'2016-09-09 12:59:15-0600',mode:absolute,to:'2016-09-09 15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3" s="105" t="str">
        <f t="shared" si="0"/>
        <v>"C:\Program Files (x86)\AstroGrep\AstroGrep.exe" /spath="%USERPROFILE%\AppData\Local\Temp\OnboardLogs" /stypes="*4026*201609092*" /stext=" 20:.+((SYSTEM_STATE.+slice.+state.+changed )|(ment ac)|(system.+state.+changed )|(\|lc)|(penalty)|(\[timeout)|(PRM\|1\|D)|(kpr)|(kdp))" /e /r /s</v>
      </c>
      <c r="U33" s="9" t="str">
        <f t="shared" si="1"/>
        <v>4026</v>
      </c>
      <c r="V33" s="37">
        <f t="shared" si="2"/>
        <v>42622.871400462966</v>
      </c>
      <c r="W33" s="51" t="str">
        <f t="shared" si="3"/>
        <v>EC</v>
      </c>
      <c r="X33" s="51" t="str">
        <f t="shared" si="4"/>
        <v>KEEP</v>
      </c>
      <c r="Y33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{"issue":{"subject":"","project_id":79,"tracker_id":40,"status_id":1,"priority_id":2,"assigned_to_id":23,"start_date":"2016-09-09","description":"","custom_fields":[{"id":1,"name":"Subdivision","value":"EC"},{"id":4,"name":"Milepost","value":"0.0001"},{"id":17,"name":"Train ID","value":"178-09"},{"id":16,"name":"Locomotive ID","value":"4026"},{"id":130,"name":"Impact","value":""},{"id":150,"name":"Time of Event (Mountain Time)","value":"14:54:49"},{"id":151,"name":"Denver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</row>
    <row r="34" spans="1:28" ht="15" customHeight="1" x14ac:dyDescent="0.25">
      <c r="A34" s="37">
        <v>42622.672500000001</v>
      </c>
      <c r="B34" s="32" t="s">
        <v>183</v>
      </c>
      <c r="C34" s="32" t="s">
        <v>515</v>
      </c>
      <c r="D34" s="32" t="s">
        <v>49</v>
      </c>
      <c r="E34" s="32" t="s">
        <v>50</v>
      </c>
      <c r="F34" s="48">
        <v>0</v>
      </c>
      <c r="G34" s="48">
        <v>69</v>
      </c>
      <c r="H34" s="48">
        <v>245</v>
      </c>
      <c r="I34" s="48">
        <v>172</v>
      </c>
      <c r="J34" s="32" t="s">
        <v>51</v>
      </c>
      <c r="K34" s="48">
        <v>1</v>
      </c>
      <c r="L34" s="146" t="s">
        <v>53</v>
      </c>
      <c r="M34" s="149">
        <f t="shared" si="7"/>
        <v>90.287999999999997</v>
      </c>
      <c r="N34" s="89" t="str">
        <f>VLOOKUP(C34,'Trips&amp;Operators'!$C$1:$E$99999,3,FALSE)</f>
        <v>STEWART</v>
      </c>
      <c r="O34" s="113" t="s">
        <v>86</v>
      </c>
      <c r="P34" s="10"/>
      <c r="Q34" s="32"/>
      <c r="R34" s="100" t="str">
        <f>VLOOKUP(C34,'Train Runs'!$A$13:$AE$10014,31,0)</f>
        <v>aws s3 cp s3://rtdc.mdm.uploadarchive/RTDC4012/2016-09-09/ "%USERPROFILE%\AppData\Local\Temp\OnboardLogs"\RTDC4012\2016-09-09 --recursive &amp; "%USERPROFILE%\Documents\GitHub\mrs-test-scripts\Headless Mode &amp; Sideloading\WalkAndUnGZ.bat" "%USERPROFILE%\AppData\Local\Temp\OnboardLogs"\RTDC4012\2016-09-09 &amp; aws s3 cp s3://rtdc.mdm.uploadarchive/RTDC4012/2016-09-10/ "%USERPROFILE%\AppData\Local\Temp\OnboardLogs"\RTDC4012\2016-09-10 --recursive &amp; "%USERPROFILE%\Documents\GitHub\mrs-test-scripts\Headless Mode &amp; Sideloading\WalkAndUnGZ.bat" "%USERPROFILE%\AppData\Local\Temp\OnboardLogs"\RTDC4012\2016-09-10</v>
      </c>
      <c r="S34" s="103" t="str">
        <f>VLOOKUP(C34,'Train Runs'!$A$13:$AE$10014,22,0)</f>
        <v>https://search-rtdc-monitor-bjffxe2xuh6vdkpspy63sjmuny.us-east-1.es.amazonaws.com/_plugin/kibana/#/discover/Steve-Slow-Train-Analysis-(2080s-and-2083s)?_g=(refreshInterval:(display:Off,section:0,value:0),time:(from:'2016-09-09 14:20:33-0600',mode:absolute,to:'2016-09-09 17:08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4" s="105" t="str">
        <f t="shared" si="0"/>
        <v>"C:\Program Files (x86)\AstroGrep\AstroGrep.exe" /spath="%USERPROFILE%\AppData\Local\Temp\OnboardLogs" /stypes="*4012*201609092*" /stext=" 22:.+((SYSTEM_STATE.+slice.+state.+changed )|(ment ac)|(system.+state.+changed )|(\|lc)|(penalty)|(\[timeout)|(PRM\|1\|D)|(kpr)|(kdp))" /e /r /s</v>
      </c>
      <c r="U34" s="9" t="str">
        <f t="shared" si="1"/>
        <v>4012</v>
      </c>
      <c r="V34" s="37">
        <f t="shared" si="2"/>
        <v>42622.922500000001</v>
      </c>
      <c r="W34" s="51" t="str">
        <f t="shared" si="3"/>
        <v>EC</v>
      </c>
      <c r="X34" s="51" t="str">
        <f t="shared" si="4"/>
        <v>KEEP</v>
      </c>
      <c r="Y34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{"issue":{"subject":"","project_id":79,"tracker_id":40,"status_id":1,"priority_id":2,"assigned_to_id":23,"start_date":"2016-09-09","description":"","custom_fields":[{"id":1,"name":"Subdivision","value":"EC"},{"id":4,"name":"Milepost","value":"0.0001"},{"id":17,"name":"Train ID","value":"188-09"},{"id":16,"name":"Locomotive ID","value":"4012"},{"id":130,"name":"Impact","value":""},{"id":150,"name":"Time of Event (Mountain Time)","value":"16:08:24"},{"id":151,"name":"Denver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</row>
    <row r="35" spans="1:28" x14ac:dyDescent="0.25">
      <c r="A35" s="37">
        <v>42622.684687499997</v>
      </c>
      <c r="B35" s="32" t="s">
        <v>300</v>
      </c>
      <c r="C35" s="32" t="s">
        <v>520</v>
      </c>
      <c r="D35" s="32" t="s">
        <v>49</v>
      </c>
      <c r="E35" s="32" t="s">
        <v>50</v>
      </c>
      <c r="F35" s="48">
        <v>0</v>
      </c>
      <c r="G35" s="48">
        <v>46</v>
      </c>
      <c r="H35" s="48">
        <v>218</v>
      </c>
      <c r="I35" s="48">
        <v>180</v>
      </c>
      <c r="J35" s="32" t="s">
        <v>51</v>
      </c>
      <c r="K35" s="48">
        <v>1</v>
      </c>
      <c r="L35" s="146" t="s">
        <v>53</v>
      </c>
      <c r="M35" s="149">
        <f t="shared" si="7"/>
        <v>94.512</v>
      </c>
      <c r="N35" s="89" t="str">
        <f>VLOOKUP(C35,'Trips&amp;Operators'!$C$1:$E$99999,3,FALSE)</f>
        <v>CLARK</v>
      </c>
      <c r="O35" s="113" t="s">
        <v>86</v>
      </c>
      <c r="P35" s="10"/>
      <c r="Q35" s="32"/>
      <c r="R35" s="100" t="str">
        <f>VLOOKUP(C35,'Train Runs'!$A$13:$AE$10014,31,0)</f>
        <v>aws s3 cp s3://rtdc.mdm.uploadarchive/RTDC4015/2016-09-09/ "%USERPROFILE%\AppData\Local\Temp\OnboardLogs"\RTDC4015\2016-09-09 --recursive &amp; "%USERPROFILE%\Documents\GitHub\mrs-test-scripts\Headless Mode &amp; Sideloading\WalkAndUnGZ.bat" "%USERPROFILE%\AppData\Local\Temp\OnboardLogs"\RTDC4015\2016-09-09 &amp; aws s3 cp s3://rtdc.mdm.uploadarchive/RTDC4015/2016-09-10/ "%USERPROFILE%\AppData\Local\Temp\OnboardLogs"\RTDC4015\2016-09-10 --recursive &amp; "%USERPROFILE%\Documents\GitHub\mrs-test-scripts\Headless Mode &amp; Sideloading\WalkAndUnGZ.bat" "%USERPROFILE%\AppData\Local\Temp\OnboardLogs"\RTDC4015\2016-09-10</v>
      </c>
      <c r="S35" s="103" t="str">
        <f>VLOOKUP(C35,'Train Runs'!$A$13:$AE$10014,22,0)</f>
        <v>https://search-rtdc-monitor-bjffxe2xuh6vdkpspy63sjmuny.us-east-1.es.amazonaws.com/_plugin/kibana/#/discover/Steve-Slow-Train-Analysis-(2080s-and-2083s)?_g=(refreshInterval:(display:Off,section:0,value:0),time:(from:'2016-09-09 14:34:16-0600',mode:absolute,to:'2016-09-09 17:25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5" s="105" t="str">
        <f t="shared" si="0"/>
        <v>"C:\Program Files (x86)\AstroGrep\AstroGrep.exe" /spath="%USERPROFILE%\AppData\Local\Temp\OnboardLogs" /stypes="*4015*201609092*" /stext=" 22:.+((SYSTEM_STATE.+slice.+state.+changed )|(ment ac)|(system.+state.+changed )|(\|lc)|(penalty)|(\[timeout)|(PRM\|1\|D)|(kpr)|(kdp))" /e /r /s</v>
      </c>
      <c r="U35" s="9" t="str">
        <f t="shared" si="1"/>
        <v>4015</v>
      </c>
      <c r="V35" s="37">
        <f t="shared" si="2"/>
        <v>42622.934687499997</v>
      </c>
      <c r="W35" s="51" t="str">
        <f t="shared" si="3"/>
        <v>EC</v>
      </c>
      <c r="X35" s="51" t="str">
        <f t="shared" si="4"/>
        <v>KEEP</v>
      </c>
      <c r="Y35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{"issue":{"subject":"","project_id":79,"tracker_id":40,"status_id":1,"priority_id":2,"assigned_to_id":23,"start_date":"2016-09-09","description":"","custom_fields":[{"id":1,"name":"Subdivision","value":"EC"},{"id":4,"name":"Milepost","value":"0.0001"},{"id":17,"name":"Train ID","value":"190-09"},{"id":16,"name":"Locomotive ID","value":"4015"},{"id":130,"name":"Impact","value":""},{"id":150,"name":"Time of Event (Mountain Time)","value":"16:25:57"},{"id":151,"name":"Denver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</row>
    <row r="36" spans="1:28" x14ac:dyDescent="0.25">
      <c r="A36" s="37">
        <v>42622.77820601852</v>
      </c>
      <c r="B36" s="32" t="s">
        <v>110</v>
      </c>
      <c r="C36" s="32" t="s">
        <v>546</v>
      </c>
      <c r="D36" s="32" t="s">
        <v>49</v>
      </c>
      <c r="E36" s="32" t="s">
        <v>50</v>
      </c>
      <c r="F36" s="48">
        <v>0</v>
      </c>
      <c r="G36" s="48">
        <v>61</v>
      </c>
      <c r="H36" s="48">
        <v>1022</v>
      </c>
      <c r="I36" s="48">
        <v>950</v>
      </c>
      <c r="J36" s="32" t="s">
        <v>51</v>
      </c>
      <c r="K36" s="48">
        <v>839</v>
      </c>
      <c r="L36" s="146" t="s">
        <v>53</v>
      </c>
      <c r="M36" s="149">
        <f t="shared" si="7"/>
        <v>58.607999999999997</v>
      </c>
      <c r="N36" s="89" t="str">
        <f>VLOOKUP(C36,'Trips&amp;Operators'!$C$1:$E$99999,3,FALSE)</f>
        <v>MOSES</v>
      </c>
      <c r="O36" s="113" t="s">
        <v>86</v>
      </c>
      <c r="P36" s="10"/>
      <c r="Q36" s="32"/>
      <c r="R36" s="100" t="str">
        <f>VLOOKUP(C36,'Train Runs'!$A$13:$AE$10014,31,0)</f>
        <v>aws s3 cp s3://rtdc.mdm.uploadarchive/RTDC4032/2016-09-09/ "%USERPROFILE%\AppData\Local\Temp\OnboardLogs"\RTDC4032\2016-09-09 --recursive &amp; "%USERPROFILE%\Documents\GitHub\mrs-test-scripts\Headless Mode &amp; Sideloading\WalkAndUnGZ.bat" "%USERPROFILE%\AppData\Local\Temp\OnboardLogs"\RTDC4032\2016-09-09 &amp; aws s3 cp s3://rtdc.mdm.uploadarchive/RTDC4032/2016-09-10/ "%USERPROFILE%\AppData\Local\Temp\OnboardLogs"\RTDC4032\2016-09-10 --recursive &amp; "%USERPROFILE%\Documents\GitHub\mrs-test-scripts\Headless Mode &amp; Sideloading\WalkAndUnGZ.bat" "%USERPROFILE%\AppData\Local\Temp\OnboardLogs"\RTDC4032\2016-09-10</v>
      </c>
      <c r="S36" s="103" t="str">
        <f>VLOOKUP(C36,'Train Runs'!$A$13:$AE$10014,22,0)</f>
        <v>https://search-rtdc-monitor-bjffxe2xuh6vdkpspy63sjmuny.us-east-1.es.amazonaws.com/_plugin/kibana/#/discover/Steve-Slow-Train-Analysis-(2080s-and-2083s)?_g=(refreshInterval:(display:Off,section:0,value:0),time:(from:'2016-09-09 16:53:31-0600',mode:absolute,to:'2016-09-09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6" s="105" t="str">
        <f t="shared" si="0"/>
        <v>"C:\Program Files (x86)\AstroGrep\AstroGrep.exe" /spath="%USERPROFILE%\AppData\Local\Temp\OnboardLogs" /stypes="*4032*201609100*" /stext=" 00:.+((SYSTEM_STATE.+slice.+state.+changed )|(ment ac)|(system.+state.+changed )|(\|lc)|(penalty)|(\[timeout)|(PRM\|1\|D)|(kpr)|(kdp))" /e /r /s</v>
      </c>
      <c r="U36" s="9" t="str">
        <f t="shared" si="1"/>
        <v>4032</v>
      </c>
      <c r="V36" s="37">
        <f t="shared" si="2"/>
        <v>42623.02820601852</v>
      </c>
      <c r="W36" s="51" t="str">
        <f t="shared" si="3"/>
        <v>EC</v>
      </c>
      <c r="X36" s="51" t="str">
        <f t="shared" si="4"/>
        <v>KEEP</v>
      </c>
      <c r="Y36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{"issue":{"subject":"","project_id":79,"tracker_id":40,"status_id":1,"priority_id":2,"assigned_to_id":23,"start_date":"2016-09-09","description":"","custom_fields":[{"id":1,"name":"Subdivision","value":"EC"},{"id":4,"name":"Milepost","value":"0.0839"},{"id":17,"name":"Train ID","value":"208-09"},{"id":16,"name":"Locomotive ID","value":"4032"},{"id":130,"name":"Impact","value":""},{"id":150,"name":"Time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</row>
    <row r="37" spans="1:28" x14ac:dyDescent="0.25">
      <c r="A37" s="37">
        <v>42622.817233796297</v>
      </c>
      <c r="B37" s="32" t="s">
        <v>303</v>
      </c>
      <c r="C37" s="32" t="s">
        <v>564</v>
      </c>
      <c r="D37" s="32" t="s">
        <v>49</v>
      </c>
      <c r="E37" s="32" t="s">
        <v>50</v>
      </c>
      <c r="F37" s="48">
        <v>0</v>
      </c>
      <c r="G37" s="48">
        <v>28</v>
      </c>
      <c r="H37" s="48">
        <v>948</v>
      </c>
      <c r="I37" s="48">
        <v>918</v>
      </c>
      <c r="J37" s="32" t="s">
        <v>51</v>
      </c>
      <c r="K37" s="48">
        <v>839</v>
      </c>
      <c r="L37" s="146" t="s">
        <v>53</v>
      </c>
      <c r="M37" s="149">
        <f t="shared" si="7"/>
        <v>41.712000000000003</v>
      </c>
      <c r="N37" s="89" t="str">
        <f>VLOOKUP(C37,'Trips&amp;Operators'!$C$1:$E$99999,3,FALSE)</f>
        <v>ISHMAEL</v>
      </c>
      <c r="O37" s="113" t="s">
        <v>86</v>
      </c>
      <c r="P37" s="10"/>
      <c r="Q37" s="32"/>
      <c r="R37" s="100" t="str">
        <f>VLOOKUP(C37,'Train Runs'!$A$13:$AE$10014,31,0)</f>
        <v>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 &amp; 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</v>
      </c>
      <c r="S37" s="103" t="str">
        <f>VLOOKUP(C37,'Train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17:46:47-0600',mode:absolute,to:'2016-09-09 20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7" s="105" t="str">
        <f t="shared" si="0"/>
        <v>"C:\Program Files (x86)\AstroGrep\AstroGrep.exe" /spath="%USERPROFILE%\AppData\Local\Temp\OnboardLogs" /stypes="*4039*201609100*" /stext=" 01:.+((SYSTEM_STATE.+slice.+state.+changed )|(ment ac)|(system.+state.+changed )|(\|lc)|(penalty)|(\[timeout)|(PRM\|1\|D)|(kpr)|(kdp))" /e /r /s</v>
      </c>
      <c r="U37" s="9" t="str">
        <f t="shared" si="1"/>
        <v>4039</v>
      </c>
      <c r="V37" s="37">
        <f t="shared" si="2"/>
        <v>42623.067233796297</v>
      </c>
      <c r="W37" s="51" t="str">
        <f t="shared" si="3"/>
        <v>EC</v>
      </c>
      <c r="X37" s="51" t="str">
        <f t="shared" si="4"/>
        <v>KEEP</v>
      </c>
      <c r="Y37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{"issue":{"subject":"","project_id":79,"tracker_id":40,"status_id":1,"priority_id":2,"assigned_to_id":23,"start_date":"2016-09-09","description":"","custom_fields":[{"id":1,"name":"Subdivision","value":"EC"},{"id":4,"name":"Milepost","value":"0.0839"},{"id":17,"name":"Train ID","value":"216-09"},{"id":16,"name":"Locomotive ID","value":"4039"},{"id":130,"name":"Impact","value":""},{"id":150,"name":"Time of Event (Mountain Time)","value":"19:36:49"},{"id":151,"name":"Denver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</row>
    <row r="38" spans="1:28" ht="15" customHeight="1" x14ac:dyDescent="0.25">
      <c r="A38" s="37">
        <v>42622.81832175926</v>
      </c>
      <c r="B38" s="32" t="s">
        <v>303</v>
      </c>
      <c r="C38" s="32" t="s">
        <v>564</v>
      </c>
      <c r="D38" s="32" t="s">
        <v>49</v>
      </c>
      <c r="E38" s="32" t="s">
        <v>50</v>
      </c>
      <c r="F38" s="48">
        <v>0</v>
      </c>
      <c r="G38" s="48">
        <v>15</v>
      </c>
      <c r="H38" s="48">
        <v>871</v>
      </c>
      <c r="I38" s="48">
        <v>864</v>
      </c>
      <c r="J38" s="32" t="s">
        <v>51</v>
      </c>
      <c r="K38" s="48">
        <v>839</v>
      </c>
      <c r="L38" s="146" t="s">
        <v>53</v>
      </c>
      <c r="M38" s="149">
        <f t="shared" si="7"/>
        <v>13.2</v>
      </c>
      <c r="N38" s="89" t="str">
        <f>VLOOKUP(C38,'Trips&amp;Operators'!$C$1:$E$99999,3,FALSE)</f>
        <v>ISHMAEL</v>
      </c>
      <c r="O38" s="113" t="s">
        <v>86</v>
      </c>
      <c r="P38" s="10"/>
      <c r="Q38" s="32"/>
      <c r="R38" s="100" t="str">
        <f>VLOOKUP(C38,'Train Runs'!$A$13:$AE$10014,31,0)</f>
        <v>aws s3 cp s3://rtdc.mdm.uploadarchive/RTDC4039/2016-09-09/ "%USERPROFILE%\AppData\Local\Temp\OnboardLogs"\RTDC4039\2016-09-09 --recursive &amp; "%USERPROFILE%\Documents\GitHub\mrs-test-scripts\Headless Mode &amp; Sideloading\WalkAndUnGZ.bat" "%USERPROFILE%\AppData\Local\Temp\OnboardLogs"\RTDC4039\2016-09-09 &amp; aws s3 cp s3://rtdc.mdm.uploadarchive/RTDC4039/2016-09-10/ "%USERPROFILE%\AppData\Local\Temp\OnboardLogs"\RTDC4039\2016-09-10 --recursive &amp; "%USERPROFILE%\Documents\GitHub\mrs-test-scripts\Headless Mode &amp; Sideloading\WalkAndUnGZ.bat" "%USERPROFILE%\AppData\Local\Temp\OnboardLogs"\RTDC4039\2016-09-10</v>
      </c>
      <c r="S38" s="103" t="str">
        <f>VLOOKUP(C38,'Train Runs'!$A$13:$AE$10014,22,0)</f>
        <v>https://search-rtdc-monitor-bjffxe2xuh6vdkpspy63sjmuny.us-east-1.es.amazonaws.com/_plugin/kibana/#/discover/Steve-Slow-Train-Analysis-(2080s-and-2083s)?_g=(refreshInterval:(display:Off,section:0,value:0),time:(from:'2016-09-09 17:46:47-0600',mode:absolute,to:'2016-09-09 20:36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8" s="105" t="str">
        <f t="shared" si="0"/>
        <v>"C:\Program Files (x86)\AstroGrep\AstroGrep.exe" /spath="%USERPROFILE%\AppData\Local\Temp\OnboardLogs" /stypes="*4039*201609100*" /stext=" 01:.+((SYSTEM_STATE.+slice.+state.+changed )|(ment ac)|(system.+state.+changed )|(\|lc)|(penalty)|(\[timeout)|(PRM\|1\|D)|(kpr)|(kdp))" /e /r /s</v>
      </c>
      <c r="U38" s="9" t="str">
        <f t="shared" si="1"/>
        <v>4039</v>
      </c>
      <c r="V38" s="37">
        <f t="shared" si="2"/>
        <v>42623.06832175926</v>
      </c>
      <c r="W38" s="51" t="str">
        <f t="shared" si="3"/>
        <v>EC</v>
      </c>
      <c r="X38" s="51" t="str">
        <f t="shared" si="4"/>
        <v>KEEP</v>
      </c>
      <c r="Y38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{"issue":{"subject":"","project_id":79,"tracker_id":40,"status_id":1,"priority_id":2,"assigned_to_id":23,"start_date":"2016-09-09","description":"","custom_fields":[{"id":1,"name":"Subdivision","value":"EC"},{"id":4,"name":"Milepost","value":"0.0839"},{"id":17,"name":"Train ID","value":"216-09"},{"id":16,"name":"Locomotive ID","value":"4039"},{"id":130,"name":"Impact","value":""},{"id":150,"name":"Time of Event (Mountain Time)","value":"19:38:23"},{"id":151,"name":"Denver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</row>
    <row r="39" spans="1:28" x14ac:dyDescent="0.25">
      <c r="A39" s="37">
        <v>42622.411469907405</v>
      </c>
      <c r="B39" s="32" t="s">
        <v>177</v>
      </c>
      <c r="C39" s="32" t="s">
        <v>446</v>
      </c>
      <c r="D39" s="32" t="s">
        <v>49</v>
      </c>
      <c r="E39" s="32" t="s">
        <v>50</v>
      </c>
      <c r="F39" s="48">
        <v>0</v>
      </c>
      <c r="G39" s="48">
        <v>83</v>
      </c>
      <c r="H39" s="48">
        <v>233155</v>
      </c>
      <c r="I39" s="48">
        <v>233263</v>
      </c>
      <c r="J39" s="32" t="s">
        <v>51</v>
      </c>
      <c r="K39" s="48">
        <v>233491</v>
      </c>
      <c r="L39" s="146" t="s">
        <v>52</v>
      </c>
      <c r="M39" s="149">
        <f t="shared" si="7"/>
        <v>120.384</v>
      </c>
      <c r="N39" s="89" t="str">
        <f>VLOOKUP(C39,'Trips&amp;Operators'!$C$1:$E$99999,3,FALSE)</f>
        <v>DAVIS</v>
      </c>
      <c r="O39" s="113" t="s">
        <v>86</v>
      </c>
      <c r="P39" s="10"/>
      <c r="Q39" s="32"/>
      <c r="R39" s="100" t="str">
        <f>VLOOKUP(C39,'Train Runs'!$A$13:$AE$10014,31,0)</f>
        <v>aws s3 cp s3://rtdc.mdm.uploadarchive/RTDC4011/2016-09-09/ "%USERPROFILE%\AppData\Local\Temp\OnboardLogs"\RTDC4011\2016-09-09 --recursive &amp; "%USERPROFILE%\Documents\GitHub\mrs-test-scripts\Headless Mode &amp; Sideloading\WalkAndUnGZ.bat" "%USERPROFILE%\AppData\Local\Temp\OnboardLogs"\RTDC4011\2016-09-09 &amp; aws s3 cp s3://rtdc.mdm.uploadarchive/RTDC4011/2016-09-10/ "%USERPROFILE%\AppData\Local\Temp\OnboardLogs"\RTDC4011\2016-09-10 --recursive &amp; "%USERPROFILE%\Documents\GitHub\mrs-test-scripts\Headless Mode &amp; Sideloading\WalkAndUnGZ.bat" "%USERPROFILE%\AppData\Local\Temp\OnboardLogs"\RTDC4011\2016-09-10</v>
      </c>
      <c r="S39" s="103" t="str">
        <f>VLOOKUP(C39,'Train Runs'!$A$13:$AE$10014,22,0)</f>
        <v>https://search-rtdc-monitor-bjffxe2xuh6vdkpspy63sjmuny.us-east-1.es.amazonaws.com/_plugin/kibana/#/discover/Steve-Slow-Train-Analysis-(2080s-and-2083s)?_g=(refreshInterval:(display:Off,section:0,value:0),time:(from:'2016-09-09 08:11:37-0600',mode:absolute,to:'2016-09-09 10:52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39" s="105" t="str">
        <f t="shared" si="0"/>
        <v>"C:\Program Files (x86)\AstroGrep\AstroGrep.exe" /spath="%USERPROFILE%\AppData\Local\Temp\OnboardLogs" /stypes="*4011*201609091*" /stext=" 15:.+((SYSTEM_STATE.+slice.+state.+changed )|(ment ac)|(system.+state.+changed )|(\|lc)|(penalty)|(\[timeout)|(PRM\|1\|D)|(kpr)|(kdp))" /e /r /s</v>
      </c>
      <c r="U39" s="9" t="str">
        <f t="shared" si="1"/>
        <v>4011</v>
      </c>
      <c r="V39" s="37">
        <f t="shared" si="2"/>
        <v>42622.661469907405</v>
      </c>
      <c r="W39" s="51" t="str">
        <f t="shared" si="3"/>
        <v>EC</v>
      </c>
      <c r="X39" s="51" t="str">
        <f t="shared" si="4"/>
        <v>KEEP</v>
      </c>
      <c r="Y39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{"issue":{"subject":"","project_id":79,"tracker_id":40,"status_id":1,"priority_id":2,"assigned_to_id":23,"start_date":"2016-09-09","description":"","custom_fields":[{"id":1,"name":"Subdivision","value":"EC"},{"id":4,"name":"Milepost","value":"23.3491"},{"id":17,"name":"Train ID","value":"145-09"},{"id":16,"name":"Locomotive ID","value":"4011"},{"id":130,"name":"Impact","value":""},{"id":150,"name":"Time of Event (Mountain Time)","value":"09:52:31"},{"id":151,"name":"Denver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</row>
    <row r="40" spans="1:28" x14ac:dyDescent="0.25">
      <c r="A40" s="37">
        <v>42622.462013888886</v>
      </c>
      <c r="B40" s="32" t="s">
        <v>133</v>
      </c>
      <c r="C40" s="32" t="s">
        <v>462</v>
      </c>
      <c r="D40" s="32" t="s">
        <v>49</v>
      </c>
      <c r="E40" s="32" t="s">
        <v>50</v>
      </c>
      <c r="F40" s="48">
        <v>0</v>
      </c>
      <c r="G40" s="48">
        <v>64</v>
      </c>
      <c r="H40" s="48">
        <v>233259</v>
      </c>
      <c r="I40" s="48">
        <v>233318</v>
      </c>
      <c r="J40" s="32" t="s">
        <v>51</v>
      </c>
      <c r="K40" s="48">
        <v>233491</v>
      </c>
      <c r="L40" s="146" t="s">
        <v>52</v>
      </c>
      <c r="M40" s="149">
        <f t="shared" si="7"/>
        <v>91.343999999999994</v>
      </c>
      <c r="N40" s="89" t="str">
        <f>VLOOKUP(C40,'Trips&amp;Operators'!$C$1:$E$99999,3,FALSE)</f>
        <v>SANTIZO</v>
      </c>
      <c r="O40" s="113" t="s">
        <v>86</v>
      </c>
      <c r="P40" s="10"/>
      <c r="Q40" s="32"/>
      <c r="R40" s="100" t="str">
        <f>VLOOKUP(C40,'Train Runs'!$A$13:$AE$10014,31,0)</f>
        <v>aws s3 cp s3://rtdc.mdm.uploadarchive/RTDC4009/2016-09-09/ "%USERPROFILE%\AppData\Local\Temp\OnboardLogs"\RTDC4009\2016-09-09 --recursive &amp; "%USERPROFILE%\Documents\GitHub\mrs-test-scripts\Headless Mode &amp; Sideloading\WalkAndUnGZ.bat" "%USERPROFILE%\AppData\Local\Temp\OnboardLogs"\RTDC4009\2016-09-09 &amp; aws s3 cp s3://rtdc.mdm.uploadarchive/RTDC4009/2016-09-10/ "%USERPROFILE%\AppData\Local\Temp\OnboardLogs"\RTDC4009\2016-09-10 --recursive &amp; "%USERPROFILE%\Documents\GitHub\mrs-test-scripts\Headless Mode &amp; Sideloading\WalkAndUnGZ.bat" "%USERPROFILE%\AppData\Local\Temp\OnboardLogs"\RTDC4009\2016-09-10</v>
      </c>
      <c r="S40" s="103" t="str">
        <f>VLOOKUP(C40,'Train Runs'!$A$13:$AE$10014,22,0)</f>
        <v>https://search-rtdc-monitor-bjffxe2xuh6vdkpspy63sjmuny.us-east-1.es.amazonaws.com/_plugin/kibana/#/discover/Steve-Slow-Train-Analysis-(2080s-and-2083s)?_g=(refreshInterval:(display:Off,section:0,value:0),time:(from:'2016-09-09 09:26:13-0600',mode:absolute,to:'2016-09-09 12:05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40" s="105" t="str">
        <f t="shared" si="0"/>
        <v>"C:\Program Files (x86)\AstroGrep\AstroGrep.exe" /spath="%USERPROFILE%\AppData\Local\Temp\OnboardLogs" /stypes="*4009*201609091*" /stext=" 17:.+((SYSTEM_STATE.+slice.+state.+changed )|(ment ac)|(system.+state.+changed )|(\|lc)|(penalty)|(\[timeout)|(PRM\|1\|D)|(kpr)|(kdp))" /e /r /s</v>
      </c>
      <c r="U40" s="9" t="str">
        <f t="shared" si="1"/>
        <v>4009</v>
      </c>
      <c r="V40" s="37">
        <f t="shared" si="2"/>
        <v>42622.712013888886</v>
      </c>
      <c r="W40" s="51" t="str">
        <f t="shared" si="3"/>
        <v>EC</v>
      </c>
      <c r="X40" s="51" t="str">
        <f t="shared" si="4"/>
        <v>KEEP</v>
      </c>
      <c r="Y40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{"issue":{"subject":"","project_id":79,"tracker_id":40,"status_id":1,"priority_id":2,"assigned_to_id":23,"start_date":"2016-09-09","description":"","custom_fields":[{"id":1,"name":"Subdivision","value":"EC"},{"id":4,"name":"Milepost","value":"23.3491"},{"id":17,"name":"Train ID","value":"155-09"},{"id":16,"name":"Locomotive ID","value":"4009"},{"id":130,"name":"Impact","value":""},{"id":150,"name":"Time of Event (Mountain Time)","value":"11:05:18"},{"id":151,"name":"Denver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</row>
    <row r="41" spans="1:28" x14ac:dyDescent="0.25">
      <c r="A41" s="37">
        <v>42622.578483796293</v>
      </c>
      <c r="B41" s="32" t="s">
        <v>180</v>
      </c>
      <c r="C41" s="32" t="s">
        <v>496</v>
      </c>
      <c r="D41" s="32" t="s">
        <v>49</v>
      </c>
      <c r="E41" s="32" t="s">
        <v>50</v>
      </c>
      <c r="F41" s="48">
        <v>0</v>
      </c>
      <c r="G41" s="48">
        <v>41</v>
      </c>
      <c r="H41" s="48">
        <v>233351</v>
      </c>
      <c r="I41" s="48">
        <v>233366</v>
      </c>
      <c r="J41" s="32" t="s">
        <v>51</v>
      </c>
      <c r="K41" s="48">
        <v>233491</v>
      </c>
      <c r="L41" s="146" t="s">
        <v>52</v>
      </c>
      <c r="M41" s="149">
        <f t="shared" si="7"/>
        <v>66</v>
      </c>
      <c r="N41" s="89" t="str">
        <f>VLOOKUP(C41,'Trips&amp;Operators'!$C$1:$E$99999,3,FALSE)</f>
        <v>BONDS</v>
      </c>
      <c r="O41" s="113" t="s">
        <v>86</v>
      </c>
      <c r="P41" s="10"/>
      <c r="Q41" s="32"/>
      <c r="R41" s="100" t="str">
        <f>VLOOKUP(C41,'Train Runs'!$A$13:$AE$10014,31,0)</f>
        <v>aws s3 cp s3://rtdc.mdm.uploadarchive/RTDC4025/2016-09-09/ "%USERPROFILE%\AppData\Local\Temp\OnboardLogs"\RTDC4025\2016-09-09 --recursive &amp; "%USERPROFILE%\Documents\GitHub\mrs-test-scripts\Headless Mode &amp; Sideloading\WalkAndUnGZ.bat" "%USERPROFILE%\AppData\Local\Temp\OnboardLogs"\RTDC4025\2016-09-09 &amp; aws s3 cp s3://rtdc.mdm.uploadarchive/RTDC4025/2016-09-10/ "%USERPROFILE%\AppData\Local\Temp\OnboardLogs"\RTDC4025\2016-09-10 --recursive &amp; "%USERPROFILE%\Documents\GitHub\mrs-test-scripts\Headless Mode &amp; Sideloading\WalkAndUnGZ.bat" "%USERPROFILE%\AppData\Local\Temp\OnboardLogs"\RTDC4025\2016-09-10</v>
      </c>
      <c r="S41" s="103" t="str">
        <f>VLOOKUP(C41,'Train Runs'!$A$13:$AE$10014,22,0)</f>
        <v>https://search-rtdc-monitor-bjffxe2xuh6vdkpspy63sjmuny.us-east-1.es.amazonaws.com/_plugin/kibana/#/discover/Steve-Slow-Train-Analysis-(2080s-and-2083s)?_g=(refreshInterval:(display:Off,section:0,value:0),time:(from:'2016-09-09 12:09:14-0600',mode:absolute,to:'2016-09-09 14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1" s="105" t="str">
        <f t="shared" si="0"/>
        <v>"C:\Program Files (x86)\AstroGrep\AstroGrep.exe" /spath="%USERPROFILE%\AppData\Local\Temp\OnboardLogs" /stypes="*4025*201609091*" /stext=" 19:.+((SYSTEM_STATE.+slice.+state.+changed )|(ment ac)|(system.+state.+changed )|(\|lc)|(penalty)|(\[timeout)|(PRM\|1\|D)|(kpr)|(kdp))" /e /r /s</v>
      </c>
      <c r="U41" s="9" t="str">
        <f t="shared" si="1"/>
        <v>4025</v>
      </c>
      <c r="V41" s="37">
        <f t="shared" si="2"/>
        <v>42622.828483796293</v>
      </c>
      <c r="W41" s="51" t="str">
        <f t="shared" si="3"/>
        <v>EC</v>
      </c>
      <c r="X41" s="51" t="str">
        <f t="shared" si="4"/>
        <v>KEEP</v>
      </c>
      <c r="Y41" s="129" t="str">
        <f t="shared" si="5"/>
        <v>echo {"issue":{"subject":"","project_id":79,"tracker_id":40,"status_id":1,"priority_id":2,"assigned_to_id":23,"start_date":"2016-09-09","description":"","custom_fields":[{"id":1,"name":"Subdivision","value":"EC"},{"id":4,"name":"Milepost","value":"23.3491"},{"id":17,"name":"Train ID","value":"177-09"},{"id":16,"name":"Locomotive ID","value":"4025"},{"id":130,"name":"Impact","value":""},{"id":150,"name":"Time of Event (Mountain Time)","value":"13:53:01"},{"id":151,"name":"Denver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</row>
    <row r="42" spans="1:28" x14ac:dyDescent="0.25">
      <c r="A42" s="37">
        <v>42622.914363425924</v>
      </c>
      <c r="B42" s="32" t="s">
        <v>187</v>
      </c>
      <c r="C42" s="32" t="s">
        <v>712</v>
      </c>
      <c r="D42" s="32" t="s">
        <v>49</v>
      </c>
      <c r="E42" s="32" t="s">
        <v>175</v>
      </c>
      <c r="F42" s="48">
        <v>0</v>
      </c>
      <c r="G42" s="48">
        <v>236</v>
      </c>
      <c r="H42" s="48">
        <v>15984</v>
      </c>
      <c r="I42" s="48">
        <v>15665</v>
      </c>
      <c r="J42" s="32" t="s">
        <v>174</v>
      </c>
      <c r="K42" s="48">
        <v>15777</v>
      </c>
      <c r="L42" s="146" t="s">
        <v>53</v>
      </c>
      <c r="M42" s="149">
        <f t="shared" si="7"/>
        <v>-59.136000000000003</v>
      </c>
      <c r="N42" s="89" t="str">
        <f>VLOOKUP(C42,'Trips&amp;Operators'!$C$1:$E$99999,3,FALSE)</f>
        <v>MAHAN</v>
      </c>
      <c r="O42" s="113" t="s">
        <v>86</v>
      </c>
      <c r="P42" s="10" t="s">
        <v>239</v>
      </c>
      <c r="Q42" s="32"/>
      <c r="R42" s="100" t="str">
        <f>VLOOKUP(C42,'Train Runs'!$A$13:$AE$10014,31,0)</f>
        <v>aws s3 cp s3://rtdc.mdm.uploadarchive/RTDC4041/2016-09-09/ "%USERPROFILE%\AppData\Local\Temp\OnboardLogs"\RTDC4041\2016-09-09 --recursive &amp; "%USERPROFILE%\Documents\GitHub\mrs-test-scripts\Headless Mode &amp; Sideloading\WalkAndUnGZ.bat" "%USERPROFILE%\AppData\Local\Temp\OnboardLogs"\RTDC4041\2016-09-09 &amp; aws s3 cp s3://rtdc.mdm.uploadarchive/RTDC4041/2016-09-10/ "%USERPROFILE%\AppData\Local\Temp\OnboardLogs"\RTDC4041\2016-09-10 --recursive &amp; "%USERPROFILE%\Documents\GitHub\mrs-test-scripts\Headless Mode &amp; Sideloading\WalkAndUnGZ.bat" "%USERPROFILE%\AppData\Local\Temp\OnboardLogs"\RTDC4041\2016-09-10</v>
      </c>
      <c r="S42" s="103" t="str">
        <f>VLOOKUP(C42,'Train Runs'!$A$13:$AE$10014,22,0)</f>
        <v>https://search-rtdc-monitor-bjffxe2xuh6vdkpspy63sjmuny.us-east-1.es.amazonaws.com/_plugin/kibana/#/discover/Steve-Slow-Train-Analysis-(2080s-and-2083s)?_g=(refreshInterval:(display:Off,section:0,value:0),time:(from:'2016-09-09 20:45:17-0600',mode:absolute,to:'2016-09-09 23:04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42" s="105" t="str">
        <f t="shared" si="0"/>
        <v>"C:\Program Files (x86)\AstroGrep\AstroGrep.exe" /spath="%USERPROFILE%\AppData\Local\Temp\OnboardLogs" /stypes="*4041*201609100*" /stext=" 03:.+((SYSTEM_STATE.+slice.+state.+changed )|(ment ac)|(system.+state.+changed )|(\|lc)|(penalty)|(\[timeout)|(PRM\|1\|D)|(kpr)|(kdp))" /e /r /s</v>
      </c>
      <c r="U42" s="9" t="str">
        <f t="shared" si="1"/>
        <v>4041</v>
      </c>
      <c r="V42" s="37">
        <f t="shared" si="2"/>
        <v>42623.164363425924</v>
      </c>
      <c r="W42" s="51" t="str">
        <f t="shared" si="3"/>
        <v>NW</v>
      </c>
      <c r="X42" s="51" t="str">
        <f t="shared" si="4"/>
        <v>KEEP</v>
      </c>
      <c r="Y42" s="129" t="str">
        <f t="shared" si="5"/>
        <v>echo {"issue":{"subject":"Early arrival","project_id":79,"tracker_id":40,"status_id":1,"priority_id":2,"assigned_to_id":23,"start_date":"2016-09-09","description":"","custom_fields":[{"id":1,"name":"Subdivision","value":"NW"},{"id":4,"name":"Milepost","value":"1.5777"},{"id":17,"name":"Train ID","value":"844-09"},{"id":16,"name":"Locomotive ID","value":"4041"},{"id":130,"name":"Impact","value":""},{"id":150,"name":"Time of Event (Mountain Time)","value":"21:56:41"},{"id":151,"name":"Denver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</row>
    <row r="43" spans="1:28" x14ac:dyDescent="0.25">
      <c r="A43" s="37">
        <v>42622.723229166666</v>
      </c>
      <c r="B43" s="32" t="s">
        <v>301</v>
      </c>
      <c r="C43" s="32" t="s">
        <v>688</v>
      </c>
      <c r="D43" s="32" t="s">
        <v>106</v>
      </c>
      <c r="E43" s="32" t="s">
        <v>54</v>
      </c>
      <c r="F43" s="48">
        <v>0</v>
      </c>
      <c r="G43" s="48">
        <v>84</v>
      </c>
      <c r="H43" s="48">
        <v>11004</v>
      </c>
      <c r="I43" s="48">
        <v>10861</v>
      </c>
      <c r="J43" s="32" t="s">
        <v>55</v>
      </c>
      <c r="K43" s="48">
        <v>11016</v>
      </c>
      <c r="L43" s="146" t="s">
        <v>53</v>
      </c>
      <c r="M43" s="149">
        <f t="shared" si="7"/>
        <v>-81.84</v>
      </c>
      <c r="N43" s="89" t="str">
        <f>VLOOKUP(C43,'Trips&amp;Operators'!$C$1:$E$99999,3,FALSE)</f>
        <v>CRAYTON</v>
      </c>
      <c r="O43" s="113" t="s">
        <v>179</v>
      </c>
      <c r="P43" s="10" t="s">
        <v>749</v>
      </c>
      <c r="Q43" s="32"/>
      <c r="R43" s="100" t="str">
        <f>VLOOKUP(C43,'Train Runs'!$A$13:$AE$10014,31,0)</f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S43" s="103" t="str">
        <f>VLOOKUP(C43,'Train Runs'!$A$13:$AE$10014,22,0)</f>
        <v>https://search-rtdc-monitor-bjffxe2xuh6vdkpspy63sjmuny.us-east-1.es.amazonaws.com/_plugin/kibana/#/discover/Steve-Slow-Train-Analysis-(2080s-and-2083s)?_g=(refreshInterval:(display:Off,section:0,value:0),time:(from:'2016-09-09 16:07:36-0600',mode:absolute,to:'2016-09-09 18:27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43" s="105" t="str">
        <f t="shared" si="0"/>
        <v>"C:\Program Files (x86)\AstroGrep\AstroGrep.exe" /spath="%USERPROFILE%\AppData\Local\Temp\OnboardLogs" /stypes="*4037*201609092*" /stext=" 23:.+((SYSTEM_STATE.+slice.+state.+changed )|(ment ac)|(system.+state.+changed )|(\|lc)|(penalty)|(\[timeout)|(PRM\|1\|D)|(kpr)|(kdp))" /e /r /s</v>
      </c>
      <c r="U43" s="9" t="str">
        <f t="shared" si="1"/>
        <v>4037</v>
      </c>
      <c r="V43" s="37">
        <f t="shared" si="2"/>
        <v>42622.973229166666</v>
      </c>
      <c r="W43" s="51" t="str">
        <f t="shared" si="3"/>
        <v>NW</v>
      </c>
      <c r="X43" s="51" t="str">
        <f t="shared" si="4"/>
        <v>KEEP</v>
      </c>
      <c r="Y43" s="129" t="str">
        <f t="shared" si="5"/>
        <v>echo {"issue":{"subject":"Poor GPS signal under I-25 bridge","project_id":79,"tracker_id":40,"status_id":1,"priority_id":2,"assigned_to_id":23,"start_date":"2016-09-09","description":"","custom_fields":[{"id":1,"name":"Subdivision","value":"NW"},{"id":4,"name":"Milepost","value":"1.1016"},{"id":17,"name":"Train ID","value":"832-09"},{"id":16,"name":"Locomotive ID","value":"4037"},{"id":130,"name":"Impact","value":""},{"id":150,"name":"Time of Event (Mountain Time)","value":"17:21:27"},{"id":151,"name":"Denver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</row>
    <row r="44" spans="1:28" x14ac:dyDescent="0.25">
      <c r="A44" s="37">
        <v>42622.225949074076</v>
      </c>
      <c r="B44" s="32" t="s">
        <v>301</v>
      </c>
      <c r="C44" s="32" t="s">
        <v>614</v>
      </c>
      <c r="D44" s="32" t="s">
        <v>49</v>
      </c>
      <c r="E44" s="32" t="s">
        <v>50</v>
      </c>
      <c r="F44" s="48">
        <v>0</v>
      </c>
      <c r="G44" s="48">
        <v>70</v>
      </c>
      <c r="H44" s="48">
        <v>818</v>
      </c>
      <c r="I44" s="48">
        <v>757</v>
      </c>
      <c r="J44" s="32" t="s">
        <v>51</v>
      </c>
      <c r="K44" s="48">
        <v>575</v>
      </c>
      <c r="L44" s="146" t="s">
        <v>53</v>
      </c>
      <c r="M44" s="149">
        <f t="shared" si="7"/>
        <v>96.096000000000004</v>
      </c>
      <c r="N44" s="89" t="str">
        <f>VLOOKUP(C44,'Trips&amp;Operators'!$C$1:$E$99999,3,FALSE)</f>
        <v>SANTIZO</v>
      </c>
      <c r="O44" s="113" t="s">
        <v>86</v>
      </c>
      <c r="P44" s="10"/>
      <c r="Q44" s="32"/>
      <c r="R44" s="100" t="str">
        <f>VLOOKUP(C44,'Train Runs'!$A$13:$AE$10014,31,0)</f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S44" s="103" t="str">
        <f>VLOOKUP(C44,'Train Runs'!$A$13:$AE$10014,22,0)</f>
        <v>https://search-rtdc-monitor-bjffxe2xuh6vdkpspy63sjmuny.us-east-1.es.amazonaws.com/_plugin/kibana/#/discover/Steve-Slow-Train-Analysis-(2080s-and-2083s)?_g=(refreshInterval:(display:Off,section:0,value:0),time:(from:'2016-09-09 04:04:54-0600',mode:absolute,to:'2016-09-09 06:25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44" s="105" t="str">
        <f t="shared" si="0"/>
        <v>"C:\Program Files (x86)\AstroGrep\AstroGrep.exe" /spath="%USERPROFILE%\AppData\Local\Temp\OnboardLogs" /stypes="*4037*201609091*" /stext=" 11:.+((SYSTEM_STATE.+slice.+state.+changed )|(ment ac)|(system.+state.+changed )|(\|lc)|(penalty)|(\[timeout)|(PRM\|1\|D)|(kpr)|(kdp))" /e /r /s</v>
      </c>
      <c r="U44" s="9" t="str">
        <f t="shared" si="1"/>
        <v>4037</v>
      </c>
      <c r="V44" s="37">
        <f t="shared" si="2"/>
        <v>42622.475949074076</v>
      </c>
      <c r="W44" s="51" t="str">
        <f t="shared" si="3"/>
        <v>NW</v>
      </c>
      <c r="X44" s="51" t="str">
        <f t="shared" si="4"/>
        <v>KEEP</v>
      </c>
      <c r="Y44" s="129" t="str">
        <f t="shared" si="5"/>
        <v>echo {"issue":{"subject":"","project_id":79,"tracker_id":40,"status_id":1,"priority_id":2,"assigned_to_id":23,"start_date":"2016-09-09","description":"","custom_fields":[{"id":1,"name":"Subdivision","value":"NW"},{"id":4,"name":"Milepost","value":"0.0575"},{"id":17,"name":"Train ID","value":"800-09"},{"id":16,"name":"Locomotive ID","value":"4037"},{"id":130,"name":"Impact","value":""},{"id":150,"name":"Time of Event (Mountain Time)","value":"05:25:22"},{"id":151,"name":"Denver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</row>
    <row r="45" spans="1:28" x14ac:dyDescent="0.25">
      <c r="A45" s="37">
        <v>42622.309270833335</v>
      </c>
      <c r="B45" s="32" t="s">
        <v>301</v>
      </c>
      <c r="C45" s="32" t="s">
        <v>627</v>
      </c>
      <c r="D45" s="32" t="s">
        <v>49</v>
      </c>
      <c r="E45" s="32" t="s">
        <v>50</v>
      </c>
      <c r="F45" s="48">
        <v>0</v>
      </c>
      <c r="G45" s="48">
        <v>44</v>
      </c>
      <c r="H45" s="48">
        <v>720</v>
      </c>
      <c r="I45" s="48">
        <v>691</v>
      </c>
      <c r="J45" s="32" t="s">
        <v>51</v>
      </c>
      <c r="K45" s="48">
        <v>575</v>
      </c>
      <c r="L45" s="146" t="s">
        <v>53</v>
      </c>
      <c r="M45" s="149">
        <f t="shared" si="7"/>
        <v>61.247999999999998</v>
      </c>
      <c r="N45" s="89" t="str">
        <f>VLOOKUP(C45,'Trips&amp;Operators'!$C$1:$E$99999,3,FALSE)</f>
        <v>SANTIZO</v>
      </c>
      <c r="O45" s="113" t="s">
        <v>86</v>
      </c>
      <c r="P45" s="10"/>
      <c r="Q45" s="32"/>
      <c r="R45" s="100" t="str">
        <f>VLOOKUP(C45,'Train Runs'!$A$13:$AE$10014,31,0)</f>
        <v>aws s3 cp s3://rtdc.mdm.uploadarchive/RTDC4037/2016-09-09/ "%USERPROFILE%\AppData\Local\Temp\OnboardLogs"\RTDC4037\2016-09-09 --recursive &amp; "%USERPROFILE%\Documents\GitHub\mrs-test-scripts\Headless Mode &amp; Sideloading\WalkAndUnGZ.bat" "%USERPROFILE%\AppData\Local\Temp\OnboardLogs"\RTDC4037\2016-09-09 &amp; aws s3 cp s3://rtdc.mdm.uploadarchive/RTDC4037/2016-09-10/ "%USERPROFILE%\AppData\Local\Temp\OnboardLogs"\RTDC4037\2016-09-10 --recursive &amp; "%USERPROFILE%\Documents\GitHub\mrs-test-scripts\Headless Mode &amp; Sideloading\WalkAndUnGZ.bat" "%USERPROFILE%\AppData\Local\Temp\OnboardLogs"\RTDC4037\2016-09-10</v>
      </c>
      <c r="S45" s="103" t="str">
        <f>VLOOKUP(C45,'Train Runs'!$A$13:$AE$10014,22,0)</f>
        <v>https://search-rtdc-monitor-bjffxe2xuh6vdkpspy63sjmuny.us-east-1.es.amazonaws.com/_plugin/kibana/#/discover/Steve-Slow-Train-Analysis-(2080s-and-2083s)?_g=(refreshInterval:(display:Off,section:0,value:0),time:(from:'2016-09-09 06:07:22-0600',mode:absolute,to:'2016-09-09 08:25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45" s="105" t="str">
        <f t="shared" si="0"/>
        <v>"C:\Program Files (x86)\AstroGrep\AstroGrep.exe" /spath="%USERPROFILE%\AppData\Local\Temp\OnboardLogs" /stypes="*4037*201609091*" /stext=" 13:.+((SYSTEM_STATE.+slice.+state.+changed )|(ment ac)|(system.+state.+changed )|(\|lc)|(penalty)|(\[timeout)|(PRM\|1\|D)|(kpr)|(kdp))" /e /r /s</v>
      </c>
      <c r="U45" s="9" t="str">
        <f t="shared" si="1"/>
        <v>4037</v>
      </c>
      <c r="V45" s="37">
        <f t="shared" si="2"/>
        <v>42622.559270833335</v>
      </c>
      <c r="W45" s="51" t="str">
        <f t="shared" si="3"/>
        <v>NW</v>
      </c>
      <c r="X45" s="51" t="str">
        <f t="shared" si="4"/>
        <v>KEEP</v>
      </c>
      <c r="Y45" s="129" t="str">
        <f t="shared" si="5"/>
        <v>echo {"issue":{"subject":"","project_id":79,"tracker_id":40,"status_id":1,"priority_id":2,"assigned_to_id":23,"start_date":"2016-09-09","description":"","custom_fields":[{"id":1,"name":"Subdivision","value":"NW"},{"id":4,"name":"Milepost","value":"0.0575"},{"id":17,"name":"Train ID","value":"806-09"},{"id":16,"name":"Locomotive ID","value":"4037"},{"id":130,"name":"Impact","value":""},{"id":150,"name":"Time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</row>
    <row r="46" spans="1:28" x14ac:dyDescent="0.25">
      <c r="A46" s="37">
        <v>42622.336377314816</v>
      </c>
      <c r="B46" s="32" t="s">
        <v>131</v>
      </c>
      <c r="C46" s="32" t="s">
        <v>635</v>
      </c>
      <c r="D46" s="32" t="s">
        <v>49</v>
      </c>
      <c r="E46" s="32" t="s">
        <v>50</v>
      </c>
      <c r="F46" s="48">
        <v>0</v>
      </c>
      <c r="G46" s="48">
        <v>50</v>
      </c>
      <c r="H46" s="48">
        <v>58928</v>
      </c>
      <c r="I46" s="48">
        <v>58952</v>
      </c>
      <c r="J46" s="32" t="s">
        <v>51</v>
      </c>
      <c r="K46" s="48">
        <v>59048</v>
      </c>
      <c r="L46" s="146" t="s">
        <v>52</v>
      </c>
      <c r="M46" s="149">
        <f t="shared" si="7"/>
        <v>50.688000000000002</v>
      </c>
      <c r="N46" s="89" t="str">
        <f>VLOOKUP(C46,'Trips&amp;Operators'!$C$1:$E$99999,3,FALSE)</f>
        <v>SANTIZO</v>
      </c>
      <c r="O46" s="113" t="s">
        <v>86</v>
      </c>
      <c r="P46" s="10"/>
      <c r="Q46" s="32"/>
      <c r="R46" s="100" t="str">
        <f>VLOOKUP(C46,'Train Runs'!$A$13:$AE$10014,31,0)</f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S46" s="103" t="str">
        <f>VLOOKUP(C46,'Train Runs'!$A$13:$AE$10014,22,0)</f>
        <v>https://search-rtdc-monitor-bjffxe2xuh6vdkpspy63sjmuny.us-east-1.es.amazonaws.com/_plugin/kibana/#/discover/Steve-Slow-Train-Analysis-(2080s-and-2083s)?_g=(refreshInterval:(display:Off,section:0,value:0),time:(from:'2016-09-09 06:27:15-0600',mode:absolute,to:'2016-09-09 09:04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6" s="105" t="str">
        <f t="shared" si="0"/>
        <v>"C:\Program Files (x86)\AstroGrep\AstroGrep.exe" /spath="%USERPROFILE%\AppData\Local\Temp\OnboardLogs" /stypes="*4038*201609091*" /stext=" 14:.+((SYSTEM_STATE.+slice.+state.+changed )|(ment ac)|(system.+state.+changed )|(\|lc)|(penalty)|(\[timeout)|(PRM\|1\|D)|(kpr)|(kdp))" /e /r /s</v>
      </c>
      <c r="U46" s="9" t="str">
        <f t="shared" si="1"/>
        <v>4038</v>
      </c>
      <c r="V46" s="37">
        <f t="shared" si="2"/>
        <v>42622.586377314816</v>
      </c>
      <c r="W46" s="51" t="str">
        <f t="shared" si="3"/>
        <v>NW</v>
      </c>
      <c r="X46" s="51" t="str">
        <f t="shared" si="4"/>
        <v>KEEP</v>
      </c>
      <c r="Y46" s="129" t="str">
        <f t="shared" si="5"/>
        <v>echo {"issue":{"subject":"","project_id":79,"tracker_id":40,"status_id":1,"priority_id":2,"assigned_to_id":23,"start_date":"2016-09-09","description":"","custom_fields":[{"id":1,"name":"Subdivision","value":"NW"},{"id":4,"name":"Milepost","value":"5.9048"},{"id":17,"name":"Train ID","value":"809-09"},{"id":16,"name":"Locomotive ID","value":"4038"},{"id":130,"name":"Impact","value":""},{"id":150,"name":"Time of Event (Mountain Time)","value":"08:04:23"},{"id":151,"name":"Denver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</row>
    <row r="47" spans="1:28" x14ac:dyDescent="0.25">
      <c r="A47" s="37">
        <v>42622.357222222221</v>
      </c>
      <c r="B47" s="32" t="s">
        <v>190</v>
      </c>
      <c r="C47" s="32" t="s">
        <v>640</v>
      </c>
      <c r="D47" s="32" t="s">
        <v>49</v>
      </c>
      <c r="E47" s="32" t="s">
        <v>50</v>
      </c>
      <c r="F47" s="48">
        <v>0</v>
      </c>
      <c r="G47" s="48">
        <v>93</v>
      </c>
      <c r="H47" s="48">
        <v>58687</v>
      </c>
      <c r="I47" s="48">
        <v>58760</v>
      </c>
      <c r="J47" s="32" t="s">
        <v>51</v>
      </c>
      <c r="K47" s="48">
        <v>59048</v>
      </c>
      <c r="L47" s="146" t="s">
        <v>52</v>
      </c>
      <c r="M47" s="149">
        <f t="shared" si="7"/>
        <v>152.06399999999999</v>
      </c>
      <c r="N47" s="89" t="str">
        <f>VLOOKUP(C47,'Trips&amp;Operators'!$C$1:$E$99999,3,FALSE)</f>
        <v>HILLS</v>
      </c>
      <c r="O47" s="113" t="s">
        <v>86</v>
      </c>
      <c r="P47" s="10"/>
      <c r="Q47" s="32"/>
      <c r="R47" s="100" t="str">
        <f>VLOOKUP(C47,'Train Runs'!$A$13:$AE$10014,31,0)</f>
        <v>aws s3 cp s3://rtdc.mdm.uploadarchive/RTDC4042/2016-09-09/ "%USERPROFILE%\AppData\Local\Temp\OnboardLogs"\RTDC4042\2016-09-09 --recursive &amp; "%USERPROFILE%\Documents\GitHub\mrs-test-scripts\Headless Mode &amp; Sideloading\WalkAndUnGZ.bat" "%USERPROFILE%\AppData\Local\Temp\OnboardLogs"\RTDC4042\2016-09-09 &amp; aws s3 cp s3://rtdc.mdm.uploadarchive/RTDC4042/2016-09-10/ "%USERPROFILE%\AppData\Local\Temp\OnboardLogs"\RTDC4042\2016-09-10 --recursive &amp; "%USERPROFILE%\Documents\GitHub\mrs-test-scripts\Headless Mode &amp; Sideloading\WalkAndUnGZ.bat" "%USERPROFILE%\AppData\Local\Temp\OnboardLogs"\RTDC4042\2016-09-10</v>
      </c>
      <c r="S47" s="103" t="str">
        <f>VLOOKUP(C47,'Train Runs'!$A$13:$AE$10014,22,0)</f>
        <v>https://search-rtdc-monitor-bjffxe2xuh6vdkpspy63sjmuny.us-east-1.es.amazonaws.com/_plugin/kibana/#/discover/Steve-Slow-Train-Analysis-(2080s-and-2083s)?_g=(refreshInterval:(display:Off,section:0,value:0),time:(from:'2016-09-09 06:57:07-0600',mode:absolute,to:'2016-09-09 09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47" s="105" t="str">
        <f t="shared" si="0"/>
        <v>"C:\Program Files (x86)\AstroGrep\AstroGrep.exe" /spath="%USERPROFILE%\AppData\Local\Temp\OnboardLogs" /stypes="*4042*201609091*" /stext=" 14:.+((SYSTEM_STATE.+slice.+state.+changed )|(ment ac)|(system.+state.+changed )|(\|lc)|(penalty)|(\[timeout)|(PRM\|1\|D)|(kpr)|(kdp))" /e /r /s</v>
      </c>
      <c r="U47" s="9" t="str">
        <f t="shared" si="1"/>
        <v>4042</v>
      </c>
      <c r="V47" s="37">
        <f t="shared" si="2"/>
        <v>42622.607222222221</v>
      </c>
      <c r="W47" s="51" t="str">
        <f t="shared" si="3"/>
        <v>NW</v>
      </c>
      <c r="X47" s="51" t="str">
        <f t="shared" si="4"/>
        <v>KEEP</v>
      </c>
      <c r="Y47" s="129" t="str">
        <f t="shared" si="5"/>
        <v>echo {"issue":{"subject":"","project_id":79,"tracker_id":40,"status_id":1,"priority_id":2,"assigned_to_id":23,"start_date":"2016-09-09","description":"","custom_fields":[{"id":1,"name":"Subdivision","value":"NW"},{"id":4,"name":"Milepost","value":"5.9048"},{"id":17,"name":"Train ID","value":"811-09"},{"id":16,"name":"Locomotive ID","value":"4042"},{"id":130,"name":"Impact","value":""},{"id":150,"name":"Time of Event (Mountain Time)","value":"08:34:24"},{"id":151,"name":"Denver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</row>
    <row r="48" spans="1:28" x14ac:dyDescent="0.25">
      <c r="A48" s="37">
        <v>42622.357210648152</v>
      </c>
      <c r="B48" s="32" t="s">
        <v>131</v>
      </c>
      <c r="C48" s="32" t="s">
        <v>720</v>
      </c>
      <c r="D48" s="32" t="s">
        <v>106</v>
      </c>
      <c r="E48" s="32" t="s">
        <v>56</v>
      </c>
      <c r="F48" s="48">
        <v>200</v>
      </c>
      <c r="G48" s="48">
        <v>260</v>
      </c>
      <c r="H48" s="48">
        <v>5945</v>
      </c>
      <c r="I48" s="48">
        <v>6510</v>
      </c>
      <c r="J48" s="32" t="s">
        <v>57</v>
      </c>
      <c r="K48" s="48">
        <v>4790</v>
      </c>
      <c r="L48" s="146" t="s">
        <v>52</v>
      </c>
      <c r="M48" s="149">
        <f t="shared" si="7"/>
        <v>-908.16</v>
      </c>
      <c r="N48" s="89" t="str">
        <f>VLOOKUP(C48,'Trips&amp;Operators'!$C$1:$E$99999,3,FALSE)</f>
        <v>SANTIZO</v>
      </c>
      <c r="O48" s="113" t="s">
        <v>86</v>
      </c>
      <c r="P48" s="10"/>
      <c r="Q48" s="32"/>
      <c r="R48" s="100" t="str">
        <f>VLOOKUP(C48,'Train Runs'!$A$13:$AE$10014,31,0)</f>
        <v>aws s3 cp s3://rtdc.mdm.uploadarchive/RTDC4038/2016-09-09/ "%USERPROFILE%\AppData\Local\Temp\OnboardLogs"\RTDC4038\2016-09-09 --recursive &amp; "%USERPROFILE%\Documents\GitHub\mrs-test-scripts\Headless Mode &amp; Sideloading\WalkAndUnGZ.bat" "%USERPROFILE%\AppData\Local\Temp\OnboardLogs"\RTDC4038\2016-09-09 &amp; aws s3 cp s3://rtdc.mdm.uploadarchive/RTDC4038/2016-09-10/ "%USERPROFILE%\AppData\Local\Temp\OnboardLogs"\RTDC4038\2016-09-10 --recursive &amp; "%USERPROFILE%\Documents\GitHub\mrs-test-scripts\Headless Mode &amp; Sideloading\WalkAndUnGZ.bat" "%USERPROFILE%\AppData\Local\Temp\OnboardLogs"\RTDC4038\2016-09-10</v>
      </c>
      <c r="S48" s="103" t="str">
        <f>VLOOKUP(C48,'Train Runs'!$A$13:$AE$10014,22,0)</f>
        <v>https://search-rtdc-monitor-bjffxe2xuh6vdkpspy63sjmuny.us-east-1.es.amazonaws.com/_plugin/kibana/#/discover/Steve-Slow-Train-Analysis-(2080s-and-2083s)?_g=(refreshInterval:(display:Off,section:0,value:0),time:(from:'2016-09-09 07:28:00-0600',mode:absolute,to:'2016-09-09 09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8" s="105" t="str">
        <f t="shared" si="0"/>
        <v>"C:\Program Files (x86)\AstroGrep\AstroGrep.exe" /spath="%USERPROFILE%\AppData\Local\Temp\OnboardLogs" /stypes="*4038*201609091*" /stext=" 14:.+((SYSTEM_STATE.+slice.+state.+changed )|(ment ac)|(system.+state.+changed )|(\|lc)|(penalty)|(\[timeout)|(PRM\|1\|D)|(kpr)|(kdp))" /e /r /s</v>
      </c>
      <c r="U48" s="9" t="str">
        <f t="shared" si="1"/>
        <v>4038</v>
      </c>
      <c r="V48" s="37">
        <f t="shared" si="2"/>
        <v>42622.607210648152</v>
      </c>
      <c r="W48" s="51" t="str">
        <f t="shared" si="3"/>
        <v>Other</v>
      </c>
      <c r="X48" s="51" t="str">
        <f t="shared" si="4"/>
        <v>KEEP</v>
      </c>
      <c r="Y48" s="129" t="str">
        <f t="shared" si="5"/>
        <v>echo {"issue":{"subject":"","project_id":79,"tracker_id":40,"status_id":1,"priority_id":2,"assigned_to_id":23,"start_date":"2016-09-09","description":"","custom_fields":[{"id":1,"name":"Subdivision","value":"Other"},{"id":4,"name":"Milepost","value":"0.479"},{"id":17,"name":"Train ID","value":"903-09"},{"id":16,"name":"Locomotive ID","value":"4038"},{"id":130,"name":"Impact","value":""},{"id":150,"name":"Time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</row>
    <row r="49" spans="1:28" x14ac:dyDescent="0.25">
      <c r="A49" s="37"/>
      <c r="B49" s="32"/>
      <c r="C49" s="32"/>
      <c r="D49" s="32"/>
      <c r="E49" s="32"/>
      <c r="F49" s="48"/>
      <c r="G49" s="48"/>
      <c r="H49" s="48"/>
      <c r="I49" s="48"/>
      <c r="J49" s="32"/>
      <c r="K49" s="48"/>
      <c r="L49" s="146"/>
      <c r="M49" s="149"/>
      <c r="N49" s="89"/>
      <c r="O49" s="113"/>
      <c r="P49" s="10"/>
      <c r="Q49" s="32"/>
      <c r="R49" s="100"/>
      <c r="S49" s="103"/>
      <c r="T49" s="105"/>
      <c r="U49" s="9"/>
      <c r="V49" s="37"/>
      <c r="W49" s="51"/>
      <c r="X49" s="51"/>
      <c r="Y49" s="129"/>
      <c r="Z49" s="53"/>
      <c r="AA49" s="53"/>
      <c r="AB49" s="53"/>
    </row>
    <row r="50" spans="1:28" x14ac:dyDescent="0.25">
      <c r="A50" s="37"/>
      <c r="B50" s="32"/>
      <c r="C50" s="32"/>
      <c r="D50" s="32"/>
      <c r="E50" s="32"/>
      <c r="F50" s="48"/>
      <c r="G50" s="48"/>
      <c r="H50" s="48"/>
      <c r="I50" s="48"/>
      <c r="J50" s="32"/>
      <c r="K50" s="48"/>
      <c r="L50" s="146"/>
      <c r="M50" s="149"/>
      <c r="N50" s="89"/>
      <c r="O50" s="113"/>
      <c r="P50" s="10"/>
      <c r="Q50" s="32"/>
      <c r="R50" s="100"/>
      <c r="S50" s="103"/>
      <c r="T50" s="105"/>
      <c r="U50" s="9"/>
      <c r="V50" s="37"/>
      <c r="W50" s="51"/>
      <c r="X50" s="51"/>
      <c r="Y50" s="129"/>
      <c r="Z50" s="53"/>
      <c r="AA50" s="53"/>
      <c r="AB50" s="53"/>
    </row>
    <row r="51" spans="1:28" x14ac:dyDescent="0.25">
      <c r="A51" s="37"/>
      <c r="B51" s="32"/>
      <c r="C51" s="32"/>
      <c r="D51" s="32"/>
      <c r="E51" s="32"/>
      <c r="F51" s="48"/>
      <c r="G51" s="48"/>
      <c r="H51" s="48"/>
      <c r="I51" s="48"/>
      <c r="J51" s="32"/>
      <c r="K51" s="48"/>
      <c r="L51" s="146"/>
      <c r="M51" s="149"/>
      <c r="N51" s="89"/>
      <c r="O51" s="113"/>
      <c r="P51" s="10"/>
      <c r="Q51" s="32"/>
      <c r="R51" s="100"/>
      <c r="S51" s="103"/>
      <c r="T51" s="105"/>
      <c r="U51" s="9"/>
      <c r="V51" s="37"/>
      <c r="W51" s="51"/>
      <c r="X51" s="51"/>
      <c r="Y51" s="129"/>
      <c r="Z51" s="53"/>
      <c r="AA51" s="53"/>
      <c r="AB51" s="53"/>
    </row>
    <row r="52" spans="1:28" x14ac:dyDescent="0.25">
      <c r="A52" s="37"/>
      <c r="B52" s="32"/>
      <c r="C52" s="32"/>
      <c r="D52" s="32"/>
      <c r="E52" s="32"/>
      <c r="F52" s="48"/>
      <c r="G52" s="48"/>
      <c r="H52" s="48"/>
      <c r="I52" s="48"/>
      <c r="J52" s="32"/>
      <c r="K52" s="48"/>
      <c r="L52" s="146"/>
      <c r="M52" s="149"/>
      <c r="N52" s="89"/>
      <c r="O52" s="113"/>
      <c r="P52" s="10"/>
      <c r="Q52" s="32"/>
      <c r="R52" s="100"/>
      <c r="S52" s="103"/>
      <c r="T52" s="105"/>
      <c r="U52" s="9"/>
      <c r="V52" s="37"/>
      <c r="W52" s="51"/>
      <c r="X52" s="51"/>
      <c r="Y52" s="129"/>
      <c r="Z52" s="53"/>
      <c r="AA52" s="53"/>
      <c r="AB52" s="53"/>
    </row>
    <row r="53" spans="1:28" x14ac:dyDescent="0.25">
      <c r="A53" s="37"/>
      <c r="B53" s="32"/>
      <c r="C53" s="32"/>
      <c r="D53" s="32"/>
      <c r="E53" s="32"/>
      <c r="F53" s="48"/>
      <c r="G53" s="48"/>
      <c r="H53" s="48"/>
      <c r="I53" s="48"/>
      <c r="J53" s="32"/>
      <c r="K53" s="48"/>
      <c r="L53" s="146"/>
      <c r="M53" s="149"/>
      <c r="N53" s="89"/>
      <c r="O53" s="113"/>
      <c r="P53" s="10"/>
      <c r="Q53" s="32"/>
      <c r="R53" s="100"/>
      <c r="S53" s="103"/>
      <c r="T53" s="105"/>
      <c r="U53" s="9"/>
      <c r="V53" s="37"/>
      <c r="W53" s="51"/>
      <c r="X53" s="51"/>
      <c r="Y53" s="129"/>
      <c r="Z53" s="53"/>
      <c r="AA53" s="53"/>
      <c r="AB53" s="53"/>
    </row>
    <row r="54" spans="1:28" x14ac:dyDescent="0.25">
      <c r="A54" s="37"/>
      <c r="B54" s="32"/>
      <c r="C54" s="32"/>
      <c r="D54" s="32"/>
      <c r="E54" s="32"/>
      <c r="F54" s="48"/>
      <c r="G54" s="48"/>
      <c r="H54" s="48"/>
      <c r="I54" s="48"/>
      <c r="J54" s="32"/>
      <c r="K54" s="48"/>
      <c r="L54" s="146"/>
      <c r="M54" s="149"/>
      <c r="N54" s="89"/>
      <c r="O54" s="113"/>
      <c r="P54" s="10"/>
      <c r="Q54" s="32"/>
      <c r="R54" s="100"/>
      <c r="S54" s="103"/>
      <c r="T54" s="105"/>
      <c r="U54" s="9"/>
      <c r="V54" s="37"/>
      <c r="W54" s="51"/>
      <c r="X54" s="51"/>
      <c r="Y54" s="129"/>
      <c r="Z54" s="53"/>
      <c r="AA54" s="53"/>
      <c r="AB54" s="53"/>
    </row>
    <row r="55" spans="1:28" x14ac:dyDescent="0.25">
      <c r="A55" s="37"/>
      <c r="B55" s="32"/>
      <c r="C55" s="32"/>
      <c r="D55" s="32"/>
      <c r="E55" s="32"/>
      <c r="F55" s="48"/>
      <c r="G55" s="48"/>
      <c r="H55" s="48"/>
      <c r="I55" s="48"/>
      <c r="J55" s="32"/>
      <c r="K55" s="48"/>
      <c r="L55" s="146"/>
      <c r="M55" s="149"/>
      <c r="N55" s="89"/>
      <c r="O55" s="113"/>
      <c r="P55" s="10"/>
      <c r="Q55" s="32"/>
      <c r="R55" s="100"/>
      <c r="S55" s="103"/>
      <c r="T55" s="105"/>
      <c r="U55" s="9"/>
      <c r="V55" s="37"/>
      <c r="W55" s="51"/>
      <c r="X55" s="51"/>
      <c r="Y55" s="129"/>
      <c r="Z55" s="53"/>
      <c r="AA55" s="53"/>
      <c r="AB55" s="53"/>
    </row>
    <row r="56" spans="1:28" x14ac:dyDescent="0.25">
      <c r="A56" s="37"/>
      <c r="B56" s="32"/>
      <c r="C56" s="32"/>
      <c r="D56" s="32"/>
      <c r="E56" s="32"/>
      <c r="F56" s="48"/>
      <c r="G56" s="48"/>
      <c r="H56" s="48"/>
      <c r="I56" s="48"/>
      <c r="J56" s="32"/>
      <c r="K56" s="48"/>
      <c r="L56" s="146"/>
      <c r="M56" s="149"/>
      <c r="N56" s="89"/>
      <c r="O56" s="113"/>
      <c r="P56" s="10"/>
      <c r="Q56" s="32"/>
      <c r="R56" s="100"/>
      <c r="S56" s="103"/>
      <c r="T56" s="105"/>
      <c r="U56" s="9"/>
      <c r="V56" s="37"/>
      <c r="W56" s="51"/>
      <c r="X56" s="51"/>
      <c r="Y56" s="129"/>
      <c r="Z56" s="53"/>
      <c r="AA56" s="53"/>
      <c r="AB56" s="53"/>
    </row>
    <row r="57" spans="1:28" x14ac:dyDescent="0.25">
      <c r="A57" s="37"/>
      <c r="B57" s="32"/>
      <c r="C57" s="32"/>
      <c r="D57" s="32"/>
      <c r="E57" s="32"/>
      <c r="F57" s="48"/>
      <c r="G57" s="48"/>
      <c r="H57" s="48"/>
      <c r="I57" s="48"/>
      <c r="J57" s="32"/>
      <c r="K57" s="48"/>
      <c r="L57" s="146"/>
      <c r="M57" s="149"/>
      <c r="N57" s="89"/>
      <c r="O57" s="113"/>
      <c r="P57" s="10"/>
      <c r="Q57" s="32"/>
      <c r="R57" s="100"/>
      <c r="S57" s="103"/>
      <c r="T57" s="105"/>
      <c r="U57" s="9"/>
      <c r="V57" s="37"/>
      <c r="W57" s="51"/>
      <c r="X57" s="51"/>
      <c r="Y57" s="129"/>
      <c r="Z57" s="53"/>
      <c r="AA57" s="53"/>
      <c r="AB57" s="53"/>
    </row>
    <row r="58" spans="1:28" x14ac:dyDescent="0.25">
      <c r="A58" s="37"/>
      <c r="B58" s="32"/>
      <c r="C58" s="32"/>
      <c r="D58" s="32"/>
      <c r="E58" s="32"/>
      <c r="F58" s="48"/>
      <c r="G58" s="48"/>
      <c r="H58" s="48"/>
      <c r="I58" s="48"/>
      <c r="J58" s="32"/>
      <c r="K58" s="48"/>
      <c r="L58" s="146"/>
      <c r="M58" s="149"/>
      <c r="N58" s="89"/>
      <c r="O58" s="113"/>
      <c r="P58" s="10"/>
      <c r="Q58" s="32"/>
      <c r="R58" s="100"/>
      <c r="S58" s="103"/>
      <c r="T58" s="105"/>
      <c r="U58" s="9"/>
      <c r="V58" s="37"/>
      <c r="W58" s="51"/>
      <c r="X58" s="51"/>
      <c r="Y58" s="129"/>
      <c r="Z58" s="53"/>
      <c r="AA58" s="53"/>
      <c r="AB58" s="53"/>
    </row>
    <row r="59" spans="1:28" x14ac:dyDescent="0.25">
      <c r="A59" s="37"/>
      <c r="B59" s="32"/>
      <c r="C59" s="32"/>
      <c r="D59" s="32"/>
      <c r="E59" s="32"/>
      <c r="F59" s="48"/>
      <c r="G59" s="48"/>
      <c r="H59" s="48"/>
      <c r="I59" s="48"/>
      <c r="J59" s="32"/>
      <c r="K59" s="48"/>
      <c r="L59" s="146"/>
      <c r="M59" s="149"/>
      <c r="N59" s="89"/>
      <c r="O59" s="113"/>
      <c r="P59" s="10"/>
      <c r="Q59" s="32"/>
      <c r="R59" s="100"/>
      <c r="S59" s="103"/>
      <c r="T59" s="105"/>
      <c r="U59" s="9"/>
      <c r="V59" s="37"/>
      <c r="W59" s="51"/>
      <c r="X59" s="51"/>
      <c r="Y59" s="129"/>
      <c r="Z59" s="53"/>
      <c r="AA59" s="53"/>
      <c r="AB59" s="53"/>
    </row>
    <row r="60" spans="1:28" x14ac:dyDescent="0.25">
      <c r="A60" s="37"/>
      <c r="B60" s="32"/>
      <c r="C60" s="32"/>
      <c r="D60" s="32"/>
      <c r="E60" s="32"/>
      <c r="F60" s="48"/>
      <c r="G60" s="48"/>
      <c r="H60" s="48"/>
      <c r="I60" s="48"/>
      <c r="J60" s="32"/>
      <c r="K60" s="48"/>
      <c r="L60" s="146"/>
      <c r="M60" s="149"/>
      <c r="N60" s="89"/>
      <c r="O60" s="113"/>
      <c r="P60" s="10"/>
      <c r="Q60" s="32"/>
      <c r="R60" s="100"/>
      <c r="S60" s="103"/>
      <c r="T60" s="105"/>
      <c r="U60" s="9"/>
      <c r="V60" s="37"/>
      <c r="W60" s="51"/>
      <c r="X60" s="51"/>
      <c r="Y60" s="129"/>
      <c r="Z60" s="53"/>
      <c r="AA60" s="53"/>
      <c r="AB60" s="53"/>
    </row>
    <row r="61" spans="1:28" x14ac:dyDescent="0.25">
      <c r="A61" s="37"/>
      <c r="B61" s="32"/>
      <c r="C61" s="32"/>
      <c r="D61" s="32"/>
      <c r="E61" s="32"/>
      <c r="F61" s="48"/>
      <c r="G61" s="48"/>
      <c r="H61" s="48"/>
      <c r="I61" s="48"/>
      <c r="J61" s="32"/>
      <c r="K61" s="48"/>
      <c r="L61" s="146"/>
      <c r="M61" s="149"/>
      <c r="N61" s="89"/>
      <c r="O61" s="113"/>
      <c r="P61" s="10"/>
      <c r="Q61" s="32"/>
      <c r="R61" s="100"/>
      <c r="S61" s="103"/>
      <c r="T61" s="105"/>
      <c r="U61" s="9"/>
      <c r="V61" s="37"/>
      <c r="W61" s="51"/>
      <c r="X61" s="51"/>
      <c r="Y61" s="129"/>
      <c r="Z61" s="53"/>
      <c r="AA61" s="53"/>
      <c r="AB61" s="53"/>
    </row>
    <row r="62" spans="1:28" x14ac:dyDescent="0.25">
      <c r="A62" s="37"/>
      <c r="B62" s="32"/>
      <c r="C62" s="32"/>
      <c r="D62" s="32"/>
      <c r="E62" s="32"/>
      <c r="F62" s="48"/>
      <c r="G62" s="48"/>
      <c r="H62" s="48"/>
      <c r="I62" s="48"/>
      <c r="J62" s="32"/>
      <c r="K62" s="48"/>
      <c r="L62" s="146"/>
      <c r="M62" s="149"/>
      <c r="N62" s="89"/>
      <c r="O62" s="113"/>
      <c r="P62" s="10"/>
      <c r="Q62" s="32"/>
      <c r="R62" s="100"/>
      <c r="S62" s="103"/>
      <c r="T62" s="105"/>
      <c r="U62" s="9"/>
      <c r="V62" s="37"/>
      <c r="W62" s="51"/>
      <c r="X62" s="51"/>
      <c r="Y62" s="129"/>
      <c r="Z62" s="53"/>
      <c r="AA62" s="53"/>
      <c r="AB62" s="53"/>
    </row>
    <row r="63" spans="1:28" x14ac:dyDescent="0.25">
      <c r="A63" s="37"/>
      <c r="B63" s="32"/>
      <c r="C63" s="32"/>
      <c r="D63" s="32"/>
      <c r="E63" s="32"/>
      <c r="F63" s="48"/>
      <c r="G63" s="48"/>
      <c r="H63" s="48"/>
      <c r="I63" s="48"/>
      <c r="J63" s="32"/>
      <c r="K63" s="48"/>
      <c r="L63" s="146"/>
      <c r="M63" s="149"/>
      <c r="N63" s="89"/>
      <c r="O63" s="113"/>
      <c r="P63" s="10"/>
      <c r="Q63" s="32"/>
      <c r="R63" s="100"/>
      <c r="S63" s="103"/>
      <c r="T63" s="105"/>
      <c r="U63" s="9"/>
      <c r="V63" s="37"/>
      <c r="W63" s="51"/>
      <c r="X63" s="51"/>
      <c r="Y63" s="129"/>
      <c r="Z63" s="53"/>
      <c r="AA63" s="53"/>
      <c r="AB63" s="53"/>
    </row>
    <row r="64" spans="1:28" x14ac:dyDescent="0.25">
      <c r="A64" s="37"/>
      <c r="B64" s="32"/>
      <c r="C64" s="32"/>
      <c r="D64" s="32"/>
      <c r="E64" s="32"/>
      <c r="F64" s="48"/>
      <c r="G64" s="48"/>
      <c r="H64" s="48"/>
      <c r="I64" s="48"/>
      <c r="J64" s="32"/>
      <c r="K64" s="48"/>
      <c r="L64" s="146"/>
      <c r="M64" s="149"/>
      <c r="N64" s="89"/>
      <c r="O64" s="113"/>
      <c r="P64" s="10"/>
      <c r="Q64" s="32"/>
      <c r="R64" s="100"/>
      <c r="S64" s="103"/>
      <c r="T64" s="105"/>
      <c r="U64" s="9"/>
      <c r="V64" s="37"/>
      <c r="W64" s="51"/>
      <c r="X64" s="51"/>
      <c r="Y64" s="129"/>
      <c r="Z64" s="53"/>
      <c r="AA64" s="53"/>
      <c r="AB64" s="53"/>
    </row>
    <row r="65" spans="1:28" x14ac:dyDescent="0.25">
      <c r="A65" s="37"/>
      <c r="B65" s="32"/>
      <c r="C65" s="32"/>
      <c r="D65" s="32"/>
      <c r="E65" s="32"/>
      <c r="F65" s="48"/>
      <c r="G65" s="48"/>
      <c r="H65" s="48"/>
      <c r="I65" s="48"/>
      <c r="J65" s="32"/>
      <c r="K65" s="48"/>
      <c r="L65" s="146"/>
      <c r="M65" s="149"/>
      <c r="N65" s="89"/>
      <c r="O65" s="113"/>
      <c r="P65" s="10"/>
      <c r="Q65" s="32"/>
      <c r="R65" s="100"/>
      <c r="S65" s="103"/>
      <c r="T65" s="105"/>
      <c r="U65" s="9"/>
      <c r="V65" s="37"/>
      <c r="W65" s="51"/>
      <c r="X65" s="51"/>
      <c r="Y65" s="129"/>
      <c r="Z65" s="53"/>
      <c r="AA65" s="53"/>
      <c r="AB65" s="53"/>
    </row>
    <row r="66" spans="1:28" x14ac:dyDescent="0.25">
      <c r="A66" s="37"/>
      <c r="B66" s="32"/>
      <c r="C66" s="32"/>
      <c r="D66" s="32"/>
      <c r="E66" s="32"/>
      <c r="F66" s="48"/>
      <c r="G66" s="48"/>
      <c r="H66" s="48"/>
      <c r="I66" s="48"/>
      <c r="J66" s="32"/>
      <c r="K66" s="48"/>
      <c r="L66" s="146"/>
      <c r="M66" s="149"/>
      <c r="N66" s="89"/>
      <c r="O66" s="113"/>
      <c r="P66" s="10"/>
      <c r="Q66" s="32"/>
      <c r="R66" s="100"/>
      <c r="S66" s="103"/>
      <c r="T66" s="105"/>
      <c r="U66" s="9"/>
      <c r="V66" s="37"/>
      <c r="W66" s="51"/>
      <c r="X66" s="51"/>
      <c r="Y66" s="129"/>
      <c r="Z66" s="53"/>
      <c r="AA66" s="53"/>
      <c r="AB66" s="53"/>
    </row>
    <row r="67" spans="1:28" x14ac:dyDescent="0.25">
      <c r="A67" s="37"/>
      <c r="B67" s="32"/>
      <c r="C67" s="32"/>
      <c r="D67" s="32"/>
      <c r="E67" s="32"/>
      <c r="F67" s="48"/>
      <c r="G67" s="48"/>
      <c r="H67" s="48"/>
      <c r="I67" s="48"/>
      <c r="J67" s="32"/>
      <c r="K67" s="48"/>
      <c r="L67" s="146"/>
      <c r="M67" s="149"/>
      <c r="N67" s="89"/>
      <c r="O67" s="113"/>
      <c r="P67" s="10"/>
      <c r="Q67" s="32"/>
      <c r="R67" s="100"/>
      <c r="S67" s="103"/>
      <c r="T67" s="105"/>
      <c r="U67" s="9"/>
      <c r="V67" s="37"/>
      <c r="W67" s="51"/>
      <c r="X67" s="51"/>
      <c r="Y67" s="129"/>
      <c r="Z67" s="53"/>
      <c r="AA67" s="53"/>
      <c r="AB67" s="53"/>
    </row>
    <row r="68" spans="1:28" x14ac:dyDescent="0.25">
      <c r="A68" s="37"/>
      <c r="B68" s="32"/>
      <c r="C68" s="32"/>
      <c r="D68" s="32"/>
      <c r="E68" s="32"/>
      <c r="F68" s="48"/>
      <c r="G68" s="48"/>
      <c r="H68" s="48"/>
      <c r="I68" s="48"/>
      <c r="J68" s="32"/>
      <c r="K68" s="48"/>
      <c r="L68" s="146"/>
      <c r="M68" s="149"/>
      <c r="N68" s="89"/>
      <c r="O68" s="113"/>
      <c r="P68" s="10"/>
      <c r="Q68" s="32"/>
      <c r="R68" s="100"/>
      <c r="S68" s="103"/>
      <c r="T68" s="105"/>
      <c r="U68" s="9"/>
      <c r="V68" s="37"/>
      <c r="W68" s="51"/>
      <c r="X68" s="51"/>
      <c r="Y68" s="129"/>
      <c r="Z68" s="53"/>
      <c r="AA68" s="53"/>
      <c r="AB68" s="53"/>
    </row>
    <row r="69" spans="1:28" x14ac:dyDescent="0.25">
      <c r="A69" s="37"/>
      <c r="B69" s="32"/>
      <c r="C69" s="32"/>
      <c r="D69" s="32"/>
      <c r="E69" s="32"/>
      <c r="F69" s="48"/>
      <c r="G69" s="48"/>
      <c r="H69" s="48"/>
      <c r="I69" s="48"/>
      <c r="J69" s="32"/>
      <c r="K69" s="48"/>
      <c r="L69" s="146"/>
      <c r="M69" s="149"/>
      <c r="N69" s="89"/>
      <c r="O69" s="113"/>
      <c r="P69" s="10"/>
      <c r="Q69" s="32"/>
      <c r="R69" s="100"/>
      <c r="S69" s="103"/>
      <c r="T69" s="105"/>
      <c r="U69" s="9"/>
      <c r="V69" s="37"/>
      <c r="W69" s="51"/>
      <c r="X69" s="51"/>
      <c r="Y69" s="129"/>
      <c r="Z69" s="53"/>
      <c r="AA69" s="53"/>
      <c r="AB69" s="53"/>
    </row>
    <row r="70" spans="1:28" x14ac:dyDescent="0.25">
      <c r="A70" s="37"/>
      <c r="B70" s="32"/>
      <c r="C70" s="32"/>
      <c r="D70" s="32"/>
      <c r="E70" s="32"/>
      <c r="F70" s="48"/>
      <c r="G70" s="48"/>
      <c r="H70" s="48"/>
      <c r="I70" s="48"/>
      <c r="J70" s="32"/>
      <c r="K70" s="48"/>
      <c r="L70" s="146"/>
      <c r="M70" s="149"/>
      <c r="N70" s="89"/>
      <c r="O70" s="113"/>
      <c r="P70" s="10"/>
      <c r="Q70" s="32"/>
      <c r="R70" s="100"/>
      <c r="S70" s="103"/>
      <c r="T70" s="105"/>
      <c r="U70" s="9"/>
      <c r="V70" s="37"/>
      <c r="W70" s="51"/>
      <c r="X70" s="51"/>
      <c r="Y70" s="129"/>
      <c r="Z70" s="53"/>
      <c r="AA70" s="53"/>
      <c r="AB70" s="53"/>
    </row>
    <row r="71" spans="1:28" x14ac:dyDescent="0.25">
      <c r="A71" s="37"/>
      <c r="B71" s="32"/>
      <c r="C71" s="32"/>
      <c r="D71" s="32"/>
      <c r="E71" s="32"/>
      <c r="F71" s="48"/>
      <c r="G71" s="48"/>
      <c r="H71" s="48"/>
      <c r="I71" s="48"/>
      <c r="J71" s="32"/>
      <c r="K71" s="48"/>
      <c r="L71" s="146"/>
      <c r="M71" s="149"/>
      <c r="N71" s="89"/>
      <c r="O71" s="113"/>
      <c r="P71" s="10"/>
      <c r="Q71" s="32"/>
      <c r="R71" s="100"/>
      <c r="S71" s="103"/>
      <c r="T71" s="105"/>
      <c r="U71" s="9"/>
      <c r="V71" s="37"/>
      <c r="W71" s="51"/>
      <c r="X71" s="51"/>
      <c r="Y71" s="129"/>
      <c r="Z71" s="53"/>
      <c r="AA71" s="53"/>
      <c r="AB71" s="53"/>
    </row>
    <row r="72" spans="1:28" x14ac:dyDescent="0.25">
      <c r="B72" s="22"/>
      <c r="C72" s="22"/>
      <c r="D72" s="22"/>
      <c r="E72" s="22"/>
      <c r="J72" s="22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4"/>
  <sheetViews>
    <sheetView workbookViewId="0">
      <selection activeCell="I7" sqref="I7"/>
    </sheetView>
  </sheetViews>
  <sheetFormatPr defaultRowHeight="15" x14ac:dyDescent="0.25"/>
  <cols>
    <col min="1" max="1" width="9.140625" style="153"/>
    <col min="2" max="2" width="9.140625" style="2" customWidth="1"/>
    <col min="3" max="3" width="8" style="112" bestFit="1" customWidth="1"/>
    <col min="4" max="4" width="9.85546875" style="108" bestFit="1" customWidth="1"/>
    <col min="5" max="5" width="45.140625" bestFit="1" customWidth="1"/>
    <col min="6" max="6" width="18.140625" customWidth="1"/>
    <col min="7" max="7" width="17" customWidth="1"/>
    <col min="8" max="8" width="14.140625" customWidth="1"/>
    <col min="9" max="10" width="9.140625" customWidth="1"/>
  </cols>
  <sheetData>
    <row r="1" spans="1:11" s="22" customFormat="1" x14ac:dyDescent="0.25">
      <c r="A1" s="153"/>
      <c r="B1" s="157" t="str">
        <f>"Trips that did not appear in PTC Data "&amp;TEXT(Variables!$A$2,"YYYY-mm-dd")</f>
        <v>Trips that did not appear in PTC Data 2016-09-09</v>
      </c>
      <c r="C1" s="157"/>
      <c r="D1" s="157"/>
      <c r="E1" s="157"/>
      <c r="F1" s="157"/>
    </row>
    <row r="2" spans="1:11" s="25" customFormat="1" ht="45" x14ac:dyDescent="0.25">
      <c r="A2" s="155" t="s">
        <v>176</v>
      </c>
      <c r="B2" s="120" t="s">
        <v>64</v>
      </c>
      <c r="C2" s="109" t="s">
        <v>65</v>
      </c>
      <c r="D2" s="110" t="s">
        <v>66</v>
      </c>
      <c r="E2" s="25" t="s">
        <v>62</v>
      </c>
      <c r="F2" s="25" t="s">
        <v>63</v>
      </c>
      <c r="G2" s="25" t="s">
        <v>67</v>
      </c>
      <c r="H2" s="30" t="s">
        <v>68</v>
      </c>
      <c r="I2" s="30" t="s">
        <v>116</v>
      </c>
    </row>
    <row r="3" spans="1:11" x14ac:dyDescent="0.25">
      <c r="A3" s="153">
        <v>243</v>
      </c>
      <c r="B3" s="2" t="str">
        <f>A3&amp;"-"&amp;IF(DAY(Variables!$A$2)&lt;10,0,"")&amp;DAY(Variables!$A$2)</f>
        <v>243-09</v>
      </c>
      <c r="C3" s="111"/>
      <c r="D3" s="111"/>
      <c r="E3" s="32"/>
      <c r="F3" s="23" t="str">
        <f>VLOOKUP(B3,'Trips&amp;Operators'!$C$2:$E$10000,3,FALSE)</f>
        <v>DELGADO</v>
      </c>
      <c r="G3" s="23" t="str">
        <f>VLOOKUP(B3,'Trips&amp;Operators'!$C$1:$F$10000,4,FALSE)</f>
        <v>rtdc.l.rtdc.4025:itc</v>
      </c>
      <c r="H3" s="31">
        <f>VLOOKUP(B3,'Trips&amp;Operators'!$C$1:$H$10000,5,FALSE)</f>
        <v>42623.009953703702</v>
      </c>
      <c r="I3" s="51" t="str">
        <f t="shared" ref="I3:I1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22243-09%22)),sort:!(Time,asc))</v>
      </c>
      <c r="J3" s="22"/>
      <c r="K3" s="22"/>
    </row>
    <row r="4" spans="1:11" x14ac:dyDescent="0.25">
      <c r="A4" s="153">
        <v>244</v>
      </c>
      <c r="B4" s="2" t="str">
        <f>A4&amp;"-"&amp;IF(DAY(Variables!$A$2)&lt;10,0,"")&amp;DAY(Variables!$A$2)</f>
        <v>244-09</v>
      </c>
      <c r="C4" s="111"/>
      <c r="D4" s="111"/>
      <c r="E4" s="32"/>
      <c r="F4" s="23" t="e">
        <f>VLOOKUP(B4,'Trips&amp;Operators'!$C$2:$E$10000,3,FALSE)</f>
        <v>#N/A</v>
      </c>
      <c r="G4" s="23" t="e">
        <f>VLOOKUP(B4,'Trips&amp;Operators'!$C$1:$F$10000,4,FALSE)</f>
        <v>#N/A</v>
      </c>
      <c r="H4" s="31" t="e">
        <f>VLOOKUP(B4,'Trips&amp;Operators'!$C$1:$H$10000,5,FALSE)</f>
        <v>#N/A</v>
      </c>
      <c r="I4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22244-09%22)),sort:!(Time,asc))</v>
      </c>
      <c r="J4" s="22"/>
      <c r="K4" s="22"/>
    </row>
    <row r="5" spans="1:11" x14ac:dyDescent="0.25">
      <c r="A5" s="153">
        <v>245</v>
      </c>
      <c r="B5" s="2" t="str">
        <f>A5&amp;"-"&amp;IF(DAY(Variables!$A$2)&lt;10,0,"")&amp;DAY(Variables!$A$2)</f>
        <v>245-09</v>
      </c>
      <c r="C5" s="111"/>
      <c r="D5" s="111"/>
      <c r="E5" s="32"/>
      <c r="F5" s="23" t="e">
        <f>VLOOKUP(B5,'Trips&amp;Operators'!$C$2:$E$10000,3,FALSE)</f>
        <v>#N/A</v>
      </c>
      <c r="G5" s="23" t="e">
        <f>VLOOKUP(B5,'Trips&amp;Operators'!$C$1:$F$10000,4,FALSE)</f>
        <v>#N/A</v>
      </c>
      <c r="H5" s="31" t="e">
        <f>VLOOKUP(B5,'Trips&amp;Operators'!$C$1:$H$10000,5,FALSE)</f>
        <v>#N/A</v>
      </c>
      <c r="I5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22245-09%22)),sort:!(Time,asc))</v>
      </c>
      <c r="J5" s="22"/>
      <c r="K5" s="22"/>
    </row>
    <row r="6" spans="1:11" x14ac:dyDescent="0.25">
      <c r="A6" s="153">
        <v>246</v>
      </c>
      <c r="B6" s="2" t="str">
        <f>A6&amp;"-"&amp;IF(DAY(Variables!$A$2)&lt;10,0,"")&amp;DAY(Variables!$A$2)</f>
        <v>246-09</v>
      </c>
      <c r="C6" s="111"/>
      <c r="D6" s="111"/>
      <c r="E6" s="32"/>
      <c r="F6" s="23" t="e">
        <f>VLOOKUP(B6,'Trips&amp;Operators'!$C$2:$E$10000,3,FALSE)</f>
        <v>#N/A</v>
      </c>
      <c r="G6" s="23" t="e">
        <f>VLOOKUP(B6,'Trips&amp;Operators'!$C$1:$F$10000,4,FALSE)</f>
        <v>#N/A</v>
      </c>
      <c r="H6" s="31" t="e">
        <f>VLOOKUP(B6,'Trips&amp;Operators'!$C$1:$H$10000,5,FALSE)</f>
        <v>#N/A</v>
      </c>
      <c r="I6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22246-09%22)),sort:!(Time,asc))</v>
      </c>
      <c r="J6" s="22"/>
      <c r="K6" s="22"/>
    </row>
    <row r="7" spans="1:11" x14ac:dyDescent="0.25">
      <c r="A7" s="153">
        <v>240</v>
      </c>
      <c r="B7" s="2" t="str">
        <f>A7&amp;"-"&amp;IF(DAY(Variables!$A$2)&lt;10,0,"")&amp;DAY(Variables!$A$2)</f>
        <v>240-09</v>
      </c>
      <c r="C7" s="111"/>
      <c r="D7" s="111"/>
      <c r="E7" s="32"/>
      <c r="F7" s="23" t="str">
        <f>VLOOKUP(B7,'Trips&amp;Operators'!$C$2:$E$10000,3,FALSE)</f>
        <v>STAMBAUGH</v>
      </c>
      <c r="G7" s="23" t="str">
        <f>VLOOKUP(B7,'Trips&amp;Operators'!$C$1:$F$10000,4,FALSE)</f>
        <v>rtdc.l.rtdc.4019:itc</v>
      </c>
      <c r="H7" s="31">
        <f>VLOOKUP(B7,'Trips&amp;Operators'!$C$1:$H$10000,5,FALSE)</f>
        <v>42623.015023148146</v>
      </c>
      <c r="I7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-09%22)),sort:!(Time,asc))</v>
      </c>
      <c r="J7" s="22"/>
      <c r="K7" s="22"/>
    </row>
    <row r="8" spans="1:11" x14ac:dyDescent="0.25">
      <c r="B8" s="2" t="str">
        <f>A8&amp;"-"&amp;IF(DAY(Variables!$A$2)&lt;10,0,"")&amp;DAY(Variables!$A$2)</f>
        <v>-09</v>
      </c>
      <c r="C8" s="111"/>
      <c r="D8" s="111"/>
      <c r="E8" s="32"/>
      <c r="F8" s="23" t="e">
        <f>VLOOKUP(B8,'Trips&amp;Operators'!$C$2:$E$10000,3,FALSE)</f>
        <v>#N/A</v>
      </c>
      <c r="G8" s="23" t="e">
        <f>VLOOKUP(B8,'Trips&amp;Operators'!$C$1:$F$10000,4,FALSE)</f>
        <v>#N/A</v>
      </c>
      <c r="H8" s="31" t="e">
        <f>VLOOKUP(B8,'Trips&amp;Operators'!$C$1:$H$10000,5,FALSE)</f>
        <v>#N/A</v>
      </c>
      <c r="I8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22"/>
      <c r="K8" s="22"/>
    </row>
    <row r="9" spans="1:11" x14ac:dyDescent="0.25">
      <c r="B9" s="2" t="str">
        <f>A9&amp;"-"&amp;IF(DAY(Variables!$A$2)&lt;10,0,"")&amp;DAY(Variables!$A$2)</f>
        <v>-09</v>
      </c>
      <c r="C9" s="111"/>
      <c r="D9" s="111"/>
      <c r="E9" s="32"/>
      <c r="F9" s="23" t="e">
        <f>VLOOKUP(B9,'Trips&amp;Operators'!$C$2:$E$10000,3,FALSE)</f>
        <v>#N/A</v>
      </c>
      <c r="G9" s="23" t="e">
        <f>VLOOKUP(B9,'Trips&amp;Operators'!$C$1:$F$10000,4,FALSE)</f>
        <v>#N/A</v>
      </c>
      <c r="H9" s="31" t="e">
        <f>VLOOKUP(B9,'Trips&amp;Operators'!$C$1:$H$10000,5,FALSE)</f>
        <v>#N/A</v>
      </c>
      <c r="I9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22"/>
      <c r="K9" s="22"/>
    </row>
    <row r="10" spans="1:11" x14ac:dyDescent="0.25">
      <c r="B10" s="2" t="str">
        <f>A10&amp;"-"&amp;IF(DAY(Variables!$A$2)&lt;10,0,"")&amp;DAY(Variables!$A$2)</f>
        <v>-09</v>
      </c>
      <c r="C10" s="111"/>
      <c r="D10" s="111"/>
      <c r="E10" s="32"/>
      <c r="F10" s="23" t="e">
        <f>VLOOKUP(B10,'Trips&amp;Operators'!$C$2:$E$10000,3,FALSE)</f>
        <v>#N/A</v>
      </c>
      <c r="G10" s="23" t="e">
        <f>VLOOKUP(B10,'Trips&amp;Operators'!$C$1:$F$10000,4,FALSE)</f>
        <v>#N/A</v>
      </c>
      <c r="H10" s="31" t="e">
        <f>VLOOKUP(B10,'Trips&amp;Operators'!$C$1:$H$10000,5,FALSE)</f>
        <v>#N/A</v>
      </c>
      <c r="I10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22"/>
      <c r="K10" s="22"/>
    </row>
    <row r="11" spans="1:11" x14ac:dyDescent="0.25">
      <c r="B11" s="2" t="str">
        <f>A11&amp;"-"&amp;IF(DAY(Variables!$A$2)&lt;10,0,"")&amp;DAY(Variables!$A$2)</f>
        <v>-09</v>
      </c>
      <c r="C11" s="111"/>
      <c r="D11" s="111"/>
      <c r="E11" s="32"/>
      <c r="F11" s="23" t="e">
        <f>VLOOKUP(B11,'Trips&amp;Operators'!$C$2:$E$10000,3,FALSE)</f>
        <v>#N/A</v>
      </c>
      <c r="G11" s="23" t="e">
        <f>VLOOKUP(B11,'Trips&amp;Operators'!$C$1:$F$10000,4,FALSE)</f>
        <v>#N/A</v>
      </c>
      <c r="H11" s="31" t="e">
        <f>VLOOKUP(B11,'Trips&amp;Operators'!$C$1:$H$10000,5,FALSE)</f>
        <v>#N/A</v>
      </c>
      <c r="I11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22"/>
      <c r="K11" s="22"/>
    </row>
    <row r="12" spans="1:11" x14ac:dyDescent="0.25">
      <c r="B12" s="2" t="str">
        <f>A12&amp;"-"&amp;IF(DAY(Variables!$A$2)&lt;10,0,"")&amp;DAY(Variables!$A$2)</f>
        <v>-09</v>
      </c>
      <c r="C12" s="111"/>
      <c r="D12" s="111"/>
      <c r="E12" s="32"/>
      <c r="F12" s="23" t="e">
        <f>VLOOKUP(B12,'Trips&amp;Operators'!$C$2:$E$10000,3,FALSE)</f>
        <v>#N/A</v>
      </c>
      <c r="G12" s="23" t="e">
        <f>VLOOKUP(B12,'Trips&amp;Operators'!$C$1:$F$10000,4,FALSE)</f>
        <v>#N/A</v>
      </c>
      <c r="H12" s="31" t="e">
        <f>VLOOKUP(B12,'Trips&amp;Operators'!$C$1:$H$10000,5,FALSE)</f>
        <v>#N/A</v>
      </c>
      <c r="I12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22"/>
      <c r="K12" s="22"/>
    </row>
    <row r="13" spans="1:11" x14ac:dyDescent="0.25">
      <c r="B13" s="2" t="str">
        <f>A13&amp;"-"&amp;IF(DAY(Variables!$A$2)&lt;10,0,"")&amp;DAY(Variables!$A$2)</f>
        <v>-09</v>
      </c>
      <c r="C13" s="111"/>
      <c r="D13" s="111"/>
      <c r="E13" s="32"/>
      <c r="F13" s="23" t="e">
        <f>VLOOKUP(B13,'Trips&amp;Operators'!$C$2:$E$10000,3,FALSE)</f>
        <v>#N/A</v>
      </c>
      <c r="G13" s="23" t="e">
        <f>VLOOKUP(B13,'Trips&amp;Operators'!$C$1:$F$10000,4,FALSE)</f>
        <v>#N/A</v>
      </c>
      <c r="H13" s="31" t="e">
        <f>VLOOKUP(B13,'Trips&amp;Operators'!$C$1:$H$10000,5,FALSE)</f>
        <v>#N/A</v>
      </c>
      <c r="I13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22"/>
      <c r="K13" s="22"/>
    </row>
    <row r="14" spans="1:11" x14ac:dyDescent="0.25">
      <c r="B14" s="2" t="str">
        <f>A14&amp;"-"&amp;IF(DAY(Variables!$A$2)&lt;10,0,"")&amp;DAY(Variables!$A$2)</f>
        <v>-09</v>
      </c>
      <c r="C14" s="111"/>
      <c r="D14" s="111"/>
      <c r="E14" s="32"/>
      <c r="F14" s="23" t="e">
        <f>VLOOKUP(B14,'Trips&amp;Operators'!$C$2:$E$10000,3,FALSE)</f>
        <v>#N/A</v>
      </c>
      <c r="G14" s="23" t="e">
        <f>VLOOKUP(B14,'Trips&amp;Operators'!$C$1:$F$10000,4,FALSE)</f>
        <v>#N/A</v>
      </c>
      <c r="H14" s="31" t="e">
        <f>VLOOKUP(B14,'Trips&amp;Operators'!$C$1:$H$10000,5,FALSE)</f>
        <v>#N/A</v>
      </c>
      <c r="I14" s="51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" s="22"/>
      <c r="K14" s="22"/>
    </row>
    <row r="15" spans="1:11" x14ac:dyDescent="0.25">
      <c r="C15" s="106"/>
      <c r="D15" s="106"/>
      <c r="I15" s="22"/>
      <c r="J15" s="22"/>
      <c r="K15" s="22"/>
    </row>
    <row r="16" spans="1:11" x14ac:dyDescent="0.25">
      <c r="C16" s="106"/>
      <c r="D16" s="106"/>
      <c r="I16" s="22"/>
      <c r="J16" s="22"/>
      <c r="K16" s="22"/>
    </row>
    <row r="17" spans="3:11" x14ac:dyDescent="0.25">
      <c r="C17" s="106"/>
      <c r="D17" s="106"/>
      <c r="I17" s="22"/>
      <c r="J17" s="22"/>
      <c r="K17" s="22"/>
    </row>
    <row r="18" spans="3:11" x14ac:dyDescent="0.25">
      <c r="C18" s="106"/>
      <c r="D18" s="106"/>
      <c r="I18" s="22"/>
      <c r="J18" s="22"/>
      <c r="K18" s="22"/>
    </row>
    <row r="19" spans="3:11" x14ac:dyDescent="0.25">
      <c r="C19" s="106"/>
      <c r="D19" s="106"/>
      <c r="I19" s="22"/>
      <c r="J19" s="22"/>
      <c r="K19" s="22"/>
    </row>
    <row r="20" spans="3:11" x14ac:dyDescent="0.25">
      <c r="C20" s="106"/>
      <c r="D20" s="106"/>
      <c r="I20" s="22"/>
      <c r="J20" s="22"/>
      <c r="K20" s="22"/>
    </row>
    <row r="21" spans="3:11" x14ac:dyDescent="0.25">
      <c r="C21" s="106"/>
      <c r="D21" s="106"/>
      <c r="I21" s="22"/>
      <c r="J21" s="22"/>
      <c r="K21" s="22"/>
    </row>
    <row r="22" spans="3:11" x14ac:dyDescent="0.25">
      <c r="C22" s="106"/>
      <c r="D22" s="106"/>
      <c r="I22" s="22"/>
      <c r="J22" s="22"/>
      <c r="K22" s="22"/>
    </row>
    <row r="23" spans="3:11" x14ac:dyDescent="0.25">
      <c r="C23" s="106"/>
      <c r="D23" s="106"/>
      <c r="I23" s="22"/>
      <c r="J23" s="22"/>
      <c r="K23" s="22"/>
    </row>
    <row r="24" spans="3:11" x14ac:dyDescent="0.25">
      <c r="C24" s="106"/>
      <c r="D24" s="106"/>
      <c r="I24" s="22"/>
      <c r="J24" s="22"/>
      <c r="K24" s="22"/>
    </row>
    <row r="25" spans="3:11" x14ac:dyDescent="0.25">
      <c r="C25" s="106"/>
      <c r="D25" s="106"/>
      <c r="I25" s="22"/>
      <c r="J25" s="22"/>
      <c r="K25" s="22"/>
    </row>
    <row r="26" spans="3:11" x14ac:dyDescent="0.25">
      <c r="C26" s="106"/>
      <c r="D26" s="106"/>
      <c r="I26" s="22"/>
      <c r="J26" s="22"/>
      <c r="K26" s="22"/>
    </row>
    <row r="27" spans="3:11" x14ac:dyDescent="0.25">
      <c r="C27" s="106"/>
      <c r="D27" s="106"/>
      <c r="I27" s="22"/>
      <c r="J27" s="22"/>
      <c r="K27" s="22"/>
    </row>
    <row r="28" spans="3:11" x14ac:dyDescent="0.25">
      <c r="C28" s="106"/>
      <c r="D28" s="106"/>
      <c r="I28" s="22"/>
      <c r="J28" s="22"/>
      <c r="K28" s="22"/>
    </row>
    <row r="29" spans="3:11" x14ac:dyDescent="0.25">
      <c r="C29" s="106"/>
      <c r="D29" s="106"/>
      <c r="I29" s="22"/>
      <c r="J29" s="22"/>
      <c r="K29" s="22"/>
    </row>
    <row r="30" spans="3:11" x14ac:dyDescent="0.25">
      <c r="C30" s="106"/>
      <c r="D30" s="106"/>
      <c r="I30" s="22"/>
      <c r="J30" s="22"/>
      <c r="K30" s="22"/>
    </row>
    <row r="31" spans="3:11" x14ac:dyDescent="0.25">
      <c r="C31" s="106"/>
      <c r="D31" s="106"/>
      <c r="I31" s="22"/>
      <c r="J31" s="22"/>
      <c r="K31" s="22"/>
    </row>
    <row r="32" spans="3:11" x14ac:dyDescent="0.25">
      <c r="C32" s="106"/>
      <c r="D32" s="106"/>
      <c r="I32" s="22"/>
      <c r="J32" s="22"/>
      <c r="K32" s="22"/>
    </row>
    <row r="33" spans="3:11" x14ac:dyDescent="0.25">
      <c r="C33" s="106"/>
      <c r="D33" s="106"/>
      <c r="I33" s="22"/>
      <c r="J33" s="22"/>
      <c r="K33" s="22"/>
    </row>
    <row r="34" spans="3:11" x14ac:dyDescent="0.25">
      <c r="C34" s="106"/>
      <c r="D34" s="106"/>
      <c r="I34" s="22"/>
      <c r="J34" s="22"/>
      <c r="K34" s="22"/>
    </row>
    <row r="35" spans="3:11" x14ac:dyDescent="0.25">
      <c r="C35" s="106"/>
      <c r="D35" s="106"/>
      <c r="I35" s="22"/>
      <c r="J35" s="22"/>
      <c r="K35" s="22"/>
    </row>
    <row r="36" spans="3:11" x14ac:dyDescent="0.25">
      <c r="C36" s="106"/>
      <c r="D36" s="106"/>
      <c r="I36" s="22"/>
      <c r="J36" s="22"/>
      <c r="K36" s="22"/>
    </row>
    <row r="37" spans="3:11" x14ac:dyDescent="0.25">
      <c r="C37" s="106"/>
      <c r="D37" s="106"/>
      <c r="I37" s="22"/>
      <c r="J37" s="22"/>
      <c r="K37" s="22"/>
    </row>
    <row r="38" spans="3:11" x14ac:dyDescent="0.25">
      <c r="C38" s="106"/>
      <c r="D38" s="106"/>
      <c r="I38" s="22"/>
      <c r="J38" s="22"/>
      <c r="K38" s="22"/>
    </row>
    <row r="39" spans="3:11" x14ac:dyDescent="0.25">
      <c r="C39" s="106"/>
      <c r="D39" s="106"/>
      <c r="I39" s="22"/>
      <c r="J39" s="22"/>
      <c r="K39" s="22"/>
    </row>
    <row r="40" spans="3:11" x14ac:dyDescent="0.25">
      <c r="C40" s="106"/>
      <c r="D40" s="106"/>
      <c r="I40" s="22"/>
      <c r="J40" s="22"/>
      <c r="K40" s="22"/>
    </row>
    <row r="41" spans="3:11" x14ac:dyDescent="0.25">
      <c r="C41" s="106"/>
      <c r="D41" s="106"/>
      <c r="I41" s="22"/>
      <c r="J41" s="22"/>
      <c r="K41" s="22"/>
    </row>
    <row r="42" spans="3:11" x14ac:dyDescent="0.25">
      <c r="C42" s="106"/>
      <c r="D42" s="106"/>
      <c r="I42" s="22"/>
      <c r="J42" s="22"/>
      <c r="K42" s="22"/>
    </row>
    <row r="43" spans="3:11" x14ac:dyDescent="0.25">
      <c r="C43" s="106"/>
      <c r="D43" s="106"/>
      <c r="I43" s="22"/>
      <c r="J43" s="22"/>
      <c r="K43" s="22"/>
    </row>
    <row r="44" spans="3:11" x14ac:dyDescent="0.25">
      <c r="C44" s="106"/>
      <c r="D44" s="106"/>
      <c r="I44" s="22"/>
      <c r="J44" s="22"/>
      <c r="K44" s="22"/>
    </row>
    <row r="45" spans="3:11" x14ac:dyDescent="0.25">
      <c r="C45" s="106"/>
      <c r="D45" s="106"/>
      <c r="I45" s="22"/>
      <c r="J45" s="22"/>
      <c r="K45" s="22"/>
    </row>
    <row r="46" spans="3:11" x14ac:dyDescent="0.25">
      <c r="C46" s="106"/>
      <c r="D46" s="106"/>
      <c r="I46" s="22"/>
      <c r="J46" s="22"/>
      <c r="K46" s="22"/>
    </row>
    <row r="47" spans="3:11" x14ac:dyDescent="0.25">
      <c r="C47" s="106"/>
      <c r="D47" s="106"/>
      <c r="I47" s="22"/>
      <c r="J47" s="22"/>
      <c r="K47" s="22"/>
    </row>
    <row r="48" spans="3:11" x14ac:dyDescent="0.25">
      <c r="C48" s="106"/>
      <c r="D48" s="106"/>
      <c r="I48" s="22"/>
      <c r="J48" s="22"/>
      <c r="K48" s="22"/>
    </row>
    <row r="49" spans="3:11" x14ac:dyDescent="0.25">
      <c r="C49" s="106"/>
      <c r="D49" s="106"/>
      <c r="I49" s="22"/>
      <c r="J49" s="22"/>
      <c r="K49" s="22"/>
    </row>
    <row r="50" spans="3:11" x14ac:dyDescent="0.25">
      <c r="C50" s="106"/>
      <c r="D50" s="106"/>
      <c r="I50" s="22"/>
      <c r="J50" s="22"/>
      <c r="K50" s="22"/>
    </row>
    <row r="51" spans="3:11" x14ac:dyDescent="0.25">
      <c r="C51" s="106"/>
      <c r="D51" s="106"/>
      <c r="I51" s="22"/>
      <c r="J51" s="22"/>
      <c r="K51" s="22"/>
    </row>
    <row r="52" spans="3:11" x14ac:dyDescent="0.25">
      <c r="C52" s="106"/>
      <c r="D52" s="106"/>
      <c r="I52" s="22"/>
      <c r="J52" s="22"/>
      <c r="K52" s="22"/>
    </row>
    <row r="53" spans="3:11" x14ac:dyDescent="0.25">
      <c r="C53" s="106"/>
      <c r="D53" s="106"/>
      <c r="I53" s="22"/>
      <c r="J53" s="22"/>
      <c r="K53" s="22"/>
    </row>
    <row r="54" spans="3:11" x14ac:dyDescent="0.25">
      <c r="I54" s="22"/>
      <c r="J54" s="22"/>
      <c r="K54" s="22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2" bestFit="1" customWidth="1"/>
    <col min="7" max="7" width="18.28515625" style="8" bestFit="1" customWidth="1"/>
  </cols>
  <sheetData>
    <row r="1" spans="1:7" s="22" customFormat="1" x14ac:dyDescent="0.25">
      <c r="A1" s="8">
        <v>42622.033784722225</v>
      </c>
      <c r="B1" s="22" t="s">
        <v>298</v>
      </c>
      <c r="C1" s="22" t="s">
        <v>353</v>
      </c>
      <c r="D1" s="22">
        <v>2370000</v>
      </c>
      <c r="E1" s="22" t="s">
        <v>375</v>
      </c>
      <c r="F1" s="22" t="str">
        <f>B1</f>
        <v>rtdc.l.rtdc.4018:itc</v>
      </c>
      <c r="G1" s="8">
        <f>A1</f>
        <v>42622.033784722225</v>
      </c>
    </row>
    <row r="2" spans="1:7" x14ac:dyDescent="0.25">
      <c r="A2" s="8">
        <v>42622.036238425928</v>
      </c>
      <c r="B2" s="22" t="s">
        <v>377</v>
      </c>
      <c r="C2" s="22" t="s">
        <v>347</v>
      </c>
      <c r="D2" s="22">
        <v>2110000</v>
      </c>
      <c r="E2" s="22" t="s">
        <v>376</v>
      </c>
      <c r="F2" s="22" t="str">
        <f t="shared" ref="F2:F65" si="0">B2</f>
        <v>rtdc.l.rtdc.4028:itc</v>
      </c>
      <c r="G2" s="8">
        <f t="shared" ref="G2:G65" si="1">A2</f>
        <v>42622.036238425928</v>
      </c>
    </row>
    <row r="3" spans="1:7" x14ac:dyDescent="0.25">
      <c r="A3" s="8">
        <v>42622.037129629629</v>
      </c>
      <c r="B3" s="22" t="s">
        <v>377</v>
      </c>
      <c r="C3" s="22" t="s">
        <v>347</v>
      </c>
      <c r="D3" s="22">
        <v>2110000</v>
      </c>
      <c r="E3" s="22" t="s">
        <v>376</v>
      </c>
      <c r="F3" s="22" t="str">
        <f t="shared" si="0"/>
        <v>rtdc.l.rtdc.4028:itc</v>
      </c>
      <c r="G3" s="8">
        <f t="shared" si="1"/>
        <v>42622.037129629629</v>
      </c>
    </row>
    <row r="4" spans="1:7" x14ac:dyDescent="0.25">
      <c r="A4" s="8">
        <v>42622.049895833334</v>
      </c>
      <c r="B4" s="22" t="s">
        <v>297</v>
      </c>
      <c r="C4" s="22" t="s">
        <v>354</v>
      </c>
      <c r="D4" s="22">
        <v>2000000</v>
      </c>
      <c r="E4" s="22" t="s">
        <v>126</v>
      </c>
      <c r="F4" s="22" t="str">
        <f t="shared" si="0"/>
        <v>rtdc.l.rtdc.4016:itc</v>
      </c>
      <c r="G4" s="8">
        <f t="shared" si="1"/>
        <v>42622.049895833334</v>
      </c>
    </row>
    <row r="5" spans="1:7" x14ac:dyDescent="0.25">
      <c r="A5" s="8">
        <v>42622.057581018518</v>
      </c>
      <c r="B5" s="22" t="s">
        <v>89</v>
      </c>
      <c r="C5" s="22" t="s">
        <v>350</v>
      </c>
      <c r="D5" s="22">
        <v>2260000</v>
      </c>
      <c r="E5" s="22" t="s">
        <v>135</v>
      </c>
      <c r="F5" s="22" t="str">
        <f t="shared" si="0"/>
        <v>rtdc.l.rtdc.4030:itc</v>
      </c>
      <c r="G5" s="8">
        <f t="shared" si="1"/>
        <v>42622.057581018518</v>
      </c>
    </row>
    <row r="6" spans="1:7" x14ac:dyDescent="0.25">
      <c r="A6" s="8">
        <v>42622.071087962962</v>
      </c>
      <c r="B6" s="22" t="s">
        <v>109</v>
      </c>
      <c r="C6" s="22" t="s">
        <v>355</v>
      </c>
      <c r="D6" s="22">
        <v>2110000</v>
      </c>
      <c r="E6" s="22" t="s">
        <v>376</v>
      </c>
      <c r="F6" s="22" t="str">
        <f t="shared" si="0"/>
        <v>rtdc.l.rtdc.4031:itc</v>
      </c>
      <c r="G6" s="8">
        <f t="shared" si="1"/>
        <v>42622.071087962962</v>
      </c>
    </row>
    <row r="7" spans="1:7" x14ac:dyDescent="0.25">
      <c r="A7" s="8">
        <v>42622.072187500002</v>
      </c>
      <c r="B7" s="22" t="s">
        <v>109</v>
      </c>
      <c r="C7" s="22" t="s">
        <v>355</v>
      </c>
      <c r="D7" s="22">
        <v>2110000</v>
      </c>
      <c r="E7" s="22" t="s">
        <v>376</v>
      </c>
      <c r="F7" s="22" t="str">
        <f t="shared" si="0"/>
        <v>rtdc.l.rtdc.4031:itc</v>
      </c>
      <c r="G7" s="8">
        <f t="shared" si="1"/>
        <v>42622.072187500002</v>
      </c>
    </row>
    <row r="8" spans="1:7" x14ac:dyDescent="0.25">
      <c r="A8" s="8">
        <v>42622.09233796296</v>
      </c>
      <c r="B8" s="22" t="s">
        <v>107</v>
      </c>
      <c r="C8" s="22" t="s">
        <v>356</v>
      </c>
      <c r="D8" s="22">
        <v>2260000</v>
      </c>
      <c r="E8" s="22" t="s">
        <v>135</v>
      </c>
      <c r="F8" s="22" t="str">
        <f t="shared" si="0"/>
        <v>rtdc.l.rtdc.4014:itc</v>
      </c>
      <c r="G8" s="8">
        <f t="shared" si="1"/>
        <v>42622.09233796296</v>
      </c>
    </row>
    <row r="9" spans="1:7" ht="15.75" thickBot="1" x14ac:dyDescent="0.3">
      <c r="A9" s="26">
        <v>42622.140069444446</v>
      </c>
      <c r="B9" s="22" t="s">
        <v>298</v>
      </c>
      <c r="C9" s="22" t="s">
        <v>381</v>
      </c>
      <c r="D9" s="22">
        <v>2010000</v>
      </c>
      <c r="E9" s="22" t="s">
        <v>196</v>
      </c>
      <c r="F9" s="22" t="str">
        <f t="shared" si="0"/>
        <v>rtdc.l.rtdc.4018:itc</v>
      </c>
      <c r="G9" s="8">
        <f t="shared" si="1"/>
        <v>42622.140069444446</v>
      </c>
    </row>
    <row r="10" spans="1:7" x14ac:dyDescent="0.25">
      <c r="A10" s="8">
        <v>42622.151203703703</v>
      </c>
      <c r="B10" s="22" t="s">
        <v>298</v>
      </c>
      <c r="C10" s="22" t="s">
        <v>381</v>
      </c>
      <c r="D10" s="22">
        <v>2010000</v>
      </c>
      <c r="E10" s="22" t="s">
        <v>196</v>
      </c>
      <c r="F10" s="22" t="str">
        <f t="shared" si="0"/>
        <v>rtdc.l.rtdc.4018:itc</v>
      </c>
      <c r="G10" s="8">
        <f t="shared" si="1"/>
        <v>42622.151203703703</v>
      </c>
    </row>
    <row r="11" spans="1:7" x14ac:dyDescent="0.25">
      <c r="A11" s="8">
        <v>42622.156608796293</v>
      </c>
      <c r="B11" s="22" t="s">
        <v>171</v>
      </c>
      <c r="C11" s="22" t="s">
        <v>386</v>
      </c>
      <c r="D11" s="22">
        <v>1990000</v>
      </c>
      <c r="E11" s="22" t="s">
        <v>730</v>
      </c>
      <c r="F11" s="22" t="str">
        <f t="shared" si="0"/>
        <v>rtdc.l.rtdc.4020:itc</v>
      </c>
      <c r="G11" s="8">
        <f t="shared" si="1"/>
        <v>42622.156608796293</v>
      </c>
    </row>
    <row r="12" spans="1:7" x14ac:dyDescent="0.25">
      <c r="A12" s="8">
        <v>42622.172743055555</v>
      </c>
      <c r="B12" s="22" t="s">
        <v>188</v>
      </c>
      <c r="C12" s="22" t="s">
        <v>384</v>
      </c>
      <c r="D12" s="22">
        <v>2010000</v>
      </c>
      <c r="E12" s="22" t="s">
        <v>196</v>
      </c>
      <c r="F12" s="22" t="str">
        <f t="shared" si="0"/>
        <v>rtdc.l.rtdc.4010:itc</v>
      </c>
      <c r="G12" s="8">
        <f t="shared" si="1"/>
        <v>42622.172743055555</v>
      </c>
    </row>
    <row r="13" spans="1:7" x14ac:dyDescent="0.25">
      <c r="A13" s="8">
        <v>42622.175717592596</v>
      </c>
      <c r="B13" s="22" t="s">
        <v>297</v>
      </c>
      <c r="C13" s="22" t="s">
        <v>391</v>
      </c>
      <c r="D13" s="22">
        <v>1310000</v>
      </c>
      <c r="E13" s="22" t="s">
        <v>366</v>
      </c>
      <c r="F13" s="22" t="str">
        <f t="shared" si="0"/>
        <v>rtdc.l.rtdc.4016:itc</v>
      </c>
      <c r="G13" s="8">
        <f t="shared" si="1"/>
        <v>42622.175717592596</v>
      </c>
    </row>
    <row r="14" spans="1:7" x14ac:dyDescent="0.25">
      <c r="A14" s="8">
        <v>42622.179664351854</v>
      </c>
      <c r="B14" s="22" t="s">
        <v>180</v>
      </c>
      <c r="C14" s="22" t="s">
        <v>395</v>
      </c>
      <c r="D14" s="22">
        <v>2380000</v>
      </c>
      <c r="E14" s="22" t="s">
        <v>731</v>
      </c>
      <c r="F14" s="22" t="str">
        <f t="shared" si="0"/>
        <v>rtdc.l.rtdc.4025:itc</v>
      </c>
      <c r="G14" s="8">
        <f t="shared" si="1"/>
        <v>42622.179664351854</v>
      </c>
    </row>
    <row r="15" spans="1:7" x14ac:dyDescent="0.25">
      <c r="A15" s="8">
        <v>42622.194467592592</v>
      </c>
      <c r="B15" s="22" t="s">
        <v>109</v>
      </c>
      <c r="C15" s="22" t="s">
        <v>398</v>
      </c>
      <c r="D15" s="22">
        <v>2360000</v>
      </c>
      <c r="E15" s="22" t="s">
        <v>368</v>
      </c>
      <c r="F15" s="22" t="str">
        <f t="shared" si="0"/>
        <v>rtdc.l.rtdc.4031:itc</v>
      </c>
      <c r="G15" s="8">
        <f t="shared" si="1"/>
        <v>42622.194467592592</v>
      </c>
    </row>
    <row r="16" spans="1:7" x14ac:dyDescent="0.25">
      <c r="A16" s="8">
        <v>42622.194618055553</v>
      </c>
      <c r="B16" s="22" t="s">
        <v>183</v>
      </c>
      <c r="C16" s="22" t="s">
        <v>389</v>
      </c>
      <c r="D16" s="22">
        <v>1990000</v>
      </c>
      <c r="E16" s="22" t="s">
        <v>730</v>
      </c>
      <c r="F16" s="22" t="str">
        <f t="shared" si="0"/>
        <v>rtdc.l.rtdc.4012:itc</v>
      </c>
      <c r="G16" s="8">
        <f t="shared" si="1"/>
        <v>42622.194618055553</v>
      </c>
    </row>
    <row r="17" spans="1:7" x14ac:dyDescent="0.25">
      <c r="A17" s="8">
        <v>42622.206122685187</v>
      </c>
      <c r="B17" s="22" t="s">
        <v>298</v>
      </c>
      <c r="C17" s="22" t="s">
        <v>401</v>
      </c>
      <c r="D17" s="22">
        <v>1340000</v>
      </c>
      <c r="E17" s="22" t="s">
        <v>197</v>
      </c>
      <c r="F17" s="22" t="str">
        <f t="shared" si="0"/>
        <v>rtdc.l.rtdc.4018:itc</v>
      </c>
      <c r="G17" s="8">
        <f t="shared" si="1"/>
        <v>42622.206122685187</v>
      </c>
    </row>
    <row r="18" spans="1:7" x14ac:dyDescent="0.25">
      <c r="A18" s="8">
        <v>42622.209861111114</v>
      </c>
      <c r="B18" s="22" t="s">
        <v>133</v>
      </c>
      <c r="C18" s="22" t="s">
        <v>404</v>
      </c>
      <c r="D18" s="22">
        <v>2010000</v>
      </c>
      <c r="E18" s="22" t="s">
        <v>196</v>
      </c>
      <c r="F18" s="22" t="str">
        <f t="shared" si="0"/>
        <v>rtdc.l.rtdc.4009:itc</v>
      </c>
      <c r="G18" s="8">
        <f t="shared" si="1"/>
        <v>42622.209861111114</v>
      </c>
    </row>
    <row r="19" spans="1:7" x14ac:dyDescent="0.25">
      <c r="A19" s="8">
        <v>42622.212233796294</v>
      </c>
      <c r="B19" s="22" t="s">
        <v>301</v>
      </c>
      <c r="C19" s="22" t="s">
        <v>614</v>
      </c>
      <c r="D19" s="22">
        <v>1360000</v>
      </c>
      <c r="E19" s="22" t="s">
        <v>189</v>
      </c>
      <c r="F19" s="22" t="str">
        <f t="shared" si="0"/>
        <v>rtdc.l.rtdc.4037:itc</v>
      </c>
      <c r="G19" s="8">
        <f t="shared" si="1"/>
        <v>42622.212233796294</v>
      </c>
    </row>
    <row r="20" spans="1:7" x14ac:dyDescent="0.25">
      <c r="A20" s="8">
        <v>42622.215636574074</v>
      </c>
      <c r="B20" s="22" t="s">
        <v>303</v>
      </c>
      <c r="C20" s="22" t="s">
        <v>393</v>
      </c>
      <c r="D20" s="22">
        <v>1310000</v>
      </c>
      <c r="E20" s="22" t="s">
        <v>366</v>
      </c>
      <c r="F20" s="22" t="str">
        <f t="shared" si="0"/>
        <v>rtdc.l.rtdc.4039:itc</v>
      </c>
      <c r="G20" s="8">
        <f t="shared" si="1"/>
        <v>42622.215636574074</v>
      </c>
    </row>
    <row r="21" spans="1:7" x14ac:dyDescent="0.25">
      <c r="A21" s="8">
        <v>42622.21670138889</v>
      </c>
      <c r="B21" s="22" t="s">
        <v>181</v>
      </c>
      <c r="C21" s="22" t="s">
        <v>396</v>
      </c>
      <c r="D21" s="22">
        <v>2380000</v>
      </c>
      <c r="E21" s="22" t="s">
        <v>731</v>
      </c>
      <c r="F21" s="22" t="str">
        <f t="shared" si="0"/>
        <v>rtdc.l.rtdc.4026:itc</v>
      </c>
      <c r="G21" s="8">
        <f t="shared" si="1"/>
        <v>42622.21670138889</v>
      </c>
    </row>
    <row r="22" spans="1:7" x14ac:dyDescent="0.25">
      <c r="A22" s="28">
        <v>42622.227465277778</v>
      </c>
      <c r="B22" s="22" t="s">
        <v>131</v>
      </c>
      <c r="C22" s="22" t="s">
        <v>616</v>
      </c>
      <c r="D22" s="22">
        <v>1360000</v>
      </c>
      <c r="E22" s="22" t="s">
        <v>189</v>
      </c>
      <c r="F22" s="22" t="str">
        <f t="shared" si="0"/>
        <v>rtdc.l.rtdc.4038:itc</v>
      </c>
      <c r="G22" s="8">
        <f t="shared" si="1"/>
        <v>42622.227465277778</v>
      </c>
    </row>
    <row r="23" spans="1:7" x14ac:dyDescent="0.25">
      <c r="A23" s="8">
        <v>42622.22760416667</v>
      </c>
      <c r="B23" s="22" t="s">
        <v>110</v>
      </c>
      <c r="C23" s="22" t="s">
        <v>400</v>
      </c>
      <c r="D23" s="22">
        <v>2360000</v>
      </c>
      <c r="E23" s="22" t="s">
        <v>368</v>
      </c>
      <c r="F23" s="22" t="str">
        <f t="shared" si="0"/>
        <v>rtdc.l.rtdc.4032:itc</v>
      </c>
      <c r="G23" s="8">
        <f t="shared" si="1"/>
        <v>42622.22760416667</v>
      </c>
    </row>
    <row r="24" spans="1:7" x14ac:dyDescent="0.25">
      <c r="A24" s="8">
        <v>42622.228263888886</v>
      </c>
      <c r="B24" s="22" t="s">
        <v>171</v>
      </c>
      <c r="C24" s="22" t="s">
        <v>406</v>
      </c>
      <c r="D24" s="22">
        <v>2340000</v>
      </c>
      <c r="E24" s="22" t="s">
        <v>367</v>
      </c>
      <c r="F24" s="22" t="str">
        <f t="shared" si="0"/>
        <v>rtdc.l.rtdc.4020:itc</v>
      </c>
      <c r="G24" s="8">
        <f t="shared" si="1"/>
        <v>42622.228263888886</v>
      </c>
    </row>
    <row r="25" spans="1:7" x14ac:dyDescent="0.25">
      <c r="A25" s="8">
        <v>42622.234490740739</v>
      </c>
      <c r="B25" s="22" t="s">
        <v>177</v>
      </c>
      <c r="C25" s="22" t="s">
        <v>410</v>
      </c>
      <c r="D25" s="22">
        <v>1990000</v>
      </c>
      <c r="E25" s="22" t="s">
        <v>730</v>
      </c>
      <c r="F25" s="22" t="str">
        <f t="shared" si="0"/>
        <v>rtdc.l.rtdc.4011:itc</v>
      </c>
      <c r="G25" s="8">
        <f t="shared" si="1"/>
        <v>42622.234490740739</v>
      </c>
    </row>
    <row r="26" spans="1:7" x14ac:dyDescent="0.25">
      <c r="A26" s="8">
        <v>42622.243587962963</v>
      </c>
      <c r="B26" s="22" t="s">
        <v>299</v>
      </c>
      <c r="C26" s="22" t="s">
        <v>403</v>
      </c>
      <c r="D26" s="22">
        <v>1340000</v>
      </c>
      <c r="E26" s="22" t="s">
        <v>197</v>
      </c>
      <c r="F26" s="22" t="str">
        <f t="shared" si="0"/>
        <v>rtdc.l.rtdc.4017:itc</v>
      </c>
      <c r="G26" s="8">
        <f t="shared" si="1"/>
        <v>42622.243587962963</v>
      </c>
    </row>
    <row r="27" spans="1:7" x14ac:dyDescent="0.25">
      <c r="A27" s="8">
        <v>42622.248229166667</v>
      </c>
      <c r="B27" s="22" t="s">
        <v>297</v>
      </c>
      <c r="C27" s="22" t="s">
        <v>412</v>
      </c>
      <c r="D27" s="22">
        <v>1310000</v>
      </c>
      <c r="E27" s="22" t="s">
        <v>366</v>
      </c>
      <c r="F27" s="22" t="str">
        <f t="shared" si="0"/>
        <v>rtdc.l.rtdc.4016:itc</v>
      </c>
      <c r="G27" s="8">
        <f t="shared" si="1"/>
        <v>42622.248229166667</v>
      </c>
    </row>
    <row r="28" spans="1:7" x14ac:dyDescent="0.25">
      <c r="A28" s="8">
        <v>42622.25445601852</v>
      </c>
      <c r="B28" s="22" t="s">
        <v>301</v>
      </c>
      <c r="C28" s="22" t="s">
        <v>618</v>
      </c>
      <c r="D28" s="22">
        <v>1360000</v>
      </c>
      <c r="E28" s="22" t="s">
        <v>189</v>
      </c>
      <c r="F28" s="22" t="str">
        <f t="shared" si="0"/>
        <v>rtdc.l.rtdc.4037:itc</v>
      </c>
      <c r="G28" s="8">
        <f t="shared" si="1"/>
        <v>42622.25445601852</v>
      </c>
    </row>
    <row r="29" spans="1:7" x14ac:dyDescent="0.25">
      <c r="A29" s="8">
        <v>42622.255185185182</v>
      </c>
      <c r="B29" s="22" t="s">
        <v>188</v>
      </c>
      <c r="C29" s="22" t="s">
        <v>405</v>
      </c>
      <c r="D29" s="22">
        <v>2010000</v>
      </c>
      <c r="E29" s="22" t="s">
        <v>196</v>
      </c>
      <c r="F29" s="22" t="str">
        <f t="shared" si="0"/>
        <v>rtdc.l.rtdc.4010:itc</v>
      </c>
      <c r="G29" s="8">
        <f t="shared" si="1"/>
        <v>42622.255185185182</v>
      </c>
    </row>
    <row r="30" spans="1:7" x14ac:dyDescent="0.25">
      <c r="A30" s="8">
        <v>42622.255868055552</v>
      </c>
      <c r="B30" s="22" t="s">
        <v>180</v>
      </c>
      <c r="C30" s="22" t="s">
        <v>414</v>
      </c>
      <c r="D30" s="22">
        <v>2380000</v>
      </c>
      <c r="E30" s="22" t="s">
        <v>731</v>
      </c>
      <c r="F30" s="22" t="str">
        <f t="shared" si="0"/>
        <v>rtdc.l.rtdc.4025:itc</v>
      </c>
      <c r="G30" s="8">
        <f t="shared" si="1"/>
        <v>42622.255868055552</v>
      </c>
    </row>
    <row r="31" spans="1:7" x14ac:dyDescent="0.25">
      <c r="A31" s="8">
        <v>42622.258506944447</v>
      </c>
      <c r="B31" s="22" t="s">
        <v>170</v>
      </c>
      <c r="C31" s="22" t="s">
        <v>408</v>
      </c>
      <c r="D31" s="22">
        <v>2340000</v>
      </c>
      <c r="E31" s="22" t="s">
        <v>367</v>
      </c>
      <c r="F31" s="22" t="str">
        <f t="shared" si="0"/>
        <v>rtdc.l.rtdc.4019:itc</v>
      </c>
      <c r="G31" s="8">
        <f t="shared" si="1"/>
        <v>42622.258506944447</v>
      </c>
    </row>
    <row r="32" spans="1:7" x14ac:dyDescent="0.25">
      <c r="A32" s="8">
        <v>42622.260231481479</v>
      </c>
      <c r="B32" s="22" t="s">
        <v>190</v>
      </c>
      <c r="C32" s="22" t="s">
        <v>621</v>
      </c>
      <c r="D32" s="22">
        <v>2220000</v>
      </c>
      <c r="E32" s="22" t="s">
        <v>732</v>
      </c>
      <c r="F32" s="22" t="str">
        <f t="shared" si="0"/>
        <v>rtdc.l.rtdc.4042:itc</v>
      </c>
      <c r="G32" s="8">
        <f t="shared" si="1"/>
        <v>42622.260231481479</v>
      </c>
    </row>
    <row r="33" spans="1:7" x14ac:dyDescent="0.25">
      <c r="A33" s="8">
        <v>42622.267754629633</v>
      </c>
      <c r="B33" s="22" t="s">
        <v>109</v>
      </c>
      <c r="C33" s="22" t="s">
        <v>417</v>
      </c>
      <c r="D33" s="22">
        <v>2360000</v>
      </c>
      <c r="E33" s="22" t="s">
        <v>368</v>
      </c>
      <c r="F33" s="22" t="str">
        <f t="shared" si="0"/>
        <v>rtdc.l.rtdc.4031:itc</v>
      </c>
      <c r="G33" s="8">
        <f t="shared" si="1"/>
        <v>42622.267754629633</v>
      </c>
    </row>
    <row r="34" spans="1:7" x14ac:dyDescent="0.25">
      <c r="A34" s="8">
        <v>42622.269756944443</v>
      </c>
      <c r="B34" s="22" t="s">
        <v>131</v>
      </c>
      <c r="C34" s="22" t="s">
        <v>625</v>
      </c>
      <c r="D34" s="22">
        <v>1360000</v>
      </c>
      <c r="E34" s="22" t="s">
        <v>189</v>
      </c>
      <c r="F34" s="22" t="str">
        <f t="shared" si="0"/>
        <v>rtdc.l.rtdc.4038:itc</v>
      </c>
      <c r="G34" s="8">
        <f t="shared" si="1"/>
        <v>42622.269756944443</v>
      </c>
    </row>
    <row r="35" spans="1:7" x14ac:dyDescent="0.25">
      <c r="A35" s="8">
        <v>42622.27449074074</v>
      </c>
      <c r="B35" s="22" t="s">
        <v>183</v>
      </c>
      <c r="C35" s="22" t="s">
        <v>411</v>
      </c>
      <c r="D35" s="22">
        <v>1990000</v>
      </c>
      <c r="E35" s="22" t="s">
        <v>730</v>
      </c>
      <c r="F35" s="22" t="str">
        <f t="shared" si="0"/>
        <v>rtdc.l.rtdc.4012:itc</v>
      </c>
      <c r="G35" s="8">
        <f t="shared" si="1"/>
        <v>42622.27449074074</v>
      </c>
    </row>
    <row r="36" spans="1:7" x14ac:dyDescent="0.25">
      <c r="A36" s="8">
        <v>42622.276412037034</v>
      </c>
      <c r="B36" s="22" t="s">
        <v>187</v>
      </c>
      <c r="C36" s="22" t="s">
        <v>623</v>
      </c>
      <c r="D36" s="22">
        <v>2220000</v>
      </c>
      <c r="E36" s="22" t="s">
        <v>732</v>
      </c>
      <c r="F36" s="22" t="str">
        <f t="shared" si="0"/>
        <v>rtdc.l.rtdc.4041:itc</v>
      </c>
      <c r="G36" s="8">
        <f t="shared" si="1"/>
        <v>42622.276412037034</v>
      </c>
    </row>
    <row r="37" spans="1:7" x14ac:dyDescent="0.25">
      <c r="A37" s="8">
        <v>42622.278993055559</v>
      </c>
      <c r="B37" s="22" t="s">
        <v>298</v>
      </c>
      <c r="C37" s="22" t="s">
        <v>419</v>
      </c>
      <c r="D37" s="22">
        <v>1340000</v>
      </c>
      <c r="E37" s="22" t="s">
        <v>197</v>
      </c>
      <c r="F37" s="22" t="str">
        <f t="shared" si="0"/>
        <v>rtdc.l.rtdc.4018:itc</v>
      </c>
      <c r="G37" s="8">
        <f t="shared" si="1"/>
        <v>42622.278993055559</v>
      </c>
    </row>
    <row r="38" spans="1:7" x14ac:dyDescent="0.25">
      <c r="A38" s="8">
        <v>42622.287719907406</v>
      </c>
      <c r="B38" s="22" t="s">
        <v>133</v>
      </c>
      <c r="C38" s="22" t="s">
        <v>421</v>
      </c>
      <c r="D38" s="22">
        <v>2010000</v>
      </c>
      <c r="E38" s="22" t="s">
        <v>196</v>
      </c>
      <c r="F38" s="22" t="str">
        <f t="shared" si="0"/>
        <v>rtdc.l.rtdc.4009:itc</v>
      </c>
      <c r="G38" s="8">
        <f t="shared" si="1"/>
        <v>42622.287719907406</v>
      </c>
    </row>
    <row r="39" spans="1:7" x14ac:dyDescent="0.25">
      <c r="A39" s="8">
        <v>42622.288171296299</v>
      </c>
      <c r="B39" s="22" t="s">
        <v>300</v>
      </c>
      <c r="C39" s="22" t="s">
        <v>413</v>
      </c>
      <c r="D39" s="22">
        <v>1310000</v>
      </c>
      <c r="E39" s="22" t="s">
        <v>366</v>
      </c>
      <c r="F39" s="22" t="str">
        <f t="shared" si="0"/>
        <v>rtdc.l.rtdc.4015:itc</v>
      </c>
      <c r="G39" s="8">
        <f t="shared" si="1"/>
        <v>42622.288171296299</v>
      </c>
    </row>
    <row r="40" spans="1:7" x14ac:dyDescent="0.25">
      <c r="A40" s="8">
        <v>42622.290960648148</v>
      </c>
      <c r="B40" s="27" t="s">
        <v>190</v>
      </c>
      <c r="C40" s="22" t="s">
        <v>630</v>
      </c>
      <c r="D40" s="22">
        <v>2220000</v>
      </c>
      <c r="E40" s="22" t="s">
        <v>732</v>
      </c>
      <c r="F40" s="22" t="str">
        <f t="shared" si="0"/>
        <v>rtdc.l.rtdc.4042:itc</v>
      </c>
      <c r="G40" s="8">
        <f t="shared" si="1"/>
        <v>42622.290960648148</v>
      </c>
    </row>
    <row r="41" spans="1:7" x14ac:dyDescent="0.25">
      <c r="A41" s="8">
        <v>42622.295914351853</v>
      </c>
      <c r="B41" s="22" t="s">
        <v>301</v>
      </c>
      <c r="C41" s="22" t="s">
        <v>627</v>
      </c>
      <c r="D41" s="22">
        <v>1360000</v>
      </c>
      <c r="E41" s="22" t="s">
        <v>189</v>
      </c>
      <c r="F41" s="22" t="str">
        <f t="shared" si="0"/>
        <v>rtdc.l.rtdc.4037:itc</v>
      </c>
      <c r="G41" s="8">
        <f t="shared" si="1"/>
        <v>42622.295914351853</v>
      </c>
    </row>
    <row r="42" spans="1:7" x14ac:dyDescent="0.25">
      <c r="A42" s="8">
        <v>42622.296875</v>
      </c>
      <c r="B42" s="22" t="s">
        <v>181</v>
      </c>
      <c r="C42" s="22" t="s">
        <v>415</v>
      </c>
      <c r="D42" s="22">
        <v>2380000</v>
      </c>
      <c r="E42" s="22" t="s">
        <v>731</v>
      </c>
      <c r="F42" s="22" t="str">
        <f t="shared" si="0"/>
        <v>rtdc.l.rtdc.4026:itc</v>
      </c>
      <c r="G42" s="8">
        <f t="shared" si="1"/>
        <v>42622.296875</v>
      </c>
    </row>
    <row r="43" spans="1:7" x14ac:dyDescent="0.25">
      <c r="A43" s="8">
        <v>42622.297083333331</v>
      </c>
      <c r="B43" s="22" t="s">
        <v>301</v>
      </c>
      <c r="C43" s="22" t="s">
        <v>627</v>
      </c>
      <c r="D43" s="22">
        <v>1360000</v>
      </c>
      <c r="E43" s="22" t="s">
        <v>189</v>
      </c>
      <c r="F43" s="22" t="str">
        <f t="shared" si="0"/>
        <v>rtdc.l.rtdc.4037:itc</v>
      </c>
      <c r="G43" s="8">
        <f t="shared" si="1"/>
        <v>42622.297083333331</v>
      </c>
    </row>
    <row r="44" spans="1:7" x14ac:dyDescent="0.25">
      <c r="A44" s="8">
        <v>42622.300995370373</v>
      </c>
      <c r="B44" s="22" t="s">
        <v>171</v>
      </c>
      <c r="C44" s="22" t="s">
        <v>424</v>
      </c>
      <c r="D44" s="22">
        <v>2340000</v>
      </c>
      <c r="E44" s="22" t="s">
        <v>367</v>
      </c>
      <c r="F44" s="22" t="str">
        <f t="shared" si="0"/>
        <v>rtdc.l.rtdc.4020:itc</v>
      </c>
      <c r="G44" s="8">
        <f t="shared" si="1"/>
        <v>42622.300995370373</v>
      </c>
    </row>
    <row r="45" spans="1:7" x14ac:dyDescent="0.25">
      <c r="A45" s="8">
        <v>42622.303877314815</v>
      </c>
      <c r="B45" s="22" t="s">
        <v>110</v>
      </c>
      <c r="C45" s="22" t="s">
        <v>418</v>
      </c>
      <c r="D45" s="22">
        <v>2360000</v>
      </c>
      <c r="E45" s="22" t="s">
        <v>368</v>
      </c>
      <c r="F45" s="22" t="str">
        <f t="shared" si="0"/>
        <v>rtdc.l.rtdc.4032:itc</v>
      </c>
      <c r="G45" s="8">
        <f t="shared" si="1"/>
        <v>42622.303877314815</v>
      </c>
    </row>
    <row r="46" spans="1:7" x14ac:dyDescent="0.25">
      <c r="A46" s="8">
        <v>42622.310162037036</v>
      </c>
      <c r="B46" s="22" t="s">
        <v>177</v>
      </c>
      <c r="C46" s="22" t="s">
        <v>426</v>
      </c>
      <c r="D46" s="22">
        <v>1990000</v>
      </c>
      <c r="E46" s="22" t="s">
        <v>730</v>
      </c>
      <c r="F46" s="22" t="str">
        <f t="shared" si="0"/>
        <v>rtdc.l.rtdc.4011:itc</v>
      </c>
      <c r="G46" s="8">
        <f t="shared" si="1"/>
        <v>42622.310162037036</v>
      </c>
    </row>
    <row r="47" spans="1:7" x14ac:dyDescent="0.25">
      <c r="A47" s="8">
        <v>42622.310891203706</v>
      </c>
      <c r="B47" s="22" t="s">
        <v>131</v>
      </c>
      <c r="C47" s="22" t="s">
        <v>635</v>
      </c>
      <c r="D47" s="22">
        <v>1360000</v>
      </c>
      <c r="E47" s="22" t="s">
        <v>189</v>
      </c>
      <c r="F47" s="22" t="str">
        <f t="shared" si="0"/>
        <v>rtdc.l.rtdc.4038:itc</v>
      </c>
      <c r="G47" s="8">
        <f t="shared" si="1"/>
        <v>42622.310891203706</v>
      </c>
    </row>
    <row r="48" spans="1:7" x14ac:dyDescent="0.25">
      <c r="A48" s="8">
        <v>42622.316203703704</v>
      </c>
      <c r="B48" s="22" t="s">
        <v>299</v>
      </c>
      <c r="C48" s="22" t="s">
        <v>420</v>
      </c>
      <c r="D48" s="22">
        <v>1340000</v>
      </c>
      <c r="E48" s="22" t="s">
        <v>197</v>
      </c>
      <c r="F48" s="22" t="str">
        <f t="shared" si="0"/>
        <v>rtdc.l.rtdc.4017:itc</v>
      </c>
      <c r="G48" s="8">
        <f t="shared" si="1"/>
        <v>42622.316203703704</v>
      </c>
    </row>
    <row r="49" spans="1:7" x14ac:dyDescent="0.25">
      <c r="A49" s="8">
        <v>42622.317604166667</v>
      </c>
      <c r="B49" s="22" t="s">
        <v>187</v>
      </c>
      <c r="C49" s="22" t="s">
        <v>633</v>
      </c>
      <c r="D49" s="22">
        <v>2220000</v>
      </c>
      <c r="E49" s="22" t="s">
        <v>732</v>
      </c>
      <c r="F49" s="22" t="str">
        <f t="shared" si="0"/>
        <v>rtdc.l.rtdc.4041:itc</v>
      </c>
      <c r="G49" s="8">
        <f t="shared" si="1"/>
        <v>42622.317604166667</v>
      </c>
    </row>
    <row r="50" spans="1:7" x14ac:dyDescent="0.25">
      <c r="A50" s="8">
        <v>42622.322326388887</v>
      </c>
      <c r="B50" s="22" t="s">
        <v>297</v>
      </c>
      <c r="C50" s="22" t="s">
        <v>428</v>
      </c>
      <c r="D50" s="22">
        <v>1310000</v>
      </c>
      <c r="E50" s="22" t="s">
        <v>366</v>
      </c>
      <c r="F50" s="22" t="str">
        <f t="shared" si="0"/>
        <v>rtdc.l.rtdc.4016:itc</v>
      </c>
      <c r="G50" s="8">
        <f t="shared" si="1"/>
        <v>42622.322326388887</v>
      </c>
    </row>
    <row r="51" spans="1:7" x14ac:dyDescent="0.25">
      <c r="A51" s="8">
        <v>42622.322939814818</v>
      </c>
      <c r="B51" s="22" t="s">
        <v>188</v>
      </c>
      <c r="C51" s="22" t="s">
        <v>422</v>
      </c>
      <c r="D51" s="22">
        <v>2010000</v>
      </c>
      <c r="E51" s="22" t="s">
        <v>196</v>
      </c>
      <c r="F51" s="22" t="str">
        <f t="shared" si="0"/>
        <v>rtdc.l.rtdc.4010:itc</v>
      </c>
      <c r="G51" s="8">
        <f t="shared" si="1"/>
        <v>42622.322939814818</v>
      </c>
    </row>
    <row r="52" spans="1:7" x14ac:dyDescent="0.25">
      <c r="A52" s="8">
        <v>42622.328958333332</v>
      </c>
      <c r="B52" s="22" t="s">
        <v>180</v>
      </c>
      <c r="C52" s="22" t="s">
        <v>433</v>
      </c>
      <c r="D52" s="22">
        <v>2380000</v>
      </c>
      <c r="E52" s="22" t="s">
        <v>731</v>
      </c>
      <c r="F52" s="22" t="str">
        <f t="shared" si="0"/>
        <v>rtdc.l.rtdc.4025:itc</v>
      </c>
      <c r="G52" s="8">
        <f t="shared" si="1"/>
        <v>42622.328958333332</v>
      </c>
    </row>
    <row r="53" spans="1:7" x14ac:dyDescent="0.25">
      <c r="A53" s="8">
        <v>42622.332430555558</v>
      </c>
      <c r="B53" s="22" t="s">
        <v>170</v>
      </c>
      <c r="C53" s="22" t="s">
        <v>425</v>
      </c>
      <c r="D53" s="22">
        <v>2340000</v>
      </c>
      <c r="E53" s="22" t="s">
        <v>367</v>
      </c>
      <c r="F53" s="22" t="str">
        <f t="shared" si="0"/>
        <v>rtdc.l.rtdc.4019:itc</v>
      </c>
      <c r="G53" s="8">
        <f t="shared" si="1"/>
        <v>42622.332430555558</v>
      </c>
    </row>
    <row r="54" spans="1:7" x14ac:dyDescent="0.25">
      <c r="A54" s="8">
        <v>42622.332442129627</v>
      </c>
      <c r="B54" s="22" t="s">
        <v>190</v>
      </c>
      <c r="C54" s="22" t="s">
        <v>640</v>
      </c>
      <c r="D54" s="22">
        <v>2220000</v>
      </c>
      <c r="E54" s="22" t="s">
        <v>732</v>
      </c>
      <c r="F54" s="22" t="str">
        <f t="shared" si="0"/>
        <v>rtdc.l.rtdc.4042:itc</v>
      </c>
      <c r="G54" s="8">
        <f t="shared" si="1"/>
        <v>42622.332442129627</v>
      </c>
    </row>
    <row r="55" spans="1:7" x14ac:dyDescent="0.25">
      <c r="A55" s="8">
        <v>42622.332673611112</v>
      </c>
      <c r="B55" s="22" t="s">
        <v>297</v>
      </c>
      <c r="C55" s="22" t="s">
        <v>428</v>
      </c>
      <c r="D55" s="22">
        <v>1310000</v>
      </c>
      <c r="E55" s="22" t="s">
        <v>366</v>
      </c>
      <c r="F55" s="22" t="str">
        <f t="shared" si="0"/>
        <v>rtdc.l.rtdc.4016:itc</v>
      </c>
      <c r="G55" s="8">
        <f t="shared" si="1"/>
        <v>42622.332673611112</v>
      </c>
    </row>
    <row r="56" spans="1:7" x14ac:dyDescent="0.25">
      <c r="A56" s="8">
        <v>42622.337650462963</v>
      </c>
      <c r="B56" s="22" t="s">
        <v>301</v>
      </c>
      <c r="C56" s="22" t="s">
        <v>637</v>
      </c>
      <c r="D56" s="22">
        <v>1360000</v>
      </c>
      <c r="E56" s="22" t="s">
        <v>189</v>
      </c>
      <c r="F56" s="22" t="str">
        <f t="shared" si="0"/>
        <v>rtdc.l.rtdc.4037:itc</v>
      </c>
      <c r="G56" s="8">
        <f t="shared" si="1"/>
        <v>42622.337650462963</v>
      </c>
    </row>
    <row r="57" spans="1:7" x14ac:dyDescent="0.25">
      <c r="A57" s="8">
        <v>42622.340578703705</v>
      </c>
      <c r="B57" s="22" t="s">
        <v>109</v>
      </c>
      <c r="C57" s="22" t="s">
        <v>436</v>
      </c>
      <c r="D57" s="22">
        <v>2360000</v>
      </c>
      <c r="E57" s="22" t="s">
        <v>368</v>
      </c>
      <c r="F57" s="22" t="str">
        <f t="shared" si="0"/>
        <v>rtdc.l.rtdc.4031:itc</v>
      </c>
      <c r="G57" s="8">
        <f t="shared" si="1"/>
        <v>42622.340578703705</v>
      </c>
    </row>
    <row r="58" spans="1:7" x14ac:dyDescent="0.25">
      <c r="A58" s="8">
        <v>42622.348807870374</v>
      </c>
      <c r="B58" s="22" t="s">
        <v>183</v>
      </c>
      <c r="C58" s="22" t="s">
        <v>427</v>
      </c>
      <c r="D58" s="22">
        <v>1990000</v>
      </c>
      <c r="E58" s="22" t="s">
        <v>730</v>
      </c>
      <c r="F58" s="22" t="str">
        <f t="shared" si="0"/>
        <v>rtdc.l.rtdc.4012:itc</v>
      </c>
      <c r="G58" s="8">
        <f t="shared" si="1"/>
        <v>42622.348807870374</v>
      </c>
    </row>
    <row r="59" spans="1:7" x14ac:dyDescent="0.25">
      <c r="A59" s="8">
        <v>42622.351261574076</v>
      </c>
      <c r="B59" s="22" t="s">
        <v>298</v>
      </c>
      <c r="C59" s="22" t="s">
        <v>438</v>
      </c>
      <c r="D59" s="22">
        <v>1340000</v>
      </c>
      <c r="E59" s="22" t="s">
        <v>197</v>
      </c>
      <c r="F59" s="22" t="str">
        <f t="shared" si="0"/>
        <v>rtdc.l.rtdc.4018:itc</v>
      </c>
      <c r="G59" s="8">
        <f t="shared" si="1"/>
        <v>42622.351261574076</v>
      </c>
    </row>
    <row r="60" spans="1:7" x14ac:dyDescent="0.25">
      <c r="A60" s="8">
        <v>42622.353263888886</v>
      </c>
      <c r="B60" s="22" t="s">
        <v>131</v>
      </c>
      <c r="C60" s="22" t="s">
        <v>720</v>
      </c>
      <c r="D60" s="22">
        <v>1360000</v>
      </c>
      <c r="E60" s="22" t="s">
        <v>189</v>
      </c>
      <c r="F60" s="22" t="str">
        <f t="shared" si="0"/>
        <v>rtdc.l.rtdc.4038:itc</v>
      </c>
      <c r="G60" s="8">
        <f t="shared" si="1"/>
        <v>42622.353263888886</v>
      </c>
    </row>
    <row r="61" spans="1:7" x14ac:dyDescent="0.25">
      <c r="A61" s="8">
        <v>42622.359375</v>
      </c>
      <c r="B61" s="22" t="s">
        <v>187</v>
      </c>
      <c r="C61" s="22" t="s">
        <v>643</v>
      </c>
      <c r="D61" s="22">
        <v>2220000</v>
      </c>
      <c r="E61" s="22" t="s">
        <v>732</v>
      </c>
      <c r="F61" s="22" t="str">
        <f t="shared" si="0"/>
        <v>rtdc.l.rtdc.4041:itc</v>
      </c>
      <c r="G61" s="8">
        <f t="shared" si="1"/>
        <v>42622.359375</v>
      </c>
    </row>
    <row r="62" spans="1:7" x14ac:dyDescent="0.25">
      <c r="A62" s="8">
        <v>42622.360625000001</v>
      </c>
      <c r="B62" s="22" t="s">
        <v>300</v>
      </c>
      <c r="C62" s="22" t="s">
        <v>431</v>
      </c>
      <c r="D62" s="22">
        <v>1310000</v>
      </c>
      <c r="E62" s="22" t="s">
        <v>366</v>
      </c>
      <c r="F62" s="22" t="str">
        <f t="shared" si="0"/>
        <v>rtdc.l.rtdc.4015:itc</v>
      </c>
      <c r="G62" s="8">
        <f t="shared" si="1"/>
        <v>42622.360625000001</v>
      </c>
    </row>
    <row r="63" spans="1:7" x14ac:dyDescent="0.25">
      <c r="A63" s="8">
        <v>42622.363518518519</v>
      </c>
      <c r="B63" s="22" t="s">
        <v>133</v>
      </c>
      <c r="C63" s="22" t="s">
        <v>440</v>
      </c>
      <c r="D63" s="22">
        <v>2010000</v>
      </c>
      <c r="E63" s="22" t="s">
        <v>196</v>
      </c>
      <c r="F63" s="22" t="str">
        <f t="shared" si="0"/>
        <v>rtdc.l.rtdc.4009:itc</v>
      </c>
      <c r="G63" s="8">
        <f t="shared" si="1"/>
        <v>42622.363518518519</v>
      </c>
    </row>
    <row r="64" spans="1:7" x14ac:dyDescent="0.25">
      <c r="A64" s="28">
        <v>42622.368773148148</v>
      </c>
      <c r="B64" s="22" t="s">
        <v>181</v>
      </c>
      <c r="C64" s="22" t="s">
        <v>435</v>
      </c>
      <c r="D64" s="22">
        <v>2380000</v>
      </c>
      <c r="E64" s="22" t="s">
        <v>731</v>
      </c>
      <c r="F64" s="22" t="str">
        <f t="shared" si="0"/>
        <v>rtdc.l.rtdc.4026:itc</v>
      </c>
      <c r="G64" s="8">
        <f t="shared" si="1"/>
        <v>42622.368773148148</v>
      </c>
    </row>
    <row r="65" spans="1:7" x14ac:dyDescent="0.25">
      <c r="A65" s="8">
        <v>42622.368854166663</v>
      </c>
      <c r="B65" s="22" t="s">
        <v>133</v>
      </c>
      <c r="C65" s="22" t="s">
        <v>440</v>
      </c>
      <c r="D65" s="22">
        <v>2010000</v>
      </c>
      <c r="E65" s="22" t="s">
        <v>196</v>
      </c>
      <c r="F65" s="22" t="str">
        <f t="shared" si="0"/>
        <v>rtdc.l.rtdc.4009:itc</v>
      </c>
      <c r="G65" s="8">
        <f t="shared" si="1"/>
        <v>42622.368854166663</v>
      </c>
    </row>
    <row r="66" spans="1:7" x14ac:dyDescent="0.25">
      <c r="A66" s="8">
        <v>42622.373506944445</v>
      </c>
      <c r="B66" s="22" t="s">
        <v>110</v>
      </c>
      <c r="C66" s="22" t="s">
        <v>437</v>
      </c>
      <c r="D66" s="22">
        <v>2360000</v>
      </c>
      <c r="E66" s="22" t="s">
        <v>368</v>
      </c>
      <c r="F66" s="22" t="str">
        <f t="shared" ref="F66:F129" si="2">B66</f>
        <v>rtdc.l.rtdc.4032:itc</v>
      </c>
      <c r="G66" s="8">
        <f t="shared" ref="G66:G129" si="3">A66</f>
        <v>42622.373506944445</v>
      </c>
    </row>
    <row r="67" spans="1:7" x14ac:dyDescent="0.25">
      <c r="A67" s="8">
        <v>42622.373692129629</v>
      </c>
      <c r="B67" s="22" t="s">
        <v>171</v>
      </c>
      <c r="C67" s="22" t="s">
        <v>444</v>
      </c>
      <c r="D67" s="22">
        <v>2340000</v>
      </c>
      <c r="E67" s="22" t="s">
        <v>367</v>
      </c>
      <c r="F67" s="22" t="str">
        <f t="shared" si="2"/>
        <v>rtdc.l.rtdc.4020:itc</v>
      </c>
      <c r="G67" s="8">
        <f t="shared" si="3"/>
        <v>42622.373692129629</v>
      </c>
    </row>
    <row r="68" spans="1:7" x14ac:dyDescent="0.25">
      <c r="A68" s="8">
        <v>42622.374652777777</v>
      </c>
      <c r="B68" s="22" t="s">
        <v>190</v>
      </c>
      <c r="C68" s="22" t="s">
        <v>645</v>
      </c>
      <c r="D68" s="22">
        <v>2220000</v>
      </c>
      <c r="E68" s="22" t="s">
        <v>732</v>
      </c>
      <c r="F68" s="22" t="str">
        <f t="shared" si="2"/>
        <v>rtdc.l.rtdc.4042:itc</v>
      </c>
      <c r="G68" s="8">
        <f t="shared" si="3"/>
        <v>42622.374652777777</v>
      </c>
    </row>
    <row r="69" spans="1:7" x14ac:dyDescent="0.25">
      <c r="A69" s="8">
        <v>42622.383564814816</v>
      </c>
      <c r="B69" s="22" t="s">
        <v>177</v>
      </c>
      <c r="C69" s="22" t="s">
        <v>446</v>
      </c>
      <c r="D69" s="22">
        <v>1990000</v>
      </c>
      <c r="E69" s="22" t="s">
        <v>730</v>
      </c>
      <c r="F69" s="22" t="str">
        <f t="shared" si="2"/>
        <v>rtdc.l.rtdc.4011:itc</v>
      </c>
      <c r="G69" s="8">
        <f t="shared" si="3"/>
        <v>42622.383564814816</v>
      </c>
    </row>
    <row r="70" spans="1:7" x14ac:dyDescent="0.25">
      <c r="A70" s="8">
        <v>42622.390555555554</v>
      </c>
      <c r="B70" s="22" t="s">
        <v>299</v>
      </c>
      <c r="C70" s="22" t="s">
        <v>439</v>
      </c>
      <c r="D70" s="22">
        <v>1340000</v>
      </c>
      <c r="E70" s="22" t="s">
        <v>197</v>
      </c>
      <c r="F70" s="22" t="str">
        <f t="shared" si="2"/>
        <v>rtdc.l.rtdc.4017:itc</v>
      </c>
      <c r="G70" s="8">
        <f t="shared" si="3"/>
        <v>42622.390555555554</v>
      </c>
    </row>
    <row r="71" spans="1:7" x14ac:dyDescent="0.25">
      <c r="A71" s="8">
        <v>42622.394143518519</v>
      </c>
      <c r="B71" s="22" t="s">
        <v>297</v>
      </c>
      <c r="C71" s="22" t="s">
        <v>450</v>
      </c>
      <c r="D71" s="22">
        <v>1310000</v>
      </c>
      <c r="E71" s="22" t="s">
        <v>366</v>
      </c>
      <c r="F71" s="22" t="str">
        <f t="shared" si="2"/>
        <v>rtdc.l.rtdc.4016:itc</v>
      </c>
      <c r="G71" s="8">
        <f t="shared" si="3"/>
        <v>42622.394143518519</v>
      </c>
    </row>
    <row r="72" spans="1:7" x14ac:dyDescent="0.25">
      <c r="A72" s="8">
        <v>42622.400763888887</v>
      </c>
      <c r="B72" s="22" t="s">
        <v>188</v>
      </c>
      <c r="C72" s="22" t="s">
        <v>443</v>
      </c>
      <c r="D72" s="22">
        <v>2010000</v>
      </c>
      <c r="E72" s="22" t="s">
        <v>196</v>
      </c>
      <c r="F72" s="22" t="str">
        <f t="shared" si="2"/>
        <v>rtdc.l.rtdc.4010:itc</v>
      </c>
      <c r="G72" s="8">
        <f t="shared" si="3"/>
        <v>42622.400763888887</v>
      </c>
    </row>
    <row r="73" spans="1:7" x14ac:dyDescent="0.25">
      <c r="A73" s="8">
        <v>42622.401041666664</v>
      </c>
      <c r="B73" s="22" t="s">
        <v>187</v>
      </c>
      <c r="C73" s="22" t="s">
        <v>647</v>
      </c>
      <c r="D73" s="22">
        <v>2220000</v>
      </c>
      <c r="E73" s="22" t="s">
        <v>732</v>
      </c>
      <c r="F73" s="22" t="str">
        <f t="shared" si="2"/>
        <v>rtdc.l.rtdc.4041:itc</v>
      </c>
      <c r="G73" s="8">
        <f t="shared" si="3"/>
        <v>42622.401041666664</v>
      </c>
    </row>
    <row r="74" spans="1:7" x14ac:dyDescent="0.25">
      <c r="A74" s="8">
        <v>42622.40357638889</v>
      </c>
      <c r="B74" s="22" t="s">
        <v>180</v>
      </c>
      <c r="C74" s="22" t="s">
        <v>454</v>
      </c>
      <c r="D74" s="22">
        <v>2380000</v>
      </c>
      <c r="E74" s="22" t="s">
        <v>731</v>
      </c>
      <c r="F74" s="22" t="str">
        <f t="shared" si="2"/>
        <v>rtdc.l.rtdc.4025:itc</v>
      </c>
      <c r="G74" s="8">
        <f t="shared" si="3"/>
        <v>42622.40357638889</v>
      </c>
    </row>
    <row r="75" spans="1:7" x14ac:dyDescent="0.25">
      <c r="A75" s="8">
        <v>42622.407314814816</v>
      </c>
      <c r="B75" s="22" t="s">
        <v>170</v>
      </c>
      <c r="C75" s="22" t="s">
        <v>445</v>
      </c>
      <c r="D75" s="22">
        <v>2340000</v>
      </c>
      <c r="E75" s="22" t="s">
        <v>367</v>
      </c>
      <c r="F75" s="22" t="str">
        <f t="shared" si="2"/>
        <v>rtdc.l.rtdc.4019:itc</v>
      </c>
      <c r="G75" s="8">
        <f t="shared" si="3"/>
        <v>42622.407314814816</v>
      </c>
    </row>
    <row r="76" spans="1:7" x14ac:dyDescent="0.25">
      <c r="A76" s="8">
        <v>42622.414097222223</v>
      </c>
      <c r="B76" s="22" t="s">
        <v>109</v>
      </c>
      <c r="C76" s="22" t="s">
        <v>456</v>
      </c>
      <c r="D76" s="22">
        <v>2360000</v>
      </c>
      <c r="E76" s="22" t="s">
        <v>368</v>
      </c>
      <c r="F76" s="22" t="str">
        <f t="shared" si="2"/>
        <v>rtdc.l.rtdc.4031:itc</v>
      </c>
      <c r="G76" s="8">
        <f t="shared" si="3"/>
        <v>42622.414097222223</v>
      </c>
    </row>
    <row r="77" spans="1:7" x14ac:dyDescent="0.25">
      <c r="A77" s="8">
        <v>42622.415752314817</v>
      </c>
      <c r="B77" s="22" t="s">
        <v>190</v>
      </c>
      <c r="C77" s="22" t="s">
        <v>649</v>
      </c>
      <c r="D77" s="22">
        <v>2220000</v>
      </c>
      <c r="E77" s="22" t="s">
        <v>732</v>
      </c>
      <c r="F77" s="22" t="str">
        <f t="shared" si="2"/>
        <v>rtdc.l.rtdc.4042:itc</v>
      </c>
      <c r="G77" s="8">
        <f t="shared" si="3"/>
        <v>42622.415752314817</v>
      </c>
    </row>
    <row r="78" spans="1:7" x14ac:dyDescent="0.25">
      <c r="A78" s="8">
        <v>42622.421770833331</v>
      </c>
      <c r="B78" s="22" t="s">
        <v>183</v>
      </c>
      <c r="C78" s="22" t="s">
        <v>448</v>
      </c>
      <c r="D78" s="22">
        <v>1990000</v>
      </c>
      <c r="E78" s="22" t="s">
        <v>730</v>
      </c>
      <c r="F78" s="22" t="str">
        <f t="shared" si="2"/>
        <v>rtdc.l.rtdc.4012:itc</v>
      </c>
      <c r="G78" s="8">
        <f t="shared" si="3"/>
        <v>42622.421770833331</v>
      </c>
    </row>
    <row r="79" spans="1:7" x14ac:dyDescent="0.25">
      <c r="A79" s="8">
        <v>42622.424976851849</v>
      </c>
      <c r="B79" s="22" t="s">
        <v>298</v>
      </c>
      <c r="C79" s="22" t="s">
        <v>460</v>
      </c>
      <c r="D79" s="22">
        <v>1340000</v>
      </c>
      <c r="E79" s="22" t="s">
        <v>197</v>
      </c>
      <c r="F79" s="22" t="str">
        <f t="shared" si="2"/>
        <v>rtdc.l.rtdc.4018:itc</v>
      </c>
      <c r="G79" s="8">
        <f t="shared" si="3"/>
        <v>42622.424976851849</v>
      </c>
    </row>
    <row r="80" spans="1:7" x14ac:dyDescent="0.25">
      <c r="A80" s="8">
        <v>42622.433009259257</v>
      </c>
      <c r="B80" s="22" t="s">
        <v>300</v>
      </c>
      <c r="C80" s="22" t="s">
        <v>452</v>
      </c>
      <c r="D80" s="22">
        <v>1310000</v>
      </c>
      <c r="E80" s="22" t="s">
        <v>366</v>
      </c>
      <c r="F80" s="22" t="str">
        <f t="shared" si="2"/>
        <v>rtdc.l.rtdc.4015:itc</v>
      </c>
      <c r="G80" s="8">
        <f t="shared" si="3"/>
        <v>42622.433009259257</v>
      </c>
    </row>
    <row r="81" spans="1:7" x14ac:dyDescent="0.25">
      <c r="A81" s="8">
        <v>42622.435347222221</v>
      </c>
      <c r="B81" s="22" t="s">
        <v>133</v>
      </c>
      <c r="C81" s="22" t="s">
        <v>462</v>
      </c>
      <c r="D81" s="22">
        <v>1360000</v>
      </c>
      <c r="E81" s="22" t="s">
        <v>189</v>
      </c>
      <c r="F81" s="22" t="str">
        <f t="shared" si="2"/>
        <v>rtdc.l.rtdc.4009:itc</v>
      </c>
      <c r="G81" s="8">
        <f t="shared" si="3"/>
        <v>42622.435347222221</v>
      </c>
    </row>
    <row r="82" spans="1:7" x14ac:dyDescent="0.25">
      <c r="A82" s="8">
        <v>42622.439212962963</v>
      </c>
      <c r="B82" s="22" t="s">
        <v>181</v>
      </c>
      <c r="C82" s="22" t="s">
        <v>455</v>
      </c>
      <c r="D82" s="22">
        <v>2380000</v>
      </c>
      <c r="E82" s="22" t="s">
        <v>731</v>
      </c>
      <c r="F82" s="22" t="str">
        <f t="shared" si="2"/>
        <v>rtdc.l.rtdc.4026:itc</v>
      </c>
      <c r="G82" s="8">
        <f t="shared" si="3"/>
        <v>42622.439212962963</v>
      </c>
    </row>
    <row r="83" spans="1:7" x14ac:dyDescent="0.25">
      <c r="A83" s="8">
        <v>42622.442615740743</v>
      </c>
      <c r="B83" s="22" t="s">
        <v>187</v>
      </c>
      <c r="C83" s="22" t="s">
        <v>651</v>
      </c>
      <c r="D83" s="22">
        <v>2220000</v>
      </c>
      <c r="E83" s="22" t="s">
        <v>732</v>
      </c>
      <c r="F83" s="22" t="str">
        <f t="shared" si="2"/>
        <v>rtdc.l.rtdc.4041:itc</v>
      </c>
      <c r="G83" s="8">
        <f t="shared" si="3"/>
        <v>42622.442615740743</v>
      </c>
    </row>
    <row r="84" spans="1:7" x14ac:dyDescent="0.25">
      <c r="A84" s="8">
        <v>42622.445127314815</v>
      </c>
      <c r="B84" s="22" t="s">
        <v>171</v>
      </c>
      <c r="C84" s="22" t="s">
        <v>466</v>
      </c>
      <c r="D84" s="22">
        <v>2340000</v>
      </c>
      <c r="E84" s="22" t="s">
        <v>367</v>
      </c>
      <c r="F84" s="22" t="str">
        <f t="shared" si="2"/>
        <v>rtdc.l.rtdc.4020:itc</v>
      </c>
      <c r="G84" s="8">
        <f t="shared" si="3"/>
        <v>42622.445127314815</v>
      </c>
    </row>
    <row r="85" spans="1:7" x14ac:dyDescent="0.25">
      <c r="A85" s="8">
        <v>42622.452256944445</v>
      </c>
      <c r="B85" s="22" t="s">
        <v>110</v>
      </c>
      <c r="C85" s="22" t="s">
        <v>458</v>
      </c>
      <c r="D85" s="22">
        <v>2360000</v>
      </c>
      <c r="E85" s="22" t="s">
        <v>368</v>
      </c>
      <c r="F85" s="22" t="str">
        <f t="shared" si="2"/>
        <v>rtdc.l.rtdc.4032:itc</v>
      </c>
      <c r="G85" s="8">
        <f t="shared" si="3"/>
        <v>42622.452256944445</v>
      </c>
    </row>
    <row r="86" spans="1:7" x14ac:dyDescent="0.25">
      <c r="A86" s="8">
        <v>42622.456122685187</v>
      </c>
      <c r="B86" s="22" t="s">
        <v>190</v>
      </c>
      <c r="C86" s="22" t="s">
        <v>653</v>
      </c>
      <c r="D86" s="22">
        <v>2220000</v>
      </c>
      <c r="E86" s="22" t="s">
        <v>732</v>
      </c>
      <c r="F86" s="22" t="str">
        <f t="shared" si="2"/>
        <v>rtdc.l.rtdc.4042:itc</v>
      </c>
      <c r="G86" s="8">
        <f t="shared" si="3"/>
        <v>42622.456122685187</v>
      </c>
    </row>
    <row r="87" spans="1:7" x14ac:dyDescent="0.25">
      <c r="A87" s="8">
        <v>42622.45689814815</v>
      </c>
      <c r="B87" s="22" t="s">
        <v>177</v>
      </c>
      <c r="C87" s="22" t="s">
        <v>468</v>
      </c>
      <c r="D87" s="22">
        <v>880000</v>
      </c>
      <c r="E87" s="22" t="s">
        <v>733</v>
      </c>
      <c r="F87" s="22" t="str">
        <f t="shared" si="2"/>
        <v>rtdc.l.rtdc.4011:itc</v>
      </c>
      <c r="G87" s="8">
        <f t="shared" si="3"/>
        <v>42622.45689814815</v>
      </c>
    </row>
    <row r="88" spans="1:7" x14ac:dyDescent="0.25">
      <c r="A88" s="8">
        <v>42622.462418981479</v>
      </c>
      <c r="B88" s="22" t="s">
        <v>299</v>
      </c>
      <c r="C88" s="22" t="s">
        <v>461</v>
      </c>
      <c r="D88" s="22">
        <v>1340000</v>
      </c>
      <c r="E88" s="22" t="s">
        <v>197</v>
      </c>
      <c r="F88" s="22" t="str">
        <f t="shared" si="2"/>
        <v>rtdc.l.rtdc.4017:itc</v>
      </c>
      <c r="G88" s="8">
        <f t="shared" si="3"/>
        <v>42622.462418981479</v>
      </c>
    </row>
    <row r="89" spans="1:7" x14ac:dyDescent="0.25">
      <c r="A89" s="8">
        <v>42622.464930555558</v>
      </c>
      <c r="B89" s="22" t="s">
        <v>188</v>
      </c>
      <c r="C89" s="22" t="s">
        <v>464</v>
      </c>
      <c r="D89" s="22">
        <v>1360000</v>
      </c>
      <c r="E89" s="22" t="s">
        <v>189</v>
      </c>
      <c r="F89" s="22" t="str">
        <f t="shared" si="2"/>
        <v>rtdc.l.rtdc.4010:itc</v>
      </c>
      <c r="G89" s="8">
        <f t="shared" si="3"/>
        <v>42622.464930555558</v>
      </c>
    </row>
    <row r="90" spans="1:7" x14ac:dyDescent="0.25">
      <c r="A90" s="8">
        <v>42622.466215277775</v>
      </c>
      <c r="B90" s="22" t="s">
        <v>297</v>
      </c>
      <c r="C90" s="22" t="s">
        <v>470</v>
      </c>
      <c r="D90" s="22">
        <v>930000</v>
      </c>
      <c r="E90" s="22" t="s">
        <v>734</v>
      </c>
      <c r="F90" s="22" t="str">
        <f t="shared" si="2"/>
        <v>rtdc.l.rtdc.4016:itc</v>
      </c>
      <c r="G90" s="8">
        <f t="shared" si="3"/>
        <v>42622.466215277775</v>
      </c>
    </row>
    <row r="91" spans="1:7" x14ac:dyDescent="0.25">
      <c r="A91" s="8">
        <v>42622.475752314815</v>
      </c>
      <c r="B91" s="22" t="s">
        <v>180</v>
      </c>
      <c r="C91" s="22" t="s">
        <v>473</v>
      </c>
      <c r="D91" s="22">
        <v>940000</v>
      </c>
      <c r="E91" s="22" t="s">
        <v>369</v>
      </c>
      <c r="F91" s="22" t="str">
        <f t="shared" si="2"/>
        <v>rtdc.l.rtdc.4025:itc</v>
      </c>
      <c r="G91" s="8">
        <f t="shared" si="3"/>
        <v>42622.475752314815</v>
      </c>
    </row>
    <row r="92" spans="1:7" x14ac:dyDescent="0.25">
      <c r="A92" s="8">
        <v>42622.484652777777</v>
      </c>
      <c r="B92" s="22" t="s">
        <v>187</v>
      </c>
      <c r="C92" s="22" t="s">
        <v>656</v>
      </c>
      <c r="D92" s="22">
        <v>2220000</v>
      </c>
      <c r="E92" s="22" t="s">
        <v>732</v>
      </c>
      <c r="F92" s="22" t="str">
        <f t="shared" si="2"/>
        <v>rtdc.l.rtdc.4041:itc</v>
      </c>
      <c r="G92" s="8">
        <f t="shared" si="3"/>
        <v>42622.484652777777</v>
      </c>
    </row>
    <row r="93" spans="1:7" x14ac:dyDescent="0.25">
      <c r="A93" s="8">
        <v>42622.486030092594</v>
      </c>
      <c r="B93" s="22" t="s">
        <v>170</v>
      </c>
      <c r="C93" s="22" t="s">
        <v>467</v>
      </c>
      <c r="D93" s="22">
        <v>2340000</v>
      </c>
      <c r="E93" s="22" t="s">
        <v>367</v>
      </c>
      <c r="F93" s="22" t="str">
        <f t="shared" si="2"/>
        <v>rtdc.l.rtdc.4019:itc</v>
      </c>
      <c r="G93" s="8">
        <f t="shared" si="3"/>
        <v>42622.486030092594</v>
      </c>
    </row>
    <row r="94" spans="1:7" x14ac:dyDescent="0.25">
      <c r="A94" s="8">
        <v>42622.486226851855</v>
      </c>
      <c r="B94" s="22" t="s">
        <v>109</v>
      </c>
      <c r="C94" s="22" t="s">
        <v>476</v>
      </c>
      <c r="D94" s="22">
        <v>2040000</v>
      </c>
      <c r="E94" s="22" t="s">
        <v>200</v>
      </c>
      <c r="F94" s="22" t="str">
        <f t="shared" si="2"/>
        <v>rtdc.l.rtdc.4031:itc</v>
      </c>
      <c r="G94" s="8">
        <f t="shared" si="3"/>
        <v>42622.486226851855</v>
      </c>
    </row>
    <row r="95" spans="1:7" x14ac:dyDescent="0.25">
      <c r="A95" s="8">
        <v>42622.493252314816</v>
      </c>
      <c r="B95" s="22" t="s">
        <v>183</v>
      </c>
      <c r="C95" s="22" t="s">
        <v>469</v>
      </c>
      <c r="D95" s="22">
        <v>880000</v>
      </c>
      <c r="E95" s="22" t="s">
        <v>733</v>
      </c>
      <c r="F95" s="22" t="str">
        <f t="shared" si="2"/>
        <v>rtdc.l.rtdc.4012:itc</v>
      </c>
      <c r="G95" s="8">
        <f t="shared" si="3"/>
        <v>42622.493252314816</v>
      </c>
    </row>
    <row r="96" spans="1:7" x14ac:dyDescent="0.25">
      <c r="A96" s="8">
        <v>42622.495520833334</v>
      </c>
      <c r="B96" s="22" t="s">
        <v>298</v>
      </c>
      <c r="C96" s="22" t="s">
        <v>480</v>
      </c>
      <c r="D96" s="22">
        <v>1820000</v>
      </c>
      <c r="E96" s="22" t="s">
        <v>371</v>
      </c>
      <c r="F96" s="22" t="str">
        <f t="shared" si="2"/>
        <v>rtdc.l.rtdc.4018:itc</v>
      </c>
      <c r="G96" s="8">
        <f t="shared" si="3"/>
        <v>42622.495520833334</v>
      </c>
    </row>
    <row r="97" spans="1:7" x14ac:dyDescent="0.25">
      <c r="A97" s="8">
        <v>42622.499710648146</v>
      </c>
      <c r="B97" s="22" t="s">
        <v>190</v>
      </c>
      <c r="C97" s="22" t="s">
        <v>657</v>
      </c>
      <c r="D97" s="22">
        <v>2220000</v>
      </c>
      <c r="E97" s="22" t="s">
        <v>732</v>
      </c>
      <c r="F97" s="22" t="str">
        <f t="shared" si="2"/>
        <v>rtdc.l.rtdc.4042:itc</v>
      </c>
      <c r="G97" s="8">
        <f t="shared" si="3"/>
        <v>42622.499710648146</v>
      </c>
    </row>
    <row r="98" spans="1:7" x14ac:dyDescent="0.25">
      <c r="A98" s="8">
        <v>42622.505439814813</v>
      </c>
      <c r="B98" s="22" t="s">
        <v>133</v>
      </c>
      <c r="C98" s="22" t="s">
        <v>482</v>
      </c>
      <c r="D98" s="22">
        <v>2020000</v>
      </c>
      <c r="E98" s="22" t="s">
        <v>370</v>
      </c>
      <c r="F98" s="22" t="str">
        <f t="shared" si="2"/>
        <v>rtdc.l.rtdc.4009:itc</v>
      </c>
      <c r="G98" s="8">
        <f t="shared" si="3"/>
        <v>42622.505439814813</v>
      </c>
    </row>
    <row r="99" spans="1:7" x14ac:dyDescent="0.25">
      <c r="A99" s="8">
        <v>42622.505474537036</v>
      </c>
      <c r="B99" s="22" t="s">
        <v>300</v>
      </c>
      <c r="C99" s="22" t="s">
        <v>472</v>
      </c>
      <c r="D99" s="22">
        <v>930000</v>
      </c>
      <c r="E99" s="22" t="s">
        <v>734</v>
      </c>
      <c r="F99" s="22" t="str">
        <f t="shared" si="2"/>
        <v>rtdc.l.rtdc.4015:itc</v>
      </c>
      <c r="G99" s="8">
        <f t="shared" si="3"/>
        <v>42622.505474537036</v>
      </c>
    </row>
    <row r="100" spans="1:7" x14ac:dyDescent="0.25">
      <c r="A100" s="8">
        <v>42622.511284722219</v>
      </c>
      <c r="B100" s="22" t="s">
        <v>181</v>
      </c>
      <c r="C100" s="22" t="s">
        <v>474</v>
      </c>
      <c r="D100" s="22">
        <v>940000</v>
      </c>
      <c r="E100" s="22" t="s">
        <v>369</v>
      </c>
      <c r="F100" s="22" t="str">
        <f t="shared" si="2"/>
        <v>rtdc.l.rtdc.4026:itc</v>
      </c>
      <c r="G100" s="8">
        <f t="shared" si="3"/>
        <v>42622.511284722219</v>
      </c>
    </row>
    <row r="101" spans="1:7" x14ac:dyDescent="0.25">
      <c r="A101" s="8">
        <v>42622.518553240741</v>
      </c>
      <c r="B101" s="22" t="s">
        <v>171</v>
      </c>
      <c r="C101" s="22" t="s">
        <v>487</v>
      </c>
      <c r="D101" s="22">
        <v>2100000</v>
      </c>
      <c r="E101" s="22" t="s">
        <v>735</v>
      </c>
      <c r="F101" s="22" t="str">
        <f t="shared" si="2"/>
        <v>rtdc.l.rtdc.4020:itc</v>
      </c>
      <c r="G101" s="8">
        <f t="shared" si="3"/>
        <v>42622.518553240741</v>
      </c>
    </row>
    <row r="102" spans="1:7" x14ac:dyDescent="0.25">
      <c r="A102" s="8">
        <v>42622.526250000003</v>
      </c>
      <c r="B102" s="22" t="s">
        <v>110</v>
      </c>
      <c r="C102" s="22" t="s">
        <v>478</v>
      </c>
      <c r="D102" s="22">
        <v>2040000</v>
      </c>
      <c r="E102" s="22" t="s">
        <v>200</v>
      </c>
      <c r="F102" s="22" t="str">
        <f t="shared" si="2"/>
        <v>rtdc.l.rtdc.4032:itc</v>
      </c>
      <c r="G102" s="8">
        <f t="shared" si="3"/>
        <v>42622.526250000003</v>
      </c>
    </row>
    <row r="103" spans="1:7" x14ac:dyDescent="0.25">
      <c r="A103" s="8">
        <v>42622.526365740741</v>
      </c>
      <c r="B103" s="22" t="s">
        <v>187</v>
      </c>
      <c r="C103" s="22" t="s">
        <v>660</v>
      </c>
      <c r="D103" s="22">
        <v>2220000</v>
      </c>
      <c r="E103" s="22" t="s">
        <v>732</v>
      </c>
      <c r="F103" s="22" t="str">
        <f t="shared" si="2"/>
        <v>rtdc.l.rtdc.4041:itc</v>
      </c>
      <c r="G103" s="8">
        <f t="shared" si="3"/>
        <v>42622.526365740741</v>
      </c>
    </row>
    <row r="104" spans="1:7" x14ac:dyDescent="0.25">
      <c r="A104" s="8">
        <v>42622.530393518522</v>
      </c>
      <c r="B104" s="22" t="s">
        <v>177</v>
      </c>
      <c r="C104" s="22" t="s">
        <v>490</v>
      </c>
      <c r="D104" s="22">
        <v>880000</v>
      </c>
      <c r="E104" s="22" t="s">
        <v>733</v>
      </c>
      <c r="F104" s="22" t="str">
        <f t="shared" si="2"/>
        <v>rtdc.l.rtdc.4011:itc</v>
      </c>
      <c r="G104" s="8">
        <f t="shared" si="3"/>
        <v>42622.530393518522</v>
      </c>
    </row>
    <row r="105" spans="1:7" x14ac:dyDescent="0.25">
      <c r="A105" s="8">
        <v>42622.537708333337</v>
      </c>
      <c r="B105" s="22" t="s">
        <v>299</v>
      </c>
      <c r="C105" s="22" t="s">
        <v>481</v>
      </c>
      <c r="D105" s="22">
        <v>1820000</v>
      </c>
      <c r="E105" s="22" t="s">
        <v>371</v>
      </c>
      <c r="F105" s="22" t="str">
        <f t="shared" si="2"/>
        <v>rtdc.l.rtdc.4017:itc</v>
      </c>
      <c r="G105" s="8">
        <f t="shared" si="3"/>
        <v>42622.537708333337</v>
      </c>
    </row>
    <row r="106" spans="1:7" x14ac:dyDescent="0.25">
      <c r="A106" s="8">
        <v>42622.539803240739</v>
      </c>
      <c r="B106" s="22" t="s">
        <v>297</v>
      </c>
      <c r="C106" s="22" t="s">
        <v>493</v>
      </c>
      <c r="D106" s="22">
        <v>930000</v>
      </c>
      <c r="E106" s="22" t="s">
        <v>734</v>
      </c>
      <c r="F106" s="22" t="str">
        <f t="shared" si="2"/>
        <v>rtdc.l.rtdc.4016:itc</v>
      </c>
      <c r="G106" s="8">
        <f t="shared" si="3"/>
        <v>42622.539803240739</v>
      </c>
    </row>
    <row r="107" spans="1:7" x14ac:dyDescent="0.25">
      <c r="A107" s="8">
        <v>42622.545740740738</v>
      </c>
      <c r="B107" s="22" t="s">
        <v>188</v>
      </c>
      <c r="C107" s="22" t="s">
        <v>484</v>
      </c>
      <c r="D107" s="22">
        <v>2020000</v>
      </c>
      <c r="E107" s="22" t="s">
        <v>370</v>
      </c>
      <c r="F107" s="22" t="str">
        <f t="shared" si="2"/>
        <v>rtdc.l.rtdc.4010:itc</v>
      </c>
      <c r="G107" s="8">
        <f t="shared" si="3"/>
        <v>42622.545740740738</v>
      </c>
    </row>
    <row r="108" spans="1:7" x14ac:dyDescent="0.25">
      <c r="A108" s="8">
        <v>42622.548402777778</v>
      </c>
      <c r="B108" s="22" t="s">
        <v>180</v>
      </c>
      <c r="C108" s="22" t="s">
        <v>496</v>
      </c>
      <c r="D108" s="22">
        <v>940000</v>
      </c>
      <c r="E108" s="22" t="s">
        <v>369</v>
      </c>
      <c r="F108" s="22" t="str">
        <f t="shared" si="2"/>
        <v>rtdc.l.rtdc.4025:itc</v>
      </c>
      <c r="G108" s="8">
        <f t="shared" si="3"/>
        <v>42622.548402777778</v>
      </c>
    </row>
    <row r="109" spans="1:7" x14ac:dyDescent="0.25">
      <c r="A109" s="8">
        <v>42622.549351851849</v>
      </c>
      <c r="B109" s="22" t="s">
        <v>190</v>
      </c>
      <c r="C109" s="22" t="s">
        <v>663</v>
      </c>
      <c r="D109" s="22">
        <v>2350000</v>
      </c>
      <c r="E109" s="22" t="s">
        <v>372</v>
      </c>
      <c r="F109" s="22" t="str">
        <f t="shared" si="2"/>
        <v>rtdc.l.rtdc.4042:itc</v>
      </c>
      <c r="G109" s="8">
        <f t="shared" si="3"/>
        <v>42622.549351851849</v>
      </c>
    </row>
    <row r="110" spans="1:7" x14ac:dyDescent="0.25">
      <c r="A110" s="8">
        <v>42622.554965277777</v>
      </c>
      <c r="B110" s="22" t="s">
        <v>170</v>
      </c>
      <c r="C110" s="22" t="s">
        <v>488</v>
      </c>
      <c r="D110" s="22">
        <v>2100000</v>
      </c>
      <c r="E110" s="22" t="s">
        <v>735</v>
      </c>
      <c r="F110" s="22" t="str">
        <f t="shared" si="2"/>
        <v>rtdc.l.rtdc.4019:itc</v>
      </c>
      <c r="G110" s="8">
        <f t="shared" si="3"/>
        <v>42622.554965277777</v>
      </c>
    </row>
    <row r="111" spans="1:7" x14ac:dyDescent="0.25">
      <c r="A111" s="8">
        <v>42622.560497685183</v>
      </c>
      <c r="B111" s="22" t="s">
        <v>109</v>
      </c>
      <c r="C111" s="22" t="s">
        <v>500</v>
      </c>
      <c r="D111" s="22">
        <v>2040000</v>
      </c>
      <c r="E111" s="22" t="s">
        <v>200</v>
      </c>
      <c r="F111" s="22" t="str">
        <f t="shared" si="2"/>
        <v>rtdc.l.rtdc.4031:itc</v>
      </c>
      <c r="G111" s="8">
        <f t="shared" si="3"/>
        <v>42622.560497685183</v>
      </c>
    </row>
    <row r="112" spans="1:7" x14ac:dyDescent="0.25">
      <c r="A112" s="8">
        <v>42622.569456018522</v>
      </c>
      <c r="B112" s="22" t="s">
        <v>298</v>
      </c>
      <c r="C112" s="22" t="s">
        <v>505</v>
      </c>
      <c r="D112" s="22">
        <v>1820000</v>
      </c>
      <c r="E112" s="22" t="s">
        <v>371</v>
      </c>
      <c r="F112" s="22" t="str">
        <f t="shared" si="2"/>
        <v>rtdc.l.rtdc.4018:itc</v>
      </c>
      <c r="G112" s="8">
        <f t="shared" si="3"/>
        <v>42622.569456018522</v>
      </c>
    </row>
    <row r="113" spans="1:7" x14ac:dyDescent="0.25">
      <c r="A113" s="8">
        <v>42622.569537037038</v>
      </c>
      <c r="B113" s="22" t="s">
        <v>183</v>
      </c>
      <c r="C113" s="22" t="s">
        <v>491</v>
      </c>
      <c r="D113" s="22">
        <v>880000</v>
      </c>
      <c r="E113" s="22" t="s">
        <v>733</v>
      </c>
      <c r="F113" s="22" t="str">
        <f t="shared" si="2"/>
        <v>rtdc.l.rtdc.4012:itc</v>
      </c>
      <c r="G113" s="8">
        <f t="shared" si="3"/>
        <v>42622.569537037038</v>
      </c>
    </row>
    <row r="114" spans="1:7" x14ac:dyDescent="0.25">
      <c r="A114" s="8">
        <v>42622.569895833331</v>
      </c>
      <c r="B114" s="22" t="s">
        <v>187</v>
      </c>
      <c r="C114" s="22" t="s">
        <v>665</v>
      </c>
      <c r="D114" s="22">
        <v>2350000</v>
      </c>
      <c r="E114" s="22" t="s">
        <v>372</v>
      </c>
      <c r="F114" s="22" t="str">
        <f t="shared" si="2"/>
        <v>rtdc.l.rtdc.4041:itc</v>
      </c>
      <c r="G114" s="8">
        <f t="shared" si="3"/>
        <v>42622.569895833331</v>
      </c>
    </row>
    <row r="115" spans="1:7" x14ac:dyDescent="0.25">
      <c r="A115" s="8">
        <v>42622.577997685185</v>
      </c>
      <c r="B115" s="22" t="s">
        <v>300</v>
      </c>
      <c r="C115" s="22" t="s">
        <v>494</v>
      </c>
      <c r="D115" s="22">
        <v>930000</v>
      </c>
      <c r="E115" s="22" t="s">
        <v>734</v>
      </c>
      <c r="F115" s="22" t="str">
        <f t="shared" si="2"/>
        <v>rtdc.l.rtdc.4015:itc</v>
      </c>
      <c r="G115" s="8">
        <f t="shared" si="3"/>
        <v>42622.577997685185</v>
      </c>
    </row>
    <row r="116" spans="1:7" x14ac:dyDescent="0.25">
      <c r="A116" s="8">
        <v>42622.58315972222</v>
      </c>
      <c r="B116" s="22" t="s">
        <v>181</v>
      </c>
      <c r="C116" s="22" t="s">
        <v>497</v>
      </c>
      <c r="D116" s="22">
        <v>940000</v>
      </c>
      <c r="E116" s="22" t="s">
        <v>369</v>
      </c>
      <c r="F116" s="22" t="str">
        <f t="shared" si="2"/>
        <v>rtdc.l.rtdc.4026:itc</v>
      </c>
      <c r="G116" s="8">
        <f t="shared" si="3"/>
        <v>42622.58315972222</v>
      </c>
    </row>
    <row r="117" spans="1:7" x14ac:dyDescent="0.25">
      <c r="A117" s="8">
        <v>42622.587071759262</v>
      </c>
      <c r="B117" s="22" t="s">
        <v>133</v>
      </c>
      <c r="C117" s="22" t="s">
        <v>507</v>
      </c>
      <c r="D117" s="22">
        <v>2020000</v>
      </c>
      <c r="E117" s="22" t="s">
        <v>370</v>
      </c>
      <c r="F117" s="22" t="str">
        <f t="shared" si="2"/>
        <v>rtdc.l.rtdc.4009:itc</v>
      </c>
      <c r="G117" s="8">
        <f t="shared" si="3"/>
        <v>42622.587071759262</v>
      </c>
    </row>
    <row r="118" spans="1:7" x14ac:dyDescent="0.25">
      <c r="A118" s="8">
        <v>42622.597939814812</v>
      </c>
      <c r="B118" s="22" t="s">
        <v>190</v>
      </c>
      <c r="C118" s="22" t="s">
        <v>667</v>
      </c>
      <c r="D118" s="22">
        <v>2350000</v>
      </c>
      <c r="E118" s="22" t="s">
        <v>372</v>
      </c>
      <c r="F118" s="22" t="str">
        <f t="shared" si="2"/>
        <v>rtdc.l.rtdc.4042:itc</v>
      </c>
      <c r="G118" s="8">
        <f t="shared" si="3"/>
        <v>42622.597939814812</v>
      </c>
    </row>
    <row r="119" spans="1:7" x14ac:dyDescent="0.25">
      <c r="A119" s="8">
        <v>42622.599074074074</v>
      </c>
      <c r="B119" s="22" t="s">
        <v>110</v>
      </c>
      <c r="C119" s="22" t="s">
        <v>502</v>
      </c>
      <c r="D119" s="22">
        <v>2040000</v>
      </c>
      <c r="E119" s="22" t="s">
        <v>200</v>
      </c>
      <c r="F119" s="22" t="str">
        <f t="shared" si="2"/>
        <v>rtdc.l.rtdc.4032:itc</v>
      </c>
      <c r="G119" s="8">
        <f t="shared" si="3"/>
        <v>42622.599074074074</v>
      </c>
    </row>
    <row r="120" spans="1:7" x14ac:dyDescent="0.25">
      <c r="A120" s="8">
        <v>42622.601655092592</v>
      </c>
      <c r="B120" s="22" t="s">
        <v>177</v>
      </c>
      <c r="C120" s="22" t="s">
        <v>514</v>
      </c>
      <c r="D120" s="22">
        <v>880000</v>
      </c>
      <c r="E120" s="22" t="s">
        <v>733</v>
      </c>
      <c r="F120" s="22" t="str">
        <f t="shared" si="2"/>
        <v>rtdc.l.rtdc.4011:itc</v>
      </c>
      <c r="G120" s="8">
        <f t="shared" si="3"/>
        <v>42622.601655092592</v>
      </c>
    </row>
    <row r="121" spans="1:7" x14ac:dyDescent="0.25">
      <c r="A121" s="8">
        <v>42622.602199074077</v>
      </c>
      <c r="B121" s="22" t="s">
        <v>171</v>
      </c>
      <c r="C121" s="22" t="s">
        <v>511</v>
      </c>
      <c r="D121" s="22">
        <v>2100000</v>
      </c>
      <c r="E121" s="22" t="s">
        <v>735</v>
      </c>
      <c r="F121" s="22" t="str">
        <f t="shared" si="2"/>
        <v>rtdc.l.rtdc.4020:itc</v>
      </c>
      <c r="G121" s="8">
        <f t="shared" si="3"/>
        <v>42622.602199074077</v>
      </c>
    </row>
    <row r="122" spans="1:7" x14ac:dyDescent="0.25">
      <c r="A122" s="8">
        <v>42622.611134259256</v>
      </c>
      <c r="B122" s="27" t="s">
        <v>299</v>
      </c>
      <c r="C122" s="22" t="s">
        <v>506</v>
      </c>
      <c r="D122" s="22">
        <v>1820000</v>
      </c>
      <c r="E122" s="22" t="s">
        <v>371</v>
      </c>
      <c r="F122" s="22" t="str">
        <f t="shared" si="2"/>
        <v>rtdc.l.rtdc.4017:itc</v>
      </c>
      <c r="G122" s="8">
        <f t="shared" si="3"/>
        <v>42622.611134259256</v>
      </c>
    </row>
    <row r="123" spans="1:7" x14ac:dyDescent="0.25">
      <c r="A123" s="8">
        <v>42622.611921296295</v>
      </c>
      <c r="B123" s="22" t="s">
        <v>297</v>
      </c>
      <c r="C123" s="22" t="s">
        <v>518</v>
      </c>
      <c r="D123" s="22">
        <v>930000</v>
      </c>
      <c r="E123" s="22" t="s">
        <v>734</v>
      </c>
      <c r="F123" s="22" t="str">
        <f t="shared" si="2"/>
        <v>rtdc.l.rtdc.4016:itc</v>
      </c>
      <c r="G123" s="8">
        <f t="shared" si="3"/>
        <v>42622.611921296295</v>
      </c>
    </row>
    <row r="124" spans="1:7" x14ac:dyDescent="0.25">
      <c r="A124" s="8">
        <v>42622.613252314812</v>
      </c>
      <c r="B124" s="22" t="s">
        <v>187</v>
      </c>
      <c r="C124" s="22" t="s">
        <v>670</v>
      </c>
      <c r="D124" s="22">
        <v>2350000</v>
      </c>
      <c r="E124" s="22" t="s">
        <v>372</v>
      </c>
      <c r="F124" s="22" t="str">
        <f t="shared" si="2"/>
        <v>rtdc.l.rtdc.4041:itc</v>
      </c>
      <c r="G124" s="8">
        <f t="shared" si="3"/>
        <v>42622.613252314812</v>
      </c>
    </row>
    <row r="125" spans="1:7" x14ac:dyDescent="0.25">
      <c r="A125" s="8">
        <v>42622.618750000001</v>
      </c>
      <c r="B125" s="22" t="s">
        <v>188</v>
      </c>
      <c r="C125" s="22" t="s">
        <v>509</v>
      </c>
      <c r="D125" s="22">
        <v>2020000</v>
      </c>
      <c r="E125" s="22" t="s">
        <v>370</v>
      </c>
      <c r="F125" s="22" t="str">
        <f t="shared" si="2"/>
        <v>rtdc.l.rtdc.4010:itc</v>
      </c>
      <c r="G125" s="8">
        <f t="shared" si="3"/>
        <v>42622.618750000001</v>
      </c>
    </row>
    <row r="126" spans="1:7" x14ac:dyDescent="0.25">
      <c r="A126" s="8">
        <v>42622.622893518521</v>
      </c>
      <c r="B126" s="22" t="s">
        <v>180</v>
      </c>
      <c r="C126" s="22" t="s">
        <v>522</v>
      </c>
      <c r="D126" s="22">
        <v>940000</v>
      </c>
      <c r="E126" s="22" t="s">
        <v>369</v>
      </c>
      <c r="F126" s="22" t="str">
        <f t="shared" si="2"/>
        <v>rtdc.l.rtdc.4025:itc</v>
      </c>
      <c r="G126" s="8">
        <f t="shared" si="3"/>
        <v>42622.622893518521</v>
      </c>
    </row>
    <row r="127" spans="1:7" x14ac:dyDescent="0.25">
      <c r="A127" s="8">
        <v>42622.627199074072</v>
      </c>
      <c r="B127" s="22" t="s">
        <v>190</v>
      </c>
      <c r="C127" s="22" t="s">
        <v>672</v>
      </c>
      <c r="D127" s="22">
        <v>2350000</v>
      </c>
      <c r="E127" s="22" t="s">
        <v>372</v>
      </c>
      <c r="F127" s="22" t="str">
        <f t="shared" si="2"/>
        <v>rtdc.l.rtdc.4042:itc</v>
      </c>
      <c r="G127" s="8">
        <f t="shared" si="3"/>
        <v>42622.627199074072</v>
      </c>
    </row>
    <row r="128" spans="1:7" x14ac:dyDescent="0.25">
      <c r="A128" s="8">
        <v>42622.627453703702</v>
      </c>
      <c r="B128" s="22" t="s">
        <v>170</v>
      </c>
      <c r="C128" s="22" t="s">
        <v>513</v>
      </c>
      <c r="D128" s="22">
        <v>2100000</v>
      </c>
      <c r="E128" s="22" t="s">
        <v>735</v>
      </c>
      <c r="F128" s="22" t="str">
        <f t="shared" si="2"/>
        <v>rtdc.l.rtdc.4019:itc</v>
      </c>
      <c r="G128" s="8">
        <f t="shared" si="3"/>
        <v>42622.627453703702</v>
      </c>
    </row>
    <row r="129" spans="1:7" x14ac:dyDescent="0.25">
      <c r="A129" s="8">
        <v>42622.633391203701</v>
      </c>
      <c r="B129" s="22" t="s">
        <v>109</v>
      </c>
      <c r="C129" s="22" t="s">
        <v>525</v>
      </c>
      <c r="D129" s="22">
        <v>2040000</v>
      </c>
      <c r="E129" s="22" t="s">
        <v>200</v>
      </c>
      <c r="F129" s="22" t="str">
        <f t="shared" si="2"/>
        <v>rtdc.l.rtdc.4031:itc</v>
      </c>
      <c r="G129" s="8">
        <f t="shared" si="3"/>
        <v>42622.633391203701</v>
      </c>
    </row>
    <row r="130" spans="1:7" x14ac:dyDescent="0.25">
      <c r="A130" s="8">
        <v>42622.640023148146</v>
      </c>
      <c r="B130" s="22" t="s">
        <v>183</v>
      </c>
      <c r="C130" s="22" t="s">
        <v>515</v>
      </c>
      <c r="D130" s="22">
        <v>880000</v>
      </c>
      <c r="E130" s="22" t="s">
        <v>733</v>
      </c>
      <c r="F130" s="22" t="str">
        <f t="shared" ref="F130:F193" si="4">B130</f>
        <v>rtdc.l.rtdc.4012:itc</v>
      </c>
      <c r="G130" s="8">
        <f t="shared" ref="G130:G193" si="5">A130</f>
        <v>42622.640023148146</v>
      </c>
    </row>
    <row r="131" spans="1:7" x14ac:dyDescent="0.25">
      <c r="A131" s="8">
        <v>42622.643449074072</v>
      </c>
      <c r="B131" s="22" t="s">
        <v>298</v>
      </c>
      <c r="C131" s="22" t="s">
        <v>528</v>
      </c>
      <c r="D131" s="22">
        <v>1820000</v>
      </c>
      <c r="E131" s="22" t="s">
        <v>371</v>
      </c>
      <c r="F131" s="22" t="str">
        <f t="shared" si="4"/>
        <v>rtdc.l.rtdc.4018:itc</v>
      </c>
      <c r="G131" s="8">
        <f t="shared" si="5"/>
        <v>42622.643449074072</v>
      </c>
    </row>
    <row r="132" spans="1:7" x14ac:dyDescent="0.25">
      <c r="A132" s="8">
        <v>42622.649224537039</v>
      </c>
      <c r="B132" s="22" t="s">
        <v>300</v>
      </c>
      <c r="C132" s="22" t="s">
        <v>520</v>
      </c>
      <c r="D132" s="22">
        <v>930000</v>
      </c>
      <c r="E132" s="22" t="s">
        <v>734</v>
      </c>
      <c r="F132" s="22" t="str">
        <f t="shared" si="4"/>
        <v>rtdc.l.rtdc.4015:itc</v>
      </c>
      <c r="G132" s="8">
        <f t="shared" si="5"/>
        <v>42622.649224537039</v>
      </c>
    </row>
    <row r="133" spans="1:7" x14ac:dyDescent="0.25">
      <c r="A133" s="8">
        <v>42622.649953703702</v>
      </c>
      <c r="B133" s="22" t="s">
        <v>131</v>
      </c>
      <c r="C133" s="22" t="s">
        <v>677</v>
      </c>
      <c r="D133" s="22">
        <v>2250000</v>
      </c>
      <c r="E133" s="22" t="s">
        <v>191</v>
      </c>
      <c r="F133" s="22" t="str">
        <f t="shared" si="4"/>
        <v>rtdc.l.rtdc.4038:itc</v>
      </c>
      <c r="G133" s="8">
        <f t="shared" si="5"/>
        <v>42622.649953703702</v>
      </c>
    </row>
    <row r="134" spans="1:7" x14ac:dyDescent="0.25">
      <c r="A134" s="8">
        <v>42622.652777777781</v>
      </c>
      <c r="B134" s="22" t="s">
        <v>187</v>
      </c>
      <c r="C134" s="22" t="s">
        <v>675</v>
      </c>
      <c r="D134" s="22">
        <v>2350000</v>
      </c>
      <c r="E134" s="22" t="s">
        <v>372</v>
      </c>
      <c r="F134" s="22" t="str">
        <f t="shared" si="4"/>
        <v>rtdc.l.rtdc.4041:itc</v>
      </c>
      <c r="G134" s="8">
        <f t="shared" si="5"/>
        <v>42622.652777777781</v>
      </c>
    </row>
    <row r="135" spans="1:7" x14ac:dyDescent="0.25">
      <c r="A135" s="8">
        <v>42622.653263888889</v>
      </c>
      <c r="B135" s="22" t="s">
        <v>133</v>
      </c>
      <c r="C135" s="22" t="s">
        <v>531</v>
      </c>
      <c r="D135" s="22">
        <v>2020000</v>
      </c>
      <c r="E135" s="22" t="s">
        <v>370</v>
      </c>
      <c r="F135" s="22" t="str">
        <f t="shared" si="4"/>
        <v>rtdc.l.rtdc.4009:itc</v>
      </c>
      <c r="G135" s="8">
        <f t="shared" si="5"/>
        <v>42622.653263888889</v>
      </c>
    </row>
    <row r="136" spans="1:7" x14ac:dyDescent="0.25">
      <c r="A136" s="8">
        <v>42622.656793981485</v>
      </c>
      <c r="B136" s="22" t="s">
        <v>181</v>
      </c>
      <c r="C136" s="22" t="s">
        <v>524</v>
      </c>
      <c r="D136" s="22">
        <v>940000</v>
      </c>
      <c r="E136" s="22" t="s">
        <v>369</v>
      </c>
      <c r="F136" s="22" t="str">
        <f t="shared" si="4"/>
        <v>rtdc.l.rtdc.4026:itc</v>
      </c>
      <c r="G136" s="8">
        <f t="shared" si="5"/>
        <v>42622.656793981485</v>
      </c>
    </row>
    <row r="137" spans="1:7" x14ac:dyDescent="0.25">
      <c r="A137" s="8">
        <v>42622.663402777776</v>
      </c>
      <c r="B137" s="22" t="s">
        <v>171</v>
      </c>
      <c r="C137" s="22" t="s">
        <v>535</v>
      </c>
      <c r="D137" s="22">
        <v>2100000</v>
      </c>
      <c r="E137" s="22" t="s">
        <v>735</v>
      </c>
      <c r="F137" s="22" t="str">
        <f t="shared" si="4"/>
        <v>rtdc.l.rtdc.4020:itc</v>
      </c>
      <c r="G137" s="8">
        <f t="shared" si="5"/>
        <v>42622.663402777776</v>
      </c>
    </row>
    <row r="138" spans="1:7" x14ac:dyDescent="0.25">
      <c r="A138" s="8">
        <v>42622.667361111111</v>
      </c>
      <c r="B138" s="22" t="s">
        <v>190</v>
      </c>
      <c r="C138" s="22" t="s">
        <v>682</v>
      </c>
      <c r="D138" s="22">
        <v>2350000</v>
      </c>
      <c r="E138" s="22" t="s">
        <v>372</v>
      </c>
      <c r="F138" s="22" t="str">
        <f t="shared" si="4"/>
        <v>rtdc.l.rtdc.4042:itc</v>
      </c>
      <c r="G138" s="8">
        <f t="shared" si="5"/>
        <v>42622.667361111111</v>
      </c>
    </row>
    <row r="139" spans="1:7" x14ac:dyDescent="0.25">
      <c r="A139" s="8">
        <v>42622.671099537038</v>
      </c>
      <c r="B139" s="22" t="s">
        <v>110</v>
      </c>
      <c r="C139" s="22" t="s">
        <v>527</v>
      </c>
      <c r="D139" s="22">
        <v>2040000</v>
      </c>
      <c r="E139" s="22" t="s">
        <v>200</v>
      </c>
      <c r="F139" s="22" t="str">
        <f t="shared" si="4"/>
        <v>rtdc.l.rtdc.4032:itc</v>
      </c>
      <c r="G139" s="8">
        <f t="shared" si="5"/>
        <v>42622.671099537038</v>
      </c>
    </row>
    <row r="140" spans="1:7" x14ac:dyDescent="0.25">
      <c r="A140" s="8">
        <v>42622.672939814816</v>
      </c>
      <c r="B140" s="22" t="s">
        <v>301</v>
      </c>
      <c r="C140" s="22" t="s">
        <v>679</v>
      </c>
      <c r="D140" s="22">
        <v>2250000</v>
      </c>
      <c r="E140" s="22" t="s">
        <v>191</v>
      </c>
      <c r="F140" s="22" t="str">
        <f t="shared" si="4"/>
        <v>rtdc.l.rtdc.4037:itc</v>
      </c>
      <c r="G140" s="8">
        <f t="shared" si="5"/>
        <v>42622.672939814816</v>
      </c>
    </row>
    <row r="141" spans="1:7" x14ac:dyDescent="0.25">
      <c r="A141" s="8">
        <v>42622.674942129626</v>
      </c>
      <c r="B141" s="22" t="s">
        <v>177</v>
      </c>
      <c r="C141" s="22" t="s">
        <v>537</v>
      </c>
      <c r="D141" s="22">
        <v>880000</v>
      </c>
      <c r="E141" s="22" t="s">
        <v>733</v>
      </c>
      <c r="F141" s="22" t="str">
        <f t="shared" si="4"/>
        <v>rtdc.l.rtdc.4011:itc</v>
      </c>
      <c r="G141" s="8">
        <f t="shared" si="5"/>
        <v>42622.674942129626</v>
      </c>
    </row>
    <row r="142" spans="1:7" x14ac:dyDescent="0.25">
      <c r="A142" s="8">
        <v>42622.684560185182</v>
      </c>
      <c r="B142" s="22" t="s">
        <v>299</v>
      </c>
      <c r="C142" s="22" t="s">
        <v>529</v>
      </c>
      <c r="D142" s="22">
        <v>1820000</v>
      </c>
      <c r="E142" s="22" t="s">
        <v>371</v>
      </c>
      <c r="F142" s="22" t="str">
        <f t="shared" si="4"/>
        <v>rtdc.l.rtdc.4017:itc</v>
      </c>
      <c r="G142" s="8">
        <f t="shared" si="5"/>
        <v>42622.684560185182</v>
      </c>
    </row>
    <row r="143" spans="1:7" x14ac:dyDescent="0.25">
      <c r="A143" s="8">
        <v>42622.686481481483</v>
      </c>
      <c r="B143" s="22" t="s">
        <v>297</v>
      </c>
      <c r="C143" s="22" t="s">
        <v>538</v>
      </c>
      <c r="D143" s="22">
        <v>930000</v>
      </c>
      <c r="E143" s="22" t="s">
        <v>734</v>
      </c>
      <c r="F143" s="22" t="str">
        <f t="shared" si="4"/>
        <v>rtdc.l.rtdc.4016:itc</v>
      </c>
      <c r="G143" s="8">
        <f t="shared" si="5"/>
        <v>42622.686481481483</v>
      </c>
    </row>
    <row r="144" spans="1:7" x14ac:dyDescent="0.25">
      <c r="A144" s="8">
        <v>42622.688287037039</v>
      </c>
      <c r="B144" s="22" t="s">
        <v>131</v>
      </c>
      <c r="C144" s="22" t="s">
        <v>686</v>
      </c>
      <c r="D144" s="22">
        <v>2250000</v>
      </c>
      <c r="E144" s="22" t="s">
        <v>191</v>
      </c>
      <c r="F144" s="22" t="str">
        <f t="shared" si="4"/>
        <v>rtdc.l.rtdc.4038:itc</v>
      </c>
      <c r="G144" s="8">
        <f t="shared" si="5"/>
        <v>42622.688287037039</v>
      </c>
    </row>
    <row r="145" spans="1:7" x14ac:dyDescent="0.25">
      <c r="A145" s="8">
        <v>42622.689409722225</v>
      </c>
      <c r="B145" s="22" t="s">
        <v>188</v>
      </c>
      <c r="C145" s="22" t="s">
        <v>533</v>
      </c>
      <c r="D145" s="22">
        <v>2020000</v>
      </c>
      <c r="E145" s="22" t="s">
        <v>370</v>
      </c>
      <c r="F145" s="22" t="str">
        <f t="shared" si="4"/>
        <v>rtdc.l.rtdc.4010:itc</v>
      </c>
      <c r="G145" s="8">
        <f t="shared" si="5"/>
        <v>42622.689409722225</v>
      </c>
    </row>
    <row r="146" spans="1:7" x14ac:dyDescent="0.25">
      <c r="A146" s="8">
        <v>42622.693726851852</v>
      </c>
      <c r="B146" s="22" t="s">
        <v>187</v>
      </c>
      <c r="C146" s="22" t="s">
        <v>684</v>
      </c>
      <c r="D146" s="22">
        <v>2350000</v>
      </c>
      <c r="E146" s="22" t="s">
        <v>372</v>
      </c>
      <c r="F146" s="22" t="str">
        <f t="shared" si="4"/>
        <v>rtdc.l.rtdc.4041:itc</v>
      </c>
      <c r="G146" s="8">
        <f t="shared" si="5"/>
        <v>42622.693726851852</v>
      </c>
    </row>
    <row r="147" spans="1:7" x14ac:dyDescent="0.25">
      <c r="A147" s="8">
        <v>42622.695451388892</v>
      </c>
      <c r="B147" s="22" t="s">
        <v>180</v>
      </c>
      <c r="C147" s="22" t="s">
        <v>542</v>
      </c>
      <c r="D147" s="22">
        <v>940000</v>
      </c>
      <c r="E147" s="22" t="s">
        <v>369</v>
      </c>
      <c r="F147" s="22" t="str">
        <f t="shared" si="4"/>
        <v>rtdc.l.rtdc.4025:itc</v>
      </c>
      <c r="G147" s="8">
        <f t="shared" si="5"/>
        <v>42622.695451388892</v>
      </c>
    </row>
    <row r="148" spans="1:7" x14ac:dyDescent="0.25">
      <c r="A148" s="8">
        <v>42622.701249999998</v>
      </c>
      <c r="B148" s="22" t="s">
        <v>170</v>
      </c>
      <c r="C148" s="22" t="s">
        <v>536</v>
      </c>
      <c r="D148" s="22">
        <v>2100000</v>
      </c>
      <c r="E148" s="22" t="s">
        <v>735</v>
      </c>
      <c r="F148" s="22" t="str">
        <f t="shared" si="4"/>
        <v>rtdc.l.rtdc.4019:itc</v>
      </c>
      <c r="G148" s="8">
        <f t="shared" si="5"/>
        <v>42622.701249999998</v>
      </c>
    </row>
    <row r="149" spans="1:7" x14ac:dyDescent="0.25">
      <c r="A149" s="8">
        <v>42622.703449074077</v>
      </c>
      <c r="B149" s="22" t="s">
        <v>297</v>
      </c>
      <c r="C149" s="22" t="s">
        <v>538</v>
      </c>
      <c r="D149" s="22">
        <v>930000</v>
      </c>
      <c r="E149" s="22" t="s">
        <v>734</v>
      </c>
      <c r="F149" s="22" t="str">
        <f t="shared" si="4"/>
        <v>rtdc.l.rtdc.4016:itc</v>
      </c>
      <c r="G149" s="8">
        <f t="shared" si="5"/>
        <v>42622.703449074077</v>
      </c>
    </row>
    <row r="150" spans="1:7" x14ac:dyDescent="0.25">
      <c r="A150" s="8">
        <v>42622.704699074071</v>
      </c>
      <c r="B150" s="22" t="s">
        <v>297</v>
      </c>
      <c r="C150" s="22" t="s">
        <v>538</v>
      </c>
      <c r="D150" s="22">
        <v>930000</v>
      </c>
      <c r="E150" s="22" t="s">
        <v>734</v>
      </c>
      <c r="F150" s="22" t="str">
        <f t="shared" si="4"/>
        <v>rtdc.l.rtdc.4016:itc</v>
      </c>
      <c r="G150" s="8">
        <f t="shared" si="5"/>
        <v>42622.704699074071</v>
      </c>
    </row>
    <row r="151" spans="1:7" x14ac:dyDescent="0.25">
      <c r="A151" s="8">
        <v>42622.707905092589</v>
      </c>
      <c r="B151" s="22" t="s">
        <v>190</v>
      </c>
      <c r="C151" s="22" t="s">
        <v>691</v>
      </c>
      <c r="D151" s="22">
        <v>2350000</v>
      </c>
      <c r="E151" s="22" t="s">
        <v>372</v>
      </c>
      <c r="F151" s="22" t="str">
        <f t="shared" si="4"/>
        <v>rtdc.l.rtdc.4042:itc</v>
      </c>
      <c r="G151" s="8">
        <f t="shared" si="5"/>
        <v>42622.707905092589</v>
      </c>
    </row>
    <row r="152" spans="1:7" x14ac:dyDescent="0.25">
      <c r="A152" s="8">
        <v>42622.708124999997</v>
      </c>
      <c r="B152" s="22" t="s">
        <v>109</v>
      </c>
      <c r="C152" s="22" t="s">
        <v>544</v>
      </c>
      <c r="D152" s="22">
        <v>2040000</v>
      </c>
      <c r="E152" s="22" t="s">
        <v>200</v>
      </c>
      <c r="F152" s="22" t="str">
        <f t="shared" si="4"/>
        <v>rtdc.l.rtdc.4031:itc</v>
      </c>
      <c r="G152" s="8">
        <f t="shared" si="5"/>
        <v>42622.708124999997</v>
      </c>
    </row>
    <row r="153" spans="1:7" x14ac:dyDescent="0.25">
      <c r="A153" s="8">
        <v>42622.713993055557</v>
      </c>
      <c r="B153" s="22" t="s">
        <v>301</v>
      </c>
      <c r="C153" s="22" t="s">
        <v>688</v>
      </c>
      <c r="D153" s="22">
        <v>2250000</v>
      </c>
      <c r="E153" s="22" t="s">
        <v>191</v>
      </c>
      <c r="F153" s="22" t="str">
        <f t="shared" si="4"/>
        <v>rtdc.l.rtdc.4037:itc</v>
      </c>
      <c r="G153" s="8">
        <f t="shared" si="5"/>
        <v>42622.713993055557</v>
      </c>
    </row>
    <row r="154" spans="1:7" x14ac:dyDescent="0.25">
      <c r="A154" s="8">
        <v>42622.714363425926</v>
      </c>
      <c r="B154" s="22" t="s">
        <v>183</v>
      </c>
      <c r="C154" s="22" t="s">
        <v>736</v>
      </c>
      <c r="D154" s="22">
        <v>880000</v>
      </c>
      <c r="E154" s="22" t="s">
        <v>733</v>
      </c>
      <c r="F154" s="22" t="str">
        <f t="shared" si="4"/>
        <v>rtdc.l.rtdc.4012:itc</v>
      </c>
      <c r="G154" s="8">
        <f t="shared" si="5"/>
        <v>42622.714363425926</v>
      </c>
    </row>
    <row r="155" spans="1:7" x14ac:dyDescent="0.25">
      <c r="A155" s="8">
        <v>42622.718124999999</v>
      </c>
      <c r="B155" s="22" t="s">
        <v>298</v>
      </c>
      <c r="C155" s="22" t="s">
        <v>548</v>
      </c>
      <c r="D155" s="22">
        <v>1820000</v>
      </c>
      <c r="E155" s="22" t="s">
        <v>371</v>
      </c>
      <c r="F155" s="22" t="str">
        <f t="shared" si="4"/>
        <v>rtdc.l.rtdc.4018:itc</v>
      </c>
      <c r="G155" s="8">
        <f t="shared" si="5"/>
        <v>42622.718124999999</v>
      </c>
    </row>
    <row r="156" spans="1:7" x14ac:dyDescent="0.25">
      <c r="A156" s="8">
        <v>42622.721388888887</v>
      </c>
      <c r="B156" s="22" t="s">
        <v>183</v>
      </c>
      <c r="C156" s="22" t="s">
        <v>736</v>
      </c>
      <c r="D156" s="22">
        <v>880000</v>
      </c>
      <c r="E156" s="22" t="s">
        <v>733</v>
      </c>
      <c r="F156" s="22" t="str">
        <f t="shared" si="4"/>
        <v>rtdc.l.rtdc.4012:itc</v>
      </c>
      <c r="G156" s="8">
        <f t="shared" si="5"/>
        <v>42622.721388888887</v>
      </c>
    </row>
    <row r="157" spans="1:7" x14ac:dyDescent="0.25">
      <c r="A157" s="8">
        <v>42622.725914351853</v>
      </c>
      <c r="B157" s="22" t="s">
        <v>133</v>
      </c>
      <c r="C157" s="22" t="s">
        <v>550</v>
      </c>
      <c r="D157" s="22">
        <v>2020000</v>
      </c>
      <c r="E157" s="22" t="s">
        <v>370</v>
      </c>
      <c r="F157" s="22" t="str">
        <f t="shared" si="4"/>
        <v>rtdc.l.rtdc.4009:itc</v>
      </c>
      <c r="G157" s="8">
        <f t="shared" si="5"/>
        <v>42622.725914351853</v>
      </c>
    </row>
    <row r="158" spans="1:7" x14ac:dyDescent="0.25">
      <c r="A158" s="8">
        <v>42622.729120370372</v>
      </c>
      <c r="B158" s="22" t="s">
        <v>131</v>
      </c>
      <c r="C158" s="22" t="s">
        <v>695</v>
      </c>
      <c r="D158" s="22">
        <v>2250000</v>
      </c>
      <c r="E158" s="22" t="s">
        <v>191</v>
      </c>
      <c r="F158" s="22" t="str">
        <f t="shared" si="4"/>
        <v>rtdc.l.rtdc.4038:itc</v>
      </c>
      <c r="G158" s="8">
        <f t="shared" si="5"/>
        <v>42622.729120370372</v>
      </c>
    </row>
    <row r="159" spans="1:7" x14ac:dyDescent="0.25">
      <c r="A159" s="8">
        <v>42622.731574074074</v>
      </c>
      <c r="B159" s="22" t="s">
        <v>300</v>
      </c>
      <c r="C159" s="22" t="s">
        <v>540</v>
      </c>
      <c r="D159" s="22">
        <v>930000</v>
      </c>
      <c r="E159" s="22" t="s">
        <v>734</v>
      </c>
      <c r="F159" s="22" t="str">
        <f t="shared" si="4"/>
        <v>rtdc.l.rtdc.4015:itc</v>
      </c>
      <c r="G159" s="8">
        <f t="shared" si="5"/>
        <v>42622.731574074074</v>
      </c>
    </row>
    <row r="160" spans="1:7" x14ac:dyDescent="0.25">
      <c r="A160" s="8">
        <v>42622.733981481484</v>
      </c>
      <c r="B160" s="22" t="s">
        <v>302</v>
      </c>
      <c r="C160" s="22" t="s">
        <v>566</v>
      </c>
      <c r="D160" s="22">
        <v>1800000</v>
      </c>
      <c r="E160" s="22" t="s">
        <v>737</v>
      </c>
      <c r="F160" s="22" t="str">
        <f t="shared" si="4"/>
        <v>rtdc.l.rtdc.4021:itc</v>
      </c>
      <c r="G160" s="8">
        <f t="shared" si="5"/>
        <v>42622.733981481484</v>
      </c>
    </row>
    <row r="161" spans="1:7" x14ac:dyDescent="0.25">
      <c r="A161" s="8">
        <v>42622.735115740739</v>
      </c>
      <c r="B161" s="22" t="s">
        <v>187</v>
      </c>
      <c r="C161" s="22" t="s">
        <v>692</v>
      </c>
      <c r="D161" s="22">
        <v>2350000</v>
      </c>
      <c r="E161" s="22" t="s">
        <v>372</v>
      </c>
      <c r="F161" s="22" t="str">
        <f t="shared" si="4"/>
        <v>rtdc.l.rtdc.4041:itc</v>
      </c>
      <c r="G161" s="8">
        <f t="shared" si="5"/>
        <v>42622.735115740739</v>
      </c>
    </row>
    <row r="162" spans="1:7" x14ac:dyDescent="0.25">
      <c r="A162" s="8">
        <v>42622.736377314817</v>
      </c>
      <c r="B162" s="22" t="s">
        <v>181</v>
      </c>
      <c r="C162" s="22" t="s">
        <v>543</v>
      </c>
      <c r="D162" s="22">
        <v>940000</v>
      </c>
      <c r="E162" s="22" t="s">
        <v>369</v>
      </c>
      <c r="F162" s="22" t="str">
        <f t="shared" si="4"/>
        <v>rtdc.l.rtdc.4026:itc</v>
      </c>
      <c r="G162" s="8">
        <f t="shared" si="5"/>
        <v>42622.736377314817</v>
      </c>
    </row>
    <row r="163" spans="1:7" x14ac:dyDescent="0.25">
      <c r="A163" s="8">
        <v>42622.737638888888</v>
      </c>
      <c r="B163" s="22" t="s">
        <v>171</v>
      </c>
      <c r="C163" s="22" t="s">
        <v>555</v>
      </c>
      <c r="D163" s="22">
        <v>2000000</v>
      </c>
      <c r="E163" s="22" t="s">
        <v>126</v>
      </c>
      <c r="F163" s="22" t="str">
        <f t="shared" si="4"/>
        <v>rtdc.l.rtdc.4020:itc</v>
      </c>
      <c r="G163" s="8">
        <f t="shared" si="5"/>
        <v>42622.737638888888</v>
      </c>
    </row>
    <row r="164" spans="1:7" x14ac:dyDescent="0.25">
      <c r="A164" s="8">
        <v>42622.744305555556</v>
      </c>
      <c r="B164" s="22" t="s">
        <v>373</v>
      </c>
      <c r="C164" s="22" t="s">
        <v>560</v>
      </c>
      <c r="D164" s="22">
        <v>2100000</v>
      </c>
      <c r="E164" s="22" t="s">
        <v>735</v>
      </c>
      <c r="F164" s="22" t="str">
        <f t="shared" si="4"/>
        <v>rtdc.l.rtdc.4040:itc</v>
      </c>
      <c r="G164" s="8">
        <f t="shared" si="5"/>
        <v>42622.744305555556</v>
      </c>
    </row>
    <row r="165" spans="1:7" x14ac:dyDescent="0.25">
      <c r="A165" s="8">
        <v>42622.745289351849</v>
      </c>
      <c r="B165" s="22" t="s">
        <v>373</v>
      </c>
      <c r="C165" s="22" t="s">
        <v>560</v>
      </c>
      <c r="D165" s="22">
        <v>2100000</v>
      </c>
      <c r="E165" s="22" t="s">
        <v>735</v>
      </c>
      <c r="F165" s="22" t="str">
        <f t="shared" si="4"/>
        <v>rtdc.l.rtdc.4040:itc</v>
      </c>
      <c r="G165" s="8">
        <f t="shared" si="5"/>
        <v>42622.745289351849</v>
      </c>
    </row>
    <row r="166" spans="1:7" x14ac:dyDescent="0.25">
      <c r="A166" s="8">
        <v>42622.745879629627</v>
      </c>
      <c r="B166" s="22" t="s">
        <v>110</v>
      </c>
      <c r="C166" s="22" t="s">
        <v>546</v>
      </c>
      <c r="D166" s="22">
        <v>2040000</v>
      </c>
      <c r="E166" s="22" t="s">
        <v>200</v>
      </c>
      <c r="F166" s="22" t="str">
        <f t="shared" si="4"/>
        <v>rtdc.l.rtdc.4032:itc</v>
      </c>
      <c r="G166" s="8">
        <f t="shared" si="5"/>
        <v>42622.745879629627</v>
      </c>
    </row>
    <row r="167" spans="1:7" x14ac:dyDescent="0.25">
      <c r="A167" s="8">
        <v>42622.749780092592</v>
      </c>
      <c r="B167" s="22" t="s">
        <v>190</v>
      </c>
      <c r="C167" s="22" t="s">
        <v>700</v>
      </c>
      <c r="D167" s="22">
        <v>2350000</v>
      </c>
      <c r="E167" s="22" t="s">
        <v>372</v>
      </c>
      <c r="F167" s="22" t="str">
        <f t="shared" si="4"/>
        <v>rtdc.l.rtdc.4042:itc</v>
      </c>
      <c r="G167" s="8">
        <f t="shared" si="5"/>
        <v>42622.749780092592</v>
      </c>
    </row>
    <row r="168" spans="1:7" x14ac:dyDescent="0.25">
      <c r="A168" s="8">
        <v>42622.75403935185</v>
      </c>
      <c r="B168" s="22" t="s">
        <v>373</v>
      </c>
      <c r="C168" s="22" t="s">
        <v>560</v>
      </c>
      <c r="D168" s="22">
        <v>2100000</v>
      </c>
      <c r="E168" s="22" t="s">
        <v>735</v>
      </c>
      <c r="F168" s="22" t="str">
        <f t="shared" si="4"/>
        <v>rtdc.l.rtdc.4040:itc</v>
      </c>
      <c r="G168" s="8">
        <f t="shared" si="5"/>
        <v>42622.75403935185</v>
      </c>
    </row>
    <row r="169" spans="1:7" x14ac:dyDescent="0.25">
      <c r="A169" s="8">
        <v>42622.755555555559</v>
      </c>
      <c r="B169" s="22" t="s">
        <v>299</v>
      </c>
      <c r="C169" s="22" t="s">
        <v>549</v>
      </c>
      <c r="D169" s="22">
        <v>1820000</v>
      </c>
      <c r="E169" s="22" t="s">
        <v>371</v>
      </c>
      <c r="F169" s="22" t="str">
        <f t="shared" si="4"/>
        <v>rtdc.l.rtdc.4017:itc</v>
      </c>
      <c r="G169" s="8">
        <f t="shared" si="5"/>
        <v>42622.755555555559</v>
      </c>
    </row>
    <row r="170" spans="1:7" x14ac:dyDescent="0.25">
      <c r="A170" s="8">
        <v>42622.755636574075</v>
      </c>
      <c r="B170" s="22" t="s">
        <v>301</v>
      </c>
      <c r="C170" s="22" t="s">
        <v>698</v>
      </c>
      <c r="D170" s="22">
        <v>2250000</v>
      </c>
      <c r="E170" s="22" t="s">
        <v>191</v>
      </c>
      <c r="F170" s="22" t="str">
        <f t="shared" si="4"/>
        <v>rtdc.l.rtdc.4037:itc</v>
      </c>
      <c r="G170" s="8">
        <f t="shared" si="5"/>
        <v>42622.755636574075</v>
      </c>
    </row>
    <row r="171" spans="1:7" x14ac:dyDescent="0.25">
      <c r="A171" s="8">
        <v>42622.764953703707</v>
      </c>
      <c r="B171" s="22" t="s">
        <v>188</v>
      </c>
      <c r="C171" s="22" t="s">
        <v>552</v>
      </c>
      <c r="D171" s="22">
        <v>2020000</v>
      </c>
      <c r="E171" s="22" t="s">
        <v>370</v>
      </c>
      <c r="F171" s="22" t="str">
        <f t="shared" si="4"/>
        <v>rtdc.l.rtdc.4010:itc</v>
      </c>
      <c r="G171" s="8">
        <f t="shared" si="5"/>
        <v>42622.764953703707</v>
      </c>
    </row>
    <row r="172" spans="1:7" x14ac:dyDescent="0.25">
      <c r="A172" s="8">
        <v>42622.765833333331</v>
      </c>
      <c r="B172" s="22" t="s">
        <v>297</v>
      </c>
      <c r="C172" s="22" t="s">
        <v>566</v>
      </c>
      <c r="D172" s="22">
        <v>1800000</v>
      </c>
      <c r="E172" s="22" t="s">
        <v>737</v>
      </c>
      <c r="F172" s="22" t="str">
        <f t="shared" si="4"/>
        <v>rtdc.l.rtdc.4016:itc</v>
      </c>
      <c r="G172" s="8">
        <f t="shared" si="5"/>
        <v>42622.765833333331</v>
      </c>
    </row>
    <row r="173" spans="1:7" x14ac:dyDescent="0.25">
      <c r="A173" s="8">
        <v>42622.771307870367</v>
      </c>
      <c r="B173" s="22" t="s">
        <v>131</v>
      </c>
      <c r="C173" s="22" t="s">
        <v>704</v>
      </c>
      <c r="D173" s="22">
        <v>2250000</v>
      </c>
      <c r="E173" s="22" t="s">
        <v>191</v>
      </c>
      <c r="F173" s="22" t="str">
        <f t="shared" si="4"/>
        <v>rtdc.l.rtdc.4038:itc</v>
      </c>
      <c r="G173" s="8">
        <f t="shared" si="5"/>
        <v>42622.771307870367</v>
      </c>
    </row>
    <row r="174" spans="1:7" x14ac:dyDescent="0.25">
      <c r="A174" s="8">
        <v>42622.774687500001</v>
      </c>
      <c r="B174" s="22" t="s">
        <v>170</v>
      </c>
      <c r="C174" s="22" t="s">
        <v>557</v>
      </c>
      <c r="D174" s="22">
        <v>2000000</v>
      </c>
      <c r="E174" s="22" t="s">
        <v>126</v>
      </c>
      <c r="F174" s="22" t="str">
        <f t="shared" si="4"/>
        <v>rtdc.l.rtdc.4019:itc</v>
      </c>
      <c r="G174" s="8">
        <f t="shared" si="5"/>
        <v>42622.774687500001</v>
      </c>
    </row>
    <row r="175" spans="1:7" x14ac:dyDescent="0.25">
      <c r="A175" s="8">
        <v>42622.776782407411</v>
      </c>
      <c r="B175" s="22" t="s">
        <v>187</v>
      </c>
      <c r="C175" s="22" t="s">
        <v>702</v>
      </c>
      <c r="D175" s="22">
        <v>2350000</v>
      </c>
      <c r="E175" s="22" t="s">
        <v>372</v>
      </c>
      <c r="F175" s="22" t="str">
        <f t="shared" si="4"/>
        <v>rtdc.l.rtdc.4041:itc</v>
      </c>
      <c r="G175" s="8">
        <f t="shared" si="5"/>
        <v>42622.776782407411</v>
      </c>
    </row>
    <row r="176" spans="1:7" x14ac:dyDescent="0.25">
      <c r="A176" s="8">
        <v>42622.78125</v>
      </c>
      <c r="B176" s="22" t="s">
        <v>109</v>
      </c>
      <c r="C176" s="22" t="s">
        <v>597</v>
      </c>
      <c r="D176" s="22">
        <v>2040000</v>
      </c>
      <c r="E176" s="22" t="s">
        <v>200</v>
      </c>
      <c r="F176" s="22" t="str">
        <f t="shared" si="4"/>
        <v>rtdc.l.rtdc.4031:itc</v>
      </c>
      <c r="G176" s="8">
        <f t="shared" si="5"/>
        <v>42622.78125</v>
      </c>
    </row>
    <row r="177" spans="1:7" x14ac:dyDescent="0.25">
      <c r="A177" s="8">
        <v>42622.782986111109</v>
      </c>
      <c r="B177" s="22" t="s">
        <v>303</v>
      </c>
      <c r="C177" s="22" t="s">
        <v>564</v>
      </c>
      <c r="D177" s="22">
        <v>2100000</v>
      </c>
      <c r="E177" s="22" t="s">
        <v>735</v>
      </c>
      <c r="F177" s="22" t="str">
        <f t="shared" si="4"/>
        <v>rtdc.l.rtdc.4039:itc</v>
      </c>
      <c r="G177" s="8">
        <f t="shared" si="5"/>
        <v>42622.782986111109</v>
      </c>
    </row>
    <row r="178" spans="1:7" x14ac:dyDescent="0.25">
      <c r="A178" s="8">
        <v>42622.79111111111</v>
      </c>
      <c r="B178" s="22" t="s">
        <v>298</v>
      </c>
      <c r="C178" s="22" t="s">
        <v>569</v>
      </c>
      <c r="D178" s="22">
        <v>1300000</v>
      </c>
      <c r="E178" s="22" t="s">
        <v>125</v>
      </c>
      <c r="F178" s="22" t="str">
        <f t="shared" si="4"/>
        <v>rtdc.l.rtdc.4018:itc</v>
      </c>
      <c r="G178" s="8">
        <f t="shared" si="5"/>
        <v>42622.79111111111</v>
      </c>
    </row>
    <row r="179" spans="1:7" x14ac:dyDescent="0.25">
      <c r="A179" s="8">
        <v>42622.793275462966</v>
      </c>
      <c r="B179" s="22" t="s">
        <v>193</v>
      </c>
      <c r="C179" s="22" t="s">
        <v>605</v>
      </c>
      <c r="D179" s="22">
        <v>1820000</v>
      </c>
      <c r="E179" s="22" t="s">
        <v>371</v>
      </c>
      <c r="F179" s="22" t="str">
        <f t="shared" si="4"/>
        <v>rtdc.l.rtdc.4022:itc</v>
      </c>
      <c r="G179" s="8">
        <f t="shared" si="5"/>
        <v>42622.793275462966</v>
      </c>
    </row>
    <row r="180" spans="1:7" x14ac:dyDescent="0.25">
      <c r="A180" s="8">
        <v>42622.793993055559</v>
      </c>
      <c r="B180" s="22" t="s">
        <v>190</v>
      </c>
      <c r="C180" s="22" t="s">
        <v>707</v>
      </c>
      <c r="D180" s="22">
        <v>2350000</v>
      </c>
      <c r="E180" s="22" t="s">
        <v>372</v>
      </c>
      <c r="F180" s="22" t="str">
        <f t="shared" si="4"/>
        <v>rtdc.l.rtdc.4042:itc</v>
      </c>
      <c r="G180" s="8">
        <f t="shared" si="5"/>
        <v>42622.793993055559</v>
      </c>
    </row>
    <row r="181" spans="1:7" x14ac:dyDescent="0.25">
      <c r="A181" s="8">
        <v>42622.7971875</v>
      </c>
      <c r="B181" s="22" t="s">
        <v>301</v>
      </c>
      <c r="C181" s="22" t="s">
        <v>723</v>
      </c>
      <c r="D181" s="22">
        <v>2250000</v>
      </c>
      <c r="E181" s="22" t="s">
        <v>191</v>
      </c>
      <c r="F181" s="22" t="str">
        <f t="shared" si="4"/>
        <v>rtdc.l.rtdc.4037:itc</v>
      </c>
      <c r="G181" s="8">
        <f t="shared" si="5"/>
        <v>42622.7971875</v>
      </c>
    </row>
    <row r="182" spans="1:7" x14ac:dyDescent="0.25">
      <c r="A182" s="8">
        <v>42622.798935185187</v>
      </c>
      <c r="B182" s="22" t="s">
        <v>133</v>
      </c>
      <c r="C182" s="22" t="s">
        <v>600</v>
      </c>
      <c r="D182" s="22">
        <v>2020000</v>
      </c>
      <c r="E182" s="22" t="s">
        <v>370</v>
      </c>
      <c r="F182" s="22" t="str">
        <f t="shared" si="4"/>
        <v>rtdc.l.rtdc.4009:itc</v>
      </c>
      <c r="G182" s="8">
        <f t="shared" si="5"/>
        <v>42622.798935185187</v>
      </c>
    </row>
    <row r="183" spans="1:7" x14ac:dyDescent="0.25">
      <c r="A183" s="8">
        <v>42622.799479166664</v>
      </c>
      <c r="B183" s="22" t="s">
        <v>300</v>
      </c>
      <c r="C183" s="22" t="s">
        <v>567</v>
      </c>
      <c r="D183" s="22">
        <v>1800000</v>
      </c>
      <c r="E183" s="22" t="s">
        <v>737</v>
      </c>
      <c r="F183" s="22" t="str">
        <f t="shared" si="4"/>
        <v>rtdc.l.rtdc.4015:itc</v>
      </c>
      <c r="G183" s="8">
        <f t="shared" si="5"/>
        <v>42622.799479166664</v>
      </c>
    </row>
    <row r="184" spans="1:7" x14ac:dyDescent="0.25">
      <c r="A184" s="8">
        <v>42622.801354166666</v>
      </c>
      <c r="B184" s="22" t="s">
        <v>181</v>
      </c>
      <c r="C184" s="22" t="s">
        <v>568</v>
      </c>
      <c r="D184" s="22">
        <v>1480000</v>
      </c>
      <c r="E184" s="22" t="s">
        <v>192</v>
      </c>
      <c r="F184" s="22" t="str">
        <f t="shared" si="4"/>
        <v>rtdc.l.rtdc.4026:itc</v>
      </c>
      <c r="G184" s="8">
        <f t="shared" si="5"/>
        <v>42622.801354166666</v>
      </c>
    </row>
    <row r="185" spans="1:7" x14ac:dyDescent="0.25">
      <c r="A185" s="8">
        <v>42622.809421296297</v>
      </c>
      <c r="B185" s="22" t="s">
        <v>171</v>
      </c>
      <c r="C185" s="22" t="s">
        <v>571</v>
      </c>
      <c r="D185" s="22">
        <v>2000000</v>
      </c>
      <c r="E185" s="22" t="s">
        <v>126</v>
      </c>
      <c r="F185" s="22" t="str">
        <f t="shared" si="4"/>
        <v>rtdc.l.rtdc.4020:itc</v>
      </c>
      <c r="G185" s="8">
        <f t="shared" si="5"/>
        <v>42622.809421296297</v>
      </c>
    </row>
    <row r="186" spans="1:7" x14ac:dyDescent="0.25">
      <c r="A186" s="8">
        <v>42622.818460648145</v>
      </c>
      <c r="B186" s="22" t="s">
        <v>187</v>
      </c>
      <c r="C186" s="22" t="s">
        <v>706</v>
      </c>
      <c r="D186" s="22">
        <v>2350000</v>
      </c>
      <c r="E186" s="22" t="s">
        <v>372</v>
      </c>
      <c r="F186" s="22" t="str">
        <f t="shared" si="4"/>
        <v>rtdc.l.rtdc.4041:itc</v>
      </c>
      <c r="G186" s="8">
        <f t="shared" si="5"/>
        <v>42622.818460648145</v>
      </c>
    </row>
    <row r="187" spans="1:7" x14ac:dyDescent="0.25">
      <c r="A187" s="8">
        <v>42622.821192129632</v>
      </c>
      <c r="B187" s="22" t="s">
        <v>202</v>
      </c>
      <c r="C187" s="22" t="s">
        <v>608</v>
      </c>
      <c r="D187" s="22">
        <v>1170000</v>
      </c>
      <c r="E187" s="22" t="s">
        <v>374</v>
      </c>
      <c r="F187" s="22" t="str">
        <f t="shared" si="4"/>
        <v>rtdc.l.rtdc.4003:itc</v>
      </c>
      <c r="G187" s="8">
        <f t="shared" si="5"/>
        <v>42622.821192129632</v>
      </c>
    </row>
    <row r="188" spans="1:7" x14ac:dyDescent="0.25">
      <c r="A188" s="8">
        <v>42622.82240740741</v>
      </c>
      <c r="B188" s="22" t="s">
        <v>373</v>
      </c>
      <c r="C188" s="22" t="s">
        <v>602</v>
      </c>
      <c r="D188" s="22">
        <v>2100000</v>
      </c>
      <c r="E188" s="22" t="s">
        <v>735</v>
      </c>
      <c r="F188" s="22" t="str">
        <f t="shared" si="4"/>
        <v>rtdc.l.rtdc.4040:itc</v>
      </c>
      <c r="G188" s="8">
        <f t="shared" si="5"/>
        <v>42622.82240740741</v>
      </c>
    </row>
    <row r="189" spans="1:7" x14ac:dyDescent="0.25">
      <c r="A189" s="8">
        <v>42622.824374999997</v>
      </c>
      <c r="B189" s="22" t="s">
        <v>299</v>
      </c>
      <c r="C189" s="22" t="s">
        <v>570</v>
      </c>
      <c r="D189" s="22">
        <v>1300000</v>
      </c>
      <c r="E189" s="22" t="s">
        <v>125</v>
      </c>
      <c r="F189" s="22" t="str">
        <f t="shared" si="4"/>
        <v>rtdc.l.rtdc.4017:itc</v>
      </c>
      <c r="G189" s="8">
        <f t="shared" si="5"/>
        <v>42622.824374999997</v>
      </c>
    </row>
    <row r="190" spans="1:7" x14ac:dyDescent="0.25">
      <c r="A190" s="8">
        <v>42622.832708333335</v>
      </c>
      <c r="B190" s="22" t="s">
        <v>297</v>
      </c>
      <c r="C190" s="22" t="s">
        <v>573</v>
      </c>
      <c r="D190" s="22">
        <v>1800000</v>
      </c>
      <c r="E190" s="22" t="s">
        <v>737</v>
      </c>
      <c r="F190" s="22" t="str">
        <f t="shared" si="4"/>
        <v>rtdc.l.rtdc.4016:itc</v>
      </c>
      <c r="G190" s="8">
        <f t="shared" si="5"/>
        <v>42622.832708333335</v>
      </c>
    </row>
    <row r="191" spans="1:7" x14ac:dyDescent="0.25">
      <c r="A191" s="8">
        <v>42622.837824074071</v>
      </c>
      <c r="B191" s="22" t="s">
        <v>190</v>
      </c>
      <c r="C191" s="22" t="s">
        <v>711</v>
      </c>
      <c r="D191" s="22">
        <v>2350000</v>
      </c>
      <c r="E191" s="22" t="s">
        <v>372</v>
      </c>
      <c r="F191" s="22" t="str">
        <f t="shared" si="4"/>
        <v>rtdc.l.rtdc.4042:itc</v>
      </c>
      <c r="G191" s="8">
        <f t="shared" si="5"/>
        <v>42622.837824074071</v>
      </c>
    </row>
    <row r="192" spans="1:7" x14ac:dyDescent="0.25">
      <c r="A192" s="8">
        <v>42622.846898148149</v>
      </c>
      <c r="B192" s="22" t="s">
        <v>180</v>
      </c>
      <c r="C192" s="22" t="s">
        <v>575</v>
      </c>
      <c r="D192" s="22">
        <v>2370000</v>
      </c>
      <c r="E192" s="22" t="s">
        <v>375</v>
      </c>
      <c r="F192" s="22" t="str">
        <f t="shared" si="4"/>
        <v>rtdc.l.rtdc.4025:itc</v>
      </c>
      <c r="G192" s="8">
        <f t="shared" si="5"/>
        <v>42622.846898148149</v>
      </c>
    </row>
    <row r="193" spans="1:7" x14ac:dyDescent="0.25">
      <c r="A193" s="8">
        <v>42622.848877314813</v>
      </c>
      <c r="B193" s="22" t="s">
        <v>170</v>
      </c>
      <c r="C193" s="22" t="s">
        <v>572</v>
      </c>
      <c r="D193" s="22">
        <v>2000000</v>
      </c>
      <c r="E193" s="22" t="s">
        <v>126</v>
      </c>
      <c r="F193" s="22" t="str">
        <f t="shared" si="4"/>
        <v>rtdc.l.rtdc.4019:itc</v>
      </c>
      <c r="G193" s="8">
        <f t="shared" si="5"/>
        <v>42622.848877314813</v>
      </c>
    </row>
    <row r="194" spans="1:7" x14ac:dyDescent="0.25">
      <c r="A194" s="8">
        <v>42622.860277777778</v>
      </c>
      <c r="B194" s="22" t="s">
        <v>187</v>
      </c>
      <c r="C194" s="22" t="s">
        <v>709</v>
      </c>
      <c r="D194" s="22">
        <v>2350000</v>
      </c>
      <c r="E194" s="22" t="s">
        <v>372</v>
      </c>
      <c r="F194" s="22" t="str">
        <f t="shared" ref="F194:F235" si="6">B194</f>
        <v>rtdc.l.rtdc.4041:itc</v>
      </c>
      <c r="G194" s="8">
        <f t="shared" ref="G194:G235" si="7">A194</f>
        <v>42622.860277777778</v>
      </c>
    </row>
    <row r="195" spans="1:7" x14ac:dyDescent="0.25">
      <c r="A195" s="8">
        <v>42622.868761574071</v>
      </c>
      <c r="B195" s="22" t="s">
        <v>298</v>
      </c>
      <c r="C195" s="22" t="s">
        <v>578</v>
      </c>
      <c r="D195" s="22">
        <v>1300000</v>
      </c>
      <c r="E195" s="22" t="s">
        <v>125</v>
      </c>
      <c r="F195" s="22" t="str">
        <f t="shared" si="6"/>
        <v>rtdc.l.rtdc.4018:itc</v>
      </c>
      <c r="G195" s="8">
        <f t="shared" si="7"/>
        <v>42622.868761574071</v>
      </c>
    </row>
    <row r="196" spans="1:7" x14ac:dyDescent="0.25">
      <c r="A196" s="8">
        <v>42622.87190972222</v>
      </c>
      <c r="B196" s="22" t="s">
        <v>300</v>
      </c>
      <c r="C196" s="22" t="s">
        <v>574</v>
      </c>
      <c r="D196" s="22">
        <v>1800000</v>
      </c>
      <c r="E196" s="22" t="s">
        <v>737</v>
      </c>
      <c r="F196" s="22" t="str">
        <f t="shared" si="6"/>
        <v>rtdc.l.rtdc.4015:itc</v>
      </c>
      <c r="G196" s="8">
        <f t="shared" si="7"/>
        <v>42622.87190972222</v>
      </c>
    </row>
    <row r="197" spans="1:7" x14ac:dyDescent="0.25">
      <c r="A197" s="8">
        <v>42622.887037037035</v>
      </c>
      <c r="B197" s="22" t="s">
        <v>181</v>
      </c>
      <c r="C197" s="22" t="s">
        <v>576</v>
      </c>
      <c r="D197" s="22">
        <v>2370000</v>
      </c>
      <c r="E197" s="22" t="s">
        <v>375</v>
      </c>
      <c r="F197" s="22" t="str">
        <f t="shared" si="6"/>
        <v>rtdc.l.rtdc.4026:itc</v>
      </c>
      <c r="G197" s="8">
        <f t="shared" si="7"/>
        <v>42622.887037037035</v>
      </c>
    </row>
    <row r="198" spans="1:7" x14ac:dyDescent="0.25">
      <c r="A198" s="8">
        <v>42622.891805555555</v>
      </c>
      <c r="B198" s="22" t="s">
        <v>190</v>
      </c>
      <c r="C198" s="22" t="s">
        <v>715</v>
      </c>
      <c r="D198" s="22">
        <v>2280000</v>
      </c>
      <c r="E198" s="22" t="s">
        <v>199</v>
      </c>
      <c r="F198" s="22" t="str">
        <f t="shared" si="6"/>
        <v>rtdc.l.rtdc.4042:itc</v>
      </c>
      <c r="G198" s="8">
        <f t="shared" si="7"/>
        <v>42622.891805555555</v>
      </c>
    </row>
    <row r="199" spans="1:7" x14ac:dyDescent="0.25">
      <c r="A199" s="8">
        <v>42622.891898148147</v>
      </c>
      <c r="B199" s="22" t="s">
        <v>171</v>
      </c>
      <c r="C199" s="22" t="s">
        <v>581</v>
      </c>
      <c r="D199" s="22">
        <v>2000000</v>
      </c>
      <c r="E199" s="22" t="s">
        <v>126</v>
      </c>
      <c r="F199" s="22" t="str">
        <f t="shared" si="6"/>
        <v>rtdc.l.rtdc.4020:itc</v>
      </c>
      <c r="G199" s="8">
        <f t="shared" si="7"/>
        <v>42622.891898148147</v>
      </c>
    </row>
    <row r="200" spans="1:7" x14ac:dyDescent="0.25">
      <c r="A200" s="8">
        <v>42622.906597222223</v>
      </c>
      <c r="B200" s="22" t="s">
        <v>299</v>
      </c>
      <c r="C200" s="22" t="s">
        <v>579</v>
      </c>
      <c r="D200" s="22">
        <v>1300000</v>
      </c>
      <c r="E200" s="22" t="s">
        <v>125</v>
      </c>
      <c r="F200" s="22" t="str">
        <f t="shared" si="6"/>
        <v>rtdc.l.rtdc.4017:itc</v>
      </c>
      <c r="G200" s="8">
        <f t="shared" si="7"/>
        <v>42622.906597222223</v>
      </c>
    </row>
    <row r="201" spans="1:7" x14ac:dyDescent="0.25">
      <c r="A201" s="8">
        <v>42622.906944444447</v>
      </c>
      <c r="B201" s="22" t="s">
        <v>187</v>
      </c>
      <c r="C201" s="22" t="s">
        <v>712</v>
      </c>
      <c r="D201" s="22">
        <v>2280000</v>
      </c>
      <c r="E201" s="22" t="s">
        <v>199</v>
      </c>
      <c r="F201" s="22" t="str">
        <f t="shared" si="6"/>
        <v>rtdc.l.rtdc.4041:itc</v>
      </c>
      <c r="G201" s="8">
        <f t="shared" si="7"/>
        <v>42622.906944444447</v>
      </c>
    </row>
    <row r="202" spans="1:7" x14ac:dyDescent="0.25">
      <c r="A202" s="28">
        <v>42622.916006944448</v>
      </c>
      <c r="B202" s="22" t="s">
        <v>297</v>
      </c>
      <c r="C202" s="22" t="s">
        <v>585</v>
      </c>
      <c r="D202" s="22">
        <v>1800000</v>
      </c>
      <c r="E202" s="22" t="s">
        <v>737</v>
      </c>
      <c r="F202" s="22" t="str">
        <f t="shared" si="6"/>
        <v>rtdc.l.rtdc.4016:itc</v>
      </c>
      <c r="G202" s="8">
        <f t="shared" si="7"/>
        <v>42622.916006944448</v>
      </c>
    </row>
    <row r="203" spans="1:7" x14ac:dyDescent="0.25">
      <c r="A203" s="8">
        <v>42622.924305555556</v>
      </c>
      <c r="B203" s="22" t="s">
        <v>190</v>
      </c>
      <c r="C203" s="22" t="s">
        <v>717</v>
      </c>
      <c r="D203" s="22">
        <v>2280000</v>
      </c>
      <c r="E203" s="22" t="s">
        <v>199</v>
      </c>
      <c r="F203" s="22" t="str">
        <f t="shared" si="6"/>
        <v>rtdc.l.rtdc.4042:itc</v>
      </c>
      <c r="G203" s="8">
        <f t="shared" si="7"/>
        <v>42622.924305555556</v>
      </c>
    </row>
    <row r="204" spans="1:7" x14ac:dyDescent="0.25">
      <c r="A204" s="8">
        <v>42622.925057870372</v>
      </c>
      <c r="B204" s="22" t="s">
        <v>180</v>
      </c>
      <c r="C204" s="22" t="s">
        <v>588</v>
      </c>
      <c r="D204" s="22">
        <v>2370000</v>
      </c>
      <c r="E204" s="22" t="s">
        <v>375</v>
      </c>
      <c r="F204" s="22" t="str">
        <f t="shared" si="6"/>
        <v>rtdc.l.rtdc.4025:itc</v>
      </c>
      <c r="G204" s="8">
        <f t="shared" si="7"/>
        <v>42622.925057870372</v>
      </c>
    </row>
    <row r="205" spans="1:7" x14ac:dyDescent="0.25">
      <c r="A205" s="8">
        <v>42622.930868055555</v>
      </c>
      <c r="B205" s="22" t="s">
        <v>170</v>
      </c>
      <c r="C205" s="22" t="s">
        <v>583</v>
      </c>
      <c r="D205" s="22">
        <v>2000000</v>
      </c>
      <c r="E205" s="22" t="s">
        <v>126</v>
      </c>
      <c r="F205" s="22" t="str">
        <f t="shared" si="6"/>
        <v>rtdc.l.rtdc.4019:itc</v>
      </c>
      <c r="G205" s="8">
        <f t="shared" si="7"/>
        <v>42622.930868055555</v>
      </c>
    </row>
    <row r="206" spans="1:7" x14ac:dyDescent="0.25">
      <c r="A206" s="8">
        <v>42622.946087962962</v>
      </c>
      <c r="B206" s="22" t="s">
        <v>187</v>
      </c>
      <c r="C206" s="22" t="s">
        <v>725</v>
      </c>
      <c r="D206" s="22">
        <v>2280000</v>
      </c>
      <c r="E206" s="22" t="s">
        <v>199</v>
      </c>
      <c r="F206" s="22" t="str">
        <f t="shared" si="6"/>
        <v>rtdc.l.rtdc.4041:itc</v>
      </c>
      <c r="G206" s="8">
        <f t="shared" si="7"/>
        <v>42622.946087962962</v>
      </c>
    </row>
    <row r="207" spans="1:7" x14ac:dyDescent="0.25">
      <c r="A207" s="8">
        <v>42622.952951388892</v>
      </c>
      <c r="B207" s="22" t="s">
        <v>298</v>
      </c>
      <c r="C207" s="22" t="s">
        <v>590</v>
      </c>
      <c r="D207" s="22">
        <v>1300000</v>
      </c>
      <c r="E207" s="22" t="s">
        <v>125</v>
      </c>
      <c r="F207" s="22" t="str">
        <f t="shared" si="6"/>
        <v>rtdc.l.rtdc.4018:itc</v>
      </c>
      <c r="G207" s="8">
        <f t="shared" si="7"/>
        <v>42622.952951388892</v>
      </c>
    </row>
    <row r="208" spans="1:7" x14ac:dyDescent="0.25">
      <c r="A208" s="8">
        <v>42622.953692129631</v>
      </c>
      <c r="B208" s="22" t="s">
        <v>300</v>
      </c>
      <c r="C208" s="22" t="s">
        <v>586</v>
      </c>
      <c r="D208" s="22">
        <v>1800000</v>
      </c>
      <c r="E208" s="22" t="s">
        <v>737</v>
      </c>
      <c r="F208" s="22" t="str">
        <f t="shared" si="6"/>
        <v>rtdc.l.rtdc.4015:itc</v>
      </c>
      <c r="G208" s="8">
        <f t="shared" si="7"/>
        <v>42622.953692129631</v>
      </c>
    </row>
    <row r="209" spans="1:7" x14ac:dyDescent="0.25">
      <c r="A209" s="8">
        <v>42622.968159722222</v>
      </c>
      <c r="B209" s="22" t="s">
        <v>181</v>
      </c>
      <c r="C209" s="22" t="s">
        <v>589</v>
      </c>
      <c r="D209" s="22">
        <v>2370000</v>
      </c>
      <c r="E209" s="22" t="s">
        <v>375</v>
      </c>
      <c r="F209" s="22" t="str">
        <f t="shared" si="6"/>
        <v>rtdc.l.rtdc.4026:itc</v>
      </c>
      <c r="G209" s="8">
        <f t="shared" si="7"/>
        <v>42622.968159722222</v>
      </c>
    </row>
    <row r="210" spans="1:7" x14ac:dyDescent="0.25">
      <c r="A210" s="8">
        <v>42622.975787037038</v>
      </c>
      <c r="B210" s="22" t="s">
        <v>171</v>
      </c>
      <c r="C210" s="22" t="s">
        <v>594</v>
      </c>
      <c r="D210" s="22">
        <v>2000000</v>
      </c>
      <c r="E210" s="22" t="s">
        <v>126</v>
      </c>
      <c r="F210" s="22" t="str">
        <f t="shared" si="6"/>
        <v>rtdc.l.rtdc.4020:itc</v>
      </c>
      <c r="G210" s="8">
        <f t="shared" si="7"/>
        <v>42622.975787037038</v>
      </c>
    </row>
    <row r="211" spans="1:7" x14ac:dyDescent="0.25">
      <c r="A211" s="8">
        <v>42622.991574074076</v>
      </c>
      <c r="B211" s="22" t="s">
        <v>299</v>
      </c>
      <c r="C211" s="22" t="s">
        <v>592</v>
      </c>
      <c r="D211" s="22">
        <v>1300000</v>
      </c>
      <c r="E211" s="22" t="s">
        <v>125</v>
      </c>
      <c r="F211" s="22" t="str">
        <f t="shared" si="6"/>
        <v>rtdc.l.rtdc.4017:itc</v>
      </c>
      <c r="G211" s="8">
        <f t="shared" si="7"/>
        <v>42622.991574074076</v>
      </c>
    </row>
    <row r="212" spans="1:7" x14ac:dyDescent="0.25">
      <c r="A212" s="8">
        <v>42622.999363425923</v>
      </c>
      <c r="B212" s="22" t="s">
        <v>297</v>
      </c>
      <c r="C212" s="22" t="s">
        <v>596</v>
      </c>
      <c r="D212" s="22">
        <v>1800000</v>
      </c>
      <c r="E212" s="22" t="s">
        <v>737</v>
      </c>
      <c r="F212" s="22" t="str">
        <f t="shared" si="6"/>
        <v>rtdc.l.rtdc.4016:itc</v>
      </c>
      <c r="G212" s="8">
        <f t="shared" si="7"/>
        <v>42622.999363425923</v>
      </c>
    </row>
    <row r="213" spans="1:7" x14ac:dyDescent="0.25">
      <c r="A213" s="8">
        <v>42622.999432870369</v>
      </c>
      <c r="B213" s="22" t="s">
        <v>184</v>
      </c>
      <c r="C213" s="22" t="s">
        <v>611</v>
      </c>
      <c r="D213" s="22">
        <v>630000</v>
      </c>
      <c r="E213" s="22" t="b">
        <v>1</v>
      </c>
      <c r="F213" s="22" t="str">
        <f t="shared" si="6"/>
        <v>rtdc.l.rtdc.4051:itc</v>
      </c>
      <c r="G213" s="8">
        <f t="shared" si="7"/>
        <v>42622.999432870369</v>
      </c>
    </row>
    <row r="214" spans="1:7" x14ac:dyDescent="0.25">
      <c r="A214" s="8">
        <v>42623.002916666665</v>
      </c>
      <c r="B214" s="22" t="s">
        <v>184</v>
      </c>
      <c r="C214" s="22" t="s">
        <v>611</v>
      </c>
      <c r="D214" s="22">
        <v>630000</v>
      </c>
      <c r="E214" s="22" t="b">
        <v>1</v>
      </c>
      <c r="F214" s="22" t="str">
        <f t="shared" si="6"/>
        <v>rtdc.l.rtdc.4051:itc</v>
      </c>
      <c r="G214" s="8">
        <f t="shared" si="7"/>
        <v>42623.002916666665</v>
      </c>
    </row>
    <row r="215" spans="1:7" x14ac:dyDescent="0.25">
      <c r="A215" s="8">
        <v>42623.009953703702</v>
      </c>
      <c r="B215" s="22" t="s">
        <v>180</v>
      </c>
      <c r="C215" s="22" t="s">
        <v>738</v>
      </c>
      <c r="D215" s="22">
        <v>2370000</v>
      </c>
      <c r="E215" s="22" t="s">
        <v>375</v>
      </c>
      <c r="F215" s="22" t="str">
        <f t="shared" si="6"/>
        <v>rtdc.l.rtdc.4025:itc</v>
      </c>
      <c r="G215" s="8">
        <f t="shared" si="7"/>
        <v>42623.009953703702</v>
      </c>
    </row>
    <row r="216" spans="1:7" x14ac:dyDescent="0.25">
      <c r="A216" s="8">
        <v>42623.015023148146</v>
      </c>
      <c r="B216" s="22" t="s">
        <v>170</v>
      </c>
      <c r="C216" s="22" t="s">
        <v>739</v>
      </c>
      <c r="D216" s="22">
        <v>2000000</v>
      </c>
      <c r="E216" s="22" t="s">
        <v>126</v>
      </c>
      <c r="F216" s="22" t="str">
        <f t="shared" si="6"/>
        <v>rtdc.l.rtdc.4019:itc</v>
      </c>
      <c r="G216" s="8">
        <f t="shared" si="7"/>
        <v>42623.015023148146</v>
      </c>
    </row>
    <row r="217" spans="1:7" x14ac:dyDescent="0.25">
      <c r="A217" s="8">
        <v>42623.038472222222</v>
      </c>
      <c r="B217" s="22" t="s">
        <v>300</v>
      </c>
      <c r="C217" s="22" t="s">
        <v>740</v>
      </c>
      <c r="D217" s="22">
        <v>1800000</v>
      </c>
      <c r="E217" s="22" t="s">
        <v>737</v>
      </c>
      <c r="F217" s="22" t="str">
        <f t="shared" si="6"/>
        <v>rtdc.l.rtdc.4015:itc</v>
      </c>
      <c r="G217" s="8">
        <f t="shared" si="7"/>
        <v>42623.038472222222</v>
      </c>
    </row>
    <row r="218" spans="1:7" x14ac:dyDescent="0.25">
      <c r="B218" s="22"/>
      <c r="C218" s="22"/>
      <c r="D218" s="22"/>
      <c r="E218" s="22"/>
      <c r="F218" s="22">
        <f t="shared" si="6"/>
        <v>0</v>
      </c>
      <c r="G218" s="8">
        <f t="shared" si="7"/>
        <v>0</v>
      </c>
    </row>
    <row r="219" spans="1:7" x14ac:dyDescent="0.25">
      <c r="A219" s="8">
        <v>42621.947094907409</v>
      </c>
      <c r="B219" s="22" t="s">
        <v>298</v>
      </c>
      <c r="C219" s="22" t="s">
        <v>304</v>
      </c>
      <c r="D219" s="22">
        <v>2370000</v>
      </c>
      <c r="E219" s="22" t="s">
        <v>375</v>
      </c>
      <c r="F219" s="22" t="str">
        <f t="shared" si="6"/>
        <v>rtdc.l.rtdc.4018:itc</v>
      </c>
      <c r="G219" s="8">
        <f t="shared" si="7"/>
        <v>42621.947094907409</v>
      </c>
    </row>
    <row r="220" spans="1:7" x14ac:dyDescent="0.25">
      <c r="A220" s="8">
        <v>42621.951493055552</v>
      </c>
      <c r="B220" s="22" t="s">
        <v>377</v>
      </c>
      <c r="C220" s="22" t="s">
        <v>338</v>
      </c>
      <c r="D220" s="22">
        <v>2110000</v>
      </c>
      <c r="E220" s="22" t="s">
        <v>376</v>
      </c>
      <c r="F220" s="22" t="str">
        <f t="shared" si="6"/>
        <v>rtdc.l.rtdc.4028:itc</v>
      </c>
      <c r="G220" s="8">
        <f t="shared" si="7"/>
        <v>42621.951493055552</v>
      </c>
    </row>
    <row r="221" spans="1:7" x14ac:dyDescent="0.25">
      <c r="A221" s="8">
        <v>42621.952326388891</v>
      </c>
      <c r="B221" s="22" t="s">
        <v>377</v>
      </c>
      <c r="C221" s="22" t="s">
        <v>338</v>
      </c>
      <c r="D221" s="22">
        <v>2110000</v>
      </c>
      <c r="E221" s="22" t="s">
        <v>376</v>
      </c>
      <c r="F221" s="22" t="str">
        <f t="shared" si="6"/>
        <v>rtdc.l.rtdc.4028:itc</v>
      </c>
      <c r="G221" s="8">
        <f t="shared" si="7"/>
        <v>42621.952326388891</v>
      </c>
    </row>
    <row r="222" spans="1:7" x14ac:dyDescent="0.25">
      <c r="A222" s="8">
        <v>42621.953634259262</v>
      </c>
      <c r="B222" s="22" t="s">
        <v>377</v>
      </c>
      <c r="C222" s="22" t="s">
        <v>338</v>
      </c>
      <c r="D222" s="22">
        <v>2110000</v>
      </c>
      <c r="E222" s="22" t="s">
        <v>376</v>
      </c>
      <c r="F222" s="22" t="str">
        <f t="shared" si="6"/>
        <v>rtdc.l.rtdc.4028:itc</v>
      </c>
      <c r="G222" s="8">
        <f t="shared" si="7"/>
        <v>42621.953634259262</v>
      </c>
    </row>
    <row r="223" spans="1:7" x14ac:dyDescent="0.25">
      <c r="A223" s="8">
        <v>42621.966249999998</v>
      </c>
      <c r="B223" s="22" t="s">
        <v>297</v>
      </c>
      <c r="C223" s="22" t="s">
        <v>342</v>
      </c>
      <c r="D223" s="22">
        <v>2000000</v>
      </c>
      <c r="E223" s="22" t="s">
        <v>126</v>
      </c>
      <c r="F223" s="22" t="str">
        <f t="shared" si="6"/>
        <v>rtdc.l.rtdc.4016:itc</v>
      </c>
      <c r="G223" s="8">
        <f t="shared" si="7"/>
        <v>42621.966249999998</v>
      </c>
    </row>
    <row r="224" spans="1:7" x14ac:dyDescent="0.25">
      <c r="A224" s="8">
        <v>42621.971550925926</v>
      </c>
      <c r="B224" t="s">
        <v>89</v>
      </c>
      <c r="C224" t="s">
        <v>339</v>
      </c>
      <c r="D224">
        <v>1480000</v>
      </c>
      <c r="E224" t="s">
        <v>192</v>
      </c>
      <c r="F224" s="22" t="str">
        <f t="shared" si="6"/>
        <v>rtdc.l.rtdc.4030:itc</v>
      </c>
      <c r="G224" s="8">
        <f t="shared" si="7"/>
        <v>42621.971550925926</v>
      </c>
    </row>
    <row r="225" spans="1:7" x14ac:dyDescent="0.25">
      <c r="A225" s="8">
        <v>42621.991898148146</v>
      </c>
      <c r="B225" t="s">
        <v>109</v>
      </c>
      <c r="C225" t="s">
        <v>345</v>
      </c>
      <c r="D225">
        <v>2110000</v>
      </c>
      <c r="E225" t="s">
        <v>376</v>
      </c>
      <c r="F225" s="22" t="str">
        <f t="shared" si="6"/>
        <v>rtdc.l.rtdc.4031:itc</v>
      </c>
      <c r="G225" s="8">
        <f t="shared" si="7"/>
        <v>42621.991898148146</v>
      </c>
    </row>
    <row r="226" spans="1:7" x14ac:dyDescent="0.25">
      <c r="A226" s="8">
        <v>42621.992511574077</v>
      </c>
      <c r="B226" t="s">
        <v>109</v>
      </c>
      <c r="C226" t="s">
        <v>345</v>
      </c>
      <c r="D226">
        <v>2110000</v>
      </c>
      <c r="E226" t="s">
        <v>376</v>
      </c>
      <c r="F226" s="22" t="str">
        <f t="shared" si="6"/>
        <v>rtdc.l.rtdc.4031:itc</v>
      </c>
      <c r="G226" s="8">
        <f t="shared" si="7"/>
        <v>42621.992511574077</v>
      </c>
    </row>
    <row r="227" spans="1:7" x14ac:dyDescent="0.25">
      <c r="A227" s="8">
        <v>42621.993402777778</v>
      </c>
      <c r="B227" t="s">
        <v>170</v>
      </c>
      <c r="C227" t="s">
        <v>341</v>
      </c>
      <c r="D227">
        <v>2370000</v>
      </c>
      <c r="E227" t="s">
        <v>375</v>
      </c>
      <c r="F227" s="22" t="str">
        <f t="shared" si="6"/>
        <v>rtdc.l.rtdc.4019:itc</v>
      </c>
      <c r="G227" s="8">
        <f t="shared" si="7"/>
        <v>42621.993402777778</v>
      </c>
    </row>
    <row r="228" spans="1:7" x14ac:dyDescent="0.25">
      <c r="A228" s="8">
        <v>42621.993483796294</v>
      </c>
      <c r="B228" t="s">
        <v>109</v>
      </c>
      <c r="C228" t="s">
        <v>345</v>
      </c>
      <c r="D228">
        <v>2110000</v>
      </c>
      <c r="E228" t="s">
        <v>376</v>
      </c>
      <c r="F228" s="22" t="str">
        <f t="shared" si="6"/>
        <v>rtdc.l.rtdc.4031:itc</v>
      </c>
      <c r="G228" s="8">
        <f t="shared" si="7"/>
        <v>42621.993483796294</v>
      </c>
    </row>
    <row r="229" spans="1:7" x14ac:dyDescent="0.25">
      <c r="A229" s="8">
        <v>42622.014363425929</v>
      </c>
      <c r="B229" t="s">
        <v>181</v>
      </c>
      <c r="C229" t="s">
        <v>343</v>
      </c>
      <c r="D229">
        <v>2000000</v>
      </c>
      <c r="E229" t="s">
        <v>126</v>
      </c>
      <c r="F229" s="22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348</v>
      </c>
      <c r="D230">
        <v>2260000</v>
      </c>
      <c r="E230" t="s">
        <v>135</v>
      </c>
      <c r="F230" s="22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298</v>
      </c>
      <c r="C231" t="s">
        <v>353</v>
      </c>
      <c r="D231">
        <v>2370000</v>
      </c>
      <c r="E231" t="s">
        <v>375</v>
      </c>
      <c r="F231" s="22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377</v>
      </c>
      <c r="C232" t="s">
        <v>347</v>
      </c>
      <c r="D232">
        <v>2110000</v>
      </c>
      <c r="E232" t="s">
        <v>376</v>
      </c>
      <c r="F232" s="22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377</v>
      </c>
      <c r="C233" t="s">
        <v>347</v>
      </c>
      <c r="D233">
        <v>2110000</v>
      </c>
      <c r="E233" t="s">
        <v>376</v>
      </c>
      <c r="F233" s="22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297</v>
      </c>
      <c r="C234" t="s">
        <v>354</v>
      </c>
      <c r="D234">
        <v>2000000</v>
      </c>
      <c r="E234" t="s">
        <v>126</v>
      </c>
      <c r="F234" s="22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350</v>
      </c>
      <c r="D235">
        <v>2260000</v>
      </c>
      <c r="E235" t="s">
        <v>135</v>
      </c>
      <c r="F235" s="22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355</v>
      </c>
      <c r="D236">
        <v>2110000</v>
      </c>
      <c r="E236" t="s">
        <v>376</v>
      </c>
      <c r="F236" s="22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355</v>
      </c>
      <c r="D237">
        <v>2110000</v>
      </c>
      <c r="E237" t="s">
        <v>376</v>
      </c>
      <c r="F237" s="22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356</v>
      </c>
      <c r="D238">
        <v>2260000</v>
      </c>
      <c r="E238" t="s">
        <v>135</v>
      </c>
      <c r="F238" s="22" t="str">
        <f t="shared" si="8"/>
        <v>rtdc.l.rtdc.4014:itc</v>
      </c>
      <c r="G238" s="8">
        <f t="shared" si="9"/>
        <v>42622.09233796296</v>
      </c>
    </row>
    <row r="239" spans="1:7" x14ac:dyDescent="0.25">
      <c r="F239" s="22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170</v>
      </c>
      <c r="C240" t="s">
        <v>203</v>
      </c>
      <c r="D240">
        <v>1300000</v>
      </c>
      <c r="E240" t="s">
        <v>125</v>
      </c>
      <c r="F240" s="22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133</v>
      </c>
      <c r="C241" t="s">
        <v>204</v>
      </c>
      <c r="D241">
        <v>2260000</v>
      </c>
      <c r="E241" t="s">
        <v>135</v>
      </c>
      <c r="F241" s="22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187</v>
      </c>
      <c r="C242" t="s">
        <v>205</v>
      </c>
      <c r="D242">
        <v>1200000</v>
      </c>
      <c r="E242" t="s">
        <v>201</v>
      </c>
      <c r="F242" s="22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180</v>
      </c>
      <c r="C243" t="s">
        <v>206</v>
      </c>
      <c r="D243">
        <v>2000000</v>
      </c>
      <c r="E243" t="s">
        <v>126</v>
      </c>
      <c r="F243" s="22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171</v>
      </c>
      <c r="C244" t="s">
        <v>207</v>
      </c>
      <c r="D244">
        <v>1300000</v>
      </c>
      <c r="E244" t="s">
        <v>125</v>
      </c>
      <c r="F244" s="22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188</v>
      </c>
      <c r="C245" t="s">
        <v>208</v>
      </c>
      <c r="D245">
        <v>2260000</v>
      </c>
      <c r="E245" t="s">
        <v>135</v>
      </c>
      <c r="F245" s="22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181</v>
      </c>
      <c r="C246" t="s">
        <v>209</v>
      </c>
      <c r="D246">
        <v>2000000</v>
      </c>
      <c r="E246" t="s">
        <v>126</v>
      </c>
      <c r="F246" s="22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190</v>
      </c>
      <c r="C247" t="s">
        <v>210</v>
      </c>
      <c r="D247">
        <v>1290000</v>
      </c>
      <c r="E247" t="s">
        <v>182</v>
      </c>
      <c r="F247" s="22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133</v>
      </c>
      <c r="C248" t="s">
        <v>211</v>
      </c>
      <c r="D248">
        <v>2260000</v>
      </c>
      <c r="E248" t="s">
        <v>135</v>
      </c>
      <c r="F248" s="22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133</v>
      </c>
      <c r="C249" t="s">
        <v>211</v>
      </c>
      <c r="D249">
        <v>2260000</v>
      </c>
      <c r="E249" t="s">
        <v>135</v>
      </c>
      <c r="F249" s="22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170</v>
      </c>
      <c r="C250" t="s">
        <v>212</v>
      </c>
      <c r="D250">
        <v>1300000</v>
      </c>
      <c r="E250" t="s">
        <v>125</v>
      </c>
      <c r="F250" s="22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133</v>
      </c>
      <c r="C251" t="s">
        <v>211</v>
      </c>
      <c r="D251">
        <v>2260000</v>
      </c>
      <c r="E251" t="s">
        <v>135</v>
      </c>
      <c r="F251" s="22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184</v>
      </c>
      <c r="C252" t="s">
        <v>213</v>
      </c>
      <c r="D252">
        <v>630000</v>
      </c>
      <c r="E252" t="b">
        <v>1</v>
      </c>
      <c r="F252" s="22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180</v>
      </c>
      <c r="C253" t="s">
        <v>209</v>
      </c>
      <c r="D253">
        <v>2000000</v>
      </c>
      <c r="E253" t="s">
        <v>126</v>
      </c>
      <c r="F253" s="22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187</v>
      </c>
      <c r="C254" t="s">
        <v>214</v>
      </c>
      <c r="D254">
        <v>1290000</v>
      </c>
      <c r="E254" t="s">
        <v>182</v>
      </c>
      <c r="F254" s="22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185</v>
      </c>
      <c r="C255" t="s">
        <v>215</v>
      </c>
      <c r="D255">
        <v>630000</v>
      </c>
      <c r="E255" t="b">
        <v>1</v>
      </c>
      <c r="F255" s="22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184</v>
      </c>
      <c r="C256" t="s">
        <v>213</v>
      </c>
      <c r="D256">
        <v>630000</v>
      </c>
      <c r="E256" t="b">
        <v>1</v>
      </c>
      <c r="F256" s="22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198</v>
      </c>
      <c r="C257" t="s">
        <v>216</v>
      </c>
      <c r="D257">
        <v>1290000</v>
      </c>
      <c r="E257" t="s">
        <v>182</v>
      </c>
      <c r="F257" s="22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185</v>
      </c>
      <c r="C258" t="s">
        <v>215</v>
      </c>
      <c r="D258">
        <v>630000</v>
      </c>
      <c r="E258" t="b">
        <v>1</v>
      </c>
      <c r="F258" s="22" t="str">
        <f t="shared" si="8"/>
        <v>rtdc.l.rtdc.4052:itc</v>
      </c>
      <c r="G258" s="8">
        <f t="shared" si="9"/>
        <v>42621.100474537037</v>
      </c>
    </row>
    <row r="259" spans="1:7" x14ac:dyDescent="0.25">
      <c r="F259" s="22">
        <f t="shared" si="8"/>
        <v>0</v>
      </c>
      <c r="G259" s="8">
        <f t="shared" si="9"/>
        <v>0</v>
      </c>
    </row>
    <row r="260" spans="1:7" x14ac:dyDescent="0.25">
      <c r="F260" s="22">
        <f t="shared" si="8"/>
        <v>0</v>
      </c>
      <c r="G260" s="8">
        <f t="shared" si="9"/>
        <v>0</v>
      </c>
    </row>
    <row r="261" spans="1:7" x14ac:dyDescent="0.25">
      <c r="F261" s="22">
        <f t="shared" si="8"/>
        <v>0</v>
      </c>
      <c r="G261" s="8">
        <f t="shared" si="9"/>
        <v>0</v>
      </c>
    </row>
    <row r="262" spans="1:7" x14ac:dyDescent="0.25">
      <c r="F262" s="22">
        <f t="shared" si="8"/>
        <v>0</v>
      </c>
      <c r="G262" s="8">
        <f t="shared" si="9"/>
        <v>0</v>
      </c>
    </row>
    <row r="263" spans="1:7" x14ac:dyDescent="0.25">
      <c r="F263" s="22">
        <f t="shared" si="8"/>
        <v>0</v>
      </c>
      <c r="G263" s="8">
        <f t="shared" si="9"/>
        <v>0</v>
      </c>
    </row>
    <row r="264" spans="1:7" x14ac:dyDescent="0.25">
      <c r="F264" s="22">
        <f t="shared" si="8"/>
        <v>0</v>
      </c>
      <c r="G264" s="8">
        <f t="shared" si="9"/>
        <v>0</v>
      </c>
    </row>
    <row r="265" spans="1:7" x14ac:dyDescent="0.25">
      <c r="F265" s="22">
        <f t="shared" si="8"/>
        <v>0</v>
      </c>
      <c r="G265" s="8">
        <f t="shared" si="9"/>
        <v>0</v>
      </c>
    </row>
    <row r="266" spans="1:7" x14ac:dyDescent="0.25">
      <c r="F266" s="22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2">
        <f t="shared" si="10"/>
        <v>0</v>
      </c>
      <c r="G267" s="8">
        <f t="shared" si="11"/>
        <v>0</v>
      </c>
    </row>
    <row r="268" spans="1:7" x14ac:dyDescent="0.25">
      <c r="F268" s="22">
        <f t="shared" si="10"/>
        <v>0</v>
      </c>
      <c r="G268" s="8">
        <f t="shared" si="11"/>
        <v>0</v>
      </c>
    </row>
    <row r="269" spans="1:7" x14ac:dyDescent="0.25">
      <c r="F269" s="22">
        <f t="shared" si="10"/>
        <v>0</v>
      </c>
      <c r="G269" s="8">
        <f t="shared" si="11"/>
        <v>0</v>
      </c>
    </row>
    <row r="270" spans="1:7" x14ac:dyDescent="0.25">
      <c r="F270" s="22">
        <f t="shared" si="10"/>
        <v>0</v>
      </c>
      <c r="G270" s="8">
        <f t="shared" si="11"/>
        <v>0</v>
      </c>
    </row>
    <row r="271" spans="1:7" x14ac:dyDescent="0.25">
      <c r="F271" s="22">
        <f t="shared" si="10"/>
        <v>0</v>
      </c>
      <c r="G271" s="8">
        <f t="shared" si="11"/>
        <v>0</v>
      </c>
    </row>
    <row r="272" spans="1:7" x14ac:dyDescent="0.25">
      <c r="F272" s="22">
        <f t="shared" si="10"/>
        <v>0</v>
      </c>
      <c r="G272" s="8">
        <f t="shared" si="11"/>
        <v>0</v>
      </c>
    </row>
    <row r="273" spans="6:7" x14ac:dyDescent="0.25">
      <c r="F273" s="22">
        <f t="shared" si="10"/>
        <v>0</v>
      </c>
      <c r="G273" s="8">
        <f t="shared" si="11"/>
        <v>0</v>
      </c>
    </row>
    <row r="274" spans="6:7" x14ac:dyDescent="0.25">
      <c r="F274" s="22">
        <f t="shared" si="10"/>
        <v>0</v>
      </c>
      <c r="G274" s="8">
        <f t="shared" si="11"/>
        <v>0</v>
      </c>
    </row>
    <row r="275" spans="6:7" x14ac:dyDescent="0.25">
      <c r="F275" s="22">
        <f t="shared" si="10"/>
        <v>0</v>
      </c>
      <c r="G275" s="8">
        <f t="shared" si="11"/>
        <v>0</v>
      </c>
    </row>
    <row r="276" spans="6:7" x14ac:dyDescent="0.25">
      <c r="F276" s="22">
        <f t="shared" si="10"/>
        <v>0</v>
      </c>
      <c r="G276" s="8">
        <f t="shared" si="11"/>
        <v>0</v>
      </c>
    </row>
    <row r="277" spans="6:7" x14ac:dyDescent="0.25">
      <c r="F277" s="22">
        <f t="shared" si="10"/>
        <v>0</v>
      </c>
      <c r="G277" s="8">
        <f t="shared" si="11"/>
        <v>0</v>
      </c>
    </row>
    <row r="278" spans="6:7" x14ac:dyDescent="0.25">
      <c r="F278" s="22">
        <f t="shared" si="10"/>
        <v>0</v>
      </c>
      <c r="G278" s="8">
        <f t="shared" si="11"/>
        <v>0</v>
      </c>
    </row>
    <row r="279" spans="6:7" x14ac:dyDescent="0.25">
      <c r="F279" s="22">
        <f t="shared" si="10"/>
        <v>0</v>
      </c>
      <c r="G279" s="8">
        <f t="shared" si="11"/>
        <v>0</v>
      </c>
    </row>
    <row r="280" spans="6:7" x14ac:dyDescent="0.25">
      <c r="F280" s="22">
        <f t="shared" si="10"/>
        <v>0</v>
      </c>
      <c r="G280" s="8">
        <f t="shared" si="11"/>
        <v>0</v>
      </c>
    </row>
    <row r="281" spans="6:7" x14ac:dyDescent="0.25">
      <c r="F281" s="22">
        <f t="shared" si="10"/>
        <v>0</v>
      </c>
      <c r="G281" s="8">
        <f t="shared" si="11"/>
        <v>0</v>
      </c>
    </row>
    <row r="282" spans="6:7" x14ac:dyDescent="0.25">
      <c r="F282" s="22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2">
        <f t="shared" si="12"/>
        <v>0</v>
      </c>
      <c r="G283" s="8">
        <f t="shared" si="13"/>
        <v>0</v>
      </c>
    </row>
    <row r="284" spans="6:7" x14ac:dyDescent="0.25">
      <c r="F284" s="22">
        <f t="shared" si="12"/>
        <v>0</v>
      </c>
      <c r="G284" s="8">
        <f t="shared" si="13"/>
        <v>0</v>
      </c>
    </row>
    <row r="285" spans="6:7" x14ac:dyDescent="0.25">
      <c r="F285" s="22">
        <f t="shared" si="12"/>
        <v>0</v>
      </c>
      <c r="G285" s="8">
        <f t="shared" si="13"/>
        <v>0</v>
      </c>
    </row>
    <row r="286" spans="6:7" x14ac:dyDescent="0.25">
      <c r="F286" s="22">
        <f t="shared" si="12"/>
        <v>0</v>
      </c>
      <c r="G286" s="8">
        <f t="shared" si="13"/>
        <v>0</v>
      </c>
    </row>
    <row r="287" spans="6:7" x14ac:dyDescent="0.25">
      <c r="F287" s="22">
        <f t="shared" si="12"/>
        <v>0</v>
      </c>
      <c r="G287" s="8">
        <f t="shared" si="13"/>
        <v>0</v>
      </c>
    </row>
    <row r="288" spans="6:7" x14ac:dyDescent="0.25">
      <c r="F288" s="22">
        <f t="shared" si="12"/>
        <v>0</v>
      </c>
      <c r="G288" s="8">
        <f t="shared" si="13"/>
        <v>0</v>
      </c>
    </row>
    <row r="289" spans="6:7" x14ac:dyDescent="0.25">
      <c r="F289" s="22">
        <f t="shared" si="12"/>
        <v>0</v>
      </c>
      <c r="G289" s="8">
        <f t="shared" si="13"/>
        <v>0</v>
      </c>
    </row>
    <row r="290" spans="6:7" x14ac:dyDescent="0.25">
      <c r="F290" s="22">
        <f t="shared" si="12"/>
        <v>0</v>
      </c>
      <c r="G290" s="8">
        <f t="shared" si="13"/>
        <v>0</v>
      </c>
    </row>
    <row r="291" spans="6:7" x14ac:dyDescent="0.25">
      <c r="F291" s="22">
        <f t="shared" si="12"/>
        <v>0</v>
      </c>
      <c r="G291" s="8">
        <f t="shared" si="13"/>
        <v>0</v>
      </c>
    </row>
    <row r="292" spans="6:7" x14ac:dyDescent="0.25">
      <c r="F292" s="22">
        <f t="shared" si="12"/>
        <v>0</v>
      </c>
      <c r="G292" s="8">
        <f t="shared" si="13"/>
        <v>0</v>
      </c>
    </row>
    <row r="293" spans="6:7" x14ac:dyDescent="0.25">
      <c r="F293" s="22">
        <f t="shared" si="12"/>
        <v>0</v>
      </c>
      <c r="G293" s="8">
        <f t="shared" si="13"/>
        <v>0</v>
      </c>
    </row>
    <row r="294" spans="6:7" x14ac:dyDescent="0.25">
      <c r="F294" s="22">
        <f t="shared" si="12"/>
        <v>0</v>
      </c>
      <c r="G294" s="8">
        <f t="shared" si="13"/>
        <v>0</v>
      </c>
    </row>
    <row r="295" spans="6:7" x14ac:dyDescent="0.25">
      <c r="F295" s="22">
        <f t="shared" si="12"/>
        <v>0</v>
      </c>
      <c r="G295" s="8">
        <f t="shared" si="13"/>
        <v>0</v>
      </c>
    </row>
    <row r="296" spans="6:7" x14ac:dyDescent="0.25">
      <c r="F296" s="22">
        <f t="shared" si="12"/>
        <v>0</v>
      </c>
      <c r="G296" s="8">
        <f t="shared" si="13"/>
        <v>0</v>
      </c>
    </row>
    <row r="297" spans="6:7" x14ac:dyDescent="0.25">
      <c r="F297" s="22">
        <f t="shared" si="12"/>
        <v>0</v>
      </c>
      <c r="G297" s="8">
        <f t="shared" si="13"/>
        <v>0</v>
      </c>
    </row>
    <row r="298" spans="6:7" x14ac:dyDescent="0.25">
      <c r="F298" s="22">
        <f t="shared" si="12"/>
        <v>0</v>
      </c>
      <c r="G298" s="8">
        <f t="shared" si="13"/>
        <v>0</v>
      </c>
    </row>
    <row r="299" spans="6:7" x14ac:dyDescent="0.25">
      <c r="F299" s="22">
        <f t="shared" si="12"/>
        <v>0</v>
      </c>
      <c r="G299" s="8">
        <f t="shared" si="13"/>
        <v>0</v>
      </c>
    </row>
    <row r="300" spans="6:7" x14ac:dyDescent="0.25">
      <c r="F300" s="22">
        <f t="shared" si="12"/>
        <v>0</v>
      </c>
      <c r="G300" s="8">
        <f t="shared" si="13"/>
        <v>0</v>
      </c>
    </row>
    <row r="301" spans="6:7" x14ac:dyDescent="0.25">
      <c r="F301" s="22">
        <f t="shared" si="12"/>
        <v>0</v>
      </c>
      <c r="G301" s="8">
        <f t="shared" si="13"/>
        <v>0</v>
      </c>
    </row>
    <row r="302" spans="6:7" x14ac:dyDescent="0.25">
      <c r="F302" s="22">
        <f t="shared" si="12"/>
        <v>0</v>
      </c>
      <c r="G302" s="8">
        <f t="shared" si="13"/>
        <v>0</v>
      </c>
    </row>
    <row r="303" spans="6:7" x14ac:dyDescent="0.25">
      <c r="F303" s="22">
        <f t="shared" si="12"/>
        <v>0</v>
      </c>
      <c r="G303" s="8">
        <f t="shared" si="13"/>
        <v>0</v>
      </c>
    </row>
    <row r="304" spans="6:7" x14ac:dyDescent="0.25">
      <c r="F304" s="22">
        <f t="shared" si="12"/>
        <v>0</v>
      </c>
      <c r="G304" s="8">
        <f t="shared" si="13"/>
        <v>0</v>
      </c>
    </row>
    <row r="305" spans="6:7" x14ac:dyDescent="0.25">
      <c r="F305" s="22">
        <f t="shared" si="12"/>
        <v>0</v>
      </c>
      <c r="G305" s="8">
        <f t="shared" si="13"/>
        <v>0</v>
      </c>
    </row>
    <row r="306" spans="6:7" x14ac:dyDescent="0.25">
      <c r="F306" s="22">
        <f t="shared" si="12"/>
        <v>0</v>
      </c>
      <c r="G306" s="8">
        <f t="shared" si="13"/>
        <v>0</v>
      </c>
    </row>
    <row r="307" spans="6:7" x14ac:dyDescent="0.25">
      <c r="F307" s="22">
        <f t="shared" si="12"/>
        <v>0</v>
      </c>
      <c r="G307" s="8">
        <f t="shared" si="13"/>
        <v>0</v>
      </c>
    </row>
    <row r="308" spans="6:7" x14ac:dyDescent="0.25">
      <c r="F308" s="22">
        <f t="shared" si="12"/>
        <v>0</v>
      </c>
      <c r="G308" s="8">
        <f t="shared" si="13"/>
        <v>0</v>
      </c>
    </row>
    <row r="309" spans="6:7" x14ac:dyDescent="0.25">
      <c r="F309" s="22">
        <f t="shared" si="12"/>
        <v>0</v>
      </c>
      <c r="G309" s="8">
        <f t="shared" si="13"/>
        <v>0</v>
      </c>
    </row>
    <row r="310" spans="6:7" x14ac:dyDescent="0.25">
      <c r="F310" s="22">
        <f t="shared" si="12"/>
        <v>0</v>
      </c>
      <c r="G310" s="8">
        <f t="shared" si="13"/>
        <v>0</v>
      </c>
    </row>
    <row r="311" spans="6:7" x14ac:dyDescent="0.25">
      <c r="F311" s="22">
        <f t="shared" si="12"/>
        <v>0</v>
      </c>
      <c r="G311" s="8">
        <f t="shared" si="13"/>
        <v>0</v>
      </c>
    </row>
    <row r="312" spans="6:7" x14ac:dyDescent="0.25">
      <c r="F312" s="22">
        <f t="shared" si="12"/>
        <v>0</v>
      </c>
      <c r="G312" s="8">
        <f t="shared" si="13"/>
        <v>0</v>
      </c>
    </row>
    <row r="313" spans="6:7" x14ac:dyDescent="0.25">
      <c r="F313" s="22">
        <f t="shared" si="12"/>
        <v>0</v>
      </c>
      <c r="G313" s="8">
        <f t="shared" si="13"/>
        <v>0</v>
      </c>
    </row>
    <row r="314" spans="6:7" x14ac:dyDescent="0.25">
      <c r="F314" s="22">
        <f t="shared" si="12"/>
        <v>0</v>
      </c>
      <c r="G314" s="8">
        <f t="shared" si="13"/>
        <v>0</v>
      </c>
    </row>
    <row r="315" spans="6:7" x14ac:dyDescent="0.25">
      <c r="F315" s="22">
        <f t="shared" si="12"/>
        <v>0</v>
      </c>
      <c r="G315" s="8">
        <f t="shared" si="13"/>
        <v>0</v>
      </c>
    </row>
    <row r="316" spans="6:7" x14ac:dyDescent="0.25">
      <c r="F316" s="22">
        <f t="shared" si="12"/>
        <v>0</v>
      </c>
      <c r="G316" s="8">
        <f t="shared" si="13"/>
        <v>0</v>
      </c>
    </row>
    <row r="317" spans="6:7" x14ac:dyDescent="0.25">
      <c r="F317" s="22">
        <f t="shared" si="12"/>
        <v>0</v>
      </c>
      <c r="G317" s="8">
        <f t="shared" si="13"/>
        <v>0</v>
      </c>
    </row>
    <row r="318" spans="6:7" x14ac:dyDescent="0.25">
      <c r="F318" s="22">
        <f t="shared" si="12"/>
        <v>0</v>
      </c>
      <c r="G318" s="8">
        <f t="shared" si="13"/>
        <v>0</v>
      </c>
    </row>
    <row r="319" spans="6:7" x14ac:dyDescent="0.25">
      <c r="F319" s="22">
        <f t="shared" si="12"/>
        <v>0</v>
      </c>
      <c r="G319" s="8">
        <f t="shared" si="13"/>
        <v>0</v>
      </c>
    </row>
    <row r="320" spans="6:7" x14ac:dyDescent="0.25">
      <c r="F320" s="22">
        <f t="shared" si="12"/>
        <v>0</v>
      </c>
      <c r="G320" s="8">
        <f t="shared" si="13"/>
        <v>0</v>
      </c>
    </row>
    <row r="321" spans="6:7" x14ac:dyDescent="0.25">
      <c r="F321" s="22">
        <f t="shared" si="12"/>
        <v>0</v>
      </c>
      <c r="G321" s="8">
        <f t="shared" si="13"/>
        <v>0</v>
      </c>
    </row>
    <row r="322" spans="6:7" x14ac:dyDescent="0.25">
      <c r="F322" s="22">
        <f t="shared" si="12"/>
        <v>0</v>
      </c>
      <c r="G322" s="8">
        <f t="shared" si="13"/>
        <v>0</v>
      </c>
    </row>
    <row r="323" spans="6:7" x14ac:dyDescent="0.25">
      <c r="F323" s="22">
        <f t="shared" si="12"/>
        <v>0</v>
      </c>
      <c r="G323" s="8">
        <f t="shared" si="13"/>
        <v>0</v>
      </c>
    </row>
    <row r="324" spans="6:7" x14ac:dyDescent="0.25">
      <c r="F324" s="22">
        <f t="shared" si="12"/>
        <v>0</v>
      </c>
      <c r="G324" s="8">
        <f t="shared" si="13"/>
        <v>0</v>
      </c>
    </row>
    <row r="325" spans="6:7" x14ac:dyDescent="0.25">
      <c r="F325" s="22">
        <f t="shared" si="12"/>
        <v>0</v>
      </c>
      <c r="G325" s="8">
        <f t="shared" si="13"/>
        <v>0</v>
      </c>
    </row>
    <row r="326" spans="6:7" x14ac:dyDescent="0.25">
      <c r="F326" s="22">
        <f t="shared" si="12"/>
        <v>0</v>
      </c>
      <c r="G326" s="8">
        <f t="shared" si="13"/>
        <v>0</v>
      </c>
    </row>
    <row r="327" spans="6:7" x14ac:dyDescent="0.25">
      <c r="F327" s="22">
        <f t="shared" si="12"/>
        <v>0</v>
      </c>
      <c r="G327" s="8">
        <f t="shared" si="13"/>
        <v>0</v>
      </c>
    </row>
    <row r="328" spans="6:7" x14ac:dyDescent="0.25">
      <c r="F328" s="22">
        <f t="shared" si="12"/>
        <v>0</v>
      </c>
      <c r="G328" s="8">
        <f t="shared" si="13"/>
        <v>0</v>
      </c>
    </row>
    <row r="329" spans="6:7" x14ac:dyDescent="0.25">
      <c r="F329" s="22">
        <f t="shared" si="12"/>
        <v>0</v>
      </c>
      <c r="G329" s="8">
        <f t="shared" si="13"/>
        <v>0</v>
      </c>
    </row>
    <row r="330" spans="6:7" x14ac:dyDescent="0.25">
      <c r="F330" s="22">
        <f t="shared" si="12"/>
        <v>0</v>
      </c>
      <c r="G330" s="8">
        <f t="shared" si="13"/>
        <v>0</v>
      </c>
    </row>
    <row r="331" spans="6:7" x14ac:dyDescent="0.25">
      <c r="F331" s="22">
        <f t="shared" si="12"/>
        <v>0</v>
      </c>
      <c r="G331" s="8">
        <f t="shared" si="13"/>
        <v>0</v>
      </c>
    </row>
    <row r="332" spans="6:7" x14ac:dyDescent="0.25">
      <c r="F332" s="22">
        <f t="shared" si="12"/>
        <v>0</v>
      </c>
      <c r="G332" s="8">
        <f t="shared" si="13"/>
        <v>0</v>
      </c>
    </row>
    <row r="333" spans="6:7" x14ac:dyDescent="0.25">
      <c r="F333" s="22">
        <f t="shared" si="12"/>
        <v>0</v>
      </c>
      <c r="G333" s="8">
        <f t="shared" si="13"/>
        <v>0</v>
      </c>
    </row>
    <row r="334" spans="6:7" x14ac:dyDescent="0.25">
      <c r="F334" s="22">
        <f t="shared" si="12"/>
        <v>0</v>
      </c>
      <c r="G334" s="8">
        <f t="shared" si="13"/>
        <v>0</v>
      </c>
    </row>
    <row r="335" spans="6:7" x14ac:dyDescent="0.25">
      <c r="F335" s="22">
        <f t="shared" si="12"/>
        <v>0</v>
      </c>
      <c r="G335" s="8">
        <f t="shared" si="13"/>
        <v>0</v>
      </c>
    </row>
    <row r="336" spans="6:7" x14ac:dyDescent="0.25">
      <c r="F336" s="22">
        <f t="shared" si="12"/>
        <v>0</v>
      </c>
      <c r="G336" s="8">
        <f t="shared" si="13"/>
        <v>0</v>
      </c>
    </row>
    <row r="337" spans="6:7" x14ac:dyDescent="0.25">
      <c r="F337" s="22">
        <f t="shared" si="12"/>
        <v>0</v>
      </c>
      <c r="G337" s="8">
        <f t="shared" si="13"/>
        <v>0</v>
      </c>
    </row>
    <row r="338" spans="6:7" x14ac:dyDescent="0.25">
      <c r="F338" s="22">
        <f t="shared" si="12"/>
        <v>0</v>
      </c>
      <c r="G338" s="8">
        <f t="shared" si="13"/>
        <v>0</v>
      </c>
    </row>
    <row r="339" spans="6:7" x14ac:dyDescent="0.25">
      <c r="F339" s="22">
        <f t="shared" si="12"/>
        <v>0</v>
      </c>
      <c r="G339" s="8">
        <f t="shared" si="13"/>
        <v>0</v>
      </c>
    </row>
    <row r="340" spans="6:7" x14ac:dyDescent="0.25">
      <c r="F340" s="22">
        <f t="shared" si="12"/>
        <v>0</v>
      </c>
      <c r="G340" s="8">
        <f t="shared" si="13"/>
        <v>0</v>
      </c>
    </row>
    <row r="341" spans="6:7" x14ac:dyDescent="0.25">
      <c r="F341" s="22">
        <f t="shared" si="12"/>
        <v>0</v>
      </c>
      <c r="G341" s="8">
        <f t="shared" si="13"/>
        <v>0</v>
      </c>
    </row>
    <row r="342" spans="6:7" x14ac:dyDescent="0.25">
      <c r="F342" s="22">
        <f t="shared" si="12"/>
        <v>0</v>
      </c>
      <c r="G342" s="8">
        <f t="shared" si="13"/>
        <v>0</v>
      </c>
    </row>
    <row r="343" spans="6:7" x14ac:dyDescent="0.25">
      <c r="F343" s="22">
        <f t="shared" si="12"/>
        <v>0</v>
      </c>
      <c r="G343" s="8">
        <f t="shared" si="13"/>
        <v>0</v>
      </c>
    </row>
    <row r="344" spans="6:7" x14ac:dyDescent="0.25">
      <c r="F344" s="22">
        <f t="shared" si="12"/>
        <v>0</v>
      </c>
      <c r="G344" s="8">
        <f t="shared" si="13"/>
        <v>0</v>
      </c>
    </row>
    <row r="345" spans="6:7" x14ac:dyDescent="0.25">
      <c r="F345" s="22">
        <f t="shared" si="12"/>
        <v>0</v>
      </c>
      <c r="G345" s="8">
        <f t="shared" si="13"/>
        <v>0</v>
      </c>
    </row>
    <row r="346" spans="6:7" x14ac:dyDescent="0.25">
      <c r="F346" s="22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2">
        <f t="shared" si="14"/>
        <v>0</v>
      </c>
      <c r="G347" s="8">
        <f t="shared" si="15"/>
        <v>0</v>
      </c>
    </row>
    <row r="348" spans="6:7" x14ac:dyDescent="0.25">
      <c r="F348" s="22">
        <f t="shared" si="14"/>
        <v>0</v>
      </c>
      <c r="G348" s="8">
        <f t="shared" si="15"/>
        <v>0</v>
      </c>
    </row>
    <row r="349" spans="6:7" x14ac:dyDescent="0.25">
      <c r="F349" s="22">
        <f t="shared" si="14"/>
        <v>0</v>
      </c>
      <c r="G349" s="8">
        <f t="shared" si="15"/>
        <v>0</v>
      </c>
    </row>
    <row r="350" spans="6:7" x14ac:dyDescent="0.25">
      <c r="F350" s="22">
        <f t="shared" si="14"/>
        <v>0</v>
      </c>
      <c r="G350" s="8">
        <f t="shared" si="15"/>
        <v>0</v>
      </c>
    </row>
    <row r="351" spans="6:7" x14ac:dyDescent="0.25">
      <c r="F351" s="22">
        <f t="shared" si="14"/>
        <v>0</v>
      </c>
      <c r="G351" s="8">
        <f t="shared" si="15"/>
        <v>0</v>
      </c>
    </row>
    <row r="352" spans="6:7" x14ac:dyDescent="0.25">
      <c r="F352" s="22">
        <f t="shared" si="14"/>
        <v>0</v>
      </c>
      <c r="G352" s="8">
        <f t="shared" si="15"/>
        <v>0</v>
      </c>
    </row>
    <row r="353" spans="6:7" x14ac:dyDescent="0.25">
      <c r="F353" s="22">
        <f t="shared" si="14"/>
        <v>0</v>
      </c>
      <c r="G353" s="8">
        <f t="shared" si="15"/>
        <v>0</v>
      </c>
    </row>
    <row r="354" spans="6:7" x14ac:dyDescent="0.25">
      <c r="F354" s="22">
        <f t="shared" si="14"/>
        <v>0</v>
      </c>
      <c r="G354" s="8">
        <f t="shared" si="15"/>
        <v>0</v>
      </c>
    </row>
    <row r="355" spans="6:7" x14ac:dyDescent="0.25">
      <c r="F355" s="22">
        <f t="shared" si="14"/>
        <v>0</v>
      </c>
      <c r="G355" s="8">
        <f t="shared" si="15"/>
        <v>0</v>
      </c>
    </row>
    <row r="356" spans="6:7" x14ac:dyDescent="0.25">
      <c r="F356" s="22">
        <f t="shared" si="14"/>
        <v>0</v>
      </c>
      <c r="G356" s="8">
        <f t="shared" si="15"/>
        <v>0</v>
      </c>
    </row>
    <row r="357" spans="6:7" x14ac:dyDescent="0.25">
      <c r="F357" s="22">
        <f t="shared" si="14"/>
        <v>0</v>
      </c>
      <c r="G357" s="8">
        <f t="shared" si="15"/>
        <v>0</v>
      </c>
    </row>
    <row r="358" spans="6:7" x14ac:dyDescent="0.25">
      <c r="F358" s="22">
        <f t="shared" si="14"/>
        <v>0</v>
      </c>
      <c r="G358" s="8">
        <f t="shared" si="15"/>
        <v>0</v>
      </c>
    </row>
    <row r="359" spans="6:7" x14ac:dyDescent="0.25">
      <c r="F359" s="22">
        <f t="shared" si="14"/>
        <v>0</v>
      </c>
      <c r="G359" s="8">
        <f t="shared" si="15"/>
        <v>0</v>
      </c>
    </row>
    <row r="360" spans="6:7" x14ac:dyDescent="0.25">
      <c r="F360" s="22">
        <f t="shared" si="14"/>
        <v>0</v>
      </c>
      <c r="G360" s="8">
        <f t="shared" si="15"/>
        <v>0</v>
      </c>
    </row>
    <row r="361" spans="6:7" x14ac:dyDescent="0.25">
      <c r="F361" s="22">
        <f t="shared" si="14"/>
        <v>0</v>
      </c>
      <c r="G361" s="8">
        <f t="shared" si="15"/>
        <v>0</v>
      </c>
    </row>
    <row r="362" spans="6:7" x14ac:dyDescent="0.25">
      <c r="F362" s="22">
        <f t="shared" si="14"/>
        <v>0</v>
      </c>
      <c r="G362" s="8">
        <f t="shared" si="15"/>
        <v>0</v>
      </c>
    </row>
    <row r="363" spans="6:7" x14ac:dyDescent="0.25">
      <c r="F363" s="22">
        <f t="shared" si="14"/>
        <v>0</v>
      </c>
      <c r="G363" s="8">
        <f t="shared" si="15"/>
        <v>0</v>
      </c>
    </row>
    <row r="364" spans="6:7" x14ac:dyDescent="0.25">
      <c r="F364" s="22">
        <f t="shared" si="14"/>
        <v>0</v>
      </c>
      <c r="G364" s="8">
        <f t="shared" si="15"/>
        <v>0</v>
      </c>
    </row>
    <row r="365" spans="6:7" x14ac:dyDescent="0.25">
      <c r="F365" s="22">
        <f t="shared" si="14"/>
        <v>0</v>
      </c>
      <c r="G365" s="8">
        <f t="shared" si="15"/>
        <v>0</v>
      </c>
    </row>
    <row r="366" spans="6:7" x14ac:dyDescent="0.25">
      <c r="F366" s="22">
        <f t="shared" si="14"/>
        <v>0</v>
      </c>
      <c r="G366" s="8">
        <f t="shared" si="15"/>
        <v>0</v>
      </c>
    </row>
    <row r="367" spans="6:7" x14ac:dyDescent="0.25">
      <c r="F367" s="22">
        <f t="shared" si="14"/>
        <v>0</v>
      </c>
      <c r="G367" s="8">
        <f t="shared" si="15"/>
        <v>0</v>
      </c>
    </row>
    <row r="368" spans="6:7" x14ac:dyDescent="0.25">
      <c r="F368" s="22">
        <f t="shared" si="14"/>
        <v>0</v>
      </c>
      <c r="G368" s="8">
        <f t="shared" si="15"/>
        <v>0</v>
      </c>
    </row>
    <row r="369" spans="6:7" x14ac:dyDescent="0.25">
      <c r="F369" s="22">
        <f t="shared" si="14"/>
        <v>0</v>
      </c>
      <c r="G369" s="8">
        <f t="shared" si="15"/>
        <v>0</v>
      </c>
    </row>
    <row r="370" spans="6:7" x14ac:dyDescent="0.25">
      <c r="F370" s="22">
        <f t="shared" si="14"/>
        <v>0</v>
      </c>
      <c r="G370" s="8">
        <f t="shared" si="15"/>
        <v>0</v>
      </c>
    </row>
    <row r="371" spans="6:7" x14ac:dyDescent="0.25">
      <c r="F371" s="22">
        <f t="shared" si="14"/>
        <v>0</v>
      </c>
      <c r="G371" s="8">
        <f t="shared" si="15"/>
        <v>0</v>
      </c>
    </row>
    <row r="372" spans="6:7" x14ac:dyDescent="0.25">
      <c r="F372" s="22">
        <f t="shared" si="14"/>
        <v>0</v>
      </c>
      <c r="G372" s="8">
        <f t="shared" si="15"/>
        <v>0</v>
      </c>
    </row>
    <row r="373" spans="6:7" x14ac:dyDescent="0.25">
      <c r="F373" s="22">
        <f t="shared" si="14"/>
        <v>0</v>
      </c>
      <c r="G373" s="8">
        <f t="shared" si="15"/>
        <v>0</v>
      </c>
    </row>
    <row r="374" spans="6:7" x14ac:dyDescent="0.25">
      <c r="F374" s="22">
        <f t="shared" si="14"/>
        <v>0</v>
      </c>
      <c r="G374" s="8">
        <f t="shared" si="15"/>
        <v>0</v>
      </c>
    </row>
    <row r="375" spans="6:7" x14ac:dyDescent="0.25">
      <c r="F375" s="22">
        <f t="shared" si="14"/>
        <v>0</v>
      </c>
      <c r="G375" s="8">
        <f t="shared" si="15"/>
        <v>0</v>
      </c>
    </row>
    <row r="376" spans="6:7" x14ac:dyDescent="0.25">
      <c r="F376" s="22">
        <f t="shared" si="14"/>
        <v>0</v>
      </c>
      <c r="G376" s="8">
        <f t="shared" si="15"/>
        <v>0</v>
      </c>
    </row>
    <row r="377" spans="6:7" x14ac:dyDescent="0.25">
      <c r="F377" s="22">
        <f t="shared" si="14"/>
        <v>0</v>
      </c>
      <c r="G377" s="8">
        <f t="shared" si="15"/>
        <v>0</v>
      </c>
    </row>
    <row r="378" spans="6:7" x14ac:dyDescent="0.25">
      <c r="F378" s="22">
        <f t="shared" si="14"/>
        <v>0</v>
      </c>
      <c r="G378" s="8">
        <f t="shared" si="15"/>
        <v>0</v>
      </c>
    </row>
    <row r="379" spans="6:7" x14ac:dyDescent="0.25">
      <c r="F379" s="22">
        <f t="shared" si="14"/>
        <v>0</v>
      </c>
      <c r="G379" s="8">
        <f t="shared" si="15"/>
        <v>0</v>
      </c>
    </row>
    <row r="380" spans="6:7" x14ac:dyDescent="0.25">
      <c r="F380" s="22">
        <f t="shared" si="14"/>
        <v>0</v>
      </c>
      <c r="G380" s="8">
        <f t="shared" si="15"/>
        <v>0</v>
      </c>
    </row>
    <row r="381" spans="6:7" x14ac:dyDescent="0.25">
      <c r="F381" s="22">
        <f t="shared" si="14"/>
        <v>0</v>
      </c>
      <c r="G381" s="8">
        <f t="shared" si="15"/>
        <v>0</v>
      </c>
    </row>
    <row r="382" spans="6:7" x14ac:dyDescent="0.25">
      <c r="F382" s="22">
        <f t="shared" si="14"/>
        <v>0</v>
      </c>
      <c r="G382" s="8">
        <f t="shared" si="15"/>
        <v>0</v>
      </c>
    </row>
    <row r="383" spans="6:7" x14ac:dyDescent="0.25">
      <c r="F383" s="22">
        <f t="shared" si="14"/>
        <v>0</v>
      </c>
      <c r="G383" s="8">
        <f t="shared" si="15"/>
        <v>0</v>
      </c>
    </row>
    <row r="384" spans="6:7" x14ac:dyDescent="0.25">
      <c r="F384" s="22">
        <f t="shared" si="14"/>
        <v>0</v>
      </c>
      <c r="G384" s="8">
        <f t="shared" si="15"/>
        <v>0</v>
      </c>
    </row>
    <row r="385" spans="6:7" x14ac:dyDescent="0.25">
      <c r="F385" s="22">
        <f t="shared" si="14"/>
        <v>0</v>
      </c>
      <c r="G385" s="8">
        <f t="shared" si="15"/>
        <v>0</v>
      </c>
    </row>
    <row r="386" spans="6:7" x14ac:dyDescent="0.25">
      <c r="F386" s="22">
        <f t="shared" si="14"/>
        <v>0</v>
      </c>
      <c r="G386" s="8">
        <f t="shared" si="15"/>
        <v>0</v>
      </c>
    </row>
    <row r="387" spans="6:7" x14ac:dyDescent="0.25">
      <c r="F387" s="22">
        <f t="shared" si="14"/>
        <v>0</v>
      </c>
      <c r="G387" s="8">
        <f t="shared" si="15"/>
        <v>0</v>
      </c>
    </row>
    <row r="388" spans="6:7" x14ac:dyDescent="0.25">
      <c r="F388" s="22">
        <f t="shared" si="14"/>
        <v>0</v>
      </c>
      <c r="G388" s="8">
        <f t="shared" si="15"/>
        <v>0</v>
      </c>
    </row>
    <row r="389" spans="6:7" x14ac:dyDescent="0.25">
      <c r="F389" s="22">
        <f t="shared" si="14"/>
        <v>0</v>
      </c>
      <c r="G389" s="8">
        <f t="shared" si="15"/>
        <v>0</v>
      </c>
    </row>
    <row r="390" spans="6:7" x14ac:dyDescent="0.25">
      <c r="F390" s="22">
        <f t="shared" si="14"/>
        <v>0</v>
      </c>
      <c r="G390" s="8">
        <f t="shared" si="15"/>
        <v>0</v>
      </c>
    </row>
    <row r="391" spans="6:7" x14ac:dyDescent="0.25">
      <c r="F391" s="22">
        <f t="shared" si="14"/>
        <v>0</v>
      </c>
      <c r="G391" s="8">
        <f t="shared" si="15"/>
        <v>0</v>
      </c>
    </row>
    <row r="392" spans="6:7" x14ac:dyDescent="0.25">
      <c r="F392" s="22">
        <f t="shared" si="14"/>
        <v>0</v>
      </c>
      <c r="G392" s="8">
        <f t="shared" si="15"/>
        <v>0</v>
      </c>
    </row>
    <row r="393" spans="6:7" x14ac:dyDescent="0.25">
      <c r="F393" s="22">
        <f t="shared" si="14"/>
        <v>0</v>
      </c>
      <c r="G393" s="8">
        <f t="shared" si="15"/>
        <v>0</v>
      </c>
    </row>
    <row r="394" spans="6:7" x14ac:dyDescent="0.25">
      <c r="F394" s="22">
        <f t="shared" si="14"/>
        <v>0</v>
      </c>
      <c r="G394" s="8">
        <f t="shared" si="15"/>
        <v>0</v>
      </c>
    </row>
    <row r="395" spans="6:7" x14ac:dyDescent="0.25">
      <c r="F395" s="22">
        <f t="shared" si="14"/>
        <v>0</v>
      </c>
      <c r="G395" s="8">
        <f t="shared" si="15"/>
        <v>0</v>
      </c>
    </row>
    <row r="396" spans="6:7" x14ac:dyDescent="0.25">
      <c r="F396" s="22">
        <f t="shared" si="14"/>
        <v>0</v>
      </c>
      <c r="G396" s="8">
        <f t="shared" si="15"/>
        <v>0</v>
      </c>
    </row>
    <row r="397" spans="6:7" x14ac:dyDescent="0.25">
      <c r="F397" s="22">
        <f t="shared" si="14"/>
        <v>0</v>
      </c>
      <c r="G397" s="8">
        <f t="shared" si="15"/>
        <v>0</v>
      </c>
    </row>
    <row r="398" spans="6:7" x14ac:dyDescent="0.25">
      <c r="F398" s="22">
        <f t="shared" si="14"/>
        <v>0</v>
      </c>
      <c r="G398" s="8">
        <f t="shared" si="15"/>
        <v>0</v>
      </c>
    </row>
    <row r="399" spans="6:7" x14ac:dyDescent="0.25">
      <c r="F399" s="22">
        <f t="shared" si="14"/>
        <v>0</v>
      </c>
      <c r="G399" s="8">
        <f t="shared" si="15"/>
        <v>0</v>
      </c>
    </row>
    <row r="400" spans="6:7" x14ac:dyDescent="0.25">
      <c r="F400" s="22">
        <f t="shared" si="14"/>
        <v>0</v>
      </c>
      <c r="G400" s="8">
        <f t="shared" si="15"/>
        <v>0</v>
      </c>
    </row>
    <row r="401" spans="6:7" x14ac:dyDescent="0.25">
      <c r="F401" s="22">
        <f t="shared" si="14"/>
        <v>0</v>
      </c>
      <c r="G401" s="8">
        <f t="shared" si="15"/>
        <v>0</v>
      </c>
    </row>
    <row r="402" spans="6:7" x14ac:dyDescent="0.25">
      <c r="F402" s="22">
        <f t="shared" si="14"/>
        <v>0</v>
      </c>
      <c r="G402" s="8">
        <f t="shared" si="15"/>
        <v>0</v>
      </c>
    </row>
    <row r="403" spans="6:7" x14ac:dyDescent="0.25">
      <c r="F403" s="22">
        <f t="shared" si="14"/>
        <v>0</v>
      </c>
      <c r="G403" s="8">
        <f t="shared" si="15"/>
        <v>0</v>
      </c>
    </row>
    <row r="404" spans="6:7" x14ac:dyDescent="0.25">
      <c r="F404" s="22">
        <f t="shared" si="14"/>
        <v>0</v>
      </c>
      <c r="G404" s="8">
        <f t="shared" si="15"/>
        <v>0</v>
      </c>
    </row>
    <row r="405" spans="6:7" x14ac:dyDescent="0.25">
      <c r="F405" s="22">
        <f t="shared" si="14"/>
        <v>0</v>
      </c>
      <c r="G405" s="8">
        <f t="shared" si="15"/>
        <v>0</v>
      </c>
    </row>
    <row r="406" spans="6:7" x14ac:dyDescent="0.25">
      <c r="F406" s="22">
        <f t="shared" si="14"/>
        <v>0</v>
      </c>
      <c r="G406" s="8">
        <f t="shared" si="15"/>
        <v>0</v>
      </c>
    </row>
    <row r="407" spans="6:7" x14ac:dyDescent="0.25">
      <c r="F407" s="22">
        <f t="shared" si="14"/>
        <v>0</v>
      </c>
      <c r="G407" s="8">
        <f t="shared" si="15"/>
        <v>0</v>
      </c>
    </row>
    <row r="408" spans="6:7" x14ac:dyDescent="0.25">
      <c r="F408" s="22">
        <f t="shared" si="14"/>
        <v>0</v>
      </c>
      <c r="G408" s="8">
        <f t="shared" si="15"/>
        <v>0</v>
      </c>
    </row>
    <row r="409" spans="6:7" x14ac:dyDescent="0.25">
      <c r="F409" s="22">
        <f t="shared" si="14"/>
        <v>0</v>
      </c>
      <c r="G409" s="8">
        <f t="shared" si="15"/>
        <v>0</v>
      </c>
    </row>
    <row r="410" spans="6:7" x14ac:dyDescent="0.25">
      <c r="F410" s="22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2">
        <f t="shared" si="16"/>
        <v>0</v>
      </c>
      <c r="G411" s="8">
        <f t="shared" si="17"/>
        <v>0</v>
      </c>
    </row>
    <row r="412" spans="6:7" x14ac:dyDescent="0.25">
      <c r="F412" s="22">
        <f t="shared" si="16"/>
        <v>0</v>
      </c>
      <c r="G412" s="8">
        <f t="shared" si="17"/>
        <v>0</v>
      </c>
    </row>
    <row r="413" spans="6:7" x14ac:dyDescent="0.25">
      <c r="F413" s="22">
        <f t="shared" si="16"/>
        <v>0</v>
      </c>
      <c r="G413" s="8">
        <f t="shared" si="17"/>
        <v>0</v>
      </c>
    </row>
    <row r="414" spans="6:7" x14ac:dyDescent="0.25">
      <c r="F414" s="22">
        <f t="shared" si="16"/>
        <v>0</v>
      </c>
      <c r="G414" s="8">
        <f t="shared" si="17"/>
        <v>0</v>
      </c>
    </row>
    <row r="415" spans="6:7" x14ac:dyDescent="0.25">
      <c r="F415" s="22">
        <f t="shared" si="16"/>
        <v>0</v>
      </c>
      <c r="G415" s="8">
        <f t="shared" si="17"/>
        <v>0</v>
      </c>
    </row>
    <row r="416" spans="6:7" x14ac:dyDescent="0.25">
      <c r="F416" s="22">
        <f t="shared" si="16"/>
        <v>0</v>
      </c>
      <c r="G416" s="8">
        <f t="shared" si="17"/>
        <v>0</v>
      </c>
    </row>
    <row r="417" spans="6:7" x14ac:dyDescent="0.25">
      <c r="F417" s="22">
        <f t="shared" si="16"/>
        <v>0</v>
      </c>
      <c r="G417" s="8">
        <f t="shared" si="17"/>
        <v>0</v>
      </c>
    </row>
    <row r="418" spans="6:7" x14ac:dyDescent="0.25">
      <c r="F418" s="22">
        <f t="shared" si="16"/>
        <v>0</v>
      </c>
      <c r="G418" s="8">
        <f t="shared" si="17"/>
        <v>0</v>
      </c>
    </row>
    <row r="419" spans="6:7" x14ac:dyDescent="0.25">
      <c r="F419" s="22">
        <f t="shared" si="16"/>
        <v>0</v>
      </c>
      <c r="G419" s="8">
        <f t="shared" si="17"/>
        <v>0</v>
      </c>
    </row>
    <row r="420" spans="6:7" x14ac:dyDescent="0.25">
      <c r="F420" s="22">
        <f t="shared" si="16"/>
        <v>0</v>
      </c>
      <c r="G420" s="8">
        <f t="shared" si="17"/>
        <v>0</v>
      </c>
    </row>
    <row r="421" spans="6:7" x14ac:dyDescent="0.25">
      <c r="F421" s="22">
        <f t="shared" si="16"/>
        <v>0</v>
      </c>
      <c r="G421" s="8">
        <f t="shared" si="17"/>
        <v>0</v>
      </c>
    </row>
    <row r="422" spans="6:7" x14ac:dyDescent="0.25">
      <c r="F422" s="22">
        <f t="shared" si="16"/>
        <v>0</v>
      </c>
      <c r="G422" s="8">
        <f t="shared" si="17"/>
        <v>0</v>
      </c>
    </row>
    <row r="423" spans="6:7" x14ac:dyDescent="0.25">
      <c r="F423" s="22">
        <f t="shared" si="16"/>
        <v>0</v>
      </c>
      <c r="G423" s="8">
        <f t="shared" si="17"/>
        <v>0</v>
      </c>
    </row>
    <row r="424" spans="6:7" x14ac:dyDescent="0.25">
      <c r="F424" s="22">
        <f t="shared" si="16"/>
        <v>0</v>
      </c>
      <c r="G424" s="8">
        <f t="shared" si="17"/>
        <v>0</v>
      </c>
    </row>
    <row r="425" spans="6:7" x14ac:dyDescent="0.25">
      <c r="F425" s="22">
        <f t="shared" si="16"/>
        <v>0</v>
      </c>
      <c r="G425" s="8">
        <f t="shared" si="17"/>
        <v>0</v>
      </c>
    </row>
    <row r="426" spans="6:7" x14ac:dyDescent="0.25">
      <c r="F426" s="22">
        <f t="shared" si="16"/>
        <v>0</v>
      </c>
      <c r="G426" s="8">
        <f t="shared" si="17"/>
        <v>0</v>
      </c>
    </row>
    <row r="427" spans="6:7" x14ac:dyDescent="0.25">
      <c r="F427" s="22">
        <f t="shared" si="16"/>
        <v>0</v>
      </c>
      <c r="G427" s="8">
        <f t="shared" si="17"/>
        <v>0</v>
      </c>
    </row>
    <row r="428" spans="6:7" x14ac:dyDescent="0.25">
      <c r="F428" s="22">
        <f t="shared" si="16"/>
        <v>0</v>
      </c>
      <c r="G428" s="8">
        <f t="shared" si="17"/>
        <v>0</v>
      </c>
    </row>
    <row r="429" spans="6:7" x14ac:dyDescent="0.25">
      <c r="F429" s="22">
        <f t="shared" si="16"/>
        <v>0</v>
      </c>
      <c r="G429" s="8">
        <f t="shared" si="17"/>
        <v>0</v>
      </c>
    </row>
    <row r="430" spans="6:7" x14ac:dyDescent="0.25">
      <c r="F430" s="22">
        <f t="shared" si="16"/>
        <v>0</v>
      </c>
      <c r="G430" s="8">
        <f t="shared" si="17"/>
        <v>0</v>
      </c>
    </row>
    <row r="431" spans="6:7" x14ac:dyDescent="0.25">
      <c r="F431" s="22">
        <f t="shared" si="16"/>
        <v>0</v>
      </c>
      <c r="G431" s="8">
        <f t="shared" si="17"/>
        <v>0</v>
      </c>
    </row>
    <row r="432" spans="6:7" x14ac:dyDescent="0.25">
      <c r="F432" s="22">
        <f t="shared" si="16"/>
        <v>0</v>
      </c>
      <c r="G432" s="8">
        <f t="shared" si="17"/>
        <v>0</v>
      </c>
    </row>
    <row r="433" spans="6:7" x14ac:dyDescent="0.25">
      <c r="F433" s="22">
        <f t="shared" si="16"/>
        <v>0</v>
      </c>
      <c r="G433" s="8">
        <f t="shared" si="17"/>
        <v>0</v>
      </c>
    </row>
    <row r="434" spans="6:7" x14ac:dyDescent="0.25">
      <c r="F434" s="22">
        <f t="shared" si="16"/>
        <v>0</v>
      </c>
      <c r="G434" s="8">
        <f t="shared" si="17"/>
        <v>0</v>
      </c>
    </row>
    <row r="435" spans="6:7" x14ac:dyDescent="0.25">
      <c r="F435" s="22">
        <f t="shared" si="16"/>
        <v>0</v>
      </c>
      <c r="G435" s="8">
        <f t="shared" si="17"/>
        <v>0</v>
      </c>
    </row>
    <row r="436" spans="6:7" x14ac:dyDescent="0.25">
      <c r="F436" s="22">
        <f t="shared" si="16"/>
        <v>0</v>
      </c>
      <c r="G436" s="8">
        <f t="shared" si="17"/>
        <v>0</v>
      </c>
    </row>
    <row r="437" spans="6:7" x14ac:dyDescent="0.25">
      <c r="F437" s="22">
        <f t="shared" si="16"/>
        <v>0</v>
      </c>
      <c r="G437" s="8">
        <f t="shared" si="17"/>
        <v>0</v>
      </c>
    </row>
    <row r="438" spans="6:7" x14ac:dyDescent="0.25">
      <c r="F438" s="22">
        <f t="shared" si="16"/>
        <v>0</v>
      </c>
      <c r="G438" s="8">
        <f t="shared" si="17"/>
        <v>0</v>
      </c>
    </row>
    <row r="439" spans="6:7" x14ac:dyDescent="0.25">
      <c r="F439" s="22">
        <f t="shared" si="16"/>
        <v>0</v>
      </c>
      <c r="G439" s="8">
        <f t="shared" si="17"/>
        <v>0</v>
      </c>
    </row>
    <row r="440" spans="6:7" x14ac:dyDescent="0.25">
      <c r="F440" s="22">
        <f t="shared" si="16"/>
        <v>0</v>
      </c>
      <c r="G440" s="8">
        <f t="shared" si="17"/>
        <v>0</v>
      </c>
    </row>
    <row r="441" spans="6:7" x14ac:dyDescent="0.25">
      <c r="F441" s="22">
        <f t="shared" si="16"/>
        <v>0</v>
      </c>
      <c r="G441" s="8">
        <f t="shared" si="17"/>
        <v>0</v>
      </c>
    </row>
    <row r="442" spans="6:7" x14ac:dyDescent="0.25">
      <c r="F442" s="22">
        <f t="shared" si="16"/>
        <v>0</v>
      </c>
      <c r="G442" s="8">
        <f t="shared" si="17"/>
        <v>0</v>
      </c>
    </row>
    <row r="443" spans="6:7" x14ac:dyDescent="0.25">
      <c r="F443" s="22">
        <f t="shared" si="16"/>
        <v>0</v>
      </c>
      <c r="G443" s="8">
        <f t="shared" si="17"/>
        <v>0</v>
      </c>
    </row>
    <row r="444" spans="6:7" x14ac:dyDescent="0.25">
      <c r="F444" s="22">
        <f t="shared" si="16"/>
        <v>0</v>
      </c>
      <c r="G444" s="8">
        <f t="shared" si="17"/>
        <v>0</v>
      </c>
    </row>
    <row r="445" spans="6:7" x14ac:dyDescent="0.25">
      <c r="F445" s="22">
        <f t="shared" si="16"/>
        <v>0</v>
      </c>
      <c r="G445" s="8">
        <f t="shared" si="17"/>
        <v>0</v>
      </c>
    </row>
    <row r="446" spans="6:7" x14ac:dyDescent="0.25">
      <c r="F446" s="22">
        <f t="shared" si="16"/>
        <v>0</v>
      </c>
      <c r="G446" s="8">
        <f t="shared" si="17"/>
        <v>0</v>
      </c>
    </row>
    <row r="447" spans="6:7" x14ac:dyDescent="0.25">
      <c r="F447" s="22">
        <f t="shared" si="16"/>
        <v>0</v>
      </c>
      <c r="G447" s="8">
        <f t="shared" si="17"/>
        <v>0</v>
      </c>
    </row>
    <row r="448" spans="6:7" x14ac:dyDescent="0.25">
      <c r="F448" s="22">
        <f t="shared" si="16"/>
        <v>0</v>
      </c>
      <c r="G448" s="8">
        <f t="shared" si="17"/>
        <v>0</v>
      </c>
    </row>
    <row r="449" spans="6:7" x14ac:dyDescent="0.25">
      <c r="F449" s="22">
        <f t="shared" si="16"/>
        <v>0</v>
      </c>
      <c r="G449" s="8">
        <f t="shared" si="17"/>
        <v>0</v>
      </c>
    </row>
    <row r="450" spans="6:7" x14ac:dyDescent="0.25">
      <c r="F450" s="22">
        <f t="shared" si="16"/>
        <v>0</v>
      </c>
      <c r="G450" s="8">
        <f t="shared" si="17"/>
        <v>0</v>
      </c>
    </row>
    <row r="451" spans="6:7" x14ac:dyDescent="0.25">
      <c r="F451" s="22">
        <f t="shared" si="16"/>
        <v>0</v>
      </c>
      <c r="G451" s="8">
        <f t="shared" si="17"/>
        <v>0</v>
      </c>
    </row>
    <row r="452" spans="6:7" x14ac:dyDescent="0.25">
      <c r="F452" s="22">
        <f t="shared" si="16"/>
        <v>0</v>
      </c>
      <c r="G452" s="8">
        <f t="shared" si="17"/>
        <v>0</v>
      </c>
    </row>
    <row r="453" spans="6:7" x14ac:dyDescent="0.25">
      <c r="F453" s="22">
        <f t="shared" si="16"/>
        <v>0</v>
      </c>
      <c r="G453" s="8">
        <f t="shared" si="17"/>
        <v>0</v>
      </c>
    </row>
    <row r="454" spans="6:7" x14ac:dyDescent="0.25">
      <c r="F454" s="22">
        <f t="shared" si="16"/>
        <v>0</v>
      </c>
      <c r="G454" s="8">
        <f t="shared" si="17"/>
        <v>0</v>
      </c>
    </row>
    <row r="455" spans="6:7" x14ac:dyDescent="0.25">
      <c r="F455" s="22">
        <f t="shared" si="16"/>
        <v>0</v>
      </c>
      <c r="G455" s="8">
        <f t="shared" si="17"/>
        <v>0</v>
      </c>
    </row>
    <row r="456" spans="6:7" x14ac:dyDescent="0.25">
      <c r="F456" s="22">
        <f t="shared" si="16"/>
        <v>0</v>
      </c>
      <c r="G456" s="8">
        <f t="shared" si="17"/>
        <v>0</v>
      </c>
    </row>
    <row r="457" spans="6:7" x14ac:dyDescent="0.25">
      <c r="F457" s="22">
        <f t="shared" si="16"/>
        <v>0</v>
      </c>
      <c r="G457" s="8">
        <f t="shared" si="17"/>
        <v>0</v>
      </c>
    </row>
    <row r="458" spans="6:7" x14ac:dyDescent="0.25">
      <c r="F458" s="22">
        <f t="shared" si="16"/>
        <v>0</v>
      </c>
      <c r="G458" s="8">
        <f t="shared" si="17"/>
        <v>0</v>
      </c>
    </row>
    <row r="459" spans="6:7" x14ac:dyDescent="0.25">
      <c r="F459" s="22">
        <f t="shared" si="16"/>
        <v>0</v>
      </c>
      <c r="G459" s="8">
        <f t="shared" si="17"/>
        <v>0</v>
      </c>
    </row>
    <row r="460" spans="6:7" x14ac:dyDescent="0.25">
      <c r="F460" s="22">
        <f t="shared" si="16"/>
        <v>0</v>
      </c>
      <c r="G460" s="8">
        <f t="shared" si="17"/>
        <v>0</v>
      </c>
    </row>
    <row r="461" spans="6:7" x14ac:dyDescent="0.25">
      <c r="F461" s="22">
        <f t="shared" si="16"/>
        <v>0</v>
      </c>
      <c r="G461" s="8">
        <f t="shared" si="17"/>
        <v>0</v>
      </c>
    </row>
    <row r="462" spans="6:7" x14ac:dyDescent="0.25">
      <c r="F462" s="22">
        <f t="shared" si="16"/>
        <v>0</v>
      </c>
      <c r="G462" s="8">
        <f t="shared" si="17"/>
        <v>0</v>
      </c>
    </row>
    <row r="463" spans="6:7" x14ac:dyDescent="0.25">
      <c r="F463" s="22">
        <f t="shared" si="16"/>
        <v>0</v>
      </c>
      <c r="G463" s="8">
        <f t="shared" si="17"/>
        <v>0</v>
      </c>
    </row>
    <row r="464" spans="6:7" x14ac:dyDescent="0.25">
      <c r="F464" s="22">
        <f t="shared" si="16"/>
        <v>0</v>
      </c>
      <c r="G464" s="8">
        <f t="shared" si="17"/>
        <v>0</v>
      </c>
    </row>
    <row r="465" spans="6:7" x14ac:dyDescent="0.25">
      <c r="F465" s="22">
        <f t="shared" si="16"/>
        <v>0</v>
      </c>
      <c r="G465" s="8">
        <f t="shared" si="17"/>
        <v>0</v>
      </c>
    </row>
    <row r="466" spans="6:7" x14ac:dyDescent="0.25">
      <c r="F466" s="22">
        <f t="shared" si="16"/>
        <v>0</v>
      </c>
      <c r="G466" s="8">
        <f t="shared" si="17"/>
        <v>0</v>
      </c>
    </row>
    <row r="467" spans="6:7" x14ac:dyDescent="0.25">
      <c r="F467" s="22">
        <f t="shared" si="16"/>
        <v>0</v>
      </c>
      <c r="G467" s="8">
        <f t="shared" si="17"/>
        <v>0</v>
      </c>
    </row>
    <row r="468" spans="6:7" x14ac:dyDescent="0.25">
      <c r="F468" s="22">
        <f t="shared" si="16"/>
        <v>0</v>
      </c>
      <c r="G468" s="8">
        <f t="shared" si="17"/>
        <v>0</v>
      </c>
    </row>
    <row r="469" spans="6:7" x14ac:dyDescent="0.25">
      <c r="F469" s="22">
        <f t="shared" si="16"/>
        <v>0</v>
      </c>
      <c r="G469" s="8">
        <f t="shared" si="17"/>
        <v>0</v>
      </c>
    </row>
    <row r="470" spans="6:7" x14ac:dyDescent="0.25">
      <c r="F470" s="22">
        <f t="shared" si="16"/>
        <v>0</v>
      </c>
      <c r="G470" s="8">
        <f t="shared" si="17"/>
        <v>0</v>
      </c>
    </row>
    <row r="471" spans="6:7" x14ac:dyDescent="0.25">
      <c r="F471" s="22">
        <f t="shared" si="16"/>
        <v>0</v>
      </c>
      <c r="G471" s="8">
        <f t="shared" si="17"/>
        <v>0</v>
      </c>
    </row>
    <row r="472" spans="6:7" x14ac:dyDescent="0.25">
      <c r="F472" s="22">
        <f t="shared" si="16"/>
        <v>0</v>
      </c>
      <c r="G472" s="8">
        <f t="shared" si="17"/>
        <v>0</v>
      </c>
    </row>
    <row r="473" spans="6:7" x14ac:dyDescent="0.25">
      <c r="F473" s="22">
        <f t="shared" si="16"/>
        <v>0</v>
      </c>
      <c r="G473" s="8">
        <f t="shared" si="17"/>
        <v>0</v>
      </c>
    </row>
    <row r="474" spans="6:7" x14ac:dyDescent="0.25">
      <c r="F474" s="22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2">
        <f t="shared" si="18"/>
        <v>0</v>
      </c>
      <c r="G475" s="8">
        <f t="shared" si="19"/>
        <v>0</v>
      </c>
    </row>
    <row r="476" spans="6:7" x14ac:dyDescent="0.25">
      <c r="F476" s="22">
        <f t="shared" si="18"/>
        <v>0</v>
      </c>
      <c r="G476" s="8">
        <f t="shared" si="19"/>
        <v>0</v>
      </c>
    </row>
    <row r="477" spans="6:7" x14ac:dyDescent="0.25">
      <c r="F477" s="22">
        <f t="shared" si="18"/>
        <v>0</v>
      </c>
      <c r="G477" s="8">
        <f t="shared" si="19"/>
        <v>0</v>
      </c>
    </row>
    <row r="478" spans="6:7" x14ac:dyDescent="0.25">
      <c r="F478" s="22">
        <f t="shared" si="18"/>
        <v>0</v>
      </c>
      <c r="G478" s="8">
        <f t="shared" si="19"/>
        <v>0</v>
      </c>
    </row>
    <row r="479" spans="6:7" x14ac:dyDescent="0.25">
      <c r="F479" s="22">
        <f t="shared" si="18"/>
        <v>0</v>
      </c>
      <c r="G479" s="8">
        <f t="shared" si="19"/>
        <v>0</v>
      </c>
    </row>
    <row r="480" spans="6:7" x14ac:dyDescent="0.25">
      <c r="F480" s="22">
        <f t="shared" si="18"/>
        <v>0</v>
      </c>
      <c r="G480" s="8">
        <f t="shared" si="19"/>
        <v>0</v>
      </c>
    </row>
    <row r="481" spans="6:7" x14ac:dyDescent="0.25">
      <c r="F481" s="22">
        <f t="shared" si="18"/>
        <v>0</v>
      </c>
      <c r="G481" s="8">
        <f t="shared" si="19"/>
        <v>0</v>
      </c>
    </row>
    <row r="482" spans="6:7" x14ac:dyDescent="0.25">
      <c r="F482" s="22">
        <f t="shared" si="18"/>
        <v>0</v>
      </c>
      <c r="G482" s="8">
        <f t="shared" si="19"/>
        <v>0</v>
      </c>
    </row>
    <row r="483" spans="6:7" x14ac:dyDescent="0.25">
      <c r="F483" s="22">
        <f t="shared" si="18"/>
        <v>0</v>
      </c>
      <c r="G483" s="8">
        <f t="shared" si="19"/>
        <v>0</v>
      </c>
    </row>
    <row r="484" spans="6:7" x14ac:dyDescent="0.25">
      <c r="F484" s="22">
        <f t="shared" si="18"/>
        <v>0</v>
      </c>
      <c r="G484" s="8">
        <f t="shared" si="19"/>
        <v>0</v>
      </c>
    </row>
    <row r="485" spans="6:7" x14ac:dyDescent="0.25">
      <c r="F485" s="22">
        <f t="shared" si="18"/>
        <v>0</v>
      </c>
      <c r="G485" s="8">
        <f t="shared" si="19"/>
        <v>0</v>
      </c>
    </row>
    <row r="486" spans="6:7" x14ac:dyDescent="0.25">
      <c r="F486" s="22">
        <f t="shared" si="18"/>
        <v>0</v>
      </c>
      <c r="G486" s="8">
        <f t="shared" si="19"/>
        <v>0</v>
      </c>
    </row>
    <row r="487" spans="6:7" x14ac:dyDescent="0.25">
      <c r="F487" s="22">
        <f t="shared" si="18"/>
        <v>0</v>
      </c>
      <c r="G487" s="8">
        <f t="shared" si="19"/>
        <v>0</v>
      </c>
    </row>
    <row r="488" spans="6:7" x14ac:dyDescent="0.25">
      <c r="F488" s="22">
        <f t="shared" si="18"/>
        <v>0</v>
      </c>
      <c r="G488" s="8">
        <f t="shared" si="19"/>
        <v>0</v>
      </c>
    </row>
    <row r="489" spans="6:7" x14ac:dyDescent="0.25">
      <c r="F489" s="22">
        <f t="shared" si="18"/>
        <v>0</v>
      </c>
      <c r="G489" s="8">
        <f t="shared" si="19"/>
        <v>0</v>
      </c>
    </row>
    <row r="490" spans="6:7" x14ac:dyDescent="0.25">
      <c r="F490" s="22">
        <f t="shared" si="18"/>
        <v>0</v>
      </c>
      <c r="G490" s="8">
        <f t="shared" si="19"/>
        <v>0</v>
      </c>
    </row>
    <row r="491" spans="6:7" x14ac:dyDescent="0.25">
      <c r="F491" s="22">
        <f t="shared" si="18"/>
        <v>0</v>
      </c>
      <c r="G491" s="8">
        <f t="shared" si="19"/>
        <v>0</v>
      </c>
    </row>
    <row r="492" spans="6:7" x14ac:dyDescent="0.25">
      <c r="F492" s="22">
        <f t="shared" si="18"/>
        <v>0</v>
      </c>
      <c r="G492" s="8">
        <f t="shared" si="19"/>
        <v>0</v>
      </c>
    </row>
    <row r="493" spans="6:7" x14ac:dyDescent="0.25">
      <c r="F493" s="22">
        <f t="shared" si="18"/>
        <v>0</v>
      </c>
      <c r="G493" s="8">
        <f t="shared" si="19"/>
        <v>0</v>
      </c>
    </row>
    <row r="494" spans="6:7" x14ac:dyDescent="0.25">
      <c r="F494" s="22">
        <f t="shared" si="18"/>
        <v>0</v>
      </c>
      <c r="G494" s="8">
        <f t="shared" si="19"/>
        <v>0</v>
      </c>
    </row>
    <row r="495" spans="6:7" x14ac:dyDescent="0.25">
      <c r="F495" s="22">
        <f t="shared" si="18"/>
        <v>0</v>
      </c>
      <c r="G495" s="8">
        <f t="shared" si="19"/>
        <v>0</v>
      </c>
    </row>
    <row r="496" spans="6:7" x14ac:dyDescent="0.25">
      <c r="F496" s="22">
        <f t="shared" si="18"/>
        <v>0</v>
      </c>
      <c r="G496" s="8">
        <f t="shared" si="19"/>
        <v>0</v>
      </c>
    </row>
    <row r="497" spans="6:7" x14ac:dyDescent="0.25">
      <c r="F497" s="22">
        <f t="shared" si="18"/>
        <v>0</v>
      </c>
      <c r="G497" s="8">
        <f t="shared" si="19"/>
        <v>0</v>
      </c>
    </row>
    <row r="498" spans="6:7" x14ac:dyDescent="0.25">
      <c r="F498" s="22">
        <f t="shared" si="18"/>
        <v>0</v>
      </c>
      <c r="G498" s="8">
        <f t="shared" si="19"/>
        <v>0</v>
      </c>
    </row>
    <row r="499" spans="6:7" x14ac:dyDescent="0.25">
      <c r="F499" s="22">
        <f t="shared" si="18"/>
        <v>0</v>
      </c>
      <c r="G499" s="8">
        <f t="shared" si="19"/>
        <v>0</v>
      </c>
    </row>
    <row r="500" spans="6:7" x14ac:dyDescent="0.25">
      <c r="F500" s="22">
        <f t="shared" si="18"/>
        <v>0</v>
      </c>
      <c r="G500" s="8">
        <f t="shared" si="19"/>
        <v>0</v>
      </c>
    </row>
    <row r="501" spans="6:7" x14ac:dyDescent="0.25">
      <c r="F501" s="22">
        <f t="shared" si="18"/>
        <v>0</v>
      </c>
      <c r="G501" s="8">
        <f t="shared" si="19"/>
        <v>0</v>
      </c>
    </row>
    <row r="502" spans="6:7" x14ac:dyDescent="0.25">
      <c r="F502" s="22">
        <f t="shared" si="18"/>
        <v>0</v>
      </c>
      <c r="G502" s="8">
        <f t="shared" si="19"/>
        <v>0</v>
      </c>
    </row>
    <row r="503" spans="6:7" x14ac:dyDescent="0.25">
      <c r="F503" s="22">
        <f t="shared" si="18"/>
        <v>0</v>
      </c>
      <c r="G503" s="8">
        <f t="shared" si="19"/>
        <v>0</v>
      </c>
    </row>
    <row r="504" spans="6:7" x14ac:dyDescent="0.25">
      <c r="F504" s="22">
        <f t="shared" si="18"/>
        <v>0</v>
      </c>
      <c r="G504" s="8">
        <f t="shared" si="19"/>
        <v>0</v>
      </c>
    </row>
    <row r="505" spans="6:7" x14ac:dyDescent="0.25">
      <c r="F505" s="22">
        <f t="shared" si="18"/>
        <v>0</v>
      </c>
      <c r="G505" s="8">
        <f t="shared" si="19"/>
        <v>0</v>
      </c>
    </row>
    <row r="506" spans="6:7" x14ac:dyDescent="0.25">
      <c r="F506" s="22">
        <f t="shared" si="18"/>
        <v>0</v>
      </c>
      <c r="G506" s="8">
        <f t="shared" si="19"/>
        <v>0</v>
      </c>
    </row>
    <row r="507" spans="6:7" x14ac:dyDescent="0.25">
      <c r="F507" s="22">
        <f t="shared" si="18"/>
        <v>0</v>
      </c>
      <c r="G507" s="8">
        <f t="shared" si="19"/>
        <v>0</v>
      </c>
    </row>
    <row r="508" spans="6:7" x14ac:dyDescent="0.25">
      <c r="F508" s="22">
        <f t="shared" si="18"/>
        <v>0</v>
      </c>
      <c r="G508" s="8">
        <f t="shared" si="19"/>
        <v>0</v>
      </c>
    </row>
    <row r="509" spans="6:7" x14ac:dyDescent="0.25">
      <c r="F509" s="22">
        <f t="shared" si="18"/>
        <v>0</v>
      </c>
      <c r="G509" s="8">
        <f t="shared" si="19"/>
        <v>0</v>
      </c>
    </row>
    <row r="510" spans="6:7" x14ac:dyDescent="0.25">
      <c r="F510" s="22">
        <f t="shared" si="18"/>
        <v>0</v>
      </c>
      <c r="G510" s="8">
        <f t="shared" si="19"/>
        <v>0</v>
      </c>
    </row>
    <row r="511" spans="6:7" x14ac:dyDescent="0.25">
      <c r="F511" s="22">
        <f t="shared" si="18"/>
        <v>0</v>
      </c>
      <c r="G511" s="8">
        <f t="shared" si="19"/>
        <v>0</v>
      </c>
    </row>
    <row r="512" spans="6:7" x14ac:dyDescent="0.25">
      <c r="F512" s="22">
        <f t="shared" si="18"/>
        <v>0</v>
      </c>
      <c r="G512" s="8">
        <f t="shared" si="19"/>
        <v>0</v>
      </c>
    </row>
    <row r="513" spans="6:7" x14ac:dyDescent="0.25">
      <c r="F513" s="22">
        <f t="shared" si="18"/>
        <v>0</v>
      </c>
      <c r="G513" s="8">
        <f t="shared" si="19"/>
        <v>0</v>
      </c>
    </row>
    <row r="514" spans="6:7" x14ac:dyDescent="0.25">
      <c r="F514" s="22">
        <f t="shared" si="18"/>
        <v>0</v>
      </c>
      <c r="G514" s="8">
        <f t="shared" si="19"/>
        <v>0</v>
      </c>
    </row>
    <row r="515" spans="6:7" x14ac:dyDescent="0.25">
      <c r="F515" s="22">
        <f t="shared" si="18"/>
        <v>0</v>
      </c>
      <c r="G515" s="8">
        <f t="shared" si="19"/>
        <v>0</v>
      </c>
    </row>
    <row r="516" spans="6:7" x14ac:dyDescent="0.25">
      <c r="F516" s="22">
        <f t="shared" si="18"/>
        <v>0</v>
      </c>
      <c r="G516" s="8">
        <f t="shared" si="19"/>
        <v>0</v>
      </c>
    </row>
    <row r="517" spans="6:7" x14ac:dyDescent="0.25">
      <c r="F517" s="22">
        <f t="shared" si="18"/>
        <v>0</v>
      </c>
      <c r="G517" s="8">
        <f t="shared" si="19"/>
        <v>0</v>
      </c>
    </row>
    <row r="518" spans="6:7" x14ac:dyDescent="0.25">
      <c r="F518" s="22">
        <f t="shared" si="18"/>
        <v>0</v>
      </c>
      <c r="G518" s="8">
        <f t="shared" si="19"/>
        <v>0</v>
      </c>
    </row>
    <row r="519" spans="6:7" x14ac:dyDescent="0.25">
      <c r="F519" s="22">
        <f t="shared" si="18"/>
        <v>0</v>
      </c>
      <c r="G519" s="8">
        <f t="shared" si="19"/>
        <v>0</v>
      </c>
    </row>
    <row r="520" spans="6:7" x14ac:dyDescent="0.25">
      <c r="F520" s="22">
        <f t="shared" si="18"/>
        <v>0</v>
      </c>
      <c r="G520" s="8">
        <f t="shared" si="19"/>
        <v>0</v>
      </c>
    </row>
    <row r="521" spans="6:7" x14ac:dyDescent="0.25">
      <c r="F521" s="22">
        <f t="shared" si="18"/>
        <v>0</v>
      </c>
      <c r="G521" s="8">
        <f t="shared" si="19"/>
        <v>0</v>
      </c>
    </row>
    <row r="522" spans="6:7" x14ac:dyDescent="0.25">
      <c r="F522" s="22">
        <f t="shared" si="18"/>
        <v>0</v>
      </c>
      <c r="G522" s="8">
        <f t="shared" si="19"/>
        <v>0</v>
      </c>
    </row>
    <row r="523" spans="6:7" x14ac:dyDescent="0.25">
      <c r="F523" s="22">
        <f t="shared" si="18"/>
        <v>0</v>
      </c>
      <c r="G523" s="8">
        <f t="shared" si="19"/>
        <v>0</v>
      </c>
    </row>
    <row r="524" spans="6:7" x14ac:dyDescent="0.25">
      <c r="F524" s="22">
        <f t="shared" si="18"/>
        <v>0</v>
      </c>
      <c r="G524" s="8">
        <f t="shared" si="19"/>
        <v>0</v>
      </c>
    </row>
    <row r="525" spans="6:7" x14ac:dyDescent="0.25">
      <c r="F525" s="22">
        <f t="shared" si="18"/>
        <v>0</v>
      </c>
      <c r="G525" s="8">
        <f t="shared" si="19"/>
        <v>0</v>
      </c>
    </row>
    <row r="526" spans="6:7" x14ac:dyDescent="0.25">
      <c r="F526" s="22">
        <f t="shared" si="18"/>
        <v>0</v>
      </c>
      <c r="G526" s="8">
        <f t="shared" si="19"/>
        <v>0</v>
      </c>
    </row>
    <row r="527" spans="6:7" x14ac:dyDescent="0.25">
      <c r="F527" s="22">
        <f t="shared" si="18"/>
        <v>0</v>
      </c>
      <c r="G527" s="8">
        <f t="shared" si="19"/>
        <v>0</v>
      </c>
    </row>
    <row r="528" spans="6:7" x14ac:dyDescent="0.25">
      <c r="F528" s="22">
        <f t="shared" si="18"/>
        <v>0</v>
      </c>
      <c r="G528" s="8">
        <f t="shared" si="19"/>
        <v>0</v>
      </c>
    </row>
    <row r="529" spans="6:7" x14ac:dyDescent="0.25">
      <c r="F529" s="22">
        <f t="shared" si="18"/>
        <v>0</v>
      </c>
      <c r="G529" s="8">
        <f t="shared" si="19"/>
        <v>0</v>
      </c>
    </row>
    <row r="530" spans="6:7" x14ac:dyDescent="0.25">
      <c r="F530" s="22">
        <f t="shared" si="18"/>
        <v>0</v>
      </c>
      <c r="G530" s="8">
        <f t="shared" si="19"/>
        <v>0</v>
      </c>
    </row>
    <row r="531" spans="6:7" x14ac:dyDescent="0.25">
      <c r="F531" s="22">
        <f t="shared" si="18"/>
        <v>0</v>
      </c>
      <c r="G531" s="8">
        <f t="shared" si="19"/>
        <v>0</v>
      </c>
    </row>
    <row r="532" spans="6:7" x14ac:dyDescent="0.25">
      <c r="F532" s="22">
        <f t="shared" si="18"/>
        <v>0</v>
      </c>
      <c r="G532" s="8">
        <f t="shared" si="19"/>
        <v>0</v>
      </c>
    </row>
    <row r="533" spans="6:7" x14ac:dyDescent="0.25">
      <c r="F533" s="22">
        <f t="shared" si="18"/>
        <v>0</v>
      </c>
      <c r="G533" s="8">
        <f t="shared" si="19"/>
        <v>0</v>
      </c>
    </row>
    <row r="534" spans="6:7" x14ac:dyDescent="0.25">
      <c r="F534" s="22">
        <f t="shared" si="18"/>
        <v>0</v>
      </c>
      <c r="G534" s="8">
        <f t="shared" si="19"/>
        <v>0</v>
      </c>
    </row>
    <row r="535" spans="6:7" x14ac:dyDescent="0.25">
      <c r="F535" s="22">
        <f t="shared" si="18"/>
        <v>0</v>
      </c>
      <c r="G535" s="8">
        <f t="shared" si="19"/>
        <v>0</v>
      </c>
    </row>
    <row r="536" spans="6:7" x14ac:dyDescent="0.25">
      <c r="F536" s="22">
        <f t="shared" si="18"/>
        <v>0</v>
      </c>
      <c r="G536" s="8">
        <f t="shared" si="19"/>
        <v>0</v>
      </c>
    </row>
    <row r="537" spans="6:7" x14ac:dyDescent="0.25">
      <c r="F537" s="22">
        <f t="shared" si="18"/>
        <v>0</v>
      </c>
      <c r="G537" s="8">
        <f t="shared" si="19"/>
        <v>0</v>
      </c>
    </row>
    <row r="538" spans="6:7" x14ac:dyDescent="0.25">
      <c r="F538" s="22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2">
        <f t="shared" si="20"/>
        <v>0</v>
      </c>
      <c r="G539" s="8">
        <f t="shared" si="21"/>
        <v>0</v>
      </c>
    </row>
    <row r="540" spans="6:7" x14ac:dyDescent="0.25">
      <c r="F540" s="22">
        <f t="shared" si="20"/>
        <v>0</v>
      </c>
      <c r="G540" s="8">
        <f t="shared" si="21"/>
        <v>0</v>
      </c>
    </row>
    <row r="541" spans="6:7" x14ac:dyDescent="0.25">
      <c r="F541" s="22">
        <f t="shared" si="20"/>
        <v>0</v>
      </c>
      <c r="G541" s="8">
        <f t="shared" si="21"/>
        <v>0</v>
      </c>
    </row>
    <row r="542" spans="6:7" x14ac:dyDescent="0.25">
      <c r="F542" s="22">
        <f t="shared" si="20"/>
        <v>0</v>
      </c>
      <c r="G542" s="8">
        <f t="shared" si="21"/>
        <v>0</v>
      </c>
    </row>
    <row r="543" spans="6:7" x14ac:dyDescent="0.25">
      <c r="F543" s="22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zoomScaleNormal="100" workbookViewId="0">
      <selection sqref="A1:P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07"/>
  </cols>
  <sheetData>
    <row r="1" spans="1:17" s="152" customFormat="1" x14ac:dyDescent="0.25">
      <c r="A1" s="151" t="s">
        <v>225</v>
      </c>
      <c r="B1" s="151" t="s">
        <v>228</v>
      </c>
      <c r="C1" s="151" t="s">
        <v>221</v>
      </c>
      <c r="D1" s="151" t="s">
        <v>364</v>
      </c>
      <c r="E1" s="151" t="s">
        <v>222</v>
      </c>
      <c r="F1" s="151" t="s">
        <v>220</v>
      </c>
      <c r="G1" s="151" t="s">
        <v>218</v>
      </c>
      <c r="H1" s="151" t="s">
        <v>231</v>
      </c>
      <c r="I1" s="151" t="s">
        <v>232</v>
      </c>
      <c r="J1" s="151" t="s">
        <v>226</v>
      </c>
      <c r="K1" s="151" t="s">
        <v>224</v>
      </c>
      <c r="L1" s="151" t="s">
        <v>219</v>
      </c>
      <c r="M1" s="151" t="s">
        <v>229</v>
      </c>
      <c r="N1" s="151" t="s">
        <v>223</v>
      </c>
      <c r="O1" s="151" t="s">
        <v>230</v>
      </c>
      <c r="P1" s="151" t="s">
        <v>227</v>
      </c>
      <c r="Q1" s="151"/>
    </row>
    <row r="2" spans="1:17" x14ac:dyDescent="0.25">
      <c r="A2" s="150">
        <v>64.63</v>
      </c>
      <c r="B2" s="150">
        <v>0.02</v>
      </c>
      <c r="C2" s="150">
        <v>39.43</v>
      </c>
      <c r="D2" s="154">
        <v>42622</v>
      </c>
      <c r="E2" s="150">
        <v>0.4</v>
      </c>
      <c r="F2" s="150" t="s">
        <v>234</v>
      </c>
      <c r="G2" s="150">
        <v>284.82</v>
      </c>
      <c r="H2" s="150">
        <v>0</v>
      </c>
      <c r="I2" s="150">
        <v>0</v>
      </c>
      <c r="J2" s="150">
        <v>1011.43</v>
      </c>
      <c r="K2" s="150" t="s">
        <v>235</v>
      </c>
      <c r="L2" s="150">
        <v>64.63</v>
      </c>
      <c r="M2" s="150">
        <v>1473400800</v>
      </c>
      <c r="N2" s="150">
        <v>8.18</v>
      </c>
      <c r="O2" s="150">
        <v>262</v>
      </c>
      <c r="P2" s="150">
        <v>2.63</v>
      </c>
    </row>
    <row r="3" spans="1:17" x14ac:dyDescent="0.25">
      <c r="A3" s="150">
        <v>62.66</v>
      </c>
      <c r="B3" s="150">
        <v>0</v>
      </c>
      <c r="C3" s="150">
        <v>38.75</v>
      </c>
      <c r="D3" s="154">
        <v>42622.041666666664</v>
      </c>
      <c r="E3" s="150">
        <v>0.41</v>
      </c>
      <c r="F3" s="150" t="s">
        <v>234</v>
      </c>
      <c r="G3" s="150">
        <v>284.89</v>
      </c>
      <c r="H3" s="150">
        <v>0</v>
      </c>
      <c r="I3" s="150">
        <v>0</v>
      </c>
      <c r="J3" s="150">
        <v>1012.1</v>
      </c>
      <c r="K3" s="150" t="s">
        <v>235</v>
      </c>
      <c r="L3" s="150">
        <v>62.66</v>
      </c>
      <c r="M3" s="150">
        <v>1473404400</v>
      </c>
      <c r="N3" s="150">
        <v>8.41</v>
      </c>
      <c r="O3" s="150">
        <v>245</v>
      </c>
      <c r="P3" s="150">
        <v>2.57</v>
      </c>
    </row>
    <row r="4" spans="1:17" x14ac:dyDescent="0.25">
      <c r="A4" s="150">
        <v>59.92</v>
      </c>
      <c r="B4" s="150">
        <v>0</v>
      </c>
      <c r="C4" s="150">
        <v>38.19</v>
      </c>
      <c r="D4" s="154">
        <v>42622.083333333336</v>
      </c>
      <c r="E4" s="150">
        <v>0.44</v>
      </c>
      <c r="F4" s="150" t="s">
        <v>234</v>
      </c>
      <c r="G4" s="150">
        <v>284.95</v>
      </c>
      <c r="H4" s="150">
        <v>0</v>
      </c>
      <c r="I4" s="150">
        <v>0</v>
      </c>
      <c r="J4" s="150">
        <v>1012.79</v>
      </c>
      <c r="K4" s="150" t="s">
        <v>235</v>
      </c>
      <c r="L4" s="150">
        <v>59.92</v>
      </c>
      <c r="M4" s="150">
        <v>1473408000</v>
      </c>
      <c r="N4" s="150">
        <v>8.4700000000000006</v>
      </c>
      <c r="O4" s="150">
        <v>249</v>
      </c>
      <c r="P4" s="150">
        <v>2.63</v>
      </c>
    </row>
    <row r="5" spans="1:17" x14ac:dyDescent="0.25">
      <c r="A5" s="150">
        <v>57.93</v>
      </c>
      <c r="B5" s="150">
        <v>0</v>
      </c>
      <c r="C5" s="150">
        <v>38.090000000000003</v>
      </c>
      <c r="D5" s="154">
        <v>42622.125</v>
      </c>
      <c r="E5" s="150">
        <v>0.48</v>
      </c>
      <c r="F5" s="150" t="s">
        <v>234</v>
      </c>
      <c r="G5" s="150">
        <v>285.02</v>
      </c>
      <c r="H5" s="150">
        <v>0</v>
      </c>
      <c r="I5" s="150">
        <v>0</v>
      </c>
      <c r="J5" s="150">
        <v>1013.5</v>
      </c>
      <c r="K5" s="150" t="s">
        <v>235</v>
      </c>
      <c r="L5" s="150">
        <v>57.93</v>
      </c>
      <c r="M5" s="150">
        <v>1473411600</v>
      </c>
      <c r="N5" s="150">
        <v>8.36</v>
      </c>
      <c r="O5" s="150">
        <v>235</v>
      </c>
      <c r="P5" s="150">
        <v>2.09</v>
      </c>
    </row>
    <row r="6" spans="1:17" x14ac:dyDescent="0.25">
      <c r="A6" s="150">
        <v>56.44</v>
      </c>
      <c r="B6" s="150">
        <v>0</v>
      </c>
      <c r="C6" s="150">
        <v>38.08</v>
      </c>
      <c r="D6" s="154">
        <v>42622.166666666664</v>
      </c>
      <c r="E6" s="150">
        <v>0.5</v>
      </c>
      <c r="F6" s="150" t="s">
        <v>234</v>
      </c>
      <c r="G6" s="150">
        <v>285.58999999999997</v>
      </c>
      <c r="H6" s="150">
        <v>0</v>
      </c>
      <c r="I6" s="150">
        <v>0</v>
      </c>
      <c r="J6" s="150">
        <v>1014.12</v>
      </c>
      <c r="K6" s="150" t="s">
        <v>235</v>
      </c>
      <c r="L6" s="150">
        <v>56.44</v>
      </c>
      <c r="M6" s="150">
        <v>1473415200</v>
      </c>
      <c r="N6" s="150">
        <v>8.6300000000000008</v>
      </c>
      <c r="O6" s="150">
        <v>220</v>
      </c>
      <c r="P6" s="150">
        <v>1.95</v>
      </c>
    </row>
    <row r="7" spans="1:17" x14ac:dyDescent="0.25">
      <c r="A7" s="150">
        <v>54.58</v>
      </c>
      <c r="B7" s="150">
        <v>0</v>
      </c>
      <c r="C7" s="150">
        <v>37.159999999999997</v>
      </c>
      <c r="D7" s="154">
        <v>42622.208333333336</v>
      </c>
      <c r="E7" s="150">
        <v>0.52</v>
      </c>
      <c r="F7" s="150" t="s">
        <v>234</v>
      </c>
      <c r="G7" s="150">
        <v>286.32</v>
      </c>
      <c r="H7" s="150">
        <v>0</v>
      </c>
      <c r="I7" s="150">
        <v>0</v>
      </c>
      <c r="J7" s="150">
        <v>1014.67</v>
      </c>
      <c r="K7" s="150" t="s">
        <v>235</v>
      </c>
      <c r="L7" s="150">
        <v>54.58</v>
      </c>
      <c r="M7" s="150">
        <v>1473418800</v>
      </c>
      <c r="N7" s="150">
        <v>8.16</v>
      </c>
      <c r="O7" s="150">
        <v>258</v>
      </c>
      <c r="P7" s="150">
        <v>2.29</v>
      </c>
    </row>
    <row r="8" spans="1:17" x14ac:dyDescent="0.25">
      <c r="A8" s="150">
        <v>53.84</v>
      </c>
      <c r="B8" s="150">
        <v>0.02</v>
      </c>
      <c r="C8" s="150">
        <v>36.69</v>
      </c>
      <c r="D8" s="154">
        <v>42622.25</v>
      </c>
      <c r="E8" s="150">
        <v>0.52</v>
      </c>
      <c r="F8" s="150" t="s">
        <v>234</v>
      </c>
      <c r="G8" s="150">
        <v>286.67</v>
      </c>
      <c r="H8" s="150">
        <v>0</v>
      </c>
      <c r="I8" s="150">
        <v>0</v>
      </c>
      <c r="J8" s="150">
        <v>1015.21</v>
      </c>
      <c r="K8" s="150" t="s">
        <v>235</v>
      </c>
      <c r="L8" s="150">
        <v>53.84</v>
      </c>
      <c r="M8" s="150">
        <v>1473422400</v>
      </c>
      <c r="N8" s="150">
        <v>7.42</v>
      </c>
      <c r="O8" s="150">
        <v>142</v>
      </c>
      <c r="P8" s="150">
        <v>0.9</v>
      </c>
    </row>
    <row r="9" spans="1:17" x14ac:dyDescent="0.25">
      <c r="A9" s="150">
        <v>54.66</v>
      </c>
      <c r="B9" s="150">
        <v>0.02</v>
      </c>
      <c r="C9" s="150">
        <v>36.92</v>
      </c>
      <c r="D9" s="154">
        <v>42622.291666666664</v>
      </c>
      <c r="E9" s="150">
        <v>0.51</v>
      </c>
      <c r="F9" s="150" t="s">
        <v>365</v>
      </c>
      <c r="G9" s="150">
        <v>286.37</v>
      </c>
      <c r="H9" s="150">
        <v>0</v>
      </c>
      <c r="I9" s="150">
        <v>0</v>
      </c>
      <c r="J9" s="150">
        <v>1015.62</v>
      </c>
      <c r="K9" s="150" t="s">
        <v>235</v>
      </c>
      <c r="L9" s="150">
        <v>54.66</v>
      </c>
      <c r="M9" s="150">
        <v>1473426000</v>
      </c>
      <c r="N9" s="150">
        <v>6.54</v>
      </c>
      <c r="O9" s="150">
        <v>233</v>
      </c>
      <c r="P9" s="150">
        <v>0.38</v>
      </c>
    </row>
    <row r="10" spans="1:17" x14ac:dyDescent="0.25">
      <c r="A10" s="150">
        <v>58.37</v>
      </c>
      <c r="B10" s="150">
        <v>0.01</v>
      </c>
      <c r="C10" s="150">
        <v>38.229999999999997</v>
      </c>
      <c r="D10" s="154">
        <v>42622.333333333336</v>
      </c>
      <c r="E10" s="150">
        <v>0.47</v>
      </c>
      <c r="F10" s="150" t="s">
        <v>365</v>
      </c>
      <c r="G10" s="150">
        <v>285.68</v>
      </c>
      <c r="H10" s="150">
        <v>0</v>
      </c>
      <c r="I10" s="150">
        <v>0</v>
      </c>
      <c r="J10" s="150">
        <v>1015.95</v>
      </c>
      <c r="K10" s="150" t="s">
        <v>235</v>
      </c>
      <c r="L10" s="150">
        <v>58.37</v>
      </c>
      <c r="M10" s="150">
        <v>1473429600</v>
      </c>
      <c r="N10" s="150">
        <v>6.29</v>
      </c>
      <c r="O10" s="150">
        <v>96</v>
      </c>
      <c r="P10" s="150">
        <v>2.2200000000000002</v>
      </c>
    </row>
    <row r="11" spans="1:17" x14ac:dyDescent="0.25">
      <c r="A11" s="150">
        <v>62.23</v>
      </c>
      <c r="B11" s="150">
        <v>0.05</v>
      </c>
      <c r="C11" s="150">
        <v>39.479999999999997</v>
      </c>
      <c r="D11" s="154">
        <v>42622.375</v>
      </c>
      <c r="E11" s="150">
        <v>0.43</v>
      </c>
      <c r="F11" s="150" t="s">
        <v>365</v>
      </c>
      <c r="G11" s="150">
        <v>284.86</v>
      </c>
      <c r="H11" s="150">
        <v>0</v>
      </c>
      <c r="I11" s="150">
        <v>0</v>
      </c>
      <c r="J11" s="150">
        <v>1016.13</v>
      </c>
      <c r="K11" s="150" t="s">
        <v>235</v>
      </c>
      <c r="L11" s="150">
        <v>62.23</v>
      </c>
      <c r="M11" s="150">
        <v>1473433200</v>
      </c>
      <c r="N11" s="150">
        <v>4.46</v>
      </c>
      <c r="O11" s="150">
        <v>82</v>
      </c>
      <c r="P11" s="150">
        <v>3.55</v>
      </c>
    </row>
    <row r="12" spans="1:17" x14ac:dyDescent="0.25">
      <c r="A12" s="150">
        <v>64.930000000000007</v>
      </c>
      <c r="B12" s="150">
        <v>0.09</v>
      </c>
      <c r="C12" s="150">
        <v>39.369999999999997</v>
      </c>
      <c r="D12" s="154">
        <v>42622.416666666664</v>
      </c>
      <c r="E12" s="150">
        <v>0.39</v>
      </c>
      <c r="F12" s="150" t="s">
        <v>365</v>
      </c>
      <c r="G12" s="150">
        <v>283.83</v>
      </c>
      <c r="H12" s="150">
        <v>0</v>
      </c>
      <c r="I12" s="150">
        <v>0</v>
      </c>
      <c r="J12" s="150">
        <v>1015.94</v>
      </c>
      <c r="K12" s="150" t="s">
        <v>235</v>
      </c>
      <c r="L12" s="150">
        <v>64.930000000000007</v>
      </c>
      <c r="M12" s="150">
        <v>1473436800</v>
      </c>
      <c r="N12" s="150">
        <v>4.82</v>
      </c>
      <c r="O12" s="150">
        <v>61</v>
      </c>
      <c r="P12" s="150">
        <v>3.91</v>
      </c>
    </row>
    <row r="13" spans="1:17" x14ac:dyDescent="0.25">
      <c r="A13" s="150">
        <v>67.95</v>
      </c>
      <c r="B13" s="150">
        <v>0.14000000000000001</v>
      </c>
      <c r="C13" s="150">
        <v>39.549999999999997</v>
      </c>
      <c r="D13" s="154">
        <v>42622.458333333336</v>
      </c>
      <c r="E13" s="150">
        <v>0.35</v>
      </c>
      <c r="F13" s="150" t="s">
        <v>365</v>
      </c>
      <c r="G13" s="150">
        <v>282.66000000000003</v>
      </c>
      <c r="H13" s="150">
        <v>0</v>
      </c>
      <c r="I13" s="150">
        <v>0</v>
      </c>
      <c r="J13" s="150">
        <v>1015.53</v>
      </c>
      <c r="K13" s="150" t="s">
        <v>235</v>
      </c>
      <c r="L13" s="150">
        <v>67.95</v>
      </c>
      <c r="M13" s="150">
        <v>1473440400</v>
      </c>
      <c r="N13" s="150">
        <v>4.03</v>
      </c>
      <c r="O13" s="150">
        <v>61</v>
      </c>
      <c r="P13" s="150">
        <v>3.67</v>
      </c>
    </row>
    <row r="14" spans="1:17" x14ac:dyDescent="0.25">
      <c r="A14" s="150">
        <v>70.13</v>
      </c>
      <c r="B14" s="150">
        <v>0.17</v>
      </c>
      <c r="C14" s="150">
        <v>39.22</v>
      </c>
      <c r="D14" s="154">
        <v>42622.5</v>
      </c>
      <c r="E14" s="150">
        <v>0.32</v>
      </c>
      <c r="F14" s="150" t="s">
        <v>365</v>
      </c>
      <c r="G14" s="150">
        <v>281.81</v>
      </c>
      <c r="H14" s="150">
        <v>0</v>
      </c>
      <c r="I14" s="150">
        <v>0</v>
      </c>
      <c r="J14" s="150">
        <v>1015.35</v>
      </c>
      <c r="K14" s="150" t="s">
        <v>235</v>
      </c>
      <c r="L14" s="150">
        <v>70.13</v>
      </c>
      <c r="M14" s="150">
        <v>1473444000</v>
      </c>
      <c r="N14" s="150">
        <v>4.1500000000000004</v>
      </c>
      <c r="O14" s="150">
        <v>48</v>
      </c>
      <c r="P14" s="150">
        <v>4.9800000000000004</v>
      </c>
    </row>
    <row r="15" spans="1:17" x14ac:dyDescent="0.25">
      <c r="A15" s="150">
        <v>71.959999999999994</v>
      </c>
      <c r="B15" s="150">
        <v>0.18</v>
      </c>
      <c r="C15" s="150">
        <v>39.65</v>
      </c>
      <c r="D15" s="154">
        <v>42622.541666666664</v>
      </c>
      <c r="E15" s="150">
        <v>0.31</v>
      </c>
      <c r="F15" s="150" t="s">
        <v>365</v>
      </c>
      <c r="G15" s="150">
        <v>281.52</v>
      </c>
      <c r="H15" s="150">
        <v>0</v>
      </c>
      <c r="I15" s="150">
        <v>0</v>
      </c>
      <c r="J15" s="150">
        <v>1015.29</v>
      </c>
      <c r="K15" s="150" t="s">
        <v>235</v>
      </c>
      <c r="L15" s="150">
        <v>71.959999999999994</v>
      </c>
      <c r="M15" s="150">
        <v>1473447600</v>
      </c>
      <c r="N15" s="150">
        <v>4.21</v>
      </c>
      <c r="O15" s="150">
        <v>47</v>
      </c>
      <c r="P15" s="150">
        <v>5.79</v>
      </c>
    </row>
    <row r="16" spans="1:17" x14ac:dyDescent="0.25">
      <c r="A16" s="150">
        <v>73.180000000000007</v>
      </c>
      <c r="B16" s="150">
        <v>0.12</v>
      </c>
      <c r="C16" s="150">
        <v>39.93</v>
      </c>
      <c r="D16" s="154">
        <v>42622.583333333336</v>
      </c>
      <c r="E16" s="150">
        <v>0.3</v>
      </c>
      <c r="F16" s="150" t="s">
        <v>365</v>
      </c>
      <c r="G16" s="150">
        <v>281.55</v>
      </c>
      <c r="H16" s="150">
        <v>0</v>
      </c>
      <c r="I16" s="150">
        <v>0</v>
      </c>
      <c r="J16" s="150">
        <v>1015.44</v>
      </c>
      <c r="K16" s="150" t="s">
        <v>235</v>
      </c>
      <c r="L16" s="150">
        <v>73.180000000000007</v>
      </c>
      <c r="M16" s="150">
        <v>1473451200</v>
      </c>
      <c r="N16" s="150">
        <v>4.25</v>
      </c>
      <c r="O16" s="150">
        <v>38</v>
      </c>
      <c r="P16" s="150">
        <v>7.65</v>
      </c>
    </row>
    <row r="17" spans="1:16" x14ac:dyDescent="0.25">
      <c r="A17" s="150">
        <v>73.38</v>
      </c>
      <c r="B17" s="150">
        <v>0.08</v>
      </c>
      <c r="C17" s="150">
        <v>40.39</v>
      </c>
      <c r="D17" s="154">
        <v>42622.625</v>
      </c>
      <c r="E17" s="150">
        <v>0.3</v>
      </c>
      <c r="F17" s="150" t="s">
        <v>365</v>
      </c>
      <c r="G17" s="150">
        <v>281.68</v>
      </c>
      <c r="H17" s="150">
        <v>0</v>
      </c>
      <c r="I17" s="150">
        <v>0</v>
      </c>
      <c r="J17" s="150">
        <v>1016.07</v>
      </c>
      <c r="K17" s="150" t="s">
        <v>235</v>
      </c>
      <c r="L17" s="150">
        <v>73.38</v>
      </c>
      <c r="M17" s="150">
        <v>1473454800</v>
      </c>
      <c r="N17" s="150">
        <v>4.26</v>
      </c>
      <c r="O17" s="150">
        <v>35</v>
      </c>
      <c r="P17" s="150">
        <v>9.02</v>
      </c>
    </row>
    <row r="18" spans="1:16" x14ac:dyDescent="0.25">
      <c r="A18" s="150">
        <v>72.42</v>
      </c>
      <c r="B18" s="150">
        <v>0.12</v>
      </c>
      <c r="C18" s="150">
        <v>40.03</v>
      </c>
      <c r="D18" s="154">
        <v>42622.666666666664</v>
      </c>
      <c r="E18" s="150">
        <v>0.31</v>
      </c>
      <c r="F18" s="150" t="s">
        <v>365</v>
      </c>
      <c r="G18" s="150">
        <v>281.86</v>
      </c>
      <c r="H18" s="150">
        <v>0</v>
      </c>
      <c r="I18" s="150">
        <v>0</v>
      </c>
      <c r="J18" s="150">
        <v>1017.49</v>
      </c>
      <c r="K18" s="150" t="s">
        <v>235</v>
      </c>
      <c r="L18" s="150">
        <v>72.42</v>
      </c>
      <c r="M18" s="150">
        <v>1473458400</v>
      </c>
      <c r="N18" s="150">
        <v>4.3</v>
      </c>
      <c r="O18" s="150">
        <v>37</v>
      </c>
      <c r="P18" s="150">
        <v>9.74</v>
      </c>
    </row>
    <row r="19" spans="1:16" x14ac:dyDescent="0.25">
      <c r="A19" s="150">
        <v>68.94</v>
      </c>
      <c r="B19" s="150">
        <v>0.18</v>
      </c>
      <c r="C19" s="150">
        <v>40.08</v>
      </c>
      <c r="D19" s="154">
        <v>42622.708333333336</v>
      </c>
      <c r="E19" s="150">
        <v>0.35</v>
      </c>
      <c r="F19" s="150" t="s">
        <v>365</v>
      </c>
      <c r="G19" s="150">
        <v>282.14</v>
      </c>
      <c r="H19" s="150">
        <v>0</v>
      </c>
      <c r="I19" s="150">
        <v>0</v>
      </c>
      <c r="J19" s="150">
        <v>1019.82</v>
      </c>
      <c r="K19" s="150" t="s">
        <v>235</v>
      </c>
      <c r="L19" s="150">
        <v>68.94</v>
      </c>
      <c r="M19" s="150">
        <v>1473462000</v>
      </c>
      <c r="N19" s="150">
        <v>6.81</v>
      </c>
      <c r="O19" s="150">
        <v>32</v>
      </c>
      <c r="P19" s="150">
        <v>11.94</v>
      </c>
    </row>
    <row r="20" spans="1:16" x14ac:dyDescent="0.25">
      <c r="A20" s="150">
        <v>63.95</v>
      </c>
      <c r="B20" s="150">
        <v>0.26</v>
      </c>
      <c r="C20" s="150">
        <v>39.619999999999997</v>
      </c>
      <c r="D20" s="154">
        <v>42622.75</v>
      </c>
      <c r="E20" s="150">
        <v>0.41</v>
      </c>
      <c r="F20" s="150" t="s">
        <v>233</v>
      </c>
      <c r="G20" s="150">
        <v>282.48</v>
      </c>
      <c r="H20" s="150">
        <v>0</v>
      </c>
      <c r="I20" s="150">
        <v>0</v>
      </c>
      <c r="J20" s="150">
        <v>1021.81</v>
      </c>
      <c r="K20" s="150" t="s">
        <v>217</v>
      </c>
      <c r="L20" s="150">
        <v>63.95</v>
      </c>
      <c r="M20" s="150">
        <v>1473465600</v>
      </c>
      <c r="N20" s="150">
        <v>7.42</v>
      </c>
      <c r="O20" s="150">
        <v>34</v>
      </c>
      <c r="P20" s="150">
        <v>11.2</v>
      </c>
    </row>
    <row r="21" spans="1:16" x14ac:dyDescent="0.25">
      <c r="A21" s="150">
        <v>59.36</v>
      </c>
      <c r="B21" s="150">
        <v>0.28000000000000003</v>
      </c>
      <c r="C21" s="150">
        <v>38.19</v>
      </c>
      <c r="D21" s="154">
        <v>42622.791666666664</v>
      </c>
      <c r="E21" s="150">
        <v>0.45</v>
      </c>
      <c r="F21" s="150" t="s">
        <v>233</v>
      </c>
      <c r="G21" s="150">
        <v>282.81</v>
      </c>
      <c r="H21" s="150">
        <v>0</v>
      </c>
      <c r="I21" s="150">
        <v>0</v>
      </c>
      <c r="J21" s="150">
        <v>1023.65</v>
      </c>
      <c r="K21" s="150" t="s">
        <v>217</v>
      </c>
      <c r="L21" s="150">
        <v>59.36</v>
      </c>
      <c r="M21" s="150">
        <v>1473469200</v>
      </c>
      <c r="N21" s="150">
        <v>8.11</v>
      </c>
      <c r="O21" s="150">
        <v>34</v>
      </c>
      <c r="P21" s="150">
        <v>8.33</v>
      </c>
    </row>
    <row r="22" spans="1:16" x14ac:dyDescent="0.25">
      <c r="A22" s="150">
        <v>56.59</v>
      </c>
      <c r="B22" s="150">
        <v>0.2</v>
      </c>
      <c r="C22" s="150">
        <v>37.549999999999997</v>
      </c>
      <c r="D22" s="154">
        <v>42622.833333333336</v>
      </c>
      <c r="E22" s="150">
        <v>0.49</v>
      </c>
      <c r="F22" s="150" t="s">
        <v>234</v>
      </c>
      <c r="G22" s="150">
        <v>283.19</v>
      </c>
      <c r="H22" s="150">
        <v>0</v>
      </c>
      <c r="I22" s="150">
        <v>0</v>
      </c>
      <c r="J22" s="150">
        <v>1025.31</v>
      </c>
      <c r="K22" s="150" t="s">
        <v>235</v>
      </c>
      <c r="L22" s="150">
        <v>56.59</v>
      </c>
      <c r="M22" s="150">
        <v>1473472800</v>
      </c>
      <c r="N22" s="150">
        <v>8.57</v>
      </c>
      <c r="O22" s="150">
        <v>38</v>
      </c>
      <c r="P22" s="150">
        <v>4.45</v>
      </c>
    </row>
    <row r="23" spans="1:16" x14ac:dyDescent="0.25">
      <c r="A23" s="150">
        <v>54.43</v>
      </c>
      <c r="B23" s="150">
        <v>0.13</v>
      </c>
      <c r="C23" s="150">
        <v>36.799999999999997</v>
      </c>
      <c r="D23" s="154">
        <v>42622.875</v>
      </c>
      <c r="E23" s="150">
        <v>0.51</v>
      </c>
      <c r="F23" s="150" t="s">
        <v>234</v>
      </c>
      <c r="G23" s="150">
        <v>283.77999999999997</v>
      </c>
      <c r="H23" s="150">
        <v>0</v>
      </c>
      <c r="I23" s="150">
        <v>0</v>
      </c>
      <c r="J23" s="150">
        <v>1026.55</v>
      </c>
      <c r="K23" s="150" t="s">
        <v>235</v>
      </c>
      <c r="L23" s="150">
        <v>54.43</v>
      </c>
      <c r="M23" s="150">
        <v>1473476400</v>
      </c>
      <c r="N23" s="150">
        <v>9.0399999999999991</v>
      </c>
      <c r="O23" s="150">
        <v>35</v>
      </c>
      <c r="P23" s="150">
        <v>2.5499999999999998</v>
      </c>
    </row>
    <row r="24" spans="1:16" x14ac:dyDescent="0.25">
      <c r="A24" s="150">
        <v>52.78</v>
      </c>
      <c r="B24" s="150">
        <v>0.14000000000000001</v>
      </c>
      <c r="C24" s="150">
        <v>36.880000000000003</v>
      </c>
      <c r="D24" s="154">
        <v>42622.916666666664</v>
      </c>
      <c r="E24" s="150">
        <v>0.55000000000000004</v>
      </c>
      <c r="F24" s="150" t="s">
        <v>234</v>
      </c>
      <c r="G24" s="150">
        <v>284.82</v>
      </c>
      <c r="H24" s="150">
        <v>0</v>
      </c>
      <c r="I24" s="150">
        <v>0</v>
      </c>
      <c r="J24" s="150">
        <v>1027.06</v>
      </c>
      <c r="K24" s="150" t="s">
        <v>235</v>
      </c>
      <c r="L24" s="150">
        <v>52.78</v>
      </c>
      <c r="M24" s="150">
        <v>1473480000</v>
      </c>
      <c r="N24" s="150">
        <v>9.26</v>
      </c>
      <c r="O24" s="150">
        <v>61</v>
      </c>
      <c r="P24" s="150">
        <v>1.44</v>
      </c>
    </row>
    <row r="25" spans="1:16" x14ac:dyDescent="0.25">
      <c r="A25" s="150">
        <v>51.22</v>
      </c>
      <c r="B25" s="150">
        <v>0.14000000000000001</v>
      </c>
      <c r="C25" s="150">
        <v>37</v>
      </c>
      <c r="D25" s="154">
        <v>42622.958333333336</v>
      </c>
      <c r="E25" s="150">
        <v>0.57999999999999996</v>
      </c>
      <c r="F25" s="150" t="s">
        <v>234</v>
      </c>
      <c r="G25" s="150">
        <v>286.07</v>
      </c>
      <c r="H25" s="150">
        <v>0</v>
      </c>
      <c r="I25" s="150">
        <v>0</v>
      </c>
      <c r="J25" s="150">
        <v>1026.96</v>
      </c>
      <c r="K25" s="150" t="s">
        <v>235</v>
      </c>
      <c r="L25" s="150">
        <v>51.22</v>
      </c>
      <c r="M25" s="150">
        <v>1473483600</v>
      </c>
      <c r="N25" s="150">
        <v>9.34</v>
      </c>
      <c r="O25" s="150">
        <v>92</v>
      </c>
      <c r="P25" s="150">
        <v>1.08</v>
      </c>
    </row>
    <row r="26" spans="1:16" x14ac:dyDescent="0.25">
      <c r="A26" s="150">
        <v>49.89</v>
      </c>
      <c r="B26" s="150">
        <v>7.0000000000000007E-2</v>
      </c>
      <c r="C26" s="150">
        <v>37.14</v>
      </c>
      <c r="D26" s="154">
        <v>42623</v>
      </c>
      <c r="E26" s="150">
        <v>0.61</v>
      </c>
      <c r="F26" s="150" t="s">
        <v>234</v>
      </c>
      <c r="G26" s="150">
        <v>286.98</v>
      </c>
      <c r="H26" s="150">
        <v>0</v>
      </c>
      <c r="I26" s="150">
        <v>0</v>
      </c>
      <c r="J26" s="150">
        <v>1026.8499999999999</v>
      </c>
      <c r="K26" s="150" t="s">
        <v>235</v>
      </c>
      <c r="L26" s="150">
        <v>49.89</v>
      </c>
      <c r="M26" s="150">
        <v>1473487200</v>
      </c>
      <c r="N26" s="150">
        <v>8.98</v>
      </c>
      <c r="O26" s="150">
        <v>173</v>
      </c>
      <c r="P26" s="150">
        <v>0.48</v>
      </c>
    </row>
    <row r="27" spans="1:16" x14ac:dyDescent="0.25">
      <c r="A27" s="150">
        <v>48.34</v>
      </c>
      <c r="B27" s="150">
        <v>0.05</v>
      </c>
      <c r="C27" s="150">
        <v>36.57</v>
      </c>
      <c r="D27" s="154">
        <v>42623.041666666664</v>
      </c>
      <c r="E27" s="150">
        <v>0.64</v>
      </c>
      <c r="F27" s="150" t="s">
        <v>234</v>
      </c>
      <c r="G27" s="150">
        <v>287.02999999999997</v>
      </c>
      <c r="H27" s="150">
        <v>0</v>
      </c>
      <c r="I27" s="150">
        <v>0</v>
      </c>
      <c r="J27" s="150">
        <v>1027.1400000000001</v>
      </c>
      <c r="K27" s="150" t="s">
        <v>235</v>
      </c>
      <c r="L27" s="150">
        <v>48.34</v>
      </c>
      <c r="M27" s="150">
        <v>1473490800</v>
      </c>
      <c r="N27" s="150">
        <v>9.11</v>
      </c>
      <c r="O27" s="150">
        <v>189</v>
      </c>
      <c r="P27" s="150">
        <v>2.19</v>
      </c>
    </row>
    <row r="28" spans="1:16" x14ac:dyDescent="0.25">
      <c r="A28" s="150">
        <v>46.74</v>
      </c>
      <c r="B28" s="150">
        <v>0.05</v>
      </c>
      <c r="C28" s="150">
        <v>36.26</v>
      </c>
      <c r="D28" s="154">
        <v>42623.083333333336</v>
      </c>
      <c r="E28" s="150">
        <v>0.67</v>
      </c>
      <c r="F28" s="150" t="s">
        <v>234</v>
      </c>
      <c r="G28" s="150">
        <v>287.07</v>
      </c>
      <c r="H28" s="150">
        <v>0</v>
      </c>
      <c r="I28" s="150">
        <v>0</v>
      </c>
      <c r="J28" s="150">
        <v>1027.4100000000001</v>
      </c>
      <c r="K28" s="150" t="s">
        <v>235</v>
      </c>
      <c r="L28" s="150">
        <v>46.74</v>
      </c>
      <c r="M28" s="150">
        <v>1473494400</v>
      </c>
      <c r="N28" s="150">
        <v>9.06</v>
      </c>
      <c r="O28" s="150">
        <v>192</v>
      </c>
      <c r="P28" s="150">
        <v>2.15</v>
      </c>
    </row>
    <row r="29" spans="1:16" x14ac:dyDescent="0.25">
      <c r="A29" s="150">
        <v>45.74</v>
      </c>
      <c r="B29" s="150">
        <v>0.06</v>
      </c>
      <c r="C29" s="150">
        <v>35.94</v>
      </c>
      <c r="D29" s="154">
        <v>42623.125</v>
      </c>
      <c r="E29" s="150">
        <v>0.68</v>
      </c>
      <c r="F29" s="150" t="s">
        <v>234</v>
      </c>
      <c r="G29" s="150">
        <v>287.12</v>
      </c>
      <c r="H29" s="150">
        <v>0</v>
      </c>
      <c r="I29" s="150">
        <v>0</v>
      </c>
      <c r="J29" s="150">
        <v>1027.6600000000001</v>
      </c>
      <c r="K29" s="150" t="s">
        <v>235</v>
      </c>
      <c r="L29" s="150">
        <v>45.74</v>
      </c>
      <c r="M29" s="150">
        <v>1473498000</v>
      </c>
      <c r="N29" s="150">
        <v>9</v>
      </c>
      <c r="O29" s="150">
        <v>171</v>
      </c>
      <c r="P29" s="150">
        <v>2.2400000000000002</v>
      </c>
    </row>
    <row r="31" spans="1:16" x14ac:dyDescent="0.25">
      <c r="A31" s="150" t="s">
        <v>741</v>
      </c>
    </row>
    <row r="33" spans="1:1" x14ac:dyDescent="0.25">
      <c r="A33" s="150" t="s">
        <v>236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7" bestFit="1" customWidth="1"/>
  </cols>
  <sheetData>
    <row r="1" spans="1:16" ht="45.75" x14ac:dyDescent="0.3">
      <c r="A1" s="13" t="s">
        <v>25</v>
      </c>
      <c r="C1" s="70" t="s">
        <v>111</v>
      </c>
      <c r="D1" s="71" t="s">
        <v>112</v>
      </c>
      <c r="J1" s="33" t="s">
        <v>113</v>
      </c>
      <c r="K1" s="33" t="s">
        <v>72</v>
      </c>
      <c r="L1" s="33" t="s">
        <v>73</v>
      </c>
      <c r="O1" s="74" t="s">
        <v>114</v>
      </c>
    </row>
    <row r="2" spans="1:16" ht="15.75" thickBot="1" x14ac:dyDescent="0.3">
      <c r="A2" s="14">
        <v>42622</v>
      </c>
      <c r="B2" s="4"/>
      <c r="C2" s="72">
        <v>50</v>
      </c>
      <c r="D2" s="73">
        <v>25</v>
      </c>
      <c r="F2" t="s">
        <v>127</v>
      </c>
      <c r="J2" s="33"/>
      <c r="K2" s="33" t="s">
        <v>72</v>
      </c>
      <c r="L2" s="33" t="s">
        <v>73</v>
      </c>
    </row>
    <row r="3" spans="1:16" x14ac:dyDescent="0.25">
      <c r="F3" t="s">
        <v>58</v>
      </c>
      <c r="J3" s="34" t="s">
        <v>74</v>
      </c>
      <c r="K3" s="35">
        <v>2.7052</v>
      </c>
      <c r="L3" s="35">
        <v>2.7349999999999999</v>
      </c>
      <c r="M3" s="106">
        <f t="shared" ref="M3:M14" si="0">AVERAGE(K3:L3)</f>
        <v>2.7201</v>
      </c>
      <c r="O3" t="s">
        <v>115</v>
      </c>
      <c r="P3" s="67">
        <f>AVERAGE(1.0714,1.1016)</f>
        <v>1.0865</v>
      </c>
    </row>
    <row r="4" spans="1:16" x14ac:dyDescent="0.25">
      <c r="F4" t="s">
        <v>59</v>
      </c>
      <c r="J4" s="34" t="s">
        <v>75</v>
      </c>
      <c r="K4" s="35">
        <v>3.0830000000000002</v>
      </c>
      <c r="L4" s="35">
        <v>3.097</v>
      </c>
      <c r="M4" s="106">
        <f t="shared" si="0"/>
        <v>3.09</v>
      </c>
    </row>
    <row r="5" spans="1:16" x14ac:dyDescent="0.25">
      <c r="J5" s="34" t="s">
        <v>76</v>
      </c>
      <c r="K5" s="35">
        <v>3.3136000000000001</v>
      </c>
      <c r="L5" s="35">
        <v>3.3256999999999999</v>
      </c>
      <c r="M5" s="106">
        <f t="shared" si="0"/>
        <v>3.3196500000000002</v>
      </c>
    </row>
    <row r="6" spans="1:16" x14ac:dyDescent="0.25">
      <c r="F6" t="s">
        <v>128</v>
      </c>
      <c r="J6" s="34" t="s">
        <v>77</v>
      </c>
      <c r="K6" s="35">
        <v>4.2778999999999998</v>
      </c>
      <c r="L6" s="35">
        <v>4.2961</v>
      </c>
      <c r="M6" s="106">
        <f t="shared" si="0"/>
        <v>4.2869999999999999</v>
      </c>
    </row>
    <row r="7" spans="1:16" x14ac:dyDescent="0.25">
      <c r="F7" t="s">
        <v>129</v>
      </c>
      <c r="J7" s="34" t="s">
        <v>78</v>
      </c>
      <c r="K7" s="35">
        <v>4.7865000000000002</v>
      </c>
      <c r="L7" s="35">
        <v>4.8048000000000002</v>
      </c>
      <c r="M7" s="106">
        <f t="shared" si="0"/>
        <v>4.7956500000000002</v>
      </c>
    </row>
    <row r="8" spans="1:16" x14ac:dyDescent="0.25">
      <c r="F8" t="s">
        <v>130</v>
      </c>
      <c r="J8" s="34" t="s">
        <v>79</v>
      </c>
      <c r="K8" s="35">
        <v>5.3155000000000001</v>
      </c>
      <c r="L8" s="35">
        <v>5.3277000000000001</v>
      </c>
      <c r="M8" s="106">
        <f t="shared" si="0"/>
        <v>5.3216000000000001</v>
      </c>
    </row>
    <row r="9" spans="1:16" x14ac:dyDescent="0.25">
      <c r="J9" s="34" t="s">
        <v>80</v>
      </c>
      <c r="K9" s="35">
        <v>5.8117000000000001</v>
      </c>
      <c r="L9" s="35">
        <v>5.8300999999999998</v>
      </c>
      <c r="M9" s="106">
        <f t="shared" si="0"/>
        <v>5.8209</v>
      </c>
    </row>
    <row r="10" spans="1:16" x14ac:dyDescent="0.25">
      <c r="J10" s="34" t="s">
        <v>81</v>
      </c>
      <c r="K10" s="35">
        <v>5.8783000000000003</v>
      </c>
      <c r="L10" s="35">
        <v>5.8903999999999996</v>
      </c>
      <c r="M10" s="106">
        <f t="shared" si="0"/>
        <v>5.8843499999999995</v>
      </c>
    </row>
    <row r="11" spans="1:16" x14ac:dyDescent="0.25">
      <c r="J11" s="34" t="s">
        <v>82</v>
      </c>
      <c r="K11" s="35">
        <v>6.3068</v>
      </c>
      <c r="L11" s="35">
        <v>6.3308999999999997</v>
      </c>
      <c r="M11" s="106">
        <f t="shared" si="0"/>
        <v>6.3188499999999994</v>
      </c>
    </row>
    <row r="12" spans="1:16" x14ac:dyDescent="0.25">
      <c r="J12" s="34" t="s">
        <v>83</v>
      </c>
      <c r="K12" s="35">
        <v>7.8349000000000002</v>
      </c>
      <c r="L12" s="35">
        <v>7.8468999999999998</v>
      </c>
      <c r="M12" s="106">
        <f t="shared" si="0"/>
        <v>7.8408999999999995</v>
      </c>
    </row>
    <row r="13" spans="1:16" x14ac:dyDescent="0.25">
      <c r="J13" s="34" t="s">
        <v>84</v>
      </c>
      <c r="K13" s="35">
        <v>10.373799999999999</v>
      </c>
      <c r="L13" s="35">
        <v>10.38</v>
      </c>
      <c r="M13" s="106">
        <f t="shared" si="0"/>
        <v>10.376899999999999</v>
      </c>
    </row>
    <row r="14" spans="1:16" x14ac:dyDescent="0.25">
      <c r="J14" s="34" t="s">
        <v>85</v>
      </c>
      <c r="K14" s="35">
        <v>10.8954</v>
      </c>
      <c r="L14" s="35">
        <v>10.913500000000001</v>
      </c>
      <c r="M14" s="106">
        <f t="shared" si="0"/>
        <v>10.904450000000001</v>
      </c>
    </row>
    <row r="15" spans="1:16" x14ac:dyDescent="0.25">
      <c r="J15" s="34"/>
      <c r="K15" s="35"/>
      <c r="L15" s="35"/>
    </row>
    <row r="16" spans="1:16" x14ac:dyDescent="0.25">
      <c r="J16" s="34"/>
      <c r="K16" s="35"/>
      <c r="L16" s="35"/>
    </row>
    <row r="17" spans="10:13" x14ac:dyDescent="0.25">
      <c r="J17" s="34"/>
      <c r="K17" s="35"/>
      <c r="L17" s="35"/>
    </row>
    <row r="18" spans="10:13" x14ac:dyDescent="0.25">
      <c r="J18" s="34" t="s">
        <v>93</v>
      </c>
      <c r="K18" s="35"/>
      <c r="L18" s="35"/>
      <c r="M18" s="67" t="str">
        <f>"""C:\Program Files (x86)\AstroGrep\AstroGrep.exe"""</f>
        <v>"C:\Program Files (x86)\AstroGrep\AstroGrep.exe"</v>
      </c>
    </row>
    <row r="19" spans="10:13" x14ac:dyDescent="0.25">
      <c r="J19" s="34" t="s">
        <v>94</v>
      </c>
      <c r="K19" s="35"/>
      <c r="L19" s="35"/>
      <c r="M19" s="67" t="s">
        <v>124</v>
      </c>
    </row>
    <row r="20" spans="10:13" x14ac:dyDescent="0.25">
      <c r="J20" t="s">
        <v>95</v>
      </c>
      <c r="M20" s="67" t="s">
        <v>134</v>
      </c>
    </row>
    <row r="21" spans="10:13" x14ac:dyDescent="0.25">
      <c r="J21" s="22" t="s">
        <v>98</v>
      </c>
      <c r="K21" s="22" t="s">
        <v>99</v>
      </c>
      <c r="M21" s="67" t="s">
        <v>99</v>
      </c>
    </row>
    <row r="22" spans="10:13" x14ac:dyDescent="0.25">
      <c r="J22" s="22" t="s">
        <v>100</v>
      </c>
      <c r="K22" s="22" t="s">
        <v>101</v>
      </c>
      <c r="M22" s="67" t="s">
        <v>123</v>
      </c>
    </row>
    <row r="23" spans="10:13" x14ac:dyDescent="0.25">
      <c r="J23" s="30" t="s">
        <v>103</v>
      </c>
      <c r="K23" s="22"/>
      <c r="M23" s="106">
        <v>-6</v>
      </c>
    </row>
    <row r="24" spans="10:13" x14ac:dyDescent="0.25">
      <c r="J24" s="22" t="s">
        <v>120</v>
      </c>
      <c r="K24" s="22"/>
      <c r="M24" s="67" t="s">
        <v>122</v>
      </c>
    </row>
    <row r="25" spans="10:13" x14ac:dyDescent="0.25">
      <c r="J25" t="s">
        <v>172</v>
      </c>
      <c r="M25" s="67" t="b">
        <v>1</v>
      </c>
    </row>
    <row r="26" spans="10:13" x14ac:dyDescent="0.25">
      <c r="J26" t="s">
        <v>173</v>
      </c>
      <c r="M26" s="67" t="str">
        <f>"C:\Users\stu\Documents\GitHub\eaglep3-reporting\EC\"&amp;TEXT(A2,"yyyy-mm-dd")&amp;"-refined-times.txt"</f>
        <v>C:\Users\stu\Documents\GitHub\eaglep3-reporting\EC\2016-09-09-refined-times.txt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3" bestFit="1" customWidth="1"/>
    <col min="2" max="7" width="9.140625" style="123"/>
    <col min="8" max="8" width="17.7109375" style="123" bestFit="1" customWidth="1"/>
    <col min="9" max="9" width="9.140625" style="125"/>
    <col min="10" max="16384" width="9.140625" style="123"/>
  </cols>
  <sheetData>
    <row r="1" spans="1:11" x14ac:dyDescent="0.25">
      <c r="A1" s="122" t="s">
        <v>140</v>
      </c>
      <c r="B1" s="122" t="s">
        <v>141</v>
      </c>
      <c r="C1" s="123" t="s">
        <v>142</v>
      </c>
      <c r="H1" t="s">
        <v>136</v>
      </c>
      <c r="I1" s="124" t="s">
        <v>138</v>
      </c>
      <c r="J1"/>
    </row>
    <row r="2" spans="1:11" x14ac:dyDescent="0.25">
      <c r="A2" s="123" t="s">
        <v>143</v>
      </c>
      <c r="B2" s="123" t="s">
        <v>144</v>
      </c>
      <c r="C2" s="123" t="s">
        <v>145</v>
      </c>
      <c r="H2" t="s">
        <v>137</v>
      </c>
      <c r="I2" s="106" t="s">
        <v>139</v>
      </c>
      <c r="J2"/>
    </row>
    <row r="3" spans="1:11" x14ac:dyDescent="0.25">
      <c r="A3" s="123" t="s">
        <v>146</v>
      </c>
      <c r="B3" s="123" t="s">
        <v>147</v>
      </c>
      <c r="C3" s="123" t="s">
        <v>148</v>
      </c>
      <c r="H3" t="s">
        <v>163</v>
      </c>
      <c r="I3" s="106">
        <v>1</v>
      </c>
      <c r="J3"/>
      <c r="K3" s="67"/>
    </row>
    <row r="4" spans="1:11" x14ac:dyDescent="0.25">
      <c r="A4" s="123" t="s">
        <v>149</v>
      </c>
      <c r="C4" s="123" t="s">
        <v>150</v>
      </c>
      <c r="H4" t="s">
        <v>164</v>
      </c>
      <c r="I4" s="106">
        <v>2</v>
      </c>
      <c r="J4"/>
      <c r="K4" s="67"/>
    </row>
    <row r="5" spans="1:11" x14ac:dyDescent="0.25">
      <c r="A5" s="123" t="s">
        <v>151</v>
      </c>
      <c r="C5" s="123" t="s">
        <v>152</v>
      </c>
      <c r="H5" t="s">
        <v>165</v>
      </c>
      <c r="I5" s="106">
        <v>23</v>
      </c>
      <c r="J5"/>
      <c r="K5" s="67"/>
    </row>
    <row r="6" spans="1:11" x14ac:dyDescent="0.25">
      <c r="A6" s="123" t="s">
        <v>153</v>
      </c>
      <c r="C6" s="123" t="s">
        <v>154</v>
      </c>
      <c r="H6" s="126" t="s">
        <v>166</v>
      </c>
      <c r="I6" s="127" t="s">
        <v>144</v>
      </c>
    </row>
    <row r="7" spans="1:11" x14ac:dyDescent="0.25">
      <c r="A7" s="123" t="s">
        <v>155</v>
      </c>
      <c r="C7" s="123" t="s">
        <v>156</v>
      </c>
    </row>
    <row r="8" spans="1:11" x14ac:dyDescent="0.25">
      <c r="C8" s="123" t="s">
        <v>157</v>
      </c>
    </row>
    <row r="9" spans="1:11" x14ac:dyDescent="0.25">
      <c r="C9" s="123" t="s">
        <v>158</v>
      </c>
    </row>
    <row r="10" spans="1:11" x14ac:dyDescent="0.25">
      <c r="C10" s="123" t="s">
        <v>159</v>
      </c>
    </row>
    <row r="11" spans="1:11" x14ac:dyDescent="0.25">
      <c r="C11" s="123" t="s">
        <v>160</v>
      </c>
    </row>
    <row r="12" spans="1:11" x14ac:dyDescent="0.25">
      <c r="C12" s="123" t="s">
        <v>161</v>
      </c>
    </row>
    <row r="13" spans="1:11" x14ac:dyDescent="0.25">
      <c r="C13" s="123" t="s">
        <v>162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2016-09-12T18:39:03Z</dcterms:modified>
</cp:coreProperties>
</file>