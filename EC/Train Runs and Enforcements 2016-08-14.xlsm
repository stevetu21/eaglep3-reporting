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definedNames>
    <definedName name="_xlnm._FilterDatabase" localSheetId="1" hidden="1">Enforcements!$A$6:$V$71</definedName>
    <definedName name="_xlnm._FilterDatabase" localSheetId="2" hidden="1">'Missing Trips'!$A$2:$H$2</definedName>
    <definedName name="_xlnm._FilterDatabase" localSheetId="0" hidden="1">'Train Runs'!$A$12:$AG$201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Runs'!$A$12:$J$47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7" i="1" l="1"/>
  <c r="L57" i="1"/>
  <c r="M57" i="1"/>
  <c r="N57" i="1" s="1"/>
  <c r="K58" i="1"/>
  <c r="L58" i="1"/>
  <c r="M58" i="1"/>
  <c r="N58" i="1" s="1"/>
  <c r="K59" i="1"/>
  <c r="L59" i="1"/>
  <c r="M59" i="1"/>
  <c r="N59" i="1" s="1"/>
  <c r="K60" i="1"/>
  <c r="L60" i="1"/>
  <c r="M60" i="1"/>
  <c r="N60" i="1" s="1"/>
  <c r="K61" i="1"/>
  <c r="L61" i="1"/>
  <c r="M61" i="1"/>
  <c r="N61" i="1" s="1"/>
  <c r="K62" i="1"/>
  <c r="L62" i="1"/>
  <c r="M62" i="1"/>
  <c r="N62" i="1" s="1"/>
  <c r="K63" i="1"/>
  <c r="L63" i="1"/>
  <c r="M63" i="1"/>
  <c r="N63" i="1" s="1"/>
  <c r="K64" i="1"/>
  <c r="L64" i="1"/>
  <c r="M64" i="1"/>
  <c r="N64" i="1" s="1"/>
  <c r="K65" i="1"/>
  <c r="L65" i="1"/>
  <c r="M65" i="1"/>
  <c r="N65" i="1" s="1"/>
  <c r="K66" i="1"/>
  <c r="L66" i="1"/>
  <c r="M66" i="1"/>
  <c r="N66" i="1" s="1"/>
  <c r="K67" i="1"/>
  <c r="L67" i="1"/>
  <c r="M67" i="1"/>
  <c r="N67" i="1" s="1"/>
  <c r="K68" i="1"/>
  <c r="L68" i="1"/>
  <c r="M68" i="1"/>
  <c r="N68" i="1" s="1"/>
  <c r="K69" i="1"/>
  <c r="L69" i="1"/>
  <c r="M69" i="1"/>
  <c r="N69" i="1" s="1"/>
  <c r="K70" i="1"/>
  <c r="L70" i="1"/>
  <c r="M70" i="1"/>
  <c r="N70" i="1" s="1"/>
  <c r="K71" i="1"/>
  <c r="L71" i="1"/>
  <c r="M71" i="1"/>
  <c r="N71" i="1"/>
  <c r="K72" i="1"/>
  <c r="L72" i="1"/>
  <c r="M72" i="1"/>
  <c r="N72" i="1"/>
  <c r="K73" i="1"/>
  <c r="L73" i="1"/>
  <c r="M73" i="1"/>
  <c r="N73" i="1" s="1"/>
  <c r="K74" i="1"/>
  <c r="L74" i="1"/>
  <c r="M74" i="1"/>
  <c r="N74" i="1" s="1"/>
  <c r="K75" i="1"/>
  <c r="L75" i="1"/>
  <c r="M75" i="1"/>
  <c r="N75" i="1" s="1"/>
  <c r="K76" i="1"/>
  <c r="L76" i="1"/>
  <c r="M76" i="1"/>
  <c r="N76" i="1" s="1"/>
  <c r="K77" i="1"/>
  <c r="L77" i="1"/>
  <c r="M77" i="1"/>
  <c r="N77" i="1" s="1"/>
  <c r="K78" i="1"/>
  <c r="L78" i="1"/>
  <c r="M78" i="1"/>
  <c r="N78" i="1" s="1"/>
  <c r="K79" i="1"/>
  <c r="L79" i="1"/>
  <c r="M79" i="1"/>
  <c r="N79" i="1" s="1"/>
  <c r="K80" i="1"/>
  <c r="L80" i="1"/>
  <c r="M80" i="1"/>
  <c r="N80" i="1" s="1"/>
  <c r="K81" i="1"/>
  <c r="L81" i="1"/>
  <c r="M81" i="1"/>
  <c r="N81" i="1" s="1"/>
  <c r="K82" i="1"/>
  <c r="L82" i="1"/>
  <c r="M82" i="1"/>
  <c r="N82" i="1" s="1"/>
  <c r="K83" i="1"/>
  <c r="L83" i="1"/>
  <c r="M83" i="1"/>
  <c r="N83" i="1" s="1"/>
  <c r="K84" i="1"/>
  <c r="L84" i="1"/>
  <c r="M84" i="1"/>
  <c r="N84" i="1" s="1"/>
  <c r="K85" i="1"/>
  <c r="L85" i="1"/>
  <c r="M85" i="1"/>
  <c r="N85" i="1" s="1"/>
  <c r="K86" i="1"/>
  <c r="L86" i="1"/>
  <c r="M86" i="1"/>
  <c r="N86" i="1" s="1"/>
  <c r="K87" i="1"/>
  <c r="L87" i="1"/>
  <c r="M87" i="1"/>
  <c r="N87" i="1"/>
  <c r="K88" i="1"/>
  <c r="L88" i="1"/>
  <c r="M88" i="1"/>
  <c r="N88" i="1"/>
  <c r="K89" i="1"/>
  <c r="L89" i="1"/>
  <c r="M89" i="1"/>
  <c r="N89" i="1" s="1"/>
  <c r="K90" i="1"/>
  <c r="L90" i="1"/>
  <c r="M90" i="1"/>
  <c r="N90" i="1" s="1"/>
  <c r="K91" i="1"/>
  <c r="L91" i="1"/>
  <c r="M91" i="1"/>
  <c r="N91" i="1" s="1"/>
  <c r="K92" i="1"/>
  <c r="L92" i="1"/>
  <c r="M92" i="1"/>
  <c r="N92" i="1" s="1"/>
  <c r="K93" i="1"/>
  <c r="L93" i="1"/>
  <c r="M93" i="1"/>
  <c r="N93" i="1" s="1"/>
  <c r="K94" i="1"/>
  <c r="L94" i="1"/>
  <c r="M94" i="1"/>
  <c r="N94" i="1" s="1"/>
  <c r="K95" i="1"/>
  <c r="L95" i="1"/>
  <c r="M95" i="1"/>
  <c r="N95" i="1" s="1"/>
  <c r="K96" i="1"/>
  <c r="L96" i="1"/>
  <c r="M96" i="1"/>
  <c r="N96" i="1" s="1"/>
  <c r="K97" i="1"/>
  <c r="L97" i="1"/>
  <c r="M97" i="1"/>
  <c r="N97" i="1" s="1"/>
  <c r="K98" i="1"/>
  <c r="L98" i="1"/>
  <c r="M98" i="1"/>
  <c r="N98" i="1" s="1"/>
  <c r="K99" i="1"/>
  <c r="L99" i="1"/>
  <c r="M99" i="1"/>
  <c r="N99" i="1" s="1"/>
  <c r="K100" i="1"/>
  <c r="L100" i="1"/>
  <c r="M100" i="1"/>
  <c r="N100" i="1" s="1"/>
  <c r="K101" i="1"/>
  <c r="L101" i="1"/>
  <c r="M101" i="1"/>
  <c r="N101" i="1" s="1"/>
  <c r="K102" i="1"/>
  <c r="L102" i="1"/>
  <c r="M102" i="1"/>
  <c r="N102" i="1" s="1"/>
  <c r="K103" i="1"/>
  <c r="L103" i="1"/>
  <c r="M103" i="1"/>
  <c r="N103" i="1"/>
  <c r="K104" i="1"/>
  <c r="L104" i="1"/>
  <c r="M104" i="1"/>
  <c r="N104" i="1"/>
  <c r="K105" i="1"/>
  <c r="L105" i="1"/>
  <c r="M105" i="1"/>
  <c r="P105" i="1" s="1"/>
  <c r="K106" i="1"/>
  <c r="L106" i="1"/>
  <c r="M106" i="1"/>
  <c r="N106" i="1" s="1"/>
  <c r="K107" i="1"/>
  <c r="L107" i="1"/>
  <c r="M107" i="1"/>
  <c r="N107" i="1" s="1"/>
  <c r="K108" i="1"/>
  <c r="L108" i="1"/>
  <c r="M108" i="1"/>
  <c r="N108" i="1" s="1"/>
  <c r="K109" i="1"/>
  <c r="L109" i="1"/>
  <c r="M109" i="1"/>
  <c r="N109" i="1" s="1"/>
  <c r="K110" i="1"/>
  <c r="L110" i="1"/>
  <c r="M110" i="1"/>
  <c r="N110" i="1" s="1"/>
  <c r="K111" i="1"/>
  <c r="L111" i="1"/>
  <c r="M111" i="1"/>
  <c r="N111" i="1" s="1"/>
  <c r="K112" i="1"/>
  <c r="L112" i="1"/>
  <c r="M112" i="1"/>
  <c r="N112" i="1" s="1"/>
  <c r="K113" i="1"/>
  <c r="L113" i="1"/>
  <c r="M113" i="1"/>
  <c r="N113" i="1" s="1"/>
  <c r="K114" i="1"/>
  <c r="L114" i="1"/>
  <c r="M114" i="1"/>
  <c r="N114" i="1" s="1"/>
  <c r="K115" i="1"/>
  <c r="L115" i="1"/>
  <c r="M115" i="1"/>
  <c r="N115" i="1" s="1"/>
  <c r="K116" i="1"/>
  <c r="L116" i="1"/>
  <c r="M116" i="1"/>
  <c r="N116" i="1" s="1"/>
  <c r="K117" i="1"/>
  <c r="L117" i="1"/>
  <c r="M117" i="1"/>
  <c r="N117" i="1" s="1"/>
  <c r="K118" i="1"/>
  <c r="L118" i="1"/>
  <c r="M118" i="1"/>
  <c r="N118" i="1" s="1"/>
  <c r="K119" i="1"/>
  <c r="L119" i="1"/>
  <c r="M119" i="1"/>
  <c r="N119" i="1"/>
  <c r="K120" i="1"/>
  <c r="L120" i="1"/>
  <c r="M120" i="1"/>
  <c r="N120" i="1"/>
  <c r="K121" i="1"/>
  <c r="L121" i="1"/>
  <c r="M121" i="1"/>
  <c r="N121" i="1" s="1"/>
  <c r="K122" i="1"/>
  <c r="L122" i="1"/>
  <c r="M122" i="1"/>
  <c r="N122" i="1" s="1"/>
  <c r="K123" i="1"/>
  <c r="L123" i="1"/>
  <c r="M123" i="1"/>
  <c r="N123" i="1" s="1"/>
  <c r="K124" i="1"/>
  <c r="L124" i="1"/>
  <c r="M124" i="1"/>
  <c r="N124" i="1" s="1"/>
  <c r="K125" i="1"/>
  <c r="L125" i="1"/>
  <c r="M125" i="1"/>
  <c r="N125" i="1" s="1"/>
  <c r="K126" i="1"/>
  <c r="L126" i="1"/>
  <c r="M126" i="1"/>
  <c r="N126" i="1" s="1"/>
  <c r="K127" i="1"/>
  <c r="L127" i="1"/>
  <c r="M127" i="1"/>
  <c r="N127" i="1" s="1"/>
  <c r="K128" i="1"/>
  <c r="L128" i="1"/>
  <c r="M128" i="1"/>
  <c r="N128" i="1" s="1"/>
  <c r="K129" i="1"/>
  <c r="L129" i="1"/>
  <c r="M129" i="1"/>
  <c r="N129" i="1" s="1"/>
  <c r="K130" i="1"/>
  <c r="L130" i="1"/>
  <c r="M130" i="1"/>
  <c r="N130" i="1" s="1"/>
  <c r="K131" i="1"/>
  <c r="L131" i="1"/>
  <c r="M131" i="1"/>
  <c r="N131" i="1"/>
  <c r="K132" i="1"/>
  <c r="L132" i="1"/>
  <c r="M132" i="1"/>
  <c r="N132" i="1"/>
  <c r="K133" i="1"/>
  <c r="L133" i="1"/>
  <c r="M133" i="1"/>
  <c r="N133" i="1" s="1"/>
  <c r="K134" i="1"/>
  <c r="L134" i="1"/>
  <c r="M134" i="1"/>
  <c r="N134" i="1" s="1"/>
  <c r="K135" i="1"/>
  <c r="L135" i="1"/>
  <c r="M135" i="1"/>
  <c r="N135" i="1" s="1"/>
  <c r="K136" i="1"/>
  <c r="L136" i="1"/>
  <c r="M136" i="1"/>
  <c r="N136" i="1" s="1"/>
  <c r="K137" i="1"/>
  <c r="L137" i="1"/>
  <c r="M137" i="1"/>
  <c r="N137" i="1" s="1"/>
  <c r="K138" i="1"/>
  <c r="L138" i="1"/>
  <c r="M138" i="1"/>
  <c r="N138" i="1" s="1"/>
  <c r="K139" i="1"/>
  <c r="L139" i="1"/>
  <c r="M139" i="1"/>
  <c r="N139" i="1"/>
  <c r="K140" i="1"/>
  <c r="L140" i="1"/>
  <c r="M140" i="1"/>
  <c r="N140" i="1"/>
  <c r="K141" i="1"/>
  <c r="L141" i="1"/>
  <c r="M141" i="1"/>
  <c r="N141" i="1" s="1"/>
  <c r="K142" i="1"/>
  <c r="L142" i="1"/>
  <c r="M142" i="1"/>
  <c r="N142" i="1" s="1"/>
  <c r="K143" i="1"/>
  <c r="L143" i="1"/>
  <c r="M143" i="1"/>
  <c r="N143" i="1"/>
  <c r="K144" i="1"/>
  <c r="L144" i="1"/>
  <c r="M144" i="1"/>
  <c r="N144" i="1"/>
  <c r="K145" i="1"/>
  <c r="L145" i="1"/>
  <c r="M145" i="1"/>
  <c r="N145" i="1" s="1"/>
  <c r="K146" i="1"/>
  <c r="L146" i="1"/>
  <c r="M146" i="1"/>
  <c r="N146" i="1" s="1"/>
  <c r="K147" i="1"/>
  <c r="L147" i="1"/>
  <c r="M147" i="1"/>
  <c r="K148" i="1"/>
  <c r="L148" i="1"/>
  <c r="M148" i="1"/>
  <c r="K149" i="1"/>
  <c r="L149" i="1"/>
  <c r="M149" i="1"/>
  <c r="N149" i="1"/>
  <c r="K150" i="1"/>
  <c r="L150" i="1"/>
  <c r="M150" i="1"/>
  <c r="N150" i="1"/>
  <c r="K151" i="1"/>
  <c r="L151" i="1"/>
  <c r="M151" i="1"/>
  <c r="N151" i="1" s="1"/>
  <c r="K152" i="1"/>
  <c r="L152" i="1"/>
  <c r="M152" i="1"/>
  <c r="N152" i="1" s="1"/>
  <c r="K153" i="1"/>
  <c r="L153" i="1"/>
  <c r="M153" i="1"/>
  <c r="N153" i="1"/>
  <c r="K154" i="1"/>
  <c r="L154" i="1"/>
  <c r="M154" i="1"/>
  <c r="N154" i="1" s="1"/>
  <c r="K155" i="1"/>
  <c r="L155" i="1"/>
  <c r="M155" i="1"/>
  <c r="K156" i="1"/>
  <c r="L156" i="1"/>
  <c r="M156" i="1"/>
  <c r="P156" i="1" s="1"/>
  <c r="K157" i="1"/>
  <c r="L157" i="1"/>
  <c r="M157" i="1"/>
  <c r="N157" i="1" s="1"/>
  <c r="K158" i="1"/>
  <c r="L158" i="1"/>
  <c r="M158" i="1"/>
  <c r="N158" i="1"/>
  <c r="K159" i="1"/>
  <c r="L159" i="1"/>
  <c r="M159" i="1"/>
  <c r="N159" i="1"/>
  <c r="K160" i="1"/>
  <c r="L160" i="1"/>
  <c r="M160" i="1"/>
  <c r="N160" i="1"/>
  <c r="K161" i="1"/>
  <c r="L161" i="1"/>
  <c r="M161" i="1"/>
  <c r="N161" i="1" s="1"/>
  <c r="K162" i="1"/>
  <c r="L162" i="1"/>
  <c r="M162" i="1"/>
  <c r="N162" i="1"/>
  <c r="K163" i="1"/>
  <c r="L163" i="1"/>
  <c r="M163" i="1"/>
  <c r="N163" i="1"/>
  <c r="K164" i="1"/>
  <c r="L164" i="1"/>
  <c r="M164" i="1"/>
  <c r="N164" i="1"/>
  <c r="K165" i="1"/>
  <c r="L165" i="1"/>
  <c r="M165" i="1"/>
  <c r="N165" i="1" s="1"/>
  <c r="K166" i="1"/>
  <c r="L166" i="1"/>
  <c r="M166" i="1"/>
  <c r="N166" i="1"/>
  <c r="K167" i="1"/>
  <c r="L167" i="1"/>
  <c r="M167" i="1"/>
  <c r="N167" i="1"/>
  <c r="K168" i="1"/>
  <c r="L168" i="1"/>
  <c r="M168" i="1"/>
  <c r="N168" i="1" s="1"/>
  <c r="K169" i="1"/>
  <c r="L169" i="1"/>
  <c r="M169" i="1"/>
  <c r="N169" i="1" s="1"/>
  <c r="K170" i="1"/>
  <c r="L170" i="1"/>
  <c r="M170" i="1"/>
  <c r="N170" i="1"/>
  <c r="K171" i="1"/>
  <c r="L171" i="1"/>
  <c r="M171" i="1"/>
  <c r="N171" i="1"/>
  <c r="K172" i="1"/>
  <c r="L172" i="1"/>
  <c r="M172" i="1"/>
  <c r="N172" i="1"/>
  <c r="K173" i="1"/>
  <c r="L173" i="1"/>
  <c r="M173" i="1"/>
  <c r="N173" i="1" s="1"/>
  <c r="K174" i="1"/>
  <c r="L174" i="1"/>
  <c r="M174" i="1"/>
  <c r="P174" i="1"/>
  <c r="K175" i="1"/>
  <c r="L175" i="1"/>
  <c r="M175" i="1"/>
  <c r="N175" i="1"/>
  <c r="K176" i="1"/>
  <c r="L176" i="1"/>
  <c r="M176" i="1"/>
  <c r="P176" i="1"/>
  <c r="K177" i="1"/>
  <c r="L177" i="1"/>
  <c r="M177" i="1"/>
  <c r="N177" i="1" s="1"/>
  <c r="K178" i="1"/>
  <c r="L178" i="1"/>
  <c r="M178" i="1"/>
  <c r="P178" i="1" s="1"/>
  <c r="K179" i="1"/>
  <c r="L179" i="1"/>
  <c r="M179" i="1"/>
  <c r="N179" i="1" s="1"/>
  <c r="K180" i="1"/>
  <c r="L180" i="1"/>
  <c r="M180" i="1"/>
  <c r="P180" i="1" s="1"/>
  <c r="K181" i="1"/>
  <c r="L181" i="1"/>
  <c r="M181" i="1"/>
  <c r="N181" i="1" s="1"/>
  <c r="K182" i="1"/>
  <c r="L182" i="1"/>
  <c r="M182" i="1"/>
  <c r="N182" i="1" s="1"/>
  <c r="K183" i="1"/>
  <c r="L183" i="1"/>
  <c r="M183" i="1"/>
  <c r="N183" i="1" s="1"/>
  <c r="K184" i="1"/>
  <c r="L184" i="1"/>
  <c r="M184" i="1"/>
  <c r="N184" i="1" s="1"/>
  <c r="K185" i="1"/>
  <c r="L185" i="1"/>
  <c r="M185" i="1"/>
  <c r="N185" i="1" s="1"/>
  <c r="K186" i="1"/>
  <c r="L186" i="1"/>
  <c r="M186" i="1"/>
  <c r="N186" i="1" s="1"/>
  <c r="K187" i="1"/>
  <c r="L187" i="1"/>
  <c r="M187" i="1"/>
  <c r="N187" i="1" s="1"/>
  <c r="K188" i="1"/>
  <c r="L188" i="1"/>
  <c r="M188" i="1"/>
  <c r="N188" i="1" s="1"/>
  <c r="K189" i="1"/>
  <c r="L189" i="1"/>
  <c r="M189" i="1"/>
  <c r="N189" i="1" s="1"/>
  <c r="K190" i="1"/>
  <c r="L190" i="1"/>
  <c r="M190" i="1"/>
  <c r="N190" i="1"/>
  <c r="K191" i="1"/>
  <c r="L191" i="1"/>
  <c r="M191" i="1"/>
  <c r="N191" i="1"/>
  <c r="K192" i="1"/>
  <c r="L192" i="1"/>
  <c r="M192" i="1"/>
  <c r="N192" i="1"/>
  <c r="K193" i="1"/>
  <c r="L193" i="1"/>
  <c r="M193" i="1"/>
  <c r="N193" i="1" s="1"/>
  <c r="K194" i="1"/>
  <c r="L194" i="1"/>
  <c r="M194" i="1"/>
  <c r="N194" i="1" s="1"/>
  <c r="K195" i="1"/>
  <c r="L195" i="1"/>
  <c r="M195" i="1"/>
  <c r="N195" i="1" s="1"/>
  <c r="K196" i="1"/>
  <c r="L196" i="1"/>
  <c r="M196" i="1"/>
  <c r="N196" i="1" s="1"/>
  <c r="K197" i="1"/>
  <c r="L197" i="1"/>
  <c r="M197" i="1"/>
  <c r="N197" i="1" s="1"/>
  <c r="K198" i="1"/>
  <c r="L198" i="1"/>
  <c r="M198" i="1"/>
  <c r="N198" i="1"/>
  <c r="K199" i="1"/>
  <c r="L199" i="1"/>
  <c r="M199" i="1"/>
  <c r="N199" i="1"/>
  <c r="K200" i="1"/>
  <c r="L200" i="1"/>
  <c r="M200" i="1"/>
  <c r="N200" i="1" s="1"/>
  <c r="K201" i="1"/>
  <c r="L201" i="1"/>
  <c r="M201" i="1"/>
  <c r="N201" i="1" s="1"/>
  <c r="V176" i="1"/>
  <c r="Y176" i="1"/>
  <c r="Z176" i="1"/>
  <c r="AB176" i="1"/>
  <c r="AC176" i="1"/>
  <c r="AD176" i="1"/>
  <c r="T176" i="1" s="1"/>
  <c r="AE176" i="1"/>
  <c r="AF176" i="1"/>
  <c r="AH176" i="1"/>
  <c r="V174" i="1"/>
  <c r="Y174" i="1"/>
  <c r="Z174" i="1"/>
  <c r="AB174" i="1"/>
  <c r="AC174" i="1"/>
  <c r="AD174" i="1"/>
  <c r="AE174" i="1"/>
  <c r="AF174" i="1"/>
  <c r="AH174" i="1"/>
  <c r="Y151" i="1"/>
  <c r="Y152" i="1"/>
  <c r="Y153" i="1"/>
  <c r="Y154" i="1"/>
  <c r="Y155" i="1"/>
  <c r="Y156" i="1"/>
  <c r="Y157" i="1"/>
  <c r="Y158" i="1"/>
  <c r="Y159" i="1"/>
  <c r="Y160" i="1"/>
  <c r="P147" i="1" l="1"/>
  <c r="AA174" i="1"/>
  <c r="AA176" i="1"/>
  <c r="T174" i="1"/>
  <c r="AG174" i="1"/>
  <c r="AG176" i="1"/>
  <c r="L8" i="3"/>
  <c r="S8" i="3"/>
  <c r="R8" i="3" s="1"/>
  <c r="T8" i="3"/>
  <c r="U8" i="3"/>
  <c r="V8" i="3"/>
  <c r="L9" i="3"/>
  <c r="S9" i="3"/>
  <c r="R9" i="3" s="1"/>
  <c r="T9" i="3"/>
  <c r="U9" i="3"/>
  <c r="V9" i="3"/>
  <c r="L10" i="3"/>
  <c r="S10" i="3"/>
  <c r="R10" i="3" s="1"/>
  <c r="T10" i="3"/>
  <c r="U10" i="3"/>
  <c r="V10" i="3"/>
  <c r="L11" i="3"/>
  <c r="S11" i="3"/>
  <c r="R11" i="3" s="1"/>
  <c r="T11" i="3"/>
  <c r="U11" i="3"/>
  <c r="V11" i="3"/>
  <c r="L12" i="3"/>
  <c r="S12" i="3"/>
  <c r="R12" i="3" s="1"/>
  <c r="T12" i="3"/>
  <c r="U12" i="3"/>
  <c r="V12" i="3"/>
  <c r="L13" i="3"/>
  <c r="S13" i="3"/>
  <c r="R13" i="3" s="1"/>
  <c r="T13" i="3"/>
  <c r="U13" i="3"/>
  <c r="V13" i="3"/>
  <c r="L14" i="3"/>
  <c r="S14" i="3"/>
  <c r="R14" i="3" s="1"/>
  <c r="T14" i="3"/>
  <c r="U14" i="3"/>
  <c r="V14" i="3"/>
  <c r="L15" i="3"/>
  <c r="S15" i="3"/>
  <c r="R15" i="3" s="1"/>
  <c r="T15" i="3"/>
  <c r="U15" i="3"/>
  <c r="V15" i="3"/>
  <c r="L16" i="3"/>
  <c r="S16" i="3"/>
  <c r="R16" i="3" s="1"/>
  <c r="T16" i="3"/>
  <c r="U16" i="3"/>
  <c r="V16" i="3"/>
  <c r="L17" i="3"/>
  <c r="S17" i="3"/>
  <c r="R17" i="3" s="1"/>
  <c r="T17" i="3"/>
  <c r="U17" i="3"/>
  <c r="V17" i="3"/>
  <c r="L18" i="3"/>
  <c r="S18" i="3"/>
  <c r="R18" i="3" s="1"/>
  <c r="T18" i="3"/>
  <c r="U18" i="3"/>
  <c r="V18" i="3"/>
  <c r="L19" i="3"/>
  <c r="S19" i="3"/>
  <c r="R19" i="3" s="1"/>
  <c r="T19" i="3"/>
  <c r="U19" i="3"/>
  <c r="V19" i="3"/>
  <c r="L20" i="3"/>
  <c r="S20" i="3"/>
  <c r="R20" i="3" s="1"/>
  <c r="T20" i="3"/>
  <c r="U20" i="3"/>
  <c r="V20" i="3"/>
  <c r="L21" i="3"/>
  <c r="S21" i="3"/>
  <c r="R21" i="3" s="1"/>
  <c r="T21" i="3"/>
  <c r="U21" i="3"/>
  <c r="V21" i="3"/>
  <c r="L22" i="3"/>
  <c r="S22" i="3"/>
  <c r="R22" i="3" s="1"/>
  <c r="T22" i="3"/>
  <c r="U22" i="3"/>
  <c r="V22" i="3"/>
  <c r="L23" i="3"/>
  <c r="S23" i="3"/>
  <c r="R23" i="3" s="1"/>
  <c r="T23" i="3"/>
  <c r="U23" i="3"/>
  <c r="V23" i="3"/>
  <c r="L24" i="3"/>
  <c r="S24" i="3"/>
  <c r="R24" i="3" s="1"/>
  <c r="T24" i="3"/>
  <c r="U24" i="3"/>
  <c r="V24" i="3"/>
  <c r="L25" i="3"/>
  <c r="S25" i="3"/>
  <c r="R25" i="3" s="1"/>
  <c r="T25" i="3"/>
  <c r="U25" i="3"/>
  <c r="V25" i="3"/>
  <c r="L26" i="3"/>
  <c r="S26" i="3"/>
  <c r="R26" i="3" s="1"/>
  <c r="T26" i="3"/>
  <c r="U26" i="3"/>
  <c r="V26" i="3"/>
  <c r="L28" i="3"/>
  <c r="S28" i="3"/>
  <c r="R28" i="3" s="1"/>
  <c r="T28" i="3"/>
  <c r="U28" i="3"/>
  <c r="V28" i="3"/>
  <c r="L29" i="3"/>
  <c r="S29" i="3"/>
  <c r="R29" i="3" s="1"/>
  <c r="T29" i="3"/>
  <c r="U29" i="3"/>
  <c r="V29" i="3"/>
  <c r="L30" i="3"/>
  <c r="S30" i="3"/>
  <c r="R30" i="3" s="1"/>
  <c r="T30" i="3"/>
  <c r="U30" i="3"/>
  <c r="V30" i="3"/>
  <c r="L31" i="3"/>
  <c r="S31" i="3"/>
  <c r="R31" i="3" s="1"/>
  <c r="T31" i="3"/>
  <c r="U31" i="3"/>
  <c r="V31" i="3"/>
  <c r="L32" i="3"/>
  <c r="S32" i="3"/>
  <c r="R32" i="3" s="1"/>
  <c r="T32" i="3"/>
  <c r="U32" i="3"/>
  <c r="V32" i="3"/>
  <c r="L33" i="3"/>
  <c r="S33" i="3"/>
  <c r="R33" i="3" s="1"/>
  <c r="T33" i="3"/>
  <c r="U33" i="3"/>
  <c r="V33" i="3"/>
  <c r="L34" i="3"/>
  <c r="S34" i="3"/>
  <c r="R34" i="3" s="1"/>
  <c r="T34" i="3"/>
  <c r="U34" i="3"/>
  <c r="V34" i="3"/>
  <c r="L35" i="3"/>
  <c r="S35" i="3"/>
  <c r="R35" i="3" s="1"/>
  <c r="T35" i="3"/>
  <c r="U35" i="3"/>
  <c r="V35" i="3"/>
  <c r="L36" i="3"/>
  <c r="S36" i="3"/>
  <c r="R36" i="3" s="1"/>
  <c r="T36" i="3"/>
  <c r="U36" i="3"/>
  <c r="V36" i="3"/>
  <c r="L37" i="3"/>
  <c r="S37" i="3"/>
  <c r="R37" i="3" s="1"/>
  <c r="T37" i="3"/>
  <c r="U37" i="3"/>
  <c r="V37" i="3"/>
  <c r="L38" i="3"/>
  <c r="S38" i="3"/>
  <c r="R38" i="3" s="1"/>
  <c r="T38" i="3"/>
  <c r="U38" i="3"/>
  <c r="V38" i="3"/>
  <c r="L39" i="3"/>
  <c r="S39" i="3"/>
  <c r="R39" i="3" s="1"/>
  <c r="T39" i="3"/>
  <c r="U39" i="3"/>
  <c r="V39" i="3"/>
  <c r="L40" i="3"/>
  <c r="S40" i="3"/>
  <c r="R40" i="3" s="1"/>
  <c r="T40" i="3"/>
  <c r="U40" i="3"/>
  <c r="V40" i="3"/>
  <c r="L41" i="3"/>
  <c r="S41" i="3"/>
  <c r="R41" i="3" s="1"/>
  <c r="T41" i="3"/>
  <c r="U41" i="3"/>
  <c r="V41" i="3"/>
  <c r="L42" i="3"/>
  <c r="S42" i="3"/>
  <c r="R42" i="3" s="1"/>
  <c r="T42" i="3"/>
  <c r="U42" i="3"/>
  <c r="V42" i="3"/>
  <c r="L43" i="3"/>
  <c r="S43" i="3"/>
  <c r="R43" i="3" s="1"/>
  <c r="T43" i="3"/>
  <c r="U43" i="3"/>
  <c r="V43" i="3"/>
  <c r="L44" i="3"/>
  <c r="S44" i="3"/>
  <c r="R44" i="3" s="1"/>
  <c r="T44" i="3"/>
  <c r="U44" i="3"/>
  <c r="V44" i="3"/>
  <c r="L45" i="3"/>
  <c r="S45" i="3"/>
  <c r="R45" i="3" s="1"/>
  <c r="T45" i="3"/>
  <c r="U45" i="3"/>
  <c r="V45" i="3"/>
  <c r="L46" i="3"/>
  <c r="S46" i="3"/>
  <c r="R46" i="3" s="1"/>
  <c r="T46" i="3"/>
  <c r="U46" i="3"/>
  <c r="V46" i="3"/>
  <c r="L47" i="3"/>
  <c r="S47" i="3"/>
  <c r="R47" i="3" s="1"/>
  <c r="T47" i="3"/>
  <c r="U47" i="3"/>
  <c r="V47" i="3"/>
  <c r="L48" i="3"/>
  <c r="S48" i="3"/>
  <c r="R48" i="3" s="1"/>
  <c r="T48" i="3"/>
  <c r="U48" i="3"/>
  <c r="V48" i="3"/>
  <c r="L51" i="3"/>
  <c r="S51" i="3"/>
  <c r="R51" i="3" s="1"/>
  <c r="T51" i="3"/>
  <c r="U51" i="3"/>
  <c r="V51" i="3"/>
  <c r="L27" i="3"/>
  <c r="S27" i="3"/>
  <c r="R27" i="3" s="1"/>
  <c r="T27" i="3"/>
  <c r="U27" i="3"/>
  <c r="V27" i="3"/>
  <c r="L64" i="3"/>
  <c r="P64" i="3"/>
  <c r="Q64" i="3"/>
  <c r="S64" i="3"/>
  <c r="R64" i="3" s="1"/>
  <c r="T64" i="3"/>
  <c r="U64" i="3"/>
  <c r="V64" i="3"/>
  <c r="L65" i="3"/>
  <c r="P65" i="3"/>
  <c r="Q65" i="3"/>
  <c r="S65" i="3"/>
  <c r="R65" i="3" s="1"/>
  <c r="T65" i="3"/>
  <c r="U65" i="3"/>
  <c r="V65" i="3"/>
  <c r="L66" i="3"/>
  <c r="P66" i="3"/>
  <c r="Q66" i="3"/>
  <c r="S66" i="3"/>
  <c r="R66" i="3" s="1"/>
  <c r="T66" i="3"/>
  <c r="U66" i="3"/>
  <c r="V66" i="3"/>
  <c r="L67" i="3"/>
  <c r="P67" i="3"/>
  <c r="Q67" i="3"/>
  <c r="S67" i="3"/>
  <c r="R67" i="3" s="1"/>
  <c r="T67" i="3"/>
  <c r="U67" i="3"/>
  <c r="V67" i="3"/>
  <c r="L68" i="3"/>
  <c r="P68" i="3"/>
  <c r="Q68" i="3"/>
  <c r="S68" i="3"/>
  <c r="R68" i="3" s="1"/>
  <c r="T68" i="3"/>
  <c r="U68" i="3"/>
  <c r="V68" i="3"/>
  <c r="L69" i="3"/>
  <c r="P69" i="3"/>
  <c r="Q69" i="3"/>
  <c r="S69" i="3"/>
  <c r="R69" i="3" s="1"/>
  <c r="T69" i="3"/>
  <c r="U69" i="3"/>
  <c r="V69" i="3"/>
  <c r="L70" i="3"/>
  <c r="P70" i="3"/>
  <c r="Q70" i="3"/>
  <c r="S70" i="3"/>
  <c r="R70" i="3" s="1"/>
  <c r="T70" i="3"/>
  <c r="U70" i="3"/>
  <c r="V70" i="3"/>
  <c r="L49" i="3"/>
  <c r="S49" i="3"/>
  <c r="R49" i="3" s="1"/>
  <c r="T49" i="3"/>
  <c r="U49" i="3"/>
  <c r="V49" i="3"/>
  <c r="L50" i="3"/>
  <c r="S50" i="3"/>
  <c r="R50" i="3" s="1"/>
  <c r="T50" i="3"/>
  <c r="U50" i="3"/>
  <c r="V50" i="3"/>
  <c r="L52" i="3"/>
  <c r="S52" i="3"/>
  <c r="R52" i="3" s="1"/>
  <c r="T52" i="3"/>
  <c r="U52" i="3"/>
  <c r="V52" i="3"/>
  <c r="L53" i="3"/>
  <c r="S53" i="3"/>
  <c r="R53" i="3" s="1"/>
  <c r="T53" i="3"/>
  <c r="U53" i="3"/>
  <c r="V53" i="3"/>
  <c r="L54" i="3"/>
  <c r="S54" i="3"/>
  <c r="R54" i="3" s="1"/>
  <c r="T54" i="3"/>
  <c r="U54" i="3"/>
  <c r="V54" i="3"/>
  <c r="L55" i="3"/>
  <c r="S55" i="3"/>
  <c r="R55" i="3" s="1"/>
  <c r="T55" i="3"/>
  <c r="U55" i="3"/>
  <c r="V55" i="3"/>
  <c r="L56" i="3"/>
  <c r="S56" i="3"/>
  <c r="R56" i="3" s="1"/>
  <c r="T56" i="3"/>
  <c r="U56" i="3"/>
  <c r="V56" i="3"/>
  <c r="L57" i="3"/>
  <c r="S57" i="3"/>
  <c r="R57" i="3" s="1"/>
  <c r="T57" i="3"/>
  <c r="U57" i="3"/>
  <c r="V57" i="3"/>
  <c r="L58" i="3"/>
  <c r="S58" i="3"/>
  <c r="R58" i="3" s="1"/>
  <c r="T58" i="3"/>
  <c r="U58" i="3"/>
  <c r="V58" i="3"/>
  <c r="L59" i="3"/>
  <c r="S59" i="3"/>
  <c r="R59" i="3" s="1"/>
  <c r="T59" i="3"/>
  <c r="U59" i="3"/>
  <c r="V59" i="3"/>
  <c r="L60" i="3"/>
  <c r="S60" i="3"/>
  <c r="R60" i="3" s="1"/>
  <c r="T60" i="3"/>
  <c r="U60" i="3"/>
  <c r="V60" i="3"/>
  <c r="L61" i="3"/>
  <c r="S61" i="3"/>
  <c r="R61" i="3" s="1"/>
  <c r="T61" i="3"/>
  <c r="U61" i="3"/>
  <c r="V61" i="3"/>
  <c r="L62" i="3"/>
  <c r="S62" i="3"/>
  <c r="R62" i="3" s="1"/>
  <c r="T62" i="3"/>
  <c r="U62" i="3"/>
  <c r="V62" i="3"/>
  <c r="L63" i="3"/>
  <c r="S63" i="3"/>
  <c r="R63" i="3" s="1"/>
  <c r="T63" i="3"/>
  <c r="U63" i="3"/>
  <c r="V63" i="3"/>
  <c r="L71" i="3"/>
  <c r="P71" i="3"/>
  <c r="Q71" i="3"/>
  <c r="S71" i="3"/>
  <c r="R71" i="3" s="1"/>
  <c r="T71" i="3"/>
  <c r="U71" i="3"/>
  <c r="V71" i="3"/>
  <c r="L7" i="3"/>
  <c r="S7" i="3"/>
  <c r="R7" i="3" s="1"/>
  <c r="T7" i="3"/>
  <c r="U7" i="3"/>
  <c r="V7" i="3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P24" i="1" s="1"/>
  <c r="V24" i="1"/>
  <c r="Y24" i="1"/>
  <c r="Z24" i="1"/>
  <c r="AB24" i="1"/>
  <c r="AC24" i="1"/>
  <c r="AD24" i="1"/>
  <c r="AG24" i="1" s="1"/>
  <c r="AE24" i="1"/>
  <c r="AF24" i="1"/>
  <c r="AH24" i="1"/>
  <c r="K25" i="1"/>
  <c r="L25" i="1"/>
  <c r="M25" i="1"/>
  <c r="N25" i="1" s="1"/>
  <c r="V25" i="1"/>
  <c r="Q43" i="3" s="1"/>
  <c r="Y25" i="1"/>
  <c r="Z25" i="1"/>
  <c r="AB25" i="1"/>
  <c r="AC25" i="1"/>
  <c r="AD25" i="1"/>
  <c r="AG25" i="1" s="1"/>
  <c r="AE25" i="1"/>
  <c r="P43" i="3" s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Q29" i="3" s="1"/>
  <c r="Y32" i="1"/>
  <c r="Z32" i="1"/>
  <c r="AB32" i="1"/>
  <c r="AC32" i="1"/>
  <c r="AD32" i="1"/>
  <c r="AG32" i="1" s="1"/>
  <c r="AE32" i="1"/>
  <c r="P29" i="3" s="1"/>
  <c r="AF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Q11" i="3" s="1"/>
  <c r="Y37" i="1"/>
  <c r="Z37" i="1"/>
  <c r="AB37" i="1"/>
  <c r="AC37" i="1"/>
  <c r="AD37" i="1"/>
  <c r="AG37" i="1" s="1"/>
  <c r="AE37" i="1"/>
  <c r="P11" i="3" s="1"/>
  <c r="AF37" i="1"/>
  <c r="AH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Q44" i="3" s="1"/>
  <c r="Y39" i="1"/>
  <c r="Z39" i="1"/>
  <c r="AB39" i="1"/>
  <c r="AC39" i="1"/>
  <c r="AD39" i="1"/>
  <c r="AG39" i="1" s="1"/>
  <c r="AE39" i="1"/>
  <c r="P44" i="3" s="1"/>
  <c r="AF39" i="1"/>
  <c r="AH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Q35" i="3" s="1"/>
  <c r="Y44" i="1"/>
  <c r="Z44" i="1"/>
  <c r="AB44" i="1"/>
  <c r="AC44" i="1"/>
  <c r="AD44" i="1"/>
  <c r="AE44" i="1"/>
  <c r="P35" i="3" s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Q18" i="3" s="1"/>
  <c r="Y48" i="1"/>
  <c r="Z48" i="1"/>
  <c r="AB48" i="1"/>
  <c r="AC48" i="1"/>
  <c r="AD48" i="1"/>
  <c r="AG48" i="1" s="1"/>
  <c r="AE48" i="1"/>
  <c r="P9" i="3" s="1"/>
  <c r="AF48" i="1"/>
  <c r="AH48" i="1"/>
  <c r="K49" i="1"/>
  <c r="L49" i="1"/>
  <c r="M49" i="1"/>
  <c r="N49" i="1" s="1"/>
  <c r="V49" i="1"/>
  <c r="Q12" i="3" s="1"/>
  <c r="Y49" i="1"/>
  <c r="Z49" i="1"/>
  <c r="AB49" i="1"/>
  <c r="AC49" i="1"/>
  <c r="AD49" i="1"/>
  <c r="AG49" i="1" s="1"/>
  <c r="AE49" i="1"/>
  <c r="P12" i="3" s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X56" i="1" s="1"/>
  <c r="AE56" i="1"/>
  <c r="AF56" i="1"/>
  <c r="AH56" i="1"/>
  <c r="V57" i="1"/>
  <c r="Y57" i="1"/>
  <c r="Z57" i="1"/>
  <c r="AB57" i="1"/>
  <c r="AC57" i="1"/>
  <c r="AD57" i="1"/>
  <c r="T57" i="1" s="1"/>
  <c r="AE57" i="1"/>
  <c r="AF57" i="1"/>
  <c r="AH57" i="1"/>
  <c r="V58" i="1"/>
  <c r="Q36" i="3" s="1"/>
  <c r="Y58" i="1"/>
  <c r="Z58" i="1"/>
  <c r="AB58" i="1"/>
  <c r="AC58" i="1"/>
  <c r="AD58" i="1"/>
  <c r="AG58" i="1" s="1"/>
  <c r="AE58" i="1"/>
  <c r="P36" i="3" s="1"/>
  <c r="AF58" i="1"/>
  <c r="AH58" i="1"/>
  <c r="V59" i="1"/>
  <c r="Y59" i="1"/>
  <c r="Z59" i="1"/>
  <c r="AB59" i="1"/>
  <c r="AC59" i="1"/>
  <c r="AD59" i="1"/>
  <c r="AE59" i="1"/>
  <c r="AF59" i="1"/>
  <c r="AH59" i="1"/>
  <c r="V60" i="1"/>
  <c r="Y60" i="1"/>
  <c r="Z60" i="1"/>
  <c r="AB60" i="1"/>
  <c r="AC60" i="1"/>
  <c r="AD60" i="1"/>
  <c r="AG60" i="1" s="1"/>
  <c r="AE60" i="1"/>
  <c r="AF60" i="1"/>
  <c r="AH60" i="1"/>
  <c r="V61" i="1"/>
  <c r="Y61" i="1"/>
  <c r="Z61" i="1"/>
  <c r="AB61" i="1"/>
  <c r="AC61" i="1"/>
  <c r="AD61" i="1"/>
  <c r="AG61" i="1" s="1"/>
  <c r="AE61" i="1"/>
  <c r="AF61" i="1"/>
  <c r="AH61" i="1"/>
  <c r="V62" i="1"/>
  <c r="Y62" i="1"/>
  <c r="Z62" i="1"/>
  <c r="AB62" i="1"/>
  <c r="AC62" i="1"/>
  <c r="AD62" i="1"/>
  <c r="AG62" i="1" s="1"/>
  <c r="AE62" i="1"/>
  <c r="AF62" i="1"/>
  <c r="AH62" i="1"/>
  <c r="V63" i="1"/>
  <c r="Y63" i="1"/>
  <c r="Z63" i="1"/>
  <c r="AB63" i="1"/>
  <c r="AC63" i="1"/>
  <c r="AD63" i="1"/>
  <c r="AG63" i="1" s="1"/>
  <c r="AE63" i="1"/>
  <c r="AF63" i="1"/>
  <c r="AH63" i="1"/>
  <c r="V64" i="1"/>
  <c r="Q32" i="3" s="1"/>
  <c r="Y64" i="1"/>
  <c r="Z64" i="1"/>
  <c r="AB64" i="1"/>
  <c r="AC64" i="1"/>
  <c r="AD64" i="1"/>
  <c r="AG64" i="1" s="1"/>
  <c r="AE64" i="1"/>
  <c r="P32" i="3" s="1"/>
  <c r="AF64" i="1"/>
  <c r="AH64" i="1"/>
  <c r="V65" i="1"/>
  <c r="Q14" i="3" s="1"/>
  <c r="Y65" i="1"/>
  <c r="Z65" i="1"/>
  <c r="AB65" i="1"/>
  <c r="AC65" i="1"/>
  <c r="AD65" i="1"/>
  <c r="AG65" i="1" s="1"/>
  <c r="AE65" i="1"/>
  <c r="P13" i="3" s="1"/>
  <c r="AF65" i="1"/>
  <c r="AH65" i="1"/>
  <c r="V66" i="1"/>
  <c r="Y66" i="1"/>
  <c r="Z66" i="1"/>
  <c r="AB66" i="1"/>
  <c r="AC66" i="1"/>
  <c r="AD66" i="1"/>
  <c r="AG66" i="1" s="1"/>
  <c r="AE66" i="1"/>
  <c r="P17" i="3" s="1"/>
  <c r="AF66" i="1"/>
  <c r="AH66" i="1"/>
  <c r="V67" i="1"/>
  <c r="Y67" i="1"/>
  <c r="Z67" i="1"/>
  <c r="AB67" i="1"/>
  <c r="AC67" i="1"/>
  <c r="AD67" i="1"/>
  <c r="AG67" i="1" s="1"/>
  <c r="AE67" i="1"/>
  <c r="AF67" i="1"/>
  <c r="AH67" i="1"/>
  <c r="V68" i="1"/>
  <c r="Q26" i="3" s="1"/>
  <c r="Y68" i="1"/>
  <c r="Z68" i="1"/>
  <c r="AB68" i="1"/>
  <c r="AC68" i="1"/>
  <c r="AD68" i="1"/>
  <c r="AE68" i="1"/>
  <c r="P26" i="3" s="1"/>
  <c r="AF68" i="1"/>
  <c r="AH68" i="1"/>
  <c r="V69" i="1"/>
  <c r="Y69" i="1"/>
  <c r="Z69" i="1"/>
  <c r="AB69" i="1"/>
  <c r="AC69" i="1"/>
  <c r="AD69" i="1"/>
  <c r="AG69" i="1" s="1"/>
  <c r="AE69" i="1"/>
  <c r="AF69" i="1"/>
  <c r="AH69" i="1"/>
  <c r="V70" i="1"/>
  <c r="Y70" i="1"/>
  <c r="Z70" i="1"/>
  <c r="AB70" i="1"/>
  <c r="AC70" i="1"/>
  <c r="AD70" i="1"/>
  <c r="T70" i="1" s="1"/>
  <c r="AE70" i="1"/>
  <c r="AF70" i="1"/>
  <c r="AH70" i="1"/>
  <c r="V71" i="1"/>
  <c r="Y71" i="1"/>
  <c r="Z71" i="1"/>
  <c r="AB71" i="1"/>
  <c r="AC71" i="1"/>
  <c r="AD71" i="1"/>
  <c r="T71" i="1" s="1"/>
  <c r="AE71" i="1"/>
  <c r="AF71" i="1"/>
  <c r="AH71" i="1"/>
  <c r="V72" i="1"/>
  <c r="Q8" i="3" s="1"/>
  <c r="Y72" i="1"/>
  <c r="Z72" i="1"/>
  <c r="AB72" i="1"/>
  <c r="AC72" i="1"/>
  <c r="AD72" i="1"/>
  <c r="T72" i="1" s="1"/>
  <c r="AE72" i="1"/>
  <c r="P8" i="3" s="1"/>
  <c r="AF72" i="1"/>
  <c r="AH72" i="1"/>
  <c r="V73" i="1"/>
  <c r="Y73" i="1"/>
  <c r="Z73" i="1"/>
  <c r="AB73" i="1"/>
  <c r="AC73" i="1"/>
  <c r="AD73" i="1"/>
  <c r="AG73" i="1" s="1"/>
  <c r="AE73" i="1"/>
  <c r="AF73" i="1"/>
  <c r="AH73" i="1"/>
  <c r="V74" i="1"/>
  <c r="Q37" i="3" s="1"/>
  <c r="Y74" i="1"/>
  <c r="Z74" i="1"/>
  <c r="AB74" i="1"/>
  <c r="AC74" i="1"/>
  <c r="AD74" i="1"/>
  <c r="AG74" i="1" s="1"/>
  <c r="AE74" i="1"/>
  <c r="P37" i="3" s="1"/>
  <c r="AF74" i="1"/>
  <c r="AH74" i="1"/>
  <c r="V75" i="1"/>
  <c r="Y75" i="1"/>
  <c r="Z75" i="1"/>
  <c r="AB75" i="1"/>
  <c r="AC75" i="1"/>
  <c r="AD75" i="1"/>
  <c r="AG75" i="1" s="1"/>
  <c r="AE75" i="1"/>
  <c r="AF75" i="1"/>
  <c r="AH75" i="1"/>
  <c r="V76" i="1"/>
  <c r="Y76" i="1"/>
  <c r="Z76" i="1"/>
  <c r="AB76" i="1"/>
  <c r="AC76" i="1"/>
  <c r="AD76" i="1"/>
  <c r="AE76" i="1"/>
  <c r="AF76" i="1"/>
  <c r="AH76" i="1"/>
  <c r="V77" i="1"/>
  <c r="Q10" i="3" s="1"/>
  <c r="Y77" i="1"/>
  <c r="Z77" i="1"/>
  <c r="AB77" i="1"/>
  <c r="AC77" i="1"/>
  <c r="AD77" i="1"/>
  <c r="AG77" i="1" s="1"/>
  <c r="AE77" i="1"/>
  <c r="P10" i="3" s="1"/>
  <c r="AF77" i="1"/>
  <c r="AH77" i="1"/>
  <c r="V78" i="1"/>
  <c r="Y78" i="1"/>
  <c r="Z78" i="1"/>
  <c r="AB78" i="1"/>
  <c r="AC78" i="1"/>
  <c r="AD78" i="1"/>
  <c r="AE78" i="1"/>
  <c r="AF78" i="1"/>
  <c r="AH78" i="1"/>
  <c r="V79" i="1"/>
  <c r="Y79" i="1"/>
  <c r="Z79" i="1"/>
  <c r="AB79" i="1"/>
  <c r="AC79" i="1"/>
  <c r="AD79" i="1"/>
  <c r="AG79" i="1" s="1"/>
  <c r="AE79" i="1"/>
  <c r="AF79" i="1"/>
  <c r="AH79" i="1"/>
  <c r="V80" i="1"/>
  <c r="Q38" i="3" s="1"/>
  <c r="Y80" i="1"/>
  <c r="Z80" i="1"/>
  <c r="AB80" i="1"/>
  <c r="AC80" i="1"/>
  <c r="AD80" i="1"/>
  <c r="AG80" i="1" s="1"/>
  <c r="AE80" i="1"/>
  <c r="P38" i="3" s="1"/>
  <c r="AF80" i="1"/>
  <c r="AH80" i="1"/>
  <c r="V81" i="1"/>
  <c r="Y81" i="1"/>
  <c r="Z81" i="1"/>
  <c r="AB81" i="1"/>
  <c r="AC81" i="1"/>
  <c r="AD81" i="1"/>
  <c r="AE81" i="1"/>
  <c r="AF81" i="1"/>
  <c r="AH81" i="1"/>
  <c r="V82" i="1"/>
  <c r="Q31" i="3" s="1"/>
  <c r="Y82" i="1"/>
  <c r="Z82" i="1"/>
  <c r="AB82" i="1"/>
  <c r="AC82" i="1"/>
  <c r="AD82" i="1"/>
  <c r="AE82" i="1"/>
  <c r="P31" i="3" s="1"/>
  <c r="AF82" i="1"/>
  <c r="AH82" i="1"/>
  <c r="V83" i="1"/>
  <c r="Y83" i="1"/>
  <c r="Z83" i="1"/>
  <c r="AB83" i="1"/>
  <c r="AC83" i="1"/>
  <c r="AD83" i="1"/>
  <c r="AG83" i="1" s="1"/>
  <c r="AE83" i="1"/>
  <c r="AF83" i="1"/>
  <c r="AH83" i="1"/>
  <c r="V84" i="1"/>
  <c r="Y84" i="1"/>
  <c r="Z84" i="1"/>
  <c r="AB84" i="1"/>
  <c r="AC84" i="1"/>
  <c r="AD84" i="1"/>
  <c r="AG84" i="1" s="1"/>
  <c r="AE84" i="1"/>
  <c r="AF84" i="1"/>
  <c r="AH84" i="1"/>
  <c r="V85" i="1"/>
  <c r="Y85" i="1"/>
  <c r="Z85" i="1"/>
  <c r="AB85" i="1"/>
  <c r="AC85" i="1"/>
  <c r="AD85" i="1"/>
  <c r="AG85" i="1" s="1"/>
  <c r="AE85" i="1"/>
  <c r="AF85" i="1"/>
  <c r="AH85" i="1"/>
  <c r="V86" i="1"/>
  <c r="Y86" i="1"/>
  <c r="Z86" i="1"/>
  <c r="AB86" i="1"/>
  <c r="AC86" i="1"/>
  <c r="AD86" i="1"/>
  <c r="AE86" i="1"/>
  <c r="AF86" i="1"/>
  <c r="AH86" i="1"/>
  <c r="V87" i="1"/>
  <c r="Y87" i="1"/>
  <c r="Z87" i="1"/>
  <c r="AB87" i="1"/>
  <c r="AC87" i="1"/>
  <c r="AD87" i="1"/>
  <c r="AG87" i="1" s="1"/>
  <c r="AE87" i="1"/>
  <c r="AF87" i="1"/>
  <c r="AH87" i="1"/>
  <c r="V88" i="1"/>
  <c r="Y88" i="1"/>
  <c r="Z88" i="1"/>
  <c r="AB88" i="1"/>
  <c r="AC88" i="1"/>
  <c r="AD88" i="1"/>
  <c r="AE88" i="1"/>
  <c r="AF88" i="1"/>
  <c r="AH88" i="1"/>
  <c r="V89" i="1"/>
  <c r="Y89" i="1"/>
  <c r="Z89" i="1"/>
  <c r="AB89" i="1"/>
  <c r="AC89" i="1"/>
  <c r="AD89" i="1"/>
  <c r="AG89" i="1" s="1"/>
  <c r="AE89" i="1"/>
  <c r="AF89" i="1"/>
  <c r="AH89" i="1"/>
  <c r="V90" i="1"/>
  <c r="Y90" i="1"/>
  <c r="Z90" i="1"/>
  <c r="AB90" i="1"/>
  <c r="AC90" i="1"/>
  <c r="AD90" i="1"/>
  <c r="AG90" i="1" s="1"/>
  <c r="AE90" i="1"/>
  <c r="AF90" i="1"/>
  <c r="AH90" i="1"/>
  <c r="V91" i="1"/>
  <c r="Y91" i="1"/>
  <c r="Z91" i="1"/>
  <c r="AB91" i="1"/>
  <c r="AC91" i="1"/>
  <c r="AD91" i="1"/>
  <c r="AG91" i="1" s="1"/>
  <c r="AE91" i="1"/>
  <c r="AF91" i="1"/>
  <c r="AH91" i="1"/>
  <c r="V92" i="1"/>
  <c r="Y92" i="1"/>
  <c r="Z92" i="1"/>
  <c r="AB92" i="1"/>
  <c r="AC92" i="1"/>
  <c r="AD92" i="1"/>
  <c r="AE92" i="1"/>
  <c r="AF92" i="1"/>
  <c r="AH92" i="1"/>
  <c r="V158" i="1"/>
  <c r="Q49" i="3" s="1"/>
  <c r="Z158" i="1"/>
  <c r="AB158" i="1"/>
  <c r="AC158" i="1"/>
  <c r="AD158" i="1"/>
  <c r="AE158" i="1"/>
  <c r="P49" i="3" s="1"/>
  <c r="AF158" i="1"/>
  <c r="AH93" i="1"/>
  <c r="V159" i="1"/>
  <c r="Z159" i="1"/>
  <c r="AB159" i="1"/>
  <c r="AC159" i="1"/>
  <c r="AD159" i="1"/>
  <c r="X159" i="1" s="1"/>
  <c r="AE159" i="1"/>
  <c r="AF159" i="1"/>
  <c r="AH94" i="1"/>
  <c r="V160" i="1"/>
  <c r="Z160" i="1"/>
  <c r="AB160" i="1"/>
  <c r="AC160" i="1"/>
  <c r="AD160" i="1"/>
  <c r="AE160" i="1"/>
  <c r="AF160" i="1"/>
  <c r="AH95" i="1"/>
  <c r="V161" i="1"/>
  <c r="Y161" i="1"/>
  <c r="Z161" i="1"/>
  <c r="AB161" i="1"/>
  <c r="AC161" i="1"/>
  <c r="AD161" i="1"/>
  <c r="AE161" i="1"/>
  <c r="AF161" i="1"/>
  <c r="AH96" i="1"/>
  <c r="V162" i="1"/>
  <c r="Q57" i="3" s="1"/>
  <c r="Y162" i="1"/>
  <c r="Z162" i="1"/>
  <c r="AB162" i="1"/>
  <c r="AC162" i="1"/>
  <c r="AD162" i="1"/>
  <c r="AG162" i="1" s="1"/>
  <c r="AE162" i="1"/>
  <c r="P57" i="3" s="1"/>
  <c r="AF162" i="1"/>
  <c r="AH97" i="1"/>
  <c r="V163" i="1"/>
  <c r="Q60" i="3" s="1"/>
  <c r="Y163" i="1"/>
  <c r="Z163" i="1"/>
  <c r="AB163" i="1"/>
  <c r="AC163" i="1"/>
  <c r="AD163" i="1"/>
  <c r="AE163" i="1"/>
  <c r="P60" i="3" s="1"/>
  <c r="AF163" i="1"/>
  <c r="AH98" i="1"/>
  <c r="V164" i="1"/>
  <c r="Y164" i="1"/>
  <c r="Z164" i="1"/>
  <c r="AB164" i="1"/>
  <c r="AC164" i="1"/>
  <c r="AD164" i="1"/>
  <c r="AG164" i="1" s="1"/>
  <c r="AE164" i="1"/>
  <c r="AF164" i="1"/>
  <c r="AH99" i="1"/>
  <c r="V165" i="1"/>
  <c r="Q61" i="3" s="1"/>
  <c r="Y165" i="1"/>
  <c r="Z165" i="1"/>
  <c r="AB165" i="1"/>
  <c r="AC165" i="1"/>
  <c r="AD165" i="1"/>
  <c r="AE165" i="1"/>
  <c r="P61" i="3" s="1"/>
  <c r="AF165" i="1"/>
  <c r="AH100" i="1"/>
  <c r="V166" i="1"/>
  <c r="Q56" i="3" s="1"/>
  <c r="Y166" i="1"/>
  <c r="Z166" i="1"/>
  <c r="AB166" i="1"/>
  <c r="AC166" i="1"/>
  <c r="AD166" i="1"/>
  <c r="AG166" i="1" s="1"/>
  <c r="AE166" i="1"/>
  <c r="P56" i="3" s="1"/>
  <c r="AF166" i="1"/>
  <c r="AH101" i="1"/>
  <c r="V167" i="1"/>
  <c r="Y167" i="1"/>
  <c r="AB167" i="1"/>
  <c r="AC167" i="1"/>
  <c r="AD167" i="1"/>
  <c r="AE167" i="1"/>
  <c r="AF167" i="1"/>
  <c r="AH102" i="1"/>
  <c r="V93" i="1"/>
  <c r="Y93" i="1"/>
  <c r="Z93" i="1"/>
  <c r="AB93" i="1"/>
  <c r="AC93" i="1"/>
  <c r="AD93" i="1"/>
  <c r="AE93" i="1"/>
  <c r="AF93" i="1"/>
  <c r="AH103" i="1"/>
  <c r="V168" i="1"/>
  <c r="Y168" i="1"/>
  <c r="Z168" i="1"/>
  <c r="AB168" i="1"/>
  <c r="AC168" i="1"/>
  <c r="AD168" i="1"/>
  <c r="AE168" i="1"/>
  <c r="AF168" i="1"/>
  <c r="AH104" i="1"/>
  <c r="V169" i="1"/>
  <c r="Y169" i="1"/>
  <c r="Z169" i="1"/>
  <c r="AB169" i="1"/>
  <c r="AC169" i="1"/>
  <c r="AD169" i="1"/>
  <c r="AG169" i="1" s="1"/>
  <c r="AE169" i="1"/>
  <c r="AF169" i="1"/>
  <c r="AH105" i="1"/>
  <c r="V170" i="1"/>
  <c r="Q59" i="3" s="1"/>
  <c r="Y170" i="1"/>
  <c r="Z170" i="1"/>
  <c r="AB170" i="1"/>
  <c r="AC170" i="1"/>
  <c r="AD170" i="1"/>
  <c r="AE170" i="1"/>
  <c r="P58" i="3" s="1"/>
  <c r="AF170" i="1"/>
  <c r="AH106" i="1"/>
  <c r="V171" i="1"/>
  <c r="Y171" i="1"/>
  <c r="Z171" i="1"/>
  <c r="AB171" i="1"/>
  <c r="AC171" i="1"/>
  <c r="AD171" i="1"/>
  <c r="AG171" i="1" s="1"/>
  <c r="AE171" i="1"/>
  <c r="P52" i="3" s="1"/>
  <c r="AF171" i="1"/>
  <c r="AH107" i="1"/>
  <c r="V172" i="1"/>
  <c r="Y172" i="1"/>
  <c r="Z172" i="1"/>
  <c r="AB172" i="1"/>
  <c r="AC172" i="1"/>
  <c r="AD172" i="1"/>
  <c r="AE172" i="1"/>
  <c r="AF172" i="1"/>
  <c r="AH108" i="1"/>
  <c r="V173" i="1"/>
  <c r="Y173" i="1"/>
  <c r="Z173" i="1"/>
  <c r="AB173" i="1"/>
  <c r="AC173" i="1"/>
  <c r="AD173" i="1"/>
  <c r="X174" i="1" s="1"/>
  <c r="AE173" i="1"/>
  <c r="AF173" i="1"/>
  <c r="AH109" i="1"/>
  <c r="V175" i="1"/>
  <c r="Q62" i="3" s="1"/>
  <c r="Y175" i="1"/>
  <c r="Z175" i="1"/>
  <c r="AB175" i="1"/>
  <c r="AC175" i="1"/>
  <c r="AD175" i="1"/>
  <c r="AE175" i="1"/>
  <c r="P62" i="3" s="1"/>
  <c r="AF175" i="1"/>
  <c r="AH110" i="1"/>
  <c r="V177" i="1"/>
  <c r="Y177" i="1"/>
  <c r="Z177" i="1"/>
  <c r="AB177" i="1"/>
  <c r="AC177" i="1"/>
  <c r="AD177" i="1"/>
  <c r="X177" i="1" s="1"/>
  <c r="AE177" i="1"/>
  <c r="AF177" i="1"/>
  <c r="AH111" i="1"/>
  <c r="V94" i="1"/>
  <c r="Q39" i="3" s="1"/>
  <c r="Y94" i="1"/>
  <c r="Z94" i="1"/>
  <c r="AB94" i="1"/>
  <c r="AC94" i="1"/>
  <c r="AD94" i="1"/>
  <c r="AE94" i="1"/>
  <c r="P39" i="3" s="1"/>
  <c r="AF94" i="1"/>
  <c r="AH112" i="1"/>
  <c r="V178" i="1"/>
  <c r="Q51" i="3" s="1"/>
  <c r="Y178" i="1"/>
  <c r="Z178" i="1"/>
  <c r="AB178" i="1"/>
  <c r="AC178" i="1"/>
  <c r="AD178" i="1"/>
  <c r="AE178" i="1"/>
  <c r="P51" i="3" s="1"/>
  <c r="AF178" i="1"/>
  <c r="AH113" i="1"/>
  <c r="V179" i="1"/>
  <c r="Y179" i="1"/>
  <c r="Z179" i="1"/>
  <c r="AB179" i="1"/>
  <c r="AC179" i="1"/>
  <c r="AD179" i="1"/>
  <c r="AE179" i="1"/>
  <c r="AF179" i="1"/>
  <c r="AH114" i="1"/>
  <c r="V180" i="1"/>
  <c r="Q55" i="3" s="1"/>
  <c r="Y180" i="1"/>
  <c r="Z180" i="1"/>
  <c r="AB180" i="1"/>
  <c r="AC180" i="1"/>
  <c r="AD180" i="1"/>
  <c r="AE180" i="1"/>
  <c r="P55" i="3" s="1"/>
  <c r="AF180" i="1"/>
  <c r="AH115" i="1"/>
  <c r="V181" i="1"/>
  <c r="Q50" i="3" s="1"/>
  <c r="Y181" i="1"/>
  <c r="Z181" i="1"/>
  <c r="AB181" i="1"/>
  <c r="AC181" i="1"/>
  <c r="AD181" i="1"/>
  <c r="AE181" i="1"/>
  <c r="AF181" i="1"/>
  <c r="AH116" i="1"/>
  <c r="V182" i="1"/>
  <c r="Y182" i="1"/>
  <c r="Z182" i="1"/>
  <c r="AB182" i="1"/>
  <c r="AC182" i="1"/>
  <c r="AD182" i="1"/>
  <c r="AE182" i="1"/>
  <c r="AF182" i="1"/>
  <c r="AH117" i="1"/>
  <c r="V183" i="1"/>
  <c r="Y183" i="1"/>
  <c r="Z183" i="1"/>
  <c r="AB183" i="1"/>
  <c r="AC183" i="1"/>
  <c r="AD183" i="1"/>
  <c r="AG183" i="1" s="1"/>
  <c r="AE183" i="1"/>
  <c r="AF183" i="1"/>
  <c r="AH118" i="1"/>
  <c r="V184" i="1"/>
  <c r="Y184" i="1"/>
  <c r="Z184" i="1"/>
  <c r="AB184" i="1"/>
  <c r="AC184" i="1"/>
  <c r="AD184" i="1"/>
  <c r="AG184" i="1" s="1"/>
  <c r="AE184" i="1"/>
  <c r="AF184" i="1"/>
  <c r="AH119" i="1"/>
  <c r="V185" i="1"/>
  <c r="Y185" i="1"/>
  <c r="Z185" i="1"/>
  <c r="AB185" i="1"/>
  <c r="AC185" i="1"/>
  <c r="AD185" i="1"/>
  <c r="T185" i="1" s="1"/>
  <c r="AE185" i="1"/>
  <c r="AF185" i="1"/>
  <c r="AH120" i="1"/>
  <c r="V186" i="1"/>
  <c r="Y186" i="1"/>
  <c r="Z186" i="1"/>
  <c r="AB186" i="1"/>
  <c r="AC186" i="1"/>
  <c r="AD186" i="1"/>
  <c r="T186" i="1" s="1"/>
  <c r="AE186" i="1"/>
  <c r="AF186" i="1"/>
  <c r="AH121" i="1"/>
  <c r="V187" i="1"/>
  <c r="Y187" i="1"/>
  <c r="Z187" i="1"/>
  <c r="AB187" i="1"/>
  <c r="AC187" i="1"/>
  <c r="AD187" i="1"/>
  <c r="AE187" i="1"/>
  <c r="AF187" i="1"/>
  <c r="AH122" i="1"/>
  <c r="V95" i="1"/>
  <c r="Q22" i="3" s="1"/>
  <c r="Y95" i="1"/>
  <c r="Z95" i="1"/>
  <c r="AB95" i="1"/>
  <c r="AC95" i="1"/>
  <c r="AD95" i="1"/>
  <c r="T95" i="1" s="1"/>
  <c r="AE95" i="1"/>
  <c r="P22" i="3" s="1"/>
  <c r="AF95" i="1"/>
  <c r="AH123" i="1"/>
  <c r="V188" i="1"/>
  <c r="Y188" i="1"/>
  <c r="Z188" i="1"/>
  <c r="AB188" i="1"/>
  <c r="AC188" i="1"/>
  <c r="AD188" i="1"/>
  <c r="T188" i="1" s="1"/>
  <c r="AE188" i="1"/>
  <c r="AF188" i="1"/>
  <c r="AH124" i="1"/>
  <c r="V189" i="1"/>
  <c r="Q54" i="3" s="1"/>
  <c r="Y189" i="1"/>
  <c r="Z189" i="1"/>
  <c r="AB189" i="1"/>
  <c r="AC189" i="1"/>
  <c r="AD189" i="1"/>
  <c r="T189" i="1" s="1"/>
  <c r="AE189" i="1"/>
  <c r="P54" i="3" s="1"/>
  <c r="AF189" i="1"/>
  <c r="AH125" i="1"/>
  <c r="V190" i="1"/>
  <c r="Y190" i="1"/>
  <c r="Z190" i="1"/>
  <c r="AB190" i="1"/>
  <c r="AC190" i="1"/>
  <c r="AD190" i="1"/>
  <c r="T190" i="1" s="1"/>
  <c r="AE190" i="1"/>
  <c r="AF190" i="1"/>
  <c r="AH126" i="1"/>
  <c r="V191" i="1"/>
  <c r="Y191" i="1"/>
  <c r="Z191" i="1"/>
  <c r="AB191" i="1"/>
  <c r="AC191" i="1"/>
  <c r="AD191" i="1"/>
  <c r="T191" i="1" s="1"/>
  <c r="AE191" i="1"/>
  <c r="AF191" i="1"/>
  <c r="AH127" i="1"/>
  <c r="V96" i="1"/>
  <c r="Y96" i="1"/>
  <c r="Z96" i="1"/>
  <c r="AB96" i="1"/>
  <c r="AC96" i="1"/>
  <c r="AD96" i="1"/>
  <c r="T96" i="1" s="1"/>
  <c r="AE96" i="1"/>
  <c r="AF96" i="1"/>
  <c r="AH128" i="1"/>
  <c r="V97" i="1"/>
  <c r="Y97" i="1"/>
  <c r="Z97" i="1"/>
  <c r="AB97" i="1"/>
  <c r="AC97" i="1"/>
  <c r="AD97" i="1"/>
  <c r="T97" i="1" s="1"/>
  <c r="AE97" i="1"/>
  <c r="AF97" i="1"/>
  <c r="AH129" i="1"/>
  <c r="V98" i="1"/>
  <c r="Y98" i="1"/>
  <c r="Z98" i="1"/>
  <c r="AB98" i="1"/>
  <c r="AC98" i="1"/>
  <c r="AD98" i="1"/>
  <c r="T98" i="1" s="1"/>
  <c r="AE98" i="1"/>
  <c r="AF98" i="1"/>
  <c r="AH130" i="1"/>
  <c r="V99" i="1"/>
  <c r="Y99" i="1"/>
  <c r="Z99" i="1"/>
  <c r="AB99" i="1"/>
  <c r="AC99" i="1"/>
  <c r="AD99" i="1"/>
  <c r="T99" i="1" s="1"/>
  <c r="AE99" i="1"/>
  <c r="AF99" i="1"/>
  <c r="AH131" i="1"/>
  <c r="V100" i="1"/>
  <c r="Y100" i="1"/>
  <c r="Z100" i="1"/>
  <c r="AB100" i="1"/>
  <c r="AC100" i="1"/>
  <c r="AD100" i="1"/>
  <c r="AE100" i="1"/>
  <c r="AF100" i="1"/>
  <c r="AH132" i="1"/>
  <c r="V101" i="1"/>
  <c r="Y101" i="1"/>
  <c r="Z101" i="1"/>
  <c r="AB101" i="1"/>
  <c r="AC101" i="1"/>
  <c r="AD101" i="1"/>
  <c r="T101" i="1" s="1"/>
  <c r="AE101" i="1"/>
  <c r="AF101" i="1"/>
  <c r="AH133" i="1"/>
  <c r="V102" i="1"/>
  <c r="Y102" i="1"/>
  <c r="Z102" i="1"/>
  <c r="AB102" i="1"/>
  <c r="AC102" i="1"/>
  <c r="AD102" i="1"/>
  <c r="T102" i="1" s="1"/>
  <c r="AE102" i="1"/>
  <c r="AF102" i="1"/>
  <c r="AH134" i="1"/>
  <c r="V198" i="1"/>
  <c r="Y198" i="1"/>
  <c r="Z198" i="1"/>
  <c r="AB198" i="1"/>
  <c r="AC198" i="1"/>
  <c r="AD198" i="1"/>
  <c r="T198" i="1" s="1"/>
  <c r="AE198" i="1"/>
  <c r="AF198" i="1"/>
  <c r="AH135" i="1"/>
  <c r="V199" i="1"/>
  <c r="Y199" i="1"/>
  <c r="Z199" i="1"/>
  <c r="AB199" i="1"/>
  <c r="AC199" i="1"/>
  <c r="AD199" i="1"/>
  <c r="T199" i="1" s="1"/>
  <c r="AE199" i="1"/>
  <c r="AF199" i="1"/>
  <c r="AH136" i="1"/>
  <c r="V200" i="1"/>
  <c r="Y200" i="1"/>
  <c r="Z200" i="1"/>
  <c r="AB200" i="1"/>
  <c r="AC200" i="1"/>
  <c r="AD200" i="1"/>
  <c r="T200" i="1" s="1"/>
  <c r="AE200" i="1"/>
  <c r="AF200" i="1"/>
  <c r="AH137" i="1"/>
  <c r="V103" i="1"/>
  <c r="Y103" i="1"/>
  <c r="Z103" i="1"/>
  <c r="AB103" i="1"/>
  <c r="AC103" i="1"/>
  <c r="AD103" i="1"/>
  <c r="T103" i="1" s="1"/>
  <c r="AE103" i="1"/>
  <c r="AF103" i="1"/>
  <c r="AH138" i="1"/>
  <c r="V104" i="1"/>
  <c r="Y104" i="1"/>
  <c r="Z104" i="1"/>
  <c r="AB104" i="1"/>
  <c r="AC104" i="1"/>
  <c r="AD104" i="1"/>
  <c r="T104" i="1" s="1"/>
  <c r="AE104" i="1"/>
  <c r="AF104" i="1"/>
  <c r="AH139" i="1"/>
  <c r="V105" i="1"/>
  <c r="Q27" i="3" s="1"/>
  <c r="Y105" i="1"/>
  <c r="Z105" i="1"/>
  <c r="AB105" i="1"/>
  <c r="AC105" i="1"/>
  <c r="AD105" i="1"/>
  <c r="T105" i="1" s="1"/>
  <c r="AE105" i="1"/>
  <c r="P27" i="3" s="1"/>
  <c r="AF105" i="1"/>
  <c r="AH140" i="1"/>
  <c r="V106" i="1"/>
  <c r="Y106" i="1"/>
  <c r="Z106" i="1"/>
  <c r="AB106" i="1"/>
  <c r="AC106" i="1"/>
  <c r="AD106" i="1"/>
  <c r="T106" i="1" s="1"/>
  <c r="AE106" i="1"/>
  <c r="AF106" i="1"/>
  <c r="AH141" i="1"/>
  <c r="V107" i="1"/>
  <c r="Y107" i="1"/>
  <c r="Z107" i="1"/>
  <c r="AB107" i="1"/>
  <c r="AC107" i="1"/>
  <c r="AD107" i="1"/>
  <c r="T107" i="1" s="1"/>
  <c r="AE107" i="1"/>
  <c r="AF107" i="1"/>
  <c r="AH142" i="1"/>
  <c r="V108" i="1"/>
  <c r="Y108" i="1"/>
  <c r="Z108" i="1"/>
  <c r="AB108" i="1"/>
  <c r="AC108" i="1"/>
  <c r="AD108" i="1"/>
  <c r="T108" i="1" s="1"/>
  <c r="AE108" i="1"/>
  <c r="AF108" i="1"/>
  <c r="AH143" i="1"/>
  <c r="V109" i="1"/>
  <c r="Y109" i="1"/>
  <c r="Z109" i="1"/>
  <c r="AB109" i="1"/>
  <c r="AC109" i="1"/>
  <c r="AD109" i="1"/>
  <c r="T109" i="1" s="1"/>
  <c r="AE109" i="1"/>
  <c r="AF109" i="1"/>
  <c r="AH144" i="1"/>
  <c r="V110" i="1"/>
  <c r="Q33" i="3" s="1"/>
  <c r="Y110" i="1"/>
  <c r="Z110" i="1"/>
  <c r="AB110" i="1"/>
  <c r="AC110" i="1"/>
  <c r="AD110" i="1"/>
  <c r="T110" i="1" s="1"/>
  <c r="AE110" i="1"/>
  <c r="P33" i="3" s="1"/>
  <c r="AF110" i="1"/>
  <c r="AH145" i="1"/>
  <c r="V111" i="1"/>
  <c r="Y111" i="1"/>
  <c r="Z111" i="1"/>
  <c r="AB111" i="1"/>
  <c r="AC111" i="1"/>
  <c r="AD111" i="1"/>
  <c r="AE111" i="1"/>
  <c r="AF111" i="1"/>
  <c r="AH146" i="1"/>
  <c r="V112" i="1"/>
  <c r="Y112" i="1"/>
  <c r="Z112" i="1"/>
  <c r="AB112" i="1"/>
  <c r="AC112" i="1"/>
  <c r="AD112" i="1"/>
  <c r="AE112" i="1"/>
  <c r="AF112" i="1"/>
  <c r="AH147" i="1"/>
  <c r="V113" i="1"/>
  <c r="Y113" i="1"/>
  <c r="Z113" i="1"/>
  <c r="AB113" i="1"/>
  <c r="AC113" i="1"/>
  <c r="AD113" i="1"/>
  <c r="AE113" i="1"/>
  <c r="AF113" i="1"/>
  <c r="AH148" i="1"/>
  <c r="V114" i="1"/>
  <c r="Y114" i="1"/>
  <c r="Z114" i="1"/>
  <c r="AB114" i="1"/>
  <c r="AC114" i="1"/>
  <c r="AD114" i="1"/>
  <c r="AE114" i="1"/>
  <c r="AF114" i="1"/>
  <c r="V115" i="1"/>
  <c r="Y115" i="1"/>
  <c r="Z115" i="1"/>
  <c r="AB115" i="1"/>
  <c r="AC115" i="1"/>
  <c r="AD115" i="1"/>
  <c r="AE115" i="1"/>
  <c r="AF115" i="1"/>
  <c r="AH149" i="1"/>
  <c r="V116" i="1"/>
  <c r="Q40" i="3" s="1"/>
  <c r="Y116" i="1"/>
  <c r="Z116" i="1"/>
  <c r="AB116" i="1"/>
  <c r="AC116" i="1"/>
  <c r="AD116" i="1"/>
  <c r="AE116" i="1"/>
  <c r="P40" i="3" s="1"/>
  <c r="AF116" i="1"/>
  <c r="AH150" i="1"/>
  <c r="V117" i="1"/>
  <c r="Y117" i="1"/>
  <c r="Z117" i="1"/>
  <c r="AB117" i="1"/>
  <c r="AC117" i="1"/>
  <c r="AD117" i="1"/>
  <c r="AE117" i="1"/>
  <c r="AF117" i="1"/>
  <c r="AH151" i="1"/>
  <c r="V118" i="1"/>
  <c r="Y118" i="1"/>
  <c r="Z118" i="1"/>
  <c r="AB118" i="1"/>
  <c r="AC118" i="1"/>
  <c r="AD118" i="1"/>
  <c r="AE118" i="1"/>
  <c r="AF118" i="1"/>
  <c r="AH152" i="1"/>
  <c r="V119" i="1"/>
  <c r="Y119" i="1"/>
  <c r="Z119" i="1"/>
  <c r="AB119" i="1"/>
  <c r="AC119" i="1"/>
  <c r="AD119" i="1"/>
  <c r="AE119" i="1"/>
  <c r="AF119" i="1"/>
  <c r="AH153" i="1"/>
  <c r="V120" i="1"/>
  <c r="Y120" i="1"/>
  <c r="Z120" i="1"/>
  <c r="AB120" i="1"/>
  <c r="AC120" i="1"/>
  <c r="AD120" i="1"/>
  <c r="AE120" i="1"/>
  <c r="AF120" i="1"/>
  <c r="AH154" i="1"/>
  <c r="V121" i="1"/>
  <c r="Q46" i="3" s="1"/>
  <c r="Y121" i="1"/>
  <c r="Z121" i="1"/>
  <c r="AB121" i="1"/>
  <c r="AC121" i="1"/>
  <c r="AD121" i="1"/>
  <c r="AE121" i="1"/>
  <c r="P46" i="3" s="1"/>
  <c r="AF121" i="1"/>
  <c r="AH155" i="1"/>
  <c r="V122" i="1"/>
  <c r="Y122" i="1"/>
  <c r="Z122" i="1"/>
  <c r="AB122" i="1"/>
  <c r="AC122" i="1"/>
  <c r="AD122" i="1"/>
  <c r="AE122" i="1"/>
  <c r="P34" i="3" s="1"/>
  <c r="AF122" i="1"/>
  <c r="AH156" i="1"/>
  <c r="V123" i="1"/>
  <c r="Y123" i="1"/>
  <c r="Z123" i="1"/>
  <c r="AB123" i="1"/>
  <c r="AC123" i="1"/>
  <c r="AD123" i="1"/>
  <c r="AE123" i="1"/>
  <c r="AF123" i="1"/>
  <c r="AH157" i="1"/>
  <c r="V124" i="1"/>
  <c r="Y124" i="1"/>
  <c r="Z124" i="1"/>
  <c r="AB124" i="1"/>
  <c r="AC124" i="1"/>
  <c r="AD124" i="1"/>
  <c r="AE124" i="1"/>
  <c r="AF124" i="1"/>
  <c r="V125" i="1"/>
  <c r="Y125" i="1"/>
  <c r="Z125" i="1"/>
  <c r="AB125" i="1"/>
  <c r="AC125" i="1"/>
  <c r="AD125" i="1"/>
  <c r="AE125" i="1"/>
  <c r="AF125" i="1"/>
  <c r="AH158" i="1"/>
  <c r="V126" i="1"/>
  <c r="Q41" i="3" s="1"/>
  <c r="Y126" i="1"/>
  <c r="Z126" i="1"/>
  <c r="AB126" i="1"/>
  <c r="AC126" i="1"/>
  <c r="AD126" i="1"/>
  <c r="AE126" i="1"/>
  <c r="P41" i="3" s="1"/>
  <c r="AF126" i="1"/>
  <c r="AH159" i="1"/>
  <c r="V127" i="1"/>
  <c r="Y127" i="1"/>
  <c r="Z127" i="1"/>
  <c r="AB127" i="1"/>
  <c r="AC127" i="1"/>
  <c r="AD127" i="1"/>
  <c r="AE127" i="1"/>
  <c r="AF127" i="1"/>
  <c r="AH160" i="1"/>
  <c r="V128" i="1"/>
  <c r="Y128" i="1"/>
  <c r="Z128" i="1"/>
  <c r="AB128" i="1"/>
  <c r="AC128" i="1"/>
  <c r="AD128" i="1"/>
  <c r="AE128" i="1"/>
  <c r="AF128" i="1"/>
  <c r="AH161" i="1"/>
  <c r="V129" i="1"/>
  <c r="Y129" i="1"/>
  <c r="Z129" i="1"/>
  <c r="AB129" i="1"/>
  <c r="AC129" i="1"/>
  <c r="AD129" i="1"/>
  <c r="AE129" i="1"/>
  <c r="AF129" i="1"/>
  <c r="AH162" i="1"/>
  <c r="V130" i="1"/>
  <c r="Y130" i="1"/>
  <c r="Z130" i="1"/>
  <c r="AB130" i="1"/>
  <c r="AC130" i="1"/>
  <c r="AD130" i="1"/>
  <c r="AE130" i="1"/>
  <c r="AF130" i="1"/>
  <c r="AH163" i="1"/>
  <c r="V131" i="1"/>
  <c r="Q47" i="3" s="1"/>
  <c r="Y131" i="1"/>
  <c r="Z131" i="1"/>
  <c r="AB131" i="1"/>
  <c r="AC131" i="1"/>
  <c r="AD131" i="1"/>
  <c r="AE131" i="1"/>
  <c r="P47" i="3" s="1"/>
  <c r="AF131" i="1"/>
  <c r="AH164" i="1"/>
  <c r="V132" i="1"/>
  <c r="Y132" i="1"/>
  <c r="Z132" i="1"/>
  <c r="AB132" i="1"/>
  <c r="AC132" i="1"/>
  <c r="AD132" i="1"/>
  <c r="AE132" i="1"/>
  <c r="AF132" i="1"/>
  <c r="AH165" i="1"/>
  <c r="V133" i="1"/>
  <c r="Q48" i="3" s="1"/>
  <c r="Y133" i="1"/>
  <c r="Z133" i="1"/>
  <c r="AB133" i="1"/>
  <c r="AC133" i="1"/>
  <c r="AD133" i="1"/>
  <c r="AE133" i="1"/>
  <c r="P48" i="3" s="1"/>
  <c r="AF133" i="1"/>
  <c r="AH166" i="1"/>
  <c r="V134" i="1"/>
  <c r="Y134" i="1"/>
  <c r="Z134" i="1"/>
  <c r="AB134" i="1"/>
  <c r="AC134" i="1"/>
  <c r="AD134" i="1"/>
  <c r="AE134" i="1"/>
  <c r="AF134" i="1"/>
  <c r="AH167" i="1"/>
  <c r="V135" i="1"/>
  <c r="Y135" i="1"/>
  <c r="Z135" i="1"/>
  <c r="AB135" i="1"/>
  <c r="AC135" i="1"/>
  <c r="AD135" i="1"/>
  <c r="AE135" i="1"/>
  <c r="AF135" i="1"/>
  <c r="AH168" i="1"/>
  <c r="V136" i="1"/>
  <c r="Q7" i="3" s="1"/>
  <c r="Y136" i="1"/>
  <c r="Z136" i="1"/>
  <c r="AB136" i="1"/>
  <c r="AC136" i="1"/>
  <c r="AD136" i="1"/>
  <c r="AE136" i="1"/>
  <c r="P7" i="3" s="1"/>
  <c r="AF136" i="1"/>
  <c r="AH169" i="1"/>
  <c r="V137" i="1"/>
  <c r="Y137" i="1"/>
  <c r="Z137" i="1"/>
  <c r="AB137" i="1"/>
  <c r="AC137" i="1"/>
  <c r="AD137" i="1"/>
  <c r="AE137" i="1"/>
  <c r="AF137" i="1"/>
  <c r="AH170" i="1"/>
  <c r="V138" i="1"/>
  <c r="Y138" i="1"/>
  <c r="Z138" i="1"/>
  <c r="AB138" i="1"/>
  <c r="AC138" i="1"/>
  <c r="AD138" i="1"/>
  <c r="AE138" i="1"/>
  <c r="AF138" i="1"/>
  <c r="AH171" i="1"/>
  <c r="V139" i="1"/>
  <c r="Y139" i="1"/>
  <c r="Z139" i="1"/>
  <c r="AB139" i="1"/>
  <c r="AC139" i="1"/>
  <c r="AD139" i="1"/>
  <c r="AE139" i="1"/>
  <c r="AF139" i="1"/>
  <c r="AH172" i="1"/>
  <c r="V140" i="1"/>
  <c r="Y140" i="1"/>
  <c r="Z140" i="1"/>
  <c r="AB140" i="1"/>
  <c r="AC140" i="1"/>
  <c r="AD140" i="1"/>
  <c r="AE140" i="1"/>
  <c r="AF140" i="1"/>
  <c r="AH173" i="1"/>
  <c r="V141" i="1"/>
  <c r="Y141" i="1"/>
  <c r="Z141" i="1"/>
  <c r="AB141" i="1"/>
  <c r="AC141" i="1"/>
  <c r="AD141" i="1"/>
  <c r="AE141" i="1"/>
  <c r="AF141" i="1"/>
  <c r="AH175" i="1"/>
  <c r="V142" i="1"/>
  <c r="Y142" i="1"/>
  <c r="Z142" i="1"/>
  <c r="AB142" i="1"/>
  <c r="AC142" i="1"/>
  <c r="AD142" i="1"/>
  <c r="AE142" i="1"/>
  <c r="AF142" i="1"/>
  <c r="AH177" i="1"/>
  <c r="V143" i="1"/>
  <c r="Y143" i="1"/>
  <c r="Z143" i="1"/>
  <c r="AB143" i="1"/>
  <c r="AC143" i="1"/>
  <c r="AD143" i="1"/>
  <c r="AE143" i="1"/>
  <c r="AF143" i="1"/>
  <c r="AH178" i="1"/>
  <c r="V144" i="1"/>
  <c r="Q19" i="3" s="1"/>
  <c r="Y144" i="1"/>
  <c r="Z144" i="1"/>
  <c r="AB144" i="1"/>
  <c r="AC144" i="1"/>
  <c r="AD144" i="1"/>
  <c r="AE144" i="1"/>
  <c r="P19" i="3" s="1"/>
  <c r="AF144" i="1"/>
  <c r="AH179" i="1"/>
  <c r="V145" i="1"/>
  <c r="Y145" i="1"/>
  <c r="Z145" i="1"/>
  <c r="AB145" i="1"/>
  <c r="AC145" i="1"/>
  <c r="AD145" i="1"/>
  <c r="AE145" i="1"/>
  <c r="AF145" i="1"/>
  <c r="AH180" i="1"/>
  <c r="V146" i="1"/>
  <c r="Y146" i="1"/>
  <c r="Z146" i="1"/>
  <c r="AB146" i="1"/>
  <c r="AC146" i="1"/>
  <c r="AD146" i="1"/>
  <c r="AE146" i="1"/>
  <c r="AF146" i="1"/>
  <c r="AH181" i="1"/>
  <c r="V147" i="1"/>
  <c r="Q23" i="3" s="1"/>
  <c r="Y147" i="1"/>
  <c r="Z147" i="1"/>
  <c r="AB147" i="1"/>
  <c r="AC147" i="1"/>
  <c r="AD147" i="1"/>
  <c r="AE147" i="1"/>
  <c r="P23" i="3" s="1"/>
  <c r="AF147" i="1"/>
  <c r="AH182" i="1"/>
  <c r="V148" i="1"/>
  <c r="Y148" i="1"/>
  <c r="Z148" i="1"/>
  <c r="AB148" i="1"/>
  <c r="AC148" i="1"/>
  <c r="AD148" i="1"/>
  <c r="AE148" i="1"/>
  <c r="AF148" i="1"/>
  <c r="AH183" i="1"/>
  <c r="AH184" i="1"/>
  <c r="V149" i="1"/>
  <c r="Q42" i="3" s="1"/>
  <c r="Y149" i="1"/>
  <c r="Z149" i="1"/>
  <c r="AB149" i="1"/>
  <c r="AC149" i="1"/>
  <c r="AD149" i="1"/>
  <c r="AE149" i="1"/>
  <c r="P42" i="3" s="1"/>
  <c r="AF149" i="1"/>
  <c r="AH185" i="1"/>
  <c r="V150" i="1"/>
  <c r="Y150" i="1"/>
  <c r="Z150" i="1"/>
  <c r="AB150" i="1"/>
  <c r="AC150" i="1"/>
  <c r="AD150" i="1"/>
  <c r="AE150" i="1"/>
  <c r="AF150" i="1"/>
  <c r="AH186" i="1"/>
  <c r="V151" i="1"/>
  <c r="Q21" i="3" s="1"/>
  <c r="Z151" i="1"/>
  <c r="AB151" i="1"/>
  <c r="AC151" i="1"/>
  <c r="AD151" i="1"/>
  <c r="AE151" i="1"/>
  <c r="P21" i="3" s="1"/>
  <c r="AF151" i="1"/>
  <c r="AH187" i="1"/>
  <c r="V152" i="1"/>
  <c r="Z152" i="1"/>
  <c r="AB152" i="1"/>
  <c r="AC152" i="1"/>
  <c r="AD152" i="1"/>
  <c r="AE152" i="1"/>
  <c r="AF152" i="1"/>
  <c r="AH188" i="1"/>
  <c r="V153" i="1"/>
  <c r="Z153" i="1"/>
  <c r="AB153" i="1"/>
  <c r="AC153" i="1"/>
  <c r="AD153" i="1"/>
  <c r="AE153" i="1"/>
  <c r="AF153" i="1"/>
  <c r="AH189" i="1"/>
  <c r="V154" i="1"/>
  <c r="Z154" i="1"/>
  <c r="AB154" i="1"/>
  <c r="AC154" i="1"/>
  <c r="AD154" i="1"/>
  <c r="X154" i="1" s="1"/>
  <c r="AE154" i="1"/>
  <c r="AF154" i="1"/>
  <c r="AH190" i="1"/>
  <c r="V155" i="1"/>
  <c r="Z155" i="1"/>
  <c r="AB155" i="1"/>
  <c r="AC155" i="1"/>
  <c r="AD155" i="1"/>
  <c r="X155" i="1" s="1"/>
  <c r="AE155" i="1"/>
  <c r="AF155" i="1"/>
  <c r="AH191" i="1"/>
  <c r="V156" i="1"/>
  <c r="Q25" i="3" s="1"/>
  <c r="Z156" i="1"/>
  <c r="AB156" i="1"/>
  <c r="AC156" i="1"/>
  <c r="AD156" i="1"/>
  <c r="X156" i="1" s="1"/>
  <c r="AE156" i="1"/>
  <c r="P25" i="3" s="1"/>
  <c r="AF156" i="1"/>
  <c r="AH192" i="1"/>
  <c r="V157" i="1"/>
  <c r="Z157" i="1"/>
  <c r="AB157" i="1"/>
  <c r="AC157" i="1"/>
  <c r="AD157" i="1"/>
  <c r="X157" i="1" s="1"/>
  <c r="AE157" i="1"/>
  <c r="AF157" i="1"/>
  <c r="AH193" i="1"/>
  <c r="AH194" i="1"/>
  <c r="V192" i="1"/>
  <c r="Y192" i="1"/>
  <c r="Z192" i="1"/>
  <c r="AB192" i="1"/>
  <c r="AC192" i="1"/>
  <c r="AD192" i="1"/>
  <c r="AG192" i="1" s="1"/>
  <c r="AE192" i="1"/>
  <c r="AF192" i="1"/>
  <c r="AH195" i="1"/>
  <c r="V193" i="1"/>
  <c r="Y193" i="1"/>
  <c r="Z193" i="1"/>
  <c r="AB193" i="1"/>
  <c r="AC193" i="1"/>
  <c r="AD193" i="1"/>
  <c r="AG193" i="1" s="1"/>
  <c r="AE193" i="1"/>
  <c r="AF193" i="1"/>
  <c r="AH196" i="1"/>
  <c r="V194" i="1"/>
  <c r="Y194" i="1"/>
  <c r="Z194" i="1"/>
  <c r="AB194" i="1"/>
  <c r="AC194" i="1"/>
  <c r="AD194" i="1"/>
  <c r="AG194" i="1" s="1"/>
  <c r="AE194" i="1"/>
  <c r="AF194" i="1"/>
  <c r="AH197" i="1"/>
  <c r="V195" i="1"/>
  <c r="Y195" i="1"/>
  <c r="Z195" i="1"/>
  <c r="AB195" i="1"/>
  <c r="AC195" i="1"/>
  <c r="AD195" i="1"/>
  <c r="AG195" i="1" s="1"/>
  <c r="AE195" i="1"/>
  <c r="AF195" i="1"/>
  <c r="AH198" i="1"/>
  <c r="V196" i="1"/>
  <c r="Y196" i="1"/>
  <c r="Z196" i="1"/>
  <c r="AB196" i="1"/>
  <c r="AC196" i="1"/>
  <c r="AD196" i="1"/>
  <c r="AG196" i="1" s="1"/>
  <c r="AE196" i="1"/>
  <c r="AF196" i="1"/>
  <c r="AH199" i="1"/>
  <c r="V197" i="1"/>
  <c r="Y197" i="1"/>
  <c r="Z197" i="1"/>
  <c r="AB197" i="1"/>
  <c r="AC197" i="1"/>
  <c r="AD197" i="1"/>
  <c r="AG197" i="1" s="1"/>
  <c r="AE197" i="1"/>
  <c r="AF197" i="1"/>
  <c r="AH200" i="1"/>
  <c r="V201" i="1"/>
  <c r="Y201" i="1"/>
  <c r="Z201" i="1"/>
  <c r="AB201" i="1"/>
  <c r="AC201" i="1"/>
  <c r="AD201" i="1"/>
  <c r="AG201" i="1" s="1"/>
  <c r="AE201" i="1"/>
  <c r="AF201" i="1"/>
  <c r="AH201" i="1"/>
  <c r="X150" i="1" l="1"/>
  <c r="X147" i="1"/>
  <c r="X158" i="1"/>
  <c r="X181" i="1"/>
  <c r="AA171" i="1"/>
  <c r="W171" i="1" s="1"/>
  <c r="U174" i="1"/>
  <c r="S174" i="1" s="1"/>
  <c r="AG179" i="1"/>
  <c r="X179" i="1"/>
  <c r="AG175" i="1"/>
  <c r="X175" i="1"/>
  <c r="X176" i="1"/>
  <c r="X148" i="1"/>
  <c r="AG178" i="1"/>
  <c r="X178" i="1"/>
  <c r="W174" i="1"/>
  <c r="AG180" i="1"/>
  <c r="X180" i="1"/>
  <c r="U176" i="1"/>
  <c r="S176" i="1" s="1"/>
  <c r="W176" i="1"/>
  <c r="AG173" i="1"/>
  <c r="X160" i="1"/>
  <c r="AA134" i="1"/>
  <c r="AG159" i="1"/>
  <c r="AG160" i="1"/>
  <c r="AG156" i="1"/>
  <c r="AG152" i="1"/>
  <c r="X152" i="1"/>
  <c r="AG158" i="1"/>
  <c r="AG157" i="1"/>
  <c r="AG153" i="1"/>
  <c r="X153" i="1"/>
  <c r="AA15" i="1"/>
  <c r="AG154" i="1"/>
  <c r="AG155" i="1"/>
  <c r="X151" i="1"/>
  <c r="T166" i="1"/>
  <c r="U166" i="1" s="1"/>
  <c r="S166" i="1" s="1"/>
  <c r="AA53" i="1"/>
  <c r="W53" i="1" s="1"/>
  <c r="AA39" i="1"/>
  <c r="W39" i="1" s="1"/>
  <c r="AA37" i="1"/>
  <c r="W37" i="1" s="1"/>
  <c r="AA35" i="1"/>
  <c r="W35" i="1" s="1"/>
  <c r="AA20" i="1"/>
  <c r="W20" i="1" s="1"/>
  <c r="AA178" i="1"/>
  <c r="AA175" i="1"/>
  <c r="AA51" i="1"/>
  <c r="W51" i="1" s="1"/>
  <c r="AA192" i="1"/>
  <c r="W192" i="1" s="1"/>
  <c r="AA154" i="1"/>
  <c r="W154" i="1" s="1"/>
  <c r="AA121" i="1"/>
  <c r="AA118" i="1"/>
  <c r="AA103" i="1"/>
  <c r="T173" i="1"/>
  <c r="AA160" i="1"/>
  <c r="AA54" i="1"/>
  <c r="W54" i="1" s="1"/>
  <c r="AA111" i="1"/>
  <c r="AA47" i="1"/>
  <c r="W47" i="1" s="1"/>
  <c r="AA44" i="1"/>
  <c r="P14" i="3"/>
  <c r="AA147" i="1"/>
  <c r="AA55" i="1"/>
  <c r="W55" i="1" s="1"/>
  <c r="AA136" i="1"/>
  <c r="AA91" i="1"/>
  <c r="W91" i="1" s="1"/>
  <c r="AA90" i="1"/>
  <c r="W90" i="1" s="1"/>
  <c r="AA84" i="1"/>
  <c r="W84" i="1" s="1"/>
  <c r="AA81" i="1"/>
  <c r="AA77" i="1"/>
  <c r="W77" i="1" s="1"/>
  <c r="X31" i="1"/>
  <c r="AA117" i="1"/>
  <c r="AA96" i="1"/>
  <c r="AA191" i="1"/>
  <c r="AA190" i="1"/>
  <c r="AA189" i="1"/>
  <c r="T169" i="1"/>
  <c r="U169" i="1" s="1"/>
  <c r="S169" i="1" s="1"/>
  <c r="AA59" i="1"/>
  <c r="AA58" i="1"/>
  <c r="W58" i="1" s="1"/>
  <c r="AA57" i="1"/>
  <c r="AA56" i="1"/>
  <c r="AA50" i="1"/>
  <c r="AA49" i="1"/>
  <c r="W49" i="1" s="1"/>
  <c r="AA48" i="1"/>
  <c r="W48" i="1" s="1"/>
  <c r="T42" i="1"/>
  <c r="U42" i="1" s="1"/>
  <c r="S42" i="1" s="1"/>
  <c r="AA26" i="1"/>
  <c r="W26" i="1" s="1"/>
  <c r="T22" i="1"/>
  <c r="U22" i="1" s="1"/>
  <c r="S22" i="1" s="1"/>
  <c r="AG96" i="1"/>
  <c r="AA182" i="1"/>
  <c r="AA169" i="1"/>
  <c r="W169" i="1" s="1"/>
  <c r="AA85" i="1"/>
  <c r="W85" i="1" s="1"/>
  <c r="X149" i="1"/>
  <c r="AA127" i="1"/>
  <c r="AA119" i="1"/>
  <c r="AA105" i="1"/>
  <c r="AA200" i="1"/>
  <c r="AA199" i="1"/>
  <c r="AA198" i="1"/>
  <c r="AA173" i="1"/>
  <c r="AA172" i="1"/>
  <c r="T171" i="1"/>
  <c r="U171" i="1" s="1"/>
  <c r="S171" i="1" s="1"/>
  <c r="AA93" i="1"/>
  <c r="AA159" i="1"/>
  <c r="AA76" i="1"/>
  <c r="AA52" i="1"/>
  <c r="W52" i="1" s="1"/>
  <c r="AA17" i="1"/>
  <c r="W17" i="1" s="1"/>
  <c r="AA16" i="1"/>
  <c r="T180" i="1"/>
  <c r="T158" i="1"/>
  <c r="T69" i="1"/>
  <c r="U69" i="1" s="1"/>
  <c r="S69" i="1" s="1"/>
  <c r="AA201" i="1"/>
  <c r="W201" i="1" s="1"/>
  <c r="AA139" i="1"/>
  <c r="AA113" i="1"/>
  <c r="AA98" i="1"/>
  <c r="AA97" i="1"/>
  <c r="AG188" i="1"/>
  <c r="AA177" i="1"/>
  <c r="AA164" i="1"/>
  <c r="W164" i="1" s="1"/>
  <c r="AA163" i="1"/>
  <c r="AA162" i="1"/>
  <c r="W162" i="1" s="1"/>
  <c r="AA88" i="1"/>
  <c r="AA87" i="1"/>
  <c r="W87" i="1" s="1"/>
  <c r="AA75" i="1"/>
  <c r="W75" i="1" s="1"/>
  <c r="AG71" i="1"/>
  <c r="X71" i="1"/>
  <c r="AA69" i="1"/>
  <c r="W69" i="1" s="1"/>
  <c r="X47" i="1"/>
  <c r="AA38" i="1"/>
  <c r="W38" i="1" s="1"/>
  <c r="AA34" i="1"/>
  <c r="W34" i="1" s="1"/>
  <c r="AA33" i="1"/>
  <c r="W33" i="1" s="1"/>
  <c r="AA32" i="1"/>
  <c r="W32" i="1" s="1"/>
  <c r="X29" i="1"/>
  <c r="AA27" i="1"/>
  <c r="W27" i="1" s="1"/>
  <c r="T26" i="1"/>
  <c r="U26" i="1" s="1"/>
  <c r="S26" i="1" s="1"/>
  <c r="AA22" i="1"/>
  <c r="W22" i="1" s="1"/>
  <c r="T20" i="1"/>
  <c r="U20" i="1" s="1"/>
  <c r="S20" i="1" s="1"/>
  <c r="AA18" i="1"/>
  <c r="W18" i="1" s="1"/>
  <c r="P18" i="3"/>
  <c r="P15" i="3"/>
  <c r="AA196" i="1"/>
  <c r="W196" i="1" s="1"/>
  <c r="T192" i="1"/>
  <c r="U192" i="1" s="1"/>
  <c r="S192" i="1" s="1"/>
  <c r="AA156" i="1"/>
  <c r="AA152" i="1"/>
  <c r="AA132" i="1"/>
  <c r="AA130" i="1"/>
  <c r="AA110" i="1"/>
  <c r="AA109" i="1"/>
  <c r="AA167" i="1"/>
  <c r="X162" i="1"/>
  <c r="T159" i="1"/>
  <c r="X87" i="1"/>
  <c r="T84" i="1"/>
  <c r="U84" i="1" s="1"/>
  <c r="S84" i="1" s="1"/>
  <c r="AA79" i="1"/>
  <c r="W79" i="1" s="1"/>
  <c r="AA78" i="1"/>
  <c r="AA63" i="1"/>
  <c r="W63" i="1" s="1"/>
  <c r="AA61" i="1"/>
  <c r="W61" i="1" s="1"/>
  <c r="AA42" i="1"/>
  <c r="W42" i="1" s="1"/>
  <c r="AA40" i="1"/>
  <c r="W40" i="1" s="1"/>
  <c r="AA36" i="1"/>
  <c r="W36" i="1" s="1"/>
  <c r="AA31" i="1"/>
  <c r="W31" i="1" s="1"/>
  <c r="AA29" i="1"/>
  <c r="W29" i="1" s="1"/>
  <c r="Q34" i="3"/>
  <c r="Q24" i="3"/>
  <c r="T187" i="1"/>
  <c r="AG187" i="1"/>
  <c r="AG93" i="1"/>
  <c r="T93" i="1"/>
  <c r="Q17" i="3"/>
  <c r="Q20" i="3"/>
  <c r="Q30" i="3"/>
  <c r="Q15" i="3"/>
  <c r="AG41" i="1"/>
  <c r="X41" i="1"/>
  <c r="AA193" i="1"/>
  <c r="W193" i="1" s="1"/>
  <c r="P50" i="3"/>
  <c r="P63" i="3"/>
  <c r="AG177" i="1"/>
  <c r="T177" i="1"/>
  <c r="Q53" i="3"/>
  <c r="Q52" i="3"/>
  <c r="Q45" i="3"/>
  <c r="Q16" i="3"/>
  <c r="AA195" i="1"/>
  <c r="W195" i="1" s="1"/>
  <c r="AA194" i="1"/>
  <c r="W194" i="1" s="1"/>
  <c r="AA157" i="1"/>
  <c r="T155" i="1"/>
  <c r="AA150" i="1"/>
  <c r="T100" i="1"/>
  <c r="AG100" i="1"/>
  <c r="AG182" i="1"/>
  <c r="T182" i="1"/>
  <c r="AA179" i="1"/>
  <c r="W179" i="1" s="1"/>
  <c r="P45" i="3"/>
  <c r="P16" i="3"/>
  <c r="AG88" i="1"/>
  <c r="T88" i="1"/>
  <c r="X89" i="1"/>
  <c r="AG76" i="1"/>
  <c r="T76" i="1"/>
  <c r="AA73" i="1"/>
  <c r="W73" i="1" s="1"/>
  <c r="AG44" i="1"/>
  <c r="X45" i="1"/>
  <c r="AG81" i="1"/>
  <c r="X81" i="1"/>
  <c r="AA80" i="1"/>
  <c r="W80" i="1" s="1"/>
  <c r="AG50" i="1"/>
  <c r="T50" i="1"/>
  <c r="P28" i="3"/>
  <c r="AA181" i="1"/>
  <c r="AA72" i="1"/>
  <c r="AA46" i="1"/>
  <c r="W46" i="1" s="1"/>
  <c r="AA43" i="1"/>
  <c r="W43" i="1" s="1"/>
  <c r="AA30" i="1"/>
  <c r="W30" i="1" s="1"/>
  <c r="AA23" i="1"/>
  <c r="W23" i="1" s="1"/>
  <c r="Q63" i="3"/>
  <c r="P59" i="3"/>
  <c r="AA143" i="1"/>
  <c r="AA133" i="1"/>
  <c r="AA123" i="1"/>
  <c r="AA115" i="1"/>
  <c r="AA107" i="1"/>
  <c r="AA102" i="1"/>
  <c r="AA101" i="1"/>
  <c r="AG98" i="1"/>
  <c r="AA188" i="1"/>
  <c r="AA95" i="1"/>
  <c r="AG185" i="1"/>
  <c r="AA184" i="1"/>
  <c r="W184" i="1" s="1"/>
  <c r="T179" i="1"/>
  <c r="U179" i="1" s="1"/>
  <c r="S179" i="1" s="1"/>
  <c r="AA168" i="1"/>
  <c r="AA165" i="1"/>
  <c r="AA161" i="1"/>
  <c r="AA158" i="1"/>
  <c r="AA89" i="1"/>
  <c r="W89" i="1" s="1"/>
  <c r="AA86" i="1"/>
  <c r="AA83" i="1"/>
  <c r="W83" i="1" s="1"/>
  <c r="AA82" i="1"/>
  <c r="T80" i="1"/>
  <c r="U80" i="1" s="1"/>
  <c r="S80" i="1" s="1"/>
  <c r="AG72" i="1"/>
  <c r="X72" i="1"/>
  <c r="AA71" i="1"/>
  <c r="AA67" i="1"/>
  <c r="W67" i="1" s="1"/>
  <c r="AA45" i="1"/>
  <c r="W45" i="1" s="1"/>
  <c r="X43" i="1"/>
  <c r="AA28" i="1"/>
  <c r="W28" i="1" s="1"/>
  <c r="X23" i="1"/>
  <c r="AA19" i="1"/>
  <c r="W19" i="1" s="1"/>
  <c r="T18" i="1"/>
  <c r="U18" i="1" s="1"/>
  <c r="S18" i="1" s="1"/>
  <c r="P30" i="3"/>
  <c r="Q13" i="3"/>
  <c r="Q9" i="3"/>
  <c r="AA100" i="1"/>
  <c r="AA99" i="1"/>
  <c r="AA187" i="1"/>
  <c r="AA186" i="1"/>
  <c r="AA183" i="1"/>
  <c r="W183" i="1" s="1"/>
  <c r="AA170" i="1"/>
  <c r="AA92" i="1"/>
  <c r="X91" i="1"/>
  <c r="T75" i="1"/>
  <c r="U75" i="1" s="1"/>
  <c r="S75" i="1" s="1"/>
  <c r="AA65" i="1"/>
  <c r="W65" i="1" s="1"/>
  <c r="AA41" i="1"/>
  <c r="T34" i="1"/>
  <c r="U34" i="1" s="1"/>
  <c r="S34" i="1" s="1"/>
  <c r="T30" i="1"/>
  <c r="U30" i="1" s="1"/>
  <c r="S30" i="1" s="1"/>
  <c r="AA25" i="1"/>
  <c r="W25" i="1" s="1"/>
  <c r="AA24" i="1"/>
  <c r="W24" i="1" s="1"/>
  <c r="AA21" i="1"/>
  <c r="W21" i="1" s="1"/>
  <c r="Q28" i="3"/>
  <c r="P20" i="3"/>
  <c r="AA129" i="1"/>
  <c r="AA122" i="1"/>
  <c r="AA106" i="1"/>
  <c r="AG190" i="1"/>
  <c r="AA180" i="1"/>
  <c r="AA166" i="1"/>
  <c r="W166" i="1" s="1"/>
  <c r="Q58" i="3"/>
  <c r="P53" i="3"/>
  <c r="P24" i="3"/>
  <c r="AA149" i="1"/>
  <c r="AA146" i="1"/>
  <c r="AA142" i="1"/>
  <c r="AA138" i="1"/>
  <c r="AA135" i="1"/>
  <c r="AA126" i="1"/>
  <c r="AA120" i="1"/>
  <c r="AA112" i="1"/>
  <c r="AA104" i="1"/>
  <c r="AA197" i="1"/>
  <c r="W197" i="1" s="1"/>
  <c r="T196" i="1"/>
  <c r="U196" i="1" s="1"/>
  <c r="S196" i="1" s="1"/>
  <c r="X195" i="1"/>
  <c r="AA155" i="1"/>
  <c r="AA145" i="1"/>
  <c r="AA141" i="1"/>
  <c r="AA137" i="1"/>
  <c r="AA125" i="1"/>
  <c r="AA114" i="1"/>
  <c r="X197" i="1"/>
  <c r="AA153" i="1"/>
  <c r="AA151" i="1"/>
  <c r="AA148" i="1"/>
  <c r="AA144" i="1"/>
  <c r="AA140" i="1"/>
  <c r="AA131" i="1"/>
  <c r="AA128" i="1"/>
  <c r="AA124" i="1"/>
  <c r="AA116" i="1"/>
  <c r="AA108" i="1"/>
  <c r="T195" i="1"/>
  <c r="U195" i="1" s="1"/>
  <c r="S195" i="1" s="1"/>
  <c r="AG172" i="1"/>
  <c r="T172" i="1"/>
  <c r="AG165" i="1"/>
  <c r="T165" i="1"/>
  <c r="AG92" i="1"/>
  <c r="T92" i="1"/>
  <c r="AG82" i="1"/>
  <c r="T82" i="1"/>
  <c r="AG78" i="1"/>
  <c r="T78" i="1"/>
  <c r="T154" i="1"/>
  <c r="T201" i="1"/>
  <c r="U201" i="1" s="1"/>
  <c r="S201" i="1" s="1"/>
  <c r="T197" i="1"/>
  <c r="U197" i="1" s="1"/>
  <c r="S197" i="1" s="1"/>
  <c r="X193" i="1"/>
  <c r="T157" i="1"/>
  <c r="T156" i="1"/>
  <c r="U156" i="1" s="1"/>
  <c r="S156" i="1" s="1"/>
  <c r="AG101" i="1"/>
  <c r="AG99" i="1"/>
  <c r="AG97" i="1"/>
  <c r="AG191" i="1"/>
  <c r="AG189" i="1"/>
  <c r="AG95" i="1"/>
  <c r="AG186" i="1"/>
  <c r="AG181" i="1"/>
  <c r="T181" i="1"/>
  <c r="T175" i="1"/>
  <c r="U175" i="1" s="1"/>
  <c r="S175" i="1" s="1"/>
  <c r="AG167" i="1"/>
  <c r="T167" i="1"/>
  <c r="AG161" i="1"/>
  <c r="T161" i="1"/>
  <c r="AG86" i="1"/>
  <c r="T86" i="1"/>
  <c r="T83" i="1"/>
  <c r="U83" i="1" s="1"/>
  <c r="S83" i="1" s="1"/>
  <c r="T79" i="1"/>
  <c r="U79" i="1" s="1"/>
  <c r="S79" i="1" s="1"/>
  <c r="X185" i="1"/>
  <c r="AA185" i="1"/>
  <c r="T183" i="1"/>
  <c r="U183" i="1" s="1"/>
  <c r="S183" i="1" s="1"/>
  <c r="AA94" i="1"/>
  <c r="AG168" i="1"/>
  <c r="T168" i="1"/>
  <c r="T162" i="1"/>
  <c r="U162" i="1" s="1"/>
  <c r="S162" i="1" s="1"/>
  <c r="T87" i="1"/>
  <c r="U87" i="1" s="1"/>
  <c r="S87" i="1" s="1"/>
  <c r="X75" i="1"/>
  <c r="T68" i="1"/>
  <c r="X69" i="1"/>
  <c r="X68" i="1"/>
  <c r="AG68" i="1"/>
  <c r="T194" i="1"/>
  <c r="U194" i="1" s="1"/>
  <c r="S194" i="1" s="1"/>
  <c r="T193" i="1"/>
  <c r="U193" i="1" s="1"/>
  <c r="S193" i="1" s="1"/>
  <c r="T153" i="1"/>
  <c r="T152" i="1"/>
  <c r="T184" i="1"/>
  <c r="U184" i="1" s="1"/>
  <c r="S184" i="1" s="1"/>
  <c r="T178" i="1"/>
  <c r="AG94" i="1"/>
  <c r="T94" i="1"/>
  <c r="AG170" i="1"/>
  <c r="T170" i="1"/>
  <c r="X83" i="1"/>
  <c r="X79" i="1"/>
  <c r="T91" i="1"/>
  <c r="U91" i="1" s="1"/>
  <c r="S91" i="1" s="1"/>
  <c r="T90" i="1"/>
  <c r="U90" i="1" s="1"/>
  <c r="S90" i="1" s="1"/>
  <c r="T89" i="1"/>
  <c r="U89" i="1" s="1"/>
  <c r="S89" i="1" s="1"/>
  <c r="X85" i="1"/>
  <c r="T81" i="1"/>
  <c r="X77" i="1"/>
  <c r="AA74" i="1"/>
  <c r="W74" i="1" s="1"/>
  <c r="X73" i="1"/>
  <c r="AG70" i="1"/>
  <c r="X70" i="1"/>
  <c r="AA68" i="1"/>
  <c r="AA66" i="1"/>
  <c r="W66" i="1" s="1"/>
  <c r="AA64" i="1"/>
  <c r="W64" i="1" s="1"/>
  <c r="AA62" i="1"/>
  <c r="W62" i="1" s="1"/>
  <c r="AG56" i="1"/>
  <c r="X55" i="1"/>
  <c r="X53" i="1"/>
  <c r="X51" i="1"/>
  <c r="T48" i="1"/>
  <c r="U48" i="1" s="1"/>
  <c r="S48" i="1" s="1"/>
  <c r="T47" i="1"/>
  <c r="U47" i="1" s="1"/>
  <c r="S47" i="1" s="1"/>
  <c r="T46" i="1"/>
  <c r="U46" i="1" s="1"/>
  <c r="S46" i="1" s="1"/>
  <c r="T45" i="1"/>
  <c r="U45" i="1" s="1"/>
  <c r="S45" i="1" s="1"/>
  <c r="T44" i="1"/>
  <c r="T43" i="1"/>
  <c r="U43" i="1" s="1"/>
  <c r="S43" i="1" s="1"/>
  <c r="X39" i="1"/>
  <c r="X37" i="1"/>
  <c r="X35" i="1"/>
  <c r="T32" i="1"/>
  <c r="U32" i="1" s="1"/>
  <c r="S32" i="1" s="1"/>
  <c r="T31" i="1"/>
  <c r="U31" i="1" s="1"/>
  <c r="S31" i="1" s="1"/>
  <c r="X27" i="1"/>
  <c r="T24" i="1"/>
  <c r="U24" i="1" s="1"/>
  <c r="S24" i="1" s="1"/>
  <c r="T23" i="1"/>
  <c r="U23" i="1" s="1"/>
  <c r="S23" i="1" s="1"/>
  <c r="T19" i="1"/>
  <c r="U19" i="1" s="1"/>
  <c r="S19" i="1" s="1"/>
  <c r="T49" i="1"/>
  <c r="U49" i="1" s="1"/>
  <c r="S49" i="1" s="1"/>
  <c r="T33" i="1"/>
  <c r="U33" i="1" s="1"/>
  <c r="S33" i="1" s="1"/>
  <c r="T25" i="1"/>
  <c r="U25" i="1" s="1"/>
  <c r="S25" i="1" s="1"/>
  <c r="AA14" i="1"/>
  <c r="T160" i="1"/>
  <c r="T85" i="1"/>
  <c r="U85" i="1" s="1"/>
  <c r="S85" i="1" s="1"/>
  <c r="T77" i="1"/>
  <c r="U77" i="1" s="1"/>
  <c r="S77" i="1" s="1"/>
  <c r="T73" i="1"/>
  <c r="U73" i="1" s="1"/>
  <c r="S73" i="1" s="1"/>
  <c r="AA70" i="1"/>
  <c r="AG57" i="1"/>
  <c r="T56" i="1"/>
  <c r="T55" i="1"/>
  <c r="U55" i="1" s="1"/>
  <c r="S55" i="1" s="1"/>
  <c r="T54" i="1"/>
  <c r="U54" i="1" s="1"/>
  <c r="S54" i="1" s="1"/>
  <c r="T53" i="1"/>
  <c r="U53" i="1" s="1"/>
  <c r="S53" i="1" s="1"/>
  <c r="T52" i="1"/>
  <c r="U52" i="1" s="1"/>
  <c r="S52" i="1" s="1"/>
  <c r="T51" i="1"/>
  <c r="U51" i="1" s="1"/>
  <c r="S51" i="1" s="1"/>
  <c r="T40" i="1"/>
  <c r="U40" i="1" s="1"/>
  <c r="S40" i="1" s="1"/>
  <c r="T39" i="1"/>
  <c r="U39" i="1" s="1"/>
  <c r="S39" i="1" s="1"/>
  <c r="T38" i="1"/>
  <c r="U38" i="1" s="1"/>
  <c r="S38" i="1" s="1"/>
  <c r="T37" i="1"/>
  <c r="U37" i="1" s="1"/>
  <c r="S37" i="1" s="1"/>
  <c r="T36" i="1"/>
  <c r="U36" i="1" s="1"/>
  <c r="S36" i="1" s="1"/>
  <c r="T35" i="1"/>
  <c r="U35" i="1" s="1"/>
  <c r="S35" i="1" s="1"/>
  <c r="T28" i="1"/>
  <c r="U28" i="1" s="1"/>
  <c r="S28" i="1" s="1"/>
  <c r="T27" i="1"/>
  <c r="U27" i="1" s="1"/>
  <c r="S27" i="1" s="1"/>
  <c r="T21" i="1"/>
  <c r="U21" i="1" s="1"/>
  <c r="S21" i="1" s="1"/>
  <c r="T17" i="1"/>
  <c r="U17" i="1" s="1"/>
  <c r="S17" i="1" s="1"/>
  <c r="X49" i="1"/>
  <c r="T41" i="1"/>
  <c r="X33" i="1"/>
  <c r="T29" i="1"/>
  <c r="U29" i="1" s="1"/>
  <c r="S29" i="1" s="1"/>
  <c r="X25" i="1"/>
  <c r="X201" i="1"/>
  <c r="X196" i="1"/>
  <c r="X194" i="1"/>
  <c r="X192" i="1"/>
  <c r="T151" i="1"/>
  <c r="AG151" i="1"/>
  <c r="T150" i="1"/>
  <c r="AG150" i="1"/>
  <c r="T149" i="1"/>
  <c r="AG149" i="1"/>
  <c r="T148" i="1"/>
  <c r="AG148" i="1"/>
  <c r="T147" i="1"/>
  <c r="AG147" i="1"/>
  <c r="T146" i="1"/>
  <c r="X146" i="1"/>
  <c r="AG146" i="1"/>
  <c r="T145" i="1"/>
  <c r="X145" i="1"/>
  <c r="AG145" i="1"/>
  <c r="T144" i="1"/>
  <c r="X144" i="1"/>
  <c r="AG144" i="1"/>
  <c r="T143" i="1"/>
  <c r="X143" i="1"/>
  <c r="AG143" i="1"/>
  <c r="T142" i="1"/>
  <c r="X142" i="1"/>
  <c r="AG142" i="1"/>
  <c r="T141" i="1"/>
  <c r="X141" i="1"/>
  <c r="AG141" i="1"/>
  <c r="T140" i="1"/>
  <c r="X140" i="1"/>
  <c r="AG140" i="1"/>
  <c r="T139" i="1"/>
  <c r="X139" i="1"/>
  <c r="AG139" i="1"/>
  <c r="T138" i="1"/>
  <c r="X138" i="1"/>
  <c r="AG138" i="1"/>
  <c r="T137" i="1"/>
  <c r="X137" i="1"/>
  <c r="AG137" i="1"/>
  <c r="T136" i="1"/>
  <c r="X136" i="1"/>
  <c r="AG136" i="1"/>
  <c r="T135" i="1"/>
  <c r="X135" i="1"/>
  <c r="AG135" i="1"/>
  <c r="T134" i="1"/>
  <c r="X134" i="1"/>
  <c r="AG134" i="1"/>
  <c r="T133" i="1"/>
  <c r="X133" i="1"/>
  <c r="AG133" i="1"/>
  <c r="T132" i="1"/>
  <c r="X132" i="1"/>
  <c r="AG132" i="1"/>
  <c r="T131" i="1"/>
  <c r="X131" i="1"/>
  <c r="AG131" i="1"/>
  <c r="T130" i="1"/>
  <c r="X130" i="1"/>
  <c r="AG130" i="1"/>
  <c r="T129" i="1"/>
  <c r="X129" i="1"/>
  <c r="AG129" i="1"/>
  <c r="T128" i="1"/>
  <c r="X128" i="1"/>
  <c r="AG128" i="1"/>
  <c r="T127" i="1"/>
  <c r="X127" i="1"/>
  <c r="AG127" i="1"/>
  <c r="T126" i="1"/>
  <c r="X126" i="1"/>
  <c r="AG126" i="1"/>
  <c r="T125" i="1"/>
  <c r="X125" i="1"/>
  <c r="AG125" i="1"/>
  <c r="T124" i="1"/>
  <c r="X124" i="1"/>
  <c r="AG124" i="1"/>
  <c r="T123" i="1"/>
  <c r="X123" i="1"/>
  <c r="AG123" i="1"/>
  <c r="T122" i="1"/>
  <c r="X122" i="1"/>
  <c r="AG122" i="1"/>
  <c r="T121" i="1"/>
  <c r="X121" i="1"/>
  <c r="AG121" i="1"/>
  <c r="T120" i="1"/>
  <c r="X120" i="1"/>
  <c r="AG120" i="1"/>
  <c r="T119" i="1"/>
  <c r="X119" i="1"/>
  <c r="AG119" i="1"/>
  <c r="T118" i="1"/>
  <c r="X118" i="1"/>
  <c r="AG118" i="1"/>
  <c r="T117" i="1"/>
  <c r="X117" i="1"/>
  <c r="AG117" i="1"/>
  <c r="T116" i="1"/>
  <c r="X116" i="1"/>
  <c r="AG116" i="1"/>
  <c r="T115" i="1"/>
  <c r="X115" i="1"/>
  <c r="AG115" i="1"/>
  <c r="T114" i="1"/>
  <c r="X114" i="1"/>
  <c r="AG114" i="1"/>
  <c r="T113" i="1"/>
  <c r="X113" i="1"/>
  <c r="AG113" i="1"/>
  <c r="T112" i="1"/>
  <c r="X112" i="1"/>
  <c r="AG112" i="1"/>
  <c r="T111" i="1"/>
  <c r="X111" i="1"/>
  <c r="AG111" i="1"/>
  <c r="T164" i="1"/>
  <c r="U164" i="1" s="1"/>
  <c r="S164" i="1" s="1"/>
  <c r="X184" i="1"/>
  <c r="X182" i="1"/>
  <c r="X173" i="1"/>
  <c r="X171" i="1"/>
  <c r="X169" i="1"/>
  <c r="X93" i="1"/>
  <c r="X166" i="1"/>
  <c r="X164" i="1"/>
  <c r="AG163" i="1"/>
  <c r="X163" i="1"/>
  <c r="T163" i="1"/>
  <c r="AG110" i="1"/>
  <c r="AG109" i="1"/>
  <c r="AG108" i="1"/>
  <c r="AG107" i="1"/>
  <c r="AG106" i="1"/>
  <c r="AG105" i="1"/>
  <c r="AG104" i="1"/>
  <c r="AG103" i="1"/>
  <c r="AG200" i="1"/>
  <c r="AG199" i="1"/>
  <c r="AG198" i="1"/>
  <c r="AG102" i="1"/>
  <c r="X110" i="1"/>
  <c r="X109" i="1"/>
  <c r="X108" i="1"/>
  <c r="X107" i="1"/>
  <c r="X106" i="1"/>
  <c r="X105" i="1"/>
  <c r="X104" i="1"/>
  <c r="X103" i="1"/>
  <c r="X200" i="1"/>
  <c r="X199" i="1"/>
  <c r="X198" i="1"/>
  <c r="X102" i="1"/>
  <c r="X101" i="1"/>
  <c r="X100" i="1"/>
  <c r="X99" i="1"/>
  <c r="X98" i="1"/>
  <c r="X97" i="1"/>
  <c r="X96" i="1"/>
  <c r="X191" i="1"/>
  <c r="X190" i="1"/>
  <c r="X189" i="1"/>
  <c r="X188" i="1"/>
  <c r="X95" i="1"/>
  <c r="X187" i="1"/>
  <c r="X186" i="1"/>
  <c r="X183" i="1"/>
  <c r="X94" i="1"/>
  <c r="X172" i="1"/>
  <c r="X170" i="1"/>
  <c r="X168" i="1"/>
  <c r="X167" i="1"/>
  <c r="X165" i="1"/>
  <c r="AA60" i="1"/>
  <c r="W60" i="1" s="1"/>
  <c r="T74" i="1"/>
  <c r="U74" i="1" s="1"/>
  <c r="S74" i="1" s="1"/>
  <c r="X161" i="1"/>
  <c r="X92" i="1"/>
  <c r="X90" i="1"/>
  <c r="X88" i="1"/>
  <c r="X86" i="1"/>
  <c r="X84" i="1"/>
  <c r="X82" i="1"/>
  <c r="X80" i="1"/>
  <c r="X78" i="1"/>
  <c r="X76" i="1"/>
  <c r="X74" i="1"/>
  <c r="T67" i="1"/>
  <c r="U67" i="1" s="1"/>
  <c r="S67" i="1" s="1"/>
  <c r="X67" i="1"/>
  <c r="T65" i="1"/>
  <c r="U65" i="1" s="1"/>
  <c r="S65" i="1" s="1"/>
  <c r="X65" i="1"/>
  <c r="T63" i="1"/>
  <c r="U63" i="1" s="1"/>
  <c r="S63" i="1" s="1"/>
  <c r="X63" i="1"/>
  <c r="T61" i="1"/>
  <c r="U61" i="1" s="1"/>
  <c r="S61" i="1" s="1"/>
  <c r="X61" i="1"/>
  <c r="T59" i="1"/>
  <c r="X59" i="1"/>
  <c r="AG59" i="1"/>
  <c r="T66" i="1"/>
  <c r="U66" i="1" s="1"/>
  <c r="S66" i="1" s="1"/>
  <c r="X66" i="1"/>
  <c r="T64" i="1"/>
  <c r="U64" i="1" s="1"/>
  <c r="S64" i="1" s="1"/>
  <c r="X64" i="1"/>
  <c r="T62" i="1"/>
  <c r="U62" i="1" s="1"/>
  <c r="S62" i="1" s="1"/>
  <c r="X62" i="1"/>
  <c r="T60" i="1"/>
  <c r="U60" i="1" s="1"/>
  <c r="S60" i="1" s="1"/>
  <c r="X60" i="1"/>
  <c r="T58" i="1"/>
  <c r="U58" i="1" s="1"/>
  <c r="S58" i="1" s="1"/>
  <c r="X58" i="1"/>
  <c r="X57" i="1"/>
  <c r="X54" i="1"/>
  <c r="X52" i="1"/>
  <c r="X50" i="1"/>
  <c r="X48" i="1"/>
  <c r="X46" i="1"/>
  <c r="X44" i="1"/>
  <c r="X42" i="1"/>
  <c r="X40" i="1"/>
  <c r="X38" i="1"/>
  <c r="X36" i="1"/>
  <c r="X34" i="1"/>
  <c r="X32" i="1"/>
  <c r="X30" i="1"/>
  <c r="X28" i="1"/>
  <c r="X26" i="1"/>
  <c r="X24" i="1"/>
  <c r="X22" i="1"/>
  <c r="X20" i="1"/>
  <c r="X18" i="1"/>
  <c r="X21" i="1"/>
  <c r="X19" i="1"/>
  <c r="X17" i="1"/>
  <c r="T16" i="1"/>
  <c r="X16" i="1"/>
  <c r="AG16" i="1"/>
  <c r="T15" i="1"/>
  <c r="X15" i="1"/>
  <c r="AG15" i="1"/>
  <c r="T14" i="1"/>
  <c r="AG14" i="1"/>
  <c r="W158" i="1" l="1"/>
  <c r="W175" i="1"/>
  <c r="U180" i="1"/>
  <c r="S180" i="1" s="1"/>
  <c r="W159" i="1"/>
  <c r="W180" i="1"/>
  <c r="U153" i="1"/>
  <c r="S153" i="1" s="1"/>
  <c r="U190" i="1"/>
  <c r="S190" i="1" s="1"/>
  <c r="U70" i="1"/>
  <c r="S70" i="1" s="1"/>
  <c r="U189" i="1"/>
  <c r="S189" i="1" s="1"/>
  <c r="U101" i="1"/>
  <c r="S101" i="1" s="1"/>
  <c r="U72" i="1"/>
  <c r="S72" i="1" s="1"/>
  <c r="U185" i="1"/>
  <c r="S185" i="1" s="1"/>
  <c r="U71" i="1"/>
  <c r="S71" i="1" s="1"/>
  <c r="U188" i="1"/>
  <c r="S188" i="1" s="1"/>
  <c r="U96" i="1"/>
  <c r="S96" i="1" s="1"/>
  <c r="W160" i="1"/>
  <c r="U173" i="1"/>
  <c r="S173" i="1" s="1"/>
  <c r="U191" i="1"/>
  <c r="S191" i="1" s="1"/>
  <c r="W153" i="1"/>
  <c r="W152" i="1"/>
  <c r="W173" i="1"/>
  <c r="W178" i="1"/>
  <c r="U57" i="1"/>
  <c r="S57" i="1" s="1"/>
  <c r="U186" i="1"/>
  <c r="S186" i="1" s="1"/>
  <c r="U97" i="1"/>
  <c r="S97" i="1" s="1"/>
  <c r="W172" i="1"/>
  <c r="W122" i="1"/>
  <c r="U178" i="1"/>
  <c r="S178" i="1" s="1"/>
  <c r="U161" i="1"/>
  <c r="S161" i="1" s="1"/>
  <c r="U95" i="1"/>
  <c r="S95" i="1" s="1"/>
  <c r="U99" i="1"/>
  <c r="S99" i="1" s="1"/>
  <c r="U98" i="1"/>
  <c r="S98" i="1" s="1"/>
  <c r="U158" i="1"/>
  <c r="S158" i="1" s="1"/>
  <c r="U154" i="1"/>
  <c r="W92" i="1"/>
  <c r="W156" i="1"/>
  <c r="U159" i="1"/>
  <c r="S159" i="1" s="1"/>
  <c r="W114" i="1"/>
  <c r="U44" i="1"/>
  <c r="S44" i="1" s="1"/>
  <c r="W96" i="1"/>
  <c r="U155" i="1"/>
  <c r="U152" i="1"/>
  <c r="S152" i="1" s="1"/>
  <c r="W155" i="1"/>
  <c r="U157" i="1"/>
  <c r="S157" i="1" s="1"/>
  <c r="W157" i="1"/>
  <c r="W56" i="1"/>
  <c r="U93" i="1"/>
  <c r="S93" i="1" s="1"/>
  <c r="U160" i="1"/>
  <c r="S160" i="1" s="1"/>
  <c r="W76" i="1"/>
  <c r="W132" i="1"/>
  <c r="W44" i="1"/>
  <c r="U100" i="1"/>
  <c r="S100" i="1" s="1"/>
  <c r="U187" i="1"/>
  <c r="S187" i="1" s="1"/>
  <c r="W50" i="1"/>
  <c r="W167" i="1"/>
  <c r="U50" i="1"/>
  <c r="S50" i="1" s="1"/>
  <c r="W188" i="1"/>
  <c r="W182" i="1"/>
  <c r="W189" i="1"/>
  <c r="W98" i="1"/>
  <c r="W41" i="1"/>
  <c r="W93" i="1"/>
  <c r="W116" i="1"/>
  <c r="W140" i="1"/>
  <c r="U41" i="1"/>
  <c r="S41" i="1" s="1"/>
  <c r="W78" i="1"/>
  <c r="W81" i="1"/>
  <c r="W102" i="1"/>
  <c r="W71" i="1"/>
  <c r="U76" i="1"/>
  <c r="S76" i="1" s="1"/>
  <c r="W105" i="1"/>
  <c r="W129" i="1"/>
  <c r="U56" i="1"/>
  <c r="S56" i="1" s="1"/>
  <c r="U92" i="1"/>
  <c r="S92" i="1" s="1"/>
  <c r="U172" i="1"/>
  <c r="S172" i="1" s="1"/>
  <c r="W99" i="1"/>
  <c r="W185" i="1"/>
  <c r="W165" i="1"/>
  <c r="W125" i="1"/>
  <c r="W100" i="1"/>
  <c r="W177" i="1"/>
  <c r="W130" i="1"/>
  <c r="W146" i="1"/>
  <c r="U94" i="1"/>
  <c r="S94" i="1" s="1"/>
  <c r="U168" i="1"/>
  <c r="S168" i="1" s="1"/>
  <c r="U88" i="1"/>
  <c r="S88" i="1" s="1"/>
  <c r="U182" i="1"/>
  <c r="S182" i="1" s="1"/>
  <c r="W95" i="1"/>
  <c r="W88" i="1"/>
  <c r="W161" i="1"/>
  <c r="W187" i="1"/>
  <c r="W107" i="1"/>
  <c r="U78" i="1"/>
  <c r="S78" i="1" s="1"/>
  <c r="U177" i="1"/>
  <c r="S177" i="1" s="1"/>
  <c r="U81" i="1"/>
  <c r="S81" i="1" s="1"/>
  <c r="W181" i="1"/>
  <c r="W82" i="1"/>
  <c r="W72" i="1"/>
  <c r="W138" i="1"/>
  <c r="U170" i="1"/>
  <c r="S170" i="1" s="1"/>
  <c r="U86" i="1"/>
  <c r="S86" i="1" s="1"/>
  <c r="W106" i="1"/>
  <c r="W145" i="1"/>
  <c r="U165" i="1"/>
  <c r="S165" i="1" s="1"/>
  <c r="W124" i="1"/>
  <c r="W148" i="1"/>
  <c r="W68" i="1"/>
  <c r="W57" i="1"/>
  <c r="W101" i="1"/>
  <c r="W190" i="1"/>
  <c r="W168" i="1"/>
  <c r="W86" i="1"/>
  <c r="W14" i="1"/>
  <c r="U181" i="1"/>
  <c r="S181" i="1" s="1"/>
  <c r="U82" i="1"/>
  <c r="S82" i="1" s="1"/>
  <c r="W70" i="1"/>
  <c r="W170" i="1"/>
  <c r="W186" i="1"/>
  <c r="U167" i="1"/>
  <c r="S167" i="1" s="1"/>
  <c r="U68" i="1"/>
  <c r="S68" i="1" s="1"/>
  <c r="W94" i="1"/>
  <c r="W191" i="1"/>
  <c r="W97" i="1"/>
  <c r="U16" i="1"/>
  <c r="S16" i="1" s="1"/>
  <c r="U59" i="1"/>
  <c r="S59" i="1" s="1"/>
  <c r="U198" i="1"/>
  <c r="S198" i="1" s="1"/>
  <c r="U104" i="1"/>
  <c r="S104" i="1" s="1"/>
  <c r="U108" i="1"/>
  <c r="S108" i="1" s="1"/>
  <c r="U111" i="1"/>
  <c r="S111" i="1" s="1"/>
  <c r="U115" i="1"/>
  <c r="S115" i="1" s="1"/>
  <c r="U119" i="1"/>
  <c r="S119" i="1" s="1"/>
  <c r="U123" i="1"/>
  <c r="S123" i="1" s="1"/>
  <c r="U127" i="1"/>
  <c r="S127" i="1" s="1"/>
  <c r="U131" i="1"/>
  <c r="S131" i="1" s="1"/>
  <c r="U135" i="1"/>
  <c r="S135" i="1" s="1"/>
  <c r="U139" i="1"/>
  <c r="S139" i="1" s="1"/>
  <c r="U143" i="1"/>
  <c r="S143" i="1" s="1"/>
  <c r="U147" i="1"/>
  <c r="U150" i="1"/>
  <c r="S150" i="1" s="1"/>
  <c r="W147" i="1"/>
  <c r="W123" i="1"/>
  <c r="W150" i="1"/>
  <c r="W115" i="1"/>
  <c r="U15" i="1"/>
  <c r="S15" i="1" s="1"/>
  <c r="W15" i="1"/>
  <c r="U199" i="1"/>
  <c r="S199" i="1" s="1"/>
  <c r="U105" i="1"/>
  <c r="S105" i="1" s="1"/>
  <c r="U109" i="1"/>
  <c r="S109" i="1" s="1"/>
  <c r="U163" i="1"/>
  <c r="S163" i="1" s="1"/>
  <c r="U114" i="1"/>
  <c r="S114" i="1" s="1"/>
  <c r="U118" i="1"/>
  <c r="S118" i="1" s="1"/>
  <c r="U122" i="1"/>
  <c r="S122" i="1" s="1"/>
  <c r="U126" i="1"/>
  <c r="S126" i="1" s="1"/>
  <c r="U130" i="1"/>
  <c r="S130" i="1" s="1"/>
  <c r="U134" i="1"/>
  <c r="S134" i="1" s="1"/>
  <c r="U138" i="1"/>
  <c r="S138" i="1" s="1"/>
  <c r="U142" i="1"/>
  <c r="S142" i="1" s="1"/>
  <c r="U146" i="1"/>
  <c r="S146" i="1" s="1"/>
  <c r="U149" i="1"/>
  <c r="S149" i="1" s="1"/>
  <c r="W198" i="1"/>
  <c r="W108" i="1"/>
  <c r="W127" i="1"/>
  <c r="W119" i="1"/>
  <c r="U14" i="1"/>
  <c r="S14" i="1" s="1"/>
  <c r="W16" i="1"/>
  <c r="U200" i="1"/>
  <c r="S200" i="1" s="1"/>
  <c r="U106" i="1"/>
  <c r="S106" i="1" s="1"/>
  <c r="U110" i="1"/>
  <c r="S110" i="1" s="1"/>
  <c r="U113" i="1"/>
  <c r="S113" i="1" s="1"/>
  <c r="U117" i="1"/>
  <c r="S117" i="1" s="1"/>
  <c r="U121" i="1"/>
  <c r="S121" i="1" s="1"/>
  <c r="U125" i="1"/>
  <c r="S125" i="1" s="1"/>
  <c r="U129" i="1"/>
  <c r="S129" i="1" s="1"/>
  <c r="U133" i="1"/>
  <c r="S133" i="1" s="1"/>
  <c r="U137" i="1"/>
  <c r="S137" i="1" s="1"/>
  <c r="U141" i="1"/>
  <c r="S141" i="1" s="1"/>
  <c r="U145" i="1"/>
  <c r="S145" i="1" s="1"/>
  <c r="W163" i="1"/>
  <c r="W133" i="1"/>
  <c r="W200" i="1"/>
  <c r="W110" i="1"/>
  <c r="W118" i="1"/>
  <c r="W126" i="1"/>
  <c r="W134" i="1"/>
  <c r="W142" i="1"/>
  <c r="W149" i="1"/>
  <c r="W131" i="1"/>
  <c r="W113" i="1"/>
  <c r="W135" i="1"/>
  <c r="W199" i="1"/>
  <c r="W109" i="1"/>
  <c r="W121" i="1"/>
  <c r="W59" i="1"/>
  <c r="U102" i="1"/>
  <c r="S102" i="1" s="1"/>
  <c r="U103" i="1"/>
  <c r="S103" i="1" s="1"/>
  <c r="U107" i="1"/>
  <c r="S107" i="1" s="1"/>
  <c r="U112" i="1"/>
  <c r="S112" i="1" s="1"/>
  <c r="U116" i="1"/>
  <c r="S116" i="1" s="1"/>
  <c r="U120" i="1"/>
  <c r="S120" i="1" s="1"/>
  <c r="U124" i="1"/>
  <c r="S124" i="1" s="1"/>
  <c r="U128" i="1"/>
  <c r="S128" i="1" s="1"/>
  <c r="U132" i="1"/>
  <c r="S132" i="1" s="1"/>
  <c r="U136" i="1"/>
  <c r="S136" i="1" s="1"/>
  <c r="U140" i="1"/>
  <c r="S140" i="1" s="1"/>
  <c r="U144" i="1"/>
  <c r="S144" i="1" s="1"/>
  <c r="U148" i="1"/>
  <c r="U151" i="1"/>
  <c r="S151" i="1" s="1"/>
  <c r="W141" i="1"/>
  <c r="W104" i="1"/>
  <c r="W112" i="1"/>
  <c r="W120" i="1"/>
  <c r="W128" i="1"/>
  <c r="W136" i="1"/>
  <c r="W144" i="1"/>
  <c r="W151" i="1"/>
  <c r="W139" i="1"/>
  <c r="W117" i="1"/>
  <c r="W143" i="1"/>
  <c r="W103" i="1"/>
  <c r="W111" i="1"/>
  <c r="W137" i="1"/>
  <c r="K13" i="1"/>
  <c r="S147" i="1" l="1"/>
  <c r="AH13" i="1"/>
  <c r="E3" i="6" l="1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E7" i="6"/>
  <c r="F7" i="6"/>
  <c r="G7" i="6"/>
  <c r="H7" i="6"/>
  <c r="E8" i="6"/>
  <c r="F8" i="6"/>
  <c r="G8" i="6"/>
  <c r="H8" i="6"/>
  <c r="X6" i="1" l="1"/>
  <c r="W6" i="1"/>
  <c r="V6" i="1"/>
  <c r="S6" i="1"/>
  <c r="R2" i="1"/>
  <c r="I2" i="1"/>
  <c r="O6" i="1"/>
  <c r="N6" i="1"/>
  <c r="M6" i="1"/>
  <c r="J6" i="1"/>
  <c r="P3" i="5" l="1"/>
  <c r="V13" i="1" l="1"/>
  <c r="AF13" i="1" l="1"/>
  <c r="AE13" i="1" l="1"/>
  <c r="M18" i="5" l="1"/>
  <c r="AD13" i="1" l="1"/>
  <c r="X14" i="1" s="1"/>
  <c r="X13" i="1" l="1"/>
  <c r="AG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<sst xmlns="http://schemas.openxmlformats.org/spreadsheetml/2006/main" count="2131" uniqueCount="681">
  <si>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</si>
  <si>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</si>
  <si>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</si>
  <si>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</si>
  <si>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</si>
  <si>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</si>
  <si>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</si>
  <si>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</si>
  <si>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</si>
  <si>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</si>
  <si>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</si>
  <si>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</si>
  <si>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</si>
  <si>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</si>
  <si>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</si>
  <si>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</si>
  <si>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</si>
  <si>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</si>
  <si>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</si>
  <si>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</si>
  <si>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</si>
  <si>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</si>
  <si>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</si>
  <si>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</si>
  <si>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</si>
  <si>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</si>
  <si>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</si>
  <si>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</si>
  <si>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</si>
  <si>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</si>
  <si>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</si>
  <si>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</si>
  <si>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</si>
  <si>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</si>
  <si>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</si>
  <si>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</si>
  <si>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</si>
  <si>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</si>
  <si>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</si>
  <si>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</si>
  <si>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</si>
  <si>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</si>
  <si>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</si>
  <si>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</si>
  <si>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</si>
  <si>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</si>
  <si>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</si>
  <si>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</si>
  <si>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</si>
  <si>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</si>
  <si>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</si>
  <si>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</si>
  <si>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</si>
  <si>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</si>
  <si>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</si>
  <si>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</si>
  <si>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</si>
  <si>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</si>
  <si>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</si>
  <si>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</si>
  <si>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</si>
  <si>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204:460</t>
  </si>
  <si>
    <t>204:232977</t>
  </si>
  <si>
    <t>Kibana URL</t>
  </si>
  <si>
    <t>rtdc.l.rtdc.4017:itc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</si>
  <si>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</si>
  <si>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</si>
  <si>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</si>
  <si>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</si>
  <si>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</si>
  <si>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</si>
  <si>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</si>
  <si>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</si>
  <si>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</si>
  <si>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</si>
  <si>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</si>
  <si>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</si>
  <si>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</si>
  <si>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</si>
  <si>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</si>
  <si>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</si>
  <si>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</si>
  <si>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</si>
  <si>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</si>
  <si>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</si>
  <si>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</si>
  <si>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</si>
  <si>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</si>
  <si>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</si>
  <si>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</si>
  <si>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</si>
  <si>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</si>
  <si>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</si>
  <si>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</si>
  <si>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</si>
  <si>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</si>
  <si>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</si>
  <si>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</si>
  <si>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</si>
  <si>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</si>
  <si>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</si>
  <si>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</si>
  <si>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</si>
  <si>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</si>
  <si>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</si>
  <si>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</si>
  <si>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</si>
  <si>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</si>
  <si>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</si>
  <si>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</si>
  <si>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</si>
  <si>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</si>
  <si>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rtdc.l.rtdc.4015:itc</t>
  </si>
  <si>
    <t>EC or NWGL</t>
  </si>
  <si>
    <t>204:464</t>
  </si>
  <si>
    <t>204:462</t>
  </si>
  <si>
    <t>Omit due to TWC &lt; 1</t>
  </si>
  <si>
    <t>Reactive Enforcement (3)</t>
  </si>
  <si>
    <t>204:233293</t>
  </si>
  <si>
    <t>rtdc.l.rtdc.4014:itc</t>
  </si>
  <si>
    <t>DE.1.0.7.0</t>
  </si>
  <si>
    <t>rtdc.l.rtdc.4031:itc</t>
  </si>
  <si>
    <t>rtdc.l.rtdc.4032:itc</t>
  </si>
  <si>
    <t>204:232993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</si>
  <si>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</si>
  <si>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</si>
  <si>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</si>
  <si>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</si>
  <si>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</si>
  <si>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</si>
  <si>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</si>
  <si>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</si>
  <si>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</si>
  <si>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204:232998</t>
  </si>
  <si>
    <t>204:455</t>
  </si>
  <si>
    <t>:.+((SYSTEM_STATE.+slice.+state.+changed )|(ment ac)|(system.+state.+changed )|(\|lc)|(penalty)|(\[timeout)|(PRM\|1\|D)|(kpr)|(kdp))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</si>
  <si>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</si>
  <si>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</si>
  <si>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</si>
  <si>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</si>
  <si>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</si>
  <si>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</si>
  <si>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204:471</t>
  </si>
  <si>
    <t>204:147</t>
  </si>
  <si>
    <t>204:453</t>
  </si>
  <si>
    <t>204:233289</t>
  </si>
  <si>
    <t>204:232994</t>
  </si>
  <si>
    <t>204:449</t>
  </si>
  <si>
    <t>204:149</t>
  </si>
  <si>
    <t>204:145</t>
  </si>
  <si>
    <t>204:232996</t>
  </si>
  <si>
    <t>204:233312</t>
  </si>
  <si>
    <t>204:232959</t>
  </si>
  <si>
    <t>204:488</t>
  </si>
  <si>
    <t>STURGEON</t>
  </si>
  <si>
    <t>ISHMAEL</t>
  </si>
  <si>
    <t>204:232983</t>
  </si>
  <si>
    <t>204:437</t>
  </si>
  <si>
    <t>204:139</t>
  </si>
  <si>
    <t>204:232978</t>
  </si>
  <si>
    <t>204:232980</t>
  </si>
  <si>
    <t>204:467</t>
  </si>
  <si>
    <t>204:233306</t>
  </si>
  <si>
    <t>LEVIN</t>
  </si>
  <si>
    <t>204:163</t>
  </si>
  <si>
    <t>204:457</t>
  </si>
  <si>
    <t>204:233310</t>
  </si>
  <si>
    <t>204:233314</t>
  </si>
  <si>
    <t>204:233319</t>
  </si>
  <si>
    <t>204:138</t>
  </si>
  <si>
    <t>204:233320</t>
  </si>
  <si>
    <t>MAELZER</t>
  </si>
  <si>
    <t>STAMBAUGH</t>
  </si>
  <si>
    <t>rtdc.l.rtdc.4037:itc</t>
  </si>
  <si>
    <t>MOSES</t>
  </si>
  <si>
    <t xml:space="preserve">baselines for EC: </t>
  </si>
  <si>
    <t>baselines for NWES:</t>
  </si>
  <si>
    <t>M - F = 47 trips</t>
  </si>
  <si>
    <t>Sat - Sun = 33 Trips</t>
  </si>
  <si>
    <t>204:233300</t>
  </si>
  <si>
    <t>204:233280</t>
  </si>
  <si>
    <t>204:466</t>
  </si>
  <si>
    <t>204:160</t>
  </si>
  <si>
    <t>204:233323</t>
  </si>
  <si>
    <t>204:232986</t>
  </si>
  <si>
    <t>204:442</t>
  </si>
  <si>
    <t>204:165</t>
  </si>
  <si>
    <t>300:58628</t>
  </si>
  <si>
    <t>300:58619</t>
  </si>
  <si>
    <t>rtdc.l.rtdc.4028:itc</t>
  </si>
  <si>
    <t>rtdc.l.rtdc.4021:itc</t>
  </si>
  <si>
    <t>MALAVE</t>
  </si>
  <si>
    <t>YORK</t>
  </si>
  <si>
    <t>rtdc.l.rtdc.4038:itc</t>
  </si>
  <si>
    <t>SHOOK</t>
  </si>
  <si>
    <t>204:712</t>
  </si>
  <si>
    <t>204:232985</t>
  </si>
  <si>
    <t>204:150</t>
  </si>
  <si>
    <t>204:233001</t>
  </si>
  <si>
    <t>204:156</t>
  </si>
  <si>
    <t>204:233297</t>
  </si>
  <si>
    <t>204:232981</t>
  </si>
  <si>
    <t>204:451</t>
  </si>
  <si>
    <t>204:154</t>
  </si>
  <si>
    <t>204:233304</t>
  </si>
  <si>
    <t>204:233000</t>
  </si>
  <si>
    <t>204:477</t>
  </si>
  <si>
    <t>204:233013</t>
  </si>
  <si>
    <t>204:233015</t>
  </si>
  <si>
    <t>204:233276</t>
  </si>
  <si>
    <t>230-12</t>
  </si>
  <si>
    <t>231-12</t>
  </si>
  <si>
    <t>232-12</t>
  </si>
  <si>
    <t>233-12</t>
  </si>
  <si>
    <t>234-12</t>
  </si>
  <si>
    <t>235-12</t>
  </si>
  <si>
    <t>236-12</t>
  </si>
  <si>
    <t>237-12</t>
  </si>
  <si>
    <t>238-12</t>
  </si>
  <si>
    <t>239-12</t>
  </si>
  <si>
    <t>204:478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</si>
  <si>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</si>
  <si>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</si>
  <si>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</si>
  <si>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</si>
  <si>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</si>
  <si>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</si>
  <si>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</si>
  <si>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</si>
  <si>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</si>
  <si>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</si>
  <si>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64-12</t>
  </si>
  <si>
    <t>300:58626</t>
  </si>
  <si>
    <t>844-12</t>
  </si>
  <si>
    <t>847-12</t>
  </si>
  <si>
    <t>908-12</t>
  </si>
  <si>
    <t>rtdc.l.rtdc.4008:itc</t>
  </si>
  <si>
    <t>rtdc.l.rtdc.4020:itc</t>
  </si>
  <si>
    <t>SWITCH UNKNOWN</t>
  </si>
  <si>
    <t>Track device (7)</t>
  </si>
  <si>
    <t>rtdc.l.rtdc.4019:itc</t>
  </si>
  <si>
    <t>rtdc.l.rtdc.4007:itc</t>
  </si>
  <si>
    <t>rtdc.l.rtdc.4018:itc</t>
  </si>
  <si>
    <t>DAVIS</t>
  </si>
  <si>
    <t>STEWART</t>
  </si>
  <si>
    <t>MAYBERRY</t>
  </si>
  <si>
    <t>NELSON</t>
  </si>
  <si>
    <t>YANAI</t>
  </si>
  <si>
    <t>rtdc.l.rtdc.4022:itc</t>
  </si>
  <si>
    <t>HOMIK</t>
  </si>
  <si>
    <t>313-12</t>
  </si>
  <si>
    <t>204:233288</t>
  </si>
  <si>
    <t>204:648</t>
  </si>
  <si>
    <t>204:233295</t>
  </si>
  <si>
    <t>204:440</t>
  </si>
  <si>
    <t>204:232982</t>
  </si>
  <si>
    <t>204:433</t>
  </si>
  <si>
    <t>204:127</t>
  </si>
  <si>
    <t>204:446</t>
  </si>
  <si>
    <t>204:232967</t>
  </si>
  <si>
    <t>204:167</t>
  </si>
  <si>
    <t>204:232979</t>
  </si>
  <si>
    <t>204:233308</t>
  </si>
  <si>
    <t>204:233366</t>
  </si>
  <si>
    <t>204:152</t>
  </si>
  <si>
    <t>300:58623</t>
  </si>
  <si>
    <t>204:766</t>
  </si>
  <si>
    <t>300:58937</t>
  </si>
  <si>
    <t>204:1041</t>
  </si>
  <si>
    <t>300:58939</t>
  </si>
  <si>
    <t>300:58630</t>
  </si>
  <si>
    <t>204:748</t>
  </si>
  <si>
    <t>300:58941</t>
  </si>
  <si>
    <t>204:480</t>
  </si>
  <si>
    <t>204:233322</t>
  </si>
  <si>
    <t>204:233011</t>
  </si>
  <si>
    <t>204:233327</t>
  </si>
  <si>
    <t>204:232968</t>
  </si>
  <si>
    <t>204:475</t>
  </si>
  <si>
    <t>204:233284</t>
  </si>
  <si>
    <t>204:233316</t>
  </si>
  <si>
    <t>204:233305</t>
  </si>
  <si>
    <t>242-13</t>
  </si>
  <si>
    <t>244-13</t>
  </si>
  <si>
    <t>245-13</t>
  </si>
  <si>
    <t>246-13</t>
  </si>
  <si>
    <t>302-14</t>
  </si>
  <si>
    <t>204:650</t>
  </si>
  <si>
    <t>309-13</t>
  </si>
  <si>
    <t>300:23301</t>
  </si>
  <si>
    <t>313-13</t>
  </si>
  <si>
    <t>204:1175</t>
  </si>
  <si>
    <t>rtdc.l.rtdc.4044:itc</t>
  </si>
  <si>
    <t>rtdc.l.rtdc.4011:itc</t>
  </si>
  <si>
    <t>rtdc.l.rtdc.4012:itc</t>
  </si>
  <si>
    <t>rtdc.l.rtdc.4043:itc</t>
  </si>
  <si>
    <t>GRADE CROSSING</t>
  </si>
  <si>
    <t>Bulletin (2)</t>
  </si>
  <si>
    <t>TEMPORARY SPEED RESTRICTION</t>
  </si>
  <si>
    <t>rtdc.l.rtdc.4009:itc</t>
  </si>
  <si>
    <t>ACKERMAN</t>
  </si>
  <si>
    <t>KILLION</t>
  </si>
  <si>
    <t>STORY</t>
  </si>
  <si>
    <t>rtdc.l.rtdc.4010:itc</t>
  </si>
  <si>
    <t>BARTLETT</t>
  </si>
  <si>
    <t>BRUDER</t>
  </si>
  <si>
    <t>NEWELL</t>
  </si>
  <si>
    <t>311-13</t>
  </si>
  <si>
    <t>315-13</t>
  </si>
  <si>
    <t>101-14</t>
  </si>
  <si>
    <t>102-14</t>
  </si>
  <si>
    <t>204:232650</t>
  </si>
  <si>
    <t>103-14</t>
  </si>
  <si>
    <t>204:233414</t>
  </si>
  <si>
    <t>104-14</t>
  </si>
  <si>
    <t>204:232770</t>
  </si>
  <si>
    <t>204:121</t>
  </si>
  <si>
    <t>105-14</t>
  </si>
  <si>
    <t>204:728</t>
  </si>
  <si>
    <t>106-14</t>
  </si>
  <si>
    <t>204:232669</t>
  </si>
  <si>
    <t>204:125</t>
  </si>
  <si>
    <t>107-14</t>
  </si>
  <si>
    <t>108-14</t>
  </si>
  <si>
    <t>109-14</t>
  </si>
  <si>
    <t>110-14</t>
  </si>
  <si>
    <t>204:404</t>
  </si>
  <si>
    <t>111-14</t>
  </si>
  <si>
    <t>112-14</t>
  </si>
  <si>
    <t>204:154010</t>
  </si>
  <si>
    <t>204:1181</t>
  </si>
  <si>
    <t>113-14</t>
  </si>
  <si>
    <t>204:233211</t>
  </si>
  <si>
    <t>114-14</t>
  </si>
  <si>
    <t>204:232898</t>
  </si>
  <si>
    <t>115-14</t>
  </si>
  <si>
    <t>204:759</t>
  </si>
  <si>
    <t>116-14</t>
  </si>
  <si>
    <t>204:232960</t>
  </si>
  <si>
    <t>204:170</t>
  </si>
  <si>
    <t>117-14</t>
  </si>
  <si>
    <t>204:435</t>
  </si>
  <si>
    <t>118-14</t>
  </si>
  <si>
    <t>119-14</t>
  </si>
  <si>
    <t>120-14</t>
  </si>
  <si>
    <t>204:232987</t>
  </si>
  <si>
    <t>121-14</t>
  </si>
  <si>
    <t>122-14</t>
  </si>
  <si>
    <t>123-14</t>
  </si>
  <si>
    <t>204:721</t>
  </si>
  <si>
    <t>124-14</t>
  </si>
  <si>
    <t>125-14</t>
  </si>
  <si>
    <t>204:411</t>
  </si>
  <si>
    <t>126-14</t>
  </si>
  <si>
    <t>204:232971</t>
  </si>
  <si>
    <t>127-14</t>
  </si>
  <si>
    <t>204:519</t>
  </si>
  <si>
    <t>204:233206</t>
  </si>
  <si>
    <t>128-14</t>
  </si>
  <si>
    <t>204:232891</t>
  </si>
  <si>
    <t>129-14</t>
  </si>
  <si>
    <t>130-14</t>
  </si>
  <si>
    <t>131-14</t>
  </si>
  <si>
    <t>132-14</t>
  </si>
  <si>
    <t>133-14</t>
  </si>
  <si>
    <t>134-14</t>
  </si>
  <si>
    <t>135-14</t>
  </si>
  <si>
    <t>136-14</t>
  </si>
  <si>
    <t>137-14</t>
  </si>
  <si>
    <t>204:233299</t>
  </si>
  <si>
    <t>138-14</t>
  </si>
  <si>
    <t>204:232969</t>
  </si>
  <si>
    <t>139-14</t>
  </si>
  <si>
    <t>140-14</t>
  </si>
  <si>
    <t>204:185</t>
  </si>
  <si>
    <t>141-14</t>
  </si>
  <si>
    <t>142-14</t>
  </si>
  <si>
    <t>143-14</t>
  </si>
  <si>
    <t>144-14</t>
  </si>
  <si>
    <t>204:232989</t>
  </si>
  <si>
    <t>145-14</t>
  </si>
  <si>
    <t>146-14</t>
  </si>
  <si>
    <t>204:141</t>
  </si>
  <si>
    <t>147-14</t>
  </si>
  <si>
    <t>148-14</t>
  </si>
  <si>
    <t>149-14</t>
  </si>
  <si>
    <t>150-14</t>
  </si>
  <si>
    <t>151-14</t>
  </si>
  <si>
    <t>152-14</t>
  </si>
  <si>
    <t>153-14</t>
  </si>
  <si>
    <t>204:233343</t>
  </si>
  <si>
    <t>154-14</t>
  </si>
  <si>
    <t>155-14</t>
  </si>
  <si>
    <t>204:233287</t>
  </si>
  <si>
    <t>156-14</t>
  </si>
  <si>
    <t>204:232970</t>
  </si>
  <si>
    <t>157-14</t>
  </si>
  <si>
    <t>204:233286</t>
  </si>
  <si>
    <t>158-14</t>
  </si>
  <si>
    <t>159-14</t>
  </si>
  <si>
    <t>204:591</t>
  </si>
  <si>
    <t>160-14</t>
  </si>
  <si>
    <t>204:161</t>
  </si>
  <si>
    <t>161-14</t>
  </si>
  <si>
    <t>162-14</t>
  </si>
  <si>
    <t>204:178</t>
  </si>
  <si>
    <t>163-14</t>
  </si>
  <si>
    <t>164-14</t>
  </si>
  <si>
    <t>165-14</t>
  </si>
  <si>
    <t>166-14</t>
  </si>
  <si>
    <t>204:233005</t>
  </si>
  <si>
    <t>204:134</t>
  </si>
  <si>
    <t>167-14</t>
  </si>
  <si>
    <t>204:482</t>
  </si>
  <si>
    <t>168-14</t>
  </si>
  <si>
    <t>204:214</t>
  </si>
  <si>
    <t>169-14</t>
  </si>
  <si>
    <t>170-14</t>
  </si>
  <si>
    <t>204:232973</t>
  </si>
  <si>
    <t>171-14</t>
  </si>
  <si>
    <t>204:233368</t>
  </si>
  <si>
    <t>172-14</t>
  </si>
  <si>
    <t>204:233064</t>
  </si>
  <si>
    <t>173-14</t>
  </si>
  <si>
    <t>174-14</t>
  </si>
  <si>
    <t>175-14</t>
  </si>
  <si>
    <t>176-14</t>
  </si>
  <si>
    <t>177-14</t>
  </si>
  <si>
    <t>204:233309</t>
  </si>
  <si>
    <t>178-14</t>
  </si>
  <si>
    <t>179-14</t>
  </si>
  <si>
    <t>180-14</t>
  </si>
  <si>
    <t>1800-14</t>
  </si>
  <si>
    <t>204:769</t>
  </si>
  <si>
    <t>1801-14</t>
  </si>
  <si>
    <t>204:1027</t>
  </si>
  <si>
    <t>1802-14</t>
  </si>
  <si>
    <t>204:656</t>
  </si>
  <si>
    <t>1803-14</t>
  </si>
  <si>
    <t>204:944</t>
  </si>
  <si>
    <t>300:58933</t>
  </si>
  <si>
    <t>1804-14</t>
  </si>
  <si>
    <t>204:649</t>
  </si>
  <si>
    <t>1805-14</t>
  </si>
  <si>
    <t>204:937</t>
  </si>
  <si>
    <t>1806-14</t>
  </si>
  <si>
    <t>204:663</t>
  </si>
  <si>
    <t>1807-14</t>
  </si>
  <si>
    <t>204:950</t>
  </si>
  <si>
    <t>1808-14</t>
  </si>
  <si>
    <t>300:58613</t>
  </si>
  <si>
    <t>204:685</t>
  </si>
  <si>
    <t>1809-14</t>
  </si>
  <si>
    <t>204:976</t>
  </si>
  <si>
    <t>300:31292</t>
  </si>
  <si>
    <t>181-14</t>
  </si>
  <si>
    <t>204:520</t>
  </si>
  <si>
    <t>1810-14</t>
  </si>
  <si>
    <t>300:58611</t>
  </si>
  <si>
    <t>204:687</t>
  </si>
  <si>
    <t>1811-14</t>
  </si>
  <si>
    <t>204:964</t>
  </si>
  <si>
    <t>300:58928</t>
  </si>
  <si>
    <t>1812-14</t>
  </si>
  <si>
    <t>1813-14</t>
  </si>
  <si>
    <t>300:58924</t>
  </si>
  <si>
    <t>1814-14</t>
  </si>
  <si>
    <t>204:671</t>
  </si>
  <si>
    <t>1815-14</t>
  </si>
  <si>
    <t>204:946</t>
  </si>
  <si>
    <t>300:58929</t>
  </si>
  <si>
    <t>1817-14</t>
  </si>
  <si>
    <t>300:58908</t>
  </si>
  <si>
    <t>1819-14</t>
  </si>
  <si>
    <t>204:1116</t>
  </si>
  <si>
    <t>300:58884</t>
  </si>
  <si>
    <t>182-14</t>
  </si>
  <si>
    <t>204:233009</t>
  </si>
  <si>
    <t>204:180</t>
  </si>
  <si>
    <t>1820-14</t>
  </si>
  <si>
    <t>300:57352</t>
  </si>
  <si>
    <t>300:56348</t>
  </si>
  <si>
    <t>1821-14</t>
  </si>
  <si>
    <t>204:1114</t>
  </si>
  <si>
    <t>300:58907</t>
  </si>
  <si>
    <t>1822-14</t>
  </si>
  <si>
    <t>300:58581</t>
  </si>
  <si>
    <t>300:57781</t>
  </si>
  <si>
    <t>1823-14</t>
  </si>
  <si>
    <t>204:1035</t>
  </si>
  <si>
    <t>300:58027</t>
  </si>
  <si>
    <t>1824-14</t>
  </si>
  <si>
    <t>300:58594</t>
  </si>
  <si>
    <t>204:841</t>
  </si>
  <si>
    <t>1825-14</t>
  </si>
  <si>
    <t>204:1144</t>
  </si>
  <si>
    <t>300:58920</t>
  </si>
  <si>
    <t>1826-14</t>
  </si>
  <si>
    <t>300:58596</t>
  </si>
  <si>
    <t>204:810</t>
  </si>
  <si>
    <t>1827-14</t>
  </si>
  <si>
    <t>204:1112</t>
  </si>
  <si>
    <t>300:58910</t>
  </si>
  <si>
    <t>1828-14</t>
  </si>
  <si>
    <t>300:58587</t>
  </si>
  <si>
    <t>204:834</t>
  </si>
  <si>
    <t>1829-14</t>
  </si>
  <si>
    <t>204:1133</t>
  </si>
  <si>
    <t>300:58916</t>
  </si>
  <si>
    <t>183-14</t>
  </si>
  <si>
    <t>1830-14</t>
  </si>
  <si>
    <t>204:803</t>
  </si>
  <si>
    <t>1831-14</t>
  </si>
  <si>
    <t>204:1097</t>
  </si>
  <si>
    <t>1832-14</t>
  </si>
  <si>
    <t>300:58617</t>
  </si>
  <si>
    <t>204:666</t>
  </si>
  <si>
    <t>1833-14</t>
  </si>
  <si>
    <t>204:958</t>
  </si>
  <si>
    <t>184-14</t>
  </si>
  <si>
    <t>185-14</t>
  </si>
  <si>
    <t>204:427</t>
  </si>
  <si>
    <t>204:233435</t>
  </si>
  <si>
    <t>186-14</t>
  </si>
  <si>
    <t>204:233030</t>
  </si>
  <si>
    <t>187-14</t>
  </si>
  <si>
    <t>188-14</t>
  </si>
  <si>
    <t>204:233006</t>
  </si>
  <si>
    <t>189-14</t>
  </si>
  <si>
    <t>204:473</t>
  </si>
  <si>
    <t>190-14</t>
  </si>
  <si>
    <t>1901-14</t>
  </si>
  <si>
    <t>300:28326</t>
  </si>
  <si>
    <t>300:28687</t>
  </si>
  <si>
    <t>300:29319</t>
  </si>
  <si>
    <t>300:33051</t>
  </si>
  <si>
    <t>1902-14</t>
  </si>
  <si>
    <t>300:21753</t>
  </si>
  <si>
    <t>191-14</t>
  </si>
  <si>
    <t>204:233325</t>
  </si>
  <si>
    <t>192-14</t>
  </si>
  <si>
    <t>193-14</t>
  </si>
  <si>
    <t>204:169176</t>
  </si>
  <si>
    <t>194-14</t>
  </si>
  <si>
    <t>195-14</t>
  </si>
  <si>
    <t>204:233329</t>
  </si>
  <si>
    <t>196-14</t>
  </si>
  <si>
    <t>204:233019</t>
  </si>
  <si>
    <t>204:211</t>
  </si>
  <si>
    <t>197-14</t>
  </si>
  <si>
    <t>198-14</t>
  </si>
  <si>
    <t>199-14</t>
  </si>
  <si>
    <t>204:233383</t>
  </si>
  <si>
    <t>200-14</t>
  </si>
  <si>
    <t>204:233040</t>
  </si>
  <si>
    <t>201-14</t>
  </si>
  <si>
    <t>202-14</t>
  </si>
  <si>
    <t>204:233026</t>
  </si>
  <si>
    <t>203-14</t>
  </si>
  <si>
    <t>204-14</t>
  </si>
  <si>
    <t>204:192</t>
  </si>
  <si>
    <t>205-14</t>
  </si>
  <si>
    <t>204:447</t>
  </si>
  <si>
    <t>206-14</t>
  </si>
  <si>
    <t>207-14</t>
  </si>
  <si>
    <t>208-14</t>
  </si>
  <si>
    <t>204:227</t>
  </si>
  <si>
    <t>209-14</t>
  </si>
  <si>
    <t>204:544</t>
  </si>
  <si>
    <t>210-14</t>
  </si>
  <si>
    <t>204:233053</t>
  </si>
  <si>
    <t>211-14</t>
  </si>
  <si>
    <t>204:1739</t>
  </si>
  <si>
    <t>204:233336</t>
  </si>
  <si>
    <t>212-14</t>
  </si>
  <si>
    <t>204:130</t>
  </si>
  <si>
    <t>213-14</t>
  </si>
  <si>
    <t>204:233311</t>
  </si>
  <si>
    <t>214-14</t>
  </si>
  <si>
    <t>204:232990</t>
  </si>
  <si>
    <t>204:181</t>
  </si>
  <si>
    <t>215-14</t>
  </si>
  <si>
    <t>204:233363</t>
  </si>
  <si>
    <t>216-14</t>
  </si>
  <si>
    <t>217-14</t>
  </si>
  <si>
    <t>204:504</t>
  </si>
  <si>
    <t>218-14</t>
  </si>
  <si>
    <t>219-14</t>
  </si>
  <si>
    <t>204:233208</t>
  </si>
  <si>
    <t>220-14</t>
  </si>
  <si>
    <t>204:232887</t>
  </si>
  <si>
    <t>221-14</t>
  </si>
  <si>
    <t>222-14</t>
  </si>
  <si>
    <t>204:233047</t>
  </si>
  <si>
    <t>204:252</t>
  </si>
  <si>
    <t>223-14</t>
  </si>
  <si>
    <t>204:522</t>
  </si>
  <si>
    <t>224-14</t>
  </si>
  <si>
    <t>225-14</t>
  </si>
  <si>
    <t>204:233332</t>
  </si>
  <si>
    <t>226-14</t>
  </si>
  <si>
    <t>204:233007</t>
  </si>
  <si>
    <t>227-14</t>
  </si>
  <si>
    <t>228-14</t>
  </si>
  <si>
    <t>229-14</t>
  </si>
  <si>
    <t>204:571</t>
  </si>
  <si>
    <t>204:233346</t>
  </si>
  <si>
    <t>230-14</t>
  </si>
  <si>
    <t>204:233028</t>
  </si>
  <si>
    <t>231-14</t>
  </si>
  <si>
    <t>204:233274</t>
  </si>
  <si>
    <t>232-14</t>
  </si>
  <si>
    <t>233-14</t>
  </si>
  <si>
    <t>204:233278</t>
  </si>
  <si>
    <t>234-14</t>
  </si>
  <si>
    <t>235-14</t>
  </si>
  <si>
    <t>204:1650</t>
  </si>
  <si>
    <t>204:1861</t>
  </si>
  <si>
    <t>204:19118</t>
  </si>
  <si>
    <t>236-14</t>
  </si>
  <si>
    <t>204:334</t>
  </si>
  <si>
    <t>237-14</t>
  </si>
  <si>
    <t>238-14</t>
  </si>
  <si>
    <t>239-14</t>
  </si>
  <si>
    <t>204:233324</t>
  </si>
  <si>
    <t>240-14</t>
  </si>
  <si>
    <t>241-14</t>
  </si>
  <si>
    <t>204:64704</t>
  </si>
  <si>
    <t>204:64696</t>
  </si>
  <si>
    <t>204:64698</t>
  </si>
  <si>
    <t>243-14</t>
  </si>
  <si>
    <t>204:128039</t>
  </si>
  <si>
    <t>244-14</t>
  </si>
  <si>
    <t>300:25128</t>
  </si>
  <si>
    <t>300:24582</t>
  </si>
  <si>
    <t>303-14</t>
  </si>
  <si>
    <t>204:528</t>
  </si>
  <si>
    <t>300:20939</t>
  </si>
  <si>
    <t>307-14</t>
  </si>
  <si>
    <t>300:22026</t>
  </si>
  <si>
    <t>311-14</t>
  </si>
  <si>
    <t>300:23302</t>
  </si>
  <si>
    <t>315-14</t>
  </si>
  <si>
    <t>56-14</t>
  </si>
  <si>
    <t>300:21943</t>
  </si>
  <si>
    <t>204:878</t>
  </si>
  <si>
    <t>BALTHROP-14</t>
  </si>
  <si>
    <t>rtdc.l.rtdc.4006:itc</t>
  </si>
  <si>
    <t>rtdc.l.rtdc.4025:itc</t>
  </si>
  <si>
    <t>rtdc.l.rtdc.4016:itc</t>
  </si>
  <si>
    <t>rtdc.l.rtdc.4026:itc</t>
  </si>
  <si>
    <t>STRICKLAND</t>
  </si>
  <si>
    <t>STARKS</t>
  </si>
  <si>
    <t>YOUNG</t>
  </si>
  <si>
    <t>BALTHROP</t>
  </si>
  <si>
    <t>1816-14</t>
  </si>
  <si>
    <t>NATION</t>
  </si>
  <si>
    <t>1818-14</t>
  </si>
  <si>
    <t>COOLAHAN</t>
  </si>
  <si>
    <t>ALONZO</t>
  </si>
  <si>
    <t>COOPER</t>
  </si>
  <si>
    <t>309-14</t>
  </si>
  <si>
    <t>313-14</t>
  </si>
  <si>
    <t>TMDS sent repeated consist updates</t>
  </si>
  <si>
    <t>False occupancy at EC1752RH 167-1T 1N and EC1678RH 161-1T 1N</t>
  </si>
  <si>
    <t>242-14</t>
  </si>
  <si>
    <t>40th 2N premature downgrade</t>
  </si>
  <si>
    <t>Onboard in-route failure</t>
  </si>
  <si>
    <t>Dispatcher sent cutout</t>
  </si>
  <si>
    <t>Form C</t>
  </si>
  <si>
    <t>Early arrival</t>
  </si>
  <si>
    <t>Initialized too close to signal</t>
  </si>
  <si>
    <t>Overspeed</t>
  </si>
  <si>
    <t>40th 4S was STOP, signal cleared a minute later</t>
  </si>
  <si>
    <t>Pena 4S was STOP, signal cleared a minute later</t>
  </si>
  <si>
    <t>Wi-MAX outage</t>
  </si>
  <si>
    <t>DIA 4S was STOP, signal cleared a minute later</t>
  </si>
  <si>
    <t>Premature downgrade at NW0376RH 35-1T 1N and NW0333RH 31-1T 1N</t>
  </si>
  <si>
    <t>Premature downgrade at EC1752RH 167-1T 1N and EC1678RH 161-1T 1N</t>
  </si>
  <si>
    <t>Partial but completed trip, turned around at MP 6.4</t>
  </si>
  <si>
    <t>Annulled due to 241-14 being turned around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</si>
</sst>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" fontId="0" fillId="0" borderId="5" xfId="0" quotePrefix="1" applyNumberFormat="1" applyFill="1" applyBorder="1" applyAlignment="1">
      <alignment horizontal="left"/>
    </xf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12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201"/>
  <sheetViews>
    <sheetView tabSelected="1" topLeftCell="A160" zoomScaleNormal="100" workbookViewId="0">
      <selection activeCell="AF180" sqref="AF180"/>
    </sheetView>
  </sheetViews>
  <sheetFormatPr defaultRowHeight="15" x14ac:dyDescent="0.25"/>
  <cols>
    <col min="1" max="1" width="8" style="42" customWidth="1"/>
    <col min="2" max="2" width="6.140625" style="44" customWidth="1"/>
    <col min="3" max="3" width="13.5703125" style="31" hidden="1" customWidth="1"/>
    <col min="4" max="4" width="16.140625" style="31" hidden="1" customWidth="1"/>
    <col min="5" max="5" width="19.5703125" style="41" hidden="1" customWidth="1"/>
    <col min="6" max="6" width="18.28515625" style="41" customWidth="1"/>
    <col min="7" max="7" width="4.85546875" style="44" hidden="1" customWidth="1"/>
    <col min="8" max="8" width="22.140625" style="41" hidden="1" customWidth="1"/>
    <col min="9" max="9" width="18.5703125" style="41" customWidth="1"/>
    <col min="10" max="10" width="7.28515625" style="44" customWidth="1"/>
    <col min="11" max="11" width="10.42578125" style="31" customWidth="1"/>
    <col min="12" max="12" width="13.28515625" style="31" customWidth="1"/>
    <col min="13" max="13" width="9.5703125" style="43" customWidth="1"/>
    <col min="14" max="14" width="4.7109375" style="44" customWidth="1"/>
    <col min="15" max="15" width="4.7109375" style="2" customWidth="1"/>
    <col min="16" max="16" width="4" style="2" customWidth="1"/>
    <col min="17" max="17" width="5.85546875" hidden="1" customWidth="1"/>
    <col min="18" max="18" width="47" customWidth="1"/>
    <col min="19" max="19" width="7.7109375" style="24" customWidth="1"/>
    <col min="20" max="20" width="3.85546875" customWidth="1"/>
    <col min="21" max="21" width="5" style="123" customWidth="1"/>
    <col min="22" max="22" width="5.7109375" style="109" customWidth="1"/>
    <col min="23" max="23" width="3.85546875" style="23" customWidth="1"/>
    <col min="24" max="24" width="5.28515625" style="127" customWidth="1"/>
    <col min="25" max="25" width="9.140625" style="68"/>
    <col min="26" max="26" width="7.28515625" style="68" customWidth="1"/>
    <col min="27" max="27" width="9.140625" style="68"/>
    <col min="28" max="28" width="10.7109375" style="65" hidden="1" customWidth="1"/>
    <col min="29" max="29" width="9.42578125" style="59" hidden="1" customWidth="1"/>
    <col min="30" max="30" width="7.85546875" style="60" customWidth="1"/>
    <col min="31" max="31" width="4.5703125" style="102" customWidth="1"/>
    <col min="32" max="32" width="6.28515625" style="99" customWidth="1"/>
    <col min="33" max="33" width="10" bestFit="1" customWidth="1"/>
    <col min="34" max="34" width="5" style="105" customWidth="1"/>
  </cols>
  <sheetData>
    <row r="1" spans="1:91" s="24" customFormat="1" ht="15.75" thickBot="1" x14ac:dyDescent="0.3">
      <c r="A1" s="42"/>
      <c r="B1" s="44"/>
      <c r="C1" s="31"/>
      <c r="D1" s="31"/>
      <c r="E1" s="41"/>
      <c r="F1" s="41"/>
      <c r="G1" s="44"/>
      <c r="H1" s="41"/>
      <c r="I1" s="41" t="s">
        <v>130</v>
      </c>
      <c r="J1" s="44"/>
      <c r="K1" s="31"/>
      <c r="L1" s="31"/>
      <c r="M1" s="43"/>
      <c r="N1" s="44"/>
      <c r="O1" s="2"/>
      <c r="P1" s="2"/>
      <c r="R1" s="41" t="s">
        <v>131</v>
      </c>
      <c r="S1" s="44"/>
      <c r="T1" s="31"/>
      <c r="U1" s="130"/>
      <c r="V1" s="43"/>
      <c r="W1" s="44"/>
      <c r="X1" s="123"/>
      <c r="Y1" s="68"/>
      <c r="Z1" s="68"/>
      <c r="AA1" s="68"/>
      <c r="AB1" s="65"/>
      <c r="AC1" s="59"/>
      <c r="AD1" s="60"/>
      <c r="AE1" s="1"/>
      <c r="AF1" s="1"/>
      <c r="AG1" s="1"/>
      <c r="AH1" s="56"/>
    </row>
    <row r="2" spans="1:91" s="24" customFormat="1" ht="15.75" thickBot="1" x14ac:dyDescent="0.3">
      <c r="A2" s="42"/>
      <c r="B2" s="44"/>
      <c r="C2" s="31"/>
      <c r="D2" s="31"/>
      <c r="E2" s="41"/>
      <c r="F2" s="41"/>
      <c r="G2" s="44"/>
      <c r="H2" s="41"/>
      <c r="I2" s="83">
        <f>Variables!$A$2</f>
        <v>42596</v>
      </c>
      <c r="J2" s="84"/>
      <c r="K2" s="85"/>
      <c r="L2" s="85"/>
      <c r="M2" s="86" t="s">
        <v>8</v>
      </c>
      <c r="N2" s="87"/>
      <c r="O2" s="88"/>
      <c r="P2" s="2"/>
      <c r="R2" s="83">
        <f>Variables!$A$2</f>
        <v>42596</v>
      </c>
      <c r="S2" s="84"/>
      <c r="T2" s="85"/>
      <c r="U2" s="131"/>
      <c r="V2" s="107" t="s">
        <v>8</v>
      </c>
      <c r="W2" s="87"/>
      <c r="X2" s="124"/>
      <c r="Y2" s="68"/>
      <c r="Z2" s="68"/>
      <c r="AA2" s="68"/>
      <c r="AB2" s="65"/>
      <c r="AC2" s="59"/>
      <c r="AD2" s="60"/>
      <c r="AE2" s="1"/>
      <c r="AF2" s="1"/>
      <c r="AG2" s="1"/>
      <c r="AH2" s="56"/>
    </row>
    <row r="3" spans="1:91" s="24" customFormat="1" ht="15.75" thickBot="1" x14ac:dyDescent="0.3">
      <c r="A3" s="42"/>
      <c r="B3" s="44"/>
      <c r="C3" s="31"/>
      <c r="D3" s="31"/>
      <c r="E3" s="41"/>
      <c r="F3" s="41"/>
      <c r="G3" s="44"/>
      <c r="H3" s="41"/>
      <c r="I3" s="89" t="s">
        <v>10</v>
      </c>
      <c r="J3" s="90"/>
      <c r="K3" s="91"/>
      <c r="L3" s="91"/>
      <c r="M3" s="45" t="s">
        <v>11</v>
      </c>
      <c r="N3" s="46" t="s">
        <v>12</v>
      </c>
      <c r="O3" s="3" t="s">
        <v>13</v>
      </c>
      <c r="P3" s="2"/>
      <c r="R3" s="89" t="s">
        <v>10</v>
      </c>
      <c r="S3" s="90"/>
      <c r="T3" s="91"/>
      <c r="U3" s="132"/>
      <c r="V3" s="45" t="s">
        <v>11</v>
      </c>
      <c r="W3" s="46" t="s">
        <v>12</v>
      </c>
      <c r="X3" s="125" t="s">
        <v>13</v>
      </c>
      <c r="Y3" s="68"/>
      <c r="Z3" s="68"/>
      <c r="AA3" s="68"/>
      <c r="AB3" s="65"/>
      <c r="AC3" s="59"/>
      <c r="AD3" s="60"/>
      <c r="AE3" s="1"/>
      <c r="AF3" s="1"/>
      <c r="AG3" s="1"/>
      <c r="AH3" s="56"/>
    </row>
    <row r="4" spans="1:91" s="24" customFormat="1" ht="15.75" thickBot="1" x14ac:dyDescent="0.3">
      <c r="A4" s="42"/>
      <c r="B4" s="44"/>
      <c r="C4" s="31"/>
      <c r="D4" s="31"/>
      <c r="E4" s="41"/>
      <c r="F4" s="41"/>
      <c r="G4" s="44"/>
      <c r="H4" s="41"/>
      <c r="I4" s="92" t="s">
        <v>14</v>
      </c>
      <c r="J4" s="58">
        <f>SUM(J5:J7)</f>
        <v>143</v>
      </c>
      <c r="K4" s="47"/>
      <c r="L4" s="47"/>
      <c r="M4" s="48" t="s">
        <v>15</v>
      </c>
      <c r="N4" s="46" t="s">
        <v>15</v>
      </c>
      <c r="O4" s="3" t="s">
        <v>15</v>
      </c>
      <c r="P4" s="2"/>
      <c r="R4" s="92" t="s">
        <v>14</v>
      </c>
      <c r="S4" s="58">
        <f>SUM(S5:S7)</f>
        <v>34</v>
      </c>
      <c r="T4" s="47"/>
      <c r="U4" s="133"/>
      <c r="V4" s="48" t="s">
        <v>15</v>
      </c>
      <c r="W4" s="46" t="s">
        <v>15</v>
      </c>
      <c r="X4" s="125" t="s">
        <v>15</v>
      </c>
      <c r="Y4" s="68"/>
      <c r="Z4" s="68"/>
      <c r="AA4" s="68"/>
      <c r="AB4" s="65"/>
      <c r="AC4" s="59"/>
      <c r="AD4" s="60"/>
      <c r="AE4" s="1"/>
      <c r="AF4" s="1"/>
      <c r="AG4" s="1"/>
      <c r="AH4" s="56"/>
    </row>
    <row r="5" spans="1:91" s="24" customFormat="1" ht="15.75" thickBot="1" x14ac:dyDescent="0.3">
      <c r="A5" s="42"/>
      <c r="B5" s="44"/>
      <c r="C5" s="31"/>
      <c r="D5" s="31"/>
      <c r="E5" s="41"/>
      <c r="F5" s="41"/>
      <c r="G5" s="44"/>
      <c r="H5" s="41"/>
      <c r="I5" s="92" t="s">
        <v>17</v>
      </c>
      <c r="J5" s="58">
        <f>COUNTIFS($N$13:$N$9377,"&gt;0",$AG$13:$AG$9377,I1)</f>
        <v>139</v>
      </c>
      <c r="K5" s="47"/>
      <c r="L5" s="47"/>
      <c r="M5" s="48">
        <f>AVERAGEIFS($N$13:$N$9377,$AG$13:$AG$9377,I1)</f>
        <v>44.79628297378872</v>
      </c>
      <c r="N5" s="46">
        <f t="array" ref="N5">MIN(IF($AG$13:$AG$9377=I1,IF(ISNUMBER($N$13:$N$9377),IF($N$13:$N$9377&gt;0,$N$13:$N$9377))))</f>
        <v>23.199999985517934</v>
      </c>
      <c r="O5" s="3">
        <f t="array" ref="O5">MAX(IF($AG$13:$AG$9377=I1,IF(ISNUMBER($N$13:$N$9377),IF($N$13:$N$9377&gt;0,$N$13:$N$9377))))</f>
        <v>69.850000004516914</v>
      </c>
      <c r="P5" s="2"/>
      <c r="R5" s="92" t="s">
        <v>17</v>
      </c>
      <c r="S5" s="58">
        <f>COUNTIFS($N$13:$N$9377,"&gt;0",$AG$13:$AG$9377,R1)</f>
        <v>30</v>
      </c>
      <c r="T5" s="47"/>
      <c r="U5" s="133"/>
      <c r="V5" s="48">
        <f>AVERAGEIFS($N$13:$N$9377,$AG$13:$AG$9377,R1)</f>
        <v>19.919444445054978</v>
      </c>
      <c r="W5" s="46">
        <f t="array" ref="W5">MIN(IF($AG$13:$AG$9377=R1,IF(ISNUMBER($N$13:$N$9377),IF($N$13:$N$9377&gt;0,$N$13:$N$9377))))</f>
        <v>13.383333339588717</v>
      </c>
      <c r="X5" s="125">
        <f t="array" ref="X5">MAX(IF($AG$13:$AG$9377=R1,IF(ISNUMBER($N$13:$N$9377),IF($N$13:$N$9377&gt;0,$N$13:$N$9377))))</f>
        <v>31.149999999906868</v>
      </c>
      <c r="Y5" s="68"/>
      <c r="Z5" s="68"/>
      <c r="AA5" s="68"/>
      <c r="AB5" s="65"/>
      <c r="AC5" s="59"/>
      <c r="AD5" s="60"/>
      <c r="AE5" s="1"/>
      <c r="AF5" s="1"/>
      <c r="AG5" s="1"/>
      <c r="AH5" s="56"/>
    </row>
    <row r="6" spans="1:91" s="24" customFormat="1" ht="15.75" thickBot="1" x14ac:dyDescent="0.3">
      <c r="A6" s="42"/>
      <c r="B6" s="44"/>
      <c r="C6" s="31"/>
      <c r="D6" s="31"/>
      <c r="E6" s="41"/>
      <c r="F6" s="41"/>
      <c r="G6" s="44"/>
      <c r="H6" s="41"/>
      <c r="I6" s="93" t="s">
        <v>43</v>
      </c>
      <c r="J6" s="58">
        <f>COUNT($O$13:$O$123)</f>
        <v>0</v>
      </c>
      <c r="K6" s="47"/>
      <c r="L6" s="47"/>
      <c r="M6" s="48">
        <f>IFERROR(AVERAGE($O$13:$O$123),0)</f>
        <v>0</v>
      </c>
      <c r="N6" s="46">
        <f>MIN($O$13:$O$123)</f>
        <v>0</v>
      </c>
      <c r="O6" s="3">
        <f>MAX($O$13:$O$123)</f>
        <v>0</v>
      </c>
      <c r="P6" s="2"/>
      <c r="R6" s="93" t="s">
        <v>43</v>
      </c>
      <c r="S6" s="58">
        <f>COUNT($O$13:$O$123)</f>
        <v>0</v>
      </c>
      <c r="T6" s="47"/>
      <c r="U6" s="133"/>
      <c r="V6" s="48">
        <f>IFERROR(AVERAGE($O$13:$O$123),0)</f>
        <v>0</v>
      </c>
      <c r="W6" s="46">
        <f>MIN($O$13:$O$123)</f>
        <v>0</v>
      </c>
      <c r="X6" s="125">
        <f>MAX($O$13:$O$123)</f>
        <v>0</v>
      </c>
      <c r="Y6" s="68"/>
      <c r="Z6" s="68"/>
      <c r="AA6" s="68"/>
      <c r="AB6" s="65"/>
      <c r="AC6" s="59"/>
      <c r="AD6" s="60"/>
      <c r="AE6" s="1"/>
      <c r="AF6" s="1"/>
      <c r="AG6" s="1"/>
      <c r="AH6" s="56"/>
    </row>
    <row r="7" spans="1:91" s="24" customFormat="1" ht="15.75" thickBot="1" x14ac:dyDescent="0.3">
      <c r="A7" s="42"/>
      <c r="B7" s="44"/>
      <c r="C7" s="31"/>
      <c r="D7" s="31"/>
      <c r="E7" s="41"/>
      <c r="F7" s="41"/>
      <c r="G7" s="44"/>
      <c r="H7" s="41"/>
      <c r="I7" s="94" t="s">
        <v>9</v>
      </c>
      <c r="J7" s="58">
        <f>COUNTIFS($P$13:$P$9377,"&gt;0",$AG$13:$AG$9377,I1)</f>
        <v>4</v>
      </c>
      <c r="K7" s="47"/>
      <c r="L7" s="47"/>
      <c r="M7" s="46" t="s">
        <v>15</v>
      </c>
      <c r="N7" s="46" t="s">
        <v>15</v>
      </c>
      <c r="O7" s="3" t="s">
        <v>15</v>
      </c>
      <c r="P7" s="2"/>
      <c r="R7" s="94" t="s">
        <v>9</v>
      </c>
      <c r="S7" s="58">
        <f>COUNTIFS($P$13:$P$9377,"&gt;0",$AG$13:$AG$9377,R1)</f>
        <v>4</v>
      </c>
      <c r="T7" s="47"/>
      <c r="U7" s="133"/>
      <c r="V7" s="48" t="s">
        <v>15</v>
      </c>
      <c r="W7" s="46" t="s">
        <v>15</v>
      </c>
      <c r="X7" s="125" t="s">
        <v>15</v>
      </c>
      <c r="Y7" s="68"/>
      <c r="Z7" s="68"/>
      <c r="AA7" s="68"/>
      <c r="AB7" s="65"/>
      <c r="AC7" s="59"/>
      <c r="AD7" s="60"/>
      <c r="AE7" s="1"/>
      <c r="AF7" s="1"/>
      <c r="AG7" s="1"/>
      <c r="AH7" s="56"/>
    </row>
    <row r="8" spans="1:91" s="24" customFormat="1" ht="15.75" thickBot="1" x14ac:dyDescent="0.3">
      <c r="A8" s="42"/>
      <c r="B8" s="44"/>
      <c r="C8" s="31"/>
      <c r="D8" s="31"/>
      <c r="E8" s="41"/>
      <c r="F8" s="41"/>
      <c r="G8" s="44"/>
      <c r="H8" s="41"/>
      <c r="I8" s="92" t="s">
        <v>16</v>
      </c>
      <c r="J8" s="58">
        <f>J5</f>
        <v>139</v>
      </c>
      <c r="K8" s="47"/>
      <c r="L8" s="47"/>
      <c r="M8" s="48">
        <f>M5</f>
        <v>44.79628297378872</v>
      </c>
      <c r="N8" s="46">
        <f>N5</f>
        <v>23.199999985517934</v>
      </c>
      <c r="O8" s="3">
        <f>O5</f>
        <v>69.850000004516914</v>
      </c>
      <c r="P8" s="2"/>
      <c r="R8" s="92" t="s">
        <v>16</v>
      </c>
      <c r="S8" s="58">
        <f>S5</f>
        <v>30</v>
      </c>
      <c r="T8" s="47"/>
      <c r="U8" s="133"/>
      <c r="V8" s="48">
        <f>V5</f>
        <v>19.919444445054978</v>
      </c>
      <c r="W8" s="46">
        <f>W5</f>
        <v>13.383333339588717</v>
      </c>
      <c r="X8" s="125">
        <f>X5</f>
        <v>31.149999999906868</v>
      </c>
      <c r="Y8" s="68"/>
      <c r="Z8" s="68"/>
      <c r="AA8" s="68"/>
      <c r="AB8" s="65"/>
      <c r="AC8" s="59"/>
      <c r="AD8" s="60"/>
      <c r="AE8" s="1"/>
      <c r="AF8" s="1"/>
      <c r="AG8" s="1"/>
      <c r="AH8" s="56"/>
    </row>
    <row r="9" spans="1:91" s="24" customFormat="1" ht="15.75" thickBot="1" x14ac:dyDescent="0.3">
      <c r="A9" s="42"/>
      <c r="B9" s="44"/>
      <c r="C9" s="31"/>
      <c r="D9" s="31"/>
      <c r="E9" s="41"/>
      <c r="F9" s="41"/>
      <c r="G9" s="44"/>
      <c r="H9" s="41"/>
      <c r="I9" s="92" t="s">
        <v>19</v>
      </c>
      <c r="J9" s="72">
        <f>J8/J4</f>
        <v>0.97202797202797198</v>
      </c>
      <c r="K9" s="49"/>
      <c r="L9" s="49"/>
      <c r="M9" s="95"/>
      <c r="N9" s="44"/>
      <c r="O9" s="96"/>
      <c r="P9" s="2"/>
      <c r="R9" s="92" t="s">
        <v>19</v>
      </c>
      <c r="S9" s="72">
        <f>S8/S4</f>
        <v>0.88235294117647056</v>
      </c>
      <c r="T9" s="49"/>
      <c r="U9" s="130"/>
      <c r="V9" s="95"/>
      <c r="W9" s="44"/>
      <c r="X9" s="126"/>
      <c r="Y9" s="68"/>
      <c r="Z9" s="68"/>
      <c r="AA9" s="68"/>
      <c r="AB9" s="65"/>
      <c r="AC9" s="59"/>
      <c r="AD9" s="60"/>
      <c r="AE9" s="1"/>
      <c r="AF9" s="1"/>
      <c r="AG9" s="1"/>
      <c r="AH9" s="56"/>
    </row>
    <row r="10" spans="1:91" s="24" customFormat="1" x14ac:dyDescent="0.25">
      <c r="A10" s="42"/>
      <c r="B10" s="44"/>
      <c r="C10" s="31"/>
      <c r="D10" s="31"/>
      <c r="E10" s="41"/>
      <c r="F10" s="41"/>
      <c r="G10" s="44"/>
      <c r="H10" s="41"/>
      <c r="I10" s="41"/>
      <c r="J10" s="44"/>
      <c r="K10" s="31"/>
      <c r="L10" s="31"/>
      <c r="M10" s="43"/>
      <c r="N10" s="44"/>
      <c r="O10" s="2"/>
      <c r="P10" s="2"/>
      <c r="U10" s="123"/>
      <c r="V10" s="108"/>
      <c r="W10" s="23"/>
      <c r="X10" s="127"/>
      <c r="Y10" s="68"/>
      <c r="Z10" s="68"/>
      <c r="AA10" s="68"/>
      <c r="AB10" s="65"/>
      <c r="AC10" s="59"/>
      <c r="AD10" s="60"/>
      <c r="AE10" s="1"/>
      <c r="AF10" s="1"/>
      <c r="AG10" s="1"/>
      <c r="AH10" s="56"/>
    </row>
    <row r="11" spans="1:91" ht="16.5" thickBot="1" x14ac:dyDescent="0.3">
      <c r="A11" s="151" t="str">
        <f>"Eagle P3 System Performance - "&amp;TEXT(Variables!A2,"yyyy-mm-dd")</f>
        <v>Eagle P3 System Performance - 2016-08-14</v>
      </c>
      <c r="B11" s="15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S11" s="76">
        <f>AVERAGE(S13:S78)</f>
        <v>1</v>
      </c>
      <c r="V11" s="108"/>
      <c r="AE11" s="1"/>
      <c r="AF11" s="1"/>
      <c r="AG11" s="1"/>
      <c r="AH11" s="56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98" t="s">
        <v>60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72</v>
      </c>
      <c r="T12" s="57" t="s">
        <v>73</v>
      </c>
      <c r="U12" s="134" t="s">
        <v>74</v>
      </c>
      <c r="V12" s="110" t="s">
        <v>45</v>
      </c>
      <c r="W12" s="54" t="s">
        <v>23</v>
      </c>
      <c r="X12" s="128" t="s">
        <v>48</v>
      </c>
      <c r="Y12" s="69" t="s">
        <v>20</v>
      </c>
      <c r="Z12" s="69" t="s">
        <v>21</v>
      </c>
      <c r="AA12" s="69" t="s">
        <v>22</v>
      </c>
      <c r="AB12" s="66" t="s">
        <v>39</v>
      </c>
      <c r="AC12" s="62" t="s">
        <v>40</v>
      </c>
      <c r="AD12" s="61" t="s">
        <v>98</v>
      </c>
      <c r="AE12" s="103" t="s">
        <v>105</v>
      </c>
      <c r="AF12" s="100" t="s">
        <v>110</v>
      </c>
      <c r="AG12" s="4" t="s">
        <v>132</v>
      </c>
      <c r="AH12" s="106" t="s">
        <v>137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0" t="s">
        <v>309</v>
      </c>
      <c r="B13" s="7">
        <v>4025</v>
      </c>
      <c r="C13" s="25" t="s">
        <v>120</v>
      </c>
      <c r="D13" s="25" t="s">
        <v>266</v>
      </c>
      <c r="E13" s="16">
        <v>42596.126423611109</v>
      </c>
      <c r="F13" s="16">
        <v>42596.128194444442</v>
      </c>
      <c r="G13" s="7">
        <v>2</v>
      </c>
      <c r="H13" s="16" t="s">
        <v>118</v>
      </c>
      <c r="I13" s="16">
        <v>42596.161099537036</v>
      </c>
      <c r="J13" s="7">
        <v>0</v>
      </c>
      <c r="K13" s="143" t="str">
        <f t="shared" ref="K13:K44" si="0">IF(ISEVEN(B13),(B13-1)&amp;"/"&amp;B13,B13&amp;"/"&amp;(B13+1))</f>
        <v>4025/4026</v>
      </c>
      <c r="L13" s="25" t="str">
        <f>VLOOKUP(A13,'Trips&amp;Operators'!$C$1:$E$10000,3,FALSE)</f>
        <v>KILLION</v>
      </c>
      <c r="M13" s="6">
        <f t="shared" ref="M13:M44" si="1">I13-F13</f>
        <v>3.2905092593864538E-2</v>
      </c>
      <c r="N13" s="7">
        <f t="shared" ref="N13:N23" si="2">24*60*SUM($M13:$M13)</f>
        <v>47.383333335164934</v>
      </c>
      <c r="O13" s="7"/>
      <c r="P13" s="7"/>
      <c r="Q13" s="26"/>
      <c r="R13" s="26"/>
      <c r="S13" s="38">
        <f t="shared" ref="S13:S44" si="3">SUM(U13:U13)/IF(AG13="EC",12,1)</f>
        <v>1</v>
      </c>
      <c r="T13" s="53" t="str">
        <f t="shared" ref="T13:T44" si="4">IF(ISEVEN(LEFT(AD13,4)),"Southbound","NorthBound")</f>
        <v>NorthBound</v>
      </c>
      <c r="U13" s="13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1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https://search-rtdc-monitor-bjffxe2xuh6vdkpspy63sjmuny.us-east-1.es.amazonaws.com/_plugin/kibana/#/discover/Steve-Slow-Train-Analysis-(2080s-and-2083s)?_g=(refreshInterval:(display:Off,section:0,value:0),time:(from:'2016-08-14 02:02:03-0600',mode:absolute,to:'2016-08-14 04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3" s="55" t="str">
        <f t="shared" ref="W13:W44" si="6">IF(AA13&lt;IF(AG13="EC",23,5.65),"Y","N")</f>
        <v>N</v>
      </c>
      <c r="X13" s="129" t="e">
        <f t="shared" ref="X13:X44" si="7">VALUE(LEFT(AD13,4))-VALUE(LEFT(AD12,4))</f>
        <v>#VALUE!</v>
      </c>
      <c r="Y13" s="70">
        <f t="shared" ref="Y13:Y44" si="8">RIGHT(D13,LEN(D13)-4)/10000</f>
        <v>7.6600000000000001E-2</v>
      </c>
      <c r="Z13" s="70">
        <f t="shared" ref="Z13:Z44" si="9">RIGHT(H13,LEN(H13)-4)/10000</f>
        <v>23.3293</v>
      </c>
      <c r="AA13" s="70">
        <f t="shared" ref="AA13:AA44" si="10">ABS(Z13-Y13)</f>
        <v>23.252700000000001</v>
      </c>
      <c r="AB13" s="67" t="e">
        <f>VLOOKUP(A13,Enforcements!$C$7:$J$24,8,0)</f>
        <v>#N/A</v>
      </c>
      <c r="AC13" s="63" t="e">
        <f>VLOOKUP(A13,Enforcements!$C$7:$E$24,3,0)</f>
        <v>#N/A</v>
      </c>
      <c r="AD13" s="64" t="str">
        <f t="shared" ref="AD13:AD44" si="11">IF(LEN(A13)=6,"0"&amp;A13,A13)</f>
        <v>0101-14</v>
      </c>
      <c r="AE13" s="104" t="str">
        <f t="shared" ref="AE13:AE44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</c>
      <c r="AF13" s="101" t="str">
        <f t="shared" ref="AF13:AF44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/stypes="*4025*20160814*" /stext=" 09:.+((SYSTEM_STATE.+slice.+state.+changed )|(ment ac)|(system.+state.+changed )|(\|lc)|(penalty)|(\[timeout)|(PRM\|1\|D)|(kpr)|(kdp))" /e /r /s</v>
      </c>
      <c r="AG13" s="1" t="str">
        <f t="shared" ref="AG13:AG44" si="14">IF(VALUE(LEFT(AD13,2))&lt;=2,"EC",IF(OR(VALUE(LEFT(AD13,2))=8,VALUE(LEFT(AD13,2))=18),"NW","Other"))</f>
        <v>EC</v>
      </c>
      <c r="AH13" s="105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101-14 --locoid 4025 --swversion DE.1.0.7.0 --startMP 204:766 --initTime 2016-08-14T03:02:03 --startdatetime 2016-08-14T03:04:36 --delay 2 --endMP 204:233293 --enddatetime 2016-08-14T03:51:59 --enforcementcount 0</v>
      </c>
    </row>
    <row r="14" spans="1:91" s="1" customFormat="1" x14ac:dyDescent="0.25">
      <c r="A14" s="40" t="s">
        <v>310</v>
      </c>
      <c r="B14" s="7">
        <v>4013</v>
      </c>
      <c r="C14" s="25" t="s">
        <v>120</v>
      </c>
      <c r="D14" s="25" t="s">
        <v>311</v>
      </c>
      <c r="E14" s="16">
        <v>42596.167222222219</v>
      </c>
      <c r="F14" s="16">
        <v>42596.168078703704</v>
      </c>
      <c r="G14" s="7">
        <v>1</v>
      </c>
      <c r="H14" s="16" t="s">
        <v>141</v>
      </c>
      <c r="I14" s="16">
        <v>42596.202673611115</v>
      </c>
      <c r="J14" s="7">
        <v>0</v>
      </c>
      <c r="K14" s="143" t="str">
        <f t="shared" si="0"/>
        <v>4013/4014</v>
      </c>
      <c r="L14" s="25" t="str">
        <f>VLOOKUP(A14,'Trips&amp;Operators'!$C$1:$E$10000,3,FALSE)</f>
        <v>KILLION</v>
      </c>
      <c r="M14" s="6">
        <f t="shared" si="1"/>
        <v>3.4594907410792075E-2</v>
      </c>
      <c r="N14" s="7">
        <f t="shared" si="2"/>
        <v>49.816666671540588</v>
      </c>
      <c r="O14" s="7"/>
      <c r="P14" s="7"/>
      <c r="Q14" s="26"/>
      <c r="R14" s="26"/>
      <c r="S14" s="38">
        <f t="shared" si="3"/>
        <v>1</v>
      </c>
      <c r="T14" s="53" t="str">
        <f t="shared" si="4"/>
        <v>Southbound</v>
      </c>
      <c r="U14" s="13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03:00:48-0600',mode:absolute,to:'2016-08-14 05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4" s="55" t="str">
        <f t="shared" si="6"/>
        <v>N</v>
      </c>
      <c r="X14" s="129">
        <f t="shared" si="7"/>
        <v>1</v>
      </c>
      <c r="Y14" s="70">
        <f t="shared" si="8"/>
        <v>23.265000000000001</v>
      </c>
      <c r="Z14" s="70">
        <f t="shared" si="9"/>
        <v>1.5800000000000002E-2</v>
      </c>
      <c r="AA14" s="70">
        <f t="shared" si="10"/>
        <v>23.249200000000002</v>
      </c>
      <c r="AB14" s="67" t="e">
        <f>VLOOKUP(A14,Enforcements!$C$7:$J$24,8,0)</f>
        <v>#N/A</v>
      </c>
      <c r="AC14" s="63" t="e">
        <f>VLOOKUP(A14,Enforcements!$C$7:$E$24,3,0)</f>
        <v>#N/A</v>
      </c>
      <c r="AD14" s="64" t="str">
        <f t="shared" si="11"/>
        <v>0102-14</v>
      </c>
      <c r="AE14" s="104" t="str">
        <f t="shared" si="12"/>
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</c>
      <c r="AF14" s="101" t="str">
        <f t="shared" si="13"/>
        <v>"C:\Program Files (x86)\AstroGrep\AstroGrep.exe" /spath="%USERPROFILE%\AppData\Local\Temp\OnboardLogs" /stypes="*4013*20160814*"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5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102-14 --locoid 4013 --swversion DE.1.0.7.0 --startMP 204:232650 --initTime 2016-08-14T04:00:48 --startdatetime 2016-08-14T04:02:02 --delay 1 --endMP 204:158 --enddatetime 2016-08-14T04:51:51 --enforcementcount 0</v>
      </c>
    </row>
    <row r="15" spans="1:91" s="1" customFormat="1" x14ac:dyDescent="0.25">
      <c r="A15" s="40" t="s">
        <v>312</v>
      </c>
      <c r="B15" s="7">
        <v>4029</v>
      </c>
      <c r="C15" s="25" t="s">
        <v>120</v>
      </c>
      <c r="D15" s="25" t="s">
        <v>287</v>
      </c>
      <c r="E15" s="16">
        <v>42596.151377314818</v>
      </c>
      <c r="F15" s="16">
        <v>42596.152499999997</v>
      </c>
      <c r="G15" s="7">
        <v>1</v>
      </c>
      <c r="H15" s="16" t="s">
        <v>313</v>
      </c>
      <c r="I15" s="16">
        <v>42596.183425925927</v>
      </c>
      <c r="J15" s="7">
        <v>0</v>
      </c>
      <c r="K15" s="143" t="str">
        <f t="shared" si="0"/>
        <v>4029/4030</v>
      </c>
      <c r="L15" s="25" t="str">
        <f>VLOOKUP(A15,'Trips&amp;Operators'!$C$1:$E$10000,3,FALSE)</f>
        <v>ACKERMAN</v>
      </c>
      <c r="M15" s="6">
        <f t="shared" si="1"/>
        <v>3.0925925930205267E-2</v>
      </c>
      <c r="N15" s="7">
        <f t="shared" si="2"/>
        <v>44.533333339495584</v>
      </c>
      <c r="O15" s="7"/>
      <c r="P15" s="7"/>
      <c r="Q15" s="26"/>
      <c r="R15" s="26"/>
      <c r="S15" s="38">
        <f t="shared" si="3"/>
        <v>1</v>
      </c>
      <c r="T15" s="53" t="str">
        <f t="shared" si="4"/>
        <v>NorthBound</v>
      </c>
      <c r="U15" s="13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02:37:59-0600',mode:absolute,to:'2016-08-14 05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5" s="55" t="str">
        <f t="shared" si="6"/>
        <v>N</v>
      </c>
      <c r="X15" s="129">
        <f t="shared" si="7"/>
        <v>1</v>
      </c>
      <c r="Y15" s="70">
        <f t="shared" si="8"/>
        <v>6.5000000000000002E-2</v>
      </c>
      <c r="Z15" s="70">
        <f t="shared" si="9"/>
        <v>23.3414</v>
      </c>
      <c r="AA15" s="70">
        <f t="shared" si="10"/>
        <v>23.276399999999999</v>
      </c>
      <c r="AB15" s="67" t="e">
        <f>VLOOKUP(A15,Enforcements!$C$7:$J$24,8,0)</f>
        <v>#N/A</v>
      </c>
      <c r="AC15" s="63" t="e">
        <f>VLOOKUP(A15,Enforcements!$C$7:$E$24,3,0)</f>
        <v>#N/A</v>
      </c>
      <c r="AD15" s="64" t="str">
        <f t="shared" si="11"/>
        <v>0103-14</v>
      </c>
      <c r="AE15" s="104" t="str">
        <f t="shared" si="12"/>
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</c>
      <c r="AF15" s="101" t="str">
        <f t="shared" si="13"/>
        <v>"C:\Program Files (x86)\AstroGrep\AstroGrep.exe" /spath="%USERPROFILE%\AppData\Local\Temp\OnboardLogs" /stypes="*4029*20160814*"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5" t="str">
        <f t="shared" si="16"/>
        <v>"%USERPROFILE%\Documents\GitHub\eaglep3\Utilities\RefineRTDCRunTimes.py" --tripid 103-14 --locoid 4029 --swversion DE.1.0.7.0 --startMP 204:650 --initTime 2016-08-14T03:37:59 --startdatetime 2016-08-14T03:39:36 --delay 1 --endMP 204:233414 --enddatetime 2016-08-14T04:24:08 --enforcementcount 0</v>
      </c>
    </row>
    <row r="16" spans="1:91" s="1" customFormat="1" x14ac:dyDescent="0.25">
      <c r="A16" s="40" t="s">
        <v>314</v>
      </c>
      <c r="B16" s="7">
        <v>4015</v>
      </c>
      <c r="C16" s="25" t="s">
        <v>120</v>
      </c>
      <c r="D16" s="25" t="s">
        <v>315</v>
      </c>
      <c r="E16" s="16">
        <v>42596.189143518517</v>
      </c>
      <c r="F16" s="16">
        <v>42596.190324074072</v>
      </c>
      <c r="G16" s="7">
        <v>1</v>
      </c>
      <c r="H16" s="16" t="s">
        <v>316</v>
      </c>
      <c r="I16" s="16">
        <v>42596.222731481481</v>
      </c>
      <c r="J16" s="7">
        <v>0</v>
      </c>
      <c r="K16" s="143" t="str">
        <f t="shared" si="0"/>
        <v>4015/4016</v>
      </c>
      <c r="L16" s="25" t="str">
        <f>VLOOKUP(A16,'Trips&amp;Operators'!$C$1:$E$10000,3,FALSE)</f>
        <v>ACKERMAN</v>
      </c>
      <c r="M16" s="6">
        <f t="shared" si="1"/>
        <v>3.2407407408754807E-2</v>
      </c>
      <c r="N16" s="7">
        <f t="shared" si="2"/>
        <v>46.666666668606922</v>
      </c>
      <c r="O16" s="7"/>
      <c r="P16" s="7"/>
      <c r="Q16" s="26"/>
      <c r="R16" s="26"/>
      <c r="S16" s="38">
        <f t="shared" si="3"/>
        <v>1</v>
      </c>
      <c r="T16" s="53" t="str">
        <f t="shared" si="4"/>
        <v>Southbound</v>
      </c>
      <c r="U16" s="13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03:32:22-0600',mode:absolute,to:'2016-08-14 06:20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6" s="55" t="str">
        <f t="shared" si="6"/>
        <v>N</v>
      </c>
      <c r="X16" s="129">
        <f t="shared" si="7"/>
        <v>1</v>
      </c>
      <c r="Y16" s="70">
        <f t="shared" si="8"/>
        <v>23.277000000000001</v>
      </c>
      <c r="Z16" s="70">
        <f t="shared" si="9"/>
        <v>1.21E-2</v>
      </c>
      <c r="AA16" s="70">
        <f t="shared" si="10"/>
        <v>23.264900000000001</v>
      </c>
      <c r="AB16" s="67" t="e">
        <f>VLOOKUP(A16,Enforcements!$C$7:$J$24,8,0)</f>
        <v>#N/A</v>
      </c>
      <c r="AC16" s="63" t="e">
        <f>VLOOKUP(A16,Enforcements!$C$7:$E$24,3,0)</f>
        <v>#N/A</v>
      </c>
      <c r="AD16" s="64" t="str">
        <f t="shared" si="11"/>
        <v>0104-14</v>
      </c>
      <c r="AE16" s="104" t="str">
        <f t="shared" si="12"/>
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</c>
      <c r="AF16" s="101" t="str">
        <f t="shared" si="13"/>
        <v>"C:\Program Files (x86)\AstroGrep\AstroGrep.exe" /spath="%USERPROFILE%\AppData\Local\Temp\OnboardLogs" /stypes="*4015*20160814*"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5" t="str">
        <f t="shared" si="16"/>
        <v>"%USERPROFILE%\Documents\GitHub\eaglep3\Utilities\RefineRTDCRunTimes.py" --tripid 104-14 --locoid 4015 --swversion DE.1.0.7.0 --startMP 204:232770 --initTime 2016-08-14T04:32:22 --startdatetime 2016-08-14T04:34:04 --delay 1 --endMP 204:121 --enddatetime 2016-08-14T05:20:44 --enforcementcount 0</v>
      </c>
    </row>
    <row r="17" spans="1:34" s="1" customFormat="1" x14ac:dyDescent="0.25">
      <c r="A17" s="40" t="s">
        <v>317</v>
      </c>
      <c r="B17" s="7">
        <v>4011</v>
      </c>
      <c r="C17" s="25" t="s">
        <v>120</v>
      </c>
      <c r="D17" s="25" t="s">
        <v>318</v>
      </c>
      <c r="E17" s="16">
        <v>42596.1716087963</v>
      </c>
      <c r="F17" s="16">
        <v>42596.172453703701</v>
      </c>
      <c r="G17" s="7">
        <v>1</v>
      </c>
      <c r="H17" s="16" t="s">
        <v>274</v>
      </c>
      <c r="I17" s="16">
        <v>42596.202881944446</v>
      </c>
      <c r="J17" s="7">
        <v>0</v>
      </c>
      <c r="K17" s="143" t="str">
        <f t="shared" si="0"/>
        <v>4011/4012</v>
      </c>
      <c r="L17" s="25" t="str">
        <f>VLOOKUP(A17,'Trips&amp;Operators'!$C$1:$E$10000,3,FALSE)</f>
        <v>MAELZER</v>
      </c>
      <c r="M17" s="6">
        <f t="shared" si="1"/>
        <v>3.0428240745095536E-2</v>
      </c>
      <c r="N17" s="7">
        <f t="shared" si="2"/>
        <v>43.816666672937572</v>
      </c>
      <c r="O17" s="7"/>
      <c r="P17" s="7"/>
      <c r="Q17" s="26"/>
      <c r="R17" s="26"/>
      <c r="S17" s="38">
        <f t="shared" si="3"/>
        <v>1</v>
      </c>
      <c r="T17" s="53" t="str">
        <f t="shared" si="4"/>
        <v>NorthBound</v>
      </c>
      <c r="U17" s="13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03:07:07-0600',mode:absolute,to:'2016-08-14 05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7" s="55" t="str">
        <f t="shared" si="6"/>
        <v>N</v>
      </c>
      <c r="X17" s="129">
        <f t="shared" si="7"/>
        <v>1</v>
      </c>
      <c r="Y17" s="70">
        <f t="shared" si="8"/>
        <v>7.2800000000000004E-2</v>
      </c>
      <c r="Z17" s="70">
        <f t="shared" si="9"/>
        <v>23.3322</v>
      </c>
      <c r="AA17" s="70">
        <f t="shared" si="10"/>
        <v>23.259399999999999</v>
      </c>
      <c r="AB17" s="67" t="e">
        <f>VLOOKUP(A17,Enforcements!$C$7:$J$24,8,0)</f>
        <v>#N/A</v>
      </c>
      <c r="AC17" s="63" t="e">
        <f>VLOOKUP(A17,Enforcements!$C$7:$E$24,3,0)</f>
        <v>#N/A</v>
      </c>
      <c r="AD17" s="64" t="str">
        <f t="shared" si="11"/>
        <v>0105-14</v>
      </c>
      <c r="AE17" s="104" t="str">
        <f t="shared" si="12"/>
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</c>
      <c r="AF17" s="101" t="str">
        <f t="shared" si="13"/>
        <v>"C:\Program Files (x86)\AstroGrep\AstroGrep.exe" /spath="%USERPROFILE%\AppData\Local\Temp\OnboardLogs" /stypes="*4011*20160814*"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5" t="str">
        <f t="shared" si="16"/>
        <v>"%USERPROFILE%\Documents\GitHub\eaglep3\Utilities\RefineRTDCRunTimes.py" --tripid 105-14 --locoid 4011 --swversion DE.1.0.7.0 --startMP 204:728 --initTime 2016-08-14T04:07:07 --startdatetime 2016-08-14T04:08:20 --delay 1 --endMP 204:233322 --enddatetime 2016-08-14T04:52:09 --enforcementcount 0</v>
      </c>
    </row>
    <row r="18" spans="1:34" s="1" customFormat="1" x14ac:dyDescent="0.25">
      <c r="A18" s="40" t="s">
        <v>319</v>
      </c>
      <c r="B18" s="7">
        <v>4032</v>
      </c>
      <c r="C18" s="25" t="s">
        <v>120</v>
      </c>
      <c r="D18" s="25" t="s">
        <v>320</v>
      </c>
      <c r="E18" s="16">
        <v>42596.211782407408</v>
      </c>
      <c r="F18" s="16">
        <v>42596.213263888887</v>
      </c>
      <c r="G18" s="7">
        <v>2</v>
      </c>
      <c r="H18" s="16" t="s">
        <v>321</v>
      </c>
      <c r="I18" s="16">
        <v>42596.243425925924</v>
      </c>
      <c r="J18" s="7">
        <v>0</v>
      </c>
      <c r="K18" s="143" t="str">
        <f t="shared" si="0"/>
        <v>4031/4032</v>
      </c>
      <c r="L18" s="25" t="str">
        <f>VLOOKUP(A18,'Trips&amp;Operators'!$C$1:$E$10000,3,FALSE)</f>
        <v>MAELZER</v>
      </c>
      <c r="M18" s="6">
        <f t="shared" si="1"/>
        <v>3.0162037037371192E-2</v>
      </c>
      <c r="N18" s="7">
        <f t="shared" si="2"/>
        <v>43.433333333814517</v>
      </c>
      <c r="O18" s="7"/>
      <c r="P18" s="7"/>
      <c r="Q18" s="26"/>
      <c r="R18" s="26"/>
      <c r="S18" s="38">
        <f t="shared" si="3"/>
        <v>1</v>
      </c>
      <c r="T18" s="53" t="str">
        <f t="shared" si="4"/>
        <v>Southbound</v>
      </c>
      <c r="U18" s="13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04:04:58-0600',mode:absolute,to:'2016-08-14 06:50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8" s="55" t="str">
        <f t="shared" si="6"/>
        <v>N</v>
      </c>
      <c r="X18" s="129">
        <f t="shared" si="7"/>
        <v>1</v>
      </c>
      <c r="Y18" s="70">
        <f t="shared" si="8"/>
        <v>23.2669</v>
      </c>
      <c r="Z18" s="70">
        <f t="shared" si="9"/>
        <v>1.2500000000000001E-2</v>
      </c>
      <c r="AA18" s="70">
        <f t="shared" si="10"/>
        <v>23.2544</v>
      </c>
      <c r="AB18" s="67" t="e">
        <f>VLOOKUP(A18,Enforcements!$C$7:$J$24,8,0)</f>
        <v>#N/A</v>
      </c>
      <c r="AC18" s="63" t="e">
        <f>VLOOKUP(A18,Enforcements!$C$7:$E$24,3,0)</f>
        <v>#N/A</v>
      </c>
      <c r="AD18" s="64" t="str">
        <f t="shared" si="11"/>
        <v>0106-14</v>
      </c>
      <c r="AE18" s="104" t="str">
        <f t="shared" si="12"/>
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</c>
      <c r="AF18" s="101" t="str">
        <f t="shared" si="13"/>
        <v>"C:\Program Files (x86)\AstroGrep\AstroGrep.exe" /spath="%USERPROFILE%\AppData\Local\Temp\OnboardLogs" /stypes="*4032*20160814*"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5" t="str">
        <f t="shared" si="16"/>
        <v>"%USERPROFILE%\Documents\GitHub\eaglep3\Utilities\RefineRTDCRunTimes.py" --tripid 106-14 --locoid 4032 --swversion DE.1.0.7.0 --startMP 204:232669 --initTime 2016-08-14T05:04:58 --startdatetime 2016-08-14T05:07:06 --delay 2 --endMP 204:125 --enddatetime 2016-08-14T05:50:32 --enforcementcount 0</v>
      </c>
    </row>
    <row r="19" spans="1:34" s="1" customFormat="1" x14ac:dyDescent="0.25">
      <c r="A19" s="40" t="s">
        <v>322</v>
      </c>
      <c r="B19" s="7">
        <v>4027</v>
      </c>
      <c r="C19" s="25" t="s">
        <v>120</v>
      </c>
      <c r="D19" s="25" t="s">
        <v>115</v>
      </c>
      <c r="E19" s="16">
        <v>42596.181550925925</v>
      </c>
      <c r="F19" s="16">
        <v>42596.18240740741</v>
      </c>
      <c r="G19" s="7">
        <v>1</v>
      </c>
      <c r="H19" s="16" t="s">
        <v>183</v>
      </c>
      <c r="I19" s="16">
        <v>42596.213634259257</v>
      </c>
      <c r="J19" s="7">
        <v>0</v>
      </c>
      <c r="K19" s="143" t="str">
        <f t="shared" si="0"/>
        <v>4027/4028</v>
      </c>
      <c r="L19" s="25" t="str">
        <f>VLOOKUP(A19,'Trips&amp;Operators'!$C$1:$E$10000,3,FALSE)</f>
        <v>DAVIS</v>
      </c>
      <c r="M19" s="6">
        <f t="shared" si="1"/>
        <v>3.1226851846440695E-2</v>
      </c>
      <c r="N19" s="7">
        <f t="shared" si="2"/>
        <v>44.966666658874601</v>
      </c>
      <c r="O19" s="7"/>
      <c r="P19" s="7"/>
      <c r="Q19" s="26"/>
      <c r="R19" s="26"/>
      <c r="S19" s="38">
        <f t="shared" si="3"/>
        <v>1</v>
      </c>
      <c r="T19" s="53" t="str">
        <f t="shared" si="4"/>
        <v>NorthBound</v>
      </c>
      <c r="U19" s="13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03:21:26-0600',mode:absolute,to:'2016-08-14 06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9" s="55" t="str">
        <f t="shared" si="6"/>
        <v>N</v>
      </c>
      <c r="X19" s="129">
        <f t="shared" si="7"/>
        <v>1</v>
      </c>
      <c r="Y19" s="70">
        <f t="shared" si="8"/>
        <v>4.6199999999999998E-2</v>
      </c>
      <c r="Z19" s="70">
        <f t="shared" si="9"/>
        <v>23.3323</v>
      </c>
      <c r="AA19" s="70">
        <f t="shared" si="10"/>
        <v>23.286100000000001</v>
      </c>
      <c r="AB19" s="67" t="e">
        <f>VLOOKUP(A19,Enforcements!$C$7:$J$24,8,0)</f>
        <v>#N/A</v>
      </c>
      <c r="AC19" s="63" t="e">
        <f>VLOOKUP(A19,Enforcements!$C$7:$E$24,3,0)</f>
        <v>#N/A</v>
      </c>
      <c r="AD19" s="64" t="str">
        <f t="shared" si="11"/>
        <v>0107-14</v>
      </c>
      <c r="AE19" s="104" t="str">
        <f t="shared" si="12"/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AF19" s="101" t="str">
        <f t="shared" si="13"/>
        <v>"C:\Program Files (x86)\AstroGrep\AstroGrep.exe" /spath="%USERPROFILE%\AppData\Local\Temp\OnboardLogs" /stypes="*4027*20160814*"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5" t="str">
        <f t="shared" si="16"/>
        <v>"%USERPROFILE%\Documents\GitHub\eaglep3\Utilities\RefineRTDCRunTimes.py" --tripid 107-14 --locoid 4027 --swversion DE.1.0.7.0 --startMP 204:462 --initTime 2016-08-14T04:21:26 --startdatetime 2016-08-14T04:22:40 --delay 1 --endMP 204:233323 --enddatetime 2016-08-14T05:07:38 --enforcementcount 0</v>
      </c>
    </row>
    <row r="20" spans="1:34" s="1" customFormat="1" x14ac:dyDescent="0.25">
      <c r="A20" s="40" t="s">
        <v>323</v>
      </c>
      <c r="B20" s="7">
        <v>4028</v>
      </c>
      <c r="C20" s="25" t="s">
        <v>120</v>
      </c>
      <c r="D20" s="25" t="s">
        <v>150</v>
      </c>
      <c r="E20" s="16">
        <v>42596.21702546296</v>
      </c>
      <c r="F20" s="16">
        <v>42596.218599537038</v>
      </c>
      <c r="G20" s="7">
        <v>2</v>
      </c>
      <c r="H20" s="16" t="s">
        <v>149</v>
      </c>
      <c r="I20" s="16">
        <v>42596.254537037035</v>
      </c>
      <c r="J20" s="7">
        <v>0</v>
      </c>
      <c r="K20" s="143" t="str">
        <f t="shared" si="0"/>
        <v>4027/4028</v>
      </c>
      <c r="L20" s="25" t="str">
        <f>VLOOKUP(A20,'Trips&amp;Operators'!$C$1:$E$10000,3,FALSE)</f>
        <v>DAVIS</v>
      </c>
      <c r="M20" s="6">
        <f t="shared" si="1"/>
        <v>3.5937499997089617E-2</v>
      </c>
      <c r="N20" s="7">
        <f t="shared" si="2"/>
        <v>51.749999995809048</v>
      </c>
      <c r="O20" s="7"/>
      <c r="P20" s="7"/>
      <c r="Q20" s="26"/>
      <c r="R20" s="26"/>
      <c r="S20" s="38">
        <f t="shared" si="3"/>
        <v>1</v>
      </c>
      <c r="T20" s="53" t="str">
        <f t="shared" si="4"/>
        <v>Southbound</v>
      </c>
      <c r="U20" s="13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04:12:31-0600',mode:absolute,to:'2016-08-14 07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20" s="55" t="str">
        <f t="shared" si="6"/>
        <v>N</v>
      </c>
      <c r="X20" s="129">
        <f t="shared" si="7"/>
        <v>1</v>
      </c>
      <c r="Y20" s="70">
        <f t="shared" si="8"/>
        <v>23.299600000000002</v>
      </c>
      <c r="Z20" s="70">
        <f t="shared" si="9"/>
        <v>1.4500000000000001E-2</v>
      </c>
      <c r="AA20" s="70">
        <f t="shared" si="10"/>
        <v>23.2851</v>
      </c>
      <c r="AB20" s="67" t="e">
        <f>VLOOKUP(A20,Enforcements!$C$7:$J$24,8,0)</f>
        <v>#N/A</v>
      </c>
      <c r="AC20" s="63" t="e">
        <f>VLOOKUP(A20,Enforcements!$C$7:$E$24,3,0)</f>
        <v>#N/A</v>
      </c>
      <c r="AD20" s="64" t="str">
        <f t="shared" si="11"/>
        <v>0108-14</v>
      </c>
      <c r="AE20" s="104" t="str">
        <f t="shared" si="12"/>
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</c>
      <c r="AF20" s="101" t="str">
        <f t="shared" si="13"/>
        <v>"C:\Program Files (x86)\AstroGrep\AstroGrep.exe" /spath="%USERPROFILE%\AppData\Local\Temp\OnboardLogs" /stypes="*4028*20160814*"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5" t="str">
        <f t="shared" si="16"/>
        <v>"%USERPROFILE%\Documents\GitHub\eaglep3\Utilities\RefineRTDCRunTimes.py" --tripid 108-14 --locoid 4028 --swversion DE.1.0.7.0 --startMP 204:232996 --initTime 2016-08-14T05:12:31 --startdatetime 2016-08-14T05:14:47 --delay 2 --endMP 204:145 --enddatetime 2016-08-14T06:06:32 --enforcementcount 0</v>
      </c>
    </row>
    <row r="21" spans="1:34" s="1" customFormat="1" x14ac:dyDescent="0.25">
      <c r="A21" s="40" t="s">
        <v>324</v>
      </c>
      <c r="B21" s="7">
        <v>4038</v>
      </c>
      <c r="C21" s="25" t="s">
        <v>120</v>
      </c>
      <c r="D21" s="25" t="s">
        <v>206</v>
      </c>
      <c r="E21" s="16">
        <v>42596.19630787037</v>
      </c>
      <c r="F21" s="16">
        <v>42596.197094907409</v>
      </c>
      <c r="G21" s="7">
        <v>1</v>
      </c>
      <c r="H21" s="16" t="s">
        <v>279</v>
      </c>
      <c r="I21" s="16">
        <v>42596.223796296297</v>
      </c>
      <c r="J21" s="7">
        <v>0</v>
      </c>
      <c r="K21" s="143" t="str">
        <f t="shared" si="0"/>
        <v>4037/4038</v>
      </c>
      <c r="L21" s="25" t="str">
        <f>VLOOKUP(A21,'Trips&amp;Operators'!$C$1:$E$10000,3,FALSE)</f>
        <v>MALAVE</v>
      </c>
      <c r="M21" s="6">
        <f t="shared" si="1"/>
        <v>2.6701388887886424E-2</v>
      </c>
      <c r="N21" s="7">
        <f t="shared" si="2"/>
        <v>38.44999999855645</v>
      </c>
      <c r="O21" s="7"/>
      <c r="P21" s="7"/>
      <c r="Q21" s="26"/>
      <c r="R21" s="26"/>
      <c r="S21" s="38">
        <f t="shared" si="3"/>
        <v>1</v>
      </c>
      <c r="T21" s="53" t="str">
        <f t="shared" si="4"/>
        <v>NorthBound</v>
      </c>
      <c r="U21" s="13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03:42:41-0600',mode:absolute,to:'2016-08-14 06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21" s="55" t="str">
        <f t="shared" si="6"/>
        <v>N</v>
      </c>
      <c r="X21" s="129">
        <f t="shared" si="7"/>
        <v>1</v>
      </c>
      <c r="Y21" s="70">
        <f t="shared" si="8"/>
        <v>4.7699999999999999E-2</v>
      </c>
      <c r="Z21" s="70">
        <f t="shared" si="9"/>
        <v>23.328399999999998</v>
      </c>
      <c r="AA21" s="70">
        <f t="shared" si="10"/>
        <v>23.2807</v>
      </c>
      <c r="AB21" s="67" t="e">
        <f>VLOOKUP(A21,Enforcements!$C$7:$J$24,8,0)</f>
        <v>#N/A</v>
      </c>
      <c r="AC21" s="63" t="e">
        <f>VLOOKUP(A21,Enforcements!$C$7:$E$24,3,0)</f>
        <v>#N/A</v>
      </c>
      <c r="AD21" s="64" t="str">
        <f t="shared" si="11"/>
        <v>0109-14</v>
      </c>
      <c r="AE21" s="104" t="str">
        <f t="shared" si="12"/>
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</c>
      <c r="AF21" s="101" t="str">
        <f t="shared" si="13"/>
        <v>"C:\Program Files (x86)\AstroGrep\AstroGrep.exe" /spath="%USERPROFILE%\AppData\Local\Temp\OnboardLogs" /stypes="*4038*20160814*"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5" t="str">
        <f t="shared" si="16"/>
        <v>"%USERPROFILE%\Documents\GitHub\eaglep3\Utilities\RefineRTDCRunTimes.py" --tripid 109-14 --locoid 4038 --swversion DE.1.0.7.0 --startMP 204:477 --initTime 2016-08-14T04:42:41 --startdatetime 2016-08-14T04:43:49 --delay 1 --endMP 204:233284 --enddatetime 2016-08-14T05:22:16 --enforcementcount 0</v>
      </c>
    </row>
    <row r="22" spans="1:34" s="1" customFormat="1" x14ac:dyDescent="0.25">
      <c r="A22" s="40" t="s">
        <v>325</v>
      </c>
      <c r="B22" s="7">
        <v>4037</v>
      </c>
      <c r="C22" s="25" t="s">
        <v>120</v>
      </c>
      <c r="D22" s="25" t="s">
        <v>152</v>
      </c>
      <c r="E22" s="16">
        <v>42596.233981481484</v>
      </c>
      <c r="F22" s="16">
        <v>42596.235312500001</v>
      </c>
      <c r="G22" s="7">
        <v>1</v>
      </c>
      <c r="H22" s="16" t="s">
        <v>326</v>
      </c>
      <c r="I22" s="16">
        <v>42596.264618055553</v>
      </c>
      <c r="J22" s="7">
        <v>0</v>
      </c>
      <c r="K22" s="143" t="str">
        <f t="shared" si="0"/>
        <v>4037/4038</v>
      </c>
      <c r="L22" s="25" t="str">
        <f>VLOOKUP(A22,'Trips&amp;Operators'!$C$1:$E$10000,3,FALSE)</f>
        <v>MALAVE</v>
      </c>
      <c r="M22" s="6">
        <f t="shared" si="1"/>
        <v>2.9305555552127771E-2</v>
      </c>
      <c r="N22" s="7">
        <f t="shared" si="2"/>
        <v>42.19999999506399</v>
      </c>
      <c r="O22" s="7"/>
      <c r="P22" s="7"/>
      <c r="Q22" s="26"/>
      <c r="R22" s="26"/>
      <c r="S22" s="38">
        <f t="shared" si="3"/>
        <v>1</v>
      </c>
      <c r="T22" s="53" t="str">
        <f t="shared" si="4"/>
        <v>Southbound</v>
      </c>
      <c r="U22" s="13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04:36:56-0600',mode:absolute,to:'2016-08-14 07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22" s="55" t="str">
        <f t="shared" si="6"/>
        <v>N</v>
      </c>
      <c r="X22" s="129">
        <f t="shared" si="7"/>
        <v>1</v>
      </c>
      <c r="Y22" s="70">
        <f t="shared" si="8"/>
        <v>23.2959</v>
      </c>
      <c r="Z22" s="70">
        <f t="shared" si="9"/>
        <v>4.0399999999999998E-2</v>
      </c>
      <c r="AA22" s="70">
        <f t="shared" si="10"/>
        <v>23.255499999999998</v>
      </c>
      <c r="AB22" s="67" t="e">
        <f>VLOOKUP(A22,Enforcements!$C$7:$J$24,8,0)</f>
        <v>#N/A</v>
      </c>
      <c r="AC22" s="63" t="e">
        <f>VLOOKUP(A22,Enforcements!$C$7:$E$24,3,0)</f>
        <v>#N/A</v>
      </c>
      <c r="AD22" s="64" t="str">
        <f t="shared" si="11"/>
        <v>0110-14</v>
      </c>
      <c r="AE22" s="104" t="str">
        <f t="shared" si="12"/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AF22" s="101" t="str">
        <f t="shared" si="13"/>
        <v>"C:\Program Files (x86)\AstroGrep\AstroGrep.exe" /spath="%USERPROFILE%\AppData\Local\Temp\OnboardLogs" /stypes="*4037*20160814*"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5" t="str">
        <f t="shared" si="16"/>
        <v>"%USERPROFILE%\Documents\GitHub\eaglep3\Utilities\RefineRTDCRunTimes.py" --tripid 110-14 --locoid 4037 --swversion DE.1.0.7.0 --startMP 204:232959 --initTime 2016-08-14T05:36:56 --startdatetime 2016-08-14T05:38:51 --delay 1 --endMP 204:404 --enddatetime 2016-08-14T06:21:03 --enforcementcount 0</v>
      </c>
    </row>
    <row r="23" spans="1:34" s="1" customFormat="1" ht="16.5" customHeight="1" x14ac:dyDescent="0.25">
      <c r="A23" s="40" t="s">
        <v>327</v>
      </c>
      <c r="B23" s="7">
        <v>4025</v>
      </c>
      <c r="C23" s="25" t="s">
        <v>120</v>
      </c>
      <c r="D23" s="25" t="s">
        <v>266</v>
      </c>
      <c r="E23" s="16">
        <v>42596.206319444442</v>
      </c>
      <c r="F23" s="16">
        <v>42596.207650462966</v>
      </c>
      <c r="G23" s="7">
        <v>1</v>
      </c>
      <c r="H23" s="16" t="s">
        <v>204</v>
      </c>
      <c r="I23" s="16">
        <v>42596.235347222224</v>
      </c>
      <c r="J23" s="7">
        <v>0</v>
      </c>
      <c r="K23" s="143" t="str">
        <f t="shared" si="0"/>
        <v>4025/4026</v>
      </c>
      <c r="L23" s="25" t="str">
        <f>VLOOKUP(A23,'Trips&amp;Operators'!$C$1:$E$10000,3,FALSE)</f>
        <v>STRICKLAND</v>
      </c>
      <c r="M23" s="6">
        <f t="shared" si="1"/>
        <v>2.7696759258105885E-2</v>
      </c>
      <c r="N23" s="7">
        <f t="shared" si="2"/>
        <v>39.883333331672475</v>
      </c>
      <c r="O23" s="7"/>
      <c r="P23" s="7"/>
      <c r="Q23" s="26"/>
      <c r="R23" s="26"/>
      <c r="S23" s="38">
        <f t="shared" si="3"/>
        <v>1</v>
      </c>
      <c r="T23" s="53" t="str">
        <f t="shared" si="4"/>
        <v>NorthBound</v>
      </c>
      <c r="U23" s="13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03:57:06-0600',mode:absolute,to:'2016-08-14 06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23" s="55" t="str">
        <f t="shared" si="6"/>
        <v>N</v>
      </c>
      <c r="X23" s="129">
        <f t="shared" si="7"/>
        <v>1</v>
      </c>
      <c r="Y23" s="70">
        <f t="shared" si="8"/>
        <v>7.6600000000000001E-2</v>
      </c>
      <c r="Z23" s="70">
        <f t="shared" si="9"/>
        <v>23.330400000000001</v>
      </c>
      <c r="AA23" s="70">
        <f t="shared" si="10"/>
        <v>23.253800000000002</v>
      </c>
      <c r="AB23" s="67" t="e">
        <f>VLOOKUP(A23,Enforcements!$C$7:$J$24,8,0)</f>
        <v>#N/A</v>
      </c>
      <c r="AC23" s="63" t="e">
        <f>VLOOKUP(A23,Enforcements!$C$7:$E$24,3,0)</f>
        <v>#N/A</v>
      </c>
      <c r="AD23" s="64" t="str">
        <f t="shared" si="11"/>
        <v>0111-14</v>
      </c>
      <c r="AE23" s="104" t="str">
        <f t="shared" si="12"/>
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</c>
      <c r="AF23" s="101" t="str">
        <f t="shared" si="13"/>
        <v>"C:\Program Files (x86)\AstroGrep\AstroGrep.exe" /spath="%USERPROFILE%\AppData\Local\Temp\OnboardLogs" /stypes="*4025*20160814*"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5" t="str">
        <f t="shared" si="16"/>
        <v>"%USERPROFILE%\Documents\GitHub\eaglep3\Utilities\RefineRTDCRunTimes.py" --tripid 111-14 --locoid 4025 --swversion DE.1.0.7.0 --startMP 204:766 --initTime 2016-08-14T04:57:06 --startdatetime 2016-08-14T04:59:01 --delay 1 --endMP 204:233304 --enddatetime 2016-08-14T05:38:54 --enforcementcount 0</v>
      </c>
    </row>
    <row r="24" spans="1:34" s="1" customFormat="1" x14ac:dyDescent="0.25">
      <c r="A24" s="40" t="s">
        <v>328</v>
      </c>
      <c r="B24" s="7">
        <v>4026</v>
      </c>
      <c r="C24" s="25" t="s">
        <v>120</v>
      </c>
      <c r="D24" s="25" t="s">
        <v>329</v>
      </c>
      <c r="E24" s="16">
        <v>42596.242719907408</v>
      </c>
      <c r="F24" s="16">
        <v>42596.256226851852</v>
      </c>
      <c r="G24" s="7">
        <v>19</v>
      </c>
      <c r="H24" s="16" t="s">
        <v>330</v>
      </c>
      <c r="I24" s="16">
        <v>42596.276967592596</v>
      </c>
      <c r="J24" s="7">
        <v>0</v>
      </c>
      <c r="K24" s="143" t="str">
        <f t="shared" si="0"/>
        <v>4025/4026</v>
      </c>
      <c r="L24" s="25" t="str">
        <f>VLOOKUP(A24,'Trips&amp;Operators'!$C$1:$E$10000,3,FALSE)</f>
        <v>STRICKLAND</v>
      </c>
      <c r="M24" s="6">
        <f t="shared" si="1"/>
        <v>2.0740740743349306E-2</v>
      </c>
      <c r="N24" s="7"/>
      <c r="O24" s="7"/>
      <c r="P24" s="7">
        <f>24*60*SUM($M24:$M24)</f>
        <v>29.866666670423001</v>
      </c>
      <c r="Q24" s="26"/>
      <c r="R24" s="26" t="s">
        <v>663</v>
      </c>
      <c r="S24" s="38">
        <f t="shared" si="3"/>
        <v>1</v>
      </c>
      <c r="T24" s="53" t="str">
        <f t="shared" si="4"/>
        <v>Southbound</v>
      </c>
      <c r="U24" s="13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04:49:31-0600',mode:absolute,to:'2016-08-14 07:38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24" s="55" t="str">
        <f t="shared" si="6"/>
        <v>Y</v>
      </c>
      <c r="X24" s="129">
        <f t="shared" si="7"/>
        <v>1</v>
      </c>
      <c r="Y24" s="70">
        <f t="shared" si="8"/>
        <v>15.401</v>
      </c>
      <c r="Z24" s="70">
        <f t="shared" si="9"/>
        <v>0.1181</v>
      </c>
      <c r="AA24" s="70">
        <f t="shared" si="10"/>
        <v>15.2829</v>
      </c>
      <c r="AB24" s="67" t="e">
        <f>VLOOKUP(A24,Enforcements!$C$7:$J$24,8,0)</f>
        <v>#N/A</v>
      </c>
      <c r="AC24" s="63" t="e">
        <f>VLOOKUP(A24,Enforcements!$C$7:$E$24,3,0)</f>
        <v>#N/A</v>
      </c>
      <c r="AD24" s="64" t="str">
        <f t="shared" si="11"/>
        <v>0112-14</v>
      </c>
      <c r="AE24" s="104" t="str">
        <f t="shared" si="12"/>
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</c>
      <c r="AF24" s="101" t="str">
        <f t="shared" si="13"/>
        <v>"C:\Program Files (x86)\AstroGrep\AstroGrep.exe" /spath="%USERPROFILE%\AppData\Local\Temp\OnboardLogs" /stypes="*4026*20160814*"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5" t="str">
        <f t="shared" si="16"/>
        <v>"%USERPROFILE%\Documents\GitHub\eaglep3\Utilities\RefineRTDCRunTimes.py" --tripid 112-14 --locoid 4026 --swversion DE.1.0.7.0 --startMP 204:154010 --initTime 2016-08-14T05:49:31 --startdatetime 2016-08-14T06:08:58 --delay 19 --endMP 204:1181 --enddatetime 2016-08-14T06:38:50 --enforcementcount 0</v>
      </c>
    </row>
    <row r="25" spans="1:34" s="32" customFormat="1" x14ac:dyDescent="0.25">
      <c r="A25" s="40" t="s">
        <v>331</v>
      </c>
      <c r="B25" s="7">
        <v>4014</v>
      </c>
      <c r="C25" s="25" t="s">
        <v>120</v>
      </c>
      <c r="D25" s="25" t="s">
        <v>254</v>
      </c>
      <c r="E25" s="16">
        <v>42596.209930555553</v>
      </c>
      <c r="F25" s="16">
        <v>42596.210925925923</v>
      </c>
      <c r="G25" s="7">
        <v>1</v>
      </c>
      <c r="H25" s="16" t="s">
        <v>332</v>
      </c>
      <c r="I25" s="16">
        <v>42596.244212962964</v>
      </c>
      <c r="J25" s="7">
        <v>0</v>
      </c>
      <c r="K25" s="143" t="str">
        <f t="shared" si="0"/>
        <v>4013/4014</v>
      </c>
      <c r="L25" s="25" t="str">
        <f>VLOOKUP(A25,'Trips&amp;Operators'!$C$1:$E$10000,3,FALSE)</f>
        <v>KILLION</v>
      </c>
      <c r="M25" s="6">
        <f t="shared" si="1"/>
        <v>3.3287037040281575E-2</v>
      </c>
      <c r="N25" s="7">
        <f t="shared" ref="N25:N56" si="17">24*60*SUM($M25:$M25)</f>
        <v>47.933333338005468</v>
      </c>
      <c r="O25" s="7"/>
      <c r="P25" s="7"/>
      <c r="Q25" s="26"/>
      <c r="R25" s="26"/>
      <c r="S25" s="38">
        <f t="shared" si="3"/>
        <v>1</v>
      </c>
      <c r="T25" s="53" t="str">
        <f t="shared" si="4"/>
        <v>NorthBound</v>
      </c>
      <c r="U25" s="13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04:02:18-0600',mode:absolute,to:'2016-08-14 06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25" s="55" t="str">
        <f t="shared" si="6"/>
        <v>N</v>
      </c>
      <c r="X25" s="129">
        <f t="shared" si="7"/>
        <v>1</v>
      </c>
      <c r="Y25" s="70">
        <f t="shared" si="8"/>
        <v>4.3999999999999997E-2</v>
      </c>
      <c r="Z25" s="70">
        <f t="shared" si="9"/>
        <v>23.321100000000001</v>
      </c>
      <c r="AA25" s="70">
        <f t="shared" si="10"/>
        <v>23.277100000000001</v>
      </c>
      <c r="AB25" s="67" t="e">
        <f>VLOOKUP(A25,Enforcements!$C$7:$J$24,8,0)</f>
        <v>#N/A</v>
      </c>
      <c r="AC25" s="63" t="e">
        <f>VLOOKUP(A25,Enforcements!$C$7:$E$24,3,0)</f>
        <v>#N/A</v>
      </c>
      <c r="AD25" s="64" t="str">
        <f t="shared" si="11"/>
        <v>0113-14</v>
      </c>
      <c r="AE25" s="104" t="str">
        <f t="shared" si="12"/>
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</c>
      <c r="AF25" s="101" t="str">
        <f t="shared" si="13"/>
        <v>"C:\Program Files (x86)\AstroGrep\AstroGrep.exe" /spath="%USERPROFILE%\AppData\Local\Temp\OnboardLogs" /stypes="*4014*20160814*"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5" t="str">
        <f t="shared" si="16"/>
        <v>"%USERPROFILE%\Documents\GitHub\eaglep3\Utilities\RefineRTDCRunTimes.py" --tripid 113-14 --locoid 4014 --swversion DE.1.0.7.0 --startMP 204:440 --initTime 2016-08-14T05:02:18 --startdatetime 2016-08-14T05:03:44 --delay 1 --endMP 204:233211 --enddatetime 2016-08-14T05:51:40 --enforcementcount 0</v>
      </c>
    </row>
    <row r="26" spans="1:34" s="1" customFormat="1" x14ac:dyDescent="0.25">
      <c r="A26" s="40" t="s">
        <v>333</v>
      </c>
      <c r="B26" s="7">
        <v>4013</v>
      </c>
      <c r="C26" s="25" t="s">
        <v>120</v>
      </c>
      <c r="D26" s="25" t="s">
        <v>334</v>
      </c>
      <c r="E26" s="16">
        <v>42596.253761574073</v>
      </c>
      <c r="F26" s="16">
        <v>42596.255243055559</v>
      </c>
      <c r="G26" s="7">
        <v>2</v>
      </c>
      <c r="H26" s="16" t="s">
        <v>148</v>
      </c>
      <c r="I26" s="16">
        <v>42596.284641203703</v>
      </c>
      <c r="J26" s="7">
        <v>0</v>
      </c>
      <c r="K26" s="143" t="str">
        <f t="shared" si="0"/>
        <v>4013/4014</v>
      </c>
      <c r="L26" s="25" t="str">
        <f>VLOOKUP(A26,'Trips&amp;Operators'!$C$1:$E$10000,3,FALSE)</f>
        <v>KILLION</v>
      </c>
      <c r="M26" s="6">
        <f t="shared" si="1"/>
        <v>2.9398148144537117E-2</v>
      </c>
      <c r="N26" s="7">
        <f t="shared" si="17"/>
        <v>42.333333328133449</v>
      </c>
      <c r="O26" s="7"/>
      <c r="P26" s="7"/>
      <c r="Q26" s="26"/>
      <c r="R26" s="26"/>
      <c r="S26" s="38">
        <f t="shared" si="3"/>
        <v>1</v>
      </c>
      <c r="T26" s="53" t="str">
        <f t="shared" si="4"/>
        <v>Southbound</v>
      </c>
      <c r="U26" s="13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05:05:25-0600',mode:absolute,to:'2016-08-14 07:49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26" s="55" t="str">
        <f t="shared" si="6"/>
        <v>N</v>
      </c>
      <c r="X26" s="129">
        <f t="shared" si="7"/>
        <v>1</v>
      </c>
      <c r="Y26" s="70">
        <f t="shared" si="8"/>
        <v>23.2898</v>
      </c>
      <c r="Z26" s="70">
        <f t="shared" si="9"/>
        <v>1.49E-2</v>
      </c>
      <c r="AA26" s="70">
        <f t="shared" si="10"/>
        <v>23.274899999999999</v>
      </c>
      <c r="AB26" s="67" t="e">
        <f>VLOOKUP(A26,Enforcements!$C$7:$J$24,8,0)</f>
        <v>#N/A</v>
      </c>
      <c r="AC26" s="63" t="e">
        <f>VLOOKUP(A26,Enforcements!$C$7:$E$24,3,0)</f>
        <v>#N/A</v>
      </c>
      <c r="AD26" s="64" t="str">
        <f t="shared" si="11"/>
        <v>0114-14</v>
      </c>
      <c r="AE26" s="104" t="str">
        <f t="shared" si="12"/>
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</c>
      <c r="AF26" s="101" t="str">
        <f t="shared" si="13"/>
        <v>"C:\Program Files (x86)\AstroGrep\AstroGrep.exe" /spath="%USERPROFILE%\AppData\Local\Temp\OnboardLogs" /stypes="*4013*20160814*"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5" t="str">
        <f t="shared" si="16"/>
        <v>"%USERPROFILE%\Documents\GitHub\eaglep3\Utilities\RefineRTDCRunTimes.py" --tripid 114-14 --locoid 4013 --swversion DE.1.0.7.0 --startMP 204:232898 --initTime 2016-08-14T06:05:25 --startdatetime 2016-08-14T06:07:33 --delay 2 --endMP 204:149 --enddatetime 2016-08-14T06:49:53 --enforcementcount 0</v>
      </c>
    </row>
    <row r="27" spans="1:34" s="1" customFormat="1" x14ac:dyDescent="0.25">
      <c r="A27" s="40" t="s">
        <v>335</v>
      </c>
      <c r="B27" s="7">
        <v>4029</v>
      </c>
      <c r="C27" s="25" t="s">
        <v>120</v>
      </c>
      <c r="D27" s="25" t="s">
        <v>336</v>
      </c>
      <c r="E27" s="16">
        <v>42596.229907407411</v>
      </c>
      <c r="F27" s="16">
        <v>42596.230532407404</v>
      </c>
      <c r="G27" s="7">
        <v>0</v>
      </c>
      <c r="H27" s="16" t="s">
        <v>209</v>
      </c>
      <c r="I27" s="16">
        <v>42596.254652777781</v>
      </c>
      <c r="J27" s="7">
        <v>0</v>
      </c>
      <c r="K27" s="143" t="str">
        <f t="shared" si="0"/>
        <v>4029/4030</v>
      </c>
      <c r="L27" s="25" t="str">
        <f>VLOOKUP(A27,'Trips&amp;Operators'!$C$1:$E$10000,3,FALSE)</f>
        <v>YORK</v>
      </c>
      <c r="M27" s="6">
        <f t="shared" si="1"/>
        <v>2.4120370377204381E-2</v>
      </c>
      <c r="N27" s="7">
        <f t="shared" si="17"/>
        <v>34.733333343174309</v>
      </c>
      <c r="O27" s="7"/>
      <c r="P27" s="7"/>
      <c r="Q27" s="26"/>
      <c r="R27" s="26"/>
      <c r="S27" s="38">
        <f t="shared" si="3"/>
        <v>1</v>
      </c>
      <c r="T27" s="53" t="str">
        <f t="shared" si="4"/>
        <v>NorthBound</v>
      </c>
      <c r="U27" s="13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04:31:04-0600',mode:absolute,to:'2016-08-14 07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27" s="55" t="str">
        <f t="shared" si="6"/>
        <v>N</v>
      </c>
      <c r="X27" s="129">
        <f t="shared" si="7"/>
        <v>1</v>
      </c>
      <c r="Y27" s="70">
        <f t="shared" si="8"/>
        <v>7.5899999999999995E-2</v>
      </c>
      <c r="Z27" s="70">
        <f t="shared" si="9"/>
        <v>23.3276</v>
      </c>
      <c r="AA27" s="70">
        <f t="shared" si="10"/>
        <v>23.2517</v>
      </c>
      <c r="AB27" s="67" t="e">
        <f>VLOOKUP(A27,Enforcements!$C$7:$J$24,8,0)</f>
        <v>#N/A</v>
      </c>
      <c r="AC27" s="63" t="e">
        <f>VLOOKUP(A27,Enforcements!$C$7:$E$24,3,0)</f>
        <v>#N/A</v>
      </c>
      <c r="AD27" s="64" t="str">
        <f t="shared" si="11"/>
        <v>0115-14</v>
      </c>
      <c r="AE27" s="104" t="str">
        <f t="shared" si="12"/>
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</c>
      <c r="AF27" s="101" t="str">
        <f t="shared" si="13"/>
        <v>"C:\Program Files (x86)\AstroGrep\AstroGrep.exe" /spath="%USERPROFILE%\AppData\Local\Temp\OnboardLogs" /stypes="*4029*20160814*"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5" t="str">
        <f t="shared" si="16"/>
        <v>"%USERPROFILE%\Documents\GitHub\eaglep3\Utilities\RefineRTDCRunTimes.py" --tripid 115-14 --locoid 4029 --swversion DE.1.0.7.0 --startMP 204:759 --initTime 2016-08-14T05:31:04 --startdatetime 2016-08-14T05:31:58 --delay 0 --endMP 204:233276 --enddatetime 2016-08-14T06:06:42 --enforcementcount 0</v>
      </c>
    </row>
    <row r="28" spans="1:34" s="1" customFormat="1" ht="14.25" customHeight="1" x14ac:dyDescent="0.25">
      <c r="A28" s="40" t="s">
        <v>337</v>
      </c>
      <c r="B28" s="142">
        <v>4030</v>
      </c>
      <c r="C28" s="25" t="s">
        <v>120</v>
      </c>
      <c r="D28" s="25" t="s">
        <v>338</v>
      </c>
      <c r="E28" s="16">
        <v>42596.255358796298</v>
      </c>
      <c r="F28" s="16">
        <v>42596.256273148145</v>
      </c>
      <c r="G28" s="7">
        <v>1</v>
      </c>
      <c r="H28" s="16" t="s">
        <v>339</v>
      </c>
      <c r="I28" s="16">
        <v>42596.294004629628</v>
      </c>
      <c r="J28" s="7">
        <v>0</v>
      </c>
      <c r="K28" s="143" t="str">
        <f t="shared" si="0"/>
        <v>4029/4030</v>
      </c>
      <c r="L28" s="25" t="str">
        <f>VLOOKUP(A28,'Trips&amp;Operators'!$C$1:$E$10000,3,FALSE)</f>
        <v>YORK</v>
      </c>
      <c r="M28" s="6">
        <f t="shared" si="1"/>
        <v>3.7731481483206153E-2</v>
      </c>
      <c r="N28" s="7">
        <f t="shared" si="17"/>
        <v>54.33333333581686</v>
      </c>
      <c r="O28" s="7"/>
      <c r="P28" s="7"/>
      <c r="Q28" s="26"/>
      <c r="R28" s="26"/>
      <c r="S28" s="38">
        <f t="shared" si="3"/>
        <v>1</v>
      </c>
      <c r="T28" s="53" t="str">
        <f t="shared" si="4"/>
        <v>Southbound</v>
      </c>
      <c r="U28" s="13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05:07:43-0600',mode:absolute,to:'2016-08-14 08:03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28" s="55" t="str">
        <f t="shared" si="6"/>
        <v>N</v>
      </c>
      <c r="X28" s="129">
        <f t="shared" si="7"/>
        <v>1</v>
      </c>
      <c r="Y28" s="70">
        <f t="shared" si="8"/>
        <v>23.295999999999999</v>
      </c>
      <c r="Z28" s="70">
        <f t="shared" si="9"/>
        <v>1.7000000000000001E-2</v>
      </c>
      <c r="AA28" s="70">
        <f t="shared" si="10"/>
        <v>23.279</v>
      </c>
      <c r="AB28" s="67" t="e">
        <f>VLOOKUP(A28,Enforcements!$C$7:$J$24,8,0)</f>
        <v>#N/A</v>
      </c>
      <c r="AC28" s="63" t="e">
        <f>VLOOKUP(A28,Enforcements!$C$7:$E$24,3,0)</f>
        <v>#N/A</v>
      </c>
      <c r="AD28" s="64" t="str">
        <f t="shared" si="11"/>
        <v>0116-14</v>
      </c>
      <c r="AE28" s="104" t="str">
        <f t="shared" si="12"/>
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</c>
      <c r="AF28" s="101" t="str">
        <f t="shared" si="13"/>
        <v>"C:\Program Files (x86)\AstroGrep\AstroGrep.exe" /spath="%USERPROFILE%\AppData\Local\Temp\OnboardLogs" /stypes="*4030*20160814*"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5" t="str">
        <f t="shared" si="16"/>
        <v>"%USERPROFILE%\Documents\GitHub\eaglep3\Utilities\RefineRTDCRunTimes.py" --tripid 116-14 --locoid 4030 --swversion DE.1.0.7.0 --startMP 204:232960 --initTime 2016-08-14T06:07:43 --startdatetime 2016-08-14T06:09:02 --delay 1 --endMP 204:170 --enddatetime 2016-08-14T07:03:22 --enforcementcount 0</v>
      </c>
    </row>
    <row r="29" spans="1:34" s="1" customFormat="1" x14ac:dyDescent="0.25">
      <c r="A29" s="40" t="s">
        <v>340</v>
      </c>
      <c r="B29" s="7">
        <v>4016</v>
      </c>
      <c r="C29" s="25" t="s">
        <v>120</v>
      </c>
      <c r="D29" s="25" t="s">
        <v>341</v>
      </c>
      <c r="E29" s="16">
        <v>42596.235000000001</v>
      </c>
      <c r="F29" s="16">
        <v>42596.236319444448</v>
      </c>
      <c r="G29" s="7">
        <v>1</v>
      </c>
      <c r="H29" s="16" t="s">
        <v>251</v>
      </c>
      <c r="I29" s="16">
        <v>42596.26457175926</v>
      </c>
      <c r="J29" s="7">
        <v>0</v>
      </c>
      <c r="K29" s="143" t="str">
        <f t="shared" si="0"/>
        <v>4015/4016</v>
      </c>
      <c r="L29" s="25" t="str">
        <f>VLOOKUP(A29,'Trips&amp;Operators'!$C$1:$E$10000,3,FALSE)</f>
        <v>ACKERMAN</v>
      </c>
      <c r="M29" s="6">
        <f t="shared" si="1"/>
        <v>2.8252314812561963E-2</v>
      </c>
      <c r="N29" s="7">
        <f t="shared" si="17"/>
        <v>40.683333330089226</v>
      </c>
      <c r="O29" s="7"/>
      <c r="P29" s="7"/>
      <c r="Q29" s="26"/>
      <c r="R29" s="26"/>
      <c r="S29" s="38">
        <f t="shared" si="3"/>
        <v>1</v>
      </c>
      <c r="T29" s="53" t="str">
        <f t="shared" si="4"/>
        <v>NorthBound</v>
      </c>
      <c r="U29" s="13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04:38:24-0600',mode:absolute,to:'2016-08-14 07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29" s="55" t="str">
        <f t="shared" si="6"/>
        <v>N</v>
      </c>
      <c r="X29" s="129">
        <f t="shared" si="7"/>
        <v>1</v>
      </c>
      <c r="Y29" s="70">
        <f t="shared" si="8"/>
        <v>4.3499999999999997E-2</v>
      </c>
      <c r="Z29" s="70">
        <f t="shared" si="9"/>
        <v>23.328800000000001</v>
      </c>
      <c r="AA29" s="70">
        <f t="shared" si="10"/>
        <v>23.285299999999999</v>
      </c>
      <c r="AB29" s="67" t="e">
        <f>VLOOKUP(A29,Enforcements!$C$7:$J$24,8,0)</f>
        <v>#N/A</v>
      </c>
      <c r="AC29" s="63" t="e">
        <f>VLOOKUP(A29,Enforcements!$C$7:$E$24,3,0)</f>
        <v>#N/A</v>
      </c>
      <c r="AD29" s="64" t="str">
        <f t="shared" si="11"/>
        <v>0117-14</v>
      </c>
      <c r="AE29" s="104" t="str">
        <f t="shared" si="12"/>
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</c>
      <c r="AF29" s="101" t="str">
        <f t="shared" si="13"/>
        <v>"C:\Program Files (x86)\AstroGrep\AstroGrep.exe" /spath="%USERPROFILE%\AppData\Local\Temp\OnboardLogs" /stypes="*4016*20160814*"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5" t="str">
        <f t="shared" si="16"/>
        <v>"%USERPROFILE%\Documents\GitHub\eaglep3\Utilities\RefineRTDCRunTimes.py" --tripid 117-14 --locoid 4016 --swversion DE.1.0.7.0 --startMP 204:435 --initTime 2016-08-14T05:38:24 --startdatetime 2016-08-14T05:40:18 --delay 1 --endMP 204:233288 --enddatetime 2016-08-14T06:20:59 --enforcementcount 0</v>
      </c>
    </row>
    <row r="30" spans="1:34" s="1" customFormat="1" x14ac:dyDescent="0.25">
      <c r="A30" s="40" t="s">
        <v>342</v>
      </c>
      <c r="B30" s="7">
        <v>4015</v>
      </c>
      <c r="C30" s="25" t="s">
        <v>120</v>
      </c>
      <c r="D30" s="25" t="s">
        <v>255</v>
      </c>
      <c r="E30" s="16">
        <v>42596.271701388891</v>
      </c>
      <c r="F30" s="16">
        <v>42596.273032407407</v>
      </c>
      <c r="G30" s="7">
        <v>1</v>
      </c>
      <c r="H30" s="16" t="s">
        <v>257</v>
      </c>
      <c r="I30" s="16">
        <v>42596.305706018517</v>
      </c>
      <c r="J30" s="7">
        <v>0</v>
      </c>
      <c r="K30" s="143" t="str">
        <f t="shared" si="0"/>
        <v>4015/4016</v>
      </c>
      <c r="L30" s="25" t="str">
        <f>VLOOKUP(A30,'Trips&amp;Operators'!$C$1:$E$10000,3,FALSE)</f>
        <v>ACKERMAN</v>
      </c>
      <c r="M30" s="6">
        <f t="shared" si="1"/>
        <v>3.2673611109203193E-2</v>
      </c>
      <c r="N30" s="7">
        <f t="shared" si="17"/>
        <v>47.049999997252598</v>
      </c>
      <c r="O30" s="7"/>
      <c r="P30" s="7"/>
      <c r="Q30" s="26"/>
      <c r="R30" s="26"/>
      <c r="S30" s="38">
        <f t="shared" si="3"/>
        <v>1</v>
      </c>
      <c r="T30" s="53" t="str">
        <f t="shared" si="4"/>
        <v>Southbound</v>
      </c>
      <c r="U30" s="13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05:31:15-0600',mode:absolute,to:'2016-08-14 08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30" s="55" t="str">
        <f t="shared" si="6"/>
        <v>N</v>
      </c>
      <c r="X30" s="129">
        <f t="shared" si="7"/>
        <v>1</v>
      </c>
      <c r="Y30" s="70">
        <f t="shared" si="8"/>
        <v>23.298200000000001</v>
      </c>
      <c r="Z30" s="70">
        <f t="shared" si="9"/>
        <v>1.2699999999999999E-2</v>
      </c>
      <c r="AA30" s="70">
        <f t="shared" si="10"/>
        <v>23.285500000000003</v>
      </c>
      <c r="AB30" s="67" t="e">
        <f>VLOOKUP(A30,Enforcements!$C$7:$J$24,8,0)</f>
        <v>#N/A</v>
      </c>
      <c r="AC30" s="63" t="e">
        <f>VLOOKUP(A30,Enforcements!$C$7:$E$24,3,0)</f>
        <v>#N/A</v>
      </c>
      <c r="AD30" s="64" t="str">
        <f t="shared" si="11"/>
        <v>0118-14</v>
      </c>
      <c r="AE30" s="104" t="str">
        <f t="shared" si="12"/>
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</c>
      <c r="AF30" s="101" t="str">
        <f t="shared" si="13"/>
        <v>"C:\Program Files (x86)\AstroGrep\AstroGrep.exe" /spath="%USERPROFILE%\AppData\Local\Temp\OnboardLogs" /stypes="*4015*20160814*"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5" t="str">
        <f t="shared" si="16"/>
        <v>"%USERPROFILE%\Documents\GitHub\eaglep3\Utilities\RefineRTDCRunTimes.py" --tripid 118-14 --locoid 4015 --swversion DE.1.0.7.0 --startMP 204:232982 --initTime 2016-08-14T06:31:15 --startdatetime 2016-08-14T06:33:10 --delay 1 --endMP 204:127 --enddatetime 2016-08-14T07:20:13 --enforcementcount 0</v>
      </c>
    </row>
    <row r="31" spans="1:34" s="1" customFormat="1" x14ac:dyDescent="0.25">
      <c r="A31" s="40" t="s">
        <v>343</v>
      </c>
      <c r="B31" s="7">
        <v>4011</v>
      </c>
      <c r="C31" s="25" t="s">
        <v>120</v>
      </c>
      <c r="D31" s="25" t="s">
        <v>195</v>
      </c>
      <c r="E31" s="16">
        <v>42596.247372685182</v>
      </c>
      <c r="F31" s="16">
        <v>42596.248483796298</v>
      </c>
      <c r="G31" s="7">
        <v>1</v>
      </c>
      <c r="H31" s="16" t="s">
        <v>200</v>
      </c>
      <c r="I31" s="16">
        <v>42596.27547453704</v>
      </c>
      <c r="J31" s="7">
        <v>0</v>
      </c>
      <c r="K31" s="143" t="str">
        <f t="shared" si="0"/>
        <v>4011/4012</v>
      </c>
      <c r="L31" s="25" t="str">
        <f>VLOOKUP(A31,'Trips&amp;Operators'!$C$1:$E$10000,3,FALSE)</f>
        <v>MAELZER</v>
      </c>
      <c r="M31" s="6">
        <f t="shared" si="1"/>
        <v>2.6990740741894115E-2</v>
      </c>
      <c r="N31" s="7">
        <f t="shared" si="17"/>
        <v>38.866666668327525</v>
      </c>
      <c r="O31" s="7"/>
      <c r="P31" s="7"/>
      <c r="Q31" s="26"/>
      <c r="R31" s="26"/>
      <c r="S31" s="38">
        <f t="shared" si="3"/>
        <v>1</v>
      </c>
      <c r="T31" s="53" t="str">
        <f t="shared" si="4"/>
        <v>NorthBound</v>
      </c>
      <c r="U31" s="13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04:56:13-0600',mode:absolute,to:'2016-08-14 07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31" s="55" t="str">
        <f t="shared" si="6"/>
        <v>N</v>
      </c>
      <c r="X31" s="129">
        <f t="shared" si="7"/>
        <v>1</v>
      </c>
      <c r="Y31" s="70">
        <f t="shared" si="8"/>
        <v>7.1199999999999999E-2</v>
      </c>
      <c r="Z31" s="70">
        <f t="shared" si="9"/>
        <v>23.329699999999999</v>
      </c>
      <c r="AA31" s="70">
        <f t="shared" si="10"/>
        <v>23.258499999999998</v>
      </c>
      <c r="AB31" s="67" t="e">
        <f>VLOOKUP(A31,Enforcements!$C$7:$J$24,8,0)</f>
        <v>#N/A</v>
      </c>
      <c r="AC31" s="63" t="e">
        <f>VLOOKUP(A31,Enforcements!$C$7:$E$24,3,0)</f>
        <v>#N/A</v>
      </c>
      <c r="AD31" s="64" t="str">
        <f t="shared" si="11"/>
        <v>0119-14</v>
      </c>
      <c r="AE31" s="104" t="str">
        <f t="shared" si="12"/>
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</c>
      <c r="AF31" s="101" t="str">
        <f t="shared" si="13"/>
        <v>"C:\Program Files (x86)\AstroGrep\AstroGrep.exe" /spath="%USERPROFILE%\AppData\Local\Temp\OnboardLogs" /stypes="*4011*20160814*"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5" t="str">
        <f t="shared" si="16"/>
        <v>"%USERPROFILE%\Documents\GitHub\eaglep3\Utilities\RefineRTDCRunTimes.py" --tripid 119-14 --locoid 4011 --swversion DE.1.0.7.0 --startMP 204:712 --initTime 2016-08-14T05:56:13 --startdatetime 2016-08-14T05:57:49 --delay 1 --endMP 204:233297 --enddatetime 2016-08-14T06:36:41 --enforcementcount 0</v>
      </c>
    </row>
    <row r="32" spans="1:34" s="1" customFormat="1" x14ac:dyDescent="0.25">
      <c r="A32" s="40" t="s">
        <v>344</v>
      </c>
      <c r="B32" s="7">
        <v>4012</v>
      </c>
      <c r="C32" s="25" t="s">
        <v>120</v>
      </c>
      <c r="D32" s="25" t="s">
        <v>345</v>
      </c>
      <c r="E32" s="16">
        <v>42596.282673611109</v>
      </c>
      <c r="F32" s="16">
        <v>42596.283587962964</v>
      </c>
      <c r="G32" s="7">
        <v>1</v>
      </c>
      <c r="H32" s="16" t="s">
        <v>143</v>
      </c>
      <c r="I32" s="16">
        <v>42596.315891203703</v>
      </c>
      <c r="J32" s="7">
        <v>0</v>
      </c>
      <c r="K32" s="143" t="str">
        <f t="shared" si="0"/>
        <v>4011/4012</v>
      </c>
      <c r="L32" s="25" t="str">
        <f>VLOOKUP(A32,'Trips&amp;Operators'!$C$1:$E$10000,3,FALSE)</f>
        <v>MAELZER</v>
      </c>
      <c r="M32" s="6">
        <f t="shared" si="1"/>
        <v>3.2303240739565808E-2</v>
      </c>
      <c r="N32" s="7">
        <f t="shared" si="17"/>
        <v>46.516666664974764</v>
      </c>
      <c r="O32" s="7"/>
      <c r="P32" s="7"/>
      <c r="Q32" s="26"/>
      <c r="R32" s="26"/>
      <c r="S32" s="38">
        <f t="shared" si="3"/>
        <v>1</v>
      </c>
      <c r="T32" s="53" t="str">
        <f t="shared" si="4"/>
        <v>Southbound</v>
      </c>
      <c r="U32" s="13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05:47:03-0600',mode:absolute,to:'2016-08-14 08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32" s="55" t="str">
        <f t="shared" si="6"/>
        <v>N</v>
      </c>
      <c r="X32" s="129">
        <f t="shared" si="7"/>
        <v>1</v>
      </c>
      <c r="Y32" s="70">
        <f t="shared" si="8"/>
        <v>23.2987</v>
      </c>
      <c r="Z32" s="70">
        <f t="shared" si="9"/>
        <v>1.47E-2</v>
      </c>
      <c r="AA32" s="70">
        <f t="shared" si="10"/>
        <v>23.283999999999999</v>
      </c>
      <c r="AB32" s="67" t="e">
        <f>VLOOKUP(A32,Enforcements!$C$7:$J$24,8,0)</f>
        <v>#N/A</v>
      </c>
      <c r="AC32" s="63" t="e">
        <f>VLOOKUP(A32,Enforcements!$C$7:$E$24,3,0)</f>
        <v>#N/A</v>
      </c>
      <c r="AD32" s="64" t="str">
        <f t="shared" si="11"/>
        <v>0120-14</v>
      </c>
      <c r="AE32" s="104" t="str">
        <f t="shared" si="12"/>
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</c>
      <c r="AF32" s="101" t="str">
        <f t="shared" si="13"/>
        <v>"C:\Program Files (x86)\AstroGrep\AstroGrep.exe" /spath="%USERPROFILE%\AppData\Local\Temp\OnboardLogs" /stypes="*4012*20160814*"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5" t="str">
        <f t="shared" si="16"/>
        <v>"%USERPROFILE%\Documents\GitHub\eaglep3\Utilities\RefineRTDCRunTimes.py" --tripid 120-14 --locoid 4012 --swversion DE.1.0.7.0 --startMP 204:232987 --initTime 2016-08-14T06:47:03 --startdatetime 2016-08-14T06:48:22 --delay 1 --endMP 204:147 --enddatetime 2016-08-14T07:34:53 --enforcementcount 0</v>
      </c>
    </row>
    <row r="33" spans="1:34" s="1" customFormat="1" x14ac:dyDescent="0.25">
      <c r="A33" s="40" t="s">
        <v>346</v>
      </c>
      <c r="B33" s="7">
        <v>4027</v>
      </c>
      <c r="C33" s="25" t="s">
        <v>120</v>
      </c>
      <c r="D33" s="25" t="s">
        <v>144</v>
      </c>
      <c r="E33" s="16">
        <v>42596.256180555552</v>
      </c>
      <c r="F33" s="16">
        <v>42596.257303240738</v>
      </c>
      <c r="G33" s="7">
        <v>1</v>
      </c>
      <c r="H33" s="16" t="s">
        <v>200</v>
      </c>
      <c r="I33" s="16">
        <v>42596.285509259258</v>
      </c>
      <c r="J33" s="7">
        <v>0</v>
      </c>
      <c r="K33" s="143" t="str">
        <f t="shared" si="0"/>
        <v>4027/4028</v>
      </c>
      <c r="L33" s="25" t="str">
        <f>VLOOKUP(A33,'Trips&amp;Operators'!$C$1:$E$10000,3,FALSE)</f>
        <v>DAVIS</v>
      </c>
      <c r="M33" s="6">
        <f t="shared" si="1"/>
        <v>2.8206018519995268E-2</v>
      </c>
      <c r="N33" s="7">
        <f t="shared" si="17"/>
        <v>40.616666668793187</v>
      </c>
      <c r="O33" s="7"/>
      <c r="P33" s="7"/>
      <c r="Q33" s="26"/>
      <c r="R33" s="26"/>
      <c r="S33" s="38">
        <f t="shared" si="3"/>
        <v>1</v>
      </c>
      <c r="T33" s="53" t="str">
        <f t="shared" si="4"/>
        <v>NorthBound</v>
      </c>
      <c r="U33" s="13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05:08:54-0600',mode:absolute,to:'2016-08-14 07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33" s="55" t="str">
        <f t="shared" si="6"/>
        <v>N</v>
      </c>
      <c r="X33" s="129">
        <f t="shared" si="7"/>
        <v>1</v>
      </c>
      <c r="Y33" s="70">
        <f t="shared" si="8"/>
        <v>4.53E-2</v>
      </c>
      <c r="Z33" s="70">
        <f t="shared" si="9"/>
        <v>23.329699999999999</v>
      </c>
      <c r="AA33" s="70">
        <f t="shared" si="10"/>
        <v>23.284399999999998</v>
      </c>
      <c r="AB33" s="67" t="e">
        <f>VLOOKUP(A33,Enforcements!$C$7:$J$24,8,0)</f>
        <v>#N/A</v>
      </c>
      <c r="AC33" s="63" t="e">
        <f>VLOOKUP(A33,Enforcements!$C$7:$E$24,3,0)</f>
        <v>#N/A</v>
      </c>
      <c r="AD33" s="64" t="str">
        <f t="shared" si="11"/>
        <v>0121-14</v>
      </c>
      <c r="AE33" s="104" t="str">
        <f t="shared" si="12"/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AF33" s="101" t="str">
        <f t="shared" si="13"/>
        <v>"C:\Program Files (x86)\AstroGrep\AstroGrep.exe" /spath="%USERPROFILE%\AppData\Local\Temp\OnboardLogs" /stypes="*4027*20160814*"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5" t="str">
        <f t="shared" si="16"/>
        <v>"%USERPROFILE%\Documents\GitHub\eaglep3\Utilities\RefineRTDCRunTimes.py" --tripid 121-14 --locoid 4027 --swversion DE.1.0.7.0 --startMP 204:453 --initTime 2016-08-14T06:08:54 --startdatetime 2016-08-14T06:10:31 --delay 1 --endMP 204:233297 --enddatetime 2016-08-14T06:51:08 --enforcementcount 0</v>
      </c>
    </row>
    <row r="34" spans="1:34" s="1" customFormat="1" x14ac:dyDescent="0.25">
      <c r="A34" s="40" t="s">
        <v>347</v>
      </c>
      <c r="B34" s="7">
        <v>4028</v>
      </c>
      <c r="C34" s="25" t="s">
        <v>120</v>
      </c>
      <c r="D34" s="25" t="s">
        <v>259</v>
      </c>
      <c r="E34" s="16">
        <v>42596.292939814812</v>
      </c>
      <c r="F34" s="16">
        <v>42596.293749999997</v>
      </c>
      <c r="G34" s="7">
        <v>1</v>
      </c>
      <c r="H34" s="16" t="s">
        <v>148</v>
      </c>
      <c r="I34" s="16">
        <v>42596.327604166669</v>
      </c>
      <c r="J34" s="7">
        <v>0</v>
      </c>
      <c r="K34" s="143" t="str">
        <f t="shared" si="0"/>
        <v>4027/4028</v>
      </c>
      <c r="L34" s="25" t="str">
        <f>VLOOKUP(A34,'Trips&amp;Operators'!$C$1:$E$10000,3,FALSE)</f>
        <v>DAVIS</v>
      </c>
      <c r="M34" s="6">
        <f t="shared" si="1"/>
        <v>3.3854166671517305E-2</v>
      </c>
      <c r="N34" s="7">
        <f t="shared" si="17"/>
        <v>48.750000006984919</v>
      </c>
      <c r="O34" s="7"/>
      <c r="P34" s="7"/>
      <c r="Q34" s="26"/>
      <c r="R34" s="26"/>
      <c r="S34" s="38">
        <f t="shared" si="3"/>
        <v>1</v>
      </c>
      <c r="T34" s="53" t="str">
        <f t="shared" si="4"/>
        <v>Southbound</v>
      </c>
      <c r="U34" s="13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06:01:50-0600',mode:absolute,to:'2016-08-14 08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34" s="55" t="str">
        <f t="shared" si="6"/>
        <v>N</v>
      </c>
      <c r="X34" s="129">
        <f t="shared" si="7"/>
        <v>1</v>
      </c>
      <c r="Y34" s="70">
        <f t="shared" si="8"/>
        <v>23.296700000000001</v>
      </c>
      <c r="Z34" s="70">
        <f t="shared" si="9"/>
        <v>1.49E-2</v>
      </c>
      <c r="AA34" s="70">
        <f t="shared" si="10"/>
        <v>23.2818</v>
      </c>
      <c r="AB34" s="67" t="e">
        <f>VLOOKUP(A34,Enforcements!$C$7:$J$24,8,0)</f>
        <v>#N/A</v>
      </c>
      <c r="AC34" s="63" t="e">
        <f>VLOOKUP(A34,Enforcements!$C$7:$E$24,3,0)</f>
        <v>#N/A</v>
      </c>
      <c r="AD34" s="64" t="str">
        <f t="shared" si="11"/>
        <v>0122-14</v>
      </c>
      <c r="AE34" s="104" t="str">
        <f t="shared" si="12"/>
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</c>
      <c r="AF34" s="101" t="str">
        <f t="shared" si="13"/>
        <v>"C:\Program Files (x86)\AstroGrep\AstroGrep.exe" /spath="%USERPROFILE%\AppData\Local\Temp\OnboardLogs" /stypes="*4028*20160814*"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5" t="str">
        <f t="shared" si="16"/>
        <v>"%USERPROFILE%\Documents\GitHub\eaglep3\Utilities\RefineRTDCRunTimes.py" --tripid 122-14 --locoid 4028 --swversion DE.1.0.7.0 --startMP 204:232967 --initTime 2016-08-14T07:01:50 --startdatetime 2016-08-14T07:03:00 --delay 1 --endMP 204:149 --enddatetime 2016-08-14T07:51:45 --enforcementcount 0</v>
      </c>
    </row>
    <row r="35" spans="1:34" s="1" customFormat="1" x14ac:dyDescent="0.25">
      <c r="A35" s="40" t="s">
        <v>348</v>
      </c>
      <c r="B35" s="7">
        <v>4038</v>
      </c>
      <c r="C35" s="25" t="s">
        <v>120</v>
      </c>
      <c r="D35" s="25" t="s">
        <v>349</v>
      </c>
      <c r="E35" s="16">
        <v>42596.269513888888</v>
      </c>
      <c r="F35" s="16">
        <v>42596.270428240743</v>
      </c>
      <c r="G35" s="7">
        <v>1</v>
      </c>
      <c r="H35" s="16" t="s">
        <v>204</v>
      </c>
      <c r="I35" s="16">
        <v>42596.296041666668</v>
      </c>
      <c r="J35" s="7">
        <v>0</v>
      </c>
      <c r="K35" s="143" t="str">
        <f t="shared" si="0"/>
        <v>4037/4038</v>
      </c>
      <c r="L35" s="25" t="str">
        <f>VLOOKUP(A35,'Trips&amp;Operators'!$C$1:$E$10000,3,FALSE)</f>
        <v>MALAVE</v>
      </c>
      <c r="M35" s="6">
        <f t="shared" si="1"/>
        <v>2.5613425925257616E-2</v>
      </c>
      <c r="N35" s="7">
        <f t="shared" si="17"/>
        <v>36.883333332370967</v>
      </c>
      <c r="O35" s="7"/>
      <c r="P35" s="7"/>
      <c r="Q35" s="26"/>
      <c r="R35" s="26"/>
      <c r="S35" s="38">
        <f t="shared" si="3"/>
        <v>1</v>
      </c>
      <c r="T35" s="53" t="str">
        <f t="shared" si="4"/>
        <v>NorthBound</v>
      </c>
      <c r="U35" s="13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05:28:06-0600',mode:absolute,to:'2016-08-14 08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35" s="55" t="str">
        <f t="shared" si="6"/>
        <v>N</v>
      </c>
      <c r="X35" s="129">
        <f t="shared" si="7"/>
        <v>1</v>
      </c>
      <c r="Y35" s="70">
        <f t="shared" si="8"/>
        <v>7.2099999999999997E-2</v>
      </c>
      <c r="Z35" s="70">
        <f t="shared" si="9"/>
        <v>23.330400000000001</v>
      </c>
      <c r="AA35" s="70">
        <f t="shared" si="10"/>
        <v>23.258300000000002</v>
      </c>
      <c r="AB35" s="67" t="e">
        <f>VLOOKUP(A35,Enforcements!$C$7:$J$24,8,0)</f>
        <v>#N/A</v>
      </c>
      <c r="AC35" s="63" t="e">
        <f>VLOOKUP(A35,Enforcements!$C$7:$E$24,3,0)</f>
        <v>#N/A</v>
      </c>
      <c r="AD35" s="64" t="str">
        <f t="shared" si="11"/>
        <v>0123-14</v>
      </c>
      <c r="AE35" s="104" t="str">
        <f t="shared" si="12"/>
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</c>
      <c r="AF35" s="101" t="str">
        <f t="shared" si="13"/>
        <v>"C:\Program Files (x86)\AstroGrep\AstroGrep.exe" /spath="%USERPROFILE%\AppData\Local\Temp\OnboardLogs" /stypes="*4038*20160814*"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5" t="str">
        <f t="shared" si="16"/>
        <v>"%USERPROFILE%\Documents\GitHub\eaglep3\Utilities\RefineRTDCRunTimes.py" --tripid 123-14 --locoid 4038 --swversion DE.1.0.7.0 --startMP 204:721 --initTime 2016-08-14T06:28:06 --startdatetime 2016-08-14T06:29:25 --delay 1 --endMP 204:233304 --enddatetime 2016-08-14T07:06:18 --enforcementcount 0</v>
      </c>
    </row>
    <row r="36" spans="1:34" s="1" customFormat="1" x14ac:dyDescent="0.25">
      <c r="A36" s="40" t="s">
        <v>350</v>
      </c>
      <c r="B36" s="7">
        <v>4037</v>
      </c>
      <c r="C36" s="25" t="s">
        <v>120</v>
      </c>
      <c r="D36" s="25" t="s">
        <v>277</v>
      </c>
      <c r="E36" s="16">
        <v>42596.307962962965</v>
      </c>
      <c r="F36" s="16">
        <v>42596.309965277775</v>
      </c>
      <c r="G36" s="7">
        <v>2</v>
      </c>
      <c r="H36" s="16" t="s">
        <v>199</v>
      </c>
      <c r="I36" s="16">
        <v>42596.336354166669</v>
      </c>
      <c r="J36" s="7">
        <v>0</v>
      </c>
      <c r="K36" s="143" t="str">
        <f t="shared" si="0"/>
        <v>4037/4038</v>
      </c>
      <c r="L36" s="25" t="str">
        <f>VLOOKUP(A36,'Trips&amp;Operators'!$C$1:$E$10000,3,FALSE)</f>
        <v>MALAVE</v>
      </c>
      <c r="M36" s="6">
        <f t="shared" si="1"/>
        <v>2.6388888894871343E-2</v>
      </c>
      <c r="N36" s="7">
        <f t="shared" si="17"/>
        <v>38.000000008614734</v>
      </c>
      <c r="O36" s="7"/>
      <c r="P36" s="7"/>
      <c r="Q36" s="26"/>
      <c r="R36" s="26"/>
      <c r="S36" s="38">
        <f t="shared" si="3"/>
        <v>1</v>
      </c>
      <c r="T36" s="53" t="str">
        <f t="shared" si="4"/>
        <v>Southbound</v>
      </c>
      <c r="U36" s="13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06:23:28-0600',mode:absolute,to:'2016-08-14 09:04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36" s="55" t="str">
        <f t="shared" si="6"/>
        <v>N</v>
      </c>
      <c r="X36" s="129">
        <f t="shared" si="7"/>
        <v>1</v>
      </c>
      <c r="Y36" s="70">
        <f t="shared" si="8"/>
        <v>23.296800000000001</v>
      </c>
      <c r="Z36" s="70">
        <f t="shared" si="9"/>
        <v>1.5599999999999999E-2</v>
      </c>
      <c r="AA36" s="70">
        <f t="shared" si="10"/>
        <v>23.281200000000002</v>
      </c>
      <c r="AB36" s="67" t="e">
        <f>VLOOKUP(A36,Enforcements!$C$7:$J$24,8,0)</f>
        <v>#N/A</v>
      </c>
      <c r="AC36" s="63" t="e">
        <f>VLOOKUP(A36,Enforcements!$C$7:$E$24,3,0)</f>
        <v>#N/A</v>
      </c>
      <c r="AD36" s="64" t="str">
        <f t="shared" si="11"/>
        <v>0124-14</v>
      </c>
      <c r="AE36" s="104" t="str">
        <f t="shared" si="12"/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AF36" s="101" t="str">
        <f t="shared" si="13"/>
        <v>"C:\Program Files (x86)\AstroGrep\AstroGrep.exe" /spath="%USERPROFILE%\AppData\Local\Temp\OnboardLogs" /stypes="*4037*20160814*"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5" t="str">
        <f t="shared" si="16"/>
        <v>"%USERPROFILE%\Documents\GitHub\eaglep3\Utilities\RefineRTDCRunTimes.py" --tripid 124-14 --locoid 4037 --swversion DE.1.0.7.0 --startMP 204:232968 --initTime 2016-08-14T07:23:28 --startdatetime 2016-08-14T07:26:21 --delay 2 --endMP 204:156 --enddatetime 2016-08-14T08:04:21 --enforcementcount 0</v>
      </c>
    </row>
    <row r="37" spans="1:34" s="1" customFormat="1" x14ac:dyDescent="0.25">
      <c r="A37" s="40" t="s">
        <v>351</v>
      </c>
      <c r="B37" s="7">
        <v>4031</v>
      </c>
      <c r="C37" s="25" t="s">
        <v>120</v>
      </c>
      <c r="D37" s="25" t="s">
        <v>352</v>
      </c>
      <c r="E37" s="16">
        <v>42596.278587962966</v>
      </c>
      <c r="F37" s="16">
        <v>42596.279733796298</v>
      </c>
      <c r="G37" s="7">
        <v>1</v>
      </c>
      <c r="H37" s="16" t="s">
        <v>180</v>
      </c>
      <c r="I37" s="16">
        <v>42596.31726851852</v>
      </c>
      <c r="J37" s="7">
        <v>0</v>
      </c>
      <c r="K37" s="143" t="str">
        <f t="shared" si="0"/>
        <v>4031/4032</v>
      </c>
      <c r="L37" s="25" t="str">
        <f>VLOOKUP(A37,'Trips&amp;Operators'!$C$1:$E$10000,3,FALSE)</f>
        <v>STRICKLAND</v>
      </c>
      <c r="M37" s="6">
        <f t="shared" si="1"/>
        <v>3.7534722221607808E-2</v>
      </c>
      <c r="N37" s="7">
        <f t="shared" si="17"/>
        <v>54.049999999115244</v>
      </c>
      <c r="O37" s="7"/>
      <c r="P37" s="7"/>
      <c r="Q37" s="26"/>
      <c r="R37" s="26"/>
      <c r="S37" s="38">
        <f t="shared" si="3"/>
        <v>1</v>
      </c>
      <c r="T37" s="53" t="str">
        <f t="shared" si="4"/>
        <v>NorthBound</v>
      </c>
      <c r="U37" s="13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05:41:10-0600',mode:absolute,to:'2016-08-14 08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37" s="55" t="str">
        <f t="shared" si="6"/>
        <v>N</v>
      </c>
      <c r="X37" s="129">
        <f t="shared" si="7"/>
        <v>1</v>
      </c>
      <c r="Y37" s="70">
        <f t="shared" si="8"/>
        <v>4.1099999999999998E-2</v>
      </c>
      <c r="Z37" s="70">
        <f t="shared" si="9"/>
        <v>23.327999999999999</v>
      </c>
      <c r="AA37" s="70">
        <f t="shared" si="10"/>
        <v>23.286899999999999</v>
      </c>
      <c r="AB37" s="67">
        <f>VLOOKUP(A37,Enforcements!$C$7:$J$24,8,0)</f>
        <v>116838</v>
      </c>
      <c r="AC37" s="63" t="str">
        <f>VLOOKUP(A37,Enforcements!$C$7:$E$24,3,0)</f>
        <v>PERMANENT SPEED RESTRICTION</v>
      </c>
      <c r="AD37" s="64" t="str">
        <f t="shared" si="11"/>
        <v>0125-14</v>
      </c>
      <c r="AE37" s="104" t="str">
        <f t="shared" si="12"/>
        <v>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 &amp; 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</v>
      </c>
      <c r="AF37" s="101" t="str">
        <f t="shared" si="13"/>
        <v>"C:\Program Files (x86)\AstroGrep\AstroGrep.exe" /spath="%USERPROFILE%\AppData\Local\Temp\OnboardLogs" /stypes="*4031*20160814*"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5" t="str">
        <f t="shared" si="16"/>
        <v>"%USERPROFILE%\Documents\GitHub\eaglep3\Utilities\RefineRTDCRunTimes.py" --tripid 125-14 --locoid 4031 --swversion DE.1.0.7.0 --startMP 204:411 --initTime 2016-08-14T06:41:10 --startdatetime 2016-08-14T06:42:49 --delay 1 --endMP 204:233280 --enddatetime 2016-08-14T07:36:52 --enforcementcount 0</v>
      </c>
    </row>
    <row r="38" spans="1:34" s="1" customFormat="1" x14ac:dyDescent="0.25">
      <c r="A38" s="40" t="s">
        <v>353</v>
      </c>
      <c r="B38" s="7">
        <v>4032</v>
      </c>
      <c r="C38" s="25" t="s">
        <v>120</v>
      </c>
      <c r="D38" s="25" t="s">
        <v>354</v>
      </c>
      <c r="E38" s="16">
        <v>42596.315868055557</v>
      </c>
      <c r="F38" s="16">
        <v>42596.317476851851</v>
      </c>
      <c r="G38" s="7">
        <v>2</v>
      </c>
      <c r="H38" s="16" t="s">
        <v>260</v>
      </c>
      <c r="I38" s="16">
        <v>42596.348738425928</v>
      </c>
      <c r="J38" s="7">
        <v>0</v>
      </c>
      <c r="K38" s="143" t="str">
        <f t="shared" si="0"/>
        <v>4031/4032</v>
      </c>
      <c r="L38" s="25" t="str">
        <f>VLOOKUP(A38,'Trips&amp;Operators'!$C$1:$E$10000,3,FALSE)</f>
        <v>STRICKLAND</v>
      </c>
      <c r="M38" s="6">
        <f t="shared" si="1"/>
        <v>3.1261574076779652E-2</v>
      </c>
      <c r="N38" s="7">
        <f t="shared" si="17"/>
        <v>45.016666670562699</v>
      </c>
      <c r="O38" s="7"/>
      <c r="P38" s="7"/>
      <c r="Q38" s="26"/>
      <c r="R38" s="26"/>
      <c r="S38" s="38">
        <f t="shared" si="3"/>
        <v>1</v>
      </c>
      <c r="T38" s="53" t="str">
        <f t="shared" si="4"/>
        <v>Southbound</v>
      </c>
      <c r="U38" s="13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06:34:51-0600',mode:absolute,to:'2016-08-14 09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38" s="55" t="str">
        <f t="shared" si="6"/>
        <v>N</v>
      </c>
      <c r="X38" s="129">
        <f t="shared" si="7"/>
        <v>1</v>
      </c>
      <c r="Y38" s="70">
        <f t="shared" si="8"/>
        <v>23.2971</v>
      </c>
      <c r="Z38" s="70">
        <f t="shared" si="9"/>
        <v>1.67E-2</v>
      </c>
      <c r="AA38" s="70">
        <f t="shared" si="10"/>
        <v>23.2804</v>
      </c>
      <c r="AB38" s="67" t="e">
        <f>VLOOKUP(A38,Enforcements!$C$7:$J$24,8,0)</f>
        <v>#N/A</v>
      </c>
      <c r="AC38" s="63" t="e">
        <f>VLOOKUP(A38,Enforcements!$C$7:$E$24,3,0)</f>
        <v>#N/A</v>
      </c>
      <c r="AD38" s="64" t="str">
        <f t="shared" si="11"/>
        <v>0126-14</v>
      </c>
      <c r="AE38" s="104" t="str">
        <f t="shared" si="12"/>
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</c>
      <c r="AF38" s="101" t="str">
        <f t="shared" si="13"/>
        <v>"C:\Program Files (x86)\AstroGrep\AstroGrep.exe" /spath="%USERPROFILE%\AppData\Local\Temp\OnboardLogs" /stypes="*4032*20160814*"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5" t="str">
        <f t="shared" si="16"/>
        <v>"%USERPROFILE%\Documents\GitHub\eaglep3\Utilities\RefineRTDCRunTimes.py" --tripid 126-14 --locoid 4032 --swversion DE.1.0.7.0 --startMP 204:232971 --initTime 2016-08-14T07:34:51 --startdatetime 2016-08-14T07:37:10 --delay 2 --endMP 204:167 --enddatetime 2016-08-14T08:22:11 --enforcementcount 0</v>
      </c>
    </row>
    <row r="39" spans="1:34" s="1" customFormat="1" x14ac:dyDescent="0.25">
      <c r="A39" s="40" t="s">
        <v>355</v>
      </c>
      <c r="B39" s="7">
        <v>4014</v>
      </c>
      <c r="C39" s="25" t="s">
        <v>120</v>
      </c>
      <c r="D39" s="25" t="s">
        <v>356</v>
      </c>
      <c r="E39" s="16">
        <v>42596.287708333337</v>
      </c>
      <c r="F39" s="16">
        <v>42596.288807870369</v>
      </c>
      <c r="G39" s="7">
        <v>1</v>
      </c>
      <c r="H39" s="16" t="s">
        <v>357</v>
      </c>
      <c r="I39" s="16">
        <v>42596.317361111112</v>
      </c>
      <c r="J39" s="7">
        <v>0</v>
      </c>
      <c r="K39" s="143" t="str">
        <f t="shared" si="0"/>
        <v>4013/4014</v>
      </c>
      <c r="L39" s="25" t="str">
        <f>VLOOKUP(A39,'Trips&amp;Operators'!$C$1:$E$10000,3,FALSE)</f>
        <v>KILLION</v>
      </c>
      <c r="M39" s="6">
        <f t="shared" si="1"/>
        <v>2.8553240743349306E-2</v>
      </c>
      <c r="N39" s="7">
        <f t="shared" si="17"/>
        <v>41.116666670423001</v>
      </c>
      <c r="O39" s="7"/>
      <c r="P39" s="7"/>
      <c r="Q39" s="26"/>
      <c r="R39" s="26"/>
      <c r="S39" s="38">
        <f t="shared" si="3"/>
        <v>1</v>
      </c>
      <c r="T39" s="53" t="str">
        <f t="shared" si="4"/>
        <v>NorthBound</v>
      </c>
      <c r="U39" s="13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05:54:18-0600',mode:absolute,to:'2016-08-14 08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39" s="55" t="str">
        <f t="shared" si="6"/>
        <v>N</v>
      </c>
      <c r="X39" s="129">
        <f t="shared" si="7"/>
        <v>1</v>
      </c>
      <c r="Y39" s="70">
        <f t="shared" si="8"/>
        <v>5.1900000000000002E-2</v>
      </c>
      <c r="Z39" s="70">
        <f t="shared" si="9"/>
        <v>23.320599999999999</v>
      </c>
      <c r="AA39" s="70">
        <f t="shared" si="10"/>
        <v>23.268699999999999</v>
      </c>
      <c r="AB39" s="67" t="e">
        <f>VLOOKUP(A39,Enforcements!$C$7:$J$24,8,0)</f>
        <v>#N/A</v>
      </c>
      <c r="AC39" s="63" t="e">
        <f>VLOOKUP(A39,Enforcements!$C$7:$E$24,3,0)</f>
        <v>#N/A</v>
      </c>
      <c r="AD39" s="64" t="str">
        <f t="shared" si="11"/>
        <v>0127-14</v>
      </c>
      <c r="AE39" s="104" t="str">
        <f t="shared" si="12"/>
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</c>
      <c r="AF39" s="101" t="str">
        <f t="shared" si="13"/>
        <v>"C:\Program Files (x86)\AstroGrep\AstroGrep.exe" /spath="%USERPROFILE%\AppData\Local\Temp\OnboardLogs" /stypes="*4014*20160814*"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5" t="str">
        <f t="shared" si="16"/>
        <v>"%USERPROFILE%\Documents\GitHub\eaglep3\Utilities\RefineRTDCRunTimes.py" --tripid 127-14 --locoid 4014 --swversion DE.1.0.7.0 --startMP 204:519 --initTime 2016-08-14T06:54:18 --startdatetime 2016-08-14T06:55:53 --delay 1 --endMP 204:233206 --enddatetime 2016-08-14T07:37:00 --enforcementcount 0</v>
      </c>
    </row>
    <row r="40" spans="1:34" s="1" customFormat="1" x14ac:dyDescent="0.25">
      <c r="A40" s="40" t="s">
        <v>358</v>
      </c>
      <c r="B40" s="7">
        <v>4013</v>
      </c>
      <c r="C40" s="25" t="s">
        <v>120</v>
      </c>
      <c r="D40" s="25" t="s">
        <v>359</v>
      </c>
      <c r="E40" s="16">
        <v>42596.32335648148</v>
      </c>
      <c r="F40" s="16">
        <v>42596.324247685188</v>
      </c>
      <c r="G40" s="7">
        <v>1</v>
      </c>
      <c r="H40" s="16" t="s">
        <v>203</v>
      </c>
      <c r="I40" s="16">
        <v>42596.357430555552</v>
      </c>
      <c r="J40" s="7">
        <v>0</v>
      </c>
      <c r="K40" s="143" t="str">
        <f t="shared" si="0"/>
        <v>4013/4014</v>
      </c>
      <c r="L40" s="25" t="str">
        <f>VLOOKUP(A40,'Trips&amp;Operators'!$C$1:$E$10000,3,FALSE)</f>
        <v>KILLION</v>
      </c>
      <c r="M40" s="6">
        <f t="shared" si="1"/>
        <v>3.3182870363816619E-2</v>
      </c>
      <c r="N40" s="7">
        <f t="shared" si="17"/>
        <v>47.783333323895931</v>
      </c>
      <c r="O40" s="7"/>
      <c r="P40" s="7"/>
      <c r="Q40" s="26"/>
      <c r="R40" s="26"/>
      <c r="S40" s="38">
        <f t="shared" si="3"/>
        <v>1</v>
      </c>
      <c r="T40" s="53" t="str">
        <f t="shared" si="4"/>
        <v>Southbound</v>
      </c>
      <c r="U40" s="13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06:45:38-0600',mode:absolute,to:'2016-08-14 09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40" s="55" t="str">
        <f t="shared" si="6"/>
        <v>N</v>
      </c>
      <c r="X40" s="129">
        <f t="shared" si="7"/>
        <v>1</v>
      </c>
      <c r="Y40" s="70">
        <f t="shared" si="8"/>
        <v>23.289100000000001</v>
      </c>
      <c r="Z40" s="70">
        <f t="shared" si="9"/>
        <v>1.54E-2</v>
      </c>
      <c r="AA40" s="70">
        <f t="shared" si="10"/>
        <v>23.273700000000002</v>
      </c>
      <c r="AB40" s="67" t="e">
        <f>VLOOKUP(A40,Enforcements!$C$7:$J$24,8,0)</f>
        <v>#N/A</v>
      </c>
      <c r="AC40" s="63" t="e">
        <f>VLOOKUP(A40,Enforcements!$C$7:$E$24,3,0)</f>
        <v>#N/A</v>
      </c>
      <c r="AD40" s="64" t="str">
        <f t="shared" si="11"/>
        <v>0128-14</v>
      </c>
      <c r="AE40" s="104" t="str">
        <f t="shared" si="12"/>
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</c>
      <c r="AF40" s="101" t="str">
        <f t="shared" si="13"/>
        <v>"C:\Program Files (x86)\AstroGrep\AstroGrep.exe" /spath="%USERPROFILE%\AppData\Local\Temp\OnboardLogs" /stypes="*4013*20160814*"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5" t="str">
        <f t="shared" si="16"/>
        <v>"%USERPROFILE%\Documents\GitHub\eaglep3\Utilities\RefineRTDCRunTimes.py" --tripid 128-14 --locoid 4013 --swversion DE.1.0.7.0 --startMP 204:232891 --initTime 2016-08-14T07:45:38 --startdatetime 2016-08-14T07:46:55 --delay 1 --endMP 204:154 --enddatetime 2016-08-14T08:34:42 --enforcementcount 0</v>
      </c>
    </row>
    <row r="41" spans="1:34" s="1" customFormat="1" x14ac:dyDescent="0.25">
      <c r="A41" s="40" t="s">
        <v>360</v>
      </c>
      <c r="B41" s="7">
        <v>4029</v>
      </c>
      <c r="C41" s="25" t="s">
        <v>120</v>
      </c>
      <c r="D41" s="25" t="s">
        <v>142</v>
      </c>
      <c r="E41" s="16">
        <v>42596.295092592591</v>
      </c>
      <c r="F41" s="16">
        <v>42596.295717592591</v>
      </c>
      <c r="G41" s="7">
        <v>0</v>
      </c>
      <c r="H41" s="16" t="s">
        <v>145</v>
      </c>
      <c r="I41" s="16">
        <v>42596.326423611114</v>
      </c>
      <c r="J41" s="7">
        <v>0</v>
      </c>
      <c r="K41" s="143" t="str">
        <f t="shared" si="0"/>
        <v>4029/4030</v>
      </c>
      <c r="L41" s="25" t="str">
        <f>VLOOKUP(A41,'Trips&amp;Operators'!$C$1:$E$10000,3,FALSE)</f>
        <v>YORK</v>
      </c>
      <c r="M41" s="6">
        <f t="shared" si="1"/>
        <v>3.0706018522323575E-2</v>
      </c>
      <c r="N41" s="7">
        <f t="shared" si="17"/>
        <v>44.216666672145948</v>
      </c>
      <c r="O41" s="7"/>
      <c r="P41" s="7"/>
      <c r="Q41" s="26"/>
      <c r="R41" s="26"/>
      <c r="S41" s="38">
        <f t="shared" si="3"/>
        <v>1</v>
      </c>
      <c r="T41" s="53" t="str">
        <f t="shared" si="4"/>
        <v>NorthBound</v>
      </c>
      <c r="U41" s="13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06:04:56-0600',mode:absolute,to:'2016-08-14 08:50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41" s="55" t="str">
        <f t="shared" si="6"/>
        <v>N</v>
      </c>
      <c r="X41" s="129">
        <f t="shared" si="7"/>
        <v>1</v>
      </c>
      <c r="Y41" s="70">
        <f t="shared" si="8"/>
        <v>4.7100000000000003E-2</v>
      </c>
      <c r="Z41" s="70">
        <f t="shared" si="9"/>
        <v>23.328900000000001</v>
      </c>
      <c r="AA41" s="70">
        <f t="shared" si="10"/>
        <v>23.2818</v>
      </c>
      <c r="AB41" s="67" t="e">
        <f>VLOOKUP(A41,Enforcements!$C$7:$J$24,8,0)</f>
        <v>#N/A</v>
      </c>
      <c r="AC41" s="63" t="e">
        <f>VLOOKUP(A41,Enforcements!$C$7:$E$24,3,0)</f>
        <v>#N/A</v>
      </c>
      <c r="AD41" s="64" t="str">
        <f t="shared" si="11"/>
        <v>0129-14</v>
      </c>
      <c r="AE41" s="104" t="str">
        <f t="shared" si="12"/>
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</c>
      <c r="AF41" s="101" t="str">
        <f t="shared" si="13"/>
        <v>"C:\Program Files (x86)\AstroGrep\AstroGrep.exe" /spath="%USERPROFILE%\AppData\Local\Temp\OnboardLogs" /stypes="*4029*20160814*"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5" t="str">
        <f t="shared" si="16"/>
        <v>"%USERPROFILE%\Documents\GitHub\eaglep3\Utilities\RefineRTDCRunTimes.py" --tripid 129-14 --locoid 4029 --swversion DE.1.0.7.0 --startMP 204:471 --initTime 2016-08-14T07:04:56 --startdatetime 2016-08-14T07:05:50 --delay 0 --endMP 204:233289 --enddatetime 2016-08-14T07:50:03 --enforcementcount 0</v>
      </c>
    </row>
    <row r="42" spans="1:34" s="1" customFormat="1" x14ac:dyDescent="0.25">
      <c r="A42" s="40" t="s">
        <v>361</v>
      </c>
      <c r="B42" s="7">
        <v>4030</v>
      </c>
      <c r="C42" s="25" t="s">
        <v>120</v>
      </c>
      <c r="D42" s="25" t="s">
        <v>62</v>
      </c>
      <c r="E42" s="16">
        <v>42596.327627314815</v>
      </c>
      <c r="F42" s="16">
        <v>42596.328634259262</v>
      </c>
      <c r="G42" s="7">
        <v>1</v>
      </c>
      <c r="H42" s="16" t="s">
        <v>199</v>
      </c>
      <c r="I42" s="16">
        <v>42596.366990740738</v>
      </c>
      <c r="J42" s="7">
        <v>0</v>
      </c>
      <c r="K42" s="143" t="str">
        <f t="shared" si="0"/>
        <v>4029/4030</v>
      </c>
      <c r="L42" s="25" t="str">
        <f>VLOOKUP(A42,'Trips&amp;Operators'!$C$1:$E$10000,3,FALSE)</f>
        <v>YORK</v>
      </c>
      <c r="M42" s="6">
        <f t="shared" si="1"/>
        <v>3.8356481476512272E-2</v>
      </c>
      <c r="N42" s="7">
        <f t="shared" si="17"/>
        <v>55.233333326177672</v>
      </c>
      <c r="O42" s="7"/>
      <c r="P42" s="7"/>
      <c r="Q42" s="26"/>
      <c r="R42" s="26"/>
      <c r="S42" s="38">
        <f t="shared" si="3"/>
        <v>1</v>
      </c>
      <c r="T42" s="53" t="str">
        <f t="shared" si="4"/>
        <v>Southbound</v>
      </c>
      <c r="U42" s="13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06:51:47-0600',mode:absolute,to:'2016-08-14 09:48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42" s="55" t="str">
        <f t="shared" si="6"/>
        <v>N</v>
      </c>
      <c r="X42" s="129">
        <f t="shared" si="7"/>
        <v>1</v>
      </c>
      <c r="Y42" s="70">
        <f t="shared" si="8"/>
        <v>23.297699999999999</v>
      </c>
      <c r="Z42" s="70">
        <f t="shared" si="9"/>
        <v>1.5599999999999999E-2</v>
      </c>
      <c r="AA42" s="70">
        <f t="shared" si="10"/>
        <v>23.2821</v>
      </c>
      <c r="AB42" s="67" t="e">
        <f>VLOOKUP(A42,Enforcements!$C$7:$J$24,8,0)</f>
        <v>#N/A</v>
      </c>
      <c r="AC42" s="63" t="e">
        <f>VLOOKUP(A42,Enforcements!$C$7:$E$24,3,0)</f>
        <v>#N/A</v>
      </c>
      <c r="AD42" s="64" t="str">
        <f t="shared" si="11"/>
        <v>0130-14</v>
      </c>
      <c r="AE42" s="104" t="str">
        <f t="shared" si="12"/>
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</c>
      <c r="AF42" s="101" t="str">
        <f t="shared" si="13"/>
        <v>"C:\Program Files (x86)\AstroGrep\AstroGrep.exe" /spath="%USERPROFILE%\AppData\Local\Temp\OnboardLogs" /stypes="*4030*20160814*"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5" t="str">
        <f t="shared" si="16"/>
        <v>"%USERPROFILE%\Documents\GitHub\eaglep3\Utilities\RefineRTDCRunTimes.py" --tripid 130-14 --locoid 4030 --swversion DE.1.0.7.0 --startMP 204:232977 --initTime 2016-08-14T07:51:47 --startdatetime 2016-08-14T07:53:14 --delay 1 --endMP 204:156 --enddatetime 2016-08-14T08:48:28 --enforcementcount 0</v>
      </c>
    </row>
    <row r="43" spans="1:34" s="1" customFormat="1" x14ac:dyDescent="0.25">
      <c r="A43" s="40" t="s">
        <v>362</v>
      </c>
      <c r="B43" s="7">
        <v>4016</v>
      </c>
      <c r="C43" s="25" t="s">
        <v>120</v>
      </c>
      <c r="D43" s="25" t="s">
        <v>134</v>
      </c>
      <c r="E43" s="16">
        <v>42596.30804398148</v>
      </c>
      <c r="F43" s="16">
        <v>42596.309039351851</v>
      </c>
      <c r="G43" s="7">
        <v>1</v>
      </c>
      <c r="H43" s="16" t="s">
        <v>118</v>
      </c>
      <c r="I43" s="16">
        <v>42596.33730324074</v>
      </c>
      <c r="J43" s="7">
        <v>0</v>
      </c>
      <c r="K43" s="143" t="str">
        <f t="shared" si="0"/>
        <v>4015/4016</v>
      </c>
      <c r="L43" s="25" t="str">
        <f>VLOOKUP(A43,'Trips&amp;Operators'!$C$1:$E$10000,3,FALSE)</f>
        <v>ACKERMAN</v>
      </c>
      <c r="M43" s="6">
        <f t="shared" si="1"/>
        <v>2.8263888889341615E-2</v>
      </c>
      <c r="N43" s="7">
        <f t="shared" si="17"/>
        <v>40.700000000651926</v>
      </c>
      <c r="O43" s="7"/>
      <c r="P43" s="7"/>
      <c r="Q43" s="26"/>
      <c r="R43" s="26"/>
      <c r="S43" s="38">
        <f t="shared" si="3"/>
        <v>1</v>
      </c>
      <c r="T43" s="53" t="str">
        <f t="shared" si="4"/>
        <v>NorthBound</v>
      </c>
      <c r="U43" s="13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06:23:35-0600',mode:absolute,to:'2016-08-14 09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43" s="55" t="str">
        <f t="shared" si="6"/>
        <v>N</v>
      </c>
      <c r="X43" s="129">
        <f t="shared" si="7"/>
        <v>1</v>
      </c>
      <c r="Y43" s="70">
        <f t="shared" si="8"/>
        <v>4.5499999999999999E-2</v>
      </c>
      <c r="Z43" s="70">
        <f t="shared" si="9"/>
        <v>23.3293</v>
      </c>
      <c r="AA43" s="70">
        <f t="shared" si="10"/>
        <v>23.283799999999999</v>
      </c>
      <c r="AB43" s="67" t="e">
        <f>VLOOKUP(A43,Enforcements!$C$7:$J$24,8,0)</f>
        <v>#N/A</v>
      </c>
      <c r="AC43" s="63" t="e">
        <f>VLOOKUP(A43,Enforcements!$C$7:$E$24,3,0)</f>
        <v>#N/A</v>
      </c>
      <c r="AD43" s="64" t="str">
        <f t="shared" si="11"/>
        <v>0131-14</v>
      </c>
      <c r="AE43" s="104" t="str">
        <f t="shared" si="12"/>
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</c>
      <c r="AF43" s="101" t="str">
        <f t="shared" si="13"/>
        <v>"C:\Program Files (x86)\AstroGrep\AstroGrep.exe" /spath="%USERPROFILE%\AppData\Local\Temp\OnboardLogs" /stypes="*4016*20160814*"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5" t="str">
        <f t="shared" si="16"/>
        <v>"%USERPROFILE%\Documents\GitHub\eaglep3\Utilities\RefineRTDCRunTimes.py" --tripid 131-14 --locoid 4016 --swversion DE.1.0.7.0 --startMP 204:455 --initTime 2016-08-14T07:23:35 --startdatetime 2016-08-14T07:25:01 --delay 1 --endMP 204:233293 --enddatetime 2016-08-14T08:05:43 --enforcementcount 0</v>
      </c>
    </row>
    <row r="44" spans="1:34" s="1" customFormat="1" x14ac:dyDescent="0.25">
      <c r="A44" s="40" t="s">
        <v>363</v>
      </c>
      <c r="B44" s="7">
        <v>4015</v>
      </c>
      <c r="C44" s="25" t="s">
        <v>120</v>
      </c>
      <c r="D44" s="25" t="s">
        <v>205</v>
      </c>
      <c r="E44" s="16">
        <v>42596.345810185187</v>
      </c>
      <c r="F44" s="16">
        <v>42596.346909722219</v>
      </c>
      <c r="G44" s="7">
        <v>1</v>
      </c>
      <c r="H44" s="16" t="s">
        <v>264</v>
      </c>
      <c r="I44" s="16">
        <v>42596.378645833334</v>
      </c>
      <c r="J44" s="7">
        <v>0</v>
      </c>
      <c r="K44" s="143" t="str">
        <f t="shared" si="0"/>
        <v>4015/4016</v>
      </c>
      <c r="L44" s="25" t="str">
        <f>VLOOKUP(A44,'Trips&amp;Operators'!$C$1:$E$10000,3,FALSE)</f>
        <v>ACKERMAN</v>
      </c>
      <c r="M44" s="6">
        <f t="shared" si="1"/>
        <v>3.1736111115606036E-2</v>
      </c>
      <c r="N44" s="7">
        <f t="shared" si="17"/>
        <v>45.700000006472692</v>
      </c>
      <c r="O44" s="7"/>
      <c r="P44" s="7"/>
      <c r="Q44" s="26"/>
      <c r="R44" s="26"/>
      <c r="S44" s="38">
        <f t="shared" si="3"/>
        <v>1</v>
      </c>
      <c r="T44" s="53" t="str">
        <f t="shared" si="4"/>
        <v>Southbound</v>
      </c>
      <c r="U44" s="13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https://search-rtdc-monitor-bjffxe2xuh6vdkpspy63sjmuny.us-east-1.es.amazonaws.com/_plugin/kibana/#/discover/Steve-Slow-Train-Analysis-(2080s-and-2083s)?_g=(refreshInterval:(display:Off,section:0,value:0),time:(from:'2016-08-14 07:17:58-0600',mode:absolute,to:'2016-08-14 10:05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44" s="55" t="str">
        <f t="shared" si="6"/>
        <v>N</v>
      </c>
      <c r="X44" s="129">
        <f t="shared" si="7"/>
        <v>1</v>
      </c>
      <c r="Y44" s="70">
        <f t="shared" si="8"/>
        <v>23.3</v>
      </c>
      <c r="Z44" s="70">
        <f t="shared" si="9"/>
        <v>1.52E-2</v>
      </c>
      <c r="AA44" s="70">
        <f t="shared" si="10"/>
        <v>23.284800000000001</v>
      </c>
      <c r="AB44" s="67" t="e">
        <f>VLOOKUP(A44,Enforcements!$C$7:$J$24,8,0)</f>
        <v>#N/A</v>
      </c>
      <c r="AC44" s="63" t="e">
        <f>VLOOKUP(A44,Enforcements!$C$7:$E$24,3,0)</f>
        <v>#N/A</v>
      </c>
      <c r="AD44" s="64" t="str">
        <f t="shared" si="11"/>
        <v>0132-14</v>
      </c>
      <c r="AE44" s="104" t="str">
        <f t="shared" si="12"/>
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</c>
      <c r="AF44" s="101" t="str">
        <f t="shared" si="13"/>
        <v>"C:\Program Files (x86)\AstroGrep\AstroGrep.exe" /spath="%USERPROFILE%\AppData\Local\Temp\OnboardLogs" /stypes="*4015*20160814*"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5" t="str">
        <f t="shared" si="16"/>
        <v>"%USERPROFILE%\Documents\GitHub\eaglep3\Utilities\RefineRTDCRunTimes.py" --tripid 132-14 --locoid 4015 --swversion DE.1.0.7.0 --startMP 204:233000 --initTime 2016-08-14T08:17:58 --startdatetime 2016-08-14T08:19:33 --delay 1 --endMP 204:152 --enddatetime 2016-08-14T09:05:15 --enforcementcount 0</v>
      </c>
    </row>
    <row r="45" spans="1:34" s="1" customFormat="1" x14ac:dyDescent="0.25">
      <c r="A45" s="40" t="s">
        <v>364</v>
      </c>
      <c r="B45" s="7">
        <v>4011</v>
      </c>
      <c r="C45" s="25" t="s">
        <v>120</v>
      </c>
      <c r="D45" s="25" t="s">
        <v>142</v>
      </c>
      <c r="E45" s="16">
        <v>42596.319131944445</v>
      </c>
      <c r="F45" s="16">
        <v>42596.321747685186</v>
      </c>
      <c r="G45" s="7">
        <v>3</v>
      </c>
      <c r="H45" s="16" t="s">
        <v>251</v>
      </c>
      <c r="I45" s="16">
        <v>42596.348541666666</v>
      </c>
      <c r="J45" s="7">
        <v>0</v>
      </c>
      <c r="K45" s="143" t="str">
        <f t="shared" ref="K45:K76" si="18">IF(ISEVEN(B45),(B45-1)&amp;"/"&amp;B45,B45&amp;"/"&amp;(B45+1))</f>
        <v>4011/4012</v>
      </c>
      <c r="L45" s="25" t="str">
        <f>VLOOKUP(A45,'Trips&amp;Operators'!$C$1:$E$10000,3,FALSE)</f>
        <v>MAELZER</v>
      </c>
      <c r="M45" s="6">
        <f t="shared" ref="M45:M76" si="19">I45-F45</f>
        <v>2.679398148029577E-2</v>
      </c>
      <c r="N45" s="7">
        <f t="shared" si="17"/>
        <v>38.583333331625909</v>
      </c>
      <c r="O45" s="7"/>
      <c r="P45" s="7"/>
      <c r="Q45" s="26"/>
      <c r="R45" s="26"/>
      <c r="S45" s="38">
        <f t="shared" ref="S45:S76" si="20">SUM(U45:U45)/IF(AG45="EC",12,1)</f>
        <v>1</v>
      </c>
      <c r="T45" s="53" t="str">
        <f t="shared" ref="T45:T76" si="21">IF(ISEVEN(LEFT(AD45,4)),"Southbound","NorthBound")</f>
        <v>NorthBound</v>
      </c>
      <c r="U45" s="13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1" t="str">
        <f t="shared" ref="V45:V76" si="22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https://search-rtdc-monitor-bjffxe2xuh6vdkpspy63sjmuny.us-east-1.es.amazonaws.com/_plugin/kibana/#/discover/Steve-Slow-Train-Analysis-(2080s-and-2083s)?_g=(refreshInterval:(display:Off,section:0,value:0),time:(from:'2016-08-14 06:39:33-0600',mode:absolute,to:'2016-08-14 09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45" s="55" t="str">
        <f t="shared" ref="W45:W76" si="23">IF(AA45&lt;IF(AG45="EC",23,5.65),"Y","N")</f>
        <v>N</v>
      </c>
      <c r="X45" s="129">
        <f t="shared" ref="X45:X76" si="24">VALUE(LEFT(AD45,4))-VALUE(LEFT(AD44,4))</f>
        <v>1</v>
      </c>
      <c r="Y45" s="70">
        <f t="shared" ref="Y45:Y76" si="25">RIGHT(D45,LEN(D45)-4)/10000</f>
        <v>4.7100000000000003E-2</v>
      </c>
      <c r="Z45" s="70">
        <f t="shared" ref="Z45:Z76" si="26">RIGHT(H45,LEN(H45)-4)/10000</f>
        <v>23.328800000000001</v>
      </c>
      <c r="AA45" s="70">
        <f t="shared" ref="AA45:AA76" si="27">ABS(Z45-Y45)</f>
        <v>23.281700000000001</v>
      </c>
      <c r="AB45" s="67" t="e">
        <f>VLOOKUP(A45,Enforcements!$C$7:$J$24,8,0)</f>
        <v>#N/A</v>
      </c>
      <c r="AC45" s="63" t="e">
        <f>VLOOKUP(A45,Enforcements!$C$7:$E$24,3,0)</f>
        <v>#N/A</v>
      </c>
      <c r="AD45" s="64" t="str">
        <f t="shared" ref="AD45:AD76" si="28">IF(LEN(A45)=6,"0"&amp;A45,A45)</f>
        <v>0133-14</v>
      </c>
      <c r="AE45" s="104" t="str">
        <f t="shared" ref="AE45:AE76" si="29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</c>
      <c r="AF45" s="101" t="str">
        <f t="shared" ref="AF45:AF76" si="30">astrogrep_path&amp;" /spath="&amp;search_path&amp;" /stypes=""*"&amp;B45&amp;"*"&amp;TEXT(I45-utc_offset/24,"YYYYMMDD")&amp;"*"" /stext="" "&amp;TEXT(I45-utc_offset/24,"HH")&amp;search_regexp&amp;""" /e /r /s"</f>
        <v>"C:\Program Files (x86)\AstroGrep\AstroGrep.exe" /spath="%USERPROFILE%\AppData\Local\Temp\OnboardLogs" /stypes="*4011*20160814*" /stext=" 14:.+((SYSTEM_STATE.+slice.+state.+changed )|(ment ac)|(system.+state.+changed )|(\|lc)|(penalty)|(\[timeout)|(PRM\|1\|D)|(kpr)|(kdp))" /e /r /s</v>
      </c>
      <c r="AG45" s="1" t="str">
        <f t="shared" ref="AG45:AG76" si="31">IF(VALUE(LEFT(AD45,2))&lt;=2,"EC",IF(OR(VALUE(LEFT(AD45,2))=8,VALUE(LEFT(AD45,2))=18),"NW","Other"))</f>
        <v>EC</v>
      </c>
      <c r="AH45" s="105" t="str">
        <f t="shared" si="16"/>
        <v>"%USERPROFILE%\Documents\GitHub\eaglep3\Utilities\RefineRTDCRunTimes.py" --tripid 133-14 --locoid 4011 --swversion DE.1.0.7.0 --startMP 204:471 --initTime 2016-08-14T07:39:33 --startdatetime 2016-08-14T07:43:19 --delay 3 --endMP 204:233288 --enddatetime 2016-08-14T08:21:54 --enforcementcount 0</v>
      </c>
    </row>
    <row r="46" spans="1:34" s="1" customFormat="1" x14ac:dyDescent="0.25">
      <c r="A46" s="40" t="s">
        <v>365</v>
      </c>
      <c r="B46" s="7">
        <v>4012</v>
      </c>
      <c r="C46" s="25" t="s">
        <v>120</v>
      </c>
      <c r="D46" s="25" t="s">
        <v>255</v>
      </c>
      <c r="E46" s="16">
        <v>42596.355243055557</v>
      </c>
      <c r="F46" s="16">
        <v>42596.356157407405</v>
      </c>
      <c r="G46" s="7">
        <v>1</v>
      </c>
      <c r="H46" s="16" t="s">
        <v>93</v>
      </c>
      <c r="I46" s="16">
        <v>42596.388356481482</v>
      </c>
      <c r="J46" s="7">
        <v>0</v>
      </c>
      <c r="K46" s="143" t="str">
        <f t="shared" si="18"/>
        <v>4011/4012</v>
      </c>
      <c r="L46" s="25" t="str">
        <f>VLOOKUP(A46,'Trips&amp;Operators'!$C$1:$E$10000,3,FALSE)</f>
        <v>MAELZER</v>
      </c>
      <c r="M46" s="6">
        <f t="shared" si="19"/>
        <v>3.2199074077652767E-2</v>
      </c>
      <c r="N46" s="7">
        <f t="shared" si="17"/>
        <v>46.366666671819985</v>
      </c>
      <c r="O46" s="7"/>
      <c r="P46" s="7"/>
      <c r="Q46" s="26"/>
      <c r="R46" s="26"/>
      <c r="S46" s="38">
        <f t="shared" si="20"/>
        <v>1</v>
      </c>
      <c r="T46" s="53" t="str">
        <f t="shared" si="21"/>
        <v>Southbound</v>
      </c>
      <c r="U46" s="13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07:31:33-0600',mode:absolute,to:'2016-08-14 10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46" s="55" t="str">
        <f t="shared" si="23"/>
        <v>N</v>
      </c>
      <c r="X46" s="129">
        <f t="shared" si="24"/>
        <v>1</v>
      </c>
      <c r="Y46" s="70">
        <f t="shared" si="25"/>
        <v>23.298200000000001</v>
      </c>
      <c r="Z46" s="70">
        <f t="shared" si="26"/>
        <v>1.43E-2</v>
      </c>
      <c r="AA46" s="70">
        <f t="shared" si="27"/>
        <v>23.283900000000003</v>
      </c>
      <c r="AB46" s="67" t="e">
        <f>VLOOKUP(A46,Enforcements!$C$7:$J$24,8,0)</f>
        <v>#N/A</v>
      </c>
      <c r="AC46" s="63" t="e">
        <f>VLOOKUP(A46,Enforcements!$C$7:$E$24,3,0)</f>
        <v>#N/A</v>
      </c>
      <c r="AD46" s="64" t="str">
        <f t="shared" si="28"/>
        <v>0134-14</v>
      </c>
      <c r="AE46" s="104" t="str">
        <f t="shared" si="29"/>
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</c>
      <c r="AF46" s="101" t="str">
        <f t="shared" si="30"/>
        <v>"C:\Program Files (x86)\AstroGrep\AstroGrep.exe" /spath="%USERPROFILE%\AppData\Local\Temp\OnboardLogs" /stypes="*4012*20160814*" /stext=" 15:.+((SYSTEM_STATE.+slice.+state.+changed )|(ment ac)|(system.+state.+changed )|(\|lc)|(penalty)|(\[timeout)|(PRM\|1\|D)|(kpr)|(kdp))" /e /r /s</v>
      </c>
      <c r="AG46" s="1" t="str">
        <f t="shared" si="31"/>
        <v>EC</v>
      </c>
      <c r="AH46" s="105" t="str">
        <f t="shared" si="16"/>
        <v>"%USERPROFILE%\Documents\GitHub\eaglep3\Utilities\RefineRTDCRunTimes.py" --tripid 134-14 --locoid 4012 --swversion DE.1.0.7.0 --startMP 204:232982 --initTime 2016-08-14T08:31:33 --startdatetime 2016-08-14T08:32:52 --delay 1 --endMP 204:143 --enddatetime 2016-08-14T09:19:14 --enforcementcount 0</v>
      </c>
    </row>
    <row r="47" spans="1:34" s="1" customFormat="1" x14ac:dyDescent="0.25">
      <c r="A47" s="40" t="s">
        <v>366</v>
      </c>
      <c r="B47" s="7">
        <v>4027</v>
      </c>
      <c r="C47" s="25" t="s">
        <v>120</v>
      </c>
      <c r="D47" s="25" t="s">
        <v>258</v>
      </c>
      <c r="E47" s="16">
        <v>42596.328819444447</v>
      </c>
      <c r="F47" s="16">
        <v>42596.330960648149</v>
      </c>
      <c r="G47" s="7">
        <v>3</v>
      </c>
      <c r="H47" s="16" t="s">
        <v>262</v>
      </c>
      <c r="I47" s="16">
        <v>42596.358530092592</v>
      </c>
      <c r="J47" s="7">
        <v>0</v>
      </c>
      <c r="K47" s="143" t="str">
        <f t="shared" si="18"/>
        <v>4027/4028</v>
      </c>
      <c r="L47" s="25" t="str">
        <f>VLOOKUP(A47,'Trips&amp;Operators'!$C$1:$E$10000,3,FALSE)</f>
        <v>DAVIS</v>
      </c>
      <c r="M47" s="6">
        <f t="shared" si="19"/>
        <v>2.7569444442633539E-2</v>
      </c>
      <c r="N47" s="7">
        <f t="shared" si="17"/>
        <v>39.699999997392297</v>
      </c>
      <c r="O47" s="7"/>
      <c r="P47" s="7"/>
      <c r="Q47" s="26"/>
      <c r="R47" s="26"/>
      <c r="S47" s="38">
        <f t="shared" si="20"/>
        <v>1</v>
      </c>
      <c r="T47" s="53" t="str">
        <f t="shared" si="21"/>
        <v>NorthBound</v>
      </c>
      <c r="U47" s="13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06:53:30-0600',mode:absolute,to:'2016-08-14 09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47" s="55" t="str">
        <f t="shared" si="23"/>
        <v>N</v>
      </c>
      <c r="X47" s="129">
        <f t="shared" si="24"/>
        <v>1</v>
      </c>
      <c r="Y47" s="70">
        <f t="shared" si="25"/>
        <v>4.4600000000000001E-2</v>
      </c>
      <c r="Z47" s="70">
        <f t="shared" si="26"/>
        <v>23.3308</v>
      </c>
      <c r="AA47" s="70">
        <f t="shared" si="27"/>
        <v>23.286200000000001</v>
      </c>
      <c r="AB47" s="67" t="e">
        <f>VLOOKUP(A47,Enforcements!$C$7:$J$24,8,0)</f>
        <v>#N/A</v>
      </c>
      <c r="AC47" s="63" t="e">
        <f>VLOOKUP(A47,Enforcements!$C$7:$E$24,3,0)</f>
        <v>#N/A</v>
      </c>
      <c r="AD47" s="64" t="str">
        <f t="shared" si="28"/>
        <v>0135-14</v>
      </c>
      <c r="AE47" s="104" t="str">
        <f t="shared" si="29"/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AF47" s="101" t="str">
        <f t="shared" si="30"/>
        <v>"C:\Program Files (x86)\AstroGrep\AstroGrep.exe" /spath="%USERPROFILE%\AppData\Local\Temp\OnboardLogs" /stypes="*4027*20160814*" /stext=" 14:.+((SYSTEM_STATE.+slice.+state.+changed )|(ment ac)|(system.+state.+changed )|(\|lc)|(penalty)|(\[timeout)|(PRM\|1\|D)|(kpr)|(kdp))" /e /r /s</v>
      </c>
      <c r="AG47" s="1" t="str">
        <f t="shared" si="31"/>
        <v>EC</v>
      </c>
      <c r="AH47" s="105" t="str">
        <f t="shared" si="16"/>
        <v>"%USERPROFILE%\Documents\GitHub\eaglep3\Utilities\RefineRTDCRunTimes.py" --tripid 135-14 --locoid 4027 --swversion DE.1.0.7.0 --startMP 204:446 --initTime 2016-08-14T07:53:30 --startdatetime 2016-08-14T07:56:35 --delay 3 --endMP 204:233308 --enddatetime 2016-08-14T08:36:17 --enforcementcount 0</v>
      </c>
    </row>
    <row r="48" spans="1:34" s="1" customFormat="1" x14ac:dyDescent="0.25">
      <c r="A48" s="40" t="s">
        <v>367</v>
      </c>
      <c r="B48" s="7">
        <v>4028</v>
      </c>
      <c r="C48" s="25" t="s">
        <v>120</v>
      </c>
      <c r="D48" s="25" t="s">
        <v>123</v>
      </c>
      <c r="E48" s="16">
        <v>42596.367974537039</v>
      </c>
      <c r="F48" s="16">
        <v>42596.368819444448</v>
      </c>
      <c r="G48" s="7">
        <v>1</v>
      </c>
      <c r="H48" s="16" t="s">
        <v>264</v>
      </c>
      <c r="I48" s="16">
        <v>42596.400671296295</v>
      </c>
      <c r="J48" s="7">
        <v>0</v>
      </c>
      <c r="K48" s="143" t="str">
        <f t="shared" si="18"/>
        <v>4027/4028</v>
      </c>
      <c r="L48" s="25" t="str">
        <f>VLOOKUP(A48,'Trips&amp;Operators'!$C$1:$E$10000,3,FALSE)</f>
        <v>DAVIS</v>
      </c>
      <c r="M48" s="6">
        <f t="shared" si="19"/>
        <v>3.1851851847022772E-2</v>
      </c>
      <c r="N48" s="7">
        <f t="shared" si="17"/>
        <v>45.866666659712791</v>
      </c>
      <c r="O48" s="7"/>
      <c r="P48" s="7"/>
      <c r="Q48" s="26"/>
      <c r="R48" s="26"/>
      <c r="S48" s="38">
        <f t="shared" si="20"/>
        <v>1</v>
      </c>
      <c r="T48" s="53" t="str">
        <f t="shared" si="21"/>
        <v>Southbound</v>
      </c>
      <c r="U48" s="13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07:49:53-0600',mode:absolute,to:'2016-08-14 10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48" s="55" t="str">
        <f t="shared" si="23"/>
        <v>N</v>
      </c>
      <c r="X48" s="129">
        <f t="shared" si="24"/>
        <v>1</v>
      </c>
      <c r="Y48" s="70">
        <f t="shared" si="25"/>
        <v>23.299299999999999</v>
      </c>
      <c r="Z48" s="70">
        <f t="shared" si="26"/>
        <v>1.52E-2</v>
      </c>
      <c r="AA48" s="70">
        <f t="shared" si="27"/>
        <v>23.284099999999999</v>
      </c>
      <c r="AB48" s="67">
        <f>VLOOKUP(A48,Enforcements!$C$7:$J$24,8,0)</f>
        <v>4677</v>
      </c>
      <c r="AC48" s="63" t="str">
        <f>VLOOKUP(A48,Enforcements!$C$7:$E$24,3,0)</f>
        <v>PERMANENT SPEED RESTRICTION</v>
      </c>
      <c r="AD48" s="64" t="str">
        <f t="shared" si="28"/>
        <v>0136-14</v>
      </c>
      <c r="AE48" s="104" t="str">
        <f t="shared" si="29"/>
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</c>
      <c r="AF48" s="101" t="str">
        <f t="shared" si="30"/>
        <v>"C:\Program Files (x86)\AstroGrep\AstroGrep.exe" /spath="%USERPROFILE%\AppData\Local\Temp\OnboardLogs" /stypes="*4028*20160814*" /stext=" 15:.+((SYSTEM_STATE.+slice.+state.+changed )|(ment ac)|(system.+state.+changed )|(\|lc)|(penalty)|(\[timeout)|(PRM\|1\|D)|(kpr)|(kdp))" /e /r /s</v>
      </c>
      <c r="AG48" s="1" t="str">
        <f t="shared" si="31"/>
        <v>EC</v>
      </c>
      <c r="AH48" s="105" t="str">
        <f t="shared" si="16"/>
        <v>"%USERPROFILE%\Documents\GitHub\eaglep3\Utilities\RefineRTDCRunTimes.py" --tripid 136-14 --locoid 4028 --swversion DE.1.0.7.0 --startMP 204:232993 --initTime 2016-08-14T08:49:53 --startdatetime 2016-08-14T08:51:06 --delay 1 --endMP 204:152 --enddatetime 2016-08-14T09:36:58 --enforcementcount 0</v>
      </c>
    </row>
    <row r="49" spans="1:34" s="1" customFormat="1" x14ac:dyDescent="0.25">
      <c r="A49" s="40" t="s">
        <v>368</v>
      </c>
      <c r="B49" s="7">
        <v>4038</v>
      </c>
      <c r="C49" s="25" t="s">
        <v>120</v>
      </c>
      <c r="D49" s="25" t="s">
        <v>181</v>
      </c>
      <c r="E49" s="16">
        <v>42596.342118055552</v>
      </c>
      <c r="F49" s="16">
        <v>42596.342951388891</v>
      </c>
      <c r="G49" s="7">
        <v>1</v>
      </c>
      <c r="H49" s="16" t="s">
        <v>369</v>
      </c>
      <c r="I49" s="16">
        <v>42596.36917824074</v>
      </c>
      <c r="J49" s="7">
        <v>0</v>
      </c>
      <c r="K49" s="143" t="str">
        <f t="shared" si="18"/>
        <v>4037/4038</v>
      </c>
      <c r="L49" s="25" t="str">
        <f>VLOOKUP(A49,'Trips&amp;Operators'!$C$1:$E$10000,3,FALSE)</f>
        <v>MALAVE</v>
      </c>
      <c r="M49" s="6">
        <f t="shared" si="19"/>
        <v>2.622685184906004E-2</v>
      </c>
      <c r="N49" s="7">
        <f t="shared" si="17"/>
        <v>37.766666662646458</v>
      </c>
      <c r="O49" s="7"/>
      <c r="P49" s="7"/>
      <c r="Q49" s="26"/>
      <c r="R49" s="26"/>
      <c r="S49" s="38">
        <f t="shared" si="20"/>
        <v>1</v>
      </c>
      <c r="T49" s="53" t="str">
        <f t="shared" si="21"/>
        <v>NorthBound</v>
      </c>
      <c r="U49" s="13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07:12:39-0600',mode:absolute,to:'2016-08-14 09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49" s="55" t="str">
        <f t="shared" si="23"/>
        <v>N</v>
      </c>
      <c r="X49" s="129">
        <f t="shared" si="24"/>
        <v>1</v>
      </c>
      <c r="Y49" s="70">
        <f t="shared" si="25"/>
        <v>4.6600000000000003E-2</v>
      </c>
      <c r="Z49" s="70">
        <f t="shared" si="26"/>
        <v>23.329899999999999</v>
      </c>
      <c r="AA49" s="70">
        <f t="shared" si="27"/>
        <v>23.283299999999997</v>
      </c>
      <c r="AB49" s="67">
        <f>VLOOKUP(A49,Enforcements!$C$7:$J$24,8,0)</f>
        <v>116838</v>
      </c>
      <c r="AC49" s="63" t="str">
        <f>VLOOKUP(A49,Enforcements!$C$7:$E$24,3,0)</f>
        <v>PERMANENT SPEED RESTRICTION</v>
      </c>
      <c r="AD49" s="64" t="str">
        <f t="shared" si="28"/>
        <v>0137-14</v>
      </c>
      <c r="AE49" s="104" t="str">
        <f t="shared" si="29"/>
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</c>
      <c r="AF49" s="101" t="str">
        <f t="shared" si="30"/>
        <v>"C:\Program Files (x86)\AstroGrep\AstroGrep.exe" /spath="%USERPROFILE%\AppData\Local\Temp\OnboardLogs" /stypes="*4038*20160814*" /stext=" 14:.+((SYSTEM_STATE.+slice.+state.+changed )|(ment ac)|(system.+state.+changed )|(\|lc)|(penalty)|(\[timeout)|(PRM\|1\|D)|(kpr)|(kdp))" /e /r /s</v>
      </c>
      <c r="AG49" s="1" t="str">
        <f t="shared" si="31"/>
        <v>EC</v>
      </c>
      <c r="AH49" s="105" t="str">
        <f t="shared" si="16"/>
        <v>"%USERPROFILE%\Documents\GitHub\eaglep3\Utilities\RefineRTDCRunTimes.py" --tripid 137-14 --locoid 4038 --swversion DE.1.0.7.0 --startMP 204:466 --initTime 2016-08-14T08:12:39 --startdatetime 2016-08-14T08:13:51 --delay 1 --endMP 204:233299 --enddatetime 2016-08-14T08:51:37 --enforcementcount 0</v>
      </c>
    </row>
    <row r="50" spans="1:34" s="1" customFormat="1" x14ac:dyDescent="0.25">
      <c r="A50" s="40" t="s">
        <v>370</v>
      </c>
      <c r="B50" s="7">
        <v>4037</v>
      </c>
      <c r="C50" s="25" t="s">
        <v>120</v>
      </c>
      <c r="D50" s="25" t="s">
        <v>371</v>
      </c>
      <c r="E50" s="16">
        <v>42596.381412037037</v>
      </c>
      <c r="F50" s="16">
        <v>42596.383715277778</v>
      </c>
      <c r="G50" s="7">
        <v>3</v>
      </c>
      <c r="H50" s="16" t="s">
        <v>203</v>
      </c>
      <c r="I50" s="16">
        <v>42596.41101851852</v>
      </c>
      <c r="J50" s="7">
        <v>0</v>
      </c>
      <c r="K50" s="143" t="str">
        <f t="shared" si="18"/>
        <v>4037/4038</v>
      </c>
      <c r="L50" s="25" t="str">
        <f>VLOOKUP(A50,'Trips&amp;Operators'!$C$1:$E$10000,3,FALSE)</f>
        <v>MALAVE</v>
      </c>
      <c r="M50" s="6">
        <f t="shared" si="19"/>
        <v>2.7303240742185153E-2</v>
      </c>
      <c r="N50" s="7">
        <f t="shared" si="17"/>
        <v>39.31666666874662</v>
      </c>
      <c r="O50" s="7"/>
      <c r="P50" s="7"/>
      <c r="Q50" s="26"/>
      <c r="R50" s="26"/>
      <c r="S50" s="38">
        <f t="shared" si="20"/>
        <v>1</v>
      </c>
      <c r="T50" s="53" t="str">
        <f t="shared" si="21"/>
        <v>Southbound</v>
      </c>
      <c r="U50" s="13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08:09:14-0600',mode:absolute,to:'2016-08-14 10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50" s="55" t="str">
        <f t="shared" si="23"/>
        <v>N</v>
      </c>
      <c r="X50" s="129">
        <f t="shared" si="24"/>
        <v>1</v>
      </c>
      <c r="Y50" s="70">
        <f t="shared" si="25"/>
        <v>23.296900000000001</v>
      </c>
      <c r="Z50" s="70">
        <f t="shared" si="26"/>
        <v>1.54E-2</v>
      </c>
      <c r="AA50" s="70">
        <f t="shared" si="27"/>
        <v>23.281500000000001</v>
      </c>
      <c r="AB50" s="67" t="e">
        <f>VLOOKUP(A50,Enforcements!$C$7:$J$24,8,0)</f>
        <v>#N/A</v>
      </c>
      <c r="AC50" s="63" t="e">
        <f>VLOOKUP(A50,Enforcements!$C$7:$E$24,3,0)</f>
        <v>#N/A</v>
      </c>
      <c r="AD50" s="64" t="str">
        <f t="shared" si="28"/>
        <v>0138-14</v>
      </c>
      <c r="AE50" s="104" t="str">
        <f t="shared" si="29"/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AF50" s="101" t="str">
        <f t="shared" si="30"/>
        <v>"C:\Program Files (x86)\AstroGrep\AstroGrep.exe" /spath="%USERPROFILE%\AppData\Local\Temp\OnboardLogs" /stypes="*4037*20160814*" /stext=" 15:.+((SYSTEM_STATE.+slice.+state.+changed )|(ment ac)|(system.+state.+changed )|(\|lc)|(penalty)|(\[timeout)|(PRM\|1\|D)|(kpr)|(kdp))" /e /r /s</v>
      </c>
      <c r="AG50" s="1" t="str">
        <f t="shared" si="31"/>
        <v>EC</v>
      </c>
      <c r="AH50" s="105" t="str">
        <f t="shared" si="16"/>
        <v>"%USERPROFILE%\Documents\GitHub\eaglep3\Utilities\RefineRTDCRunTimes.py" --tripid 138-14 --locoid 4037 --swversion DE.1.0.7.0 --startMP 204:232969 --initTime 2016-08-14T09:09:14 --startdatetime 2016-08-14T09:12:33 --delay 3 --endMP 204:154 --enddatetime 2016-08-14T09:51:52 --enforcementcount 0</v>
      </c>
    </row>
    <row r="51" spans="1:34" s="1" customFormat="1" x14ac:dyDescent="0.25">
      <c r="A51" s="40" t="s">
        <v>372</v>
      </c>
      <c r="B51" s="7">
        <v>4031</v>
      </c>
      <c r="C51" s="25" t="s">
        <v>120</v>
      </c>
      <c r="D51" s="25" t="s">
        <v>144</v>
      </c>
      <c r="E51" s="16">
        <v>42596.349918981483</v>
      </c>
      <c r="F51" s="16">
        <v>42596.350891203707</v>
      </c>
      <c r="G51" s="7">
        <v>1</v>
      </c>
      <c r="H51" s="16" t="s">
        <v>262</v>
      </c>
      <c r="I51" s="16">
        <v>42596.38181712963</v>
      </c>
      <c r="J51" s="7">
        <v>0</v>
      </c>
      <c r="K51" s="143" t="str">
        <f t="shared" si="18"/>
        <v>4031/4032</v>
      </c>
      <c r="L51" s="25" t="str">
        <f>VLOOKUP(A51,'Trips&amp;Operators'!$C$1:$E$10000,3,FALSE)</f>
        <v>STRICKLAND</v>
      </c>
      <c r="M51" s="6">
        <f t="shared" si="19"/>
        <v>3.0925925922929309E-2</v>
      </c>
      <c r="N51" s="7">
        <f t="shared" si="17"/>
        <v>44.533333329018205</v>
      </c>
      <c r="O51" s="7"/>
      <c r="P51" s="7"/>
      <c r="Q51" s="26"/>
      <c r="R51" s="26"/>
      <c r="S51" s="38">
        <f t="shared" si="20"/>
        <v>1</v>
      </c>
      <c r="T51" s="53" t="str">
        <f t="shared" si="21"/>
        <v>NorthBound</v>
      </c>
      <c r="U51" s="13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07:23:53-0600',mode:absolute,to:'2016-08-14 10:09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51" s="55" t="str">
        <f t="shared" si="23"/>
        <v>N</v>
      </c>
      <c r="X51" s="129">
        <f t="shared" si="24"/>
        <v>1</v>
      </c>
      <c r="Y51" s="70">
        <f t="shared" si="25"/>
        <v>4.53E-2</v>
      </c>
      <c r="Z51" s="70">
        <f t="shared" si="26"/>
        <v>23.3308</v>
      </c>
      <c r="AA51" s="70">
        <f t="shared" si="27"/>
        <v>23.285499999999999</v>
      </c>
      <c r="AB51" s="67" t="e">
        <f>VLOOKUP(A51,Enforcements!$C$7:$J$24,8,0)</f>
        <v>#N/A</v>
      </c>
      <c r="AC51" s="63" t="e">
        <f>VLOOKUP(A51,Enforcements!$C$7:$E$24,3,0)</f>
        <v>#N/A</v>
      </c>
      <c r="AD51" s="64" t="str">
        <f t="shared" si="28"/>
        <v>0139-14</v>
      </c>
      <c r="AE51" s="104" t="str">
        <f t="shared" si="29"/>
        <v>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 &amp; 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</v>
      </c>
      <c r="AF51" s="101" t="str">
        <f t="shared" si="30"/>
        <v>"C:\Program Files (x86)\AstroGrep\AstroGrep.exe" /spath="%USERPROFILE%\AppData\Local\Temp\OnboardLogs" /stypes="*4031*20160814*" /stext=" 15:.+((SYSTEM_STATE.+slice.+state.+changed )|(ment ac)|(system.+state.+changed )|(\|lc)|(penalty)|(\[timeout)|(PRM\|1\|D)|(kpr)|(kdp))" /e /r /s</v>
      </c>
      <c r="AG51" s="1" t="str">
        <f t="shared" si="31"/>
        <v>EC</v>
      </c>
      <c r="AH51" s="105" t="str">
        <f t="shared" si="16"/>
        <v>"%USERPROFILE%\Documents\GitHub\eaglep3\Utilities\RefineRTDCRunTimes.py" --tripid 139-14 --locoid 4031 --swversion DE.1.0.7.0 --startMP 204:453 --initTime 2016-08-14T08:23:53 --startdatetime 2016-08-14T08:25:17 --delay 1 --endMP 204:233308 --enddatetime 2016-08-14T09:09:49 --enforcementcount 0</v>
      </c>
    </row>
    <row r="52" spans="1:34" s="1" customFormat="1" x14ac:dyDescent="0.25">
      <c r="A52" s="40" t="s">
        <v>373</v>
      </c>
      <c r="B52" s="7">
        <v>4032</v>
      </c>
      <c r="C52" s="25" t="s">
        <v>120</v>
      </c>
      <c r="D52" s="25" t="s">
        <v>196</v>
      </c>
      <c r="E52" s="16">
        <v>42596.388483796298</v>
      </c>
      <c r="F52" s="16">
        <v>42596.3909375</v>
      </c>
      <c r="G52" s="7">
        <v>3</v>
      </c>
      <c r="H52" s="16" t="s">
        <v>374</v>
      </c>
      <c r="I52" s="16">
        <v>42596.420671296299</v>
      </c>
      <c r="J52" s="7">
        <v>0</v>
      </c>
      <c r="K52" s="143" t="str">
        <f t="shared" si="18"/>
        <v>4031/4032</v>
      </c>
      <c r="L52" s="25" t="str">
        <f>VLOOKUP(A52,'Trips&amp;Operators'!$C$1:$E$10000,3,FALSE)</f>
        <v>STRICKLAND</v>
      </c>
      <c r="M52" s="6">
        <f t="shared" si="19"/>
        <v>2.973379629838746E-2</v>
      </c>
      <c r="N52" s="7">
        <f t="shared" si="17"/>
        <v>42.816666669677943</v>
      </c>
      <c r="O52" s="7"/>
      <c r="P52" s="7"/>
      <c r="Q52" s="26"/>
      <c r="R52" s="26"/>
      <c r="S52" s="38">
        <f t="shared" si="20"/>
        <v>1</v>
      </c>
      <c r="T52" s="53" t="str">
        <f t="shared" si="21"/>
        <v>Southbound</v>
      </c>
      <c r="U52" s="13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08:19:25-0600',mode:absolute,to:'2016-08-14 11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52" s="55" t="str">
        <f t="shared" si="23"/>
        <v>N</v>
      </c>
      <c r="X52" s="129">
        <f t="shared" si="24"/>
        <v>1</v>
      </c>
      <c r="Y52" s="70">
        <f t="shared" si="25"/>
        <v>23.298500000000001</v>
      </c>
      <c r="Z52" s="70">
        <f t="shared" si="26"/>
        <v>1.8499999999999999E-2</v>
      </c>
      <c r="AA52" s="70">
        <f t="shared" si="27"/>
        <v>23.28</v>
      </c>
      <c r="AB52" s="67" t="e">
        <f>VLOOKUP(A52,Enforcements!$C$7:$J$24,8,0)</f>
        <v>#N/A</v>
      </c>
      <c r="AC52" s="63" t="e">
        <f>VLOOKUP(A52,Enforcements!$C$7:$E$24,3,0)</f>
        <v>#N/A</v>
      </c>
      <c r="AD52" s="64" t="str">
        <f t="shared" si="28"/>
        <v>0140-14</v>
      </c>
      <c r="AE52" s="104" t="str">
        <f t="shared" si="29"/>
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</c>
      <c r="AF52" s="101" t="str">
        <f t="shared" si="30"/>
        <v>"C:\Program Files (x86)\AstroGrep\AstroGrep.exe" /spath="%USERPROFILE%\AppData\Local\Temp\OnboardLogs" /stypes="*4032*20160814*" /stext=" 16:.+((SYSTEM_STATE.+slice.+state.+changed )|(ment ac)|(system.+state.+changed )|(\|lc)|(penalty)|(\[timeout)|(PRM\|1\|D)|(kpr)|(kdp))" /e /r /s</v>
      </c>
      <c r="AG52" s="1" t="str">
        <f t="shared" si="31"/>
        <v>EC</v>
      </c>
      <c r="AH52" s="105" t="str">
        <f t="shared" si="16"/>
        <v>"%USERPROFILE%\Documents\GitHub\eaglep3\Utilities\RefineRTDCRunTimes.py" --tripid 140-14 --locoid 4032 --swversion DE.1.0.7.0 --startMP 204:232985 --initTime 2016-08-14T09:19:25 --startdatetime 2016-08-14T09:22:57 --delay 3 --endMP 204:185 --enddatetime 2016-08-14T10:05:46 --enforcementcount 0</v>
      </c>
    </row>
    <row r="53" spans="1:34" s="1" customFormat="1" x14ac:dyDescent="0.25">
      <c r="A53" s="40" t="s">
        <v>375</v>
      </c>
      <c r="B53" s="7">
        <v>4014</v>
      </c>
      <c r="C53" s="25" t="s">
        <v>120</v>
      </c>
      <c r="D53" s="25" t="s">
        <v>134</v>
      </c>
      <c r="E53" s="16">
        <v>42596.358807870369</v>
      </c>
      <c r="F53" s="16">
        <v>42596.35974537037</v>
      </c>
      <c r="G53" s="7">
        <v>1</v>
      </c>
      <c r="H53" s="16" t="s">
        <v>118</v>
      </c>
      <c r="I53" s="16">
        <v>42596.39199074074</v>
      </c>
      <c r="J53" s="7">
        <v>0</v>
      </c>
      <c r="K53" s="143" t="str">
        <f t="shared" si="18"/>
        <v>4013/4014</v>
      </c>
      <c r="L53" s="25" t="str">
        <f>VLOOKUP(A53,'Trips&amp;Operators'!$C$1:$E$10000,3,FALSE)</f>
        <v>KILLION</v>
      </c>
      <c r="M53" s="6">
        <f t="shared" si="19"/>
        <v>3.2245370370219462E-2</v>
      </c>
      <c r="N53" s="7">
        <f t="shared" si="17"/>
        <v>46.433333333116025</v>
      </c>
      <c r="O53" s="7"/>
      <c r="P53" s="7"/>
      <c r="Q53" s="26"/>
      <c r="R53" s="26"/>
      <c r="S53" s="38">
        <f t="shared" si="20"/>
        <v>1</v>
      </c>
      <c r="T53" s="53" t="str">
        <f t="shared" si="21"/>
        <v>NorthBound</v>
      </c>
      <c r="U53" s="13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07:36:41-0600',mode:absolute,to:'2016-08-14 10:24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53" s="55" t="str">
        <f t="shared" si="23"/>
        <v>N</v>
      </c>
      <c r="X53" s="129">
        <f t="shared" si="24"/>
        <v>1</v>
      </c>
      <c r="Y53" s="70">
        <f t="shared" si="25"/>
        <v>4.5499999999999999E-2</v>
      </c>
      <c r="Z53" s="70">
        <f t="shared" si="26"/>
        <v>23.3293</v>
      </c>
      <c r="AA53" s="70">
        <f t="shared" si="27"/>
        <v>23.283799999999999</v>
      </c>
      <c r="AB53" s="67" t="e">
        <f>VLOOKUP(A53,Enforcements!$C$7:$J$24,8,0)</f>
        <v>#N/A</v>
      </c>
      <c r="AC53" s="63" t="e">
        <f>VLOOKUP(A53,Enforcements!$C$7:$E$24,3,0)</f>
        <v>#N/A</v>
      </c>
      <c r="AD53" s="64" t="str">
        <f t="shared" si="28"/>
        <v>0141-14</v>
      </c>
      <c r="AE53" s="104" t="str">
        <f t="shared" si="29"/>
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</c>
      <c r="AF53" s="101" t="str">
        <f t="shared" si="30"/>
        <v>"C:\Program Files (x86)\AstroGrep\AstroGrep.exe" /spath="%USERPROFILE%\AppData\Local\Temp\OnboardLogs" /stypes="*4014*20160814*" /stext=" 15:.+((SYSTEM_STATE.+slice.+state.+changed )|(ment ac)|(system.+state.+changed )|(\|lc)|(penalty)|(\[timeout)|(PRM\|1\|D)|(kpr)|(kdp))" /e /r /s</v>
      </c>
      <c r="AG53" s="1" t="str">
        <f t="shared" si="31"/>
        <v>EC</v>
      </c>
      <c r="AH53" s="105" t="str">
        <f t="shared" si="16"/>
        <v>"%USERPROFILE%\Documents\GitHub\eaglep3\Utilities\RefineRTDCRunTimes.py" --tripid 141-14 --locoid 4014 --swversion DE.1.0.7.0 --startMP 204:455 --initTime 2016-08-14T08:36:41 --startdatetime 2016-08-14T08:38:02 --delay 1 --endMP 204:233293 --enddatetime 2016-08-14T09:24:28 --enforcementcount 0</v>
      </c>
    </row>
    <row r="54" spans="1:34" s="1" customFormat="1" x14ac:dyDescent="0.25">
      <c r="A54" s="40" t="s">
        <v>376</v>
      </c>
      <c r="B54" s="7">
        <v>4013</v>
      </c>
      <c r="C54" s="25" t="s">
        <v>120</v>
      </c>
      <c r="D54" s="25" t="s">
        <v>184</v>
      </c>
      <c r="E54" s="16">
        <v>42596.397013888891</v>
      </c>
      <c r="F54" s="16">
        <v>42596.397928240738</v>
      </c>
      <c r="G54" s="7">
        <v>1</v>
      </c>
      <c r="H54" s="16" t="s">
        <v>148</v>
      </c>
      <c r="I54" s="16">
        <v>42596.430775462963</v>
      </c>
      <c r="J54" s="7">
        <v>0</v>
      </c>
      <c r="K54" s="143" t="str">
        <f t="shared" si="18"/>
        <v>4013/4014</v>
      </c>
      <c r="L54" s="25" t="str">
        <f>VLOOKUP(A54,'Trips&amp;Operators'!$C$1:$E$10000,3,FALSE)</f>
        <v>KILLION</v>
      </c>
      <c r="M54" s="6">
        <f t="shared" si="19"/>
        <v>3.2847222224518191E-2</v>
      </c>
      <c r="N54" s="7">
        <f t="shared" si="17"/>
        <v>47.300000003306195</v>
      </c>
      <c r="O54" s="7"/>
      <c r="P54" s="7"/>
      <c r="Q54" s="26"/>
      <c r="R54" s="26"/>
      <c r="S54" s="38">
        <f t="shared" si="20"/>
        <v>1</v>
      </c>
      <c r="T54" s="53" t="str">
        <f t="shared" si="21"/>
        <v>Southbound</v>
      </c>
      <c r="U54" s="13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08:31:42-0600',mode:absolute,to:'2016-08-14 11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54" s="55" t="str">
        <f t="shared" si="23"/>
        <v>N</v>
      </c>
      <c r="X54" s="129">
        <f t="shared" si="24"/>
        <v>1</v>
      </c>
      <c r="Y54" s="70">
        <f t="shared" si="25"/>
        <v>23.2986</v>
      </c>
      <c r="Z54" s="70">
        <f t="shared" si="26"/>
        <v>1.49E-2</v>
      </c>
      <c r="AA54" s="70">
        <f t="shared" si="27"/>
        <v>23.2837</v>
      </c>
      <c r="AB54" s="67" t="e">
        <f>VLOOKUP(A54,Enforcements!$C$7:$J$24,8,0)</f>
        <v>#N/A</v>
      </c>
      <c r="AC54" s="63" t="e">
        <f>VLOOKUP(A54,Enforcements!$C$7:$E$24,3,0)</f>
        <v>#N/A</v>
      </c>
      <c r="AD54" s="64" t="str">
        <f t="shared" si="28"/>
        <v>0142-14</v>
      </c>
      <c r="AE54" s="104" t="str">
        <f t="shared" si="29"/>
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</c>
      <c r="AF54" s="101" t="str">
        <f t="shared" si="30"/>
        <v>"C:\Program Files (x86)\AstroGrep\AstroGrep.exe" /spath="%USERPROFILE%\AppData\Local\Temp\OnboardLogs" /stypes="*4013*20160814*" /stext=" 16:.+((SYSTEM_STATE.+slice.+state.+changed )|(ment ac)|(system.+state.+changed )|(\|lc)|(penalty)|(\[timeout)|(PRM\|1\|D)|(kpr)|(kdp))" /e /r /s</v>
      </c>
      <c r="AG54" s="1" t="str">
        <f t="shared" si="31"/>
        <v>EC</v>
      </c>
      <c r="AH54" s="105" t="str">
        <f t="shared" si="16"/>
        <v>"%USERPROFILE%\Documents\GitHub\eaglep3\Utilities\RefineRTDCRunTimes.py" --tripid 142-14 --locoid 4013 --swversion DE.1.0.7.0 --startMP 204:232986 --initTime 2016-08-14T09:31:42 --startdatetime 2016-08-14T09:33:01 --delay 1 --endMP 204:149 --enddatetime 2016-08-14T10:20:19 --enforcementcount 0</v>
      </c>
    </row>
    <row r="55" spans="1:34" s="1" customFormat="1" x14ac:dyDescent="0.25">
      <c r="A55" s="40" t="s">
        <v>377</v>
      </c>
      <c r="B55" s="7">
        <v>4029</v>
      </c>
      <c r="C55" s="25" t="s">
        <v>120</v>
      </c>
      <c r="D55" s="25" t="s">
        <v>114</v>
      </c>
      <c r="E55" s="16">
        <v>42596.368217592593</v>
      </c>
      <c r="F55" s="16">
        <v>42596.368900462963</v>
      </c>
      <c r="G55" s="7">
        <v>0</v>
      </c>
      <c r="H55" s="16" t="s">
        <v>167</v>
      </c>
      <c r="I55" s="16">
        <v>42596.399699074071</v>
      </c>
      <c r="J55" s="7">
        <v>0</v>
      </c>
      <c r="K55" s="143" t="str">
        <f t="shared" si="18"/>
        <v>4029/4030</v>
      </c>
      <c r="L55" s="25" t="str">
        <f>VLOOKUP(A55,'Trips&amp;Operators'!$C$1:$E$10000,3,FALSE)</f>
        <v>YORK</v>
      </c>
      <c r="M55" s="6">
        <f t="shared" si="19"/>
        <v>3.0798611107456964E-2</v>
      </c>
      <c r="N55" s="7">
        <f t="shared" si="17"/>
        <v>44.349999994738027</v>
      </c>
      <c r="O55" s="7"/>
      <c r="P55" s="7"/>
      <c r="Q55" s="26"/>
      <c r="R55" s="26"/>
      <c r="S55" s="38">
        <f t="shared" si="20"/>
        <v>1</v>
      </c>
      <c r="T55" s="53" t="str">
        <f t="shared" si="21"/>
        <v>NorthBound</v>
      </c>
      <c r="U55" s="13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07:50:14-0600',mode:absolute,to:'2016-08-14 10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55" s="55" t="str">
        <f t="shared" si="23"/>
        <v>N</v>
      </c>
      <c r="X55" s="129">
        <f t="shared" si="24"/>
        <v>1</v>
      </c>
      <c r="Y55" s="70">
        <f t="shared" si="25"/>
        <v>4.6399999999999997E-2</v>
      </c>
      <c r="Z55" s="70">
        <f t="shared" si="26"/>
        <v>23.331399999999999</v>
      </c>
      <c r="AA55" s="70">
        <f t="shared" si="27"/>
        <v>23.285</v>
      </c>
      <c r="AB55" s="67" t="e">
        <f>VLOOKUP(A55,Enforcements!$C$7:$J$24,8,0)</f>
        <v>#N/A</v>
      </c>
      <c r="AC55" s="63" t="e">
        <f>VLOOKUP(A55,Enforcements!$C$7:$E$24,3,0)</f>
        <v>#N/A</v>
      </c>
      <c r="AD55" s="64" t="str">
        <f t="shared" si="28"/>
        <v>0143-14</v>
      </c>
      <c r="AE55" s="104" t="str">
        <f t="shared" si="29"/>
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</c>
      <c r="AF55" s="101" t="str">
        <f t="shared" si="30"/>
        <v>"C:\Program Files (x86)\AstroGrep\AstroGrep.exe" /spath="%USERPROFILE%\AppData\Local\Temp\OnboardLogs" /stypes="*4029*20160814*" /stext=" 15:.+((SYSTEM_STATE.+slice.+state.+changed )|(ment ac)|(system.+state.+changed )|(\|lc)|(penalty)|(\[timeout)|(PRM\|1\|D)|(kpr)|(kdp))" /e /r /s</v>
      </c>
      <c r="AG55" s="1" t="str">
        <f t="shared" si="31"/>
        <v>EC</v>
      </c>
      <c r="AH55" s="105" t="str">
        <f t="shared" si="16"/>
        <v>"%USERPROFILE%\Documents\GitHub\eaglep3\Utilities\RefineRTDCRunTimes.py" --tripid 143-14 --locoid 4029 --swversion DE.1.0.7.0 --startMP 204:464 --initTime 2016-08-14T08:50:14 --startdatetime 2016-08-14T08:51:13 --delay 0 --endMP 204:233314 --enddatetime 2016-08-14T09:35:34 --enforcementcount 0</v>
      </c>
    </row>
    <row r="56" spans="1:34" s="1" customFormat="1" x14ac:dyDescent="0.25">
      <c r="A56" s="40" t="s">
        <v>378</v>
      </c>
      <c r="B56" s="7">
        <v>4030</v>
      </c>
      <c r="C56" s="25" t="s">
        <v>120</v>
      </c>
      <c r="D56" s="25" t="s">
        <v>379</v>
      </c>
      <c r="E56" s="16">
        <v>42596.401331018518</v>
      </c>
      <c r="F56" s="16">
        <v>42596.402337962965</v>
      </c>
      <c r="G56" s="7">
        <v>1</v>
      </c>
      <c r="H56" s="16" t="s">
        <v>186</v>
      </c>
      <c r="I56" s="16">
        <v>42596.439895833333</v>
      </c>
      <c r="J56" s="7">
        <v>0</v>
      </c>
      <c r="K56" s="143" t="str">
        <f t="shared" si="18"/>
        <v>4029/4030</v>
      </c>
      <c r="L56" s="25" t="str">
        <f>VLOOKUP(A56,'Trips&amp;Operators'!$C$1:$E$10000,3,FALSE)</f>
        <v>YORK</v>
      </c>
      <c r="M56" s="6">
        <f t="shared" si="19"/>
        <v>3.7557870367891155E-2</v>
      </c>
      <c r="N56" s="7">
        <f t="shared" si="17"/>
        <v>54.083333329763263</v>
      </c>
      <c r="O56" s="7"/>
      <c r="P56" s="7"/>
      <c r="Q56" s="26"/>
      <c r="R56" s="26"/>
      <c r="S56" s="38">
        <f t="shared" si="20"/>
        <v>1</v>
      </c>
      <c r="T56" s="53" t="str">
        <f t="shared" si="21"/>
        <v>Southbound</v>
      </c>
      <c r="U56" s="13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08:37:55-0600',mode:absolute,to:'2016-08-14 11:33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56" s="55" t="str">
        <f t="shared" si="23"/>
        <v>N</v>
      </c>
      <c r="X56" s="129">
        <f t="shared" si="24"/>
        <v>1</v>
      </c>
      <c r="Y56" s="70">
        <f t="shared" si="25"/>
        <v>23.2989</v>
      </c>
      <c r="Z56" s="70">
        <f t="shared" si="26"/>
        <v>1.6500000000000001E-2</v>
      </c>
      <c r="AA56" s="70">
        <f t="shared" si="27"/>
        <v>23.282399999999999</v>
      </c>
      <c r="AB56" s="67" t="e">
        <f>VLOOKUP(A56,Enforcements!$C$7:$J$24,8,0)</f>
        <v>#N/A</v>
      </c>
      <c r="AC56" s="63" t="e">
        <f>VLOOKUP(A56,Enforcements!$C$7:$E$24,3,0)</f>
        <v>#N/A</v>
      </c>
      <c r="AD56" s="64" t="str">
        <f t="shared" si="28"/>
        <v>0144-14</v>
      </c>
      <c r="AE56" s="104" t="str">
        <f t="shared" si="29"/>
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</c>
      <c r="AF56" s="101" t="str">
        <f t="shared" si="30"/>
        <v>"C:\Program Files (x86)\AstroGrep\AstroGrep.exe" /spath="%USERPROFILE%\AppData\Local\Temp\OnboardLogs" /stypes="*4030*20160814*" /stext=" 16:.+((SYSTEM_STATE.+slice.+state.+changed )|(ment ac)|(system.+state.+changed )|(\|lc)|(penalty)|(\[timeout)|(PRM\|1\|D)|(kpr)|(kdp))" /e /r /s</v>
      </c>
      <c r="AG56" s="1" t="str">
        <f t="shared" si="31"/>
        <v>EC</v>
      </c>
      <c r="AH56" s="105" t="str">
        <f t="shared" si="16"/>
        <v>"%USERPROFILE%\Documents\GitHub\eaglep3\Utilities\RefineRTDCRunTimes.py" --tripid 144-14 --locoid 4030 --swversion DE.1.0.7.0 --startMP 204:232989 --initTime 2016-08-14T09:37:55 --startdatetime 2016-08-14T09:39:22 --delay 1 --endMP 204:165 --enddatetime 2016-08-14T10:33:27 --enforcementcount 0</v>
      </c>
    </row>
    <row r="57" spans="1:34" x14ac:dyDescent="0.25">
      <c r="A57" s="40" t="s">
        <v>380</v>
      </c>
      <c r="B57" s="7">
        <v>4016</v>
      </c>
      <c r="C57" s="25" t="s">
        <v>120</v>
      </c>
      <c r="D57" s="25" t="s">
        <v>144</v>
      </c>
      <c r="E57" s="16">
        <v>42596.380555555559</v>
      </c>
      <c r="F57" s="16">
        <v>42596.381666666668</v>
      </c>
      <c r="G57" s="7">
        <v>1</v>
      </c>
      <c r="H57" s="16" t="s">
        <v>281</v>
      </c>
      <c r="I57" s="16">
        <v>42596.410115740742</v>
      </c>
      <c r="J57" s="7">
        <v>0</v>
      </c>
      <c r="K57" s="143" t="str">
        <f t="shared" si="18"/>
        <v>4015/4016</v>
      </c>
      <c r="L57" s="25" t="str">
        <f>VLOOKUP(A57,'Trips&amp;Operators'!$C$1:$E$10000,3,FALSE)</f>
        <v>ACKERMAN</v>
      </c>
      <c r="M57" s="6">
        <f t="shared" si="19"/>
        <v>2.8449074074160308E-2</v>
      </c>
      <c r="N57" s="7">
        <f t="shared" ref="N57:N88" si="32">24*60*SUM($M57:$M57)</f>
        <v>40.966666666790843</v>
      </c>
      <c r="O57" s="7"/>
      <c r="P57" s="7"/>
      <c r="Q57" s="26"/>
      <c r="R57" s="26"/>
      <c r="S57" s="38">
        <f t="shared" si="20"/>
        <v>1</v>
      </c>
      <c r="T57" s="53" t="str">
        <f t="shared" si="21"/>
        <v>NorthBound</v>
      </c>
      <c r="U57" s="13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08:08:00-0600',mode:absolute,to:'2016-08-14 10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57" s="55" t="str">
        <f t="shared" si="23"/>
        <v>N</v>
      </c>
      <c r="X57" s="129">
        <f t="shared" si="24"/>
        <v>1</v>
      </c>
      <c r="Y57" s="70">
        <f t="shared" si="25"/>
        <v>4.53E-2</v>
      </c>
      <c r="Z57" s="70">
        <f t="shared" si="26"/>
        <v>23.330500000000001</v>
      </c>
      <c r="AA57" s="70">
        <f t="shared" si="27"/>
        <v>23.2852</v>
      </c>
      <c r="AB57" s="67" t="e">
        <f>VLOOKUP(A57,Enforcements!$C$7:$J$24,8,0)</f>
        <v>#N/A</v>
      </c>
      <c r="AC57" s="63" t="e">
        <f>VLOOKUP(A57,Enforcements!$C$7:$E$24,3,0)</f>
        <v>#N/A</v>
      </c>
      <c r="AD57" s="64" t="str">
        <f t="shared" si="28"/>
        <v>0145-14</v>
      </c>
      <c r="AE57" s="104" t="str">
        <f t="shared" si="29"/>
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</c>
      <c r="AF57" s="101" t="str">
        <f t="shared" si="30"/>
        <v>"C:\Program Files (x86)\AstroGrep\AstroGrep.exe" /spath="%USERPROFILE%\AppData\Local\Temp\OnboardLogs" /stypes="*4016*20160814*" /stext=" 15:.+((SYSTEM_STATE.+slice.+state.+changed )|(ment ac)|(system.+state.+changed )|(\|lc)|(penalty)|(\[timeout)|(PRM\|1\|D)|(kpr)|(kdp))" /e /r /s</v>
      </c>
      <c r="AG57" s="1" t="str">
        <f t="shared" si="31"/>
        <v>EC</v>
      </c>
      <c r="AH57" s="105" t="str">
        <f t="shared" si="16"/>
        <v>"%USERPROFILE%\Documents\GitHub\eaglep3\Utilities\RefineRTDCRunTimes.py" --tripid 145-14 --locoid 4016 --swversion DE.1.0.7.0 --startMP 204:453 --initTime 2016-08-14T09:08:00 --startdatetime 2016-08-14T09:09:36 --delay 1 --endMP 204:233305 --enddatetime 2016-08-14T09:50:34 --enforcementcount 0</v>
      </c>
    </row>
    <row r="58" spans="1:34" x14ac:dyDescent="0.25">
      <c r="A58" s="40" t="s">
        <v>381</v>
      </c>
      <c r="B58" s="7">
        <v>4015</v>
      </c>
      <c r="C58" s="25" t="s">
        <v>120</v>
      </c>
      <c r="D58" s="25" t="s">
        <v>255</v>
      </c>
      <c r="E58" s="16">
        <v>42596.417824074073</v>
      </c>
      <c r="F58" s="16">
        <v>42596.418773148151</v>
      </c>
      <c r="G58" s="7">
        <v>1</v>
      </c>
      <c r="H58" s="16" t="s">
        <v>382</v>
      </c>
      <c r="I58" s="16">
        <v>42596.454814814817</v>
      </c>
      <c r="J58" s="7">
        <v>0</v>
      </c>
      <c r="K58" s="143" t="str">
        <f t="shared" si="18"/>
        <v>4015/4016</v>
      </c>
      <c r="L58" s="25" t="str">
        <f>VLOOKUP(A58,'Trips&amp;Operators'!$C$1:$E$10000,3,FALSE)</f>
        <v>ACKERMAN</v>
      </c>
      <c r="M58" s="6">
        <f t="shared" si="19"/>
        <v>3.6041666666278616E-2</v>
      </c>
      <c r="N58" s="7">
        <f t="shared" si="32"/>
        <v>51.899999999441206</v>
      </c>
      <c r="O58" s="7"/>
      <c r="P58" s="7"/>
      <c r="Q58" s="26"/>
      <c r="R58" s="26"/>
      <c r="S58" s="38">
        <f t="shared" si="20"/>
        <v>1</v>
      </c>
      <c r="T58" s="53" t="str">
        <f t="shared" si="21"/>
        <v>Southbound</v>
      </c>
      <c r="U58" s="13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09:01:40-0600',mode:absolute,to:'2016-08-14 11:54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58" s="55" t="str">
        <f t="shared" si="23"/>
        <v>N</v>
      </c>
      <c r="X58" s="129">
        <f t="shared" si="24"/>
        <v>1</v>
      </c>
      <c r="Y58" s="70">
        <f t="shared" si="25"/>
        <v>23.298200000000001</v>
      </c>
      <c r="Z58" s="70">
        <f t="shared" si="26"/>
        <v>1.41E-2</v>
      </c>
      <c r="AA58" s="70">
        <f t="shared" si="27"/>
        <v>23.284100000000002</v>
      </c>
      <c r="AB58" s="67" t="e">
        <f>VLOOKUP(A58,Enforcements!$C$7:$J$24,8,0)</f>
        <v>#N/A</v>
      </c>
      <c r="AC58" s="63" t="e">
        <f>VLOOKUP(A58,Enforcements!$C$7:$E$24,3,0)</f>
        <v>#N/A</v>
      </c>
      <c r="AD58" s="64" t="str">
        <f t="shared" si="28"/>
        <v>0146-14</v>
      </c>
      <c r="AE58" s="104" t="str">
        <f t="shared" si="29"/>
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</c>
      <c r="AF58" s="101" t="str">
        <f t="shared" si="30"/>
        <v>"C:\Program Files (x86)\AstroGrep\AstroGrep.exe" /spath="%USERPROFILE%\AppData\Local\Temp\OnboardLogs" /stypes="*4015*20160814*" /stext=" 16:.+((SYSTEM_STATE.+slice.+state.+changed )|(ment ac)|(system.+state.+changed )|(\|lc)|(penalty)|(\[timeout)|(PRM\|1\|D)|(kpr)|(kdp))" /e /r /s</v>
      </c>
      <c r="AG58" s="1" t="str">
        <f t="shared" si="31"/>
        <v>EC</v>
      </c>
      <c r="AH58" s="105" t="str">
        <f t="shared" si="16"/>
        <v>"%USERPROFILE%\Documents\GitHub\eaglep3\Utilities\RefineRTDCRunTimes.py" --tripid 146-14 --locoid 4015 --swversion DE.1.0.7.0 --startMP 204:232982 --initTime 2016-08-14T10:01:40 --startdatetime 2016-08-14T10:03:02 --delay 1 --endMP 204:141 --enddatetime 2016-08-14T10:54:56 --enforcementcount 0</v>
      </c>
    </row>
    <row r="59" spans="1:34" s="1" customFormat="1" x14ac:dyDescent="0.25">
      <c r="A59" s="40" t="s">
        <v>383</v>
      </c>
      <c r="B59" s="7">
        <v>4011</v>
      </c>
      <c r="C59" s="25" t="s">
        <v>120</v>
      </c>
      <c r="D59" s="25" t="s">
        <v>202</v>
      </c>
      <c r="E59" s="16">
        <v>42596.390555555554</v>
      </c>
      <c r="F59" s="16">
        <v>42596.391655092593</v>
      </c>
      <c r="G59" s="7">
        <v>1</v>
      </c>
      <c r="H59" s="16" t="s">
        <v>183</v>
      </c>
      <c r="I59" s="16">
        <v>42596.421284722222</v>
      </c>
      <c r="J59" s="7">
        <v>0</v>
      </c>
      <c r="K59" s="143" t="str">
        <f t="shared" si="18"/>
        <v>4011/4012</v>
      </c>
      <c r="L59" s="25" t="str">
        <f>VLOOKUP(A59,'Trips&amp;Operators'!$C$1:$E$10000,3,FALSE)</f>
        <v>MAELZER</v>
      </c>
      <c r="M59" s="6">
        <f t="shared" si="19"/>
        <v>2.9629629629198462E-2</v>
      </c>
      <c r="N59" s="7">
        <f t="shared" si="32"/>
        <v>42.666666666045785</v>
      </c>
      <c r="O59" s="7"/>
      <c r="P59" s="7"/>
      <c r="Q59" s="26"/>
      <c r="R59" s="26"/>
      <c r="S59" s="38">
        <f t="shared" si="20"/>
        <v>1</v>
      </c>
      <c r="T59" s="53" t="str">
        <f t="shared" si="21"/>
        <v>NorthBound</v>
      </c>
      <c r="U59" s="13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08:22:24-0600',mode:absolute,to:'2016-08-14 11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59" s="55" t="str">
        <f t="shared" si="23"/>
        <v>N</v>
      </c>
      <c r="X59" s="129">
        <f t="shared" si="24"/>
        <v>1</v>
      </c>
      <c r="Y59" s="70">
        <f t="shared" si="25"/>
        <v>4.5100000000000001E-2</v>
      </c>
      <c r="Z59" s="70">
        <f t="shared" si="26"/>
        <v>23.3323</v>
      </c>
      <c r="AA59" s="70">
        <f t="shared" si="27"/>
        <v>23.287199999999999</v>
      </c>
      <c r="AB59" s="67" t="e">
        <f>VLOOKUP(A59,Enforcements!$C$7:$J$24,8,0)</f>
        <v>#N/A</v>
      </c>
      <c r="AC59" s="63" t="e">
        <f>VLOOKUP(A59,Enforcements!$C$7:$E$24,3,0)</f>
        <v>#N/A</v>
      </c>
      <c r="AD59" s="64" t="str">
        <f t="shared" si="28"/>
        <v>0147-14</v>
      </c>
      <c r="AE59" s="104" t="str">
        <f t="shared" si="29"/>
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</c>
      <c r="AF59" s="101" t="str">
        <f t="shared" si="30"/>
        <v>"C:\Program Files (x86)\AstroGrep\AstroGrep.exe" /spath="%USERPROFILE%\AppData\Local\Temp\OnboardLogs" /stypes="*4011*20160814*" /stext=" 16:.+((SYSTEM_STATE.+slice.+state.+changed )|(ment ac)|(system.+state.+changed )|(\|lc)|(penalty)|(\[timeout)|(PRM\|1\|D)|(kpr)|(kdp))" /e /r /s</v>
      </c>
      <c r="AG59" s="1" t="str">
        <f t="shared" si="31"/>
        <v>EC</v>
      </c>
      <c r="AH59" s="105" t="str">
        <f t="shared" si="16"/>
        <v>"%USERPROFILE%\Documents\GitHub\eaglep3\Utilities\RefineRTDCRunTimes.py" --tripid 147-14 --locoid 4011 --swversion DE.1.0.7.0 --startMP 204:451 --initTime 2016-08-14T09:22:24 --startdatetime 2016-08-14T09:23:59 --delay 1 --endMP 204:233323 --enddatetime 2016-08-14T10:06:39 --enforcementcount 0</v>
      </c>
    </row>
    <row r="60" spans="1:34" s="1" customFormat="1" x14ac:dyDescent="0.25">
      <c r="A60" s="40" t="s">
        <v>384</v>
      </c>
      <c r="B60" s="7">
        <v>4012</v>
      </c>
      <c r="C60" s="25" t="s">
        <v>120</v>
      </c>
      <c r="D60" s="25" t="s">
        <v>150</v>
      </c>
      <c r="E60" s="16">
        <v>42596.429814814815</v>
      </c>
      <c r="F60" s="16">
        <v>42596.431527777779</v>
      </c>
      <c r="G60" s="7">
        <v>2</v>
      </c>
      <c r="H60" s="16" t="s">
        <v>148</v>
      </c>
      <c r="I60" s="16">
        <v>42596.466539351852</v>
      </c>
      <c r="J60" s="7">
        <v>0</v>
      </c>
      <c r="K60" s="143" t="str">
        <f t="shared" si="18"/>
        <v>4011/4012</v>
      </c>
      <c r="L60" s="25" t="str">
        <f>VLOOKUP(A60,'Trips&amp;Operators'!$C$1:$E$10000,3,FALSE)</f>
        <v>MAELZER</v>
      </c>
      <c r="M60" s="6">
        <f t="shared" si="19"/>
        <v>3.5011574072996154E-2</v>
      </c>
      <c r="N60" s="7">
        <f t="shared" si="32"/>
        <v>50.416666665114462</v>
      </c>
      <c r="O60" s="7"/>
      <c r="P60" s="7"/>
      <c r="Q60" s="26"/>
      <c r="R60" s="26"/>
      <c r="S60" s="38">
        <f t="shared" si="20"/>
        <v>1</v>
      </c>
      <c r="T60" s="53" t="str">
        <f t="shared" si="21"/>
        <v>Southbound</v>
      </c>
      <c r="U60" s="13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09:18:56-0600',mode:absolute,to:'2016-08-14 12:11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60" s="55" t="str">
        <f t="shared" si="23"/>
        <v>N</v>
      </c>
      <c r="X60" s="129">
        <f t="shared" si="24"/>
        <v>1</v>
      </c>
      <c r="Y60" s="70">
        <f t="shared" si="25"/>
        <v>23.299600000000002</v>
      </c>
      <c r="Z60" s="70">
        <f t="shared" si="26"/>
        <v>1.49E-2</v>
      </c>
      <c r="AA60" s="70">
        <f t="shared" si="27"/>
        <v>23.284700000000001</v>
      </c>
      <c r="AB60" s="67" t="e">
        <f>VLOOKUP(A60,Enforcements!$C$7:$J$24,8,0)</f>
        <v>#N/A</v>
      </c>
      <c r="AC60" s="63" t="e">
        <f>VLOOKUP(A60,Enforcements!$C$7:$E$24,3,0)</f>
        <v>#N/A</v>
      </c>
      <c r="AD60" s="64" t="str">
        <f t="shared" si="28"/>
        <v>0148-14</v>
      </c>
      <c r="AE60" s="104" t="str">
        <f t="shared" si="29"/>
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</c>
      <c r="AF60" s="101" t="str">
        <f t="shared" si="30"/>
        <v>"C:\Program Files (x86)\AstroGrep\AstroGrep.exe" /spath="%USERPROFILE%\AppData\Local\Temp\OnboardLogs" /stypes="*4012*20160814*" /stext=" 17:.+((SYSTEM_STATE.+slice.+state.+changed )|(ment ac)|(system.+state.+changed )|(\|lc)|(penalty)|(\[timeout)|(PRM\|1\|D)|(kpr)|(kdp))" /e /r /s</v>
      </c>
      <c r="AG60" s="1" t="str">
        <f t="shared" si="31"/>
        <v>EC</v>
      </c>
      <c r="AH60" s="105" t="str">
        <f t="shared" si="16"/>
        <v>"%USERPROFILE%\Documents\GitHub\eaglep3\Utilities\RefineRTDCRunTimes.py" --tripid 148-14 --locoid 4012 --swversion DE.1.0.7.0 --startMP 204:232996 --initTime 2016-08-14T10:18:56 --startdatetime 2016-08-14T10:21:24 --delay 2 --endMP 204:149 --enddatetime 2016-08-14T11:11:49 --enforcementcount 0</v>
      </c>
    </row>
    <row r="61" spans="1:34" s="1" customFormat="1" x14ac:dyDescent="0.25">
      <c r="A61" s="40" t="s">
        <v>385</v>
      </c>
      <c r="B61" s="7">
        <v>4027</v>
      </c>
      <c r="C61" s="25" t="s">
        <v>120</v>
      </c>
      <c r="D61" s="25" t="s">
        <v>115</v>
      </c>
      <c r="E61" s="16">
        <v>42596.40283564815</v>
      </c>
      <c r="F61" s="16">
        <v>42596.403599537036</v>
      </c>
      <c r="G61" s="7">
        <v>1</v>
      </c>
      <c r="H61" s="16" t="s">
        <v>151</v>
      </c>
      <c r="I61" s="16">
        <v>42596.432222222225</v>
      </c>
      <c r="J61" s="7">
        <v>0</v>
      </c>
      <c r="K61" s="143" t="str">
        <f t="shared" si="18"/>
        <v>4027/4028</v>
      </c>
      <c r="L61" s="25" t="str">
        <f>VLOOKUP(A61,'Trips&amp;Operators'!$C$1:$E$10000,3,FALSE)</f>
        <v>DAVIS</v>
      </c>
      <c r="M61" s="6">
        <f t="shared" si="19"/>
        <v>2.8622685189475305E-2</v>
      </c>
      <c r="N61" s="7">
        <f t="shared" si="32"/>
        <v>41.21666667284444</v>
      </c>
      <c r="O61" s="7"/>
      <c r="P61" s="7"/>
      <c r="Q61" s="26"/>
      <c r="R61" s="26"/>
      <c r="S61" s="38">
        <f t="shared" si="20"/>
        <v>1</v>
      </c>
      <c r="T61" s="53" t="str">
        <f t="shared" si="21"/>
        <v>NorthBound</v>
      </c>
      <c r="U61" s="13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08:40:05-0600',mode:absolute,to:'2016-08-14 11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61" s="55" t="str">
        <f t="shared" si="23"/>
        <v>N</v>
      </c>
      <c r="X61" s="129">
        <f t="shared" si="24"/>
        <v>1</v>
      </c>
      <c r="Y61" s="70">
        <f t="shared" si="25"/>
        <v>4.6199999999999998E-2</v>
      </c>
      <c r="Z61" s="70">
        <f t="shared" si="26"/>
        <v>23.331199999999999</v>
      </c>
      <c r="AA61" s="70">
        <f t="shared" si="27"/>
        <v>23.285</v>
      </c>
      <c r="AB61" s="67" t="e">
        <f>VLOOKUP(A61,Enforcements!$C$7:$J$24,8,0)</f>
        <v>#N/A</v>
      </c>
      <c r="AC61" s="63" t="e">
        <f>VLOOKUP(A61,Enforcements!$C$7:$E$24,3,0)</f>
        <v>#N/A</v>
      </c>
      <c r="AD61" s="64" t="str">
        <f t="shared" si="28"/>
        <v>0149-14</v>
      </c>
      <c r="AE61" s="104" t="str">
        <f t="shared" si="29"/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AF61" s="101" t="str">
        <f t="shared" si="30"/>
        <v>"C:\Program Files (x86)\AstroGrep\AstroGrep.exe" /spath="%USERPROFILE%\AppData\Local\Temp\OnboardLogs" /stypes="*4027*20160814*" /stext=" 16:.+((SYSTEM_STATE.+slice.+state.+changed )|(ment ac)|(system.+state.+changed )|(\|lc)|(penalty)|(\[timeout)|(PRM\|1\|D)|(kpr)|(kdp))" /e /r /s</v>
      </c>
      <c r="AG61" s="1" t="str">
        <f t="shared" si="31"/>
        <v>EC</v>
      </c>
      <c r="AH61" s="105" t="str">
        <f t="shared" si="16"/>
        <v>"%USERPROFILE%\Documents\GitHub\eaglep3\Utilities\RefineRTDCRunTimes.py" --tripid 149-14 --locoid 4027 --swversion DE.1.0.7.0 --startMP 204:462 --initTime 2016-08-14T09:40:05 --startdatetime 2016-08-14T09:41:11 --delay 1 --endMP 204:233312 --enddatetime 2016-08-14T10:22:24 --enforcementcount 0</v>
      </c>
    </row>
    <row r="62" spans="1:34" x14ac:dyDescent="0.25">
      <c r="A62" s="40" t="s">
        <v>386</v>
      </c>
      <c r="B62" s="7">
        <v>4028</v>
      </c>
      <c r="C62" s="25" t="s">
        <v>120</v>
      </c>
      <c r="D62" s="25" t="s">
        <v>255</v>
      </c>
      <c r="E62" s="16">
        <v>42596.438634259262</v>
      </c>
      <c r="F62" s="16">
        <v>42596.439375000002</v>
      </c>
      <c r="G62" s="7">
        <v>1</v>
      </c>
      <c r="H62" s="16" t="s">
        <v>93</v>
      </c>
      <c r="I62" s="16">
        <v>42596.485127314816</v>
      </c>
      <c r="J62" s="7">
        <v>0</v>
      </c>
      <c r="K62" s="143" t="str">
        <f t="shared" si="18"/>
        <v>4027/4028</v>
      </c>
      <c r="L62" s="25" t="str">
        <f>VLOOKUP(A62,'Trips&amp;Operators'!$C$1:$E$10000,3,FALSE)</f>
        <v>DAVIS</v>
      </c>
      <c r="M62" s="6">
        <f t="shared" si="19"/>
        <v>4.5752314814308193E-2</v>
      </c>
      <c r="N62" s="7">
        <f t="shared" si="32"/>
        <v>65.883333332603797</v>
      </c>
      <c r="O62" s="7"/>
      <c r="P62" s="7"/>
      <c r="Q62" s="26"/>
      <c r="R62" s="26"/>
      <c r="S62" s="38">
        <f t="shared" si="20"/>
        <v>1</v>
      </c>
      <c r="T62" s="53" t="str">
        <f t="shared" si="21"/>
        <v>Southbound</v>
      </c>
      <c r="U62" s="13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09:31:38-0600',mode:absolute,to:'2016-08-14 12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62" s="55" t="str">
        <f t="shared" si="23"/>
        <v>N</v>
      </c>
      <c r="X62" s="129">
        <f t="shared" si="24"/>
        <v>1</v>
      </c>
      <c r="Y62" s="70">
        <f t="shared" si="25"/>
        <v>23.298200000000001</v>
      </c>
      <c r="Z62" s="70">
        <f t="shared" si="26"/>
        <v>1.43E-2</v>
      </c>
      <c r="AA62" s="70">
        <f t="shared" si="27"/>
        <v>23.283900000000003</v>
      </c>
      <c r="AB62" s="67" t="e">
        <f>VLOOKUP(A62,Enforcements!$C$7:$J$24,8,0)</f>
        <v>#N/A</v>
      </c>
      <c r="AC62" s="63" t="e">
        <f>VLOOKUP(A62,Enforcements!$C$7:$E$24,3,0)</f>
        <v>#N/A</v>
      </c>
      <c r="AD62" s="64" t="str">
        <f t="shared" si="28"/>
        <v>0150-14</v>
      </c>
      <c r="AE62" s="104" t="str">
        <f t="shared" si="29"/>
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</c>
      <c r="AF62" s="101" t="str">
        <f t="shared" si="30"/>
        <v>"C:\Program Files (x86)\AstroGrep\AstroGrep.exe" /spath="%USERPROFILE%\AppData\Local\Temp\OnboardLogs" /stypes="*4028*20160814*" /stext=" 17:.+((SYSTEM_STATE.+slice.+state.+changed )|(ment ac)|(system.+state.+changed )|(\|lc)|(penalty)|(\[timeout)|(PRM\|1\|D)|(kpr)|(kdp))" /e /r /s</v>
      </c>
      <c r="AG62" s="1" t="str">
        <f t="shared" si="31"/>
        <v>EC</v>
      </c>
      <c r="AH62" s="105" t="str">
        <f t="shared" si="16"/>
        <v>"%USERPROFILE%\Documents\GitHub\eaglep3\Utilities\RefineRTDCRunTimes.py" --tripid 150-14 --locoid 4028 --swversion DE.1.0.7.0 --startMP 204:232982 --initTime 2016-08-14T10:31:38 --startdatetime 2016-08-14T10:32:42 --delay 1 --endMP 204:143 --enddatetime 2016-08-14T11:38:35 --enforcementcount 0</v>
      </c>
    </row>
    <row r="63" spans="1:34" s="24" customFormat="1" x14ac:dyDescent="0.25">
      <c r="A63" s="40" t="s">
        <v>387</v>
      </c>
      <c r="B63" s="7">
        <v>4038</v>
      </c>
      <c r="C63" s="25" t="s">
        <v>120</v>
      </c>
      <c r="D63" s="25" t="s">
        <v>144</v>
      </c>
      <c r="E63" s="16">
        <v>42596.41547453704</v>
      </c>
      <c r="F63" s="16">
        <v>42596.416319444441</v>
      </c>
      <c r="G63" s="7">
        <v>1</v>
      </c>
      <c r="H63" s="16" t="s">
        <v>253</v>
      </c>
      <c r="I63" s="16">
        <v>42596.443298611113</v>
      </c>
      <c r="J63" s="7">
        <v>0</v>
      </c>
      <c r="K63" s="143" t="str">
        <f t="shared" si="18"/>
        <v>4037/4038</v>
      </c>
      <c r="L63" s="25" t="str">
        <f>VLOOKUP(A63,'Trips&amp;Operators'!$C$1:$E$10000,3,FALSE)</f>
        <v>MALAVE</v>
      </c>
      <c r="M63" s="6">
        <f t="shared" si="19"/>
        <v>2.697916667239042E-2</v>
      </c>
      <c r="N63" s="7">
        <f t="shared" si="32"/>
        <v>38.850000008242205</v>
      </c>
      <c r="O63" s="7"/>
      <c r="P63" s="7"/>
      <c r="Q63" s="26"/>
      <c r="R63" s="26"/>
      <c r="S63" s="38">
        <f t="shared" si="20"/>
        <v>1</v>
      </c>
      <c r="T63" s="53" t="str">
        <f t="shared" si="21"/>
        <v>NorthBound</v>
      </c>
      <c r="U63" s="13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08:58:17-0600',mode:absolute,to:'2016-08-14 11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63" s="55" t="str">
        <f t="shared" si="23"/>
        <v>N</v>
      </c>
      <c r="X63" s="129">
        <f t="shared" si="24"/>
        <v>1</v>
      </c>
      <c r="Y63" s="70">
        <f t="shared" si="25"/>
        <v>4.53E-2</v>
      </c>
      <c r="Z63" s="70">
        <f t="shared" si="26"/>
        <v>23.329499999999999</v>
      </c>
      <c r="AA63" s="70">
        <f t="shared" si="27"/>
        <v>23.284199999999998</v>
      </c>
      <c r="AB63" s="67" t="e">
        <f>VLOOKUP(A63,Enforcements!$C$7:$J$24,8,0)</f>
        <v>#N/A</v>
      </c>
      <c r="AC63" s="63" t="e">
        <f>VLOOKUP(A63,Enforcements!$C$7:$E$24,3,0)</f>
        <v>#N/A</v>
      </c>
      <c r="AD63" s="64" t="str">
        <f t="shared" si="28"/>
        <v>0151-14</v>
      </c>
      <c r="AE63" s="104" t="str">
        <f t="shared" si="29"/>
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</c>
      <c r="AF63" s="101" t="str">
        <f t="shared" si="30"/>
        <v>"C:\Program Files (x86)\AstroGrep\AstroGrep.exe" /spath="%USERPROFILE%\AppData\Local\Temp\OnboardLogs" /stypes="*4038*20160814*" /stext=" 16:.+((SYSTEM_STATE.+slice.+state.+changed )|(ment ac)|(system.+state.+changed )|(\|lc)|(penalty)|(\[timeout)|(PRM\|1\|D)|(kpr)|(kdp))" /e /r /s</v>
      </c>
      <c r="AG63" s="1" t="str">
        <f t="shared" si="31"/>
        <v>EC</v>
      </c>
      <c r="AH63" s="105" t="str">
        <f t="shared" si="16"/>
        <v>"%USERPROFILE%\Documents\GitHub\eaglep3\Utilities\RefineRTDCRunTimes.py" --tripid 151-14 --locoid 4038 --swversion DE.1.0.7.0 --startMP 204:453 --initTime 2016-08-14T09:58:17 --startdatetime 2016-08-14T09:59:30 --delay 1 --endMP 204:233295 --enddatetime 2016-08-14T10:38:21 --enforcementcount 0</v>
      </c>
    </row>
    <row r="64" spans="1:34" x14ac:dyDescent="0.25">
      <c r="A64" s="40" t="s">
        <v>388</v>
      </c>
      <c r="B64" s="7">
        <v>4037</v>
      </c>
      <c r="C64" s="25" t="s">
        <v>120</v>
      </c>
      <c r="D64" s="25" t="s">
        <v>156</v>
      </c>
      <c r="E64" s="16">
        <v>42596.454155092593</v>
      </c>
      <c r="F64" s="16">
        <v>42596.455821759257</v>
      </c>
      <c r="G64" s="7">
        <v>2</v>
      </c>
      <c r="H64" s="16" t="s">
        <v>199</v>
      </c>
      <c r="I64" s="16">
        <v>42596.49287037037</v>
      </c>
      <c r="J64" s="7">
        <v>0</v>
      </c>
      <c r="K64" s="143" t="str">
        <f t="shared" si="18"/>
        <v>4037/4038</v>
      </c>
      <c r="L64" s="25" t="str">
        <f>VLOOKUP(A64,'Trips&amp;Operators'!$C$1:$E$10000,3,FALSE)</f>
        <v>MALAVE</v>
      </c>
      <c r="M64" s="6">
        <f t="shared" si="19"/>
        <v>3.704861111327773E-2</v>
      </c>
      <c r="N64" s="7">
        <f t="shared" si="32"/>
        <v>53.350000003119931</v>
      </c>
      <c r="O64" s="7"/>
      <c r="P64" s="7"/>
      <c r="Q64" s="26"/>
      <c r="R64" s="26"/>
      <c r="S64" s="38">
        <f t="shared" si="20"/>
        <v>1</v>
      </c>
      <c r="T64" s="53" t="str">
        <f t="shared" si="21"/>
        <v>Southbound</v>
      </c>
      <c r="U64" s="13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09:53:59-0600',mode:absolute,to:'2016-08-14 12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64" s="55" t="str">
        <f t="shared" si="23"/>
        <v>N</v>
      </c>
      <c r="X64" s="129">
        <f t="shared" si="24"/>
        <v>1</v>
      </c>
      <c r="Y64" s="70">
        <f t="shared" si="25"/>
        <v>23.298300000000001</v>
      </c>
      <c r="Z64" s="70">
        <f t="shared" si="26"/>
        <v>1.5599999999999999E-2</v>
      </c>
      <c r="AA64" s="70">
        <f t="shared" si="27"/>
        <v>23.282700000000002</v>
      </c>
      <c r="AB64" s="67" t="e">
        <f>VLOOKUP(A64,Enforcements!$C$7:$J$24,8,0)</f>
        <v>#N/A</v>
      </c>
      <c r="AC64" s="63" t="e">
        <f>VLOOKUP(A64,Enforcements!$C$7:$E$24,3,0)</f>
        <v>#N/A</v>
      </c>
      <c r="AD64" s="64" t="str">
        <f t="shared" si="28"/>
        <v>0152-14</v>
      </c>
      <c r="AE64" s="104" t="str">
        <f t="shared" si="29"/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AF64" s="101" t="str">
        <f t="shared" si="30"/>
        <v>"C:\Program Files (x86)\AstroGrep\AstroGrep.exe" /spath="%USERPROFILE%\AppData\Local\Temp\OnboardLogs" /stypes="*4037*20160814*" /stext=" 17:.+((SYSTEM_STATE.+slice.+state.+changed )|(ment ac)|(system.+state.+changed )|(\|lc)|(penalty)|(\[timeout)|(PRM\|1\|D)|(kpr)|(kdp))" /e /r /s</v>
      </c>
      <c r="AG64" s="1" t="str">
        <f t="shared" si="31"/>
        <v>EC</v>
      </c>
      <c r="AH64" s="105" t="str">
        <f t="shared" si="16"/>
        <v>"%USERPROFILE%\Documents\GitHub\eaglep3\Utilities\RefineRTDCRunTimes.py" --tripid 152-14 --locoid 4037 --swversion DE.1.0.7.0 --startMP 204:232983 --initTime 2016-08-14T10:53:59 --startdatetime 2016-08-14T10:56:23 --delay 2 --endMP 204:156 --enddatetime 2016-08-14T11:49:44 --enforcementcount 0</v>
      </c>
    </row>
    <row r="65" spans="1:34" x14ac:dyDescent="0.25">
      <c r="A65" s="40" t="s">
        <v>389</v>
      </c>
      <c r="B65" s="7">
        <v>4031</v>
      </c>
      <c r="C65" s="25" t="s">
        <v>120</v>
      </c>
      <c r="D65" s="25" t="s">
        <v>206</v>
      </c>
      <c r="E65" s="16">
        <v>42596.422696759262</v>
      </c>
      <c r="F65" s="16">
        <v>42596.424490740741</v>
      </c>
      <c r="G65" s="7">
        <v>2</v>
      </c>
      <c r="H65" s="16" t="s">
        <v>390</v>
      </c>
      <c r="I65" s="16">
        <v>42596.455416666664</v>
      </c>
      <c r="J65" s="7">
        <v>0</v>
      </c>
      <c r="K65" s="143" t="str">
        <f t="shared" si="18"/>
        <v>4031/4032</v>
      </c>
      <c r="L65" s="25" t="str">
        <f>VLOOKUP(A65,'Trips&amp;Operators'!$C$1:$E$10000,3,FALSE)</f>
        <v>STRICKLAND</v>
      </c>
      <c r="M65" s="6">
        <f t="shared" si="19"/>
        <v>3.0925925922929309E-2</v>
      </c>
      <c r="N65" s="7">
        <f t="shared" si="32"/>
        <v>44.533333329018205</v>
      </c>
      <c r="O65" s="7"/>
      <c r="P65" s="7"/>
      <c r="Q65" s="26"/>
      <c r="R65" s="26"/>
      <c r="S65" s="38">
        <f t="shared" si="20"/>
        <v>1</v>
      </c>
      <c r="T65" s="53" t="str">
        <f t="shared" si="21"/>
        <v>NorthBound</v>
      </c>
      <c r="U65" s="13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09:08:41-0600',mode:absolute,to:'2016-08-14 11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65" s="55" t="str">
        <f t="shared" si="23"/>
        <v>N</v>
      </c>
      <c r="X65" s="129">
        <f t="shared" si="24"/>
        <v>1</v>
      </c>
      <c r="Y65" s="70">
        <f t="shared" si="25"/>
        <v>4.7699999999999999E-2</v>
      </c>
      <c r="Z65" s="70">
        <f t="shared" si="26"/>
        <v>23.334299999999999</v>
      </c>
      <c r="AA65" s="70">
        <f t="shared" si="27"/>
        <v>23.2866</v>
      </c>
      <c r="AB65" s="67">
        <f>VLOOKUP(A65,Enforcements!$C$7:$J$24,8,0)</f>
        <v>116838</v>
      </c>
      <c r="AC65" s="63" t="str">
        <f>VLOOKUP(A65,Enforcements!$C$7:$E$24,3,0)</f>
        <v>PERMANENT SPEED RESTRICTION</v>
      </c>
      <c r="AD65" s="64" t="str">
        <f t="shared" si="28"/>
        <v>0153-14</v>
      </c>
      <c r="AE65" s="104" t="str">
        <f t="shared" si="29"/>
        <v>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 &amp; 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</v>
      </c>
      <c r="AF65" s="101" t="str">
        <f t="shared" si="30"/>
        <v>"C:\Program Files (x86)\AstroGrep\AstroGrep.exe" /spath="%USERPROFILE%\AppData\Local\Temp\OnboardLogs" /stypes="*4031*20160814*" /stext=" 16:.+((SYSTEM_STATE.+slice.+state.+changed )|(ment ac)|(system.+state.+changed )|(\|lc)|(penalty)|(\[timeout)|(PRM\|1\|D)|(kpr)|(kdp))" /e /r /s</v>
      </c>
      <c r="AG65" s="1" t="str">
        <f t="shared" si="31"/>
        <v>EC</v>
      </c>
      <c r="AH65" s="105" t="str">
        <f t="shared" si="16"/>
        <v>"%USERPROFILE%\Documents\GitHub\eaglep3\Utilities\RefineRTDCRunTimes.py" --tripid 153-14 --locoid 4031 --swversion DE.1.0.7.0 --startMP 204:477 --initTime 2016-08-14T10:08:41 --startdatetime 2016-08-14T10:11:16 --delay 2 --endMP 204:233343 --enddatetime 2016-08-14T10:55:48 --enforcementcount 0</v>
      </c>
    </row>
    <row r="66" spans="1:34" x14ac:dyDescent="0.25">
      <c r="A66" s="40" t="s">
        <v>391</v>
      </c>
      <c r="B66" s="7">
        <v>4032</v>
      </c>
      <c r="C66" s="25" t="s">
        <v>120</v>
      </c>
      <c r="D66" s="25" t="s">
        <v>160</v>
      </c>
      <c r="E66" s="16">
        <v>42596.462418981479</v>
      </c>
      <c r="F66" s="16">
        <v>42596.463402777779</v>
      </c>
      <c r="G66" s="7">
        <v>1</v>
      </c>
      <c r="H66" s="16" t="s">
        <v>291</v>
      </c>
      <c r="I66" s="16">
        <v>42596.499837962961</v>
      </c>
      <c r="J66" s="7">
        <v>0</v>
      </c>
      <c r="K66" s="143" t="str">
        <f t="shared" si="18"/>
        <v>4031/4032</v>
      </c>
      <c r="L66" s="25" t="str">
        <f>VLOOKUP(A66,'Trips&amp;Operators'!$C$1:$E$10000,3,FALSE)</f>
        <v>STRICKLAND</v>
      </c>
      <c r="M66" s="6">
        <f t="shared" si="19"/>
        <v>3.6435185182199348E-2</v>
      </c>
      <c r="N66" s="7">
        <f t="shared" si="32"/>
        <v>52.466666662367061</v>
      </c>
      <c r="O66" s="7"/>
      <c r="P66" s="7"/>
      <c r="Q66" s="26"/>
      <c r="R66" s="26"/>
      <c r="S66" s="38">
        <f t="shared" si="20"/>
        <v>1</v>
      </c>
      <c r="T66" s="53" t="str">
        <f t="shared" si="21"/>
        <v>Southbound</v>
      </c>
      <c r="U66" s="13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10:05:53-0600',mode:absolute,to:'2016-08-14 12:59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66" s="55" t="str">
        <f t="shared" si="23"/>
        <v>N</v>
      </c>
      <c r="X66" s="129">
        <f t="shared" si="24"/>
        <v>1</v>
      </c>
      <c r="Y66" s="70">
        <f t="shared" si="25"/>
        <v>23.297999999999998</v>
      </c>
      <c r="Z66" s="70">
        <f t="shared" si="26"/>
        <v>0.11749999999999999</v>
      </c>
      <c r="AA66" s="70">
        <f t="shared" si="27"/>
        <v>23.180499999999999</v>
      </c>
      <c r="AB66" s="67">
        <f>VLOOKUP(A66,Enforcements!$C$7:$J$24,8,0)</f>
        <v>119716</v>
      </c>
      <c r="AC66" s="63" t="str">
        <f>VLOOKUP(A66,Enforcements!$C$7:$E$24,3,0)</f>
        <v>PERMANENT SPEED RESTRICTION</v>
      </c>
      <c r="AD66" s="64" t="str">
        <f t="shared" si="28"/>
        <v>0154-14</v>
      </c>
      <c r="AE66" s="104" t="str">
        <f t="shared" si="29"/>
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</c>
      <c r="AF66" s="101" t="str">
        <f t="shared" si="30"/>
        <v>"C:\Program Files (x86)\AstroGrep\AstroGrep.exe" /spath="%USERPROFILE%\AppData\Local\Temp\OnboardLogs" /stypes="*4032*20160814*" /stext=" 17:.+((SYSTEM_STATE.+slice.+state.+changed )|(ment ac)|(system.+state.+changed )|(\|lc)|(penalty)|(\[timeout)|(PRM\|1\|D)|(kpr)|(kdp))" /e /r /s</v>
      </c>
      <c r="AG66" s="1" t="str">
        <f t="shared" si="31"/>
        <v>EC</v>
      </c>
      <c r="AH66" s="105" t="str">
        <f t="shared" si="16"/>
        <v>"%USERPROFILE%\Documents\GitHub\eaglep3\Utilities\RefineRTDCRunTimes.py" --tripid 154-14 --locoid 4032 --swversion DE.1.0.7.0 --startMP 204:232980 --initTime 2016-08-14T11:05:53 --startdatetime 2016-08-14T11:07:18 --delay 1 --endMP 204:1175 --enddatetime 2016-08-14T11:59:46 --enforcementcount 0</v>
      </c>
    </row>
    <row r="67" spans="1:34" s="24" customFormat="1" x14ac:dyDescent="0.25">
      <c r="A67" s="40" t="s">
        <v>392</v>
      </c>
      <c r="B67" s="7">
        <v>4014</v>
      </c>
      <c r="C67" s="25" t="s">
        <v>120</v>
      </c>
      <c r="D67" s="25" t="s">
        <v>258</v>
      </c>
      <c r="E67" s="16">
        <v>42596.434166666666</v>
      </c>
      <c r="F67" s="16">
        <v>42596.437800925924</v>
      </c>
      <c r="G67" s="7">
        <v>5</v>
      </c>
      <c r="H67" s="16" t="s">
        <v>393</v>
      </c>
      <c r="I67" s="16">
        <v>42596.472349537034</v>
      </c>
      <c r="J67" s="7">
        <v>0</v>
      </c>
      <c r="K67" s="143" t="str">
        <f t="shared" si="18"/>
        <v>4013/4014</v>
      </c>
      <c r="L67" s="25" t="str">
        <f>VLOOKUP(A67,'Trips&amp;Operators'!$C$1:$E$10000,3,FALSE)</f>
        <v>MAYBERRY</v>
      </c>
      <c r="M67" s="6">
        <f t="shared" si="19"/>
        <v>3.4548611110949423E-2</v>
      </c>
      <c r="N67" s="7">
        <f t="shared" si="32"/>
        <v>49.749999999767169</v>
      </c>
      <c r="O67" s="7"/>
      <c r="P67" s="7"/>
      <c r="Q67" s="26"/>
      <c r="R67" s="26"/>
      <c r="S67" s="38">
        <f t="shared" si="20"/>
        <v>1</v>
      </c>
      <c r="T67" s="53" t="str">
        <f t="shared" si="21"/>
        <v>NorthBound</v>
      </c>
      <c r="U67" s="13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09:25:12-0600',mode:absolute,to:'2016-08-14 12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67" s="55" t="str">
        <f t="shared" si="23"/>
        <v>N</v>
      </c>
      <c r="X67" s="129">
        <f t="shared" si="24"/>
        <v>1</v>
      </c>
      <c r="Y67" s="70">
        <f t="shared" si="25"/>
        <v>4.4600000000000001E-2</v>
      </c>
      <c r="Z67" s="70">
        <f t="shared" si="26"/>
        <v>23.328700000000001</v>
      </c>
      <c r="AA67" s="70">
        <f t="shared" si="27"/>
        <v>23.284100000000002</v>
      </c>
      <c r="AB67" s="67" t="e">
        <f>VLOOKUP(A67,Enforcements!$C$7:$J$24,8,0)</f>
        <v>#N/A</v>
      </c>
      <c r="AC67" s="63" t="e">
        <f>VLOOKUP(A67,Enforcements!$C$7:$E$24,3,0)</f>
        <v>#N/A</v>
      </c>
      <c r="AD67" s="64" t="str">
        <f t="shared" si="28"/>
        <v>0155-14</v>
      </c>
      <c r="AE67" s="104" t="str">
        <f t="shared" si="29"/>
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</c>
      <c r="AF67" s="101" t="str">
        <f t="shared" si="30"/>
        <v>"C:\Program Files (x86)\AstroGrep\AstroGrep.exe" /spath="%USERPROFILE%\AppData\Local\Temp\OnboardLogs" /stypes="*4014*20160814*" /stext=" 17:.+((SYSTEM_STATE.+slice.+state.+changed )|(ment ac)|(system.+state.+changed )|(\|lc)|(penalty)|(\[timeout)|(PRM\|1\|D)|(kpr)|(kdp))" /e /r /s</v>
      </c>
      <c r="AG67" s="1" t="str">
        <f t="shared" si="31"/>
        <v>EC</v>
      </c>
      <c r="AH67" s="105" t="str">
        <f t="shared" si="16"/>
        <v>"%USERPROFILE%\Documents\GitHub\eaglep3\Utilities\RefineRTDCRunTimes.py" --tripid 155-14 --locoid 4014 --swversion DE.1.0.7.0 --startMP 204:446 --initTime 2016-08-14T10:25:12 --startdatetime 2016-08-14T10:30:26 --delay 5 --endMP 204:233287 --enddatetime 2016-08-14T11:20:11 --enforcementcount 0</v>
      </c>
    </row>
    <row r="68" spans="1:34" x14ac:dyDescent="0.25">
      <c r="A68" s="40" t="s">
        <v>394</v>
      </c>
      <c r="B68" s="7">
        <v>4013</v>
      </c>
      <c r="C68" s="25" t="s">
        <v>120</v>
      </c>
      <c r="D68" s="25" t="s">
        <v>395</v>
      </c>
      <c r="E68" s="16">
        <v>42596.474456018521</v>
      </c>
      <c r="F68" s="16">
        <v>42596.477152777778</v>
      </c>
      <c r="G68" s="7">
        <v>3</v>
      </c>
      <c r="H68" s="16" t="s">
        <v>164</v>
      </c>
      <c r="I68" s="16">
        <v>42596.505532407406</v>
      </c>
      <c r="J68" s="7">
        <v>0</v>
      </c>
      <c r="K68" s="143" t="str">
        <f t="shared" si="18"/>
        <v>4013/4014</v>
      </c>
      <c r="L68" s="25" t="str">
        <f>VLOOKUP(A68,'Trips&amp;Operators'!$C$1:$E$10000,3,FALSE)</f>
        <v>MAYBERRY</v>
      </c>
      <c r="M68" s="6">
        <f t="shared" si="19"/>
        <v>2.8379629628034309E-2</v>
      </c>
      <c r="N68" s="7">
        <f t="shared" si="32"/>
        <v>40.866666664369404</v>
      </c>
      <c r="O68" s="7"/>
      <c r="P68" s="7"/>
      <c r="Q68" s="26"/>
      <c r="R68" s="26"/>
      <c r="S68" s="38">
        <f t="shared" si="20"/>
        <v>1</v>
      </c>
      <c r="T68" s="53" t="str">
        <f t="shared" si="21"/>
        <v>Southbound</v>
      </c>
      <c r="U68" s="13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10:23:13-0600',mode:absolute,to:'2016-08-14 13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68" s="55" t="str">
        <f t="shared" si="23"/>
        <v>N</v>
      </c>
      <c r="X68" s="129">
        <f t="shared" si="24"/>
        <v>1</v>
      </c>
      <c r="Y68" s="70">
        <f t="shared" si="25"/>
        <v>23.297000000000001</v>
      </c>
      <c r="Z68" s="70">
        <f t="shared" si="26"/>
        <v>1.6299999999999999E-2</v>
      </c>
      <c r="AA68" s="70">
        <f t="shared" si="27"/>
        <v>23.2807</v>
      </c>
      <c r="AB68" s="67" t="e">
        <f>VLOOKUP(A68,Enforcements!$C$7:$J$24,8,0)</f>
        <v>#N/A</v>
      </c>
      <c r="AC68" s="63" t="e">
        <f>VLOOKUP(A68,Enforcements!$C$7:$E$24,3,0)</f>
        <v>#N/A</v>
      </c>
      <c r="AD68" s="64" t="str">
        <f t="shared" si="28"/>
        <v>0156-14</v>
      </c>
      <c r="AE68" s="104" t="str">
        <f t="shared" si="29"/>
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</c>
      <c r="AF68" s="101" t="str">
        <f t="shared" si="30"/>
        <v>"C:\Program Files (x86)\AstroGrep\AstroGrep.exe" /spath="%USERPROFILE%\AppData\Local\Temp\OnboardLogs" /stypes="*4013*20160814*" /stext=" 18:.+((SYSTEM_STATE.+slice.+state.+changed )|(ment ac)|(system.+state.+changed )|(\|lc)|(penalty)|(\[timeout)|(PRM\|1\|D)|(kpr)|(kdp))" /e /r /s</v>
      </c>
      <c r="AG68" s="1" t="str">
        <f t="shared" si="31"/>
        <v>EC</v>
      </c>
      <c r="AH68" s="105" t="str">
        <f t="shared" si="16"/>
        <v>"%USERPROFILE%\Documents\GitHub\eaglep3\Utilities\RefineRTDCRunTimes.py" --tripid 156-14 --locoid 4013 --swversion DE.1.0.7.0 --startMP 204:232970 --initTime 2016-08-14T11:23:13 --startdatetime 2016-08-14T11:27:06 --delay 3 --endMP 204:163 --enddatetime 2016-08-14T12:07:58 --enforcementcount 0</v>
      </c>
    </row>
    <row r="69" spans="1:34" x14ac:dyDescent="0.25">
      <c r="A69" s="40" t="s">
        <v>396</v>
      </c>
      <c r="B69" s="7">
        <v>4029</v>
      </c>
      <c r="C69" s="25" t="s">
        <v>120</v>
      </c>
      <c r="D69" s="25" t="s">
        <v>144</v>
      </c>
      <c r="E69" s="16">
        <v>42596.44090277778</v>
      </c>
      <c r="F69" s="16">
        <v>42596.442025462966</v>
      </c>
      <c r="G69" s="7">
        <v>1</v>
      </c>
      <c r="H69" s="16" t="s">
        <v>397</v>
      </c>
      <c r="I69" s="16">
        <v>42596.47828703704</v>
      </c>
      <c r="J69" s="7">
        <v>0</v>
      </c>
      <c r="K69" s="143" t="str">
        <f t="shared" si="18"/>
        <v>4029/4030</v>
      </c>
      <c r="L69" s="25" t="str">
        <f>VLOOKUP(A69,'Trips&amp;Operators'!$C$1:$E$10000,3,FALSE)</f>
        <v>YORK</v>
      </c>
      <c r="M69" s="6">
        <f t="shared" si="19"/>
        <v>3.6261574074160308E-2</v>
      </c>
      <c r="N69" s="7">
        <f t="shared" si="32"/>
        <v>52.216666666790843</v>
      </c>
      <c r="O69" s="7"/>
      <c r="P69" s="7"/>
      <c r="Q69" s="26"/>
      <c r="R69" s="26"/>
      <c r="S69" s="38">
        <f t="shared" si="20"/>
        <v>1</v>
      </c>
      <c r="T69" s="53" t="str">
        <f t="shared" si="21"/>
        <v>NorthBound</v>
      </c>
      <c r="U69" s="13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09:34:54-0600',mode:absolute,to:'2016-08-14 12:28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69" s="55" t="str">
        <f t="shared" si="23"/>
        <v>N</v>
      </c>
      <c r="X69" s="129">
        <f t="shared" si="24"/>
        <v>1</v>
      </c>
      <c r="Y69" s="70">
        <f t="shared" si="25"/>
        <v>4.53E-2</v>
      </c>
      <c r="Z69" s="70">
        <f t="shared" si="26"/>
        <v>23.328600000000002</v>
      </c>
      <c r="AA69" s="70">
        <f t="shared" si="27"/>
        <v>23.283300000000001</v>
      </c>
      <c r="AB69" s="67" t="e">
        <f>VLOOKUP(A69,Enforcements!$C$7:$J$24,8,0)</f>
        <v>#N/A</v>
      </c>
      <c r="AC69" s="63" t="e">
        <f>VLOOKUP(A69,Enforcements!$C$7:$E$24,3,0)</f>
        <v>#N/A</v>
      </c>
      <c r="AD69" s="64" t="str">
        <f t="shared" si="28"/>
        <v>0157-14</v>
      </c>
      <c r="AE69" s="104" t="str">
        <f t="shared" si="29"/>
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</c>
      <c r="AF69" s="101" t="str">
        <f t="shared" si="30"/>
        <v>"C:\Program Files (x86)\AstroGrep\AstroGrep.exe" /spath="%USERPROFILE%\AppData\Local\Temp\OnboardLogs" /stypes="*4029*20160814*" /stext=" 17:.+((SYSTEM_STATE.+slice.+state.+changed )|(ment ac)|(system.+state.+changed )|(\|lc)|(penalty)|(\[timeout)|(PRM\|1\|D)|(kpr)|(kdp))" /e /r /s</v>
      </c>
      <c r="AG69" s="1" t="str">
        <f t="shared" si="31"/>
        <v>EC</v>
      </c>
      <c r="AH69" s="105" t="str">
        <f t="shared" si="16"/>
        <v>"%USERPROFILE%\Documents\GitHub\eaglep3\Utilities\RefineRTDCRunTimes.py" --tripid 157-14 --locoid 4029 --swversion DE.1.0.7.0 --startMP 204:453 --initTime 2016-08-14T10:34:54 --startdatetime 2016-08-14T10:36:31 --delay 1 --endMP 204:233286 --enddatetime 2016-08-14T11:28:44 --enforcementcount 0</v>
      </c>
    </row>
    <row r="70" spans="1:34" x14ac:dyDescent="0.25">
      <c r="A70" s="40" t="s">
        <v>398</v>
      </c>
      <c r="B70" s="7">
        <v>4030</v>
      </c>
      <c r="C70" s="25" t="s">
        <v>120</v>
      </c>
      <c r="D70" s="25" t="s">
        <v>371</v>
      </c>
      <c r="E70" s="16">
        <v>42596.48300925926</v>
      </c>
      <c r="F70" s="16">
        <v>42596.483854166669</v>
      </c>
      <c r="G70" s="7">
        <v>1</v>
      </c>
      <c r="H70" s="16" t="s">
        <v>197</v>
      </c>
      <c r="I70" s="16">
        <v>42596.512569444443</v>
      </c>
      <c r="J70" s="7">
        <v>0</v>
      </c>
      <c r="K70" s="143" t="str">
        <f t="shared" si="18"/>
        <v>4029/4030</v>
      </c>
      <c r="L70" s="25" t="str">
        <f>VLOOKUP(A70,'Trips&amp;Operators'!$C$1:$E$10000,3,FALSE)</f>
        <v>YORK</v>
      </c>
      <c r="M70" s="6">
        <f t="shared" si="19"/>
        <v>2.8715277774608694E-2</v>
      </c>
      <c r="N70" s="7">
        <f t="shared" si="32"/>
        <v>41.349999995436519</v>
      </c>
      <c r="O70" s="7"/>
      <c r="P70" s="7"/>
      <c r="Q70" s="26"/>
      <c r="R70" s="26"/>
      <c r="S70" s="38">
        <f t="shared" si="20"/>
        <v>1</v>
      </c>
      <c r="T70" s="53" t="str">
        <f t="shared" si="21"/>
        <v>Southbound</v>
      </c>
      <c r="U70" s="13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10:35:32-0600',mode:absolute,to:'2016-08-14 13:18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70" s="55" t="str">
        <f t="shared" si="23"/>
        <v>N</v>
      </c>
      <c r="X70" s="129">
        <f t="shared" si="24"/>
        <v>1</v>
      </c>
      <c r="Y70" s="70">
        <f t="shared" si="25"/>
        <v>23.296900000000001</v>
      </c>
      <c r="Z70" s="70">
        <f t="shared" si="26"/>
        <v>1.4999999999999999E-2</v>
      </c>
      <c r="AA70" s="70">
        <f t="shared" si="27"/>
        <v>23.2819</v>
      </c>
      <c r="AB70" s="67" t="e">
        <f>VLOOKUP(A70,Enforcements!$C$7:$J$24,8,0)</f>
        <v>#N/A</v>
      </c>
      <c r="AC70" s="63" t="e">
        <f>VLOOKUP(A70,Enforcements!$C$7:$E$24,3,0)</f>
        <v>#N/A</v>
      </c>
      <c r="AD70" s="64" t="str">
        <f t="shared" si="28"/>
        <v>0158-14</v>
      </c>
      <c r="AE70" s="104" t="str">
        <f t="shared" si="29"/>
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</c>
      <c r="AF70" s="101" t="str">
        <f t="shared" si="30"/>
        <v>"C:\Program Files (x86)\AstroGrep\AstroGrep.exe" /spath="%USERPROFILE%\AppData\Local\Temp\OnboardLogs" /stypes="*4030*20160814*" /stext=" 18:.+((SYSTEM_STATE.+slice.+state.+changed )|(ment ac)|(system.+state.+changed )|(\|lc)|(penalty)|(\[timeout)|(PRM\|1\|D)|(kpr)|(kdp))" /e /r /s</v>
      </c>
      <c r="AG70" s="1" t="str">
        <f t="shared" si="31"/>
        <v>EC</v>
      </c>
      <c r="AH70" s="105" t="str">
        <f t="shared" si="16"/>
        <v>"%USERPROFILE%\Documents\GitHub\eaglep3\Utilities\RefineRTDCRunTimes.py" --tripid 158-14 --locoid 4030 --swversion DE.1.0.7.0 --startMP 204:232969 --initTime 2016-08-14T11:35:32 --startdatetime 2016-08-14T11:36:45 --delay 1 --endMP 204:150 --enddatetime 2016-08-14T12:18:06 --enforcementcount 0</v>
      </c>
    </row>
    <row r="71" spans="1:34" x14ac:dyDescent="0.25">
      <c r="A71" s="40" t="s">
        <v>399</v>
      </c>
      <c r="B71" s="7">
        <v>4016</v>
      </c>
      <c r="C71" s="25" t="s">
        <v>120</v>
      </c>
      <c r="D71" s="25" t="s">
        <v>400</v>
      </c>
      <c r="E71" s="16">
        <v>42596.457152777781</v>
      </c>
      <c r="F71" s="16">
        <v>42596.459178240744</v>
      </c>
      <c r="G71" s="7">
        <v>2</v>
      </c>
      <c r="H71" s="16" t="s">
        <v>166</v>
      </c>
      <c r="I71" s="16">
        <v>42596.48574074074</v>
      </c>
      <c r="J71" s="7">
        <v>0</v>
      </c>
      <c r="K71" s="143" t="str">
        <f t="shared" si="18"/>
        <v>4015/4016</v>
      </c>
      <c r="L71" s="25" t="str">
        <f>VLOOKUP(A71,'Trips&amp;Operators'!$C$1:$E$10000,3,FALSE)</f>
        <v>STEWART</v>
      </c>
      <c r="M71" s="6">
        <f t="shared" si="19"/>
        <v>2.6562499995634425E-2</v>
      </c>
      <c r="N71" s="7">
        <f t="shared" si="32"/>
        <v>38.249999993713573</v>
      </c>
      <c r="O71" s="7"/>
      <c r="P71" s="7"/>
      <c r="Q71" s="26"/>
      <c r="R71" s="26"/>
      <c r="S71" s="38">
        <f t="shared" si="20"/>
        <v>1</v>
      </c>
      <c r="T71" s="53" t="str">
        <f t="shared" si="21"/>
        <v>NorthBound</v>
      </c>
      <c r="U71" s="13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09:58:18-0600',mode:absolute,to:'2016-08-14 12:39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71" s="55" t="str">
        <f t="shared" si="23"/>
        <v>N</v>
      </c>
      <c r="X71" s="129">
        <f t="shared" si="24"/>
        <v>1</v>
      </c>
      <c r="Y71" s="70">
        <f t="shared" si="25"/>
        <v>5.91E-2</v>
      </c>
      <c r="Z71" s="70">
        <f t="shared" si="26"/>
        <v>23.331</v>
      </c>
      <c r="AA71" s="70">
        <f t="shared" si="27"/>
        <v>23.271899999999999</v>
      </c>
      <c r="AB71" s="67" t="e">
        <f>VLOOKUP(A71,Enforcements!$C$7:$J$24,8,0)</f>
        <v>#N/A</v>
      </c>
      <c r="AC71" s="63" t="e">
        <f>VLOOKUP(A71,Enforcements!$C$7:$E$24,3,0)</f>
        <v>#N/A</v>
      </c>
      <c r="AD71" s="64" t="str">
        <f t="shared" si="28"/>
        <v>0159-14</v>
      </c>
      <c r="AE71" s="104" t="str">
        <f t="shared" si="29"/>
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</c>
      <c r="AF71" s="101" t="str">
        <f t="shared" si="30"/>
        <v>"C:\Program Files (x86)\AstroGrep\AstroGrep.exe" /spath="%USERPROFILE%\AppData\Local\Temp\OnboardLogs" /stypes="*4016*20160814*" /stext=" 17:.+((SYSTEM_STATE.+slice.+state.+changed )|(ment ac)|(system.+state.+changed )|(\|lc)|(penalty)|(\[timeout)|(PRM\|1\|D)|(kpr)|(kdp))" /e /r /s</v>
      </c>
      <c r="AG71" s="1" t="str">
        <f t="shared" si="31"/>
        <v>EC</v>
      </c>
      <c r="AH71" s="105" t="str">
        <f t="shared" si="16"/>
        <v>"%USERPROFILE%\Documents\GitHub\eaglep3\Utilities\RefineRTDCRunTimes.py" --tripid 159-14 --locoid 4016 --swversion DE.1.0.7.0 --startMP 204:591 --initTime 2016-08-14T10:58:18 --startdatetime 2016-08-14T11:01:13 --delay 2 --endMP 204:233310 --enddatetime 2016-08-14T11:39:28 --enforcementcount 0</v>
      </c>
    </row>
    <row r="72" spans="1:34" x14ac:dyDescent="0.25">
      <c r="A72" s="40" t="s">
        <v>401</v>
      </c>
      <c r="B72" s="7">
        <v>4015</v>
      </c>
      <c r="C72" s="25" t="s">
        <v>120</v>
      </c>
      <c r="D72" s="25" t="s">
        <v>156</v>
      </c>
      <c r="E72" s="16">
        <v>42596.492696759262</v>
      </c>
      <c r="F72" s="16">
        <v>42596.493773148148</v>
      </c>
      <c r="G72" s="7">
        <v>1</v>
      </c>
      <c r="H72" s="16" t="s">
        <v>402</v>
      </c>
      <c r="I72" s="16">
        <v>42596.527708333335</v>
      </c>
      <c r="J72" s="7">
        <v>0</v>
      </c>
      <c r="K72" s="143" t="str">
        <f t="shared" si="18"/>
        <v>4015/4016</v>
      </c>
      <c r="L72" s="25" t="str">
        <f>VLOOKUP(A72,'Trips&amp;Operators'!$C$1:$E$10000,3,FALSE)</f>
        <v>STEWART</v>
      </c>
      <c r="M72" s="6">
        <f t="shared" si="19"/>
        <v>3.3935185187146999E-2</v>
      </c>
      <c r="N72" s="7">
        <f t="shared" si="32"/>
        <v>48.866666669491678</v>
      </c>
      <c r="O72" s="7"/>
      <c r="P72" s="7"/>
      <c r="Q72" s="26"/>
      <c r="R72" s="26"/>
      <c r="S72" s="38">
        <f t="shared" si="20"/>
        <v>1</v>
      </c>
      <c r="T72" s="53" t="str">
        <f t="shared" si="21"/>
        <v>Southbound</v>
      </c>
      <c r="U72" s="13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10:49:29-0600',mode:absolute,to:'2016-08-14 13:39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72" s="55" t="str">
        <f t="shared" si="23"/>
        <v>N</v>
      </c>
      <c r="X72" s="129">
        <f t="shared" si="24"/>
        <v>1</v>
      </c>
      <c r="Y72" s="70">
        <f t="shared" si="25"/>
        <v>23.298300000000001</v>
      </c>
      <c r="Z72" s="70">
        <f t="shared" si="26"/>
        <v>1.61E-2</v>
      </c>
      <c r="AA72" s="70">
        <f t="shared" si="27"/>
        <v>23.2822</v>
      </c>
      <c r="AB72" s="67">
        <f>VLOOKUP(A72,Enforcements!$C$7:$J$24,8,0)</f>
        <v>58904</v>
      </c>
      <c r="AC72" s="63" t="str">
        <f>VLOOKUP(A72,Enforcements!$C$7:$E$24,3,0)</f>
        <v>GRADE CROSSING</v>
      </c>
      <c r="AD72" s="64" t="str">
        <f t="shared" si="28"/>
        <v>0160-14</v>
      </c>
      <c r="AE72" s="104" t="str">
        <f t="shared" si="29"/>
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</c>
      <c r="AF72" s="101" t="str">
        <f t="shared" si="30"/>
        <v>"C:\Program Files (x86)\AstroGrep\AstroGrep.exe" /spath="%USERPROFILE%\AppData\Local\Temp\OnboardLogs" /stypes="*4015*20160814*" /stext=" 18:.+((SYSTEM_STATE.+slice.+state.+changed )|(ment ac)|(system.+state.+changed )|(\|lc)|(penalty)|(\[timeout)|(PRM\|1\|D)|(kpr)|(kdp))" /e /r /s</v>
      </c>
      <c r="AG72" s="1" t="str">
        <f t="shared" si="31"/>
        <v>EC</v>
      </c>
      <c r="AH72" s="105" t="str">
        <f t="shared" si="16"/>
        <v>"%USERPROFILE%\Documents\GitHub\eaglep3\Utilities\RefineRTDCRunTimes.py" --tripid 160-14 --locoid 4015 --swversion DE.1.0.7.0 --startMP 204:232983 --initTime 2016-08-14T11:49:29 --startdatetime 2016-08-14T11:51:02 --delay 1 --endMP 204:161 --enddatetime 2016-08-14T12:39:54 --enforcementcount 0</v>
      </c>
    </row>
    <row r="73" spans="1:34" x14ac:dyDescent="0.25">
      <c r="A73" s="40" t="s">
        <v>403</v>
      </c>
      <c r="B73" s="7">
        <v>4011</v>
      </c>
      <c r="C73" s="25" t="s">
        <v>120</v>
      </c>
      <c r="D73" s="25" t="s">
        <v>256</v>
      </c>
      <c r="E73" s="16">
        <v>42596.467499999999</v>
      </c>
      <c r="F73" s="16">
        <v>42596.468553240738</v>
      </c>
      <c r="G73" s="7">
        <v>1</v>
      </c>
      <c r="H73" s="16" t="s">
        <v>281</v>
      </c>
      <c r="I73" s="16">
        <v>42596.500925925924</v>
      </c>
      <c r="J73" s="7">
        <v>0</v>
      </c>
      <c r="K73" s="143" t="str">
        <f t="shared" si="18"/>
        <v>4011/4012</v>
      </c>
      <c r="L73" s="25" t="str">
        <f>VLOOKUP(A73,'Trips&amp;Operators'!$C$1:$E$10000,3,FALSE)</f>
        <v>BARTLETT</v>
      </c>
      <c r="M73" s="6">
        <f t="shared" si="19"/>
        <v>3.2372685185691807E-2</v>
      </c>
      <c r="N73" s="7">
        <f t="shared" si="32"/>
        <v>46.616666667396203</v>
      </c>
      <c r="O73" s="7"/>
      <c r="P73" s="7"/>
      <c r="Q73" s="26"/>
      <c r="R73" s="26"/>
      <c r="S73" s="38">
        <f t="shared" si="20"/>
        <v>1</v>
      </c>
      <c r="T73" s="53" t="str">
        <f t="shared" si="21"/>
        <v>NorthBound</v>
      </c>
      <c r="U73" s="13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10:13:12-0600',mode:absolute,to:'2016-08-14 13:01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73" s="55" t="str">
        <f t="shared" si="23"/>
        <v>N</v>
      </c>
      <c r="X73" s="129">
        <f t="shared" si="24"/>
        <v>1</v>
      </c>
      <c r="Y73" s="70">
        <f t="shared" si="25"/>
        <v>4.3299999999999998E-2</v>
      </c>
      <c r="Z73" s="70">
        <f t="shared" si="26"/>
        <v>23.330500000000001</v>
      </c>
      <c r="AA73" s="70">
        <f t="shared" si="27"/>
        <v>23.287200000000002</v>
      </c>
      <c r="AB73" s="67" t="e">
        <f>VLOOKUP(A73,Enforcements!$C$7:$J$24,8,0)</f>
        <v>#N/A</v>
      </c>
      <c r="AC73" s="63" t="e">
        <f>VLOOKUP(A73,Enforcements!$C$7:$E$24,3,0)</f>
        <v>#N/A</v>
      </c>
      <c r="AD73" s="64" t="str">
        <f t="shared" si="28"/>
        <v>0161-14</v>
      </c>
      <c r="AE73" s="104" t="str">
        <f t="shared" si="29"/>
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</c>
      <c r="AF73" s="101" t="str">
        <f t="shared" si="30"/>
        <v>"C:\Program Files (x86)\AstroGrep\AstroGrep.exe" /spath="%USERPROFILE%\AppData\Local\Temp\OnboardLogs" /stypes="*4011*20160814*" /stext=" 18:.+((SYSTEM_STATE.+slice.+state.+changed )|(ment ac)|(system.+state.+changed )|(\|lc)|(penalty)|(\[timeout)|(PRM\|1\|D)|(kpr)|(kdp))" /e /r /s</v>
      </c>
      <c r="AG73" s="1" t="str">
        <f t="shared" si="31"/>
        <v>EC</v>
      </c>
      <c r="AH73" s="105" t="str">
        <f t="shared" si="16"/>
        <v>"%USERPROFILE%\Documents\GitHub\eaglep3\Utilities\RefineRTDCRunTimes.py" --tripid 161-14 --locoid 4011 --swversion DE.1.0.7.0 --startMP 204:433 --initTime 2016-08-14T11:13:12 --startdatetime 2016-08-14T11:14:43 --delay 1 --endMP 204:233305 --enddatetime 2016-08-14T12:01:20 --enforcementcount 0</v>
      </c>
    </row>
    <row r="74" spans="1:34" x14ac:dyDescent="0.25">
      <c r="A74" s="40" t="s">
        <v>404</v>
      </c>
      <c r="B74" s="7">
        <v>4012</v>
      </c>
      <c r="C74" s="25" t="s">
        <v>120</v>
      </c>
      <c r="D74" s="25" t="s">
        <v>184</v>
      </c>
      <c r="E74" s="16">
        <v>42596.504803240743</v>
      </c>
      <c r="F74" s="16">
        <v>42596.50608796296</v>
      </c>
      <c r="G74" s="7">
        <v>1</v>
      </c>
      <c r="H74" s="16" t="s">
        <v>405</v>
      </c>
      <c r="I74" s="16">
        <v>42596.538402777776</v>
      </c>
      <c r="J74" s="7">
        <v>0</v>
      </c>
      <c r="K74" s="143" t="str">
        <f t="shared" si="18"/>
        <v>4011/4012</v>
      </c>
      <c r="L74" s="25" t="str">
        <f>VLOOKUP(A74,'Trips&amp;Operators'!$C$1:$E$10000,3,FALSE)</f>
        <v>BARTLETT</v>
      </c>
      <c r="M74" s="6">
        <f t="shared" si="19"/>
        <v>3.2314814816345461E-2</v>
      </c>
      <c r="N74" s="7">
        <f t="shared" si="32"/>
        <v>46.533333335537463</v>
      </c>
      <c r="O74" s="7"/>
      <c r="P74" s="7"/>
      <c r="Q74" s="26"/>
      <c r="R74" s="26"/>
      <c r="S74" s="38">
        <f t="shared" si="20"/>
        <v>1</v>
      </c>
      <c r="T74" s="53" t="str">
        <f t="shared" si="21"/>
        <v>Southbound</v>
      </c>
      <c r="U74" s="13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11:06:55-0600',mode:absolute,to:'2016-08-14 13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74" s="55" t="str">
        <f t="shared" si="23"/>
        <v>N</v>
      </c>
      <c r="X74" s="129">
        <f t="shared" si="24"/>
        <v>1</v>
      </c>
      <c r="Y74" s="70">
        <f t="shared" si="25"/>
        <v>23.2986</v>
      </c>
      <c r="Z74" s="70">
        <f t="shared" si="26"/>
        <v>1.78E-2</v>
      </c>
      <c r="AA74" s="70">
        <f t="shared" si="27"/>
        <v>23.280799999999999</v>
      </c>
      <c r="AB74" s="67" t="e">
        <f>VLOOKUP(A74,Enforcements!$C$7:$J$24,8,0)</f>
        <v>#N/A</v>
      </c>
      <c r="AC74" s="63" t="e">
        <f>VLOOKUP(A74,Enforcements!$C$7:$E$24,3,0)</f>
        <v>#N/A</v>
      </c>
      <c r="AD74" s="64" t="str">
        <f t="shared" si="28"/>
        <v>0162-14</v>
      </c>
      <c r="AE74" s="104" t="str">
        <f t="shared" si="29"/>
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</c>
      <c r="AF74" s="101" t="str">
        <f t="shared" si="30"/>
        <v>"C:\Program Files (x86)\AstroGrep\AstroGrep.exe" /spath="%USERPROFILE%\AppData\Local\Temp\OnboardLogs" /stypes="*4012*20160814*" /stext=" 18:.+((SYSTEM_STATE.+slice.+state.+changed )|(ment ac)|(system.+state.+changed )|(\|lc)|(penalty)|(\[timeout)|(PRM\|1\|D)|(kpr)|(kdp))" /e /r /s</v>
      </c>
      <c r="AG74" s="1" t="str">
        <f t="shared" si="31"/>
        <v>EC</v>
      </c>
      <c r="AH74" s="105" t="str">
        <f t="shared" si="16"/>
        <v>"%USERPROFILE%\Documents\GitHub\eaglep3\Utilities\RefineRTDCRunTimes.py" --tripid 162-14 --locoid 4012 --swversion DE.1.0.7.0 --startMP 204:232986 --initTime 2016-08-14T12:06:55 --startdatetime 2016-08-14T12:08:46 --delay 1 --endMP 204:178 --enddatetime 2016-08-14T12:55:18 --enforcementcount 0</v>
      </c>
    </row>
    <row r="75" spans="1:34" s="24" customFormat="1" x14ac:dyDescent="0.25">
      <c r="A75" s="40" t="s">
        <v>406</v>
      </c>
      <c r="B75" s="7">
        <v>4025</v>
      </c>
      <c r="C75" s="25" t="s">
        <v>120</v>
      </c>
      <c r="D75" s="25" t="s">
        <v>181</v>
      </c>
      <c r="E75" s="16">
        <v>42596.477534722224</v>
      </c>
      <c r="F75" s="16">
        <v>42596.478842592594</v>
      </c>
      <c r="G75" s="7">
        <v>1</v>
      </c>
      <c r="H75" s="16" t="s">
        <v>204</v>
      </c>
      <c r="I75" s="16">
        <v>42596.504513888889</v>
      </c>
      <c r="J75" s="7">
        <v>0</v>
      </c>
      <c r="K75" s="143" t="str">
        <f t="shared" si="18"/>
        <v>4025/4026</v>
      </c>
      <c r="L75" s="25" t="str">
        <f>VLOOKUP(A75,'Trips&amp;Operators'!$C$1:$E$10000,3,FALSE)</f>
        <v>BRUDER</v>
      </c>
      <c r="M75" s="6">
        <f t="shared" si="19"/>
        <v>2.5671296294603962E-2</v>
      </c>
      <c r="N75" s="7">
        <f t="shared" si="32"/>
        <v>36.966666664229706</v>
      </c>
      <c r="O75" s="7"/>
      <c r="P75" s="7"/>
      <c r="Q75" s="26"/>
      <c r="R75" s="26"/>
      <c r="S75" s="38">
        <f t="shared" si="20"/>
        <v>1</v>
      </c>
      <c r="T75" s="53" t="str">
        <f t="shared" si="21"/>
        <v>NorthBound</v>
      </c>
      <c r="U75" s="13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10:27:39-0600',mode:absolute,to:'2016-08-14 13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75" s="55" t="str">
        <f t="shared" si="23"/>
        <v>N</v>
      </c>
      <c r="X75" s="129">
        <f t="shared" si="24"/>
        <v>1</v>
      </c>
      <c r="Y75" s="70">
        <f t="shared" si="25"/>
        <v>4.6600000000000003E-2</v>
      </c>
      <c r="Z75" s="70">
        <f t="shared" si="26"/>
        <v>23.330400000000001</v>
      </c>
      <c r="AA75" s="70">
        <f t="shared" si="27"/>
        <v>23.283799999999999</v>
      </c>
      <c r="AB75" s="67" t="e">
        <f>VLOOKUP(A75,Enforcements!$C$7:$J$24,8,0)</f>
        <v>#N/A</v>
      </c>
      <c r="AC75" s="63" t="e">
        <f>VLOOKUP(A75,Enforcements!$C$7:$E$24,3,0)</f>
        <v>#N/A</v>
      </c>
      <c r="AD75" s="64" t="str">
        <f t="shared" si="28"/>
        <v>0163-14</v>
      </c>
      <c r="AE75" s="104" t="str">
        <f t="shared" si="29"/>
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</c>
      <c r="AF75" s="101" t="str">
        <f t="shared" si="30"/>
        <v>"C:\Program Files (x86)\AstroGrep\AstroGrep.exe" /spath="%USERPROFILE%\AppData\Local\Temp\OnboardLogs" /stypes="*4025*20160814*" /stext=" 18:.+((SYSTEM_STATE.+slice.+state.+changed )|(ment ac)|(system.+state.+changed )|(\|lc)|(penalty)|(\[timeout)|(PRM\|1\|D)|(kpr)|(kdp))" /e /r /s</v>
      </c>
      <c r="AG75" s="1" t="str">
        <f t="shared" si="31"/>
        <v>EC</v>
      </c>
      <c r="AH75" s="105" t="str">
        <f t="shared" si="16"/>
        <v>"%USERPROFILE%\Documents\GitHub\eaglep3\Utilities\RefineRTDCRunTimes.py" --tripid 163-14 --locoid 4025 --swversion DE.1.0.7.0 --startMP 204:466 --initTime 2016-08-14T11:27:39 --startdatetime 2016-08-14T11:29:32 --delay 1 --endMP 204:233304 --enddatetime 2016-08-14T12:06:30 --enforcementcount 0</v>
      </c>
    </row>
    <row r="76" spans="1:34" s="24" customFormat="1" x14ac:dyDescent="0.25">
      <c r="A76" s="40" t="s">
        <v>407</v>
      </c>
      <c r="B76" s="7">
        <v>4026</v>
      </c>
      <c r="C76" s="25" t="s">
        <v>120</v>
      </c>
      <c r="D76" s="25" t="s">
        <v>123</v>
      </c>
      <c r="E76" s="16">
        <v>42596.507997685185</v>
      </c>
      <c r="F76" s="16">
        <v>42596.509675925925</v>
      </c>
      <c r="G76" s="7">
        <v>2</v>
      </c>
      <c r="H76" s="16" t="s">
        <v>197</v>
      </c>
      <c r="I76" s="16">
        <v>42596.548333333332</v>
      </c>
      <c r="J76" s="7">
        <v>0</v>
      </c>
      <c r="K76" s="143" t="str">
        <f t="shared" si="18"/>
        <v>4025/4026</v>
      </c>
      <c r="L76" s="25" t="str">
        <f>VLOOKUP(A76,'Trips&amp;Operators'!$C$1:$E$10000,3,FALSE)</f>
        <v>BRUDER</v>
      </c>
      <c r="M76" s="6">
        <f t="shared" si="19"/>
        <v>3.8657407407299615E-2</v>
      </c>
      <c r="N76" s="7">
        <f t="shared" si="32"/>
        <v>55.666666666511446</v>
      </c>
      <c r="O76" s="7"/>
      <c r="P76" s="7"/>
      <c r="Q76" s="26"/>
      <c r="R76" s="26"/>
      <c r="S76" s="38">
        <f t="shared" si="20"/>
        <v>1</v>
      </c>
      <c r="T76" s="53" t="str">
        <f t="shared" si="21"/>
        <v>Southbound</v>
      </c>
      <c r="U76" s="13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1" t="str">
        <f t="shared" si="22"/>
        <v>https://search-rtdc-monitor-bjffxe2xuh6vdkpspy63sjmuny.us-east-1.es.amazonaws.com/_plugin/kibana/#/discover/Steve-Slow-Train-Analysis-(2080s-and-2083s)?_g=(refreshInterval:(display:Off,section:0,value:0),time:(from:'2016-08-14 11:11:31-0600',mode:absolute,to:'2016-08-14 14:09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76" s="55" t="str">
        <f t="shared" si="23"/>
        <v>N</v>
      </c>
      <c r="X76" s="129">
        <f t="shared" si="24"/>
        <v>1</v>
      </c>
      <c r="Y76" s="70">
        <f t="shared" si="25"/>
        <v>23.299299999999999</v>
      </c>
      <c r="Z76" s="70">
        <f t="shared" si="26"/>
        <v>1.4999999999999999E-2</v>
      </c>
      <c r="AA76" s="70">
        <f t="shared" si="27"/>
        <v>23.284299999999998</v>
      </c>
      <c r="AB76" s="67" t="e">
        <f>VLOOKUP(A76,Enforcements!$C$7:$J$24,8,0)</f>
        <v>#N/A</v>
      </c>
      <c r="AC76" s="63" t="e">
        <f>VLOOKUP(A76,Enforcements!$C$7:$E$24,3,0)</f>
        <v>#N/A</v>
      </c>
      <c r="AD76" s="64" t="str">
        <f t="shared" si="28"/>
        <v>0164-14</v>
      </c>
      <c r="AE76" s="104" t="str">
        <f t="shared" si="29"/>
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</c>
      <c r="AF76" s="101" t="str">
        <f t="shared" si="30"/>
        <v>"C:\Program Files (x86)\AstroGrep\AstroGrep.exe" /spath="%USERPROFILE%\AppData\Local\Temp\OnboardLogs" /stypes="*4026*20160814*" /stext=" 19:.+((SYSTEM_STATE.+slice.+state.+changed )|(ment ac)|(system.+state.+changed )|(\|lc)|(penalty)|(\[timeout)|(PRM\|1\|D)|(kpr)|(kdp))" /e /r /s</v>
      </c>
      <c r="AG76" s="1" t="str">
        <f t="shared" si="31"/>
        <v>EC</v>
      </c>
      <c r="AH76" s="105" t="str">
        <f t="shared" si="16"/>
        <v>"%USERPROFILE%\Documents\GitHub\eaglep3\Utilities\RefineRTDCRunTimes.py" --tripid 164-14 --locoid 4026 --swversion DE.1.0.7.0 --startMP 204:232993 --initTime 2016-08-14T12:11:31 --startdatetime 2016-08-14T12:13:56 --delay 2 --endMP 204:150 --enddatetime 2016-08-14T13:09:36 --enforcementcount 0</v>
      </c>
    </row>
    <row r="77" spans="1:34" x14ac:dyDescent="0.25">
      <c r="A77" s="40" t="s">
        <v>408</v>
      </c>
      <c r="B77" s="7">
        <v>4027</v>
      </c>
      <c r="C77" s="25" t="s">
        <v>120</v>
      </c>
      <c r="D77" s="25" t="s">
        <v>142</v>
      </c>
      <c r="E77" s="16">
        <v>42596.489050925928</v>
      </c>
      <c r="F77" s="16">
        <v>42596.490011574075</v>
      </c>
      <c r="G77" s="7">
        <v>1</v>
      </c>
      <c r="H77" s="16" t="s">
        <v>170</v>
      </c>
      <c r="I77" s="16">
        <v>42596.517013888886</v>
      </c>
      <c r="J77" s="7">
        <v>0</v>
      </c>
      <c r="K77" s="143" t="str">
        <f t="shared" ref="K77:K108" si="33">IF(ISEVEN(B77),(B77-1)&amp;"/"&amp;B77,B77&amp;"/"&amp;(B77+1))</f>
        <v>4027/4028</v>
      </c>
      <c r="L77" s="25" t="str">
        <f>VLOOKUP(A77,'Trips&amp;Operators'!$C$1:$E$10000,3,FALSE)</f>
        <v>MOSES</v>
      </c>
      <c r="M77" s="6">
        <f t="shared" ref="M77:M108" si="34">I77-F77</f>
        <v>2.700231481139781E-2</v>
      </c>
      <c r="N77" s="7">
        <f t="shared" si="32"/>
        <v>38.883333328412846</v>
      </c>
      <c r="O77" s="7"/>
      <c r="P77" s="7"/>
      <c r="Q77" s="26"/>
      <c r="R77" s="26"/>
      <c r="S77" s="38">
        <f t="shared" ref="S77:S108" si="35">SUM(U77:U77)/IF(AG77="EC",12,1)</f>
        <v>1</v>
      </c>
      <c r="T77" s="53" t="str">
        <f t="shared" ref="T77:T108" si="36">IF(ISEVEN(LEFT(AD77,4)),"Southbound","NorthBound")</f>
        <v>NorthBound</v>
      </c>
      <c r="U77" s="13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1" t="str">
        <f t="shared" ref="V77:V108" si="37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https://search-rtdc-monitor-bjffxe2xuh6vdkpspy63sjmuny.us-east-1.es.amazonaws.com/_plugin/kibana/#/discover/Steve-Slow-Train-Analysis-(2080s-and-2083s)?_g=(refreshInterval:(display:Off,section:0,value:0),time:(from:'2016-08-14 10:44:14-0600',mode:absolute,to:'2016-08-14 13:24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77" s="55" t="str">
        <f t="shared" ref="W77:W108" si="38">IF(AA77&lt;IF(AG77="EC",23,5.65),"Y","N")</f>
        <v>N</v>
      </c>
      <c r="X77" s="129">
        <f t="shared" ref="X77:X108" si="39">VALUE(LEFT(AD77,4))-VALUE(LEFT(AD76,4))</f>
        <v>1</v>
      </c>
      <c r="Y77" s="70">
        <f t="shared" ref="Y77:Y108" si="40">RIGHT(D77,LEN(D77)-4)/10000</f>
        <v>4.7100000000000003E-2</v>
      </c>
      <c r="Z77" s="70">
        <f t="shared" ref="Z77:Z108" si="41">RIGHT(H77,LEN(H77)-4)/10000</f>
        <v>23.332000000000001</v>
      </c>
      <c r="AA77" s="70">
        <f t="shared" ref="AA77:AA108" si="42">ABS(Z77-Y77)</f>
        <v>23.2849</v>
      </c>
      <c r="AB77" s="67">
        <f>VLOOKUP(A77,Enforcements!$C$7:$J$24,8,0)</f>
        <v>17867</v>
      </c>
      <c r="AC77" s="63" t="str">
        <f>VLOOKUP(A77,Enforcements!$C$7:$E$24,3,0)</f>
        <v>PERMANENT SPEED RESTRICTION</v>
      </c>
      <c r="AD77" s="64" t="str">
        <f t="shared" ref="AD77:AD108" si="43">IF(LEN(A77)=6,"0"&amp;A77,A77)</f>
        <v>0165-14</v>
      </c>
      <c r="AE77" s="104" t="str">
        <f t="shared" ref="AE77:AE108" si="44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AF77" s="101" t="str">
        <f t="shared" ref="AF77:AF108" si="45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/stypes="*4027*20160814*" /stext=" 18:.+((SYSTEM_STATE.+slice.+state.+changed )|(ment ac)|(system.+state.+changed )|(\|lc)|(penalty)|(\[timeout)|(PRM\|1\|D)|(kpr)|(kdp))" /e /r /s</v>
      </c>
      <c r="AG77" s="1" t="str">
        <f t="shared" ref="AG77:AG108" si="46">IF(VALUE(LEFT(AD77,2))&lt;=2,"EC",IF(OR(VALUE(LEFT(AD77,2))=8,VALUE(LEFT(AD77,2))=18),"NW","Other"))</f>
        <v>EC</v>
      </c>
      <c r="AH77" s="105" t="str">
        <f t="shared" si="16"/>
        <v>"%USERPROFILE%\Documents\GitHub\eaglep3\Utilities\RefineRTDCRunTimes.py" --tripid 165-14 --locoid 4027 --swversion DE.1.0.7.0 --startMP 204:471 --initTime 2016-08-14T11:44:14 --startdatetime 2016-08-14T11:45:37 --delay 1 --endMP 204:233320 --enddatetime 2016-08-14T12:24:30 --enforcementcount 0</v>
      </c>
    </row>
    <row r="78" spans="1:34" x14ac:dyDescent="0.25">
      <c r="A78" s="40" t="s">
        <v>409</v>
      </c>
      <c r="B78" s="7">
        <v>4028</v>
      </c>
      <c r="C78" s="25" t="s">
        <v>120</v>
      </c>
      <c r="D78" s="25" t="s">
        <v>410</v>
      </c>
      <c r="E78" s="16">
        <v>42596.525416666664</v>
      </c>
      <c r="F78" s="16">
        <v>42596.526898148149</v>
      </c>
      <c r="G78" s="7">
        <v>2</v>
      </c>
      <c r="H78" s="16" t="s">
        <v>411</v>
      </c>
      <c r="I78" s="16">
        <v>42596.559328703705</v>
      </c>
      <c r="J78" s="7">
        <v>0</v>
      </c>
      <c r="K78" s="143" t="str">
        <f t="shared" si="33"/>
        <v>4027/4028</v>
      </c>
      <c r="L78" s="25" t="str">
        <f>VLOOKUP(A78,'Trips&amp;Operators'!$C$1:$E$10000,3,FALSE)</f>
        <v>MOSES</v>
      </c>
      <c r="M78" s="6">
        <f t="shared" si="34"/>
        <v>3.2430555555038154E-2</v>
      </c>
      <c r="N78" s="7">
        <f t="shared" si="32"/>
        <v>46.699999999254942</v>
      </c>
      <c r="O78" s="7"/>
      <c r="P78" s="7"/>
      <c r="Q78" s="26"/>
      <c r="R78" s="26"/>
      <c r="S78" s="38">
        <f t="shared" si="35"/>
        <v>1</v>
      </c>
      <c r="T78" s="53" t="str">
        <f t="shared" si="36"/>
        <v>Southbound</v>
      </c>
      <c r="U78" s="13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11:36:36-0600',mode:absolute,to:'2016-08-14 14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78" s="55" t="str">
        <f t="shared" si="38"/>
        <v>N</v>
      </c>
      <c r="X78" s="129">
        <f t="shared" si="39"/>
        <v>1</v>
      </c>
      <c r="Y78" s="70">
        <f t="shared" si="40"/>
        <v>23.3005</v>
      </c>
      <c r="Z78" s="70">
        <f t="shared" si="41"/>
        <v>1.34E-2</v>
      </c>
      <c r="AA78" s="70">
        <f t="shared" si="42"/>
        <v>23.287099999999999</v>
      </c>
      <c r="AB78" s="67" t="e">
        <f>VLOOKUP(A78,Enforcements!$C$7:$J$24,8,0)</f>
        <v>#N/A</v>
      </c>
      <c r="AC78" s="63" t="e">
        <f>VLOOKUP(A78,Enforcements!$C$7:$E$24,3,0)</f>
        <v>#N/A</v>
      </c>
      <c r="AD78" s="64" t="str">
        <f t="shared" si="43"/>
        <v>0166-14</v>
      </c>
      <c r="AE78" s="104" t="str">
        <f t="shared" si="44"/>
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</c>
      <c r="AF78" s="101" t="str">
        <f t="shared" si="45"/>
        <v>"C:\Program Files (x86)\AstroGrep\AstroGrep.exe" /spath="%USERPROFILE%\AppData\Local\Temp\OnboardLogs" /stypes="*4028*20160814*" /stext=" 19:.+((SYSTEM_STATE.+slice.+state.+changed )|(ment ac)|(system.+state.+changed )|(\|lc)|(penalty)|(\[timeout)|(PRM\|1\|D)|(kpr)|(kdp))" /e /r /s</v>
      </c>
      <c r="AG78" s="1" t="str">
        <f t="shared" si="46"/>
        <v>EC</v>
      </c>
      <c r="AH78" s="105" t="str">
        <f t="shared" ref="AH78:AH141" si="4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</f>
        <v>"%USERPROFILE%\Documents\GitHub\eaglep3\Utilities\RefineRTDCRunTimes.py" --tripid 166-14 --locoid 4028 --swversion DE.1.0.7.0 --startMP 204:233005 --initTime 2016-08-14T12:36:36 --startdatetime 2016-08-14T12:38:44 --delay 2 --endMP 204:134 --enddatetime 2016-08-14T13:25:26 --enforcementcount 0</v>
      </c>
    </row>
    <row r="79" spans="1:34" x14ac:dyDescent="0.25">
      <c r="A79" s="40" t="s">
        <v>412</v>
      </c>
      <c r="B79" s="7">
        <v>4038</v>
      </c>
      <c r="C79" s="25" t="s">
        <v>120</v>
      </c>
      <c r="D79" s="25" t="s">
        <v>413</v>
      </c>
      <c r="E79" s="16">
        <v>42596.496377314812</v>
      </c>
      <c r="F79" s="16">
        <v>42596.497708333336</v>
      </c>
      <c r="G79" s="7">
        <v>1</v>
      </c>
      <c r="H79" s="16" t="s">
        <v>276</v>
      </c>
      <c r="I79" s="16">
        <v>42596.527939814812</v>
      </c>
      <c r="J79" s="7">
        <v>0</v>
      </c>
      <c r="K79" s="143" t="str">
        <f t="shared" si="33"/>
        <v>4037/4038</v>
      </c>
      <c r="L79" s="25" t="str">
        <f>VLOOKUP(A79,'Trips&amp;Operators'!$C$1:$E$10000,3,FALSE)</f>
        <v>YOUNG</v>
      </c>
      <c r="M79" s="6">
        <f t="shared" si="34"/>
        <v>3.0231481476221234E-2</v>
      </c>
      <c r="N79" s="7">
        <f t="shared" si="32"/>
        <v>43.533333325758576</v>
      </c>
      <c r="O79" s="7"/>
      <c r="P79" s="7"/>
      <c r="Q79" s="26"/>
      <c r="R79" s="26"/>
      <c r="S79" s="38">
        <f t="shared" si="35"/>
        <v>1</v>
      </c>
      <c r="T79" s="53" t="str">
        <f t="shared" si="36"/>
        <v>NorthBound</v>
      </c>
      <c r="U79" s="13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10:54:47-0600',mode:absolute,to:'2016-08-14 13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79" s="55" t="str">
        <f t="shared" si="38"/>
        <v>N</v>
      </c>
      <c r="X79" s="129">
        <f t="shared" si="39"/>
        <v>1</v>
      </c>
      <c r="Y79" s="70">
        <f t="shared" si="40"/>
        <v>4.82E-2</v>
      </c>
      <c r="Z79" s="70">
        <f t="shared" si="41"/>
        <v>23.332699999999999</v>
      </c>
      <c r="AA79" s="70">
        <f t="shared" si="42"/>
        <v>23.284499999999998</v>
      </c>
      <c r="AB79" s="67" t="e">
        <f>VLOOKUP(A79,Enforcements!$C$7:$J$24,8,0)</f>
        <v>#N/A</v>
      </c>
      <c r="AC79" s="63" t="e">
        <f>VLOOKUP(A79,Enforcements!$C$7:$E$24,3,0)</f>
        <v>#N/A</v>
      </c>
      <c r="AD79" s="64" t="str">
        <f t="shared" si="43"/>
        <v>0167-14</v>
      </c>
      <c r="AE79" s="104" t="str">
        <f t="shared" si="44"/>
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</c>
      <c r="AF79" s="101" t="str">
        <f t="shared" si="45"/>
        <v>"C:\Program Files (x86)\AstroGrep\AstroGrep.exe" /spath="%USERPROFILE%\AppData\Local\Temp\OnboardLogs" /stypes="*4038*20160814*" /stext=" 18:.+((SYSTEM_STATE.+slice.+state.+changed )|(ment ac)|(system.+state.+changed )|(\|lc)|(penalty)|(\[timeout)|(PRM\|1\|D)|(kpr)|(kdp))" /e /r /s</v>
      </c>
      <c r="AG79" s="1" t="str">
        <f t="shared" si="46"/>
        <v>EC</v>
      </c>
      <c r="AH79" s="105" t="str">
        <f t="shared" si="47"/>
        <v>"%USERPROFILE%\Documents\GitHub\eaglep3\Utilities\RefineRTDCRunTimes.py" --tripid 167-14 --locoid 4038 --swversion DE.1.0.7.0 --startMP 204:482 --initTime 2016-08-14T11:54:47 --startdatetime 2016-08-14T11:56:42 --delay 1 --endMP 204:233327 --enddatetime 2016-08-14T12:40:14 --enforcementcount 0</v>
      </c>
    </row>
    <row r="80" spans="1:34" x14ac:dyDescent="0.25">
      <c r="A80" s="40" t="s">
        <v>414</v>
      </c>
      <c r="B80" s="7">
        <v>4037</v>
      </c>
      <c r="C80" s="25" t="s">
        <v>120</v>
      </c>
      <c r="D80" s="25" t="s">
        <v>207</v>
      </c>
      <c r="E80" s="16">
        <v>42596.530925925923</v>
      </c>
      <c r="F80" s="16">
        <v>42596.531956018516</v>
      </c>
      <c r="G80" s="7">
        <v>1</v>
      </c>
      <c r="H80" s="16" t="s">
        <v>415</v>
      </c>
      <c r="I80" s="16">
        <v>42596.569155092591</v>
      </c>
      <c r="J80" s="7">
        <v>0</v>
      </c>
      <c r="K80" s="143" t="str">
        <f t="shared" si="33"/>
        <v>4037/4038</v>
      </c>
      <c r="L80" s="25" t="str">
        <f>VLOOKUP(A80,'Trips&amp;Operators'!$C$1:$E$10000,3,FALSE)</f>
        <v>YOUNG</v>
      </c>
      <c r="M80" s="6">
        <f t="shared" si="34"/>
        <v>3.7199074075033423E-2</v>
      </c>
      <c r="N80" s="7">
        <f t="shared" si="32"/>
        <v>53.566666668048128</v>
      </c>
      <c r="O80" s="7"/>
      <c r="P80" s="7"/>
      <c r="Q80" s="26"/>
      <c r="R80" s="26"/>
      <c r="S80" s="38">
        <f t="shared" si="35"/>
        <v>1</v>
      </c>
      <c r="T80" s="53" t="str">
        <f t="shared" si="36"/>
        <v>Southbound</v>
      </c>
      <c r="U80" s="13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11:44:32-0600',mode:absolute,to:'2016-08-14 14:39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80" s="55" t="str">
        <f t="shared" si="38"/>
        <v>N</v>
      </c>
      <c r="X80" s="129">
        <f t="shared" si="39"/>
        <v>1</v>
      </c>
      <c r="Y80" s="70">
        <f t="shared" si="40"/>
        <v>23.301300000000001</v>
      </c>
      <c r="Z80" s="70">
        <f t="shared" si="41"/>
        <v>2.1399999999999999E-2</v>
      </c>
      <c r="AA80" s="70">
        <f t="shared" si="42"/>
        <v>23.279900000000001</v>
      </c>
      <c r="AB80" s="67" t="e">
        <f>VLOOKUP(A80,Enforcements!$C$7:$J$24,8,0)</f>
        <v>#N/A</v>
      </c>
      <c r="AC80" s="63" t="e">
        <f>VLOOKUP(A80,Enforcements!$C$7:$E$24,3,0)</f>
        <v>#N/A</v>
      </c>
      <c r="AD80" s="64" t="str">
        <f t="shared" si="43"/>
        <v>0168-14</v>
      </c>
      <c r="AE80" s="104" t="str">
        <f t="shared" si="44"/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AF80" s="101" t="str">
        <f t="shared" si="45"/>
        <v>"C:\Program Files (x86)\AstroGrep\AstroGrep.exe" /spath="%USERPROFILE%\AppData\Local\Temp\OnboardLogs" /stypes="*4037*20160814*" /stext=" 19:.+((SYSTEM_STATE.+slice.+state.+changed )|(ment ac)|(system.+state.+changed )|(\|lc)|(penalty)|(\[timeout)|(PRM\|1\|D)|(kpr)|(kdp))" /e /r /s</v>
      </c>
      <c r="AG80" s="1" t="str">
        <f t="shared" si="46"/>
        <v>EC</v>
      </c>
      <c r="AH80" s="105" t="str">
        <f t="shared" si="47"/>
        <v>"%USERPROFILE%\Documents\GitHub\eaglep3\Utilities\RefineRTDCRunTimes.py" --tripid 168-14 --locoid 4037 --swversion DE.1.0.7.0 --startMP 204:233013 --initTime 2016-08-14T12:44:32 --startdatetime 2016-08-14T12:46:01 --delay 1 --endMP 204:214 --enddatetime 2016-08-14T13:39:35 --enforcementcount 0</v>
      </c>
    </row>
    <row r="81" spans="1:34" x14ac:dyDescent="0.25">
      <c r="A81" s="40" t="s">
        <v>416</v>
      </c>
      <c r="B81" s="7">
        <v>4014</v>
      </c>
      <c r="C81" s="25" t="s">
        <v>120</v>
      </c>
      <c r="D81" s="25" t="s">
        <v>278</v>
      </c>
      <c r="E81" s="16">
        <v>42596.506701388891</v>
      </c>
      <c r="F81" s="16">
        <v>42596.507847222223</v>
      </c>
      <c r="G81" s="7">
        <v>1</v>
      </c>
      <c r="H81" s="16" t="s">
        <v>145</v>
      </c>
      <c r="I81" s="16">
        <v>42596.538761574076</v>
      </c>
      <c r="J81" s="7">
        <v>0</v>
      </c>
      <c r="K81" s="143" t="str">
        <f t="shared" si="33"/>
        <v>4013/4014</v>
      </c>
      <c r="L81" s="25" t="str">
        <f>VLOOKUP(A81,'Trips&amp;Operators'!$C$1:$E$10000,3,FALSE)</f>
        <v>MAYBERRY</v>
      </c>
      <c r="M81" s="6">
        <f t="shared" si="34"/>
        <v>3.0914351853425615E-2</v>
      </c>
      <c r="N81" s="7">
        <f t="shared" si="32"/>
        <v>44.516666668932885</v>
      </c>
      <c r="O81" s="7"/>
      <c r="P81" s="7"/>
      <c r="Q81" s="26"/>
      <c r="R81" s="26"/>
      <c r="S81" s="38">
        <f t="shared" si="35"/>
        <v>1</v>
      </c>
      <c r="T81" s="53" t="str">
        <f t="shared" si="36"/>
        <v>NorthBound</v>
      </c>
      <c r="U81" s="13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11:09:39-0600',mode:absolute,to:'2016-08-14 13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81" s="55" t="str">
        <f t="shared" si="38"/>
        <v>N</v>
      </c>
      <c r="X81" s="129">
        <f t="shared" si="39"/>
        <v>1</v>
      </c>
      <c r="Y81" s="70">
        <f t="shared" si="40"/>
        <v>4.7500000000000001E-2</v>
      </c>
      <c r="Z81" s="70">
        <f t="shared" si="41"/>
        <v>23.328900000000001</v>
      </c>
      <c r="AA81" s="70">
        <f t="shared" si="42"/>
        <v>23.281400000000001</v>
      </c>
      <c r="AB81" s="67" t="e">
        <f>VLOOKUP(A81,Enforcements!$C$7:$J$24,8,0)</f>
        <v>#N/A</v>
      </c>
      <c r="AC81" s="63" t="e">
        <f>VLOOKUP(A81,Enforcements!$C$7:$E$24,3,0)</f>
        <v>#N/A</v>
      </c>
      <c r="AD81" s="64" t="str">
        <f t="shared" si="43"/>
        <v>0169-14</v>
      </c>
      <c r="AE81" s="104" t="str">
        <f t="shared" si="44"/>
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</c>
      <c r="AF81" s="101" t="str">
        <f t="shared" si="45"/>
        <v>"C:\Program Files (x86)\AstroGrep\AstroGrep.exe" /spath="%USERPROFILE%\AppData\Local\Temp\OnboardLogs" /stypes="*4014*20160814*" /stext=" 18:.+((SYSTEM_STATE.+slice.+state.+changed )|(ment ac)|(system.+state.+changed )|(\|lc)|(penalty)|(\[timeout)|(PRM\|1\|D)|(kpr)|(kdp))" /e /r /s</v>
      </c>
      <c r="AG81" s="1" t="str">
        <f t="shared" si="46"/>
        <v>EC</v>
      </c>
      <c r="AH81" s="105" t="str">
        <f t="shared" si="47"/>
        <v>"%USERPROFILE%\Documents\GitHub\eaglep3\Utilities\RefineRTDCRunTimes.py" --tripid 169-14 --locoid 4014 --swversion DE.1.0.7.0 --startMP 204:475 --initTime 2016-08-14T12:09:39 --startdatetime 2016-08-14T12:11:18 --delay 1 --endMP 204:233289 --enddatetime 2016-08-14T12:55:49 --enforcementcount 0</v>
      </c>
    </row>
    <row r="82" spans="1:34" s="24" customFormat="1" x14ac:dyDescent="0.25">
      <c r="A82" s="40" t="s">
        <v>417</v>
      </c>
      <c r="B82" s="7">
        <v>4013</v>
      </c>
      <c r="C82" s="25" t="s">
        <v>120</v>
      </c>
      <c r="D82" s="25" t="s">
        <v>418</v>
      </c>
      <c r="E82" s="16">
        <v>42596.544016203705</v>
      </c>
      <c r="F82" s="16">
        <v>42596.544965277775</v>
      </c>
      <c r="G82" s="7">
        <v>1</v>
      </c>
      <c r="H82" s="16" t="s">
        <v>382</v>
      </c>
      <c r="I82" s="16">
        <v>42596.578738425924</v>
      </c>
      <c r="J82" s="7">
        <v>0</v>
      </c>
      <c r="K82" s="143" t="str">
        <f t="shared" si="33"/>
        <v>4013/4014</v>
      </c>
      <c r="L82" s="25" t="str">
        <f>VLOOKUP(A82,'Trips&amp;Operators'!$C$1:$E$10000,3,FALSE)</f>
        <v>MAYBERRY</v>
      </c>
      <c r="M82" s="6">
        <f t="shared" si="34"/>
        <v>3.3773148148611654E-2</v>
      </c>
      <c r="N82" s="7">
        <f t="shared" si="32"/>
        <v>48.633333334000781</v>
      </c>
      <c r="O82" s="7"/>
      <c r="P82" s="7"/>
      <c r="Q82" s="26"/>
      <c r="R82" s="26"/>
      <c r="S82" s="38">
        <f t="shared" si="35"/>
        <v>1</v>
      </c>
      <c r="T82" s="53" t="str">
        <f t="shared" si="36"/>
        <v>Southbound</v>
      </c>
      <c r="U82" s="13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12:03:23-0600',mode:absolute,to:'2016-08-14 14:53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82" s="55" t="str">
        <f t="shared" si="38"/>
        <v>N</v>
      </c>
      <c r="X82" s="129">
        <f t="shared" si="39"/>
        <v>1</v>
      </c>
      <c r="Y82" s="70">
        <f t="shared" si="40"/>
        <v>23.2973</v>
      </c>
      <c r="Z82" s="70">
        <f t="shared" si="41"/>
        <v>1.41E-2</v>
      </c>
      <c r="AA82" s="70">
        <f t="shared" si="42"/>
        <v>23.283200000000001</v>
      </c>
      <c r="AB82" s="67" t="e">
        <f>VLOOKUP(A82,Enforcements!$C$7:$J$24,8,0)</f>
        <v>#N/A</v>
      </c>
      <c r="AC82" s="63" t="e">
        <f>VLOOKUP(A82,Enforcements!$C$7:$E$24,3,0)</f>
        <v>#N/A</v>
      </c>
      <c r="AD82" s="64" t="str">
        <f t="shared" si="43"/>
        <v>0170-14</v>
      </c>
      <c r="AE82" s="104" t="str">
        <f t="shared" si="44"/>
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</c>
      <c r="AF82" s="101" t="str">
        <f t="shared" si="45"/>
        <v>"C:\Program Files (x86)\AstroGrep\AstroGrep.exe" /spath="%USERPROFILE%\AppData\Local\Temp\OnboardLogs" /stypes="*4013*20160814*" /stext=" 19:.+((SYSTEM_STATE.+slice.+state.+changed )|(ment ac)|(system.+state.+changed )|(\|lc)|(penalty)|(\[timeout)|(PRM\|1\|D)|(kpr)|(kdp))" /e /r /s</v>
      </c>
      <c r="AG82" s="1" t="str">
        <f t="shared" si="46"/>
        <v>EC</v>
      </c>
      <c r="AH82" s="105" t="str">
        <f t="shared" si="47"/>
        <v>"%USERPROFILE%\Documents\GitHub\eaglep3\Utilities\RefineRTDCRunTimes.py" --tripid 170-14 --locoid 4013 --swversion DE.1.0.7.0 --startMP 204:232973 --initTime 2016-08-14T13:03:23 --startdatetime 2016-08-14T13:04:45 --delay 1 --endMP 204:141 --enddatetime 2016-08-14T13:53:23 --enforcementcount 0</v>
      </c>
    </row>
    <row r="83" spans="1:34" x14ac:dyDescent="0.25">
      <c r="A83" s="40" t="s">
        <v>419</v>
      </c>
      <c r="B83" s="7">
        <v>4029</v>
      </c>
      <c r="C83" s="25" t="s">
        <v>120</v>
      </c>
      <c r="D83" s="25" t="s">
        <v>61</v>
      </c>
      <c r="E83" s="16">
        <v>42596.517638888887</v>
      </c>
      <c r="F83" s="16">
        <v>42596.518611111111</v>
      </c>
      <c r="G83" s="7">
        <v>1</v>
      </c>
      <c r="H83" s="16" t="s">
        <v>420</v>
      </c>
      <c r="I83" s="16">
        <v>42596.548738425925</v>
      </c>
      <c r="J83" s="7">
        <v>0</v>
      </c>
      <c r="K83" s="143" t="str">
        <f t="shared" si="33"/>
        <v>4029/4030</v>
      </c>
      <c r="L83" s="25" t="str">
        <f>VLOOKUP(A83,'Trips&amp;Operators'!$C$1:$E$10000,3,FALSE)</f>
        <v>SHOOK</v>
      </c>
      <c r="M83" s="6">
        <f t="shared" si="34"/>
        <v>3.0127314814308193E-2</v>
      </c>
      <c r="N83" s="7">
        <f t="shared" si="32"/>
        <v>43.383333332603797</v>
      </c>
      <c r="O83" s="7"/>
      <c r="P83" s="7"/>
      <c r="Q83" s="26"/>
      <c r="R83" s="26"/>
      <c r="S83" s="38">
        <f t="shared" si="35"/>
        <v>1</v>
      </c>
      <c r="T83" s="53" t="str">
        <f t="shared" si="36"/>
        <v>NorthBound</v>
      </c>
      <c r="U83" s="13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11:25:24-0600',mode:absolute,to:'2016-08-14 14:10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83" s="55" t="str">
        <f t="shared" si="38"/>
        <v>N</v>
      </c>
      <c r="X83" s="129">
        <f t="shared" si="39"/>
        <v>1</v>
      </c>
      <c r="Y83" s="70">
        <f t="shared" si="40"/>
        <v>4.5999999999999999E-2</v>
      </c>
      <c r="Z83" s="70">
        <f t="shared" si="41"/>
        <v>23.3368</v>
      </c>
      <c r="AA83" s="70">
        <f t="shared" si="42"/>
        <v>23.290800000000001</v>
      </c>
      <c r="AB83" s="67" t="e">
        <f>VLOOKUP(A83,Enforcements!$C$7:$J$24,8,0)</f>
        <v>#N/A</v>
      </c>
      <c r="AC83" s="63" t="e">
        <f>VLOOKUP(A83,Enforcements!$C$7:$E$24,3,0)</f>
        <v>#N/A</v>
      </c>
      <c r="AD83" s="64" t="str">
        <f t="shared" si="43"/>
        <v>0171-14</v>
      </c>
      <c r="AE83" s="104" t="str">
        <f t="shared" si="44"/>
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</c>
      <c r="AF83" s="101" t="str">
        <f t="shared" si="45"/>
        <v>"C:\Program Files (x86)\AstroGrep\AstroGrep.exe" /spath="%USERPROFILE%\AppData\Local\Temp\OnboardLogs" /stypes="*4029*20160814*" /stext=" 19:.+((SYSTEM_STATE.+slice.+state.+changed )|(ment ac)|(system.+state.+changed )|(\|lc)|(penalty)|(\[timeout)|(PRM\|1\|D)|(kpr)|(kdp))" /e /r /s</v>
      </c>
      <c r="AG83" s="1" t="str">
        <f t="shared" si="46"/>
        <v>EC</v>
      </c>
      <c r="AH83" s="105" t="str">
        <f t="shared" si="47"/>
        <v>"%USERPROFILE%\Documents\GitHub\eaglep3\Utilities\RefineRTDCRunTimes.py" --tripid 171-14 --locoid 4029 --swversion DE.1.0.7.0 --startMP 204:460 --initTime 2016-08-14T12:25:24 --startdatetime 2016-08-14T12:26:48 --delay 1 --endMP 204:233368 --enddatetime 2016-08-14T13:10:11 --enforcementcount 0</v>
      </c>
    </row>
    <row r="84" spans="1:34" x14ac:dyDescent="0.25">
      <c r="A84" s="40" t="s">
        <v>421</v>
      </c>
      <c r="B84" s="7">
        <v>4030</v>
      </c>
      <c r="C84" s="25" t="s">
        <v>120</v>
      </c>
      <c r="D84" s="25" t="s">
        <v>422</v>
      </c>
      <c r="E84" s="16">
        <v>42596.555324074077</v>
      </c>
      <c r="F84" s="16">
        <v>42596.556458333333</v>
      </c>
      <c r="G84" s="7">
        <v>1</v>
      </c>
      <c r="H84" s="16" t="s">
        <v>93</v>
      </c>
      <c r="I84" s="16">
        <v>42596.588946759257</v>
      </c>
      <c r="J84" s="7">
        <v>0</v>
      </c>
      <c r="K84" s="143" t="str">
        <f t="shared" si="33"/>
        <v>4029/4030</v>
      </c>
      <c r="L84" s="25" t="str">
        <f>VLOOKUP(A84,'Trips&amp;Operators'!$C$1:$E$10000,3,FALSE)</f>
        <v>SHOOK</v>
      </c>
      <c r="M84" s="6">
        <f t="shared" si="34"/>
        <v>3.2488425924384501E-2</v>
      </c>
      <c r="N84" s="7">
        <f t="shared" si="32"/>
        <v>46.783333331113681</v>
      </c>
      <c r="O84" s="7"/>
      <c r="P84" s="7"/>
      <c r="Q84" s="26"/>
      <c r="R84" s="26"/>
      <c r="S84" s="38">
        <f t="shared" si="35"/>
        <v>1</v>
      </c>
      <c r="T84" s="53" t="str">
        <f t="shared" si="36"/>
        <v>Southbound</v>
      </c>
      <c r="U84" s="13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12:19:40-0600',mode:absolute,to:'2016-08-14 15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84" s="55" t="str">
        <f t="shared" si="38"/>
        <v>N</v>
      </c>
      <c r="X84" s="129">
        <f t="shared" si="39"/>
        <v>1</v>
      </c>
      <c r="Y84" s="70">
        <f t="shared" si="40"/>
        <v>23.3064</v>
      </c>
      <c r="Z84" s="70">
        <f t="shared" si="41"/>
        <v>1.43E-2</v>
      </c>
      <c r="AA84" s="70">
        <f t="shared" si="42"/>
        <v>23.292100000000001</v>
      </c>
      <c r="AB84" s="67" t="e">
        <f>VLOOKUP(A84,Enforcements!$C$7:$J$24,8,0)</f>
        <v>#N/A</v>
      </c>
      <c r="AC84" s="63" t="e">
        <f>VLOOKUP(A84,Enforcements!$C$7:$E$24,3,0)</f>
        <v>#N/A</v>
      </c>
      <c r="AD84" s="64" t="str">
        <f t="shared" si="43"/>
        <v>0172-14</v>
      </c>
      <c r="AE84" s="104" t="str">
        <f t="shared" si="44"/>
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</c>
      <c r="AF84" s="101" t="str">
        <f t="shared" si="45"/>
        <v>"C:\Program Files (x86)\AstroGrep\AstroGrep.exe" /spath="%USERPROFILE%\AppData\Local\Temp\OnboardLogs" /stypes="*4030*20160814*" /stext=" 20:.+((SYSTEM_STATE.+slice.+state.+changed )|(ment ac)|(system.+state.+changed )|(\|lc)|(penalty)|(\[timeout)|(PRM\|1\|D)|(kpr)|(kdp))" /e /r /s</v>
      </c>
      <c r="AG84" s="1" t="str">
        <f t="shared" si="46"/>
        <v>EC</v>
      </c>
      <c r="AH84" s="105" t="str">
        <f t="shared" si="47"/>
        <v>"%USERPROFILE%\Documents\GitHub\eaglep3\Utilities\RefineRTDCRunTimes.py" --tripid 172-14 --locoid 4030 --swversion DE.1.0.7.0 --startMP 204:233064 --initTime 2016-08-14T13:19:40 --startdatetime 2016-08-14T13:21:18 --delay 1 --endMP 204:143 --enddatetime 2016-08-14T14:08:05 --enforcementcount 0</v>
      </c>
    </row>
    <row r="85" spans="1:34" s="24" customFormat="1" x14ac:dyDescent="0.25">
      <c r="A85" s="40" t="s">
        <v>423</v>
      </c>
      <c r="B85" s="7">
        <v>4016</v>
      </c>
      <c r="C85" s="25" t="s">
        <v>120</v>
      </c>
      <c r="D85" s="25" t="s">
        <v>134</v>
      </c>
      <c r="E85" s="16">
        <v>42596.530532407407</v>
      </c>
      <c r="F85" s="16">
        <v>42596.531539351854</v>
      </c>
      <c r="G85" s="7">
        <v>1</v>
      </c>
      <c r="H85" s="16" t="s">
        <v>167</v>
      </c>
      <c r="I85" s="16">
        <v>42596.559259259258</v>
      </c>
      <c r="J85" s="7">
        <v>0</v>
      </c>
      <c r="K85" s="143" t="str">
        <f t="shared" si="33"/>
        <v>4015/4016</v>
      </c>
      <c r="L85" s="25" t="str">
        <f>VLOOKUP(A85,'Trips&amp;Operators'!$C$1:$E$10000,3,FALSE)</f>
        <v>STEWART</v>
      </c>
      <c r="M85" s="6">
        <f t="shared" si="34"/>
        <v>2.7719907404389232E-2</v>
      </c>
      <c r="N85" s="7">
        <f t="shared" si="32"/>
        <v>39.916666662320495</v>
      </c>
      <c r="O85" s="7"/>
      <c r="P85" s="7"/>
      <c r="Q85" s="26"/>
      <c r="R85" s="26"/>
      <c r="S85" s="38">
        <f t="shared" si="35"/>
        <v>1</v>
      </c>
      <c r="T85" s="53" t="str">
        <f t="shared" si="36"/>
        <v>NorthBound</v>
      </c>
      <c r="U85" s="13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11:43:58-0600',mode:absolute,to:'2016-08-14 14:25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85" s="55" t="str">
        <f t="shared" si="38"/>
        <v>N</v>
      </c>
      <c r="X85" s="129">
        <f t="shared" si="39"/>
        <v>1</v>
      </c>
      <c r="Y85" s="70">
        <f t="shared" si="40"/>
        <v>4.5499999999999999E-2</v>
      </c>
      <c r="Z85" s="70">
        <f t="shared" si="41"/>
        <v>23.331399999999999</v>
      </c>
      <c r="AA85" s="70">
        <f t="shared" si="42"/>
        <v>23.285899999999998</v>
      </c>
      <c r="AB85" s="67" t="e">
        <f>VLOOKUP(A85,Enforcements!$C$7:$J$24,8,0)</f>
        <v>#N/A</v>
      </c>
      <c r="AC85" s="63" t="e">
        <f>VLOOKUP(A85,Enforcements!$C$7:$E$24,3,0)</f>
        <v>#N/A</v>
      </c>
      <c r="AD85" s="64" t="str">
        <f t="shared" si="43"/>
        <v>0173-14</v>
      </c>
      <c r="AE85" s="104" t="str">
        <f t="shared" si="44"/>
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</c>
      <c r="AF85" s="101" t="str">
        <f t="shared" si="45"/>
        <v>"C:\Program Files (x86)\AstroGrep\AstroGrep.exe" /spath="%USERPROFILE%\AppData\Local\Temp\OnboardLogs" /stypes="*4016*20160814*" /stext=" 19:.+((SYSTEM_STATE.+slice.+state.+changed )|(ment ac)|(system.+state.+changed )|(\|lc)|(penalty)|(\[timeout)|(PRM\|1\|D)|(kpr)|(kdp))" /e /r /s</v>
      </c>
      <c r="AG85" s="1" t="str">
        <f t="shared" si="46"/>
        <v>EC</v>
      </c>
      <c r="AH85" s="105" t="str">
        <f t="shared" si="47"/>
        <v>"%USERPROFILE%\Documents\GitHub\eaglep3\Utilities\RefineRTDCRunTimes.py" --tripid 173-14 --locoid 4016 --swversion DE.1.0.7.0 --startMP 204:455 --initTime 2016-08-14T12:43:58 --startdatetime 2016-08-14T12:45:25 --delay 1 --endMP 204:233314 --enddatetime 2016-08-14T13:25:20 --enforcementcount 0</v>
      </c>
    </row>
    <row r="86" spans="1:34" x14ac:dyDescent="0.25">
      <c r="A86" s="40" t="s">
        <v>424</v>
      </c>
      <c r="B86" s="7">
        <v>4015</v>
      </c>
      <c r="C86" s="25" t="s">
        <v>120</v>
      </c>
      <c r="D86" s="25" t="s">
        <v>198</v>
      </c>
      <c r="E86" s="16">
        <v>42596.568969907406</v>
      </c>
      <c r="F86" s="16">
        <v>42596.569791666669</v>
      </c>
      <c r="G86" s="7">
        <v>1</v>
      </c>
      <c r="H86" s="16" t="s">
        <v>199</v>
      </c>
      <c r="I86" s="16">
        <v>42596.598391203705</v>
      </c>
      <c r="J86" s="7">
        <v>0</v>
      </c>
      <c r="K86" s="143" t="str">
        <f t="shared" si="33"/>
        <v>4015/4016</v>
      </c>
      <c r="L86" s="25" t="str">
        <f>VLOOKUP(A86,'Trips&amp;Operators'!$C$1:$E$10000,3,FALSE)</f>
        <v>STEWART</v>
      </c>
      <c r="M86" s="6">
        <f t="shared" si="34"/>
        <v>2.8599537035916001E-2</v>
      </c>
      <c r="N86" s="7">
        <f t="shared" si="32"/>
        <v>41.183333331719041</v>
      </c>
      <c r="O86" s="7"/>
      <c r="P86" s="7"/>
      <c r="Q86" s="26"/>
      <c r="R86" s="26"/>
      <c r="S86" s="38">
        <f t="shared" si="35"/>
        <v>1</v>
      </c>
      <c r="T86" s="53" t="str">
        <f t="shared" si="36"/>
        <v>Southbound</v>
      </c>
      <c r="U86" s="13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12:39:19-0600',mode:absolute,to:'2016-08-14 15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86" s="55" t="str">
        <f t="shared" si="38"/>
        <v>N</v>
      </c>
      <c r="X86" s="129">
        <f t="shared" si="39"/>
        <v>1</v>
      </c>
      <c r="Y86" s="70">
        <f t="shared" si="40"/>
        <v>23.3001</v>
      </c>
      <c r="Z86" s="70">
        <f t="shared" si="41"/>
        <v>1.5599999999999999E-2</v>
      </c>
      <c r="AA86" s="70">
        <f t="shared" si="42"/>
        <v>23.284500000000001</v>
      </c>
      <c r="AB86" s="67" t="e">
        <f>VLOOKUP(A86,Enforcements!$C$7:$J$24,8,0)</f>
        <v>#N/A</v>
      </c>
      <c r="AC86" s="63" t="e">
        <f>VLOOKUP(A86,Enforcements!$C$7:$E$24,3,0)</f>
        <v>#N/A</v>
      </c>
      <c r="AD86" s="64" t="str">
        <f t="shared" si="43"/>
        <v>0174-14</v>
      </c>
      <c r="AE86" s="104" t="str">
        <f t="shared" si="44"/>
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</c>
      <c r="AF86" s="101" t="str">
        <f t="shared" si="45"/>
        <v>"C:\Program Files (x86)\AstroGrep\AstroGrep.exe" /spath="%USERPROFILE%\AppData\Local\Temp\OnboardLogs" /stypes="*4015*20160814*" /stext=" 20:.+((SYSTEM_STATE.+slice.+state.+changed )|(ment ac)|(system.+state.+changed )|(\|lc)|(penalty)|(\[timeout)|(PRM\|1\|D)|(kpr)|(kdp))" /e /r /s</v>
      </c>
      <c r="AG86" s="1" t="str">
        <f t="shared" si="46"/>
        <v>EC</v>
      </c>
      <c r="AH86" s="105" t="str">
        <f t="shared" si="47"/>
        <v>"%USERPROFILE%\Documents\GitHub\eaglep3\Utilities\RefineRTDCRunTimes.py" --tripid 174-14 --locoid 4015 --swversion DE.1.0.7.0 --startMP 204:233001 --initTime 2016-08-14T13:39:19 --startdatetime 2016-08-14T13:40:30 --delay 1 --endMP 204:156 --enddatetime 2016-08-14T14:21:41 --enforcementcount 0</v>
      </c>
    </row>
    <row r="87" spans="1:34" x14ac:dyDescent="0.25">
      <c r="A87" s="40" t="s">
        <v>425</v>
      </c>
      <c r="B87" s="7">
        <v>4011</v>
      </c>
      <c r="C87" s="25" t="s">
        <v>120</v>
      </c>
      <c r="D87" s="25" t="s">
        <v>206</v>
      </c>
      <c r="E87" s="16">
        <v>42596.539444444446</v>
      </c>
      <c r="F87" s="16">
        <v>42596.540416666663</v>
      </c>
      <c r="G87" s="7">
        <v>1</v>
      </c>
      <c r="H87" s="16" t="s">
        <v>118</v>
      </c>
      <c r="I87" s="16">
        <v>42596.570914351854</v>
      </c>
      <c r="J87" s="7">
        <v>0</v>
      </c>
      <c r="K87" s="143" t="str">
        <f t="shared" si="33"/>
        <v>4011/4012</v>
      </c>
      <c r="L87" s="25" t="str">
        <f>VLOOKUP(A87,'Trips&amp;Operators'!$C$1:$E$10000,3,FALSE)</f>
        <v>BARTLETT</v>
      </c>
      <c r="M87" s="6">
        <f t="shared" si="34"/>
        <v>3.0497685191221535E-2</v>
      </c>
      <c r="N87" s="7">
        <f t="shared" si="32"/>
        <v>43.916666675359011</v>
      </c>
      <c r="O87" s="7"/>
      <c r="P87" s="7"/>
      <c r="Q87" s="26"/>
      <c r="R87" s="26"/>
      <c r="S87" s="38">
        <f t="shared" si="35"/>
        <v>1</v>
      </c>
      <c r="T87" s="53" t="str">
        <f t="shared" si="36"/>
        <v>NorthBound</v>
      </c>
      <c r="U87" s="13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11:56:48-0600',mode:absolute,to:'2016-08-14 14:42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87" s="55" t="str">
        <f t="shared" si="38"/>
        <v>N</v>
      </c>
      <c r="X87" s="129">
        <f t="shared" si="39"/>
        <v>1</v>
      </c>
      <c r="Y87" s="70">
        <f t="shared" si="40"/>
        <v>4.7699999999999999E-2</v>
      </c>
      <c r="Z87" s="70">
        <f t="shared" si="41"/>
        <v>23.3293</v>
      </c>
      <c r="AA87" s="70">
        <f t="shared" si="42"/>
        <v>23.281600000000001</v>
      </c>
      <c r="AB87" s="67" t="e">
        <f>VLOOKUP(A87,Enforcements!$C$7:$J$24,8,0)</f>
        <v>#N/A</v>
      </c>
      <c r="AC87" s="63" t="e">
        <f>VLOOKUP(A87,Enforcements!$C$7:$E$24,3,0)</f>
        <v>#N/A</v>
      </c>
      <c r="AD87" s="64" t="str">
        <f t="shared" si="43"/>
        <v>0175-14</v>
      </c>
      <c r="AE87" s="104" t="str">
        <f t="shared" si="44"/>
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</c>
      <c r="AF87" s="101" t="str">
        <f t="shared" si="45"/>
        <v>"C:\Program Files (x86)\AstroGrep\AstroGrep.exe" /spath="%USERPROFILE%\AppData\Local\Temp\OnboardLogs" /stypes="*4011*20160814*" /stext=" 19:.+((SYSTEM_STATE.+slice.+state.+changed )|(ment ac)|(system.+state.+changed )|(\|lc)|(penalty)|(\[timeout)|(PRM\|1\|D)|(kpr)|(kdp))" /e /r /s</v>
      </c>
      <c r="AG87" s="1" t="str">
        <f t="shared" si="46"/>
        <v>EC</v>
      </c>
      <c r="AH87" s="105" t="str">
        <f t="shared" si="47"/>
        <v>"%USERPROFILE%\Documents\GitHub\eaglep3\Utilities\RefineRTDCRunTimes.py" --tripid 175-14 --locoid 4011 --swversion DE.1.0.7.0 --startMP 204:477 --initTime 2016-08-14T12:56:48 --startdatetime 2016-08-14T12:58:12 --delay 1 --endMP 204:233293 --enddatetime 2016-08-14T13:42:07 --enforcementcount 0</v>
      </c>
    </row>
    <row r="88" spans="1:34" x14ac:dyDescent="0.25">
      <c r="A88" s="40" t="s">
        <v>426</v>
      </c>
      <c r="B88" s="7">
        <v>4012</v>
      </c>
      <c r="C88" s="25" t="s">
        <v>120</v>
      </c>
      <c r="D88" s="25" t="s">
        <v>261</v>
      </c>
      <c r="E88" s="16">
        <v>42596.574652777781</v>
      </c>
      <c r="F88" s="16">
        <v>42596.575497685182</v>
      </c>
      <c r="G88" s="7">
        <v>1</v>
      </c>
      <c r="H88" s="16" t="s">
        <v>199</v>
      </c>
      <c r="I88" s="16">
        <v>42596.610543981478</v>
      </c>
      <c r="J88" s="7">
        <v>0</v>
      </c>
      <c r="K88" s="143" t="str">
        <f t="shared" si="33"/>
        <v>4011/4012</v>
      </c>
      <c r="L88" s="25" t="str">
        <f>VLOOKUP(A88,'Trips&amp;Operators'!$C$1:$E$10000,3,FALSE)</f>
        <v>BARTLETT</v>
      </c>
      <c r="M88" s="6">
        <f t="shared" si="34"/>
        <v>3.5046296296059154E-2</v>
      </c>
      <c r="N88" s="7">
        <f t="shared" si="32"/>
        <v>50.466666666325182</v>
      </c>
      <c r="O88" s="7"/>
      <c r="P88" s="7"/>
      <c r="Q88" s="26"/>
      <c r="R88" s="26"/>
      <c r="S88" s="38">
        <f t="shared" si="35"/>
        <v>1</v>
      </c>
      <c r="T88" s="53" t="str">
        <f t="shared" si="36"/>
        <v>Southbound</v>
      </c>
      <c r="U88" s="13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12:47:30-0600',mode:absolute,to:'2016-08-14 15:39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88" s="55" t="str">
        <f t="shared" si="38"/>
        <v>N</v>
      </c>
      <c r="X88" s="129">
        <f t="shared" si="39"/>
        <v>1</v>
      </c>
      <c r="Y88" s="70">
        <f t="shared" si="40"/>
        <v>23.297899999999998</v>
      </c>
      <c r="Z88" s="70">
        <f t="shared" si="41"/>
        <v>1.5599999999999999E-2</v>
      </c>
      <c r="AA88" s="70">
        <f t="shared" si="42"/>
        <v>23.282299999999999</v>
      </c>
      <c r="AB88" s="67" t="e">
        <f>VLOOKUP(A88,Enforcements!$C$7:$J$24,8,0)</f>
        <v>#N/A</v>
      </c>
      <c r="AC88" s="63" t="e">
        <f>VLOOKUP(A88,Enforcements!$C$7:$E$24,3,0)</f>
        <v>#N/A</v>
      </c>
      <c r="AD88" s="64" t="str">
        <f t="shared" si="43"/>
        <v>0176-14</v>
      </c>
      <c r="AE88" s="104" t="str">
        <f t="shared" si="44"/>
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</c>
      <c r="AF88" s="101" t="str">
        <f t="shared" si="45"/>
        <v>"C:\Program Files (x86)\AstroGrep\AstroGrep.exe" /spath="%USERPROFILE%\AppData\Local\Temp\OnboardLogs" /stypes="*4012*20160814*" /stext=" 20:.+((SYSTEM_STATE.+slice.+state.+changed )|(ment ac)|(system.+state.+changed )|(\|lc)|(penalty)|(\[timeout)|(PRM\|1\|D)|(kpr)|(kdp))" /e /r /s</v>
      </c>
      <c r="AG88" s="1" t="str">
        <f t="shared" si="46"/>
        <v>EC</v>
      </c>
      <c r="AH88" s="105" t="str">
        <f t="shared" si="47"/>
        <v>"%USERPROFILE%\Documents\GitHub\eaglep3\Utilities\RefineRTDCRunTimes.py" --tripid 176-14 --locoid 4012 --swversion DE.1.0.7.0 --startMP 204:232979 --initTime 2016-08-14T13:47:30 --startdatetime 2016-08-14T13:48:43 --delay 1 --endMP 204:156 --enddatetime 2016-08-14T14:39:11 --enforcementcount 0</v>
      </c>
    </row>
    <row r="89" spans="1:34" x14ac:dyDescent="0.25">
      <c r="A89" s="40" t="s">
        <v>427</v>
      </c>
      <c r="B89" s="7">
        <v>4025</v>
      </c>
      <c r="C89" s="25" t="s">
        <v>120</v>
      </c>
      <c r="D89" s="25" t="s">
        <v>185</v>
      </c>
      <c r="E89" s="16">
        <v>42596.549432870372</v>
      </c>
      <c r="F89" s="16">
        <v>42596.551168981481</v>
      </c>
      <c r="G89" s="7">
        <v>2</v>
      </c>
      <c r="H89" s="16" t="s">
        <v>428</v>
      </c>
      <c r="I89" s="16">
        <v>42596.577615740738</v>
      </c>
      <c r="J89" s="7">
        <v>0</v>
      </c>
      <c r="K89" s="143" t="str">
        <f t="shared" si="33"/>
        <v>4025/4026</v>
      </c>
      <c r="L89" s="25" t="str">
        <f>VLOOKUP(A89,'Trips&amp;Operators'!$C$1:$E$10000,3,FALSE)</f>
        <v>BRUDER</v>
      </c>
      <c r="M89" s="6">
        <f t="shared" si="34"/>
        <v>2.6446759256941732E-2</v>
      </c>
      <c r="N89" s="7">
        <f t="shared" ref="N89:P120" si="48">24*60*SUM($M89:$M89)</f>
        <v>38.083333329996094</v>
      </c>
      <c r="O89" s="7"/>
      <c r="P89" s="7"/>
      <c r="Q89" s="26"/>
      <c r="R89" s="26"/>
      <c r="S89" s="38">
        <f t="shared" si="35"/>
        <v>1</v>
      </c>
      <c r="T89" s="53" t="str">
        <f t="shared" si="36"/>
        <v>NorthBound</v>
      </c>
      <c r="U89" s="13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12:11:11-0600',mode:absolute,to:'2016-08-14 14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89" s="55" t="str">
        <f t="shared" si="38"/>
        <v>N</v>
      </c>
      <c r="X89" s="129">
        <f t="shared" si="39"/>
        <v>1</v>
      </c>
      <c r="Y89" s="70">
        <f t="shared" si="40"/>
        <v>4.4200000000000003E-2</v>
      </c>
      <c r="Z89" s="70">
        <f t="shared" si="41"/>
        <v>23.3309</v>
      </c>
      <c r="AA89" s="70">
        <f t="shared" si="42"/>
        <v>23.2867</v>
      </c>
      <c r="AB89" s="67" t="e">
        <f>VLOOKUP(A89,Enforcements!$C$7:$J$24,8,0)</f>
        <v>#N/A</v>
      </c>
      <c r="AC89" s="63" t="e">
        <f>VLOOKUP(A89,Enforcements!$C$7:$E$24,3,0)</f>
        <v>#N/A</v>
      </c>
      <c r="AD89" s="64" t="str">
        <f t="shared" si="43"/>
        <v>0177-14</v>
      </c>
      <c r="AE89" s="104" t="str">
        <f t="shared" si="44"/>
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</c>
      <c r="AF89" s="101" t="str">
        <f t="shared" si="45"/>
        <v>"C:\Program Files (x86)\AstroGrep\AstroGrep.exe" /spath="%USERPROFILE%\AppData\Local\Temp\OnboardLogs" /stypes="*4025*20160814*" /stext=" 19:.+((SYSTEM_STATE.+slice.+state.+changed )|(ment ac)|(system.+state.+changed )|(\|lc)|(penalty)|(\[timeout)|(PRM\|1\|D)|(kpr)|(kdp))" /e /r /s</v>
      </c>
      <c r="AG89" s="1" t="str">
        <f t="shared" si="46"/>
        <v>EC</v>
      </c>
      <c r="AH89" s="105" t="str">
        <f t="shared" si="47"/>
        <v>"%USERPROFILE%\Documents\GitHub\eaglep3\Utilities\RefineRTDCRunTimes.py" --tripid 177-14 --locoid 4025 --swversion DE.1.0.7.0 --startMP 204:442 --initTime 2016-08-14T13:11:11 --startdatetime 2016-08-14T13:13:41 --delay 2 --endMP 204:233309 --enddatetime 2016-08-14T13:51:46 --enforcementcount 0</v>
      </c>
    </row>
    <row r="90" spans="1:34" x14ac:dyDescent="0.25">
      <c r="A90" s="40" t="s">
        <v>429</v>
      </c>
      <c r="B90" s="7">
        <v>4026</v>
      </c>
      <c r="C90" s="25" t="s">
        <v>120</v>
      </c>
      <c r="D90" s="25" t="s">
        <v>160</v>
      </c>
      <c r="E90" s="16">
        <v>42596.585243055553</v>
      </c>
      <c r="F90" s="16">
        <v>42596.586458333331</v>
      </c>
      <c r="G90" s="7">
        <v>1</v>
      </c>
      <c r="H90" s="16" t="s">
        <v>203</v>
      </c>
      <c r="I90" s="16">
        <v>42596.617939814816</v>
      </c>
      <c r="J90" s="7">
        <v>0</v>
      </c>
      <c r="K90" s="143" t="str">
        <f t="shared" si="33"/>
        <v>4025/4026</v>
      </c>
      <c r="L90" s="25" t="str">
        <f>VLOOKUP(A90,'Trips&amp;Operators'!$C$1:$E$10000,3,FALSE)</f>
        <v>BRUDER</v>
      </c>
      <c r="M90" s="6">
        <f t="shared" si="34"/>
        <v>3.1481481484661344E-2</v>
      </c>
      <c r="N90" s="7">
        <f t="shared" si="48"/>
        <v>45.333333337912336</v>
      </c>
      <c r="O90" s="7"/>
      <c r="P90" s="7"/>
      <c r="Q90" s="26"/>
      <c r="R90" s="26"/>
      <c r="S90" s="38">
        <f t="shared" si="35"/>
        <v>1</v>
      </c>
      <c r="T90" s="53" t="str">
        <f t="shared" si="36"/>
        <v>Southbound</v>
      </c>
      <c r="U90" s="13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13:02:45-0600',mode:absolute,to:'2016-08-14 15:49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90" s="55" t="str">
        <f t="shared" si="38"/>
        <v>N</v>
      </c>
      <c r="X90" s="129">
        <f t="shared" si="39"/>
        <v>1</v>
      </c>
      <c r="Y90" s="70">
        <f t="shared" si="40"/>
        <v>23.297999999999998</v>
      </c>
      <c r="Z90" s="70">
        <f t="shared" si="41"/>
        <v>1.54E-2</v>
      </c>
      <c r="AA90" s="70">
        <f t="shared" si="42"/>
        <v>23.282599999999999</v>
      </c>
      <c r="AB90" s="67" t="e">
        <f>VLOOKUP(A90,Enforcements!$C$7:$J$24,8,0)</f>
        <v>#N/A</v>
      </c>
      <c r="AC90" s="63" t="e">
        <f>VLOOKUP(A90,Enforcements!$C$7:$E$24,3,0)</f>
        <v>#N/A</v>
      </c>
      <c r="AD90" s="64" t="str">
        <f t="shared" si="43"/>
        <v>0178-14</v>
      </c>
      <c r="AE90" s="104" t="str">
        <f t="shared" si="44"/>
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</c>
      <c r="AF90" s="101" t="str">
        <f t="shared" si="45"/>
        <v>"C:\Program Files (x86)\AstroGrep\AstroGrep.exe" /spath="%USERPROFILE%\AppData\Local\Temp\OnboardLogs" /stypes="*4026*20160814*" /stext=" 20:.+((SYSTEM_STATE.+slice.+state.+changed )|(ment ac)|(system.+state.+changed )|(\|lc)|(penalty)|(\[timeout)|(PRM\|1\|D)|(kpr)|(kdp))" /e /r /s</v>
      </c>
      <c r="AG90" s="1" t="str">
        <f t="shared" si="46"/>
        <v>EC</v>
      </c>
      <c r="AH90" s="105" t="str">
        <f t="shared" si="47"/>
        <v>"%USERPROFILE%\Documents\GitHub\eaglep3\Utilities\RefineRTDCRunTimes.py" --tripid 178-14 --locoid 4026 --swversion DE.1.0.7.0 --startMP 204:232980 --initTime 2016-08-14T14:02:45 --startdatetime 2016-08-14T14:04:30 --delay 1 --endMP 204:154 --enddatetime 2016-08-14T14:49:50 --enforcementcount 0</v>
      </c>
    </row>
    <row r="91" spans="1:34" x14ac:dyDescent="0.25">
      <c r="A91" s="40" t="s">
        <v>430</v>
      </c>
      <c r="B91" s="7">
        <v>4027</v>
      </c>
      <c r="C91" s="25" t="s">
        <v>120</v>
      </c>
      <c r="D91" s="25" t="s">
        <v>147</v>
      </c>
      <c r="E91" s="16">
        <v>42596.560682870368</v>
      </c>
      <c r="F91" s="16">
        <v>42596.561944444446</v>
      </c>
      <c r="G91" s="7">
        <v>1</v>
      </c>
      <c r="H91" s="16" t="s">
        <v>276</v>
      </c>
      <c r="I91" s="16">
        <v>42596.590949074074</v>
      </c>
      <c r="J91" s="7">
        <v>0</v>
      </c>
      <c r="K91" s="143" t="str">
        <f t="shared" si="33"/>
        <v>4027/4028</v>
      </c>
      <c r="L91" s="25" t="str">
        <f>VLOOKUP(A91,'Trips&amp;Operators'!$C$1:$E$10000,3,FALSE)</f>
        <v>MOSES</v>
      </c>
      <c r="M91" s="6">
        <f t="shared" si="34"/>
        <v>2.9004629628616385E-2</v>
      </c>
      <c r="N91" s="7">
        <f t="shared" si="48"/>
        <v>41.766666665207595</v>
      </c>
      <c r="O91" s="7"/>
      <c r="P91" s="7"/>
      <c r="Q91" s="26"/>
      <c r="R91" s="26"/>
      <c r="S91" s="38">
        <f t="shared" si="35"/>
        <v>1</v>
      </c>
      <c r="T91" s="53" t="str">
        <f t="shared" si="36"/>
        <v>NorthBound</v>
      </c>
      <c r="U91" s="13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12:27:23-0600',mode:absolute,to:'2016-08-14 15:10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91" s="55" t="str">
        <f t="shared" si="38"/>
        <v>N</v>
      </c>
      <c r="X91" s="129">
        <f t="shared" si="39"/>
        <v>1</v>
      </c>
      <c r="Y91" s="70">
        <f t="shared" si="40"/>
        <v>4.4900000000000002E-2</v>
      </c>
      <c r="Z91" s="70">
        <f t="shared" si="41"/>
        <v>23.332699999999999</v>
      </c>
      <c r="AA91" s="70">
        <f t="shared" si="42"/>
        <v>23.287800000000001</v>
      </c>
      <c r="AB91" s="67">
        <f>VLOOKUP(A91,Enforcements!$C$7:$J$24,8,0)</f>
        <v>183829</v>
      </c>
      <c r="AC91" s="63" t="str">
        <f>VLOOKUP(A91,Enforcements!$C$7:$E$24,3,0)</f>
        <v>PERMANENT SPEED RESTRICTION</v>
      </c>
      <c r="AD91" s="64" t="str">
        <f t="shared" si="43"/>
        <v>0179-14</v>
      </c>
      <c r="AE91" s="104" t="str">
        <f t="shared" si="44"/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AF91" s="101" t="str">
        <f t="shared" si="45"/>
        <v>"C:\Program Files (x86)\AstroGrep\AstroGrep.exe" /spath="%USERPROFILE%\AppData\Local\Temp\OnboardLogs" /stypes="*4027*20160814*" /stext=" 20:.+((SYSTEM_STATE.+slice.+state.+changed )|(ment ac)|(system.+state.+changed )|(\|lc)|(penalty)|(\[timeout)|(PRM\|1\|D)|(kpr)|(kdp))" /e /r /s</v>
      </c>
      <c r="AG91" s="1" t="str">
        <f t="shared" si="46"/>
        <v>EC</v>
      </c>
      <c r="AH91" s="105" t="str">
        <f t="shared" si="47"/>
        <v>"%USERPROFILE%\Documents\GitHub\eaglep3\Utilities\RefineRTDCRunTimes.py" --tripid 179-14 --locoid 4027 --swversion DE.1.0.7.0 --startMP 204:449 --initTime 2016-08-14T13:27:23 --startdatetime 2016-08-14T13:29:12 --delay 1 --endMP 204:233327 --enddatetime 2016-08-14T14:10:58 --enforcementcount 0</v>
      </c>
    </row>
    <row r="92" spans="1:34" x14ac:dyDescent="0.25">
      <c r="A92" s="40" t="s">
        <v>431</v>
      </c>
      <c r="B92" s="7">
        <v>4028</v>
      </c>
      <c r="C92" s="25" t="s">
        <v>120</v>
      </c>
      <c r="D92" s="25" t="s">
        <v>275</v>
      </c>
      <c r="E92" s="16">
        <v>42596.599027777775</v>
      </c>
      <c r="F92" s="16">
        <v>42596.600046296298</v>
      </c>
      <c r="G92" s="7">
        <v>1</v>
      </c>
      <c r="H92" s="16" t="s">
        <v>182</v>
      </c>
      <c r="I92" s="16">
        <v>42596.629791666666</v>
      </c>
      <c r="J92" s="7">
        <v>0</v>
      </c>
      <c r="K92" s="143" t="str">
        <f t="shared" si="33"/>
        <v>4027/4028</v>
      </c>
      <c r="L92" s="25" t="str">
        <f>VLOOKUP(A92,'Trips&amp;Operators'!$C$1:$E$10000,3,FALSE)</f>
        <v>MOSES</v>
      </c>
      <c r="M92" s="6">
        <f t="shared" si="34"/>
        <v>2.9745370367891155E-2</v>
      </c>
      <c r="N92" s="7">
        <f t="shared" si="48"/>
        <v>42.833333329763263</v>
      </c>
      <c r="O92" s="7"/>
      <c r="P92" s="7"/>
      <c r="Q92" s="26"/>
      <c r="R92" s="26"/>
      <c r="S92" s="38">
        <f t="shared" si="35"/>
        <v>1</v>
      </c>
      <c r="T92" s="53" t="str">
        <f t="shared" si="36"/>
        <v>Southbound</v>
      </c>
      <c r="U92" s="13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13:22:36-0600',mode:absolute,to:'2016-08-14 16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92" s="55" t="str">
        <f t="shared" si="38"/>
        <v>N</v>
      </c>
      <c r="X92" s="129">
        <f t="shared" si="39"/>
        <v>1</v>
      </c>
      <c r="Y92" s="70">
        <f t="shared" si="40"/>
        <v>23.301100000000002</v>
      </c>
      <c r="Z92" s="70">
        <f t="shared" si="41"/>
        <v>1.6E-2</v>
      </c>
      <c r="AA92" s="70">
        <f t="shared" si="42"/>
        <v>23.285100000000003</v>
      </c>
      <c r="AB92" s="67" t="e">
        <f>VLOOKUP(A92,Enforcements!$C$7:$J$24,8,0)</f>
        <v>#N/A</v>
      </c>
      <c r="AC92" s="63" t="e">
        <f>VLOOKUP(A92,Enforcements!$C$7:$E$24,3,0)</f>
        <v>#N/A</v>
      </c>
      <c r="AD92" s="64" t="str">
        <f t="shared" si="43"/>
        <v>0180-14</v>
      </c>
      <c r="AE92" s="104" t="str">
        <f t="shared" si="44"/>
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</c>
      <c r="AF92" s="101" t="str">
        <f t="shared" si="45"/>
        <v>"C:\Program Files (x86)\AstroGrep\AstroGrep.exe" /spath="%USERPROFILE%\AppData\Local\Temp\OnboardLogs" /stypes="*4028*20160814*" /stext=" 21:.+((SYSTEM_STATE.+slice.+state.+changed )|(ment ac)|(system.+state.+changed )|(\|lc)|(penalty)|(\[timeout)|(PRM\|1\|D)|(kpr)|(kdp))" /e /r /s</v>
      </c>
      <c r="AG92" s="1" t="str">
        <f t="shared" si="46"/>
        <v>EC</v>
      </c>
      <c r="AH92" s="105" t="str">
        <f t="shared" si="47"/>
        <v>"%USERPROFILE%\Documents\GitHub\eaglep3\Utilities\RefineRTDCRunTimes.py" --tripid 180-14 --locoid 4028 --swversion DE.1.0.7.0 --startMP 204:233011 --initTime 2016-08-14T14:22:36 --startdatetime 2016-08-14T14:24:04 --delay 1 --endMP 204:160 --enddatetime 2016-08-14T15:06:54 --enforcementcount 0</v>
      </c>
    </row>
    <row r="93" spans="1:34" x14ac:dyDescent="0.25">
      <c r="A93" s="40" t="s">
        <v>455</v>
      </c>
      <c r="B93" s="7">
        <v>4038</v>
      </c>
      <c r="C93" s="25" t="s">
        <v>120</v>
      </c>
      <c r="D93" s="25" t="s">
        <v>456</v>
      </c>
      <c r="E93" s="16">
        <v>42596.570451388892</v>
      </c>
      <c r="F93" s="16">
        <v>42596.571759259263</v>
      </c>
      <c r="G93" s="7">
        <v>1</v>
      </c>
      <c r="H93" s="16" t="s">
        <v>428</v>
      </c>
      <c r="I93" s="16">
        <v>42596.599166666667</v>
      </c>
      <c r="J93" s="7">
        <v>0</v>
      </c>
      <c r="K93" s="143" t="str">
        <f t="shared" si="33"/>
        <v>4037/4038</v>
      </c>
      <c r="L93" s="25" t="str">
        <f>VLOOKUP(A93,'Trips&amp;Operators'!$C$1:$E$10000,3,FALSE)</f>
        <v>YOUNG</v>
      </c>
      <c r="M93" s="6">
        <f t="shared" si="34"/>
        <v>2.7407407404098194E-2</v>
      </c>
      <c r="N93" s="7">
        <f t="shared" si="48"/>
        <v>39.466666661901399</v>
      </c>
      <c r="O93" s="7"/>
      <c r="P93" s="7"/>
      <c r="Q93" s="26"/>
      <c r="R93" s="26"/>
      <c r="S93" s="38">
        <f t="shared" si="35"/>
        <v>1</v>
      </c>
      <c r="T93" s="53" t="str">
        <f t="shared" si="36"/>
        <v>NorthBound</v>
      </c>
      <c r="U93" s="13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12:41:27-0600',mode:absolute,to:'2016-08-14 15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93" s="55" t="str">
        <f t="shared" si="38"/>
        <v>N</v>
      </c>
      <c r="X93" s="129">
        <f t="shared" si="39"/>
        <v>1</v>
      </c>
      <c r="Y93" s="70">
        <f t="shared" si="40"/>
        <v>5.1999999999999998E-2</v>
      </c>
      <c r="Z93" s="70">
        <f t="shared" si="41"/>
        <v>23.3309</v>
      </c>
      <c r="AA93" s="70">
        <f t="shared" si="42"/>
        <v>23.2789</v>
      </c>
      <c r="AB93" s="67" t="e">
        <f>VLOOKUP(A93,Enforcements!$C$7:$J$24,8,0)</f>
        <v>#N/A</v>
      </c>
      <c r="AC93" s="63" t="e">
        <f>VLOOKUP(A93,Enforcements!$C$7:$E$24,3,0)</f>
        <v>#N/A</v>
      </c>
      <c r="AD93" s="64" t="str">
        <f t="shared" si="43"/>
        <v>0181-14</v>
      </c>
      <c r="AE93" s="104" t="str">
        <f t="shared" si="44"/>
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</c>
      <c r="AF93" s="101" t="str">
        <f t="shared" si="45"/>
        <v>"C:\Program Files (x86)\AstroGrep\AstroGrep.exe" /spath="%USERPROFILE%\AppData\Local\Temp\OnboardLogs" /stypes="*4038*20160814*" /stext=" 20:.+((SYSTEM_STATE.+slice.+state.+changed )|(ment ac)|(system.+state.+changed )|(\|lc)|(penalty)|(\[timeout)|(PRM\|1\|D)|(kpr)|(kdp))" /e /r /s</v>
      </c>
      <c r="AG93" s="1" t="str">
        <f t="shared" si="46"/>
        <v>EC</v>
      </c>
      <c r="AH93" s="105" t="str">
        <f t="shared" si="47"/>
        <v>"%USERPROFILE%\Documents\GitHub\eaglep3\Utilities\RefineRTDCRunTimes.py" --tripid 181-14 --locoid 4038 --swversion DE.1.0.7.0 --startMP 204:520 --initTime 2016-08-14T13:41:27 --startdatetime 2016-08-14T13:43:20 --delay 1 --endMP 204:233309 --enddatetime 2016-08-14T14:22:48 --enforcementcount 0</v>
      </c>
    </row>
    <row r="94" spans="1:34" s="24" customFormat="1" x14ac:dyDescent="0.25">
      <c r="A94" s="40" t="s">
        <v>476</v>
      </c>
      <c r="B94" s="7">
        <v>4037</v>
      </c>
      <c r="C94" s="25" t="s">
        <v>120</v>
      </c>
      <c r="D94" s="25" t="s">
        <v>477</v>
      </c>
      <c r="E94" s="16">
        <v>42596.606666666667</v>
      </c>
      <c r="F94" s="16">
        <v>42596.607974537037</v>
      </c>
      <c r="G94" s="7">
        <v>1</v>
      </c>
      <c r="H94" s="16" t="s">
        <v>478</v>
      </c>
      <c r="I94" s="16">
        <v>42596.641226851854</v>
      </c>
      <c r="J94" s="7">
        <v>0</v>
      </c>
      <c r="K94" s="143" t="str">
        <f t="shared" si="33"/>
        <v>4037/4038</v>
      </c>
      <c r="L94" s="25" t="str">
        <f>VLOOKUP(A94,'Trips&amp;Operators'!$C$1:$E$10000,3,FALSE)</f>
        <v>YOUNG</v>
      </c>
      <c r="M94" s="6">
        <f t="shared" si="34"/>
        <v>3.3252314817218576E-2</v>
      </c>
      <c r="N94" s="7">
        <f t="shared" si="48"/>
        <v>47.883333336794749</v>
      </c>
      <c r="O94" s="7"/>
      <c r="P94" s="7"/>
      <c r="Q94" s="26"/>
      <c r="R94" s="26"/>
      <c r="S94" s="38">
        <f t="shared" si="35"/>
        <v>1</v>
      </c>
      <c r="T94" s="53" t="str">
        <f t="shared" si="36"/>
        <v>Southbound</v>
      </c>
      <c r="U94" s="13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13:33:36-0600',mode:absolute,to:'2016-08-14 16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94" s="55" t="str">
        <f t="shared" si="38"/>
        <v>N</v>
      </c>
      <c r="X94" s="129">
        <f t="shared" si="39"/>
        <v>1</v>
      </c>
      <c r="Y94" s="70">
        <f t="shared" si="40"/>
        <v>23.300899999999999</v>
      </c>
      <c r="Z94" s="70">
        <f t="shared" si="41"/>
        <v>1.7999999999999999E-2</v>
      </c>
      <c r="AA94" s="70">
        <f t="shared" si="42"/>
        <v>23.282899999999998</v>
      </c>
      <c r="AB94" s="67" t="e">
        <f>VLOOKUP(A94,Enforcements!$C$7:$J$24,8,0)</f>
        <v>#N/A</v>
      </c>
      <c r="AC94" s="63" t="e">
        <f>VLOOKUP(A94,Enforcements!$C$7:$E$24,3,0)</f>
        <v>#N/A</v>
      </c>
      <c r="AD94" s="64" t="str">
        <f t="shared" si="43"/>
        <v>0182-14</v>
      </c>
      <c r="AE94" s="104" t="str">
        <f t="shared" si="44"/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AF94" s="101" t="str">
        <f t="shared" si="45"/>
        <v>"C:\Program Files (x86)\AstroGrep\AstroGrep.exe" /spath="%USERPROFILE%\AppData\Local\Temp\OnboardLogs" /stypes="*4037*20160814*" /stext=" 21:.+((SYSTEM_STATE.+slice.+state.+changed )|(ment ac)|(system.+state.+changed )|(\|lc)|(penalty)|(\[timeout)|(PRM\|1\|D)|(kpr)|(kdp))" /e /r /s</v>
      </c>
      <c r="AG94" s="1" t="str">
        <f t="shared" si="46"/>
        <v>EC</v>
      </c>
      <c r="AH94" s="105" t="str">
        <f t="shared" si="47"/>
        <v>"%USERPROFILE%\Documents\GitHub\eaglep3\Utilities\RefineRTDCRunTimes.py" --tripid 182-14 --locoid 4037 --swversion DE.1.0.7.0 --startMP 204:233009 --initTime 2016-08-14T14:33:36 --startdatetime 2016-08-14T14:35:29 --delay 1 --endMP 204:180 --enddatetime 2016-08-14T15:23:22 --enforcementcount 0</v>
      </c>
    </row>
    <row r="95" spans="1:34" s="24" customFormat="1" x14ac:dyDescent="0.25">
      <c r="A95" s="40" t="s">
        <v>509</v>
      </c>
      <c r="B95" s="7">
        <v>4014</v>
      </c>
      <c r="C95" s="25" t="s">
        <v>120</v>
      </c>
      <c r="D95" s="25" t="s">
        <v>115</v>
      </c>
      <c r="E95" s="16">
        <v>42596.580520833333</v>
      </c>
      <c r="F95" s="16">
        <v>42596.58253472222</v>
      </c>
      <c r="G95" s="7">
        <v>2</v>
      </c>
      <c r="H95" s="16" t="s">
        <v>179</v>
      </c>
      <c r="I95" s="16">
        <v>42596.610300925924</v>
      </c>
      <c r="J95" s="7">
        <v>0</v>
      </c>
      <c r="K95" s="143" t="str">
        <f t="shared" si="33"/>
        <v>4013/4014</v>
      </c>
      <c r="L95" s="25" t="str">
        <f>VLOOKUP(A95,'Trips&amp;Operators'!$C$1:$E$10000,3,FALSE)</f>
        <v>MAYBERRY</v>
      </c>
      <c r="M95" s="6">
        <f t="shared" si="34"/>
        <v>2.7766203704231884E-2</v>
      </c>
      <c r="N95" s="7">
        <f t="shared" si="48"/>
        <v>39.983333334093913</v>
      </c>
      <c r="O95" s="7"/>
      <c r="P95" s="7"/>
      <c r="Q95" s="26"/>
      <c r="R95" s="26"/>
      <c r="S95" s="38">
        <f t="shared" si="35"/>
        <v>1</v>
      </c>
      <c r="T95" s="53" t="str">
        <f t="shared" si="36"/>
        <v>NorthBound</v>
      </c>
      <c r="U95" s="13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12:55:57-0600',mode:absolute,to:'2016-08-14 15:38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95" s="55" t="str">
        <f t="shared" si="38"/>
        <v>N</v>
      </c>
      <c r="X95" s="129">
        <f t="shared" si="39"/>
        <v>1</v>
      </c>
      <c r="Y95" s="70">
        <f t="shared" si="40"/>
        <v>4.6199999999999998E-2</v>
      </c>
      <c r="Z95" s="70">
        <f t="shared" si="41"/>
        <v>23.33</v>
      </c>
      <c r="AA95" s="70">
        <f t="shared" si="42"/>
        <v>23.283799999999999</v>
      </c>
      <c r="AB95" s="67">
        <f>VLOOKUP(A95,Enforcements!$C$7:$J$24,8,0)</f>
        <v>230436</v>
      </c>
      <c r="AC95" s="63" t="str">
        <f>VLOOKUP(A95,Enforcements!$C$7:$E$24,3,0)</f>
        <v>PERMANENT SPEED RESTRICTION</v>
      </c>
      <c r="AD95" s="64" t="str">
        <f t="shared" si="43"/>
        <v>0183-14</v>
      </c>
      <c r="AE95" s="104" t="str">
        <f t="shared" si="44"/>
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</c>
      <c r="AF95" s="101" t="str">
        <f t="shared" si="45"/>
        <v>"C:\Program Files (x86)\AstroGrep\AstroGrep.exe" /spath="%USERPROFILE%\AppData\Local\Temp\OnboardLogs" /stypes="*4014*20160814*" /stext=" 20:.+((SYSTEM_STATE.+slice.+state.+changed )|(ment ac)|(system.+state.+changed )|(\|lc)|(penalty)|(\[timeout)|(PRM\|1\|D)|(kpr)|(kdp))" /e /r /s</v>
      </c>
      <c r="AG95" s="1" t="str">
        <f t="shared" si="46"/>
        <v>EC</v>
      </c>
      <c r="AH95" s="105" t="str">
        <f t="shared" si="47"/>
        <v>"%USERPROFILE%\Documents\GitHub\eaglep3\Utilities\RefineRTDCRunTimes.py" --tripid 183-14 --locoid 4014 --swversion DE.1.0.7.0 --startMP 204:462 --initTime 2016-08-14T13:55:57 --startdatetime 2016-08-14T13:58:51 --delay 2 --endMP 204:233300 --enddatetime 2016-08-14T14:38:50 --enforcementcount 0</v>
      </c>
    </row>
    <row r="96" spans="1:34" x14ac:dyDescent="0.25">
      <c r="A96" s="40" t="s">
        <v>519</v>
      </c>
      <c r="B96" s="7">
        <v>4013</v>
      </c>
      <c r="C96" s="25" t="s">
        <v>120</v>
      </c>
      <c r="D96" s="25" t="s">
        <v>201</v>
      </c>
      <c r="E96" s="16">
        <v>42596.614895833336</v>
      </c>
      <c r="F96" s="16">
        <v>42596.616087962961</v>
      </c>
      <c r="G96" s="7">
        <v>1</v>
      </c>
      <c r="H96" s="16" t="s">
        <v>148</v>
      </c>
      <c r="I96" s="16">
        <v>42596.648842592593</v>
      </c>
      <c r="J96" s="7">
        <v>0</v>
      </c>
      <c r="K96" s="143" t="str">
        <f t="shared" si="33"/>
        <v>4013/4014</v>
      </c>
      <c r="L96" s="25" t="str">
        <f>VLOOKUP(A96,'Trips&amp;Operators'!$C$1:$E$10000,3,FALSE)</f>
        <v>MAYBERRY</v>
      </c>
      <c r="M96" s="6">
        <f t="shared" si="34"/>
        <v>3.2754629632108845E-2</v>
      </c>
      <c r="N96" s="7">
        <f t="shared" si="48"/>
        <v>47.166666670236737</v>
      </c>
      <c r="O96" s="7"/>
      <c r="P96" s="7"/>
      <c r="Q96" s="26"/>
      <c r="R96" s="26"/>
      <c r="S96" s="38">
        <f t="shared" si="35"/>
        <v>1</v>
      </c>
      <c r="T96" s="53" t="str">
        <f t="shared" si="36"/>
        <v>Southbound</v>
      </c>
      <c r="U96" s="13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13:45:27-0600',mode:absolute,to:'2016-08-14 16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96" s="55" t="str">
        <f t="shared" si="38"/>
        <v>N</v>
      </c>
      <c r="X96" s="129">
        <f t="shared" si="39"/>
        <v>1</v>
      </c>
      <c r="Y96" s="70">
        <f t="shared" si="40"/>
        <v>23.298100000000002</v>
      </c>
      <c r="Z96" s="70">
        <f t="shared" si="41"/>
        <v>1.49E-2</v>
      </c>
      <c r="AA96" s="70">
        <f t="shared" si="42"/>
        <v>23.283200000000001</v>
      </c>
      <c r="AB96" s="67" t="e">
        <f>VLOOKUP(A96,Enforcements!$C$7:$J$24,8,0)</f>
        <v>#N/A</v>
      </c>
      <c r="AC96" s="63" t="e">
        <f>VLOOKUP(A96,Enforcements!$C$7:$E$24,3,0)</f>
        <v>#N/A</v>
      </c>
      <c r="AD96" s="64" t="str">
        <f t="shared" si="43"/>
        <v>0184-14</v>
      </c>
      <c r="AE96" s="104" t="str">
        <f t="shared" si="44"/>
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</c>
      <c r="AF96" s="101" t="str">
        <f t="shared" si="45"/>
        <v>"C:\Program Files (x86)\AstroGrep\AstroGrep.exe" /spath="%USERPROFILE%\AppData\Local\Temp\OnboardLogs" /stypes="*4013*20160814*" /stext=" 21:.+((SYSTEM_STATE.+slice.+state.+changed )|(ment ac)|(system.+state.+changed )|(\|lc)|(penalty)|(\[timeout)|(PRM\|1\|D)|(kpr)|(kdp))" /e /r /s</v>
      </c>
      <c r="AG96" s="1" t="str">
        <f t="shared" si="46"/>
        <v>EC</v>
      </c>
      <c r="AH96" s="105" t="str">
        <f t="shared" si="47"/>
        <v>"%USERPROFILE%\Documents\GitHub\eaglep3\Utilities\RefineRTDCRunTimes.py" --tripid 184-14 --locoid 4013 --swversion DE.1.0.7.0 --startMP 204:232981 --initTime 2016-08-14T14:45:27 --startdatetime 2016-08-14T14:47:10 --delay 1 --endMP 204:149 --enddatetime 2016-08-14T15:34:20 --enforcementcount 0</v>
      </c>
    </row>
    <row r="97" spans="1:34" x14ac:dyDescent="0.25">
      <c r="A97" s="40" t="s">
        <v>520</v>
      </c>
      <c r="B97" s="7">
        <v>4029</v>
      </c>
      <c r="C97" s="25" t="s">
        <v>120</v>
      </c>
      <c r="D97" s="25" t="s">
        <v>521</v>
      </c>
      <c r="E97" s="16">
        <v>42596.59003472222</v>
      </c>
      <c r="F97" s="16">
        <v>42596.591284722221</v>
      </c>
      <c r="G97" s="7">
        <v>1</v>
      </c>
      <c r="H97" s="16" t="s">
        <v>522</v>
      </c>
      <c r="I97" s="16">
        <v>42596.619479166664</v>
      </c>
      <c r="J97" s="7">
        <v>0</v>
      </c>
      <c r="K97" s="143" t="str">
        <f t="shared" si="33"/>
        <v>4029/4030</v>
      </c>
      <c r="L97" s="25" t="str">
        <f>VLOOKUP(A97,'Trips&amp;Operators'!$C$1:$E$10000,3,FALSE)</f>
        <v>SHOOK</v>
      </c>
      <c r="M97" s="6">
        <f t="shared" si="34"/>
        <v>2.8194444443215616E-2</v>
      </c>
      <c r="N97" s="7">
        <f t="shared" si="48"/>
        <v>40.599999998230487</v>
      </c>
      <c r="O97" s="7"/>
      <c r="P97" s="7"/>
      <c r="Q97" s="26"/>
      <c r="R97" s="26"/>
      <c r="S97" s="38">
        <f t="shared" si="35"/>
        <v>1</v>
      </c>
      <c r="T97" s="53" t="str">
        <f t="shared" si="36"/>
        <v>NorthBound</v>
      </c>
      <c r="U97" s="13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13:09:39-0600',mode:absolute,to:'2016-08-14 15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97" s="55" t="str">
        <f t="shared" si="38"/>
        <v>N</v>
      </c>
      <c r="X97" s="129">
        <f t="shared" si="39"/>
        <v>1</v>
      </c>
      <c r="Y97" s="70">
        <f t="shared" si="40"/>
        <v>4.2700000000000002E-2</v>
      </c>
      <c r="Z97" s="70">
        <f t="shared" si="41"/>
        <v>23.343499999999999</v>
      </c>
      <c r="AA97" s="70">
        <f t="shared" si="42"/>
        <v>23.300799999999999</v>
      </c>
      <c r="AB97" s="67" t="e">
        <f>VLOOKUP(A97,Enforcements!$C$7:$J$24,8,0)</f>
        <v>#N/A</v>
      </c>
      <c r="AC97" s="63" t="e">
        <f>VLOOKUP(A97,Enforcements!$C$7:$E$24,3,0)</f>
        <v>#N/A</v>
      </c>
      <c r="AD97" s="64" t="str">
        <f t="shared" si="43"/>
        <v>0185-14</v>
      </c>
      <c r="AE97" s="104" t="str">
        <f t="shared" si="44"/>
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</c>
      <c r="AF97" s="101" t="str">
        <f t="shared" si="45"/>
        <v>"C:\Program Files (x86)\AstroGrep\AstroGrep.exe" /spath="%USERPROFILE%\AppData\Local\Temp\OnboardLogs" /stypes="*4029*20160814*" /stext=" 20:.+((SYSTEM_STATE.+slice.+state.+changed )|(ment ac)|(system.+state.+changed )|(\|lc)|(penalty)|(\[timeout)|(PRM\|1\|D)|(kpr)|(kdp))" /e /r /s</v>
      </c>
      <c r="AG97" s="1" t="str">
        <f t="shared" si="46"/>
        <v>EC</v>
      </c>
      <c r="AH97" s="105" t="str">
        <f t="shared" si="47"/>
        <v>"%USERPROFILE%\Documents\GitHub\eaglep3\Utilities\RefineRTDCRunTimes.py" --tripid 185-14 --locoid 4029 --swversion DE.1.0.7.0 --startMP 204:427 --initTime 2016-08-14T14:09:39 --startdatetime 2016-08-14T14:11:27 --delay 1 --endMP 204:233435 --enddatetime 2016-08-14T14:52:03 --enforcementcount 0</v>
      </c>
    </row>
    <row r="98" spans="1:34" s="24" customFormat="1" x14ac:dyDescent="0.25">
      <c r="A98" s="40" t="s">
        <v>523</v>
      </c>
      <c r="B98" s="7">
        <v>4030</v>
      </c>
      <c r="C98" s="25" t="s">
        <v>120</v>
      </c>
      <c r="D98" s="25" t="s">
        <v>524</v>
      </c>
      <c r="E98" s="16">
        <v>42596.626666666663</v>
      </c>
      <c r="F98" s="16">
        <v>42596.627650462964</v>
      </c>
      <c r="G98" s="7">
        <v>1</v>
      </c>
      <c r="H98" s="16" t="s">
        <v>382</v>
      </c>
      <c r="I98" s="16">
        <v>42596.659189814818</v>
      </c>
      <c r="J98" s="7">
        <v>0</v>
      </c>
      <c r="K98" s="143" t="str">
        <f t="shared" si="33"/>
        <v>4029/4030</v>
      </c>
      <c r="L98" s="25" t="str">
        <f>VLOOKUP(A98,'Trips&amp;Operators'!$C$1:$E$10000,3,FALSE)</f>
        <v>SHOOK</v>
      </c>
      <c r="M98" s="6">
        <f t="shared" si="34"/>
        <v>3.1539351854007691E-2</v>
      </c>
      <c r="N98" s="7">
        <f t="shared" si="48"/>
        <v>45.416666669771075</v>
      </c>
      <c r="O98" s="7"/>
      <c r="P98" s="7"/>
      <c r="Q98" s="26"/>
      <c r="R98" s="26"/>
      <c r="S98" s="38">
        <f t="shared" si="35"/>
        <v>1</v>
      </c>
      <c r="T98" s="53" t="str">
        <f t="shared" si="36"/>
        <v>Southbound</v>
      </c>
      <c r="U98" s="13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14:02:24-0600',mode:absolute,to:'2016-08-14 16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98" s="55" t="str">
        <f t="shared" si="38"/>
        <v>N</v>
      </c>
      <c r="X98" s="129">
        <f t="shared" si="39"/>
        <v>1</v>
      </c>
      <c r="Y98" s="70">
        <f t="shared" si="40"/>
        <v>23.303000000000001</v>
      </c>
      <c r="Z98" s="70">
        <f t="shared" si="41"/>
        <v>1.41E-2</v>
      </c>
      <c r="AA98" s="70">
        <f t="shared" si="42"/>
        <v>23.288900000000002</v>
      </c>
      <c r="AB98" s="67" t="e">
        <f>VLOOKUP(A98,Enforcements!$C$7:$J$24,8,0)</f>
        <v>#N/A</v>
      </c>
      <c r="AC98" s="63" t="e">
        <f>VLOOKUP(A98,Enforcements!$C$7:$E$24,3,0)</f>
        <v>#N/A</v>
      </c>
      <c r="AD98" s="64" t="str">
        <f t="shared" si="43"/>
        <v>0186-14</v>
      </c>
      <c r="AE98" s="104" t="str">
        <f t="shared" si="44"/>
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</c>
      <c r="AF98" s="101" t="str">
        <f t="shared" si="45"/>
        <v>"C:\Program Files (x86)\AstroGrep\AstroGrep.exe" /spath="%USERPROFILE%\AppData\Local\Temp\OnboardLogs" /stypes="*4030*20160814*" /stext=" 21:.+((SYSTEM_STATE.+slice.+state.+changed )|(ment ac)|(system.+state.+changed )|(\|lc)|(penalty)|(\[timeout)|(PRM\|1\|D)|(kpr)|(kdp))" /e /r /s</v>
      </c>
      <c r="AG98" s="1" t="str">
        <f t="shared" si="46"/>
        <v>EC</v>
      </c>
      <c r="AH98" s="105" t="str">
        <f t="shared" si="47"/>
        <v>"%USERPROFILE%\Documents\GitHub\eaglep3\Utilities\RefineRTDCRunTimes.py" --tripid 186-14 --locoid 4030 --swversion DE.1.0.7.0 --startMP 204:233030 --initTime 2016-08-14T15:02:24 --startdatetime 2016-08-14T15:03:49 --delay 1 --endMP 204:141 --enddatetime 2016-08-14T15:49:14 --enforcementcount 0</v>
      </c>
    </row>
    <row r="99" spans="1:34" x14ac:dyDescent="0.25">
      <c r="A99" s="40" t="s">
        <v>525</v>
      </c>
      <c r="B99" s="7">
        <v>4016</v>
      </c>
      <c r="C99" s="25" t="s">
        <v>120</v>
      </c>
      <c r="D99" s="25" t="s">
        <v>181</v>
      </c>
      <c r="E99" s="16">
        <v>42596.601030092592</v>
      </c>
      <c r="F99" s="16">
        <v>42596.601967592593</v>
      </c>
      <c r="G99" s="7">
        <v>1</v>
      </c>
      <c r="H99" s="16" t="s">
        <v>183</v>
      </c>
      <c r="I99" s="16">
        <v>42596.629976851851</v>
      </c>
      <c r="J99" s="7">
        <v>0</v>
      </c>
      <c r="K99" s="143" t="str">
        <f t="shared" si="33"/>
        <v>4015/4016</v>
      </c>
      <c r="L99" s="25" t="str">
        <f>VLOOKUP(A99,'Trips&amp;Operators'!$C$1:$E$10000,3,FALSE)</f>
        <v>STEWART</v>
      </c>
      <c r="M99" s="6">
        <f t="shared" si="34"/>
        <v>2.8009259258396924E-2</v>
      </c>
      <c r="N99" s="7">
        <f t="shared" si="48"/>
        <v>40.33333333209157</v>
      </c>
      <c r="O99" s="7"/>
      <c r="P99" s="7"/>
      <c r="Q99" s="26"/>
      <c r="R99" s="26"/>
      <c r="S99" s="38">
        <f t="shared" si="35"/>
        <v>1</v>
      </c>
      <c r="T99" s="53" t="str">
        <f t="shared" si="36"/>
        <v>NorthBound</v>
      </c>
      <c r="U99" s="13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13:25:29-0600',mode:absolute,to:'2016-08-14 16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99" s="55" t="str">
        <f t="shared" si="38"/>
        <v>N</v>
      </c>
      <c r="X99" s="129">
        <f t="shared" si="39"/>
        <v>1</v>
      </c>
      <c r="Y99" s="70">
        <f t="shared" si="40"/>
        <v>4.6600000000000003E-2</v>
      </c>
      <c r="Z99" s="70">
        <f t="shared" si="41"/>
        <v>23.3323</v>
      </c>
      <c r="AA99" s="70">
        <f t="shared" si="42"/>
        <v>23.285699999999999</v>
      </c>
      <c r="AB99" s="67" t="e">
        <f>VLOOKUP(A99,Enforcements!$C$7:$J$24,8,0)</f>
        <v>#N/A</v>
      </c>
      <c r="AC99" s="63" t="e">
        <f>VLOOKUP(A99,Enforcements!$C$7:$E$24,3,0)</f>
        <v>#N/A</v>
      </c>
      <c r="AD99" s="64" t="str">
        <f t="shared" si="43"/>
        <v>0187-14</v>
      </c>
      <c r="AE99" s="104" t="str">
        <f t="shared" si="44"/>
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</c>
      <c r="AF99" s="101" t="str">
        <f t="shared" si="45"/>
        <v>"C:\Program Files (x86)\AstroGrep\AstroGrep.exe" /spath="%USERPROFILE%\AppData\Local\Temp\OnboardLogs" /stypes="*4016*20160814*" /stext=" 21:.+((SYSTEM_STATE.+slice.+state.+changed )|(ment ac)|(system.+state.+changed )|(\|lc)|(penalty)|(\[timeout)|(PRM\|1\|D)|(kpr)|(kdp))" /e /r /s</v>
      </c>
      <c r="AG99" s="1" t="str">
        <f t="shared" si="46"/>
        <v>EC</v>
      </c>
      <c r="AH99" s="105" t="str">
        <f t="shared" si="47"/>
        <v>"%USERPROFILE%\Documents\GitHub\eaglep3\Utilities\RefineRTDCRunTimes.py" --tripid 187-14 --locoid 4016 --swversion DE.1.0.7.0 --startMP 204:466 --initTime 2016-08-14T14:25:29 --startdatetime 2016-08-14T14:26:50 --delay 1 --endMP 204:233323 --enddatetime 2016-08-14T15:07:10 --enforcementcount 0</v>
      </c>
    </row>
    <row r="100" spans="1:34" x14ac:dyDescent="0.25">
      <c r="A100" s="40" t="s">
        <v>526</v>
      </c>
      <c r="B100" s="7">
        <v>4015</v>
      </c>
      <c r="C100" s="25" t="s">
        <v>120</v>
      </c>
      <c r="D100" s="25" t="s">
        <v>527</v>
      </c>
      <c r="E100" s="16">
        <v>42596.641539351855</v>
      </c>
      <c r="F100" s="16">
        <v>42596.642476851855</v>
      </c>
      <c r="G100" s="7">
        <v>1</v>
      </c>
      <c r="H100" s="16" t="s">
        <v>199</v>
      </c>
      <c r="I100" s="16">
        <v>42596.673981481479</v>
      </c>
      <c r="J100" s="7">
        <v>0</v>
      </c>
      <c r="K100" s="143" t="str">
        <f t="shared" si="33"/>
        <v>4015/4016</v>
      </c>
      <c r="L100" s="25" t="str">
        <f>VLOOKUP(A100,'Trips&amp;Operators'!$C$1:$E$10000,3,FALSE)</f>
        <v>STEWART</v>
      </c>
      <c r="M100" s="6">
        <f t="shared" si="34"/>
        <v>3.1504629623668734E-2</v>
      </c>
      <c r="N100" s="7">
        <f t="shared" si="48"/>
        <v>45.366666658082977</v>
      </c>
      <c r="O100" s="7"/>
      <c r="P100" s="7"/>
      <c r="Q100" s="26"/>
      <c r="R100" s="26"/>
      <c r="S100" s="38">
        <f t="shared" si="35"/>
        <v>1</v>
      </c>
      <c r="T100" s="53" t="str">
        <f t="shared" si="36"/>
        <v>Southbound</v>
      </c>
      <c r="U100" s="13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14:23:49-0600',mode:absolute,to:'2016-08-14 17:10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00" s="55" t="str">
        <f t="shared" si="38"/>
        <v>N</v>
      </c>
      <c r="X100" s="129">
        <f t="shared" si="39"/>
        <v>1</v>
      </c>
      <c r="Y100" s="70">
        <f t="shared" si="40"/>
        <v>23.300599999999999</v>
      </c>
      <c r="Z100" s="70">
        <f t="shared" si="41"/>
        <v>1.5599999999999999E-2</v>
      </c>
      <c r="AA100" s="70">
        <f t="shared" si="42"/>
        <v>23.285</v>
      </c>
      <c r="AB100" s="67" t="e">
        <f>VLOOKUP(A100,Enforcements!$C$7:$J$24,8,0)</f>
        <v>#N/A</v>
      </c>
      <c r="AC100" s="63" t="e">
        <f>VLOOKUP(A100,Enforcements!$C$7:$E$24,3,0)</f>
        <v>#N/A</v>
      </c>
      <c r="AD100" s="64" t="str">
        <f t="shared" si="43"/>
        <v>0188-14</v>
      </c>
      <c r="AE100" s="104" t="str">
        <f t="shared" si="44"/>
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</c>
      <c r="AF100" s="101" t="str">
        <f t="shared" si="45"/>
        <v>"C:\Program Files (x86)\AstroGrep\AstroGrep.exe" /spath="%USERPROFILE%\AppData\Local\Temp\OnboardLogs" /stypes="*4015*20160814*" /stext=" 22:.+((SYSTEM_STATE.+slice.+state.+changed )|(ment ac)|(system.+state.+changed )|(\|lc)|(penalty)|(\[timeout)|(PRM\|1\|D)|(kpr)|(kdp))" /e /r /s</v>
      </c>
      <c r="AG100" s="1" t="str">
        <f t="shared" si="46"/>
        <v>EC</v>
      </c>
      <c r="AH100" s="105" t="str">
        <f t="shared" si="47"/>
        <v>"%USERPROFILE%\Documents\GitHub\eaglep3\Utilities\RefineRTDCRunTimes.py" --tripid 188-14 --locoid 4015 --swversion DE.1.0.7.0 --startMP 204:233006 --initTime 2016-08-14T15:23:49 --startdatetime 2016-08-14T15:25:10 --delay 1 --endMP 204:156 --enddatetime 2016-08-14T16:10:32 --enforcementcount 0</v>
      </c>
    </row>
    <row r="101" spans="1:34" x14ac:dyDescent="0.25">
      <c r="A101" s="40" t="s">
        <v>528</v>
      </c>
      <c r="B101" s="7">
        <v>4011</v>
      </c>
      <c r="C101" s="25" t="s">
        <v>120</v>
      </c>
      <c r="D101" s="25" t="s">
        <v>529</v>
      </c>
      <c r="E101" s="16">
        <v>42596.611851851849</v>
      </c>
      <c r="F101" s="16">
        <v>42596.612847222219</v>
      </c>
      <c r="G101" s="7">
        <v>1</v>
      </c>
      <c r="H101" s="16" t="s">
        <v>167</v>
      </c>
      <c r="I101" s="16">
        <v>42596.6405787037</v>
      </c>
      <c r="J101" s="7">
        <v>0</v>
      </c>
      <c r="K101" s="143" t="str">
        <f t="shared" si="33"/>
        <v>4011/4012</v>
      </c>
      <c r="L101" s="25" t="str">
        <f>VLOOKUP(A101,'Trips&amp;Operators'!$C$1:$E$10000,3,FALSE)</f>
        <v>BARTLETT</v>
      </c>
      <c r="M101" s="6">
        <f t="shared" si="34"/>
        <v>2.7731481481168885E-2</v>
      </c>
      <c r="N101" s="7">
        <f t="shared" si="48"/>
        <v>39.933333332883194</v>
      </c>
      <c r="O101" s="7"/>
      <c r="P101" s="7"/>
      <c r="Q101" s="26"/>
      <c r="R101" s="26"/>
      <c r="S101" s="38">
        <f t="shared" si="35"/>
        <v>1</v>
      </c>
      <c r="T101" s="53" t="str">
        <f t="shared" si="36"/>
        <v>NorthBound</v>
      </c>
      <c r="U101" s="13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13:41:04-0600',mode:absolute,to:'2016-08-14 16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01" s="55" t="str">
        <f t="shared" si="38"/>
        <v>N</v>
      </c>
      <c r="X101" s="129">
        <f t="shared" si="39"/>
        <v>1</v>
      </c>
      <c r="Y101" s="70">
        <f t="shared" si="40"/>
        <v>4.7300000000000002E-2</v>
      </c>
      <c r="Z101" s="70">
        <f t="shared" si="41"/>
        <v>23.331399999999999</v>
      </c>
      <c r="AA101" s="70">
        <f t="shared" si="42"/>
        <v>23.284099999999999</v>
      </c>
      <c r="AB101" s="67" t="e">
        <f>VLOOKUP(A101,Enforcements!$C$7:$J$24,8,0)</f>
        <v>#N/A</v>
      </c>
      <c r="AC101" s="63" t="e">
        <f>VLOOKUP(A101,Enforcements!$C$7:$E$24,3,0)</f>
        <v>#N/A</v>
      </c>
      <c r="AD101" s="64" t="str">
        <f t="shared" si="43"/>
        <v>0189-14</v>
      </c>
      <c r="AE101" s="104" t="str">
        <f t="shared" si="44"/>
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</c>
      <c r="AF101" s="101" t="str">
        <f t="shared" si="45"/>
        <v>"C:\Program Files (x86)\AstroGrep\AstroGrep.exe" /spath="%USERPROFILE%\AppData\Local\Temp\OnboardLogs" /stypes="*4011*20160814*" /stext=" 21:.+((SYSTEM_STATE.+slice.+state.+changed )|(ment ac)|(system.+state.+changed )|(\|lc)|(penalty)|(\[timeout)|(PRM\|1\|D)|(kpr)|(kdp))" /e /r /s</v>
      </c>
      <c r="AG101" s="1" t="str">
        <f t="shared" si="46"/>
        <v>EC</v>
      </c>
      <c r="AH101" s="105" t="str">
        <f t="shared" si="47"/>
        <v>"%USERPROFILE%\Documents\GitHub\eaglep3\Utilities\RefineRTDCRunTimes.py" --tripid 189-14 --locoid 4011 --swversion DE.1.0.7.0 --startMP 204:473 --initTime 2016-08-14T14:41:04 --startdatetime 2016-08-14T14:42:30 --delay 1 --endMP 204:233314 --enddatetime 2016-08-14T15:22:26 --enforcementcount 0</v>
      </c>
    </row>
    <row r="102" spans="1:34" x14ac:dyDescent="0.25">
      <c r="A102" s="40" t="s">
        <v>530</v>
      </c>
      <c r="B102" s="7">
        <v>4012</v>
      </c>
      <c r="C102" s="25" t="s">
        <v>120</v>
      </c>
      <c r="D102" s="25" t="s">
        <v>160</v>
      </c>
      <c r="E102" s="16">
        <v>42596.642905092594</v>
      </c>
      <c r="F102" s="16">
        <v>42596.643854166665</v>
      </c>
      <c r="G102" s="7">
        <v>1</v>
      </c>
      <c r="H102" s="16" t="s">
        <v>143</v>
      </c>
      <c r="I102" s="16">
        <v>42596.692361111112</v>
      </c>
      <c r="J102" s="7">
        <v>0</v>
      </c>
      <c r="K102" s="143" t="str">
        <f t="shared" si="33"/>
        <v>4011/4012</v>
      </c>
      <c r="L102" s="25" t="str">
        <f>VLOOKUP(A102,'Trips&amp;Operators'!$C$1:$E$10000,3,FALSE)</f>
        <v>BARTLETT</v>
      </c>
      <c r="M102" s="6">
        <f t="shared" si="34"/>
        <v>4.8506944447581191E-2</v>
      </c>
      <c r="N102" s="7">
        <f t="shared" si="48"/>
        <v>69.850000004516914</v>
      </c>
      <c r="O102" s="7"/>
      <c r="P102" s="7"/>
      <c r="Q102" s="26"/>
      <c r="R102" s="26"/>
      <c r="S102" s="38">
        <f t="shared" si="35"/>
        <v>1</v>
      </c>
      <c r="T102" s="53" t="str">
        <f t="shared" si="36"/>
        <v>Southbound</v>
      </c>
      <c r="U102" s="13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14:25:47-0600',mode:absolute,to:'2016-08-14 17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02" s="55" t="str">
        <f t="shared" si="38"/>
        <v>N</v>
      </c>
      <c r="X102" s="129">
        <f t="shared" si="39"/>
        <v>1</v>
      </c>
      <c r="Y102" s="70">
        <f t="shared" si="40"/>
        <v>23.297999999999998</v>
      </c>
      <c r="Z102" s="70">
        <f t="shared" si="41"/>
        <v>1.47E-2</v>
      </c>
      <c r="AA102" s="70">
        <f t="shared" si="42"/>
        <v>23.283299999999997</v>
      </c>
      <c r="AB102" s="67" t="e">
        <f>VLOOKUP(A102,Enforcements!$C$7:$J$24,8,0)</f>
        <v>#N/A</v>
      </c>
      <c r="AC102" s="63" t="e">
        <f>VLOOKUP(A102,Enforcements!$C$7:$E$24,3,0)</f>
        <v>#N/A</v>
      </c>
      <c r="AD102" s="64" t="str">
        <f t="shared" si="43"/>
        <v>0190-14</v>
      </c>
      <c r="AE102" s="104" t="str">
        <f t="shared" si="44"/>
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</c>
      <c r="AF102" s="101" t="str">
        <f t="shared" si="45"/>
        <v>"C:\Program Files (x86)\AstroGrep\AstroGrep.exe" /spath="%USERPROFILE%\AppData\Local\Temp\OnboardLogs" /stypes="*4012*20160814*" /stext=" 22:.+((SYSTEM_STATE.+slice.+state.+changed )|(ment ac)|(system.+state.+changed )|(\|lc)|(penalty)|(\[timeout)|(PRM\|1\|D)|(kpr)|(kdp))" /e /r /s</v>
      </c>
      <c r="AG102" s="1" t="str">
        <f t="shared" si="46"/>
        <v>EC</v>
      </c>
      <c r="AH102" s="105" t="str">
        <f t="shared" si="47"/>
        <v>"%USERPROFILE%\Documents\GitHub\eaglep3\Utilities\RefineRTDCRunTimes.py" --tripid 190-14 --locoid 4012 --swversion DE.1.0.7.0 --startMP 204:232980 --initTime 2016-08-14T15:25:47 --startdatetime 2016-08-14T15:27:09 --delay 1 --endMP 204:147 --enddatetime 2016-08-14T16:37:00 --enforcementcount 0</v>
      </c>
    </row>
    <row r="103" spans="1:34" x14ac:dyDescent="0.25">
      <c r="A103" s="40" t="s">
        <v>538</v>
      </c>
      <c r="B103" s="7">
        <v>4025</v>
      </c>
      <c r="C103" s="25" t="s">
        <v>120</v>
      </c>
      <c r="D103" s="25" t="s">
        <v>142</v>
      </c>
      <c r="E103" s="16">
        <v>42596.620150462964</v>
      </c>
      <c r="F103" s="16">
        <v>42596.621516203704</v>
      </c>
      <c r="G103" s="7">
        <v>1</v>
      </c>
      <c r="H103" s="16" t="s">
        <v>539</v>
      </c>
      <c r="I103" s="16">
        <v>42596.650567129633</v>
      </c>
      <c r="J103" s="7">
        <v>0</v>
      </c>
      <c r="K103" s="143" t="str">
        <f t="shared" si="33"/>
        <v>4025/4026</v>
      </c>
      <c r="L103" s="25" t="str">
        <f>VLOOKUP(A103,'Trips&amp;Operators'!$C$1:$E$10000,3,FALSE)</f>
        <v>BRUDER</v>
      </c>
      <c r="M103" s="6">
        <f t="shared" si="34"/>
        <v>2.9050925928459037E-2</v>
      </c>
      <c r="N103" s="7">
        <f t="shared" si="48"/>
        <v>41.833333336981013</v>
      </c>
      <c r="O103" s="7"/>
      <c r="P103" s="7"/>
      <c r="Q103" s="26"/>
      <c r="R103" s="26"/>
      <c r="S103" s="38">
        <f t="shared" si="35"/>
        <v>1</v>
      </c>
      <c r="T103" s="53" t="str">
        <f t="shared" si="36"/>
        <v>NorthBound</v>
      </c>
      <c r="U103" s="13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13:53:01-0600',mode:absolute,to:'2016-08-14 16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03" s="55" t="str">
        <f t="shared" si="38"/>
        <v>N</v>
      </c>
      <c r="X103" s="129">
        <f t="shared" si="39"/>
        <v>1</v>
      </c>
      <c r="Y103" s="70">
        <f t="shared" si="40"/>
        <v>4.7100000000000003E-2</v>
      </c>
      <c r="Z103" s="70">
        <f t="shared" si="41"/>
        <v>23.3325</v>
      </c>
      <c r="AA103" s="70">
        <f t="shared" si="42"/>
        <v>23.285399999999999</v>
      </c>
      <c r="AB103" s="67" t="e">
        <f>VLOOKUP(A103,Enforcements!$C$7:$J$24,8,0)</f>
        <v>#N/A</v>
      </c>
      <c r="AC103" s="63" t="e">
        <f>VLOOKUP(A103,Enforcements!$C$7:$E$24,3,0)</f>
        <v>#N/A</v>
      </c>
      <c r="AD103" s="64" t="str">
        <f t="shared" si="43"/>
        <v>0191-14</v>
      </c>
      <c r="AE103" s="104" t="str">
        <f t="shared" si="44"/>
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</c>
      <c r="AF103" s="101" t="str">
        <f t="shared" si="45"/>
        <v>"C:\Program Files (x86)\AstroGrep\AstroGrep.exe" /spath="%USERPROFILE%\AppData\Local\Temp\OnboardLogs" /stypes="*4025*20160814*" /stext=" 21:.+((SYSTEM_STATE.+slice.+state.+changed )|(ment ac)|(system.+state.+changed )|(\|lc)|(penalty)|(\[timeout)|(PRM\|1\|D)|(kpr)|(kdp))" /e /r /s</v>
      </c>
      <c r="AG103" s="1" t="str">
        <f t="shared" si="46"/>
        <v>EC</v>
      </c>
      <c r="AH103" s="105" t="str">
        <f t="shared" si="47"/>
        <v>"%USERPROFILE%\Documents\GitHub\eaglep3\Utilities\RefineRTDCRunTimes.py" --tripid 191-14 --locoid 4025 --swversion DE.1.0.7.0 --startMP 204:471 --initTime 2016-08-14T14:53:01 --startdatetime 2016-08-14T14:54:59 --delay 1 --endMP 204:233325 --enddatetime 2016-08-14T15:36:49 --enforcementcount 0</v>
      </c>
    </row>
    <row r="104" spans="1:34" x14ac:dyDescent="0.25">
      <c r="A104" s="40" t="s">
        <v>540</v>
      </c>
      <c r="B104" s="7">
        <v>4026</v>
      </c>
      <c r="C104" s="25" t="s">
        <v>120</v>
      </c>
      <c r="D104" s="25" t="s">
        <v>133</v>
      </c>
      <c r="E104" s="16">
        <v>42596.656608796293</v>
      </c>
      <c r="F104" s="16">
        <v>42596.657407407409</v>
      </c>
      <c r="G104" s="7">
        <v>1</v>
      </c>
      <c r="H104" s="16" t="s">
        <v>169</v>
      </c>
      <c r="I104" s="16">
        <v>42596.69939814815</v>
      </c>
      <c r="J104" s="7">
        <v>0</v>
      </c>
      <c r="K104" s="143" t="str">
        <f t="shared" si="33"/>
        <v>4025/4026</v>
      </c>
      <c r="L104" s="25" t="str">
        <f>VLOOKUP(A104,'Trips&amp;Operators'!$C$1:$E$10000,3,FALSE)</f>
        <v>BRUDER</v>
      </c>
      <c r="M104" s="6">
        <f t="shared" si="34"/>
        <v>4.1990740741312038E-2</v>
      </c>
      <c r="N104" s="7">
        <f t="shared" si="48"/>
        <v>60.466666667489335</v>
      </c>
      <c r="O104" s="7"/>
      <c r="P104" s="7"/>
      <c r="Q104" s="26"/>
      <c r="R104" s="26"/>
      <c r="S104" s="38">
        <f t="shared" si="35"/>
        <v>1</v>
      </c>
      <c r="T104" s="53" t="str">
        <f t="shared" si="36"/>
        <v>Southbound</v>
      </c>
      <c r="U104" s="13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14:45:31-0600',mode:absolute,to:'2016-08-14 17:47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04" s="55" t="str">
        <f t="shared" si="38"/>
        <v>N</v>
      </c>
      <c r="X104" s="129">
        <f t="shared" si="39"/>
        <v>1</v>
      </c>
      <c r="Y104" s="70">
        <f t="shared" si="40"/>
        <v>23.299800000000001</v>
      </c>
      <c r="Z104" s="70">
        <f t="shared" si="41"/>
        <v>1.38E-2</v>
      </c>
      <c r="AA104" s="70">
        <f t="shared" si="42"/>
        <v>23.286000000000001</v>
      </c>
      <c r="AB104" s="67" t="e">
        <f>VLOOKUP(A104,Enforcements!$C$7:$J$24,8,0)</f>
        <v>#N/A</v>
      </c>
      <c r="AC104" s="63" t="e">
        <f>VLOOKUP(A104,Enforcements!$C$7:$E$24,3,0)</f>
        <v>#N/A</v>
      </c>
      <c r="AD104" s="64" t="str">
        <f t="shared" si="43"/>
        <v>0192-14</v>
      </c>
      <c r="AE104" s="104" t="str">
        <f t="shared" si="44"/>
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</c>
      <c r="AF104" s="101" t="str">
        <f t="shared" si="45"/>
        <v>"C:\Program Files (x86)\AstroGrep\AstroGrep.exe" /spath="%USERPROFILE%\AppData\Local\Temp\OnboardLogs" /stypes="*4026*20160814*" /stext=" 22:.+((SYSTEM_STATE.+slice.+state.+changed )|(ment ac)|(system.+state.+changed )|(\|lc)|(penalty)|(\[timeout)|(PRM\|1\|D)|(kpr)|(kdp))" /e /r /s</v>
      </c>
      <c r="AG104" s="1" t="str">
        <f t="shared" si="46"/>
        <v>EC</v>
      </c>
      <c r="AH104" s="105" t="str">
        <f t="shared" si="47"/>
        <v>"%USERPROFILE%\Documents\GitHub\eaglep3\Utilities\RefineRTDCRunTimes.py" --tripid 192-14 --locoid 4026 --swversion DE.1.0.7.0 --startMP 204:232998 --initTime 2016-08-14T15:45:31 --startdatetime 2016-08-14T15:46:40 --delay 1 --endMP 204:138 --enddatetime 2016-08-14T16:47:08 --enforcementcount 0</v>
      </c>
    </row>
    <row r="105" spans="1:34" s="24" customFormat="1" x14ac:dyDescent="0.25">
      <c r="A105" s="40" t="s">
        <v>541</v>
      </c>
      <c r="B105" s="7">
        <v>4027</v>
      </c>
      <c r="C105" s="25" t="s">
        <v>120</v>
      </c>
      <c r="D105" s="25" t="s">
        <v>114</v>
      </c>
      <c r="E105" s="16">
        <v>42596.632986111108</v>
      </c>
      <c r="F105" s="16">
        <v>42596.634317129632</v>
      </c>
      <c r="G105" s="7">
        <v>1</v>
      </c>
      <c r="H105" s="16" t="s">
        <v>542</v>
      </c>
      <c r="I105" s="16">
        <v>42596.66133101852</v>
      </c>
      <c r="J105" s="7">
        <v>0</v>
      </c>
      <c r="K105" s="143" t="str">
        <f t="shared" si="33"/>
        <v>4027/4028</v>
      </c>
      <c r="L105" s="25" t="str">
        <f>VLOOKUP(A105,'Trips&amp;Operators'!$C$1:$E$10000,3,FALSE)</f>
        <v>MOSES</v>
      </c>
      <c r="M105" s="6">
        <f t="shared" si="34"/>
        <v>2.7013888888177462E-2</v>
      </c>
      <c r="N105" s="7"/>
      <c r="O105" s="7"/>
      <c r="P105" s="7">
        <f t="shared" si="48"/>
        <v>38.899999998975545</v>
      </c>
      <c r="Q105" s="26"/>
      <c r="R105" s="26" t="s">
        <v>664</v>
      </c>
      <c r="S105" s="38">
        <f t="shared" si="35"/>
        <v>1</v>
      </c>
      <c r="T105" s="53" t="str">
        <f t="shared" si="36"/>
        <v>NorthBound</v>
      </c>
      <c r="U105" s="13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14:11:30-0600',mode:absolute,to:'2016-08-14 16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05" s="55" t="str">
        <f t="shared" si="38"/>
        <v>Y</v>
      </c>
      <c r="X105" s="129">
        <f t="shared" si="39"/>
        <v>1</v>
      </c>
      <c r="Y105" s="70">
        <f t="shared" si="40"/>
        <v>4.6399999999999997E-2</v>
      </c>
      <c r="Z105" s="70">
        <f t="shared" si="41"/>
        <v>16.9176</v>
      </c>
      <c r="AA105" s="70">
        <f t="shared" si="42"/>
        <v>16.871200000000002</v>
      </c>
      <c r="AB105" s="67" t="e">
        <f>VLOOKUP(A105,Enforcements!$C$7:$J$24,8,0)</f>
        <v>#N/A</v>
      </c>
      <c r="AC105" s="63" t="e">
        <f>VLOOKUP(A105,Enforcements!$C$7:$E$24,3,0)</f>
        <v>#N/A</v>
      </c>
      <c r="AD105" s="64" t="str">
        <f t="shared" si="43"/>
        <v>0193-14</v>
      </c>
      <c r="AE105" s="104" t="str">
        <f t="shared" si="44"/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AF105" s="101" t="str">
        <f t="shared" si="45"/>
        <v>"C:\Program Files (x86)\AstroGrep\AstroGrep.exe" /spath="%USERPROFILE%\AppData\Local\Temp\OnboardLogs" /stypes="*4027*20160814*" /stext=" 21:.+((SYSTEM_STATE.+slice.+state.+changed )|(ment ac)|(system.+state.+changed )|(\|lc)|(penalty)|(\[timeout)|(PRM\|1\|D)|(kpr)|(kdp))" /e /r /s</v>
      </c>
      <c r="AG105" s="1" t="str">
        <f t="shared" si="46"/>
        <v>EC</v>
      </c>
      <c r="AH105" s="105" t="str">
        <f t="shared" si="47"/>
        <v>"%USERPROFILE%\Documents\GitHub\eaglep3\Utilities\RefineRTDCRunTimes.py" --tripid 193-14 --locoid 4027 --swversion DE.1.0.7.0 --startMP 204:464 --initTime 2016-08-14T15:11:30 --startdatetime 2016-08-14T15:13:25 --delay 1 --endMP 204:169176 --enddatetime 2016-08-14T15:52:19 --enforcementcount 0</v>
      </c>
    </row>
    <row r="106" spans="1:34" s="24" customFormat="1" x14ac:dyDescent="0.25">
      <c r="A106" s="40" t="s">
        <v>543</v>
      </c>
      <c r="B106" s="7">
        <v>4028</v>
      </c>
      <c r="C106" s="25" t="s">
        <v>120</v>
      </c>
      <c r="D106" s="25" t="s">
        <v>159</v>
      </c>
      <c r="E106" s="16">
        <v>42596.675219907411</v>
      </c>
      <c r="F106" s="16">
        <v>42596.677187499998</v>
      </c>
      <c r="G106" s="7">
        <v>2</v>
      </c>
      <c r="H106" s="16" t="s">
        <v>203</v>
      </c>
      <c r="I106" s="16">
        <v>42596.706226851849</v>
      </c>
      <c r="J106" s="7">
        <v>0</v>
      </c>
      <c r="K106" s="143" t="str">
        <f t="shared" si="33"/>
        <v>4027/4028</v>
      </c>
      <c r="L106" s="25" t="str">
        <f>VLOOKUP(A106,'Trips&amp;Operators'!$C$1:$E$10000,3,FALSE)</f>
        <v>MOSES</v>
      </c>
      <c r="M106" s="6">
        <f t="shared" si="34"/>
        <v>2.9039351851679385E-2</v>
      </c>
      <c r="N106" s="7">
        <f t="shared" si="48"/>
        <v>41.816666666418314</v>
      </c>
      <c r="O106" s="7"/>
      <c r="P106" s="7"/>
      <c r="Q106" s="26"/>
      <c r="R106" s="26"/>
      <c r="S106" s="38">
        <f t="shared" si="35"/>
        <v>1</v>
      </c>
      <c r="T106" s="53" t="str">
        <f t="shared" si="36"/>
        <v>Southbound</v>
      </c>
      <c r="U106" s="13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15:12:19-0600',mode:absolute,to:'2016-08-14 17:56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06" s="55" t="str">
        <f t="shared" si="38"/>
        <v>N</v>
      </c>
      <c r="X106" s="129">
        <f t="shared" si="39"/>
        <v>1</v>
      </c>
      <c r="Y106" s="70">
        <f t="shared" si="40"/>
        <v>23.297799999999999</v>
      </c>
      <c r="Z106" s="70">
        <f t="shared" si="41"/>
        <v>1.54E-2</v>
      </c>
      <c r="AA106" s="70">
        <f t="shared" si="42"/>
        <v>23.282399999999999</v>
      </c>
      <c r="AB106" s="67" t="e">
        <f>VLOOKUP(A106,Enforcements!$C$7:$J$24,8,0)</f>
        <v>#N/A</v>
      </c>
      <c r="AC106" s="63" t="e">
        <f>VLOOKUP(A106,Enforcements!$C$7:$E$24,3,0)</f>
        <v>#N/A</v>
      </c>
      <c r="AD106" s="64" t="str">
        <f t="shared" si="43"/>
        <v>0194-14</v>
      </c>
      <c r="AE106" s="104" t="str">
        <f t="shared" si="44"/>
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</c>
      <c r="AF106" s="101" t="str">
        <f t="shared" si="45"/>
        <v>"C:\Program Files (x86)\AstroGrep\AstroGrep.exe" /spath="%USERPROFILE%\AppData\Local\Temp\OnboardLogs" /stypes="*4028*20160814*" /stext=" 22:.+((SYSTEM_STATE.+slice.+state.+changed )|(ment ac)|(system.+state.+changed )|(\|lc)|(penalty)|(\[timeout)|(PRM\|1\|D)|(kpr)|(kdp))" /e /r /s</v>
      </c>
      <c r="AG106" s="1" t="str">
        <f t="shared" si="46"/>
        <v>EC</v>
      </c>
      <c r="AH106" s="105" t="str">
        <f t="shared" si="47"/>
        <v>"%USERPROFILE%\Documents\GitHub\eaglep3\Utilities\RefineRTDCRunTimes.py" --tripid 194-14 --locoid 4028 --swversion DE.1.0.7.0 --startMP 204:232978 --initTime 2016-08-14T16:12:19 --startdatetime 2016-08-14T16:15:09 --delay 2 --endMP 204:154 --enddatetime 2016-08-14T16:56:58 --enforcementcount 0</v>
      </c>
    </row>
    <row r="107" spans="1:34" x14ac:dyDescent="0.25">
      <c r="A107" s="40" t="s">
        <v>544</v>
      </c>
      <c r="B107" s="7">
        <v>4038</v>
      </c>
      <c r="C107" s="25" t="s">
        <v>120</v>
      </c>
      <c r="D107" s="25" t="s">
        <v>161</v>
      </c>
      <c r="E107" s="16">
        <v>42596.642523148148</v>
      </c>
      <c r="F107" s="16">
        <v>42596.643506944441</v>
      </c>
      <c r="G107" s="7">
        <v>1</v>
      </c>
      <c r="H107" s="16" t="s">
        <v>545</v>
      </c>
      <c r="I107" s="16">
        <v>42596.678749999999</v>
      </c>
      <c r="J107" s="7">
        <v>0</v>
      </c>
      <c r="K107" s="143" t="str">
        <f t="shared" si="33"/>
        <v>4037/4038</v>
      </c>
      <c r="L107" s="25" t="str">
        <f>VLOOKUP(A107,'Trips&amp;Operators'!$C$1:$E$10000,3,FALSE)</f>
        <v>YOUNG</v>
      </c>
      <c r="M107" s="6">
        <f t="shared" si="34"/>
        <v>3.5243055557657499E-2</v>
      </c>
      <c r="N107" s="7">
        <f t="shared" si="48"/>
        <v>50.750000003026798</v>
      </c>
      <c r="O107" s="7"/>
      <c r="P107" s="7"/>
      <c r="Q107" s="26"/>
      <c r="R107" s="26"/>
      <c r="S107" s="38">
        <f t="shared" si="35"/>
        <v>1</v>
      </c>
      <c r="T107" s="53" t="str">
        <f t="shared" si="36"/>
        <v>NorthBound</v>
      </c>
      <c r="U107" s="13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14:25:14-0600',mode:absolute,to:'2016-08-14 17:17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07" s="55" t="str">
        <f t="shared" si="38"/>
        <v>N</v>
      </c>
      <c r="X107" s="129">
        <f t="shared" si="39"/>
        <v>1</v>
      </c>
      <c r="Y107" s="70">
        <f t="shared" si="40"/>
        <v>4.6699999999999998E-2</v>
      </c>
      <c r="Z107" s="70">
        <f t="shared" si="41"/>
        <v>23.332899999999999</v>
      </c>
      <c r="AA107" s="70">
        <f t="shared" si="42"/>
        <v>23.286199999999997</v>
      </c>
      <c r="AB107" s="67" t="e">
        <f>VLOOKUP(A107,Enforcements!$C$7:$J$24,8,0)</f>
        <v>#N/A</v>
      </c>
      <c r="AC107" s="63" t="e">
        <f>VLOOKUP(A107,Enforcements!$C$7:$E$24,3,0)</f>
        <v>#N/A</v>
      </c>
      <c r="AD107" s="64" t="str">
        <f t="shared" si="43"/>
        <v>0195-14</v>
      </c>
      <c r="AE107" s="104" t="str">
        <f t="shared" si="44"/>
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</c>
      <c r="AF107" s="101" t="str">
        <f t="shared" si="45"/>
        <v>"C:\Program Files (x86)\AstroGrep\AstroGrep.exe" /spath="%USERPROFILE%\AppData\Local\Temp\OnboardLogs" /stypes="*4038*20160814*" /stext=" 22:.+((SYSTEM_STATE.+slice.+state.+changed )|(ment ac)|(system.+state.+changed )|(\|lc)|(penalty)|(\[timeout)|(PRM\|1\|D)|(kpr)|(kdp))" /e /r /s</v>
      </c>
      <c r="AG107" s="1" t="str">
        <f t="shared" si="46"/>
        <v>EC</v>
      </c>
      <c r="AH107" s="105" t="str">
        <f t="shared" si="47"/>
        <v>"%USERPROFILE%\Documents\GitHub\eaglep3\Utilities\RefineRTDCRunTimes.py" --tripid 195-14 --locoid 4038 --swversion DE.1.0.7.0 --startMP 204:467 --initTime 2016-08-14T15:25:14 --startdatetime 2016-08-14T15:26:39 --delay 1 --endMP 204:233329 --enddatetime 2016-08-14T16:17:24 --enforcementcount 0</v>
      </c>
    </row>
    <row r="108" spans="1:34" x14ac:dyDescent="0.25">
      <c r="A108" s="40" t="s">
        <v>546</v>
      </c>
      <c r="B108" s="7">
        <v>4037</v>
      </c>
      <c r="C108" s="25" t="s">
        <v>120</v>
      </c>
      <c r="D108" s="25" t="s">
        <v>547</v>
      </c>
      <c r="E108" s="16">
        <v>42596.680335648147</v>
      </c>
      <c r="F108" s="16">
        <v>42596.681261574071</v>
      </c>
      <c r="G108" s="7">
        <v>1</v>
      </c>
      <c r="H108" s="16" t="s">
        <v>548</v>
      </c>
      <c r="I108" s="16">
        <v>42596.713738425926</v>
      </c>
      <c r="J108" s="7">
        <v>0</v>
      </c>
      <c r="K108" s="143" t="str">
        <f t="shared" si="33"/>
        <v>4037/4038</v>
      </c>
      <c r="L108" s="25" t="str">
        <f>VLOOKUP(A108,'Trips&amp;Operators'!$C$1:$E$10000,3,FALSE)</f>
        <v>YOUNG</v>
      </c>
      <c r="M108" s="6">
        <f t="shared" si="34"/>
        <v>3.2476851854880806E-2</v>
      </c>
      <c r="N108" s="7">
        <f t="shared" si="48"/>
        <v>46.766666671028361</v>
      </c>
      <c r="O108" s="7"/>
      <c r="P108" s="7"/>
      <c r="Q108" s="26"/>
      <c r="R108" s="26"/>
      <c r="S108" s="38">
        <f t="shared" si="35"/>
        <v>1</v>
      </c>
      <c r="T108" s="53" t="str">
        <f t="shared" si="36"/>
        <v>Southbound</v>
      </c>
      <c r="U108" s="13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https://search-rtdc-monitor-bjffxe2xuh6vdkpspy63sjmuny.us-east-1.es.amazonaws.com/_plugin/kibana/#/discover/Steve-Slow-Train-Analysis-(2080s-and-2083s)?_g=(refreshInterval:(display:Off,section:0,value:0),time:(from:'2016-08-14 15:19:41-0600',mode:absolute,to:'2016-08-14 18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08" s="55" t="str">
        <f t="shared" si="38"/>
        <v>N</v>
      </c>
      <c r="X108" s="129">
        <f t="shared" si="39"/>
        <v>1</v>
      </c>
      <c r="Y108" s="70">
        <f t="shared" si="40"/>
        <v>23.3019</v>
      </c>
      <c r="Z108" s="70">
        <f t="shared" si="41"/>
        <v>2.1100000000000001E-2</v>
      </c>
      <c r="AA108" s="70">
        <f t="shared" si="42"/>
        <v>23.280799999999999</v>
      </c>
      <c r="AB108" s="67" t="e">
        <f>VLOOKUP(A108,Enforcements!$C$7:$J$24,8,0)</f>
        <v>#N/A</v>
      </c>
      <c r="AC108" s="63" t="e">
        <f>VLOOKUP(A108,Enforcements!$C$7:$E$24,3,0)</f>
        <v>#N/A</v>
      </c>
      <c r="AD108" s="64" t="str">
        <f t="shared" si="43"/>
        <v>0196-14</v>
      </c>
      <c r="AE108" s="104" t="str">
        <f t="shared" si="44"/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AF108" s="101" t="str">
        <f t="shared" si="45"/>
        <v>"C:\Program Files (x86)\AstroGrep\AstroGrep.exe" /spath="%USERPROFILE%\AppData\Local\Temp\OnboardLogs" /stypes="*4037*20160814*" /stext=" 23:.+((SYSTEM_STATE.+slice.+state.+changed )|(ment ac)|(system.+state.+changed )|(\|lc)|(penalty)|(\[timeout)|(PRM\|1\|D)|(kpr)|(kdp))" /e /r /s</v>
      </c>
      <c r="AG108" s="1" t="str">
        <f t="shared" si="46"/>
        <v>EC</v>
      </c>
      <c r="AH108" s="105" t="str">
        <f t="shared" si="47"/>
        <v>"%USERPROFILE%\Documents\GitHub\eaglep3\Utilities\RefineRTDCRunTimes.py" --tripid 196-14 --locoid 4037 --swversion DE.1.0.7.0 --startMP 204:233019 --initTime 2016-08-14T16:19:41 --startdatetime 2016-08-14T16:21:01 --delay 1 --endMP 204:211 --enddatetime 2016-08-14T17:07:47 --enforcementcount 0</v>
      </c>
    </row>
    <row r="109" spans="1:34" s="24" customFormat="1" x14ac:dyDescent="0.25">
      <c r="A109" s="40" t="s">
        <v>549</v>
      </c>
      <c r="B109" s="7">
        <v>4014</v>
      </c>
      <c r="C109" s="25" t="s">
        <v>120</v>
      </c>
      <c r="D109" s="25" t="s">
        <v>341</v>
      </c>
      <c r="E109" s="16">
        <v>42596.65042824074</v>
      </c>
      <c r="F109" s="16">
        <v>42596.654699074075</v>
      </c>
      <c r="G109" s="7">
        <v>6</v>
      </c>
      <c r="H109" s="16" t="s">
        <v>251</v>
      </c>
      <c r="I109" s="16">
        <v>42596.684328703705</v>
      </c>
      <c r="J109" s="7">
        <v>0</v>
      </c>
      <c r="K109" s="143" t="str">
        <f t="shared" ref="K109:K140" si="49">IF(ISEVEN(B109),(B109-1)&amp;"/"&amp;B109,B109&amp;"/"&amp;(B109+1))</f>
        <v>4013/4014</v>
      </c>
      <c r="L109" s="25" t="str">
        <f>VLOOKUP(A109,'Trips&amp;Operators'!$C$1:$E$10000,3,FALSE)</f>
        <v>MAYBERRY</v>
      </c>
      <c r="M109" s="6">
        <f t="shared" ref="M109:M140" si="50">I109-F109</f>
        <v>2.9629629629198462E-2</v>
      </c>
      <c r="N109" s="7">
        <f t="shared" si="48"/>
        <v>42.666666666045785</v>
      </c>
      <c r="O109" s="7"/>
      <c r="P109" s="7"/>
      <c r="Q109" s="26"/>
      <c r="R109" s="26"/>
      <c r="S109" s="38">
        <f t="shared" ref="S109:S140" si="51">SUM(U109:U109)/IF(AG109="EC",12,1)</f>
        <v>1</v>
      </c>
      <c r="T109" s="53" t="str">
        <f t="shared" ref="T109:T140" si="52">IF(ISEVEN(LEFT(AD109,4)),"Southbound","NorthBound")</f>
        <v>NorthBound</v>
      </c>
      <c r="U109" s="13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1" t="str">
        <f t="shared" ref="V109:V140" si="53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https://search-rtdc-monitor-bjffxe2xuh6vdkpspy63sjmuny.us-east-1.es.amazonaws.com/_plugin/kibana/#/discover/Steve-Slow-Train-Analysis-(2080s-and-2083s)?_g=(refreshInterval:(display:Off,section:0,value:0),time:(from:'2016-08-14 14:36:37-0600',mode:absolute,to:'2016-08-14 17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09" s="55" t="str">
        <f t="shared" ref="W109:W140" si="54">IF(AA109&lt;IF(AG109="EC",23,5.65),"Y","N")</f>
        <v>N</v>
      </c>
      <c r="X109" s="129">
        <f t="shared" ref="X109:X140" si="55">VALUE(LEFT(AD109,4))-VALUE(LEFT(AD108,4))</f>
        <v>1</v>
      </c>
      <c r="Y109" s="70">
        <f t="shared" ref="Y109:Y140" si="56">RIGHT(D109,LEN(D109)-4)/10000</f>
        <v>4.3499999999999997E-2</v>
      </c>
      <c r="Z109" s="70">
        <f t="shared" ref="Z109:Z140" si="57">RIGHT(H109,LEN(H109)-4)/10000</f>
        <v>23.328800000000001</v>
      </c>
      <c r="AA109" s="70">
        <f t="shared" ref="AA109:AA140" si="58">ABS(Z109-Y109)</f>
        <v>23.285299999999999</v>
      </c>
      <c r="AB109" s="67" t="e">
        <f>VLOOKUP(A109,Enforcements!$C$7:$J$24,8,0)</f>
        <v>#N/A</v>
      </c>
      <c r="AC109" s="63" t="e">
        <f>VLOOKUP(A109,Enforcements!$C$7:$E$24,3,0)</f>
        <v>#N/A</v>
      </c>
      <c r="AD109" s="64" t="str">
        <f t="shared" ref="AD109:AD140" si="59">IF(LEN(A109)=6,"0"&amp;A109,A109)</f>
        <v>0197-14</v>
      </c>
      <c r="AE109" s="104" t="str">
        <f t="shared" ref="AE109:AE140" si="60"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</c>
      <c r="AF109" s="101" t="str">
        <f t="shared" ref="AF109:AF140" si="61">astrogrep_path&amp;" /spath="&amp;search_path&amp;" /stypes=""*"&amp;B109&amp;"*"&amp;TEXT(I109-utc_offset/24,"YYYYMMDD")&amp;"*"" /stext="" "&amp;TEXT(I109-utc_offset/24,"HH")&amp;search_regexp&amp;""" /e /r /s"</f>
        <v>"C:\Program Files (x86)\AstroGrep\AstroGrep.exe" /spath="%USERPROFILE%\AppData\Local\Temp\OnboardLogs" /stypes="*4014*20160814*" /stext=" 22:.+((SYSTEM_STATE.+slice.+state.+changed )|(ment ac)|(system.+state.+changed )|(\|lc)|(penalty)|(\[timeout)|(PRM\|1\|D)|(kpr)|(kdp))" /e /r /s</v>
      </c>
      <c r="AG109" s="1" t="str">
        <f t="shared" ref="AG109:AG140" si="62">IF(VALUE(LEFT(AD109,2))&lt;=2,"EC",IF(OR(VALUE(LEFT(AD109,2))=8,VALUE(LEFT(AD109,2))=18),"NW","Other"))</f>
        <v>EC</v>
      </c>
      <c r="AH109" s="105" t="str">
        <f t="shared" si="47"/>
        <v>"%USERPROFILE%\Documents\GitHub\eaglep3\Utilities\RefineRTDCRunTimes.py" --tripid 197-14 --locoid 4014 --swversion DE.1.0.7.0 --startMP 204:435 --initTime 2016-08-14T15:36:37 --startdatetime 2016-08-14T15:42:46 --delay 6 --endMP 204:233288 --enddatetime 2016-08-14T16:25:26 --enforcementcount 0</v>
      </c>
    </row>
    <row r="110" spans="1:34" x14ac:dyDescent="0.25">
      <c r="A110" s="40" t="s">
        <v>550</v>
      </c>
      <c r="B110" s="7">
        <v>4013</v>
      </c>
      <c r="C110" s="25" t="s">
        <v>120</v>
      </c>
      <c r="D110" s="25" t="s">
        <v>354</v>
      </c>
      <c r="E110" s="16">
        <v>42596.692881944444</v>
      </c>
      <c r="F110" s="16">
        <v>42596.694247685184</v>
      </c>
      <c r="G110" s="7">
        <v>1</v>
      </c>
      <c r="H110" s="16" t="s">
        <v>264</v>
      </c>
      <c r="I110" s="16">
        <v>42596.725243055553</v>
      </c>
      <c r="J110" s="7">
        <v>0</v>
      </c>
      <c r="K110" s="143" t="str">
        <f t="shared" si="49"/>
        <v>4013/4014</v>
      </c>
      <c r="L110" s="25" t="str">
        <f>VLOOKUP(A110,'Trips&amp;Operators'!$C$1:$E$10000,3,FALSE)</f>
        <v>MAYBERRY</v>
      </c>
      <c r="M110" s="6">
        <f t="shared" si="50"/>
        <v>3.0995370369055308E-2</v>
      </c>
      <c r="N110" s="7">
        <f t="shared" si="48"/>
        <v>44.633333331439644</v>
      </c>
      <c r="O110" s="7"/>
      <c r="P110" s="7"/>
      <c r="Q110" s="26"/>
      <c r="R110" s="26"/>
      <c r="S110" s="38">
        <f t="shared" si="51"/>
        <v>1</v>
      </c>
      <c r="T110" s="53" t="str">
        <f t="shared" si="52"/>
        <v>Southbound</v>
      </c>
      <c r="U110" s="13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15:37:45-0600',mode:absolute,to:'2016-08-14 18:24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10" s="55" t="str">
        <f t="shared" si="54"/>
        <v>N</v>
      </c>
      <c r="X110" s="129">
        <f t="shared" si="55"/>
        <v>1</v>
      </c>
      <c r="Y110" s="70">
        <f t="shared" si="56"/>
        <v>23.2971</v>
      </c>
      <c r="Z110" s="70">
        <f t="shared" si="57"/>
        <v>1.52E-2</v>
      </c>
      <c r="AA110" s="70">
        <f t="shared" si="58"/>
        <v>23.2819</v>
      </c>
      <c r="AB110" s="67" t="e">
        <f>VLOOKUP(A110,Enforcements!$C$7:$J$24,8,0)</f>
        <v>#N/A</v>
      </c>
      <c r="AC110" s="63" t="e">
        <f>VLOOKUP(A110,Enforcements!$C$7:$E$24,3,0)</f>
        <v>#N/A</v>
      </c>
      <c r="AD110" s="64" t="str">
        <f t="shared" si="59"/>
        <v>0198-14</v>
      </c>
      <c r="AE110" s="104" t="str">
        <f t="shared" si="60"/>
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</c>
      <c r="AF110" s="101" t="str">
        <f t="shared" si="61"/>
        <v>"C:\Program Files (x86)\AstroGrep\AstroGrep.exe" /spath="%USERPROFILE%\AppData\Local\Temp\OnboardLogs" /stypes="*4013*20160814*" /stext=" 23:.+((SYSTEM_STATE.+slice.+state.+changed )|(ment ac)|(system.+state.+changed )|(\|lc)|(penalty)|(\[timeout)|(PRM\|1\|D)|(kpr)|(kdp))" /e /r /s</v>
      </c>
      <c r="AG110" s="1" t="str">
        <f t="shared" si="62"/>
        <v>EC</v>
      </c>
      <c r="AH110" s="105" t="str">
        <f t="shared" si="47"/>
        <v>"%USERPROFILE%\Documents\GitHub\eaglep3\Utilities\RefineRTDCRunTimes.py" --tripid 198-14 --locoid 4013 --swversion DE.1.0.7.0 --startMP 204:232971 --initTime 2016-08-14T16:37:45 --startdatetime 2016-08-14T16:39:43 --delay 1 --endMP 204:152 --enddatetime 2016-08-14T17:24:21 --enforcementcount 0</v>
      </c>
    </row>
    <row r="111" spans="1:34" x14ac:dyDescent="0.25">
      <c r="A111" s="40" t="s">
        <v>551</v>
      </c>
      <c r="B111" s="7">
        <v>4029</v>
      </c>
      <c r="C111" s="25" t="s">
        <v>120</v>
      </c>
      <c r="D111" s="25" t="s">
        <v>185</v>
      </c>
      <c r="E111" s="16">
        <v>42596.660312499997</v>
      </c>
      <c r="F111" s="16">
        <v>42596.661678240744</v>
      </c>
      <c r="G111" s="7">
        <v>1</v>
      </c>
      <c r="H111" s="16" t="s">
        <v>552</v>
      </c>
      <c r="I111" s="16">
        <v>42596.69358796296</v>
      </c>
      <c r="J111" s="7">
        <v>0</v>
      </c>
      <c r="K111" s="143" t="str">
        <f t="shared" si="49"/>
        <v>4029/4030</v>
      </c>
      <c r="L111" s="25" t="str">
        <f>VLOOKUP(A111,'Trips&amp;Operators'!$C$1:$E$10000,3,FALSE)</f>
        <v>SHOOK</v>
      </c>
      <c r="M111" s="6">
        <f t="shared" si="50"/>
        <v>3.1909722216369119E-2</v>
      </c>
      <c r="N111" s="7">
        <f t="shared" si="48"/>
        <v>45.949999991571531</v>
      </c>
      <c r="O111" s="7"/>
      <c r="P111" s="7"/>
      <c r="Q111" s="26"/>
      <c r="R111" s="26"/>
      <c r="S111" s="38">
        <f t="shared" si="51"/>
        <v>1</v>
      </c>
      <c r="T111" s="53" t="str">
        <f t="shared" si="52"/>
        <v>NorthBound</v>
      </c>
      <c r="U111" s="13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14:50:51-0600',mode:absolute,to:'2016-08-14 17:38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11" s="55" t="str">
        <f t="shared" si="54"/>
        <v>N</v>
      </c>
      <c r="X111" s="129">
        <f t="shared" si="55"/>
        <v>1</v>
      </c>
      <c r="Y111" s="70">
        <f t="shared" si="56"/>
        <v>4.4200000000000003E-2</v>
      </c>
      <c r="Z111" s="70">
        <f t="shared" si="57"/>
        <v>23.3383</v>
      </c>
      <c r="AA111" s="70">
        <f t="shared" si="58"/>
        <v>23.2941</v>
      </c>
      <c r="AB111" s="67" t="e">
        <f>VLOOKUP(A111,Enforcements!$C$7:$J$24,8,0)</f>
        <v>#N/A</v>
      </c>
      <c r="AC111" s="63" t="e">
        <f>VLOOKUP(A111,Enforcements!$C$7:$E$24,3,0)</f>
        <v>#N/A</v>
      </c>
      <c r="AD111" s="64" t="str">
        <f t="shared" si="59"/>
        <v>0199-14</v>
      </c>
      <c r="AE111" s="104" t="str">
        <f t="shared" si="60"/>
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</c>
      <c r="AF111" s="101" t="str">
        <f t="shared" si="61"/>
        <v>"C:\Program Files (x86)\AstroGrep\AstroGrep.exe" /spath="%USERPROFILE%\AppData\Local\Temp\OnboardLogs" /stypes="*4029*20160814*" /stext=" 22:.+((SYSTEM_STATE.+slice.+state.+changed )|(ment ac)|(system.+state.+changed )|(\|lc)|(penalty)|(\[timeout)|(PRM\|1\|D)|(kpr)|(kdp))" /e /r /s</v>
      </c>
      <c r="AG111" s="1" t="str">
        <f t="shared" si="62"/>
        <v>EC</v>
      </c>
      <c r="AH111" s="105" t="str">
        <f t="shared" si="47"/>
        <v>"%USERPROFILE%\Documents\GitHub\eaglep3\Utilities\RefineRTDCRunTimes.py" --tripid 199-14 --locoid 4029 --swversion DE.1.0.7.0 --startMP 204:442 --initTime 2016-08-14T15:50:51 --startdatetime 2016-08-14T15:52:49 --delay 1 --endMP 204:233383 --enddatetime 2016-08-14T16:38:46 --enforcementcount 0</v>
      </c>
    </row>
    <row r="112" spans="1:34" x14ac:dyDescent="0.25">
      <c r="A112" s="40" t="s">
        <v>553</v>
      </c>
      <c r="B112" s="7">
        <v>4030</v>
      </c>
      <c r="C112" s="25" t="s">
        <v>120</v>
      </c>
      <c r="D112" s="25" t="s">
        <v>554</v>
      </c>
      <c r="E112" s="16">
        <v>42596.700567129628</v>
      </c>
      <c r="F112" s="16">
        <v>42596.701504629629</v>
      </c>
      <c r="G112" s="7">
        <v>1</v>
      </c>
      <c r="H112" s="16" t="s">
        <v>382</v>
      </c>
      <c r="I112" s="16">
        <v>42596.734340277777</v>
      </c>
      <c r="J112" s="7">
        <v>0</v>
      </c>
      <c r="K112" s="143" t="str">
        <f t="shared" si="49"/>
        <v>4029/4030</v>
      </c>
      <c r="L112" s="25" t="str">
        <f>VLOOKUP(A112,'Trips&amp;Operators'!$C$1:$E$10000,3,FALSE)</f>
        <v>SHOOK</v>
      </c>
      <c r="M112" s="6">
        <f t="shared" si="50"/>
        <v>3.2835648147738539E-2</v>
      </c>
      <c r="N112" s="7">
        <f t="shared" si="48"/>
        <v>47.283333332743496</v>
      </c>
      <c r="O112" s="7"/>
      <c r="P112" s="7"/>
      <c r="Q112" s="26"/>
      <c r="R112" s="26"/>
      <c r="S112" s="38">
        <f t="shared" si="51"/>
        <v>1</v>
      </c>
      <c r="T112" s="53" t="str">
        <f t="shared" si="52"/>
        <v>Southbound</v>
      </c>
      <c r="U112" s="13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15:48:49-0600',mode:absolute,to:'2016-08-14 18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12" s="55" t="str">
        <f t="shared" si="54"/>
        <v>N</v>
      </c>
      <c r="X112" s="129">
        <f t="shared" si="55"/>
        <v>1</v>
      </c>
      <c r="Y112" s="70">
        <f t="shared" si="56"/>
        <v>23.303999999999998</v>
      </c>
      <c r="Z112" s="70">
        <f t="shared" si="57"/>
        <v>1.41E-2</v>
      </c>
      <c r="AA112" s="70">
        <f t="shared" si="58"/>
        <v>23.289899999999999</v>
      </c>
      <c r="AB112" s="67" t="e">
        <f>VLOOKUP(A112,Enforcements!$C$7:$J$24,8,0)</f>
        <v>#N/A</v>
      </c>
      <c r="AC112" s="63" t="e">
        <f>VLOOKUP(A112,Enforcements!$C$7:$E$24,3,0)</f>
        <v>#N/A</v>
      </c>
      <c r="AD112" s="64" t="str">
        <f t="shared" si="59"/>
        <v>0200-14</v>
      </c>
      <c r="AE112" s="104" t="str">
        <f t="shared" si="60"/>
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</c>
      <c r="AF112" s="101" t="str">
        <f t="shared" si="61"/>
        <v>"C:\Program Files (x86)\AstroGrep\AstroGrep.exe" /spath="%USERPROFILE%\AppData\Local\Temp\OnboardLogs" /stypes="*4030*20160814*" /stext=" 23:.+((SYSTEM_STATE.+slice.+state.+changed )|(ment ac)|(system.+state.+changed )|(\|lc)|(penalty)|(\[timeout)|(PRM\|1\|D)|(kpr)|(kdp))" /e /r /s</v>
      </c>
      <c r="AG112" s="1" t="str">
        <f t="shared" si="62"/>
        <v>EC</v>
      </c>
      <c r="AH112" s="105" t="str">
        <f t="shared" si="47"/>
        <v>"%USERPROFILE%\Documents\GitHub\eaglep3\Utilities\RefineRTDCRunTimes.py" --tripid 200-14 --locoid 4030 --swversion DE.1.0.7.0 --startMP 204:233040 --initTime 2016-08-14T16:48:49 --startdatetime 2016-08-14T16:50:10 --delay 1 --endMP 204:141 --enddatetime 2016-08-14T17:37:27 --enforcementcount 0</v>
      </c>
    </row>
    <row r="113" spans="1:34" x14ac:dyDescent="0.25">
      <c r="A113" s="40" t="s">
        <v>555</v>
      </c>
      <c r="B113" s="7">
        <v>4016</v>
      </c>
      <c r="C113" s="25" t="s">
        <v>120</v>
      </c>
      <c r="D113" s="25" t="s">
        <v>142</v>
      </c>
      <c r="E113" s="16">
        <v>42596.67596064815</v>
      </c>
      <c r="F113" s="16">
        <v>42596.676886574074</v>
      </c>
      <c r="G113" s="7">
        <v>1</v>
      </c>
      <c r="H113" s="16" t="s">
        <v>390</v>
      </c>
      <c r="I113" s="16">
        <v>42596.705185185187</v>
      </c>
      <c r="J113" s="7">
        <v>0</v>
      </c>
      <c r="K113" s="143" t="str">
        <f t="shared" si="49"/>
        <v>4015/4016</v>
      </c>
      <c r="L113" s="25" t="str">
        <f>VLOOKUP(A113,'Trips&amp;Operators'!$C$1:$E$10000,3,FALSE)</f>
        <v>STEWART</v>
      </c>
      <c r="M113" s="6">
        <f t="shared" si="50"/>
        <v>2.8298611112404615E-2</v>
      </c>
      <c r="N113" s="7">
        <f t="shared" si="48"/>
        <v>40.750000001862645</v>
      </c>
      <c r="O113" s="7"/>
      <c r="P113" s="7"/>
      <c r="Q113" s="26"/>
      <c r="R113" s="26"/>
      <c r="S113" s="38">
        <f t="shared" si="51"/>
        <v>1</v>
      </c>
      <c r="T113" s="53" t="str">
        <f t="shared" si="52"/>
        <v>NorthBound</v>
      </c>
      <c r="U113" s="13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15:13:23-0600',mode:absolute,to:'2016-08-14 17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13" s="55" t="str">
        <f t="shared" si="54"/>
        <v>N</v>
      </c>
      <c r="X113" s="129">
        <f t="shared" si="55"/>
        <v>1</v>
      </c>
      <c r="Y113" s="70">
        <f t="shared" si="56"/>
        <v>4.7100000000000003E-2</v>
      </c>
      <c r="Z113" s="70">
        <f t="shared" si="57"/>
        <v>23.334299999999999</v>
      </c>
      <c r="AA113" s="70">
        <f t="shared" si="58"/>
        <v>23.287199999999999</v>
      </c>
      <c r="AB113" s="67" t="e">
        <f>VLOOKUP(A113,Enforcements!$C$7:$J$24,8,0)</f>
        <v>#N/A</v>
      </c>
      <c r="AC113" s="63" t="e">
        <f>VLOOKUP(A113,Enforcements!$C$7:$E$24,3,0)</f>
        <v>#N/A</v>
      </c>
      <c r="AD113" s="64" t="str">
        <f t="shared" si="59"/>
        <v>0201-14</v>
      </c>
      <c r="AE113" s="104" t="str">
        <f t="shared" si="60"/>
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</c>
      <c r="AF113" s="101" t="str">
        <f t="shared" si="61"/>
        <v>"C:\Program Files (x86)\AstroGrep\AstroGrep.exe" /spath="%USERPROFILE%\AppData\Local\Temp\OnboardLogs" /stypes="*4016*20160814*" /stext=" 22:.+((SYSTEM_STATE.+slice.+state.+changed )|(ment ac)|(system.+state.+changed )|(\|lc)|(penalty)|(\[timeout)|(PRM\|1\|D)|(kpr)|(kdp))" /e /r /s</v>
      </c>
      <c r="AG113" s="1" t="str">
        <f t="shared" si="62"/>
        <v>EC</v>
      </c>
      <c r="AH113" s="105" t="str">
        <f t="shared" si="47"/>
        <v>"%USERPROFILE%\Documents\GitHub\eaglep3\Utilities\RefineRTDCRunTimes.py" --tripid 201-14 --locoid 4016 --swversion DE.1.0.7.0 --startMP 204:471 --initTime 2016-08-14T16:13:23 --startdatetime 2016-08-14T16:14:43 --delay 1 --endMP 204:233343 --enddatetime 2016-08-14T16:55:28 --enforcementcount 0</v>
      </c>
    </row>
    <row r="114" spans="1:34" x14ac:dyDescent="0.25">
      <c r="A114" s="40" t="s">
        <v>556</v>
      </c>
      <c r="B114" s="7">
        <v>4015</v>
      </c>
      <c r="C114" s="25" t="s">
        <v>120</v>
      </c>
      <c r="D114" s="25" t="s">
        <v>557</v>
      </c>
      <c r="E114" s="16">
        <v>42596.715092592596</v>
      </c>
      <c r="F114" s="16">
        <v>42596.715821759259</v>
      </c>
      <c r="G114" s="7">
        <v>1</v>
      </c>
      <c r="H114" s="16" t="s">
        <v>141</v>
      </c>
      <c r="I114" s="16">
        <v>42596.745451388888</v>
      </c>
      <c r="J114" s="7">
        <v>0</v>
      </c>
      <c r="K114" s="143" t="str">
        <f t="shared" si="49"/>
        <v>4015/4016</v>
      </c>
      <c r="L114" s="25" t="str">
        <f>VLOOKUP(A114,'Trips&amp;Operators'!$C$1:$E$10000,3,FALSE)</f>
        <v>STEWART</v>
      </c>
      <c r="M114" s="6">
        <f t="shared" si="50"/>
        <v>2.9629629629198462E-2</v>
      </c>
      <c r="N114" s="7">
        <f t="shared" si="48"/>
        <v>42.666666666045785</v>
      </c>
      <c r="O114" s="7"/>
      <c r="P114" s="7"/>
      <c r="Q114" s="26"/>
      <c r="R114" s="26"/>
      <c r="S114" s="38">
        <f t="shared" si="51"/>
        <v>1</v>
      </c>
      <c r="T114" s="53" t="str">
        <f t="shared" si="52"/>
        <v>Southbound</v>
      </c>
      <c r="U114" s="13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16:09:44-0600',mode:absolute,to:'2016-08-14 18:53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14" s="55" t="str">
        <f t="shared" si="54"/>
        <v>N</v>
      </c>
      <c r="X114" s="129">
        <f t="shared" si="55"/>
        <v>1</v>
      </c>
      <c r="Y114" s="70">
        <f t="shared" si="56"/>
        <v>23.302600000000002</v>
      </c>
      <c r="Z114" s="70">
        <f t="shared" si="57"/>
        <v>1.5800000000000002E-2</v>
      </c>
      <c r="AA114" s="70">
        <f t="shared" si="58"/>
        <v>23.286800000000003</v>
      </c>
      <c r="AB114" s="67" t="e">
        <f>VLOOKUP(A114,Enforcements!$C$7:$J$24,8,0)</f>
        <v>#N/A</v>
      </c>
      <c r="AC114" s="63" t="e">
        <f>VLOOKUP(A114,Enforcements!$C$7:$E$24,3,0)</f>
        <v>#N/A</v>
      </c>
      <c r="AD114" s="64" t="str">
        <f t="shared" si="59"/>
        <v>0202-14</v>
      </c>
      <c r="AE114" s="104" t="str">
        <f t="shared" si="60"/>
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</c>
      <c r="AF114" s="101" t="str">
        <f t="shared" si="61"/>
        <v>"C:\Program Files (x86)\AstroGrep\AstroGrep.exe" /spath="%USERPROFILE%\AppData\Local\Temp\OnboardLogs" /stypes="*4015*20160814*" /stext=" 23:.+((SYSTEM_STATE.+slice.+state.+changed )|(ment ac)|(system.+state.+changed )|(\|lc)|(penalty)|(\[timeout)|(PRM\|1\|D)|(kpr)|(kdp))" /e /r /s</v>
      </c>
      <c r="AG114" s="1" t="str">
        <f t="shared" si="62"/>
        <v>EC</v>
      </c>
      <c r="AH114" s="105" t="str">
        <f t="shared" si="47"/>
        <v>"%USERPROFILE%\Documents\GitHub\eaglep3\Utilities\RefineRTDCRunTimes.py" --tripid 202-14 --locoid 4015 --swversion DE.1.0.7.0 --startMP 204:233026 --initTime 2016-08-14T17:09:44 --startdatetime 2016-08-14T17:10:47 --delay 1 --endMP 204:158 --enddatetime 2016-08-14T17:53:27 --enforcementcount 0</v>
      </c>
    </row>
    <row r="115" spans="1:34" s="24" customFormat="1" x14ac:dyDescent="0.25">
      <c r="A115" s="40" t="s">
        <v>558</v>
      </c>
      <c r="B115" s="7">
        <v>4011</v>
      </c>
      <c r="C115" s="25" t="s">
        <v>120</v>
      </c>
      <c r="D115" s="25" t="s">
        <v>147</v>
      </c>
      <c r="E115" s="16">
        <v>42596.693715277775</v>
      </c>
      <c r="F115" s="16">
        <v>42596.694768518515</v>
      </c>
      <c r="G115" s="7">
        <v>1</v>
      </c>
      <c r="H115" s="16" t="s">
        <v>118</v>
      </c>
      <c r="I115" s="16">
        <v>42596.722986111112</v>
      </c>
      <c r="J115" s="7">
        <v>0</v>
      </c>
      <c r="K115" s="143" t="str">
        <f t="shared" si="49"/>
        <v>4011/4012</v>
      </c>
      <c r="L115" s="25" t="str">
        <f>VLOOKUP(A115,'Trips&amp;Operators'!$C$1:$E$10000,3,FALSE)</f>
        <v>BARTLETT</v>
      </c>
      <c r="M115" s="6">
        <f t="shared" si="50"/>
        <v>2.8217592596774921E-2</v>
      </c>
      <c r="N115" s="7">
        <f t="shared" si="48"/>
        <v>40.633333339355886</v>
      </c>
      <c r="O115" s="7"/>
      <c r="P115" s="7"/>
      <c r="Q115" s="26"/>
      <c r="R115" s="26"/>
      <c r="S115" s="38">
        <f t="shared" si="51"/>
        <v>1</v>
      </c>
      <c r="T115" s="53" t="str">
        <f t="shared" si="52"/>
        <v>NorthBound</v>
      </c>
      <c r="U115" s="13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15:38:57-0600',mode:absolute,to:'2016-08-14 18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15" s="55" t="str">
        <f t="shared" si="54"/>
        <v>N</v>
      </c>
      <c r="X115" s="129">
        <f t="shared" si="55"/>
        <v>1</v>
      </c>
      <c r="Y115" s="70">
        <f t="shared" si="56"/>
        <v>4.4900000000000002E-2</v>
      </c>
      <c r="Z115" s="70">
        <f t="shared" si="57"/>
        <v>23.3293</v>
      </c>
      <c r="AA115" s="70">
        <f t="shared" si="58"/>
        <v>23.284400000000002</v>
      </c>
      <c r="AB115" s="67" t="e">
        <f>VLOOKUP(A115,Enforcements!$C$7:$J$24,8,0)</f>
        <v>#N/A</v>
      </c>
      <c r="AC115" s="63" t="e">
        <f>VLOOKUP(A115,Enforcements!$C$7:$E$24,3,0)</f>
        <v>#N/A</v>
      </c>
      <c r="AD115" s="64" t="str">
        <f t="shared" si="59"/>
        <v>0203-14</v>
      </c>
      <c r="AE115" s="104" t="str">
        <f t="shared" si="60"/>
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</c>
      <c r="AF115" s="101" t="str">
        <f t="shared" si="61"/>
        <v>"C:\Program Files (x86)\AstroGrep\AstroGrep.exe" /spath="%USERPROFILE%\AppData\Local\Temp\OnboardLogs" /stypes="*4011*20160814*" /stext=" 23:.+((SYSTEM_STATE.+slice.+state.+changed )|(ment ac)|(system.+state.+changed )|(\|lc)|(penalty)|(\[timeout)|(PRM\|1\|D)|(kpr)|(kdp))" /e /r /s</v>
      </c>
      <c r="AG115" s="1" t="str">
        <f t="shared" si="62"/>
        <v>EC</v>
      </c>
      <c r="AH115" s="105" t="str">
        <f t="shared" si="47"/>
        <v>"%USERPROFILE%\Documents\GitHub\eaglep3\Utilities\RefineRTDCRunTimes.py" --tripid 203-14 --locoid 4011 --swversion DE.1.0.7.0 --startMP 204:449 --initTime 2016-08-14T16:38:57 --startdatetime 2016-08-14T16:40:28 --delay 1 --endMP 204:233293 --enddatetime 2016-08-14T17:21:06 --enforcementcount 0</v>
      </c>
    </row>
    <row r="116" spans="1:34" x14ac:dyDescent="0.25">
      <c r="A116" s="40" t="s">
        <v>559</v>
      </c>
      <c r="B116" s="7">
        <v>4012</v>
      </c>
      <c r="C116" s="25" t="s">
        <v>120</v>
      </c>
      <c r="D116" s="25" t="s">
        <v>201</v>
      </c>
      <c r="E116" s="16">
        <v>42596.724120370367</v>
      </c>
      <c r="F116" s="16">
        <v>42596.725092592591</v>
      </c>
      <c r="G116" s="7">
        <v>1</v>
      </c>
      <c r="H116" s="16" t="s">
        <v>560</v>
      </c>
      <c r="I116" s="16">
        <v>42596.755393518521</v>
      </c>
      <c r="J116" s="7">
        <v>0</v>
      </c>
      <c r="K116" s="143" t="str">
        <f t="shared" si="49"/>
        <v>4011/4012</v>
      </c>
      <c r="L116" s="25" t="str">
        <f>VLOOKUP(A116,'Trips&amp;Operators'!$C$1:$E$10000,3,FALSE)</f>
        <v>BARTLETT</v>
      </c>
      <c r="M116" s="6">
        <f t="shared" si="50"/>
        <v>3.030092592962319E-2</v>
      </c>
      <c r="N116" s="7">
        <f t="shared" si="48"/>
        <v>43.633333338657394</v>
      </c>
      <c r="O116" s="7"/>
      <c r="P116" s="7"/>
      <c r="Q116" s="26"/>
      <c r="R116" s="26"/>
      <c r="S116" s="38">
        <f t="shared" si="51"/>
        <v>1</v>
      </c>
      <c r="T116" s="53" t="str">
        <f t="shared" si="52"/>
        <v>Southbound</v>
      </c>
      <c r="U116" s="13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16:22:44-0600',mode:absolute,to:'2016-08-14 19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16" s="55" t="str">
        <f t="shared" si="54"/>
        <v>N</v>
      </c>
      <c r="X116" s="129">
        <f t="shared" si="55"/>
        <v>1</v>
      </c>
      <c r="Y116" s="70">
        <f t="shared" si="56"/>
        <v>23.298100000000002</v>
      </c>
      <c r="Z116" s="70">
        <f t="shared" si="57"/>
        <v>1.9199999999999998E-2</v>
      </c>
      <c r="AA116" s="70">
        <f t="shared" si="58"/>
        <v>23.2789</v>
      </c>
      <c r="AB116" s="67" t="e">
        <f>VLOOKUP(A116,Enforcements!$C$7:$J$24,8,0)</f>
        <v>#N/A</v>
      </c>
      <c r="AC116" s="63" t="e">
        <f>VLOOKUP(A116,Enforcements!$C$7:$E$24,3,0)</f>
        <v>#N/A</v>
      </c>
      <c r="AD116" s="64" t="str">
        <f t="shared" si="59"/>
        <v>0204-14</v>
      </c>
      <c r="AE116" s="104" t="str">
        <f t="shared" si="60"/>
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</c>
      <c r="AF116" s="101" t="str">
        <f t="shared" si="61"/>
        <v>"C:\Program Files (x86)\AstroGrep\AstroGrep.exe" /spath="%USERPROFILE%\AppData\Local\Temp\OnboardLogs" /stypes="*4012*20160815*" /stext=" 00:.+((SYSTEM_STATE.+slice.+state.+changed )|(ment ac)|(system.+state.+changed )|(\|lc)|(penalty)|(\[timeout)|(PRM\|1\|D)|(kpr)|(kdp))" /e /r /s</v>
      </c>
      <c r="AG116" s="1" t="str">
        <f t="shared" si="62"/>
        <v>EC</v>
      </c>
      <c r="AH116" s="105" t="str">
        <f t="shared" si="47"/>
        <v>"%USERPROFILE%\Documents\GitHub\eaglep3\Utilities\RefineRTDCRunTimes.py" --tripid 204-14 --locoid 4012 --swversion DE.1.0.7.0 --startMP 204:232981 --initTime 2016-08-14T17:22:44 --startdatetime 2016-08-14T17:24:08 --delay 1 --endMP 204:192 --enddatetime 2016-08-14T18:07:46 --enforcementcount 0</v>
      </c>
    </row>
    <row r="117" spans="1:34" s="24" customFormat="1" x14ac:dyDescent="0.25">
      <c r="A117" s="40" t="s">
        <v>561</v>
      </c>
      <c r="B117" s="7">
        <v>4025</v>
      </c>
      <c r="C117" s="25" t="s">
        <v>120</v>
      </c>
      <c r="D117" s="25" t="s">
        <v>562</v>
      </c>
      <c r="E117" s="16">
        <v>42596.700173611112</v>
      </c>
      <c r="F117" s="16">
        <v>42596.701064814813</v>
      </c>
      <c r="G117" s="7">
        <v>1</v>
      </c>
      <c r="H117" s="16" t="s">
        <v>253</v>
      </c>
      <c r="I117" s="16">
        <v>42596.725578703707</v>
      </c>
      <c r="J117" s="7">
        <v>0</v>
      </c>
      <c r="K117" s="143" t="str">
        <f t="shared" si="49"/>
        <v>4025/4026</v>
      </c>
      <c r="L117" s="25" t="str">
        <f>VLOOKUP(A117,'Trips&amp;Operators'!$C$1:$E$10000,3,FALSE)</f>
        <v>BRUDER</v>
      </c>
      <c r="M117" s="6">
        <f t="shared" si="50"/>
        <v>2.4513888893125113E-2</v>
      </c>
      <c r="N117" s="7">
        <f t="shared" si="48"/>
        <v>35.300000006100163</v>
      </c>
      <c r="O117" s="7"/>
      <c r="P117" s="7"/>
      <c r="Q117" s="26"/>
      <c r="R117" s="26"/>
      <c r="S117" s="38">
        <f t="shared" si="51"/>
        <v>1</v>
      </c>
      <c r="T117" s="53" t="str">
        <f t="shared" si="52"/>
        <v>NorthBound</v>
      </c>
      <c r="U117" s="13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15:48:15-0600',mode:absolute,to:'2016-08-14 18:24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17" s="55" t="str">
        <f t="shared" si="54"/>
        <v>N</v>
      </c>
      <c r="X117" s="129">
        <f t="shared" si="55"/>
        <v>1</v>
      </c>
      <c r="Y117" s="70">
        <f t="shared" si="56"/>
        <v>4.4699999999999997E-2</v>
      </c>
      <c r="Z117" s="70">
        <f t="shared" si="57"/>
        <v>23.329499999999999</v>
      </c>
      <c r="AA117" s="70">
        <f t="shared" si="58"/>
        <v>23.284800000000001</v>
      </c>
      <c r="AB117" s="67" t="e">
        <f>VLOOKUP(A117,Enforcements!$C$7:$J$24,8,0)</f>
        <v>#N/A</v>
      </c>
      <c r="AC117" s="63" t="e">
        <f>VLOOKUP(A117,Enforcements!$C$7:$E$24,3,0)</f>
        <v>#N/A</v>
      </c>
      <c r="AD117" s="64" t="str">
        <f t="shared" si="59"/>
        <v>0205-14</v>
      </c>
      <c r="AE117" s="104" t="str">
        <f t="shared" si="60"/>
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</c>
      <c r="AF117" s="101" t="str">
        <f t="shared" si="61"/>
        <v>"C:\Program Files (x86)\AstroGrep\AstroGrep.exe" /spath="%USERPROFILE%\AppData\Local\Temp\OnboardLogs" /stypes="*4025*20160814*" /stext=" 23:.+((SYSTEM_STATE.+slice.+state.+changed )|(ment ac)|(system.+state.+changed )|(\|lc)|(penalty)|(\[timeout)|(PRM\|1\|D)|(kpr)|(kdp))" /e /r /s</v>
      </c>
      <c r="AG117" s="1" t="str">
        <f t="shared" si="62"/>
        <v>EC</v>
      </c>
      <c r="AH117" s="105" t="str">
        <f t="shared" si="47"/>
        <v>"%USERPROFILE%\Documents\GitHub\eaglep3\Utilities\RefineRTDCRunTimes.py" --tripid 205-14 --locoid 4025 --swversion DE.1.0.7.0 --startMP 204:447 --initTime 2016-08-14T16:48:15 --startdatetime 2016-08-14T16:49:32 --delay 1 --endMP 204:233295 --enddatetime 2016-08-14T17:24:50 --enforcementcount 0</v>
      </c>
    </row>
    <row r="118" spans="1:34" x14ac:dyDescent="0.25">
      <c r="A118" s="40" t="s">
        <v>563</v>
      </c>
      <c r="B118" s="7">
        <v>4026</v>
      </c>
      <c r="C118" s="25" t="s">
        <v>120</v>
      </c>
      <c r="D118" s="25" t="s">
        <v>354</v>
      </c>
      <c r="E118" s="16">
        <v>42596.730879629627</v>
      </c>
      <c r="F118" s="16">
        <v>42596.731828703705</v>
      </c>
      <c r="G118" s="7">
        <v>1</v>
      </c>
      <c r="H118" s="16" t="s">
        <v>264</v>
      </c>
      <c r="I118" s="16">
        <v>42596.763541666667</v>
      </c>
      <c r="J118" s="7">
        <v>0</v>
      </c>
      <c r="K118" s="143" t="str">
        <f t="shared" si="49"/>
        <v>4025/4026</v>
      </c>
      <c r="L118" s="25" t="str">
        <f>VLOOKUP(A118,'Trips&amp;Operators'!$C$1:$E$10000,3,FALSE)</f>
        <v>BRUDER</v>
      </c>
      <c r="M118" s="6">
        <f t="shared" si="50"/>
        <v>3.1712962962046731E-2</v>
      </c>
      <c r="N118" s="7">
        <f t="shared" si="48"/>
        <v>45.666666665347293</v>
      </c>
      <c r="O118" s="7"/>
      <c r="P118" s="7"/>
      <c r="Q118" s="26"/>
      <c r="R118" s="26"/>
      <c r="S118" s="38">
        <f t="shared" si="51"/>
        <v>1</v>
      </c>
      <c r="T118" s="53" t="str">
        <f t="shared" si="52"/>
        <v>Southbound</v>
      </c>
      <c r="U118" s="13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16:32:28-0600',mode:absolute,to:'2016-08-14 19:19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18" s="55" t="str">
        <f t="shared" si="54"/>
        <v>N</v>
      </c>
      <c r="X118" s="129">
        <f t="shared" si="55"/>
        <v>1</v>
      </c>
      <c r="Y118" s="70">
        <f t="shared" si="56"/>
        <v>23.2971</v>
      </c>
      <c r="Z118" s="70">
        <f t="shared" si="57"/>
        <v>1.52E-2</v>
      </c>
      <c r="AA118" s="70">
        <f t="shared" si="58"/>
        <v>23.2819</v>
      </c>
      <c r="AB118" s="67" t="e">
        <f>VLOOKUP(A118,Enforcements!$C$7:$J$24,8,0)</f>
        <v>#N/A</v>
      </c>
      <c r="AC118" s="63" t="e">
        <f>VLOOKUP(A118,Enforcements!$C$7:$E$24,3,0)</f>
        <v>#N/A</v>
      </c>
      <c r="AD118" s="64" t="str">
        <f t="shared" si="59"/>
        <v>0206-14</v>
      </c>
      <c r="AE118" s="104" t="str">
        <f t="shared" si="60"/>
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</c>
      <c r="AF118" s="101" t="str">
        <f t="shared" si="61"/>
        <v>"C:\Program Files (x86)\AstroGrep\AstroGrep.exe" /spath="%USERPROFILE%\AppData\Local\Temp\OnboardLogs" /stypes="*4026*20160815*" /stext=" 00:.+((SYSTEM_STATE.+slice.+state.+changed )|(ment ac)|(system.+state.+changed )|(\|lc)|(penalty)|(\[timeout)|(PRM\|1\|D)|(kpr)|(kdp))" /e /r /s</v>
      </c>
      <c r="AG118" s="1" t="str">
        <f t="shared" si="62"/>
        <v>EC</v>
      </c>
      <c r="AH118" s="105" t="str">
        <f t="shared" si="47"/>
        <v>"%USERPROFILE%\Documents\GitHub\eaglep3\Utilities\RefineRTDCRunTimes.py" --tripid 206-14 --locoid 4026 --swversion DE.1.0.7.0 --startMP 204:232971 --initTime 2016-08-14T17:32:28 --startdatetime 2016-08-14T17:33:50 --delay 1 --endMP 204:152 --enddatetime 2016-08-14T18:19:30 --enforcementcount 0</v>
      </c>
    </row>
    <row r="119" spans="1:34" x14ac:dyDescent="0.25">
      <c r="A119" s="40" t="s">
        <v>564</v>
      </c>
      <c r="B119" s="7">
        <v>4027</v>
      </c>
      <c r="C119" s="25" t="s">
        <v>120</v>
      </c>
      <c r="D119" s="25" t="s">
        <v>147</v>
      </c>
      <c r="E119" s="16">
        <v>42596.707916666666</v>
      </c>
      <c r="F119" s="16">
        <v>42596.708912037036</v>
      </c>
      <c r="G119" s="7">
        <v>1</v>
      </c>
      <c r="H119" s="16" t="s">
        <v>168</v>
      </c>
      <c r="I119" s="16">
        <v>42596.735752314817</v>
      </c>
      <c r="J119" s="7">
        <v>0</v>
      </c>
      <c r="K119" s="143" t="str">
        <f t="shared" si="49"/>
        <v>4027/4028</v>
      </c>
      <c r="L119" s="25" t="str">
        <f>VLOOKUP(A119,'Trips&amp;Operators'!$C$1:$E$10000,3,FALSE)</f>
        <v>MOSES</v>
      </c>
      <c r="M119" s="6">
        <f t="shared" si="50"/>
        <v>2.6840277780138422E-2</v>
      </c>
      <c r="N119" s="7">
        <f t="shared" si="48"/>
        <v>38.650000003399327</v>
      </c>
      <c r="O119" s="7"/>
      <c r="P119" s="7"/>
      <c r="Q119" s="26"/>
      <c r="R119" s="26"/>
      <c r="S119" s="38">
        <f t="shared" si="51"/>
        <v>1</v>
      </c>
      <c r="T119" s="53" t="str">
        <f t="shared" si="52"/>
        <v>NorthBound</v>
      </c>
      <c r="U119" s="13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15:59:24-0600',mode:absolute,to:'2016-08-14 18:39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19" s="55" t="str">
        <f t="shared" si="54"/>
        <v>N</v>
      </c>
      <c r="X119" s="129">
        <f t="shared" si="55"/>
        <v>1</v>
      </c>
      <c r="Y119" s="70">
        <f t="shared" si="56"/>
        <v>4.4900000000000002E-2</v>
      </c>
      <c r="Z119" s="70">
        <f t="shared" si="57"/>
        <v>23.331900000000001</v>
      </c>
      <c r="AA119" s="70">
        <f t="shared" si="58"/>
        <v>23.287000000000003</v>
      </c>
      <c r="AB119" s="67" t="e">
        <f>VLOOKUP(A119,Enforcements!$C$7:$J$24,8,0)</f>
        <v>#N/A</v>
      </c>
      <c r="AC119" s="63" t="e">
        <f>VLOOKUP(A119,Enforcements!$C$7:$E$24,3,0)</f>
        <v>#N/A</v>
      </c>
      <c r="AD119" s="64" t="str">
        <f t="shared" si="59"/>
        <v>0207-14</v>
      </c>
      <c r="AE119" s="104" t="str">
        <f t="shared" si="60"/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AF119" s="101" t="str">
        <f t="shared" si="61"/>
        <v>"C:\Program Files (x86)\AstroGrep\AstroGrep.exe" /spath="%USERPROFILE%\AppData\Local\Temp\OnboardLogs" /stypes="*4027*20160814*" /stext=" 23:.+((SYSTEM_STATE.+slice.+state.+changed )|(ment ac)|(system.+state.+changed )|(\|lc)|(penalty)|(\[timeout)|(PRM\|1\|D)|(kpr)|(kdp))" /e /r /s</v>
      </c>
      <c r="AG119" s="1" t="str">
        <f t="shared" si="62"/>
        <v>EC</v>
      </c>
      <c r="AH119" s="105" t="str">
        <f t="shared" si="47"/>
        <v>"%USERPROFILE%\Documents\GitHub\eaglep3\Utilities\RefineRTDCRunTimes.py" --tripid 207-14 --locoid 4027 --swversion DE.1.0.7.0 --startMP 204:449 --initTime 2016-08-14T16:59:24 --startdatetime 2016-08-14T17:00:50 --delay 1 --endMP 204:233319 --enddatetime 2016-08-14T17:39:29 --enforcementcount 0</v>
      </c>
    </row>
    <row r="120" spans="1:34" x14ac:dyDescent="0.25">
      <c r="A120" s="40" t="s">
        <v>565</v>
      </c>
      <c r="B120" s="7">
        <v>4028</v>
      </c>
      <c r="C120" s="25" t="s">
        <v>120</v>
      </c>
      <c r="D120" s="25" t="s">
        <v>379</v>
      </c>
      <c r="E120" s="16">
        <v>42596.743495370371</v>
      </c>
      <c r="F120" s="16">
        <v>42596.74459490741</v>
      </c>
      <c r="G120" s="7">
        <v>1</v>
      </c>
      <c r="H120" s="16" t="s">
        <v>566</v>
      </c>
      <c r="I120" s="16">
        <v>42596.775370370371</v>
      </c>
      <c r="J120" s="7">
        <v>0</v>
      </c>
      <c r="K120" s="143" t="str">
        <f t="shared" si="49"/>
        <v>4027/4028</v>
      </c>
      <c r="L120" s="25" t="str">
        <f>VLOOKUP(A120,'Trips&amp;Operators'!$C$1:$E$10000,3,FALSE)</f>
        <v>MOSES</v>
      </c>
      <c r="M120" s="6">
        <f t="shared" si="50"/>
        <v>3.0775462961173616E-2</v>
      </c>
      <c r="N120" s="7">
        <f t="shared" si="48"/>
        <v>44.316666664090008</v>
      </c>
      <c r="O120" s="7"/>
      <c r="P120" s="7"/>
      <c r="Q120" s="26"/>
      <c r="R120" s="26"/>
      <c r="S120" s="38">
        <f t="shared" si="51"/>
        <v>1</v>
      </c>
      <c r="T120" s="53" t="str">
        <f t="shared" si="52"/>
        <v>Southbound</v>
      </c>
      <c r="U120" s="13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16:50:38-0600',mode:absolute,to:'2016-08-14 19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20" s="55" t="str">
        <f t="shared" si="54"/>
        <v>N</v>
      </c>
      <c r="X120" s="129">
        <f t="shared" si="55"/>
        <v>1</v>
      </c>
      <c r="Y120" s="70">
        <f t="shared" si="56"/>
        <v>23.2989</v>
      </c>
      <c r="Z120" s="70">
        <f t="shared" si="57"/>
        <v>2.2700000000000001E-2</v>
      </c>
      <c r="AA120" s="70">
        <f t="shared" si="58"/>
        <v>23.276199999999999</v>
      </c>
      <c r="AB120" s="67" t="e">
        <f>VLOOKUP(A120,Enforcements!$C$7:$J$24,8,0)</f>
        <v>#N/A</v>
      </c>
      <c r="AC120" s="63" t="e">
        <f>VLOOKUP(A120,Enforcements!$C$7:$E$24,3,0)</f>
        <v>#N/A</v>
      </c>
      <c r="AD120" s="64" t="str">
        <f t="shared" si="59"/>
        <v>0208-14</v>
      </c>
      <c r="AE120" s="104" t="str">
        <f t="shared" si="60"/>
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</c>
      <c r="AF120" s="101" t="str">
        <f t="shared" si="61"/>
        <v>"C:\Program Files (x86)\AstroGrep\AstroGrep.exe" /spath="%USERPROFILE%\AppData\Local\Temp\OnboardLogs" /stypes="*4028*20160815*" /stext=" 00:.+((SYSTEM_STATE.+slice.+state.+changed )|(ment ac)|(system.+state.+changed )|(\|lc)|(penalty)|(\[timeout)|(PRM\|1\|D)|(kpr)|(kdp))" /e /r /s</v>
      </c>
      <c r="AG120" s="1" t="str">
        <f t="shared" si="62"/>
        <v>EC</v>
      </c>
      <c r="AH120" s="105" t="str">
        <f t="shared" si="47"/>
        <v>"%USERPROFILE%\Documents\GitHub\eaglep3\Utilities\RefineRTDCRunTimes.py" --tripid 208-14 --locoid 4028 --swversion DE.1.0.7.0 --startMP 204:232989 --initTime 2016-08-14T17:50:38 --startdatetime 2016-08-14T17:52:13 --delay 1 --endMP 204:227 --enddatetime 2016-08-14T18:36:32 --enforcementcount 0</v>
      </c>
    </row>
    <row r="121" spans="1:34" x14ac:dyDescent="0.25">
      <c r="A121" s="40" t="s">
        <v>567</v>
      </c>
      <c r="B121" s="7">
        <v>4038</v>
      </c>
      <c r="C121" s="25" t="s">
        <v>120</v>
      </c>
      <c r="D121" s="25" t="s">
        <v>568</v>
      </c>
      <c r="E121" s="16">
        <v>42596.715983796297</v>
      </c>
      <c r="F121" s="16">
        <v>42596.717233796298</v>
      </c>
      <c r="G121" s="7">
        <v>1</v>
      </c>
      <c r="H121" s="16" t="s">
        <v>420</v>
      </c>
      <c r="I121" s="16">
        <v>42596.743807870371</v>
      </c>
      <c r="J121" s="7">
        <v>0</v>
      </c>
      <c r="K121" s="143" t="str">
        <f t="shared" si="49"/>
        <v>4037/4038</v>
      </c>
      <c r="L121" s="25" t="str">
        <f>VLOOKUP(A121,'Trips&amp;Operators'!$C$1:$E$10000,3,FALSE)</f>
        <v>STORY</v>
      </c>
      <c r="M121" s="6">
        <f t="shared" si="50"/>
        <v>2.6574074072414078E-2</v>
      </c>
      <c r="N121" s="7">
        <f t="shared" ref="N121:N151" si="63">24*60*SUM($M121:$M121)</f>
        <v>38.266666664276272</v>
      </c>
      <c r="O121" s="7"/>
      <c r="P121" s="7"/>
      <c r="Q121" s="26"/>
      <c r="R121" s="26"/>
      <c r="S121" s="38">
        <f t="shared" si="51"/>
        <v>1</v>
      </c>
      <c r="T121" s="53" t="str">
        <f t="shared" si="52"/>
        <v>NorthBound</v>
      </c>
      <c r="U121" s="13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16:11:01-0600',mode:absolute,to:'2016-08-14 18:51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21" s="55" t="str">
        <f t="shared" si="54"/>
        <v>N</v>
      </c>
      <c r="X121" s="129">
        <f t="shared" si="55"/>
        <v>1</v>
      </c>
      <c r="Y121" s="70">
        <f t="shared" si="56"/>
        <v>5.4399999999999997E-2</v>
      </c>
      <c r="Z121" s="70">
        <f t="shared" si="57"/>
        <v>23.3368</v>
      </c>
      <c r="AA121" s="70">
        <f t="shared" si="58"/>
        <v>23.282399999999999</v>
      </c>
      <c r="AB121" s="67" t="e">
        <f>VLOOKUP(A121,Enforcements!$C$7:$J$24,8,0)</f>
        <v>#N/A</v>
      </c>
      <c r="AC121" s="63" t="e">
        <f>VLOOKUP(A121,Enforcements!$C$7:$E$24,3,0)</f>
        <v>#N/A</v>
      </c>
      <c r="AD121" s="64" t="str">
        <f t="shared" si="59"/>
        <v>0209-14</v>
      </c>
      <c r="AE121" s="104" t="str">
        <f t="shared" si="60"/>
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</c>
      <c r="AF121" s="101" t="str">
        <f t="shared" si="61"/>
        <v>"C:\Program Files (x86)\AstroGrep\AstroGrep.exe" /spath="%USERPROFILE%\AppData\Local\Temp\OnboardLogs" /stypes="*4038*20160814*" /stext=" 23:.+((SYSTEM_STATE.+slice.+state.+changed )|(ment ac)|(system.+state.+changed )|(\|lc)|(penalty)|(\[timeout)|(PRM\|1\|D)|(kpr)|(kdp))" /e /r /s</v>
      </c>
      <c r="AG121" s="1" t="str">
        <f t="shared" si="62"/>
        <v>EC</v>
      </c>
      <c r="AH121" s="105" t="str">
        <f t="shared" si="47"/>
        <v>"%USERPROFILE%\Documents\GitHub\eaglep3\Utilities\RefineRTDCRunTimes.py" --tripid 209-14 --locoid 4038 --swversion DE.1.0.7.0 --startMP 204:544 --initTime 2016-08-14T17:11:01 --startdatetime 2016-08-14T17:12:49 --delay 1 --endMP 204:233368 --enddatetime 2016-08-14T17:51:05 --enforcementcount 0</v>
      </c>
    </row>
    <row r="122" spans="1:34" x14ac:dyDescent="0.25">
      <c r="A122" s="40" t="s">
        <v>569</v>
      </c>
      <c r="B122" s="7">
        <v>4037</v>
      </c>
      <c r="C122" s="25" t="s">
        <v>120</v>
      </c>
      <c r="D122" s="25" t="s">
        <v>570</v>
      </c>
      <c r="E122" s="16">
        <v>42596.750034722223</v>
      </c>
      <c r="F122" s="16">
        <v>42596.751608796294</v>
      </c>
      <c r="G122" s="7">
        <v>2</v>
      </c>
      <c r="H122" s="16" t="s">
        <v>264</v>
      </c>
      <c r="I122" s="16">
        <v>42596.786273148151</v>
      </c>
      <c r="J122" s="7">
        <v>0</v>
      </c>
      <c r="K122" s="143" t="str">
        <f t="shared" si="49"/>
        <v>4037/4038</v>
      </c>
      <c r="L122" s="25" t="str">
        <f>VLOOKUP(A122,'Trips&amp;Operators'!$C$1:$E$10000,3,FALSE)</f>
        <v>STORY</v>
      </c>
      <c r="M122" s="6">
        <f t="shared" si="50"/>
        <v>3.4664351856918074E-2</v>
      </c>
      <c r="N122" s="7">
        <f t="shared" si="63"/>
        <v>49.916666673962027</v>
      </c>
      <c r="O122" s="7"/>
      <c r="P122" s="7"/>
      <c r="Q122" s="26"/>
      <c r="R122" s="26"/>
      <c r="S122" s="38">
        <f t="shared" si="51"/>
        <v>1</v>
      </c>
      <c r="T122" s="53" t="str">
        <f t="shared" si="52"/>
        <v>Southbound</v>
      </c>
      <c r="U122" s="13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17:00:03-0600',mode:absolute,to:'2016-08-14 19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22" s="55" t="str">
        <f t="shared" si="54"/>
        <v>N</v>
      </c>
      <c r="X122" s="129">
        <f t="shared" si="55"/>
        <v>1</v>
      </c>
      <c r="Y122" s="70">
        <f t="shared" si="56"/>
        <v>23.305299999999999</v>
      </c>
      <c r="Z122" s="70">
        <f t="shared" si="57"/>
        <v>1.52E-2</v>
      </c>
      <c r="AA122" s="70">
        <f t="shared" si="58"/>
        <v>23.290099999999999</v>
      </c>
      <c r="AB122" s="67">
        <f>VLOOKUP(A122,Enforcements!$C$7:$J$24,8,0)</f>
        <v>75579</v>
      </c>
      <c r="AC122" s="63" t="str">
        <f>VLOOKUP(A122,Enforcements!$C$7:$E$24,3,0)</f>
        <v>SIGNAL</v>
      </c>
      <c r="AD122" s="64" t="str">
        <f t="shared" si="59"/>
        <v>0210-14</v>
      </c>
      <c r="AE122" s="104" t="str">
        <f t="shared" si="60"/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AF122" s="101" t="str">
        <f t="shared" si="61"/>
        <v>"C:\Program Files (x86)\AstroGrep\AstroGrep.exe" /spath="%USERPROFILE%\AppData\Local\Temp\OnboardLogs" /stypes="*4037*20160815*" /stext=" 00:.+((SYSTEM_STATE.+slice.+state.+changed )|(ment ac)|(system.+state.+changed )|(\|lc)|(penalty)|(\[timeout)|(PRM\|1\|D)|(kpr)|(kdp))" /e /r /s</v>
      </c>
      <c r="AG122" s="1" t="str">
        <f t="shared" si="62"/>
        <v>EC</v>
      </c>
      <c r="AH122" s="105" t="str">
        <f t="shared" si="47"/>
        <v>"%USERPROFILE%\Documents\GitHub\eaglep3\Utilities\RefineRTDCRunTimes.py" --tripid 210-14 --locoid 4037 --swversion DE.1.0.7.0 --startMP 204:233053 --initTime 2016-08-14T18:00:03 --startdatetime 2016-08-14T18:02:19 --delay 2 --endMP 204:152 --enddatetime 2016-08-14T18:52:14 --enforcementcount 0</v>
      </c>
    </row>
    <row r="123" spans="1:34" s="24" customFormat="1" x14ac:dyDescent="0.25">
      <c r="A123" s="40" t="s">
        <v>571</v>
      </c>
      <c r="B123" s="7">
        <v>4014</v>
      </c>
      <c r="C123" s="25" t="s">
        <v>120</v>
      </c>
      <c r="D123" s="25" t="s">
        <v>572</v>
      </c>
      <c r="E123" s="16">
        <v>42596.728020833332</v>
      </c>
      <c r="F123" s="16">
        <v>42596.729988425926</v>
      </c>
      <c r="G123" s="7">
        <v>2</v>
      </c>
      <c r="H123" s="16" t="s">
        <v>573</v>
      </c>
      <c r="I123" s="16">
        <v>42596.756238425929</v>
      </c>
      <c r="J123" s="7">
        <v>0</v>
      </c>
      <c r="K123" s="143" t="str">
        <f t="shared" si="49"/>
        <v>4013/4014</v>
      </c>
      <c r="L123" s="25" t="str">
        <f>VLOOKUP(A123,'Trips&amp;Operators'!$C$1:$E$10000,3,FALSE)</f>
        <v>YOUNG</v>
      </c>
      <c r="M123" s="6">
        <f t="shared" si="50"/>
        <v>2.6250000002619345E-2</v>
      </c>
      <c r="N123" s="7">
        <f t="shared" si="63"/>
        <v>37.800000003771856</v>
      </c>
      <c r="O123" s="7"/>
      <c r="P123" s="7"/>
      <c r="Q123" s="26"/>
      <c r="R123" s="26"/>
      <c r="S123" s="38">
        <f t="shared" si="51"/>
        <v>1</v>
      </c>
      <c r="T123" s="53" t="str">
        <f t="shared" si="52"/>
        <v>NorthBound</v>
      </c>
      <c r="U123" s="13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16:28:21-0600',mode:absolute,to:'2016-08-14 19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23" s="55" t="str">
        <f t="shared" si="54"/>
        <v>N</v>
      </c>
      <c r="X123" s="129">
        <f t="shared" si="55"/>
        <v>1</v>
      </c>
      <c r="Y123" s="70">
        <f t="shared" si="56"/>
        <v>0.1739</v>
      </c>
      <c r="Z123" s="70">
        <f t="shared" si="57"/>
        <v>23.333600000000001</v>
      </c>
      <c r="AA123" s="70">
        <f t="shared" si="58"/>
        <v>23.159700000000001</v>
      </c>
      <c r="AB123" s="67" t="e">
        <f>VLOOKUP(A123,Enforcements!$C$7:$J$24,8,0)</f>
        <v>#N/A</v>
      </c>
      <c r="AC123" s="63" t="e">
        <f>VLOOKUP(A123,Enforcements!$C$7:$E$24,3,0)</f>
        <v>#N/A</v>
      </c>
      <c r="AD123" s="64" t="str">
        <f t="shared" si="59"/>
        <v>0211-14</v>
      </c>
      <c r="AE123" s="104" t="str">
        <f t="shared" si="60"/>
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</c>
      <c r="AF123" s="101" t="str">
        <f t="shared" si="61"/>
        <v>"C:\Program Files (x86)\AstroGrep\AstroGrep.exe" /spath="%USERPROFILE%\AppData\Local\Temp\OnboardLogs" /stypes="*4014*20160815*" /stext=" 00:.+((SYSTEM_STATE.+slice.+state.+changed )|(ment ac)|(system.+state.+changed )|(\|lc)|(penalty)|(\[timeout)|(PRM\|1\|D)|(kpr)|(kdp))" /e /r /s</v>
      </c>
      <c r="AG123" s="1" t="str">
        <f t="shared" si="62"/>
        <v>EC</v>
      </c>
      <c r="AH123" s="105" t="str">
        <f t="shared" si="47"/>
        <v>"%USERPROFILE%\Documents\GitHub\eaglep3\Utilities\RefineRTDCRunTimes.py" --tripid 211-14 --locoid 4014 --swversion DE.1.0.7.0 --startMP 204:1739 --initTime 2016-08-14T17:28:21 --startdatetime 2016-08-14T17:31:11 --delay 2 --endMP 204:233336 --enddatetime 2016-08-14T18:08:59 --enforcementcount 0</v>
      </c>
    </row>
    <row r="124" spans="1:34" x14ac:dyDescent="0.25">
      <c r="A124" s="40" t="s">
        <v>574</v>
      </c>
      <c r="B124" s="7">
        <v>4013</v>
      </c>
      <c r="C124" s="25" t="s">
        <v>120</v>
      </c>
      <c r="D124" s="25" t="s">
        <v>208</v>
      </c>
      <c r="E124" s="16">
        <v>42596.758252314816</v>
      </c>
      <c r="F124" s="16">
        <v>42596.759305555555</v>
      </c>
      <c r="G124" s="7">
        <v>1</v>
      </c>
      <c r="H124" s="16" t="s">
        <v>575</v>
      </c>
      <c r="I124" s="16">
        <v>42596.796932870369</v>
      </c>
      <c r="J124" s="7">
        <v>0</v>
      </c>
      <c r="K124" s="143" t="str">
        <f t="shared" si="49"/>
        <v>4013/4014</v>
      </c>
      <c r="L124" s="25" t="str">
        <f>VLOOKUP(A124,'Trips&amp;Operators'!$C$1:$E$10000,3,FALSE)</f>
        <v>YOUNG</v>
      </c>
      <c r="M124" s="6">
        <f t="shared" si="50"/>
        <v>3.7627314814017154E-2</v>
      </c>
      <c r="N124" s="7">
        <f t="shared" si="63"/>
        <v>54.183333332184702</v>
      </c>
      <c r="O124" s="7"/>
      <c r="P124" s="7"/>
      <c r="Q124" s="26"/>
      <c r="R124" s="26"/>
      <c r="S124" s="38">
        <f t="shared" si="51"/>
        <v>1</v>
      </c>
      <c r="T124" s="53" t="str">
        <f t="shared" si="52"/>
        <v>Southbound</v>
      </c>
      <c r="U124" s="13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17:11:53-0600',mode:absolute,to:'2016-08-14 20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24" s="55" t="str">
        <f t="shared" si="54"/>
        <v>N</v>
      </c>
      <c r="X124" s="129">
        <f t="shared" si="55"/>
        <v>1</v>
      </c>
      <c r="Y124" s="70">
        <f t="shared" si="56"/>
        <v>23.301500000000001</v>
      </c>
      <c r="Z124" s="70">
        <f t="shared" si="57"/>
        <v>1.2999999999999999E-2</v>
      </c>
      <c r="AA124" s="70">
        <f t="shared" si="58"/>
        <v>23.288499999999999</v>
      </c>
      <c r="AB124" s="67" t="e">
        <f>VLOOKUP(A124,Enforcements!$C$7:$J$24,8,0)</f>
        <v>#N/A</v>
      </c>
      <c r="AC124" s="63" t="e">
        <f>VLOOKUP(A124,Enforcements!$C$7:$E$24,3,0)</f>
        <v>#N/A</v>
      </c>
      <c r="AD124" s="64" t="str">
        <f t="shared" si="59"/>
        <v>0212-14</v>
      </c>
      <c r="AE124" s="104" t="str">
        <f t="shared" si="60"/>
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</c>
      <c r="AF124" s="101" t="str">
        <f t="shared" si="61"/>
        <v>"C:\Program Files (x86)\AstroGrep\AstroGrep.exe" /spath="%USERPROFILE%\AppData\Local\Temp\OnboardLogs" /stypes="*4013*20160815*" /stext=" 01:.+((SYSTEM_STATE.+slice.+state.+changed )|(ment ac)|(system.+state.+changed )|(\|lc)|(penalty)|(\[timeout)|(PRM\|1\|D)|(kpr)|(kdp))" /e /r /s</v>
      </c>
      <c r="AG124" s="1" t="str">
        <f t="shared" si="62"/>
        <v>EC</v>
      </c>
      <c r="AH124" s="105" t="str">
        <f t="shared" si="47"/>
        <v>"%USERPROFILE%\Documents\GitHub\eaglep3\Utilities\RefineRTDCRunTimes.py" --tripid 212-14 --locoid 4013 --swversion DE.1.0.7.0 --startMP 204:233015 --initTime 2016-08-14T18:11:53 --startdatetime 2016-08-14T18:13:24 --delay 1 --endMP 204:130 --enddatetime 2016-08-14T19:07:35 --enforcementcount 0</v>
      </c>
    </row>
    <row r="125" spans="1:34" x14ac:dyDescent="0.25">
      <c r="A125" s="40" t="s">
        <v>576</v>
      </c>
      <c r="B125" s="7">
        <v>4029</v>
      </c>
      <c r="C125" s="25" t="s">
        <v>120</v>
      </c>
      <c r="D125" s="25" t="s">
        <v>144</v>
      </c>
      <c r="E125" s="16">
        <v>42596.736030092594</v>
      </c>
      <c r="F125" s="16">
        <v>42596.740266203706</v>
      </c>
      <c r="G125" s="7">
        <v>6</v>
      </c>
      <c r="H125" s="16" t="s">
        <v>577</v>
      </c>
      <c r="I125" s="16">
        <v>42596.764884259261</v>
      </c>
      <c r="J125" s="7">
        <v>0</v>
      </c>
      <c r="K125" s="143" t="str">
        <f t="shared" si="49"/>
        <v>4029/4030</v>
      </c>
      <c r="L125" s="25" t="str">
        <f>VLOOKUP(A125,'Trips&amp;Operators'!$C$1:$E$10000,3,FALSE)</f>
        <v>COOLAHAN</v>
      </c>
      <c r="M125" s="6">
        <f t="shared" si="50"/>
        <v>2.4618055555038154E-2</v>
      </c>
      <c r="N125" s="7">
        <f t="shared" si="63"/>
        <v>35.449999999254942</v>
      </c>
      <c r="O125" s="7"/>
      <c r="P125" s="7"/>
      <c r="Q125" s="26"/>
      <c r="R125" s="26"/>
      <c r="S125" s="38">
        <f t="shared" si="51"/>
        <v>1</v>
      </c>
      <c r="T125" s="53" t="str">
        <f t="shared" si="52"/>
        <v>NorthBound</v>
      </c>
      <c r="U125" s="13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16:39:53-0600',mode:absolute,to:'2016-08-14 19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25" s="55" t="str">
        <f t="shared" si="54"/>
        <v>N</v>
      </c>
      <c r="X125" s="129">
        <f t="shared" si="55"/>
        <v>1</v>
      </c>
      <c r="Y125" s="70">
        <f t="shared" si="56"/>
        <v>4.53E-2</v>
      </c>
      <c r="Z125" s="70">
        <f t="shared" si="57"/>
        <v>23.331099999999999</v>
      </c>
      <c r="AA125" s="70">
        <f t="shared" si="58"/>
        <v>23.285799999999998</v>
      </c>
      <c r="AB125" s="67" t="e">
        <f>VLOOKUP(A125,Enforcements!$C$7:$J$24,8,0)</f>
        <v>#N/A</v>
      </c>
      <c r="AC125" s="63" t="e">
        <f>VLOOKUP(A125,Enforcements!$C$7:$E$24,3,0)</f>
        <v>#N/A</v>
      </c>
      <c r="AD125" s="64" t="str">
        <f t="shared" si="59"/>
        <v>0213-14</v>
      </c>
      <c r="AE125" s="104" t="str">
        <f t="shared" si="60"/>
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</c>
      <c r="AF125" s="101" t="str">
        <f t="shared" si="61"/>
        <v>"C:\Program Files (x86)\AstroGrep\AstroGrep.exe" /spath="%USERPROFILE%\AppData\Local\Temp\OnboardLogs" /stypes="*4029*20160815*" /stext=" 00:.+((SYSTEM_STATE.+slice.+state.+changed )|(ment ac)|(system.+state.+changed )|(\|lc)|(penalty)|(\[timeout)|(PRM\|1\|D)|(kpr)|(kdp))" /e /r /s</v>
      </c>
      <c r="AG125" s="1" t="str">
        <f t="shared" si="62"/>
        <v>EC</v>
      </c>
      <c r="AH125" s="105" t="str">
        <f t="shared" si="47"/>
        <v>"%USERPROFILE%\Documents\GitHub\eaglep3\Utilities\RefineRTDCRunTimes.py" --tripid 213-14 --locoid 4029 --swversion DE.1.0.7.0 --startMP 204:453 --initTime 2016-08-14T17:39:53 --startdatetime 2016-08-14T17:45:59 --delay 6 --endMP 204:233311 --enddatetime 2016-08-14T18:21:26 --enforcementcount 0</v>
      </c>
    </row>
    <row r="126" spans="1:34" x14ac:dyDescent="0.25">
      <c r="A126" s="40" t="s">
        <v>578</v>
      </c>
      <c r="B126" s="7">
        <v>4030</v>
      </c>
      <c r="C126" s="25" t="s">
        <v>120</v>
      </c>
      <c r="D126" s="25" t="s">
        <v>579</v>
      </c>
      <c r="E126" s="16">
        <v>42596.773275462961</v>
      </c>
      <c r="F126" s="16">
        <v>42596.777511574073</v>
      </c>
      <c r="G126" s="7">
        <v>6</v>
      </c>
      <c r="H126" s="16" t="s">
        <v>580</v>
      </c>
      <c r="I126" s="16">
        <v>42596.805069444446</v>
      </c>
      <c r="J126" s="7">
        <v>0</v>
      </c>
      <c r="K126" s="143" t="str">
        <f t="shared" si="49"/>
        <v>4029/4030</v>
      </c>
      <c r="L126" s="25" t="str">
        <f>VLOOKUP(A126,'Trips&amp;Operators'!$C$1:$E$10000,3,FALSE)</f>
        <v>COOLAHAN</v>
      </c>
      <c r="M126" s="6">
        <f t="shared" si="50"/>
        <v>2.7557870373129845E-2</v>
      </c>
      <c r="N126" s="7">
        <f t="shared" si="63"/>
        <v>39.683333337306976</v>
      </c>
      <c r="O126" s="7"/>
      <c r="P126" s="7"/>
      <c r="Q126" s="26"/>
      <c r="R126" s="26"/>
      <c r="S126" s="38">
        <f t="shared" si="51"/>
        <v>1</v>
      </c>
      <c r="T126" s="53" t="str">
        <f t="shared" si="52"/>
        <v>Southbound</v>
      </c>
      <c r="U126" s="13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17:33:31-0600',mode:absolute,to:'2016-08-14 20:19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26" s="55" t="str">
        <f t="shared" si="54"/>
        <v>N</v>
      </c>
      <c r="X126" s="129">
        <f t="shared" si="55"/>
        <v>1</v>
      </c>
      <c r="Y126" s="70">
        <f t="shared" si="56"/>
        <v>23.298999999999999</v>
      </c>
      <c r="Z126" s="70">
        <f t="shared" si="57"/>
        <v>1.8100000000000002E-2</v>
      </c>
      <c r="AA126" s="70">
        <f t="shared" si="58"/>
        <v>23.280899999999999</v>
      </c>
      <c r="AB126" s="67" t="e">
        <f>VLOOKUP(A126,Enforcements!$C$7:$J$24,8,0)</f>
        <v>#N/A</v>
      </c>
      <c r="AC126" s="63" t="e">
        <f>VLOOKUP(A126,Enforcements!$C$7:$E$24,3,0)</f>
        <v>#N/A</v>
      </c>
      <c r="AD126" s="64" t="str">
        <f t="shared" si="59"/>
        <v>0214-14</v>
      </c>
      <c r="AE126" s="104" t="str">
        <f t="shared" si="60"/>
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</c>
      <c r="AF126" s="101" t="str">
        <f t="shared" si="61"/>
        <v>"C:\Program Files (x86)\AstroGrep\AstroGrep.exe" /spath="%USERPROFILE%\AppData\Local\Temp\OnboardLogs" /stypes="*4030*20160815*" /stext=" 01:.+((SYSTEM_STATE.+slice.+state.+changed )|(ment ac)|(system.+state.+changed )|(\|lc)|(penalty)|(\[timeout)|(PRM\|1\|D)|(kpr)|(kdp))" /e /r /s</v>
      </c>
      <c r="AG126" s="1" t="str">
        <f t="shared" si="62"/>
        <v>EC</v>
      </c>
      <c r="AH126" s="105" t="str">
        <f t="shared" si="47"/>
        <v>"%USERPROFILE%\Documents\GitHub\eaglep3\Utilities\RefineRTDCRunTimes.py" --tripid 214-14 --locoid 4030 --swversion DE.1.0.7.0 --startMP 204:232990 --initTime 2016-08-14T18:33:31 --startdatetime 2016-08-14T18:39:37 --delay 6 --endMP 204:181 --enddatetime 2016-08-14T19:19:18 --enforcementcount 0</v>
      </c>
    </row>
    <row r="127" spans="1:34" x14ac:dyDescent="0.25">
      <c r="A127" s="40" t="s">
        <v>581</v>
      </c>
      <c r="B127" s="7">
        <v>4016</v>
      </c>
      <c r="C127" s="25" t="s">
        <v>120</v>
      </c>
      <c r="D127" s="25" t="s">
        <v>258</v>
      </c>
      <c r="E127" s="16">
        <v>42596.746770833335</v>
      </c>
      <c r="F127" s="16">
        <v>42596.748206018521</v>
      </c>
      <c r="G127" s="7">
        <v>2</v>
      </c>
      <c r="H127" s="16" t="s">
        <v>582</v>
      </c>
      <c r="I127" s="16">
        <v>42596.775787037041</v>
      </c>
      <c r="J127" s="7">
        <v>0</v>
      </c>
      <c r="K127" s="143" t="str">
        <f t="shared" si="49"/>
        <v>4015/4016</v>
      </c>
      <c r="L127" s="25" t="str">
        <f>VLOOKUP(A127,'Trips&amp;Operators'!$C$1:$E$10000,3,FALSE)</f>
        <v>SHOOK</v>
      </c>
      <c r="M127" s="6">
        <f t="shared" si="50"/>
        <v>2.7581018519413192E-2</v>
      </c>
      <c r="N127" s="7">
        <f t="shared" si="63"/>
        <v>39.716666667954996</v>
      </c>
      <c r="O127" s="7"/>
      <c r="P127" s="7"/>
      <c r="Q127" s="26"/>
      <c r="R127" s="26"/>
      <c r="S127" s="38">
        <f t="shared" si="51"/>
        <v>1</v>
      </c>
      <c r="T127" s="53" t="str">
        <f t="shared" si="52"/>
        <v>NorthBound</v>
      </c>
      <c r="U127" s="13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16:55:21-0600',mode:absolute,to:'2016-08-14 19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27" s="55" t="str">
        <f t="shared" si="54"/>
        <v>N</v>
      </c>
      <c r="X127" s="129">
        <f t="shared" si="55"/>
        <v>1</v>
      </c>
      <c r="Y127" s="70">
        <f t="shared" si="56"/>
        <v>4.4600000000000001E-2</v>
      </c>
      <c r="Z127" s="70">
        <f t="shared" si="57"/>
        <v>23.336300000000001</v>
      </c>
      <c r="AA127" s="70">
        <f t="shared" si="58"/>
        <v>23.291700000000002</v>
      </c>
      <c r="AB127" s="67" t="e">
        <f>VLOOKUP(A127,Enforcements!$C$7:$J$24,8,0)</f>
        <v>#N/A</v>
      </c>
      <c r="AC127" s="63" t="e">
        <f>VLOOKUP(A127,Enforcements!$C$7:$E$24,3,0)</f>
        <v>#N/A</v>
      </c>
      <c r="AD127" s="64" t="str">
        <f t="shared" si="59"/>
        <v>0215-14</v>
      </c>
      <c r="AE127" s="104" t="str">
        <f t="shared" si="60"/>
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</c>
      <c r="AF127" s="101" t="str">
        <f t="shared" si="61"/>
        <v>"C:\Program Files (x86)\AstroGrep\AstroGrep.exe" /spath="%USERPROFILE%\AppData\Local\Temp\OnboardLogs" /stypes="*4016*20160815*" /stext=" 00:.+((SYSTEM_STATE.+slice.+state.+changed )|(ment ac)|(system.+state.+changed )|(\|lc)|(penalty)|(\[timeout)|(PRM\|1\|D)|(kpr)|(kdp))" /e /r /s</v>
      </c>
      <c r="AG127" s="1" t="str">
        <f t="shared" si="62"/>
        <v>EC</v>
      </c>
      <c r="AH127" s="105" t="str">
        <f t="shared" si="47"/>
        <v>"%USERPROFILE%\Documents\GitHub\eaglep3\Utilities\RefineRTDCRunTimes.py" --tripid 215-14 --locoid 4016 --swversion DE.1.0.7.0 --startMP 204:446 --initTime 2016-08-14T17:55:21 --startdatetime 2016-08-14T17:57:25 --delay 2 --endMP 204:233363 --enddatetime 2016-08-14T18:37:08 --enforcementcount 0</v>
      </c>
    </row>
    <row r="128" spans="1:34" x14ac:dyDescent="0.25">
      <c r="A128" s="40" t="s">
        <v>583</v>
      </c>
      <c r="B128" s="7">
        <v>4015</v>
      </c>
      <c r="C128" s="25" t="s">
        <v>120</v>
      </c>
      <c r="D128" s="25" t="s">
        <v>554</v>
      </c>
      <c r="E128" s="16">
        <v>42596.782881944448</v>
      </c>
      <c r="F128" s="16">
        <v>42596.783958333333</v>
      </c>
      <c r="G128" s="7">
        <v>1</v>
      </c>
      <c r="H128" s="16" t="s">
        <v>148</v>
      </c>
      <c r="I128" s="16">
        <v>42596.815787037034</v>
      </c>
      <c r="J128" s="7">
        <v>0</v>
      </c>
      <c r="K128" s="143" t="str">
        <f t="shared" si="49"/>
        <v>4015/4016</v>
      </c>
      <c r="L128" s="25" t="str">
        <f>VLOOKUP(A128,'Trips&amp;Operators'!$C$1:$E$10000,3,FALSE)</f>
        <v>SHOOK</v>
      </c>
      <c r="M128" s="6">
        <f t="shared" si="50"/>
        <v>3.1828703700739425E-2</v>
      </c>
      <c r="N128" s="7">
        <f t="shared" si="63"/>
        <v>45.833333329064772</v>
      </c>
      <c r="O128" s="7"/>
      <c r="P128" s="7"/>
      <c r="Q128" s="26"/>
      <c r="R128" s="26"/>
      <c r="S128" s="38">
        <f t="shared" si="51"/>
        <v>1</v>
      </c>
      <c r="T128" s="53" t="str">
        <f t="shared" si="52"/>
        <v>Southbound</v>
      </c>
      <c r="U128" s="13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17:47:21-0600',mode:absolute,to:'2016-08-14 20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28" s="55" t="str">
        <f t="shared" si="54"/>
        <v>N</v>
      </c>
      <c r="X128" s="129">
        <f t="shared" si="55"/>
        <v>1</v>
      </c>
      <c r="Y128" s="70">
        <f t="shared" si="56"/>
        <v>23.303999999999998</v>
      </c>
      <c r="Z128" s="70">
        <f t="shared" si="57"/>
        <v>1.49E-2</v>
      </c>
      <c r="AA128" s="70">
        <f t="shared" si="58"/>
        <v>23.289099999999998</v>
      </c>
      <c r="AB128" s="67" t="e">
        <f>VLOOKUP(A128,Enforcements!$C$7:$J$24,8,0)</f>
        <v>#N/A</v>
      </c>
      <c r="AC128" s="63" t="e">
        <f>VLOOKUP(A128,Enforcements!$C$7:$E$24,3,0)</f>
        <v>#N/A</v>
      </c>
      <c r="AD128" s="64" t="str">
        <f t="shared" si="59"/>
        <v>0216-14</v>
      </c>
      <c r="AE128" s="104" t="str">
        <f t="shared" si="60"/>
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</c>
      <c r="AF128" s="101" t="str">
        <f t="shared" si="61"/>
        <v>"C:\Program Files (x86)\AstroGrep\AstroGrep.exe" /spath="%USERPROFILE%\AppData\Local\Temp\OnboardLogs" /stypes="*4015*20160815*" /stext=" 01:.+((SYSTEM_STATE.+slice.+state.+changed )|(ment ac)|(system.+state.+changed )|(\|lc)|(penalty)|(\[timeout)|(PRM\|1\|D)|(kpr)|(kdp))" /e /r /s</v>
      </c>
      <c r="AG128" s="1" t="str">
        <f t="shared" si="62"/>
        <v>EC</v>
      </c>
      <c r="AH128" s="105" t="str">
        <f t="shared" si="47"/>
        <v>"%USERPROFILE%\Documents\GitHub\eaglep3\Utilities\RefineRTDCRunTimes.py" --tripid 216-14 --locoid 4015 --swversion DE.1.0.7.0 --startMP 204:233040 --initTime 2016-08-14T18:47:21 --startdatetime 2016-08-14T18:48:54 --delay 1 --endMP 204:149 --enddatetime 2016-08-14T19:34:44 --enforcementcount 0</v>
      </c>
    </row>
    <row r="129" spans="1:34" x14ac:dyDescent="0.25">
      <c r="A129" s="40" t="s">
        <v>584</v>
      </c>
      <c r="B129" s="7">
        <v>4011</v>
      </c>
      <c r="C129" s="25" t="s">
        <v>120</v>
      </c>
      <c r="D129" s="25" t="s">
        <v>585</v>
      </c>
      <c r="E129" s="16">
        <v>42596.757731481484</v>
      </c>
      <c r="F129" s="16">
        <v>42596.758958333332</v>
      </c>
      <c r="G129" s="7">
        <v>1</v>
      </c>
      <c r="H129" s="16" t="s">
        <v>151</v>
      </c>
      <c r="I129" s="16">
        <v>42596.785324074073</v>
      </c>
      <c r="J129" s="7">
        <v>0</v>
      </c>
      <c r="K129" s="143" t="str">
        <f t="shared" si="49"/>
        <v>4011/4012</v>
      </c>
      <c r="L129" s="25" t="str">
        <f>VLOOKUP(A129,'Trips&amp;Operators'!$C$1:$E$10000,3,FALSE)</f>
        <v>NEWELL</v>
      </c>
      <c r="M129" s="6">
        <f t="shared" si="50"/>
        <v>2.6365740741312038E-2</v>
      </c>
      <c r="N129" s="7">
        <f t="shared" si="63"/>
        <v>37.966666667489335</v>
      </c>
      <c r="O129" s="7"/>
      <c r="P129" s="7"/>
      <c r="Q129" s="26"/>
      <c r="R129" s="26"/>
      <c r="S129" s="38">
        <f t="shared" si="51"/>
        <v>1</v>
      </c>
      <c r="T129" s="53" t="str">
        <f t="shared" si="52"/>
        <v>NorthBound</v>
      </c>
      <c r="U129" s="13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17:11:08-0600',mode:absolute,to:'2016-08-14 19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29" s="55" t="str">
        <f t="shared" si="54"/>
        <v>N</v>
      </c>
      <c r="X129" s="129">
        <f t="shared" si="55"/>
        <v>1</v>
      </c>
      <c r="Y129" s="70">
        <f t="shared" si="56"/>
        <v>5.04E-2</v>
      </c>
      <c r="Z129" s="70">
        <f t="shared" si="57"/>
        <v>23.331199999999999</v>
      </c>
      <c r="AA129" s="70">
        <f t="shared" si="58"/>
        <v>23.280799999999999</v>
      </c>
      <c r="AB129" s="67" t="e">
        <f>VLOOKUP(A129,Enforcements!$C$7:$J$24,8,0)</f>
        <v>#N/A</v>
      </c>
      <c r="AC129" s="63" t="e">
        <f>VLOOKUP(A129,Enforcements!$C$7:$E$24,3,0)</f>
        <v>#N/A</v>
      </c>
      <c r="AD129" s="64" t="str">
        <f t="shared" si="59"/>
        <v>0217-14</v>
      </c>
      <c r="AE129" s="104" t="str">
        <f t="shared" si="60"/>
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</c>
      <c r="AF129" s="101" t="str">
        <f t="shared" si="61"/>
        <v>"C:\Program Files (x86)\AstroGrep\AstroGrep.exe" /spath="%USERPROFILE%\AppData\Local\Temp\OnboardLogs" /stypes="*4011*20160815*" /stext=" 00:.+((SYSTEM_STATE.+slice.+state.+changed )|(ment ac)|(system.+state.+changed )|(\|lc)|(penalty)|(\[timeout)|(PRM\|1\|D)|(kpr)|(kdp))" /e /r /s</v>
      </c>
      <c r="AG129" s="1" t="str">
        <f t="shared" si="62"/>
        <v>EC</v>
      </c>
      <c r="AH129" s="105" t="str">
        <f t="shared" si="47"/>
        <v>"%USERPROFILE%\Documents\GitHub\eaglep3\Utilities\RefineRTDCRunTimes.py" --tripid 217-14 --locoid 4011 --swversion DE.1.0.7.0 --startMP 204:504 --initTime 2016-08-14T18:11:08 --startdatetime 2016-08-14T18:12:54 --delay 1 --endMP 204:233312 --enddatetime 2016-08-14T18:50:52 --enforcementcount 0</v>
      </c>
    </row>
    <row r="130" spans="1:34" x14ac:dyDescent="0.25">
      <c r="A130" s="40" t="s">
        <v>586</v>
      </c>
      <c r="B130" s="7">
        <v>4012</v>
      </c>
      <c r="C130" s="25" t="s">
        <v>120</v>
      </c>
      <c r="D130" s="25" t="s">
        <v>133</v>
      </c>
      <c r="E130" s="16">
        <v>42596.790706018517</v>
      </c>
      <c r="F130" s="16">
        <v>42596.79178240741</v>
      </c>
      <c r="G130" s="7">
        <v>1</v>
      </c>
      <c r="H130" s="16" t="s">
        <v>148</v>
      </c>
      <c r="I130" s="16">
        <v>42596.826018518521</v>
      </c>
      <c r="J130" s="7">
        <v>0</v>
      </c>
      <c r="K130" s="143" t="str">
        <f t="shared" si="49"/>
        <v>4011/4012</v>
      </c>
      <c r="L130" s="25" t="str">
        <f>VLOOKUP(A130,'Trips&amp;Operators'!$C$1:$E$10000,3,FALSE)</f>
        <v>NEWELL</v>
      </c>
      <c r="M130" s="6">
        <f t="shared" si="50"/>
        <v>3.4236111110658385E-2</v>
      </c>
      <c r="N130" s="7">
        <f t="shared" si="63"/>
        <v>49.299999999348074</v>
      </c>
      <c r="O130" s="7"/>
      <c r="P130" s="7"/>
      <c r="Q130" s="26"/>
      <c r="R130" s="26"/>
      <c r="S130" s="38">
        <f t="shared" si="51"/>
        <v>1</v>
      </c>
      <c r="T130" s="53" t="str">
        <f t="shared" si="52"/>
        <v>Southbound</v>
      </c>
      <c r="U130" s="13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17:58:37-0600',mode:absolute,to:'2016-08-14 20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30" s="55" t="str">
        <f t="shared" si="54"/>
        <v>N</v>
      </c>
      <c r="X130" s="129">
        <f t="shared" si="55"/>
        <v>1</v>
      </c>
      <c r="Y130" s="70">
        <f t="shared" si="56"/>
        <v>23.299800000000001</v>
      </c>
      <c r="Z130" s="70">
        <f t="shared" si="57"/>
        <v>1.49E-2</v>
      </c>
      <c r="AA130" s="70">
        <f t="shared" si="58"/>
        <v>23.2849</v>
      </c>
      <c r="AB130" s="67" t="e">
        <f>VLOOKUP(A130,Enforcements!$C$7:$J$24,8,0)</f>
        <v>#N/A</v>
      </c>
      <c r="AC130" s="63" t="e">
        <f>VLOOKUP(A130,Enforcements!$C$7:$E$24,3,0)</f>
        <v>#N/A</v>
      </c>
      <c r="AD130" s="64" t="str">
        <f t="shared" si="59"/>
        <v>0218-14</v>
      </c>
      <c r="AE130" s="104" t="str">
        <f t="shared" si="60"/>
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</c>
      <c r="AF130" s="101" t="str">
        <f t="shared" si="61"/>
        <v>"C:\Program Files (x86)\AstroGrep\AstroGrep.exe" /spath="%USERPROFILE%\AppData\Local\Temp\OnboardLogs" /stypes="*4012*20160815*" /stext=" 01:.+((SYSTEM_STATE.+slice.+state.+changed )|(ment ac)|(system.+state.+changed )|(\|lc)|(penalty)|(\[timeout)|(PRM\|1\|D)|(kpr)|(kdp))" /e /r /s</v>
      </c>
      <c r="AG130" s="1" t="str">
        <f t="shared" si="62"/>
        <v>EC</v>
      </c>
      <c r="AH130" s="105" t="str">
        <f t="shared" si="47"/>
        <v>"%USERPROFILE%\Documents\GitHub\eaglep3\Utilities\RefineRTDCRunTimes.py" --tripid 218-14 --locoid 4012 --swversion DE.1.0.7.0 --startMP 204:232998 --initTime 2016-08-14T18:58:37 --startdatetime 2016-08-14T19:00:10 --delay 1 --endMP 204:149 --enddatetime 2016-08-14T19:49:28 --enforcementcount 0</v>
      </c>
    </row>
    <row r="131" spans="1:34" x14ac:dyDescent="0.25">
      <c r="A131" s="40" t="s">
        <v>587</v>
      </c>
      <c r="B131" s="7">
        <v>4025</v>
      </c>
      <c r="C131" s="25" t="s">
        <v>120</v>
      </c>
      <c r="D131" s="25" t="s">
        <v>161</v>
      </c>
      <c r="E131" s="16">
        <v>42596.767256944448</v>
      </c>
      <c r="F131" s="16">
        <v>42596.768495370372</v>
      </c>
      <c r="G131" s="7">
        <v>1</v>
      </c>
      <c r="H131" s="16" t="s">
        <v>588</v>
      </c>
      <c r="I131" s="16">
        <v>42596.79614583333</v>
      </c>
      <c r="J131" s="7">
        <v>0</v>
      </c>
      <c r="K131" s="143" t="str">
        <f t="shared" si="49"/>
        <v>4025/4026</v>
      </c>
      <c r="L131" s="25" t="str">
        <f>VLOOKUP(A131,'Trips&amp;Operators'!$C$1:$E$10000,3,FALSE)</f>
        <v>STAMBAUGH</v>
      </c>
      <c r="M131" s="6">
        <f t="shared" si="50"/>
        <v>2.7650462958263233E-2</v>
      </c>
      <c r="N131" s="7">
        <f t="shared" si="63"/>
        <v>39.816666659899056</v>
      </c>
      <c r="O131" s="7"/>
      <c r="P131" s="7"/>
      <c r="Q131" s="26"/>
      <c r="R131" s="26"/>
      <c r="S131" s="38">
        <f t="shared" si="51"/>
        <v>1</v>
      </c>
      <c r="T131" s="53" t="str">
        <f t="shared" si="52"/>
        <v>NorthBound</v>
      </c>
      <c r="U131" s="13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17:24:51-0600',mode:absolute,to:'2016-08-14 20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31" s="55" t="str">
        <f t="shared" si="54"/>
        <v>N</v>
      </c>
      <c r="X131" s="129">
        <f t="shared" si="55"/>
        <v>1</v>
      </c>
      <c r="Y131" s="70">
        <f t="shared" si="56"/>
        <v>4.6699999999999998E-2</v>
      </c>
      <c r="Z131" s="70">
        <f t="shared" si="57"/>
        <v>23.320799999999998</v>
      </c>
      <c r="AA131" s="70">
        <f t="shared" si="58"/>
        <v>23.274099999999997</v>
      </c>
      <c r="AB131" s="67" t="e">
        <f>VLOOKUP(A131,Enforcements!$C$7:$J$24,8,0)</f>
        <v>#N/A</v>
      </c>
      <c r="AC131" s="63" t="e">
        <f>VLOOKUP(A131,Enforcements!$C$7:$E$24,3,0)</f>
        <v>#N/A</v>
      </c>
      <c r="AD131" s="64" t="str">
        <f t="shared" si="59"/>
        <v>0219-14</v>
      </c>
      <c r="AE131" s="104" t="str">
        <f t="shared" si="60"/>
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</c>
      <c r="AF131" s="101" t="str">
        <f t="shared" si="61"/>
        <v>"C:\Program Files (x86)\AstroGrep\AstroGrep.exe" /spath="%USERPROFILE%\AppData\Local\Temp\OnboardLogs" /stypes="*4025*20160815*" /stext=" 01:.+((SYSTEM_STATE.+slice.+state.+changed )|(ment ac)|(system.+state.+changed )|(\|lc)|(penalty)|(\[timeout)|(PRM\|1\|D)|(kpr)|(kdp))" /e /r /s</v>
      </c>
      <c r="AG131" s="1" t="str">
        <f t="shared" si="62"/>
        <v>EC</v>
      </c>
      <c r="AH131" s="105" t="str">
        <f t="shared" si="47"/>
        <v>"%USERPROFILE%\Documents\GitHub\eaglep3\Utilities\RefineRTDCRunTimes.py" --tripid 219-14 --locoid 4025 --swversion DE.1.0.7.0 --startMP 204:467 --initTime 2016-08-14T18:24:51 --startdatetime 2016-08-14T18:26:38 --delay 1 --endMP 204:233208 --enddatetime 2016-08-14T19:06:27 --enforcementcount 0</v>
      </c>
    </row>
    <row r="132" spans="1:34" x14ac:dyDescent="0.25">
      <c r="A132" s="40" t="s">
        <v>589</v>
      </c>
      <c r="B132" s="7">
        <v>4026</v>
      </c>
      <c r="C132" s="25" t="s">
        <v>120</v>
      </c>
      <c r="D132" s="25" t="s">
        <v>590</v>
      </c>
      <c r="E132" s="16">
        <v>42596.807893518519</v>
      </c>
      <c r="F132" s="16">
        <v>42596.809548611112</v>
      </c>
      <c r="G132" s="7">
        <v>2</v>
      </c>
      <c r="H132" s="16" t="s">
        <v>411</v>
      </c>
      <c r="I132" s="16">
        <v>42596.836562500001</v>
      </c>
      <c r="J132" s="7">
        <v>0</v>
      </c>
      <c r="K132" s="143" t="str">
        <f t="shared" si="49"/>
        <v>4025/4026</v>
      </c>
      <c r="L132" s="25" t="str">
        <f>VLOOKUP(A132,'Trips&amp;Operators'!$C$1:$E$10000,3,FALSE)</f>
        <v>STAMBAUGH</v>
      </c>
      <c r="M132" s="6">
        <f t="shared" si="50"/>
        <v>2.7013888888177462E-2</v>
      </c>
      <c r="N132" s="7">
        <f t="shared" si="63"/>
        <v>38.899999998975545</v>
      </c>
      <c r="O132" s="7"/>
      <c r="P132" s="7"/>
      <c r="Q132" s="26"/>
      <c r="R132" s="26"/>
      <c r="S132" s="38">
        <f t="shared" si="51"/>
        <v>1</v>
      </c>
      <c r="T132" s="53" t="str">
        <f t="shared" si="52"/>
        <v>Southbound</v>
      </c>
      <c r="U132" s="13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18:23:22-0600',mode:absolute,to:'2016-08-14 21:04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32" s="55" t="str">
        <f t="shared" si="54"/>
        <v>N</v>
      </c>
      <c r="X132" s="129">
        <f t="shared" si="55"/>
        <v>1</v>
      </c>
      <c r="Y132" s="70">
        <f t="shared" si="56"/>
        <v>23.288699999999999</v>
      </c>
      <c r="Z132" s="70">
        <f t="shared" si="57"/>
        <v>1.34E-2</v>
      </c>
      <c r="AA132" s="70">
        <f t="shared" si="58"/>
        <v>23.275299999999998</v>
      </c>
      <c r="AB132" s="67" t="e">
        <f>VLOOKUP(A132,Enforcements!$C$7:$J$24,8,0)</f>
        <v>#N/A</v>
      </c>
      <c r="AC132" s="63" t="e">
        <f>VLOOKUP(A132,Enforcements!$C$7:$E$24,3,0)</f>
        <v>#N/A</v>
      </c>
      <c r="AD132" s="64" t="str">
        <f t="shared" si="59"/>
        <v>0220-14</v>
      </c>
      <c r="AE132" s="104" t="str">
        <f t="shared" si="60"/>
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</c>
      <c r="AF132" s="101" t="str">
        <f t="shared" si="61"/>
        <v>"C:\Program Files (x86)\AstroGrep\AstroGrep.exe" /spath="%USERPROFILE%\AppData\Local\Temp\OnboardLogs" /stypes="*4026*20160815*" /stext=" 02:.+((SYSTEM_STATE.+slice.+state.+changed )|(ment ac)|(system.+state.+changed )|(\|lc)|(penalty)|(\[timeout)|(PRM\|1\|D)|(kpr)|(kdp))" /e /r /s</v>
      </c>
      <c r="AG132" s="1" t="str">
        <f t="shared" si="62"/>
        <v>EC</v>
      </c>
      <c r="AH132" s="105" t="str">
        <f t="shared" si="47"/>
        <v>"%USERPROFILE%\Documents\GitHub\eaglep3\Utilities\RefineRTDCRunTimes.py" --tripid 220-14 --locoid 4026 --swversion DE.1.0.7.0 --startMP 204:232887 --initTime 2016-08-14T19:23:22 --startdatetime 2016-08-14T19:25:45 --delay 2 --endMP 204:134 --enddatetime 2016-08-14T20:04:39 --enforcementcount 0</v>
      </c>
    </row>
    <row r="133" spans="1:34" x14ac:dyDescent="0.25">
      <c r="A133" s="40" t="s">
        <v>591</v>
      </c>
      <c r="B133" s="7">
        <v>4038</v>
      </c>
      <c r="C133" s="25" t="s">
        <v>120</v>
      </c>
      <c r="D133" s="25" t="s">
        <v>161</v>
      </c>
      <c r="E133" s="16">
        <v>42596.787152777775</v>
      </c>
      <c r="F133" s="16">
        <v>42596.788148148145</v>
      </c>
      <c r="G133" s="7">
        <v>1</v>
      </c>
      <c r="H133" s="16" t="s">
        <v>263</v>
      </c>
      <c r="I133" s="16">
        <v>42596.816192129627</v>
      </c>
      <c r="J133" s="7">
        <v>0</v>
      </c>
      <c r="K133" s="143" t="str">
        <f t="shared" si="49"/>
        <v>4037/4038</v>
      </c>
      <c r="L133" s="25" t="str">
        <f>VLOOKUP(A133,'Trips&amp;Operators'!$C$1:$E$10000,3,FALSE)</f>
        <v>STORY</v>
      </c>
      <c r="M133" s="6">
        <f t="shared" si="50"/>
        <v>2.8043981481459923E-2</v>
      </c>
      <c r="N133" s="7">
        <f t="shared" si="63"/>
        <v>40.383333333302289</v>
      </c>
      <c r="O133" s="7"/>
      <c r="P133" s="7"/>
      <c r="Q133" s="26"/>
      <c r="R133" s="26"/>
      <c r="S133" s="38">
        <f t="shared" si="51"/>
        <v>1</v>
      </c>
      <c r="T133" s="53" t="str">
        <f t="shared" si="52"/>
        <v>NorthBound</v>
      </c>
      <c r="U133" s="13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17:53:30-0600',mode:absolute,to:'2016-08-14 20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33" s="55" t="str">
        <f t="shared" si="54"/>
        <v>N</v>
      </c>
      <c r="X133" s="129">
        <f t="shared" si="55"/>
        <v>1</v>
      </c>
      <c r="Y133" s="70">
        <f t="shared" si="56"/>
        <v>4.6699999999999998E-2</v>
      </c>
      <c r="Z133" s="70">
        <f t="shared" si="57"/>
        <v>23.336600000000001</v>
      </c>
      <c r="AA133" s="70">
        <f t="shared" si="58"/>
        <v>23.289899999999999</v>
      </c>
      <c r="AB133" s="67" t="e">
        <f>VLOOKUP(A133,Enforcements!$C$7:$J$24,8,0)</f>
        <v>#N/A</v>
      </c>
      <c r="AC133" s="63" t="e">
        <f>VLOOKUP(A133,Enforcements!$C$7:$E$24,3,0)</f>
        <v>#N/A</v>
      </c>
      <c r="AD133" s="64" t="str">
        <f t="shared" si="59"/>
        <v>0221-14</v>
      </c>
      <c r="AE133" s="104" t="str">
        <f t="shared" si="60"/>
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</c>
      <c r="AF133" s="101" t="str">
        <f t="shared" si="61"/>
        <v>"C:\Program Files (x86)\AstroGrep\AstroGrep.exe" /spath="%USERPROFILE%\AppData\Local\Temp\OnboardLogs" /stypes="*4038*20160815*" /stext=" 01:.+((SYSTEM_STATE.+slice.+state.+changed )|(ment ac)|(system.+state.+changed )|(\|lc)|(penalty)|(\[timeout)|(PRM\|1\|D)|(kpr)|(kdp))" /e /r /s</v>
      </c>
      <c r="AG133" s="1" t="str">
        <f t="shared" si="62"/>
        <v>EC</v>
      </c>
      <c r="AH133" s="105" t="str">
        <f t="shared" si="47"/>
        <v>"%USERPROFILE%\Documents\GitHub\eaglep3\Utilities\RefineRTDCRunTimes.py" --tripid 221-14 --locoid 4038 --swversion DE.1.0.7.0 --startMP 204:467 --initTime 2016-08-14T18:53:30 --startdatetime 2016-08-14T18:54:56 --delay 1 --endMP 204:233366 --enddatetime 2016-08-14T19:35:19 --enforcementcount 0</v>
      </c>
    </row>
    <row r="134" spans="1:34" x14ac:dyDescent="0.25">
      <c r="A134" s="40" t="s">
        <v>592</v>
      </c>
      <c r="B134" s="7">
        <v>4037</v>
      </c>
      <c r="C134" s="25" t="s">
        <v>120</v>
      </c>
      <c r="D134" s="25" t="s">
        <v>593</v>
      </c>
      <c r="E134" s="16">
        <v>42596.821319444447</v>
      </c>
      <c r="F134" s="16">
        <v>42596.822337962964</v>
      </c>
      <c r="G134" s="7">
        <v>1</v>
      </c>
      <c r="H134" s="16" t="s">
        <v>594</v>
      </c>
      <c r="I134" s="16">
        <v>42596.857789351852</v>
      </c>
      <c r="J134" s="7">
        <v>0</v>
      </c>
      <c r="K134" s="143" t="str">
        <f t="shared" si="49"/>
        <v>4037/4038</v>
      </c>
      <c r="L134" s="25" t="str">
        <f>VLOOKUP(A134,'Trips&amp;Operators'!$C$1:$E$10000,3,FALSE)</f>
        <v>STORY</v>
      </c>
      <c r="M134" s="6">
        <f t="shared" si="50"/>
        <v>3.5451388888759539E-2</v>
      </c>
      <c r="N134" s="7">
        <f t="shared" si="63"/>
        <v>51.049999999813735</v>
      </c>
      <c r="O134" s="7"/>
      <c r="P134" s="7"/>
      <c r="Q134" s="26"/>
      <c r="R134" s="26"/>
      <c r="S134" s="38">
        <f t="shared" si="51"/>
        <v>1</v>
      </c>
      <c r="T134" s="53" t="str">
        <f t="shared" si="52"/>
        <v>Southbound</v>
      </c>
      <c r="U134" s="13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18:42:42-0600',mode:absolute,to:'2016-08-14 21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34" s="55" t="str">
        <f t="shared" si="54"/>
        <v>N</v>
      </c>
      <c r="X134" s="129">
        <f t="shared" si="55"/>
        <v>1</v>
      </c>
      <c r="Y134" s="70">
        <f t="shared" si="56"/>
        <v>23.3047</v>
      </c>
      <c r="Z134" s="70">
        <f t="shared" si="57"/>
        <v>2.52E-2</v>
      </c>
      <c r="AA134" s="70">
        <f t="shared" si="58"/>
        <v>23.279499999999999</v>
      </c>
      <c r="AB134" s="67" t="e">
        <f>VLOOKUP(A134,Enforcements!$C$7:$J$24,8,0)</f>
        <v>#N/A</v>
      </c>
      <c r="AC134" s="63" t="e">
        <f>VLOOKUP(A134,Enforcements!$C$7:$E$24,3,0)</f>
        <v>#N/A</v>
      </c>
      <c r="AD134" s="64" t="str">
        <f t="shared" si="59"/>
        <v>0222-14</v>
      </c>
      <c r="AE134" s="104" t="str">
        <f t="shared" si="60"/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AF134" s="101" t="str">
        <f t="shared" si="61"/>
        <v>"C:\Program Files (x86)\AstroGrep\AstroGrep.exe" /spath="%USERPROFILE%\AppData\Local\Temp\OnboardLogs" /stypes="*4037*20160815*" /stext=" 02:.+((SYSTEM_STATE.+slice.+state.+changed )|(ment ac)|(system.+state.+changed )|(\|lc)|(penalty)|(\[timeout)|(PRM\|1\|D)|(kpr)|(kdp))" /e /r /s</v>
      </c>
      <c r="AG134" s="1" t="str">
        <f t="shared" si="62"/>
        <v>EC</v>
      </c>
      <c r="AH134" s="105" t="str">
        <f t="shared" si="47"/>
        <v>"%USERPROFILE%\Documents\GitHub\eaglep3\Utilities\RefineRTDCRunTimes.py" --tripid 222-14 --locoid 4037 --swversion DE.1.0.7.0 --startMP 204:233047 --initTime 2016-08-14T19:42:42 --startdatetime 2016-08-14T19:44:10 --delay 1 --endMP 204:252 --enddatetime 2016-08-14T20:35:13 --enforcementcount 0</v>
      </c>
    </row>
    <row r="135" spans="1:34" x14ac:dyDescent="0.25">
      <c r="A135" s="40" t="s">
        <v>595</v>
      </c>
      <c r="B135" s="7">
        <v>4029</v>
      </c>
      <c r="C135" s="25" t="s">
        <v>120</v>
      </c>
      <c r="D135" s="25" t="s">
        <v>596</v>
      </c>
      <c r="E135" s="16">
        <v>42596.807384259257</v>
      </c>
      <c r="F135" s="16">
        <v>42596.808472222219</v>
      </c>
      <c r="G135" s="7">
        <v>1</v>
      </c>
      <c r="H135" s="16" t="s">
        <v>162</v>
      </c>
      <c r="I135" s="16">
        <v>42596.839398148149</v>
      </c>
      <c r="J135" s="7">
        <v>0</v>
      </c>
      <c r="K135" s="143" t="str">
        <f t="shared" si="49"/>
        <v>4029/4030</v>
      </c>
      <c r="L135" s="25" t="str">
        <f>VLOOKUP(A135,'Trips&amp;Operators'!$C$1:$E$10000,3,FALSE)</f>
        <v>COOLAHAN</v>
      </c>
      <c r="M135" s="6">
        <f t="shared" si="50"/>
        <v>3.0925925930205267E-2</v>
      </c>
      <c r="N135" s="7">
        <f t="shared" si="63"/>
        <v>44.533333339495584</v>
      </c>
      <c r="O135" s="7"/>
      <c r="P135" s="7"/>
      <c r="Q135" s="26"/>
      <c r="R135" s="26"/>
      <c r="S135" s="38">
        <f t="shared" si="51"/>
        <v>1</v>
      </c>
      <c r="T135" s="53" t="str">
        <f t="shared" si="52"/>
        <v>NorthBound</v>
      </c>
      <c r="U135" s="13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18:22:38-0600',mode:absolute,to:'2016-08-14 21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35" s="55" t="str">
        <f t="shared" si="54"/>
        <v>N</v>
      </c>
      <c r="X135" s="129">
        <f t="shared" si="55"/>
        <v>1</v>
      </c>
      <c r="Y135" s="70">
        <f t="shared" si="56"/>
        <v>5.2200000000000003E-2</v>
      </c>
      <c r="Z135" s="70">
        <f t="shared" si="57"/>
        <v>23.3306</v>
      </c>
      <c r="AA135" s="70">
        <f t="shared" si="58"/>
        <v>23.278400000000001</v>
      </c>
      <c r="AB135" s="67" t="e">
        <f>VLOOKUP(A135,Enforcements!$C$7:$J$24,8,0)</f>
        <v>#N/A</v>
      </c>
      <c r="AC135" s="63" t="e">
        <f>VLOOKUP(A135,Enforcements!$C$7:$E$24,3,0)</f>
        <v>#N/A</v>
      </c>
      <c r="AD135" s="64" t="str">
        <f t="shared" si="59"/>
        <v>0223-14</v>
      </c>
      <c r="AE135" s="104" t="str">
        <f t="shared" si="60"/>
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</c>
      <c r="AF135" s="101" t="str">
        <f t="shared" si="61"/>
        <v>"C:\Program Files (x86)\AstroGrep\AstroGrep.exe" /spath="%USERPROFILE%\AppData\Local\Temp\OnboardLogs" /stypes="*4029*20160815*" /stext=" 02:.+((SYSTEM_STATE.+slice.+state.+changed )|(ment ac)|(system.+state.+changed )|(\|lc)|(penalty)|(\[timeout)|(PRM\|1\|D)|(kpr)|(kdp))" /e /r /s</v>
      </c>
      <c r="AG135" s="1" t="str">
        <f t="shared" si="62"/>
        <v>EC</v>
      </c>
      <c r="AH135" s="105" t="str">
        <f t="shared" si="47"/>
        <v>"%USERPROFILE%\Documents\GitHub\eaglep3\Utilities\RefineRTDCRunTimes.py" --tripid 223-14 --locoid 4029 --swversion DE.1.0.7.0 --startMP 204:522 --initTime 2016-08-14T19:22:38 --startdatetime 2016-08-14T19:24:12 --delay 1 --endMP 204:233306 --enddatetime 2016-08-14T20:08:44 --enforcementcount 0</v>
      </c>
    </row>
    <row r="136" spans="1:34" x14ac:dyDescent="0.25">
      <c r="A136" s="40" t="s">
        <v>597</v>
      </c>
      <c r="B136" s="7">
        <v>4030</v>
      </c>
      <c r="C136" s="25" t="s">
        <v>120</v>
      </c>
      <c r="D136" s="25" t="s">
        <v>261</v>
      </c>
      <c r="E136" s="16">
        <v>42596.847488425927</v>
      </c>
      <c r="F136" s="16">
        <v>42596.849456018521</v>
      </c>
      <c r="G136" s="7">
        <v>2</v>
      </c>
      <c r="H136" s="16" t="s">
        <v>148</v>
      </c>
      <c r="I136" s="16">
        <v>42596.880196759259</v>
      </c>
      <c r="J136" s="7">
        <v>0</v>
      </c>
      <c r="K136" s="143" t="str">
        <f t="shared" si="49"/>
        <v>4029/4030</v>
      </c>
      <c r="L136" s="25" t="str">
        <f>VLOOKUP(A136,'Trips&amp;Operators'!$C$1:$E$10000,3,FALSE)</f>
        <v>COOLAHAN</v>
      </c>
      <c r="M136" s="6">
        <f t="shared" si="50"/>
        <v>3.0740740738110617E-2</v>
      </c>
      <c r="N136" s="7">
        <f t="shared" si="63"/>
        <v>44.266666662879288</v>
      </c>
      <c r="O136" s="7"/>
      <c r="P136" s="7"/>
      <c r="Q136" s="26"/>
      <c r="R136" s="26"/>
      <c r="S136" s="38">
        <f t="shared" si="51"/>
        <v>1</v>
      </c>
      <c r="T136" s="53" t="str">
        <f t="shared" si="52"/>
        <v>Southbound</v>
      </c>
      <c r="U136" s="13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19:20:23-0600',mode:absolute,to:'2016-08-14 22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36" s="55" t="str">
        <f t="shared" si="54"/>
        <v>N</v>
      </c>
      <c r="X136" s="129">
        <f t="shared" si="55"/>
        <v>1</v>
      </c>
      <c r="Y136" s="70">
        <f t="shared" si="56"/>
        <v>23.297899999999998</v>
      </c>
      <c r="Z136" s="70">
        <f t="shared" si="57"/>
        <v>1.49E-2</v>
      </c>
      <c r="AA136" s="70">
        <f t="shared" si="58"/>
        <v>23.282999999999998</v>
      </c>
      <c r="AB136" s="67">
        <f>VLOOKUP(A136,Enforcements!$C$7:$J$24,8,0)</f>
        <v>42961</v>
      </c>
      <c r="AC136" s="63" t="str">
        <f>VLOOKUP(A136,Enforcements!$C$7:$E$24,3,0)</f>
        <v>GRADE CROSSING</v>
      </c>
      <c r="AD136" s="64" t="str">
        <f t="shared" si="59"/>
        <v>0224-14</v>
      </c>
      <c r="AE136" s="104" t="str">
        <f t="shared" si="60"/>
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</c>
      <c r="AF136" s="101" t="str">
        <f t="shared" si="61"/>
        <v>"C:\Program Files (x86)\AstroGrep\AstroGrep.exe" /spath="%USERPROFILE%\AppData\Local\Temp\OnboardLogs" /stypes="*4030*20160815*" /stext=" 03:.+((SYSTEM_STATE.+slice.+state.+changed )|(ment ac)|(system.+state.+changed )|(\|lc)|(penalty)|(\[timeout)|(PRM\|1\|D)|(kpr)|(kdp))" /e /r /s</v>
      </c>
      <c r="AG136" s="1" t="str">
        <f t="shared" si="62"/>
        <v>EC</v>
      </c>
      <c r="AH136" s="105" t="str">
        <f t="shared" si="47"/>
        <v>"%USERPROFILE%\Documents\GitHub\eaglep3\Utilities\RefineRTDCRunTimes.py" --tripid 224-14 --locoid 4030 --swversion DE.1.0.7.0 --startMP 204:232979 --initTime 2016-08-14T20:20:23 --startdatetime 2016-08-14T20:23:13 --delay 2 --endMP 204:149 --enddatetime 2016-08-14T21:07:29 --enforcementcount 0</v>
      </c>
    </row>
    <row r="137" spans="1:34" x14ac:dyDescent="0.25">
      <c r="A137" s="40" t="s">
        <v>598</v>
      </c>
      <c r="B137" s="7">
        <v>4011</v>
      </c>
      <c r="C137" s="25" t="s">
        <v>120</v>
      </c>
      <c r="D137" s="25" t="s">
        <v>273</v>
      </c>
      <c r="E137" s="16">
        <v>42596.828067129631</v>
      </c>
      <c r="F137" s="16">
        <v>42596.829016203701</v>
      </c>
      <c r="G137" s="7">
        <v>1</v>
      </c>
      <c r="H137" s="16" t="s">
        <v>599</v>
      </c>
      <c r="I137" s="16">
        <v>42596.858518518522</v>
      </c>
      <c r="J137" s="7">
        <v>0</v>
      </c>
      <c r="K137" s="143" t="str">
        <f t="shared" si="49"/>
        <v>4011/4012</v>
      </c>
      <c r="L137" s="25" t="str">
        <f>VLOOKUP(A137,'Trips&amp;Operators'!$C$1:$E$10000,3,FALSE)</f>
        <v>NEWELL</v>
      </c>
      <c r="M137" s="6">
        <f t="shared" si="50"/>
        <v>2.9502314821002074E-2</v>
      </c>
      <c r="N137" s="7">
        <f t="shared" si="63"/>
        <v>42.483333342242986</v>
      </c>
      <c r="O137" s="7"/>
      <c r="P137" s="7"/>
      <c r="Q137" s="26"/>
      <c r="R137" s="26"/>
      <c r="S137" s="38">
        <f t="shared" si="51"/>
        <v>1</v>
      </c>
      <c r="T137" s="53" t="str">
        <f t="shared" si="52"/>
        <v>NorthBound</v>
      </c>
      <c r="U137" s="13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18:52:25-0600',mode:absolute,to:'2016-08-14 21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37" s="55" t="str">
        <f t="shared" si="54"/>
        <v>N</v>
      </c>
      <c r="X137" s="129">
        <f t="shared" si="55"/>
        <v>1</v>
      </c>
      <c r="Y137" s="70">
        <f t="shared" si="56"/>
        <v>4.8000000000000001E-2</v>
      </c>
      <c r="Z137" s="70">
        <f t="shared" si="57"/>
        <v>23.333200000000001</v>
      </c>
      <c r="AA137" s="70">
        <f t="shared" si="58"/>
        <v>23.285200000000003</v>
      </c>
      <c r="AB137" s="67" t="e">
        <f>VLOOKUP(A137,Enforcements!$C$7:$J$24,8,0)</f>
        <v>#N/A</v>
      </c>
      <c r="AC137" s="63" t="e">
        <f>VLOOKUP(A137,Enforcements!$C$7:$E$24,3,0)</f>
        <v>#N/A</v>
      </c>
      <c r="AD137" s="64" t="str">
        <f t="shared" si="59"/>
        <v>0225-14</v>
      </c>
      <c r="AE137" s="104" t="str">
        <f t="shared" si="60"/>
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</c>
      <c r="AF137" s="101" t="str">
        <f t="shared" si="61"/>
        <v>"C:\Program Files (x86)\AstroGrep\AstroGrep.exe" /spath="%USERPROFILE%\AppData\Local\Temp\OnboardLogs" /stypes="*4011*20160815*" /stext=" 02:.+((SYSTEM_STATE.+slice.+state.+changed )|(ment ac)|(system.+state.+changed )|(\|lc)|(penalty)|(\[timeout)|(PRM\|1\|D)|(kpr)|(kdp))" /e /r /s</v>
      </c>
      <c r="AG137" s="1" t="str">
        <f t="shared" si="62"/>
        <v>EC</v>
      </c>
      <c r="AH137" s="105" t="str">
        <f t="shared" si="47"/>
        <v>"%USERPROFILE%\Documents\GitHub\eaglep3\Utilities\RefineRTDCRunTimes.py" --tripid 225-14 --locoid 4011 --swversion DE.1.0.7.0 --startMP 204:480 --initTime 2016-08-14T19:52:25 --startdatetime 2016-08-14T19:53:47 --delay 1 --endMP 204:233332 --enddatetime 2016-08-14T20:36:16 --enforcementcount 0</v>
      </c>
    </row>
    <row r="138" spans="1:34" x14ac:dyDescent="0.25">
      <c r="A138" s="40" t="s">
        <v>600</v>
      </c>
      <c r="B138" s="7">
        <v>4012</v>
      </c>
      <c r="C138" s="25" t="s">
        <v>120</v>
      </c>
      <c r="D138" s="25" t="s">
        <v>601</v>
      </c>
      <c r="E138" s="16">
        <v>42596.86</v>
      </c>
      <c r="F138" s="16">
        <v>42596.860706018517</v>
      </c>
      <c r="G138" s="7">
        <v>1</v>
      </c>
      <c r="H138" s="16" t="s">
        <v>158</v>
      </c>
      <c r="I138" s="16">
        <v>42596.898877314816</v>
      </c>
      <c r="J138" s="7">
        <v>0</v>
      </c>
      <c r="K138" s="143" t="str">
        <f t="shared" si="49"/>
        <v>4011/4012</v>
      </c>
      <c r="L138" s="25" t="str">
        <f>VLOOKUP(A138,'Trips&amp;Operators'!$C$1:$E$10000,3,FALSE)</f>
        <v>NEWELL</v>
      </c>
      <c r="M138" s="6">
        <f t="shared" si="50"/>
        <v>3.8171296298969537E-2</v>
      </c>
      <c r="N138" s="7">
        <f t="shared" si="63"/>
        <v>54.966666670516133</v>
      </c>
      <c r="O138" s="7"/>
      <c r="P138" s="7"/>
      <c r="Q138" s="26"/>
      <c r="R138" s="26"/>
      <c r="S138" s="38">
        <f t="shared" si="51"/>
        <v>1</v>
      </c>
      <c r="T138" s="53" t="str">
        <f t="shared" si="52"/>
        <v>Southbound</v>
      </c>
      <c r="U138" s="13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19:38:24-0600',mode:absolute,to:'2016-08-14 22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38" s="55" t="str">
        <f t="shared" si="54"/>
        <v>N</v>
      </c>
      <c r="X138" s="129">
        <f t="shared" si="55"/>
        <v>1</v>
      </c>
      <c r="Y138" s="70">
        <f t="shared" si="56"/>
        <v>23.300699999999999</v>
      </c>
      <c r="Z138" s="70">
        <f t="shared" si="57"/>
        <v>1.3899999999999999E-2</v>
      </c>
      <c r="AA138" s="70">
        <f t="shared" si="58"/>
        <v>23.286799999999999</v>
      </c>
      <c r="AB138" s="67" t="e">
        <f>VLOOKUP(A138,Enforcements!$C$7:$J$24,8,0)</f>
        <v>#N/A</v>
      </c>
      <c r="AC138" s="63" t="e">
        <f>VLOOKUP(A138,Enforcements!$C$7:$E$24,3,0)</f>
        <v>#N/A</v>
      </c>
      <c r="AD138" s="64" t="str">
        <f t="shared" si="59"/>
        <v>0226-14</v>
      </c>
      <c r="AE138" s="104" t="str">
        <f t="shared" si="60"/>
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</c>
      <c r="AF138" s="101" t="str">
        <f t="shared" si="61"/>
        <v>"C:\Program Files (x86)\AstroGrep\AstroGrep.exe" /spath="%USERPROFILE%\AppData\Local\Temp\OnboardLogs" /stypes="*4012*20160815*" /stext=" 03:.+((SYSTEM_STATE.+slice.+state.+changed )|(ment ac)|(system.+state.+changed )|(\|lc)|(penalty)|(\[timeout)|(PRM\|1\|D)|(kpr)|(kdp))" /e /r /s</v>
      </c>
      <c r="AG138" s="1" t="str">
        <f t="shared" si="62"/>
        <v>EC</v>
      </c>
      <c r="AH138" s="105" t="str">
        <f t="shared" si="47"/>
        <v>"%USERPROFILE%\Documents\GitHub\eaglep3\Utilities\RefineRTDCRunTimes.py" --tripid 226-14 --locoid 4012 --swversion DE.1.0.7.0 --startMP 204:233007 --initTime 2016-08-14T20:38:24 --startdatetime 2016-08-14T20:39:25 --delay 1 --endMP 204:139 --enddatetime 2016-08-14T21:34:23 --enforcementcount 0</v>
      </c>
    </row>
    <row r="139" spans="1:34" x14ac:dyDescent="0.25">
      <c r="A139" s="40" t="s">
        <v>602</v>
      </c>
      <c r="B139" s="7">
        <v>4025</v>
      </c>
      <c r="C139" s="25" t="s">
        <v>120</v>
      </c>
      <c r="D139" s="25" t="s">
        <v>254</v>
      </c>
      <c r="E139" s="16">
        <v>42596.839143518519</v>
      </c>
      <c r="F139" s="16">
        <v>42596.84070601852</v>
      </c>
      <c r="G139" s="7">
        <v>2</v>
      </c>
      <c r="H139" s="16" t="s">
        <v>166</v>
      </c>
      <c r="I139" s="16">
        <v>42596.879884259259</v>
      </c>
      <c r="J139" s="7">
        <v>0</v>
      </c>
      <c r="K139" s="143" t="str">
        <f t="shared" si="49"/>
        <v>4025/4026</v>
      </c>
      <c r="L139" s="25" t="str">
        <f>VLOOKUP(A139,'Trips&amp;Operators'!$C$1:$E$10000,3,FALSE)</f>
        <v>STAMBAUGH</v>
      </c>
      <c r="M139" s="6">
        <f t="shared" si="50"/>
        <v>3.9178240738692693E-2</v>
      </c>
      <c r="N139" s="7">
        <f t="shared" si="63"/>
        <v>56.416666663717479</v>
      </c>
      <c r="O139" s="7"/>
      <c r="P139" s="7"/>
      <c r="Q139" s="26"/>
      <c r="R139" s="26"/>
      <c r="S139" s="38">
        <f t="shared" si="51"/>
        <v>1</v>
      </c>
      <c r="T139" s="53" t="str">
        <f t="shared" si="52"/>
        <v>NorthBound</v>
      </c>
      <c r="U139" s="13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19:08:22-0600',mode:absolute,to:'2016-08-14 22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39" s="55" t="str">
        <f t="shared" si="54"/>
        <v>N</v>
      </c>
      <c r="X139" s="129">
        <f t="shared" si="55"/>
        <v>1</v>
      </c>
      <c r="Y139" s="70">
        <f t="shared" si="56"/>
        <v>4.3999999999999997E-2</v>
      </c>
      <c r="Z139" s="70">
        <f t="shared" si="57"/>
        <v>23.331</v>
      </c>
      <c r="AA139" s="70">
        <f t="shared" si="58"/>
        <v>23.286999999999999</v>
      </c>
      <c r="AB139" s="67" t="e">
        <f>VLOOKUP(A139,Enforcements!$C$7:$J$24,8,0)</f>
        <v>#N/A</v>
      </c>
      <c r="AC139" s="63" t="e">
        <f>VLOOKUP(A139,Enforcements!$C$7:$E$24,3,0)</f>
        <v>#N/A</v>
      </c>
      <c r="AD139" s="64" t="str">
        <f t="shared" si="59"/>
        <v>0227-14</v>
      </c>
      <c r="AE139" s="104" t="str">
        <f t="shared" si="60"/>
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</c>
      <c r="AF139" s="101" t="str">
        <f t="shared" si="61"/>
        <v>"C:\Program Files (x86)\AstroGrep\AstroGrep.exe" /spath="%USERPROFILE%\AppData\Local\Temp\OnboardLogs" /stypes="*4025*20160815*" /stext=" 03:.+((SYSTEM_STATE.+slice.+state.+changed )|(ment ac)|(system.+state.+changed )|(\|lc)|(penalty)|(\[timeout)|(PRM\|1\|D)|(kpr)|(kdp))" /e /r /s</v>
      </c>
      <c r="AG139" s="1" t="str">
        <f t="shared" si="62"/>
        <v>EC</v>
      </c>
      <c r="AH139" s="105" t="str">
        <f t="shared" si="47"/>
        <v>"%USERPROFILE%\Documents\GitHub\eaglep3\Utilities\RefineRTDCRunTimes.py" --tripid 227-14 --locoid 4025 --swversion DE.1.0.7.0 --startMP 204:440 --initTime 2016-08-14T20:08:22 --startdatetime 2016-08-14T20:10:37 --delay 2 --endMP 204:233310 --enddatetime 2016-08-14T21:07:02 --enforcementcount 0</v>
      </c>
    </row>
    <row r="140" spans="1:34" x14ac:dyDescent="0.25">
      <c r="A140" s="40" t="s">
        <v>603</v>
      </c>
      <c r="B140" s="7">
        <v>4026</v>
      </c>
      <c r="C140" s="25" t="s">
        <v>120</v>
      </c>
      <c r="D140" s="25" t="s">
        <v>133</v>
      </c>
      <c r="E140" s="16">
        <v>42596.889988425923</v>
      </c>
      <c r="F140" s="16">
        <v>42596.890810185185</v>
      </c>
      <c r="G140" s="7">
        <v>1</v>
      </c>
      <c r="H140" s="16" t="s">
        <v>264</v>
      </c>
      <c r="I140" s="16">
        <v>42596.919652777775</v>
      </c>
      <c r="J140" s="7">
        <v>0</v>
      </c>
      <c r="K140" s="143" t="str">
        <f t="shared" si="49"/>
        <v>4025/4026</v>
      </c>
      <c r="L140" s="25" t="str">
        <f>VLOOKUP(A140,'Trips&amp;Operators'!$C$1:$E$10000,3,FALSE)</f>
        <v>STAMBAUGH</v>
      </c>
      <c r="M140" s="6">
        <f t="shared" si="50"/>
        <v>2.884259259008104E-2</v>
      </c>
      <c r="N140" s="7">
        <f t="shared" si="63"/>
        <v>41.533333329716697</v>
      </c>
      <c r="O140" s="7"/>
      <c r="P140" s="7"/>
      <c r="Q140" s="26"/>
      <c r="R140" s="26"/>
      <c r="S140" s="38">
        <f t="shared" si="51"/>
        <v>1</v>
      </c>
      <c r="T140" s="53" t="str">
        <f t="shared" si="52"/>
        <v>Southbound</v>
      </c>
      <c r="U140" s="13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1" t="str">
        <f t="shared" si="53"/>
        <v>https://search-rtdc-monitor-bjffxe2xuh6vdkpspy63sjmuny.us-east-1.es.amazonaws.com/_plugin/kibana/#/discover/Steve-Slow-Train-Analysis-(2080s-and-2083s)?_g=(refreshInterval:(display:Off,section:0,value:0),time:(from:'2016-08-14 20:21:35-0600',mode:absolute,to:'2016-08-14 23:04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40" s="55" t="str">
        <f t="shared" si="54"/>
        <v>N</v>
      </c>
      <c r="X140" s="129">
        <f t="shared" si="55"/>
        <v>1</v>
      </c>
      <c r="Y140" s="70">
        <f t="shared" si="56"/>
        <v>23.299800000000001</v>
      </c>
      <c r="Z140" s="70">
        <f t="shared" si="57"/>
        <v>1.52E-2</v>
      </c>
      <c r="AA140" s="70">
        <f t="shared" si="58"/>
        <v>23.284600000000001</v>
      </c>
      <c r="AB140" s="67" t="e">
        <f>VLOOKUP(A140,Enforcements!$C$7:$J$24,8,0)</f>
        <v>#N/A</v>
      </c>
      <c r="AC140" s="63" t="e">
        <f>VLOOKUP(A140,Enforcements!$C$7:$E$24,3,0)</f>
        <v>#N/A</v>
      </c>
      <c r="AD140" s="64" t="str">
        <f t="shared" si="59"/>
        <v>0228-14</v>
      </c>
      <c r="AE140" s="104" t="str">
        <f t="shared" si="60"/>
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</c>
      <c r="AF140" s="101" t="str">
        <f t="shared" si="61"/>
        <v>"C:\Program Files (x86)\AstroGrep\AstroGrep.exe" /spath="%USERPROFILE%\AppData\Local\Temp\OnboardLogs" /stypes="*4026*20160815*" /stext=" 04:.+((SYSTEM_STATE.+slice.+state.+changed )|(ment ac)|(system.+state.+changed )|(\|lc)|(penalty)|(\[timeout)|(PRM\|1\|D)|(kpr)|(kdp))" /e /r /s</v>
      </c>
      <c r="AG140" s="1" t="str">
        <f t="shared" si="62"/>
        <v>EC</v>
      </c>
      <c r="AH140" s="105" t="str">
        <f t="shared" si="47"/>
        <v>"%USERPROFILE%\Documents\GitHub\eaglep3\Utilities\RefineRTDCRunTimes.py" --tripid 228-14 --locoid 4026 --swversion DE.1.0.7.0 --startMP 204:232998 --initTime 2016-08-14T21:21:35 --startdatetime 2016-08-14T21:22:46 --delay 1 --endMP 204:152 --enddatetime 2016-08-14T22:04:18 --enforcementcount 0</v>
      </c>
    </row>
    <row r="141" spans="1:34" x14ac:dyDescent="0.25">
      <c r="A141" s="40" t="s">
        <v>604</v>
      </c>
      <c r="B141" s="7">
        <v>4038</v>
      </c>
      <c r="C141" s="25" t="s">
        <v>120</v>
      </c>
      <c r="D141" s="25" t="s">
        <v>605</v>
      </c>
      <c r="E141" s="16">
        <v>42596.8675</v>
      </c>
      <c r="F141" s="16">
        <v>42596.868414351855</v>
      </c>
      <c r="G141" s="7">
        <v>1</v>
      </c>
      <c r="H141" s="16" t="s">
        <v>606</v>
      </c>
      <c r="I141" s="16">
        <v>42596.900694444441</v>
      </c>
      <c r="J141" s="7">
        <v>0</v>
      </c>
      <c r="K141" s="143" t="str">
        <f t="shared" ref="K141:K170" si="64">IF(ISEVEN(B141),(B141-1)&amp;"/"&amp;B141,B141&amp;"/"&amp;(B141+1))</f>
        <v>4037/4038</v>
      </c>
      <c r="L141" s="25" t="str">
        <f>VLOOKUP(A141,'Trips&amp;Operators'!$C$1:$E$10000,3,FALSE)</f>
        <v>STORY</v>
      </c>
      <c r="M141" s="6">
        <f t="shared" ref="M141:M170" si="65">I141-F141</f>
        <v>3.2280092586006504E-2</v>
      </c>
      <c r="N141" s="7">
        <f t="shared" si="63"/>
        <v>46.483333323849365</v>
      </c>
      <c r="O141" s="7"/>
      <c r="P141" s="7"/>
      <c r="Q141" s="26"/>
      <c r="R141" s="26"/>
      <c r="S141" s="38">
        <f t="shared" ref="S141:S170" si="66">SUM(U141:U141)/IF(AG141="EC",12,1)</f>
        <v>1</v>
      </c>
      <c r="T141" s="53" t="str">
        <f t="shared" ref="T141:T170" si="67">IF(ISEVEN(LEFT(AD141,4)),"Southbound","NorthBound")</f>
        <v>NorthBound</v>
      </c>
      <c r="U141" s="13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1" t="str">
        <f t="shared" ref="V141:V170" si="68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https://search-rtdc-monitor-bjffxe2xuh6vdkpspy63sjmuny.us-east-1.es.amazonaws.com/_plugin/kibana/#/discover/Steve-Slow-Train-Analysis-(2080s-and-2083s)?_g=(refreshInterval:(display:Off,section:0,value:0),time:(from:'2016-08-14 19:49:12-0600',mode:absolute,to:'2016-08-14 22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41" s="55" t="str">
        <f t="shared" ref="W141:W170" si="69">IF(AA141&lt;IF(AG141="EC",23,5.65),"Y","N")</f>
        <v>N</v>
      </c>
      <c r="X141" s="129">
        <f t="shared" ref="X141:X170" si="70">VALUE(LEFT(AD141,4))-VALUE(LEFT(AD140,4))</f>
        <v>1</v>
      </c>
      <c r="Y141" s="70">
        <f t="shared" ref="Y141:Y170" si="71">RIGHT(D141,LEN(D141)-4)/10000</f>
        <v>5.7099999999999998E-2</v>
      </c>
      <c r="Z141" s="70">
        <f t="shared" ref="Z141:Z170" si="72">RIGHT(H141,LEN(H141)-4)/10000</f>
        <v>23.334599999999998</v>
      </c>
      <c r="AA141" s="70">
        <f t="shared" ref="AA141:AA170" si="73">ABS(Z141-Y141)</f>
        <v>23.2775</v>
      </c>
      <c r="AB141" s="67" t="e">
        <f>VLOOKUP(A141,Enforcements!$C$7:$J$24,8,0)</f>
        <v>#N/A</v>
      </c>
      <c r="AC141" s="63" t="e">
        <f>VLOOKUP(A141,Enforcements!$C$7:$E$24,3,0)</f>
        <v>#N/A</v>
      </c>
      <c r="AD141" s="64" t="str">
        <f t="shared" ref="AD141:AD170" si="74">IF(LEN(A141)=6,"0"&amp;A141,A141)</f>
        <v>0229-14</v>
      </c>
      <c r="AE141" s="104" t="str">
        <f t="shared" ref="AE141:AE170" si="75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</c>
      <c r="AF141" s="101" t="str">
        <f t="shared" ref="AF141:AF170" si="76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/stypes="*4038*20160815*" /stext=" 03:.+((SYSTEM_STATE.+slice.+state.+changed )|(ment ac)|(system.+state.+changed )|(\|lc)|(penalty)|(\[timeout)|(PRM\|1\|D)|(kpr)|(kdp))" /e /r /s</v>
      </c>
      <c r="AG141" s="1" t="str">
        <f t="shared" ref="AG141:AG170" si="77">IF(VALUE(LEFT(AD141,2))&lt;=2,"EC",IF(OR(VALUE(LEFT(AD141,2))=8,VALUE(LEFT(AD141,2))=18),"NW","Other"))</f>
        <v>EC</v>
      </c>
      <c r="AH141" s="105" t="str">
        <f t="shared" si="47"/>
        <v>"%USERPROFILE%\Documents\GitHub\eaglep3\Utilities\RefineRTDCRunTimes.py" --tripid 229-14 --locoid 4038 --swversion DE.1.0.7.0 --startMP 204:571 --initTime 2016-08-14T20:49:12 --startdatetime 2016-08-14T20:50:31 --delay 1 --endMP 204:233346 --enddatetime 2016-08-14T21:37:00 --enforcementcount 0</v>
      </c>
    </row>
    <row r="142" spans="1:34" x14ac:dyDescent="0.25">
      <c r="A142" s="40" t="s">
        <v>607</v>
      </c>
      <c r="B142" s="7">
        <v>4037</v>
      </c>
      <c r="C142" s="25" t="s">
        <v>120</v>
      </c>
      <c r="D142" s="25" t="s">
        <v>608</v>
      </c>
      <c r="E142" s="16">
        <v>42596.90457175926</v>
      </c>
      <c r="F142" s="16">
        <v>42596.905810185184</v>
      </c>
      <c r="G142" s="7">
        <v>1</v>
      </c>
      <c r="H142" s="16" t="s">
        <v>339</v>
      </c>
      <c r="I142" s="16">
        <v>42596.941099537034</v>
      </c>
      <c r="J142" s="7">
        <v>0</v>
      </c>
      <c r="K142" s="143" t="str">
        <f t="shared" si="64"/>
        <v>4037/4038</v>
      </c>
      <c r="L142" s="25" t="str">
        <f>VLOOKUP(A142,'Trips&amp;Operators'!$C$1:$E$10000,3,FALSE)</f>
        <v>STORY</v>
      </c>
      <c r="M142" s="6">
        <f t="shared" si="65"/>
        <v>3.5289351850224193E-2</v>
      </c>
      <c r="N142" s="7">
        <f t="shared" si="63"/>
        <v>50.816666664322838</v>
      </c>
      <c r="O142" s="7"/>
      <c r="P142" s="7"/>
      <c r="Q142" s="26"/>
      <c r="R142" s="26"/>
      <c r="S142" s="38">
        <f t="shared" si="66"/>
        <v>1</v>
      </c>
      <c r="T142" s="53" t="str">
        <f t="shared" si="67"/>
        <v>Southbound</v>
      </c>
      <c r="U142" s="13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20:42:35-0600',mode:absolute,to:'2016-08-14 23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42" s="55" t="str">
        <f t="shared" si="69"/>
        <v>N</v>
      </c>
      <c r="X142" s="129">
        <f t="shared" si="70"/>
        <v>1</v>
      </c>
      <c r="Y142" s="70">
        <f t="shared" si="71"/>
        <v>23.302800000000001</v>
      </c>
      <c r="Z142" s="70">
        <f t="shared" si="72"/>
        <v>1.7000000000000001E-2</v>
      </c>
      <c r="AA142" s="70">
        <f t="shared" si="73"/>
        <v>23.285800000000002</v>
      </c>
      <c r="AB142" s="67" t="e">
        <f>VLOOKUP(A142,Enforcements!$C$7:$J$24,8,0)</f>
        <v>#N/A</v>
      </c>
      <c r="AC142" s="63" t="e">
        <f>VLOOKUP(A142,Enforcements!$C$7:$E$24,3,0)</f>
        <v>#N/A</v>
      </c>
      <c r="AD142" s="64" t="str">
        <f t="shared" si="74"/>
        <v>0230-14</v>
      </c>
      <c r="AE142" s="104" t="str">
        <f t="shared" si="75"/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AF142" s="101" t="str">
        <f t="shared" si="76"/>
        <v>"C:\Program Files (x86)\AstroGrep\AstroGrep.exe" /spath="%USERPROFILE%\AppData\Local\Temp\OnboardLogs" /stypes="*4037*20160815*" /stext=" 04:.+((SYSTEM_STATE.+slice.+state.+changed )|(ment ac)|(system.+state.+changed )|(\|lc)|(penalty)|(\[timeout)|(PRM\|1\|D)|(kpr)|(kdp))" /e /r /s</v>
      </c>
      <c r="AG142" s="1" t="str">
        <f t="shared" si="77"/>
        <v>EC</v>
      </c>
      <c r="AH142" s="105" t="str">
        <f t="shared" ref="AH142:AH201" si="78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</f>
        <v>"%USERPROFILE%\Documents\GitHub\eaglep3\Utilities\RefineRTDCRunTimes.py" --tripid 230-14 --locoid 4037 --swversion DE.1.0.7.0 --startMP 204:233028 --initTime 2016-08-14T21:42:35 --startdatetime 2016-08-14T21:44:22 --delay 1 --endMP 204:170 --enddatetime 2016-08-14T22:35:11 --enforcementcount 0</v>
      </c>
    </row>
    <row r="143" spans="1:34" x14ac:dyDescent="0.25">
      <c r="A143" s="40" t="s">
        <v>609</v>
      </c>
      <c r="B143" s="7">
        <v>4029</v>
      </c>
      <c r="C143" s="25" t="s">
        <v>120</v>
      </c>
      <c r="D143" s="25" t="s">
        <v>61</v>
      </c>
      <c r="E143" s="16">
        <v>42596.892604166664</v>
      </c>
      <c r="F143" s="16">
        <v>42596.893506944441</v>
      </c>
      <c r="G143" s="7">
        <v>1</v>
      </c>
      <c r="H143" s="16" t="s">
        <v>610</v>
      </c>
      <c r="I143" s="16">
        <v>42596.92119212963</v>
      </c>
      <c r="J143" s="7">
        <v>0</v>
      </c>
      <c r="K143" s="143" t="str">
        <f t="shared" si="64"/>
        <v>4029/4030</v>
      </c>
      <c r="L143" s="25" t="str">
        <f>VLOOKUP(A143,'Trips&amp;Operators'!$C$1:$E$10000,3,FALSE)</f>
        <v>COOLAHAN</v>
      </c>
      <c r="M143" s="6">
        <f t="shared" si="65"/>
        <v>2.768518518860219E-2</v>
      </c>
      <c r="N143" s="7">
        <f t="shared" si="63"/>
        <v>39.866666671587154</v>
      </c>
      <c r="O143" s="7"/>
      <c r="P143" s="7"/>
      <c r="Q143" s="26"/>
      <c r="R143" s="26"/>
      <c r="S143" s="38">
        <f t="shared" si="66"/>
        <v>1</v>
      </c>
      <c r="T143" s="53" t="str">
        <f t="shared" si="67"/>
        <v>NorthBound</v>
      </c>
      <c r="U143" s="13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20:25:21-0600',mode:absolute,to:'2016-08-14 23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43" s="55" t="str">
        <f t="shared" si="69"/>
        <v>N</v>
      </c>
      <c r="X143" s="129">
        <f t="shared" si="70"/>
        <v>1</v>
      </c>
      <c r="Y143" s="70">
        <f t="shared" si="71"/>
        <v>4.5999999999999999E-2</v>
      </c>
      <c r="Z143" s="70">
        <f t="shared" si="72"/>
        <v>23.327400000000001</v>
      </c>
      <c r="AA143" s="70">
        <f t="shared" si="73"/>
        <v>23.281400000000001</v>
      </c>
      <c r="AB143" s="67" t="e">
        <f>VLOOKUP(A143,Enforcements!$C$7:$J$24,8,0)</f>
        <v>#N/A</v>
      </c>
      <c r="AC143" s="63" t="e">
        <f>VLOOKUP(A143,Enforcements!$C$7:$E$24,3,0)</f>
        <v>#N/A</v>
      </c>
      <c r="AD143" s="64" t="str">
        <f t="shared" si="74"/>
        <v>0231-14</v>
      </c>
      <c r="AE143" s="104" t="str">
        <f t="shared" si="75"/>
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</c>
      <c r="AF143" s="101" t="str">
        <f t="shared" si="76"/>
        <v>"C:\Program Files (x86)\AstroGrep\AstroGrep.exe" /spath="%USERPROFILE%\AppData\Local\Temp\OnboardLogs" /stypes="*4029*20160815*" /stext=" 04:.+((SYSTEM_STATE.+slice.+state.+changed )|(ment ac)|(system.+state.+changed )|(\|lc)|(penalty)|(\[timeout)|(PRM\|1\|D)|(kpr)|(kdp))" /e /r /s</v>
      </c>
      <c r="AG143" s="1" t="str">
        <f t="shared" si="77"/>
        <v>EC</v>
      </c>
      <c r="AH143" s="105" t="str">
        <f t="shared" si="78"/>
        <v>"%USERPROFILE%\Documents\GitHub\eaglep3\Utilities\RefineRTDCRunTimes.py" --tripid 231-14 --locoid 4029 --swversion DE.1.0.7.0 --startMP 204:460 --initTime 2016-08-14T21:25:21 --startdatetime 2016-08-14T21:26:39 --delay 1 --endMP 204:233274 --enddatetime 2016-08-14T22:06:31 --enforcementcount 0</v>
      </c>
    </row>
    <row r="144" spans="1:34" x14ac:dyDescent="0.25">
      <c r="A144" s="40" t="s">
        <v>611</v>
      </c>
      <c r="B144" s="7">
        <v>4030</v>
      </c>
      <c r="C144" s="25" t="s">
        <v>120</v>
      </c>
      <c r="D144" s="25" t="s">
        <v>152</v>
      </c>
      <c r="E144" s="16">
        <v>42596.927858796298</v>
      </c>
      <c r="F144" s="16">
        <v>42596.932175925926</v>
      </c>
      <c r="G144" s="7">
        <v>6</v>
      </c>
      <c r="H144" s="16" t="s">
        <v>182</v>
      </c>
      <c r="I144" s="16">
        <v>42596.962372685186</v>
      </c>
      <c r="J144" s="7">
        <v>0</v>
      </c>
      <c r="K144" s="143" t="str">
        <f t="shared" si="64"/>
        <v>4029/4030</v>
      </c>
      <c r="L144" s="25" t="str">
        <f>VLOOKUP(A144,'Trips&amp;Operators'!$C$1:$E$10000,3,FALSE)</f>
        <v>COOLAHAN</v>
      </c>
      <c r="M144" s="6">
        <f t="shared" si="65"/>
        <v>3.0196759260434192E-2</v>
      </c>
      <c r="N144" s="7">
        <f t="shared" si="63"/>
        <v>43.483333335025236</v>
      </c>
      <c r="O144" s="7"/>
      <c r="P144" s="7"/>
      <c r="Q144" s="26"/>
      <c r="R144" s="26"/>
      <c r="S144" s="38">
        <f t="shared" si="66"/>
        <v>1</v>
      </c>
      <c r="T144" s="53" t="str">
        <f t="shared" si="67"/>
        <v>Southbound</v>
      </c>
      <c r="U144" s="13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21:16:07-0600',mode:absolute,to:'2016-08-15 00:05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44" s="55" t="str">
        <f t="shared" si="69"/>
        <v>N</v>
      </c>
      <c r="X144" s="129">
        <f t="shared" si="70"/>
        <v>1</v>
      </c>
      <c r="Y144" s="70">
        <f t="shared" si="71"/>
        <v>23.2959</v>
      </c>
      <c r="Z144" s="70">
        <f t="shared" si="72"/>
        <v>1.6E-2</v>
      </c>
      <c r="AA144" s="70">
        <f t="shared" si="73"/>
        <v>23.279900000000001</v>
      </c>
      <c r="AB144" s="67">
        <f>VLOOKUP(A144,Enforcements!$C$7:$J$24,8,0)</f>
        <v>190834</v>
      </c>
      <c r="AC144" s="63" t="str">
        <f>VLOOKUP(A144,Enforcements!$C$7:$E$24,3,0)</f>
        <v>PERMANENT SPEED RESTRICTION</v>
      </c>
      <c r="AD144" s="64" t="str">
        <f t="shared" si="74"/>
        <v>0232-14</v>
      </c>
      <c r="AE144" s="104" t="str">
        <f t="shared" si="75"/>
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</c>
      <c r="AF144" s="101" t="str">
        <f t="shared" si="76"/>
        <v>"C:\Program Files (x86)\AstroGrep\AstroGrep.exe" /spath="%USERPROFILE%\AppData\Local\Temp\OnboardLogs" /stypes="*4030*20160815*" /stext=" 05:.+((SYSTEM_STATE.+slice.+state.+changed )|(ment ac)|(system.+state.+changed )|(\|lc)|(penalty)|(\[timeout)|(PRM\|1\|D)|(kpr)|(kdp))" /e /r /s</v>
      </c>
      <c r="AG144" s="1" t="str">
        <f t="shared" si="77"/>
        <v>EC</v>
      </c>
      <c r="AH144" s="105" t="str">
        <f t="shared" si="78"/>
        <v>"%USERPROFILE%\Documents\GitHub\eaglep3\Utilities\RefineRTDCRunTimes.py" --tripid 232-14 --locoid 4030 --swversion DE.1.0.7.0 --startMP 204:232959 --initTime 2016-08-14T22:16:07 --startdatetime 2016-08-14T22:22:20 --delay 6 --endMP 204:160 --enddatetime 2016-08-14T23:05:49 --enforcementcount 0</v>
      </c>
    </row>
    <row r="145" spans="1:34" x14ac:dyDescent="0.25">
      <c r="A145" s="40" t="s">
        <v>612</v>
      </c>
      <c r="B145" s="7">
        <v>4011</v>
      </c>
      <c r="C145" s="25" t="s">
        <v>120</v>
      </c>
      <c r="D145" s="25" t="s">
        <v>157</v>
      </c>
      <c r="E145" s="16">
        <v>42596.908692129633</v>
      </c>
      <c r="F145" s="16">
        <v>42596.909861111111</v>
      </c>
      <c r="G145" s="7">
        <v>1</v>
      </c>
      <c r="H145" s="16" t="s">
        <v>613</v>
      </c>
      <c r="I145" s="16">
        <v>42596.94326388889</v>
      </c>
      <c r="J145" s="7">
        <v>0</v>
      </c>
      <c r="K145" s="143" t="str">
        <f t="shared" si="64"/>
        <v>4011/4012</v>
      </c>
      <c r="L145" s="25" t="str">
        <f>VLOOKUP(A145,'Trips&amp;Operators'!$C$1:$E$10000,3,FALSE)</f>
        <v>NEWELL</v>
      </c>
      <c r="M145" s="6">
        <f t="shared" si="65"/>
        <v>3.3402777778974269E-2</v>
      </c>
      <c r="N145" s="7">
        <f t="shared" si="63"/>
        <v>48.100000001722947</v>
      </c>
      <c r="O145" s="7"/>
      <c r="P145" s="7"/>
      <c r="Q145" s="26"/>
      <c r="R145" s="26"/>
      <c r="S145" s="38">
        <f t="shared" si="66"/>
        <v>1</v>
      </c>
      <c r="T145" s="53" t="str">
        <f t="shared" si="67"/>
        <v>NorthBound</v>
      </c>
      <c r="U145" s="13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20:48:31-0600',mode:absolute,to:'2016-08-14 23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45" s="55" t="str">
        <f t="shared" si="69"/>
        <v>N</v>
      </c>
      <c r="X145" s="129">
        <f t="shared" si="70"/>
        <v>1</v>
      </c>
      <c r="Y145" s="70">
        <f t="shared" si="71"/>
        <v>4.3700000000000003E-2</v>
      </c>
      <c r="Z145" s="70">
        <f t="shared" si="72"/>
        <v>23.3278</v>
      </c>
      <c r="AA145" s="70">
        <f t="shared" si="73"/>
        <v>23.284099999999999</v>
      </c>
      <c r="AB145" s="67" t="e">
        <f>VLOOKUP(A145,Enforcements!$C$7:$J$24,8,0)</f>
        <v>#N/A</v>
      </c>
      <c r="AC145" s="63" t="e">
        <f>VLOOKUP(A145,Enforcements!$C$7:$E$24,3,0)</f>
        <v>#N/A</v>
      </c>
      <c r="AD145" s="64" t="str">
        <f t="shared" si="74"/>
        <v>0233-14</v>
      </c>
      <c r="AE145" s="104" t="str">
        <f t="shared" si="75"/>
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</c>
      <c r="AF145" s="101" t="str">
        <f t="shared" si="76"/>
        <v>"C:\Program Files (x86)\AstroGrep\AstroGrep.exe" /spath="%USERPROFILE%\AppData\Local\Temp\OnboardLogs" /stypes="*4011*20160815*" /stext=" 04:.+((SYSTEM_STATE.+slice.+state.+changed )|(ment ac)|(system.+state.+changed )|(\|lc)|(penalty)|(\[timeout)|(PRM\|1\|D)|(kpr)|(kdp))" /e /r /s</v>
      </c>
      <c r="AG145" s="1" t="str">
        <f t="shared" si="77"/>
        <v>EC</v>
      </c>
      <c r="AH145" s="105" t="str">
        <f t="shared" si="78"/>
        <v>"%USERPROFILE%\Documents\GitHub\eaglep3\Utilities\RefineRTDCRunTimes.py" --tripid 233-14 --locoid 4011 --swversion DE.1.0.7.0 --startMP 204:437 --initTime 2016-08-14T21:48:31 --startdatetime 2016-08-14T21:50:12 --delay 1 --endMP 204:233278 --enddatetime 2016-08-14T22:38:18 --enforcementcount 0</v>
      </c>
    </row>
    <row r="146" spans="1:34" x14ac:dyDescent="0.25">
      <c r="A146" s="40" t="s">
        <v>614</v>
      </c>
      <c r="B146" s="7">
        <v>4012</v>
      </c>
      <c r="C146" s="25" t="s">
        <v>120</v>
      </c>
      <c r="D146" s="25" t="s">
        <v>275</v>
      </c>
      <c r="E146" s="16">
        <v>42596.952743055554</v>
      </c>
      <c r="F146" s="16">
        <v>42596.953645833331</v>
      </c>
      <c r="G146" s="7">
        <v>1</v>
      </c>
      <c r="H146" s="16" t="s">
        <v>382</v>
      </c>
      <c r="I146" s="16">
        <v>42596.984699074077</v>
      </c>
      <c r="J146" s="7">
        <v>0</v>
      </c>
      <c r="K146" s="143" t="str">
        <f t="shared" si="64"/>
        <v>4011/4012</v>
      </c>
      <c r="L146" s="25" t="str">
        <f>VLOOKUP(A146,'Trips&amp;Operators'!$C$1:$E$10000,3,FALSE)</f>
        <v>NEWELL</v>
      </c>
      <c r="M146" s="6">
        <f t="shared" si="65"/>
        <v>3.1053240745677613E-2</v>
      </c>
      <c r="N146" s="7">
        <f t="shared" si="63"/>
        <v>44.716666673775762</v>
      </c>
      <c r="O146" s="7"/>
      <c r="P146" s="7"/>
      <c r="Q146" s="26"/>
      <c r="R146" s="26"/>
      <c r="S146" s="38">
        <f t="shared" si="66"/>
        <v>1</v>
      </c>
      <c r="T146" s="53" t="str">
        <f t="shared" si="67"/>
        <v>Southbound</v>
      </c>
      <c r="U146" s="13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21:51:57-0600',mode:absolute,to:'2016-08-15 00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46" s="55" t="str">
        <f t="shared" si="69"/>
        <v>N</v>
      </c>
      <c r="X146" s="129">
        <f t="shared" si="70"/>
        <v>1</v>
      </c>
      <c r="Y146" s="70">
        <f t="shared" si="71"/>
        <v>23.301100000000002</v>
      </c>
      <c r="Z146" s="70">
        <f t="shared" si="72"/>
        <v>1.41E-2</v>
      </c>
      <c r="AA146" s="70">
        <f t="shared" si="73"/>
        <v>23.287000000000003</v>
      </c>
      <c r="AB146" s="67" t="e">
        <f>VLOOKUP(A146,Enforcements!$C$7:$J$24,8,0)</f>
        <v>#N/A</v>
      </c>
      <c r="AC146" s="63" t="e">
        <f>VLOOKUP(A146,Enforcements!$C$7:$E$24,3,0)</f>
        <v>#N/A</v>
      </c>
      <c r="AD146" s="64" t="str">
        <f t="shared" si="74"/>
        <v>0234-14</v>
      </c>
      <c r="AE146" s="104" t="str">
        <f t="shared" si="75"/>
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</c>
      <c r="AF146" s="101" t="str">
        <f t="shared" si="76"/>
        <v>"C:\Program Files (x86)\AstroGrep\AstroGrep.exe" /spath="%USERPROFILE%\AppData\Local\Temp\OnboardLogs" /stypes="*4012*20160815*" /stext=" 05:.+((SYSTEM_STATE.+slice.+state.+changed )|(ment ac)|(system.+state.+changed )|(\|lc)|(penalty)|(\[timeout)|(PRM\|1\|D)|(kpr)|(kdp))" /e /r /s</v>
      </c>
      <c r="AG146" s="1" t="str">
        <f t="shared" si="77"/>
        <v>EC</v>
      </c>
      <c r="AH146" s="105" t="str">
        <f t="shared" si="78"/>
        <v>"%USERPROFILE%\Documents\GitHub\eaglep3\Utilities\RefineRTDCRunTimes.py" --tripid 234-14 --locoid 4012 --swversion DE.1.0.7.0 --startMP 204:233011 --initTime 2016-08-14T22:51:57 --startdatetime 2016-08-14T22:53:15 --delay 1 --endMP 204:141 --enddatetime 2016-08-14T23:37:58 --enforcementcount 0</v>
      </c>
    </row>
    <row r="147" spans="1:34" x14ac:dyDescent="0.25">
      <c r="A147" s="40" t="s">
        <v>615</v>
      </c>
      <c r="B147" s="7">
        <v>4025</v>
      </c>
      <c r="C147" s="25" t="s">
        <v>120</v>
      </c>
      <c r="D147" s="25" t="s">
        <v>616</v>
      </c>
      <c r="E147" s="16">
        <v>42596.934629629628</v>
      </c>
      <c r="F147" s="16">
        <v>42596.938738425924</v>
      </c>
      <c r="G147" s="7">
        <v>5</v>
      </c>
      <c r="H147" s="16" t="s">
        <v>617</v>
      </c>
      <c r="I147" s="16">
        <v>42596.939664351848</v>
      </c>
      <c r="J147" s="7">
        <v>0</v>
      </c>
      <c r="K147" s="143" t="str">
        <f t="shared" si="64"/>
        <v>4025/4026</v>
      </c>
      <c r="L147" s="25" t="str">
        <f>VLOOKUP(A147,'Trips&amp;Operators'!$C$1:$E$10000,3,FALSE)</f>
        <v>STAMBAUGH</v>
      </c>
      <c r="M147" s="6">
        <f t="shared" si="65"/>
        <v>9.2592592409346253E-4</v>
      </c>
      <c r="N147" s="7"/>
      <c r="O147" s="7"/>
      <c r="P147" s="7">
        <f>24*60*SUM($M147:$M148)</f>
        <v>31.233333331765607</v>
      </c>
      <c r="Q147" s="26"/>
      <c r="R147" s="26" t="s">
        <v>663</v>
      </c>
      <c r="S147" s="38">
        <f>SUM(U147:U148)/IF(AG147="EC",12,1)</f>
        <v>1</v>
      </c>
      <c r="T147" s="53" t="str">
        <f t="shared" si="67"/>
        <v>NorthBound</v>
      </c>
      <c r="U147" s="13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0</v>
      </c>
      <c r="V147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21:25:52-0600',mode:absolute,to:'2016-08-14 23:33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47" s="55" t="str">
        <f t="shared" si="69"/>
        <v>Y</v>
      </c>
      <c r="X147" s="129">
        <f t="shared" si="70"/>
        <v>1</v>
      </c>
      <c r="Y147" s="70">
        <f t="shared" si="71"/>
        <v>0.16500000000000001</v>
      </c>
      <c r="Z147" s="70">
        <f t="shared" si="72"/>
        <v>0.18609999999999999</v>
      </c>
      <c r="AA147" s="70">
        <f t="shared" si="73"/>
        <v>2.109999999999998E-2</v>
      </c>
      <c r="AB147" s="67">
        <f>VLOOKUP(A147,Enforcements!$C$7:$J$24,8,0)</f>
        <v>1692</v>
      </c>
      <c r="AC147" s="63" t="str">
        <f>VLOOKUP(A147,Enforcements!$C$7:$E$24,3,0)</f>
        <v>SIGNAL</v>
      </c>
      <c r="AD147" s="64" t="str">
        <f t="shared" si="74"/>
        <v>0235-14</v>
      </c>
      <c r="AE147" s="104" t="str">
        <f t="shared" si="75"/>
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</c>
      <c r="AF147" s="101" t="str">
        <f t="shared" si="76"/>
        <v>"C:\Program Files (x86)\AstroGrep\AstroGrep.exe" /spath="%USERPROFILE%\AppData\Local\Temp\OnboardLogs" /stypes="*4025*20160815*" /stext=" 04:.+((SYSTEM_STATE.+slice.+state.+changed )|(ment ac)|(system.+state.+changed )|(\|lc)|(penalty)|(\[timeout)|(PRM\|1\|D)|(kpr)|(kdp))" /e /r /s</v>
      </c>
      <c r="AG147" s="1" t="str">
        <f t="shared" si="77"/>
        <v>EC</v>
      </c>
      <c r="AH147" s="105" t="str">
        <f t="shared" si="78"/>
        <v>"%USERPROFILE%\Documents\GitHub\eaglep3\Utilities\RefineRTDCRunTimes.py" --tripid 235-14 --locoid 4025 --swversion DE.1.0.7.0 --startMP 204:1650 --initTime 2016-08-14T22:25:52 --startdatetime 2016-08-14T22:31:47 --delay 5 --endMP 204:1861 --enddatetime 2016-08-14T22:33:07 --enforcementcount 0</v>
      </c>
    </row>
    <row r="148" spans="1:34" x14ac:dyDescent="0.25">
      <c r="A148" s="40" t="s">
        <v>615</v>
      </c>
      <c r="B148" s="7">
        <v>4025</v>
      </c>
      <c r="C148" s="25" t="s">
        <v>120</v>
      </c>
      <c r="D148" s="25" t="s">
        <v>618</v>
      </c>
      <c r="E148" s="16">
        <v>42596.942476851851</v>
      </c>
      <c r="F148" s="16">
        <v>42596.943287037036</v>
      </c>
      <c r="G148" s="7">
        <v>1</v>
      </c>
      <c r="H148" s="16" t="s">
        <v>274</v>
      </c>
      <c r="I148" s="16">
        <v>42596.964050925926</v>
      </c>
      <c r="J148" s="7">
        <v>0</v>
      </c>
      <c r="K148" s="143" t="str">
        <f t="shared" si="64"/>
        <v>4025/4026</v>
      </c>
      <c r="L148" s="25" t="str">
        <f>VLOOKUP(A148,'Trips&amp;Operators'!$C$1:$E$10000,3,FALSE)</f>
        <v>STAMBAUGH</v>
      </c>
      <c r="M148" s="6">
        <f t="shared" si="65"/>
        <v>2.0763888889632653E-2</v>
      </c>
      <c r="N148" s="7"/>
      <c r="O148" s="7"/>
      <c r="P148" s="7"/>
      <c r="Q148" s="26"/>
      <c r="R148" s="26"/>
      <c r="S148" s="38"/>
      <c r="T148" s="53" t="str">
        <f t="shared" si="67"/>
        <v>NorthBound</v>
      </c>
      <c r="U148" s="13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21:37:10-0600',mode:absolute,to:'2016-08-15 00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48" s="55" t="str">
        <f t="shared" si="69"/>
        <v>Y</v>
      </c>
      <c r="X148" s="129">
        <f t="shared" si="70"/>
        <v>0</v>
      </c>
      <c r="Y148" s="70">
        <f t="shared" si="71"/>
        <v>1.9117999999999999</v>
      </c>
      <c r="Z148" s="70">
        <f t="shared" si="72"/>
        <v>23.3322</v>
      </c>
      <c r="AA148" s="70">
        <f t="shared" si="73"/>
        <v>21.420400000000001</v>
      </c>
      <c r="AB148" s="67">
        <f>VLOOKUP(A148,Enforcements!$C$7:$J$24,8,0)</f>
        <v>1692</v>
      </c>
      <c r="AC148" s="63" t="str">
        <f>VLOOKUP(A148,Enforcements!$C$7:$E$24,3,0)</f>
        <v>SIGNAL</v>
      </c>
      <c r="AD148" s="64" t="str">
        <f t="shared" si="74"/>
        <v>0235-14</v>
      </c>
      <c r="AE148" s="104" t="str">
        <f t="shared" si="75"/>
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</c>
      <c r="AF148" s="101" t="str">
        <f t="shared" si="76"/>
        <v>"C:\Program Files (x86)\AstroGrep\AstroGrep.exe" /spath="%USERPROFILE%\AppData\Local\Temp\OnboardLogs" /stypes="*4025*20160815*" /stext=" 05:.+((SYSTEM_STATE.+slice.+state.+changed )|(ment ac)|(system.+state.+changed )|(\|lc)|(penalty)|(\[timeout)|(PRM\|1\|D)|(kpr)|(kdp))" /e /r /s</v>
      </c>
      <c r="AG148" s="1" t="str">
        <f t="shared" si="77"/>
        <v>EC</v>
      </c>
      <c r="AH148" s="105" t="str">
        <f t="shared" si="78"/>
        <v>"%USERPROFILE%\Documents\GitHub\eaglep3\Utilities\RefineRTDCRunTimes.py" --tripid 235-14 --locoid 4025 --swversion DE.1.0.7.0 --startMP 204:19118 --initTime 2016-08-14T22:37:10 --startdatetime 2016-08-14T22:38:20 --delay 1 --endMP 204:233322 --enddatetime 2016-08-14T23:08:14 --enforcementcount 0</v>
      </c>
    </row>
    <row r="149" spans="1:34" x14ac:dyDescent="0.25">
      <c r="A149" s="40" t="s">
        <v>619</v>
      </c>
      <c r="B149" s="7">
        <v>4026</v>
      </c>
      <c r="C149" s="25" t="s">
        <v>120</v>
      </c>
      <c r="D149" s="25" t="s">
        <v>205</v>
      </c>
      <c r="E149" s="16">
        <v>42596.972962962966</v>
      </c>
      <c r="F149" s="16">
        <v>42596.973912037036</v>
      </c>
      <c r="G149" s="7">
        <v>1</v>
      </c>
      <c r="H149" s="16" t="s">
        <v>620</v>
      </c>
      <c r="I149" s="16">
        <v>42597.003935185188</v>
      </c>
      <c r="J149" s="7">
        <v>0</v>
      </c>
      <c r="K149" s="143" t="str">
        <f t="shared" si="64"/>
        <v>4025/4026</v>
      </c>
      <c r="L149" s="25" t="str">
        <f>VLOOKUP(A149,'Trips&amp;Operators'!$C$1:$E$10000,3,FALSE)</f>
        <v>STAMBAUGH</v>
      </c>
      <c r="M149" s="6">
        <f t="shared" si="65"/>
        <v>3.0023148152395152E-2</v>
      </c>
      <c r="N149" s="7">
        <f t="shared" si="63"/>
        <v>43.233333339449018</v>
      </c>
      <c r="O149" s="7"/>
      <c r="P149" s="7"/>
      <c r="Q149" s="26"/>
      <c r="R149" s="26"/>
      <c r="S149" s="38">
        <f t="shared" si="66"/>
        <v>1</v>
      </c>
      <c r="T149" s="53" t="str">
        <f t="shared" si="67"/>
        <v>Southbound</v>
      </c>
      <c r="U149" s="13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22:21:04-0600',mode:absolute,to:'2016-08-15 01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49" s="55" t="str">
        <f t="shared" si="69"/>
        <v>N</v>
      </c>
      <c r="X149" s="129">
        <f t="shared" si="70"/>
        <v>1</v>
      </c>
      <c r="Y149" s="70">
        <f t="shared" si="71"/>
        <v>23.3</v>
      </c>
      <c r="Z149" s="70">
        <f t="shared" si="72"/>
        <v>3.3399999999999999E-2</v>
      </c>
      <c r="AA149" s="70">
        <f t="shared" si="73"/>
        <v>23.2666</v>
      </c>
      <c r="AB149" s="67" t="e">
        <f>VLOOKUP(A149,Enforcements!$C$7:$J$24,8,0)</f>
        <v>#N/A</v>
      </c>
      <c r="AC149" s="63" t="e">
        <f>VLOOKUP(A149,Enforcements!$C$7:$E$24,3,0)</f>
        <v>#N/A</v>
      </c>
      <c r="AD149" s="64" t="str">
        <f t="shared" si="74"/>
        <v>0236-14</v>
      </c>
      <c r="AE149" s="104" t="str">
        <f t="shared" si="75"/>
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</c>
      <c r="AF149" s="101" t="str">
        <f t="shared" si="76"/>
        <v>"C:\Program Files (x86)\AstroGrep\AstroGrep.exe" /spath="%USERPROFILE%\AppData\Local\Temp\OnboardLogs" /stypes="*4026*20160815*" /stext=" 06:.+((SYSTEM_STATE.+slice.+state.+changed )|(ment ac)|(system.+state.+changed )|(\|lc)|(penalty)|(\[timeout)|(PRM\|1\|D)|(kpr)|(kdp))" /e /r /s</v>
      </c>
      <c r="AG149" s="1" t="str">
        <f t="shared" si="77"/>
        <v>EC</v>
      </c>
      <c r="AH149" s="105" t="str">
        <f t="shared" si="78"/>
        <v>"%USERPROFILE%\Documents\GitHub\eaglep3\Utilities\RefineRTDCRunTimes.py" --tripid 236-14 --locoid 4026 --swversion DE.1.0.7.0 --startMP 204:233000 --initTime 2016-08-14T23:21:04 --startdatetime 2016-08-14T23:22:26 --delay 1 --endMP 204:334 --enddatetime 2016-08-15T00:05:40 --enforcementcount 0</v>
      </c>
    </row>
    <row r="150" spans="1:34" x14ac:dyDescent="0.25">
      <c r="A150" s="40" t="s">
        <v>621</v>
      </c>
      <c r="B150" s="7">
        <v>4038</v>
      </c>
      <c r="C150" s="25" t="s">
        <v>120</v>
      </c>
      <c r="D150" s="25" t="s">
        <v>114</v>
      </c>
      <c r="E150" s="16">
        <v>42596.954351851855</v>
      </c>
      <c r="F150" s="16">
        <v>42596.955277777779</v>
      </c>
      <c r="G150" s="7">
        <v>1</v>
      </c>
      <c r="H150" s="16" t="s">
        <v>280</v>
      </c>
      <c r="I150" s="16">
        <v>42596.983263888891</v>
      </c>
      <c r="J150" s="7">
        <v>0</v>
      </c>
      <c r="K150" s="143" t="str">
        <f t="shared" si="64"/>
        <v>4037/4038</v>
      </c>
      <c r="L150" s="25" t="str">
        <f>VLOOKUP(A150,'Trips&amp;Operators'!$C$1:$E$10000,3,FALSE)</f>
        <v>STORY</v>
      </c>
      <c r="M150" s="6">
        <f t="shared" si="65"/>
        <v>2.7986111112113576E-2</v>
      </c>
      <c r="N150" s="7">
        <f t="shared" si="63"/>
        <v>40.30000000144355</v>
      </c>
      <c r="O150" s="7"/>
      <c r="P150" s="7"/>
      <c r="Q150" s="26"/>
      <c r="R150" s="26"/>
      <c r="S150" s="38">
        <f t="shared" si="66"/>
        <v>1</v>
      </c>
      <c r="T150" s="53" t="str">
        <f t="shared" si="67"/>
        <v>NorthBound</v>
      </c>
      <c r="U150" s="13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21:54:16-0600',mode:absolute,to:'2016-08-15 00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50" s="55" t="str">
        <f t="shared" si="69"/>
        <v>N</v>
      </c>
      <c r="X150" s="129">
        <f t="shared" si="70"/>
        <v>1</v>
      </c>
      <c r="Y150" s="70">
        <f t="shared" si="71"/>
        <v>4.6399999999999997E-2</v>
      </c>
      <c r="Z150" s="70">
        <f t="shared" si="72"/>
        <v>23.331600000000002</v>
      </c>
      <c r="AA150" s="70">
        <f t="shared" si="73"/>
        <v>23.285200000000003</v>
      </c>
      <c r="AB150" s="67" t="e">
        <f>VLOOKUP(A150,Enforcements!$C$7:$J$24,8,0)</f>
        <v>#N/A</v>
      </c>
      <c r="AC150" s="63" t="e">
        <f>VLOOKUP(A150,Enforcements!$C$7:$E$24,3,0)</f>
        <v>#N/A</v>
      </c>
      <c r="AD150" s="64" t="str">
        <f t="shared" si="74"/>
        <v>0237-14</v>
      </c>
      <c r="AE150" s="104" t="str">
        <f t="shared" si="75"/>
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</c>
      <c r="AF150" s="101" t="str">
        <f t="shared" si="76"/>
        <v>"C:\Program Files (x86)\AstroGrep\AstroGrep.exe" /spath="%USERPROFILE%\AppData\Local\Temp\OnboardLogs" /stypes="*4038*20160815*" /stext=" 05:.+((SYSTEM_STATE.+slice.+state.+changed )|(ment ac)|(system.+state.+changed )|(\|lc)|(penalty)|(\[timeout)|(PRM\|1\|D)|(kpr)|(kdp))" /e /r /s</v>
      </c>
      <c r="AG150" s="1" t="str">
        <f t="shared" si="77"/>
        <v>EC</v>
      </c>
      <c r="AH150" s="105" t="str">
        <f t="shared" si="78"/>
        <v>"%USERPROFILE%\Documents\GitHub\eaglep3\Utilities\RefineRTDCRunTimes.py" --tripid 237-14 --locoid 4038 --swversion DE.1.0.7.0 --startMP 204:464 --initTime 2016-08-14T22:54:16 --startdatetime 2016-08-14T22:55:36 --delay 1 --endMP 204:233316 --enddatetime 2016-08-14T23:35:54 --enforcementcount 0</v>
      </c>
    </row>
    <row r="151" spans="1:34" x14ac:dyDescent="0.25">
      <c r="A151" s="40" t="s">
        <v>622</v>
      </c>
      <c r="B151" s="7">
        <v>4037</v>
      </c>
      <c r="C151" s="25" t="s">
        <v>120</v>
      </c>
      <c r="D151" s="25" t="s">
        <v>198</v>
      </c>
      <c r="E151" s="16">
        <v>42596.989317129628</v>
      </c>
      <c r="F151" s="16">
        <v>42596.990428240744</v>
      </c>
      <c r="G151" s="7">
        <v>1</v>
      </c>
      <c r="H151" s="16" t="s">
        <v>316</v>
      </c>
      <c r="I151" s="16">
        <v>42597.026770833334</v>
      </c>
      <c r="J151" s="7">
        <v>0</v>
      </c>
      <c r="K151" s="143" t="str">
        <f t="shared" si="64"/>
        <v>4037/4038</v>
      </c>
      <c r="L151" s="25" t="str">
        <f>VLOOKUP(A151,'Trips&amp;Operators'!$C$1:$E$10000,3,FALSE)</f>
        <v>STORY</v>
      </c>
      <c r="M151" s="6">
        <f t="shared" si="65"/>
        <v>3.6342592589790002E-2</v>
      </c>
      <c r="N151" s="7">
        <f t="shared" si="63"/>
        <v>52.333333329297602</v>
      </c>
      <c r="O151" s="7"/>
      <c r="P151" s="7"/>
      <c r="Q151" s="26"/>
      <c r="R151" s="26"/>
      <c r="S151" s="38">
        <f t="shared" si="66"/>
        <v>1</v>
      </c>
      <c r="T151" s="53" t="str">
        <f t="shared" si="67"/>
        <v>Southbound</v>
      </c>
      <c r="U151" s="13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22:44:37-0600',mode:absolute,to:'2016-08-15 01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51" s="55" t="str">
        <f t="shared" si="69"/>
        <v>N</v>
      </c>
      <c r="X151" s="129">
        <f t="shared" ref="X151:X160" si="79">VALUE(LEFT(AD151,4))-VALUE(LEFT(AD150,4))</f>
        <v>1</v>
      </c>
      <c r="Y151" s="70">
        <f t="shared" ref="Y151:Y160" si="80">RIGHT(D151,LEN(D151)-4)/10000</f>
        <v>23.3001</v>
      </c>
      <c r="Z151" s="70">
        <f t="shared" si="72"/>
        <v>1.21E-2</v>
      </c>
      <c r="AA151" s="70">
        <f t="shared" si="73"/>
        <v>23.288</v>
      </c>
      <c r="AB151" s="67">
        <f>VLOOKUP(A151,Enforcements!$C$7:$J$24,8,0)</f>
        <v>229055</v>
      </c>
      <c r="AC151" s="63" t="str">
        <f>VLOOKUP(A151,Enforcements!$C$7:$E$24,3,0)</f>
        <v>PERMANENT SPEED RESTRICTION</v>
      </c>
      <c r="AD151" s="64" t="str">
        <f t="shared" si="74"/>
        <v>0238-14</v>
      </c>
      <c r="AE151" s="104" t="str">
        <f t="shared" si="75"/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AF151" s="101" t="str">
        <f t="shared" si="76"/>
        <v>"C:\Program Files (x86)\AstroGrep\AstroGrep.exe" /spath="%USERPROFILE%\AppData\Local\Temp\OnboardLogs" /stypes="*4037*20160815*" /stext=" 06:.+((SYSTEM_STATE.+slice.+state.+changed )|(ment ac)|(system.+state.+changed )|(\|lc)|(penalty)|(\[timeout)|(PRM\|1\|D)|(kpr)|(kdp))" /e /r /s</v>
      </c>
      <c r="AG151" s="1" t="str">
        <f t="shared" si="77"/>
        <v>EC</v>
      </c>
      <c r="AH151" s="105" t="str">
        <f t="shared" si="78"/>
        <v>"%USERPROFILE%\Documents\GitHub\eaglep3\Utilities\RefineRTDCRunTimes.py" --tripid 238-14 --locoid 4037 --swversion DE.1.0.7.0 --startMP 204:233001 --initTime 2016-08-14T23:44:37 --startdatetime 2016-08-14T23:46:13 --delay 1 --endMP 204:121 --enddatetime 2016-08-15T00:38:33 --enforcementcount 0</v>
      </c>
    </row>
    <row r="152" spans="1:34" x14ac:dyDescent="0.25">
      <c r="A152" s="40" t="s">
        <v>623</v>
      </c>
      <c r="B152" s="7">
        <v>4029</v>
      </c>
      <c r="C152" s="25" t="s">
        <v>120</v>
      </c>
      <c r="D152" s="25" t="s">
        <v>142</v>
      </c>
      <c r="E152" s="16">
        <v>42596.971747685187</v>
      </c>
      <c r="F152" s="16">
        <v>42596.972928240742</v>
      </c>
      <c r="G152" s="7">
        <v>1</v>
      </c>
      <c r="H152" s="16" t="s">
        <v>624</v>
      </c>
      <c r="I152" s="16">
        <v>42597.0075462963</v>
      </c>
      <c r="J152" s="7">
        <v>0</v>
      </c>
      <c r="K152" s="143" t="str">
        <f t="shared" si="64"/>
        <v>4029/4030</v>
      </c>
      <c r="L152" s="25" t="str">
        <f>VLOOKUP(A152,'Trips&amp;Operators'!$C$1:$E$10000,3,FALSE)</f>
        <v>COOPER</v>
      </c>
      <c r="M152" s="6">
        <f t="shared" si="65"/>
        <v>3.4618055557075422E-2</v>
      </c>
      <c r="N152" s="7">
        <f t="shared" ref="N152:P184" si="81">24*60*SUM($M152:$M152)</f>
        <v>49.850000002188608</v>
      </c>
      <c r="O152" s="7"/>
      <c r="P152" s="7"/>
      <c r="Q152" s="26"/>
      <c r="R152" s="26"/>
      <c r="S152" s="38">
        <f t="shared" si="66"/>
        <v>1</v>
      </c>
      <c r="T152" s="53" t="str">
        <f t="shared" si="67"/>
        <v>NorthBound</v>
      </c>
      <c r="U152" s="13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22:19:19-0600',mode:absolute,to:'2016-08-15 01:10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52" s="55" t="str">
        <f t="shared" si="69"/>
        <v>N</v>
      </c>
      <c r="X152" s="129">
        <f t="shared" si="79"/>
        <v>1</v>
      </c>
      <c r="Y152" s="70">
        <f t="shared" si="80"/>
        <v>4.7100000000000003E-2</v>
      </c>
      <c r="Z152" s="70">
        <f t="shared" si="72"/>
        <v>23.3324</v>
      </c>
      <c r="AA152" s="70">
        <f t="shared" si="73"/>
        <v>23.285299999999999</v>
      </c>
      <c r="AB152" s="67" t="e">
        <f>VLOOKUP(A152,Enforcements!$C$7:$J$24,8,0)</f>
        <v>#N/A</v>
      </c>
      <c r="AC152" s="63" t="e">
        <f>VLOOKUP(A152,Enforcements!$C$7:$E$24,3,0)</f>
        <v>#N/A</v>
      </c>
      <c r="AD152" s="64" t="str">
        <f t="shared" si="74"/>
        <v>0239-14</v>
      </c>
      <c r="AE152" s="104" t="str">
        <f t="shared" si="75"/>
        <v>aws s3 cp s3://rtdc.mdm.uploadarchive/RTDC4029/2016-08-14/ "%USERPROFILE%\AppData\Local\Temp\OnboardLogs"\RTDC4029\2016-08-14 --recursive &amp; "%USERPROFILE%\Documents\GitHub\mrs-test-scripts\Headless Mode &amp; Sideloading\WalkAndUnGZ.bat" "%USERPROFILE%\AppData\Local\Temp\OnboardLogs"\RTDC4029\2016-08-14 &amp; 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</v>
      </c>
      <c r="AF152" s="101" t="str">
        <f t="shared" si="76"/>
        <v>"C:\Program Files (x86)\AstroGrep\AstroGrep.exe" /spath="%USERPROFILE%\AppData\Local\Temp\OnboardLogs" /stypes="*4029*20160815*" /stext=" 06:.+((SYSTEM_STATE.+slice.+state.+changed )|(ment ac)|(system.+state.+changed )|(\|lc)|(penalty)|(\[timeout)|(PRM\|1\|D)|(kpr)|(kdp))" /e /r /s</v>
      </c>
      <c r="AG152" s="1" t="str">
        <f t="shared" si="77"/>
        <v>EC</v>
      </c>
      <c r="AH152" s="105" t="str">
        <f t="shared" si="78"/>
        <v>"%USERPROFILE%\Documents\GitHub\eaglep3\Utilities\RefineRTDCRunTimes.py" --tripid 239-14 --locoid 4029 --swversion DE.1.0.7.0 --startMP 204:471 --initTime 2016-08-14T23:19:19 --startdatetime 2016-08-14T23:21:01 --delay 1 --endMP 204:233324 --enddatetime 2016-08-15T00:10:52 --enforcementcount 0</v>
      </c>
    </row>
    <row r="153" spans="1:34" x14ac:dyDescent="0.25">
      <c r="A153" s="40" t="s">
        <v>625</v>
      </c>
      <c r="B153" s="7">
        <v>4030</v>
      </c>
      <c r="C153" s="25" t="s">
        <v>120</v>
      </c>
      <c r="D153" s="25" t="s">
        <v>146</v>
      </c>
      <c r="E153" s="16">
        <v>42597.01190972222</v>
      </c>
      <c r="F153" s="16">
        <v>42597.012881944444</v>
      </c>
      <c r="G153" s="7">
        <v>1</v>
      </c>
      <c r="H153" s="16" t="s">
        <v>478</v>
      </c>
      <c r="I153" s="16">
        <v>42597.047349537039</v>
      </c>
      <c r="J153" s="7">
        <v>0</v>
      </c>
      <c r="K153" s="143" t="str">
        <f t="shared" si="64"/>
        <v>4029/4030</v>
      </c>
      <c r="L153" s="25" t="str">
        <f>VLOOKUP(A153,'Trips&amp;Operators'!$C$1:$E$10000,3,FALSE)</f>
        <v>COOPER</v>
      </c>
      <c r="M153" s="6">
        <f t="shared" si="65"/>
        <v>3.4467592595319729E-2</v>
      </c>
      <c r="N153" s="7">
        <f t="shared" si="81"/>
        <v>49.63333333726041</v>
      </c>
      <c r="O153" s="7"/>
      <c r="P153" s="7"/>
      <c r="Q153" s="26"/>
      <c r="R153" s="26"/>
      <c r="S153" s="38">
        <f t="shared" si="66"/>
        <v>1</v>
      </c>
      <c r="T153" s="53" t="str">
        <f t="shared" si="67"/>
        <v>Southbound</v>
      </c>
      <c r="U153" s="13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23:17:09-0600',mode:absolute,to:'2016-08-15 02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53" s="55" t="str">
        <f t="shared" si="69"/>
        <v>N</v>
      </c>
      <c r="X153" s="129">
        <f t="shared" si="79"/>
        <v>1</v>
      </c>
      <c r="Y153" s="70">
        <f t="shared" si="80"/>
        <v>23.299399999999999</v>
      </c>
      <c r="Z153" s="70">
        <f t="shared" si="72"/>
        <v>1.7999999999999999E-2</v>
      </c>
      <c r="AA153" s="70">
        <f t="shared" si="73"/>
        <v>23.281399999999998</v>
      </c>
      <c r="AB153" s="67" t="e">
        <f>VLOOKUP(A153,Enforcements!$C$7:$J$24,8,0)</f>
        <v>#N/A</v>
      </c>
      <c r="AC153" s="63" t="e">
        <f>VLOOKUP(A153,Enforcements!$C$7:$E$24,3,0)</f>
        <v>#N/A</v>
      </c>
      <c r="AD153" s="64" t="str">
        <f t="shared" si="74"/>
        <v>0240-14</v>
      </c>
      <c r="AE153" s="104" t="str">
        <f t="shared" si="75"/>
        <v>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 &amp; 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</v>
      </c>
      <c r="AF153" s="101" t="str">
        <f t="shared" si="76"/>
        <v>"C:\Program Files (x86)\AstroGrep\AstroGrep.exe" /spath="%USERPROFILE%\AppData\Local\Temp\OnboardLogs" /stypes="*4030*20160815*" /stext=" 07:.+((SYSTEM_STATE.+slice.+state.+changed )|(ment ac)|(system.+state.+changed )|(\|lc)|(penalty)|(\[timeout)|(PRM\|1\|D)|(kpr)|(kdp))" /e /r /s</v>
      </c>
      <c r="AG153" s="1" t="str">
        <f t="shared" si="77"/>
        <v>EC</v>
      </c>
      <c r="AH153" s="105" t="str">
        <f t="shared" si="78"/>
        <v>"%USERPROFILE%\Documents\GitHub\eaglep3\Utilities\RefineRTDCRunTimes.py" --tripid 240-14 --locoid 4030 --swversion DE.1.0.7.0 --startMP 204:232994 --initTime 2016-08-15T00:17:09 --startdatetime 2016-08-15T00:18:33 --delay 1 --endMP 204:180 --enddatetime 2016-08-15T01:08:11 --enforcementcount 0</v>
      </c>
    </row>
    <row r="154" spans="1:34" x14ac:dyDescent="0.25">
      <c r="A154" s="40" t="s">
        <v>626</v>
      </c>
      <c r="B154" s="7">
        <v>4011</v>
      </c>
      <c r="C154" s="25" t="s">
        <v>120</v>
      </c>
      <c r="D154" s="25" t="s">
        <v>165</v>
      </c>
      <c r="E154" s="16">
        <v>42596.99527777778</v>
      </c>
      <c r="F154" s="16">
        <v>42596.995995370373</v>
      </c>
      <c r="G154" s="7">
        <v>1</v>
      </c>
      <c r="H154" s="16" t="s">
        <v>627</v>
      </c>
      <c r="I154" s="16">
        <v>42597.012071759258</v>
      </c>
      <c r="J154" s="7">
        <v>0</v>
      </c>
      <c r="K154" s="143" t="str">
        <f t="shared" si="64"/>
        <v>4011/4012</v>
      </c>
      <c r="L154" s="25" t="str">
        <f>VLOOKUP(A154,'Trips&amp;Operators'!$C$1:$E$10000,3,FALSE)</f>
        <v>NEWELL</v>
      </c>
      <c r="M154" s="6">
        <f t="shared" si="65"/>
        <v>1.6076388885267079E-2</v>
      </c>
      <c r="N154" s="7">
        <f>24*60*SUM($M154:$M155)</f>
        <v>23.199999985517934</v>
      </c>
      <c r="O154" s="7"/>
      <c r="P154" s="7"/>
      <c r="Q154" s="26"/>
      <c r="R154" s="26" t="s">
        <v>679</v>
      </c>
      <c r="S154" s="38">
        <v>1</v>
      </c>
      <c r="T154" s="53" t="str">
        <f t="shared" si="67"/>
        <v>NorthBound</v>
      </c>
      <c r="U154" s="13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9</v>
      </c>
      <c r="V154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22:53:12-0600',mode:absolute,to:'2016-08-15 01:17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54" s="55" t="str">
        <f t="shared" si="69"/>
        <v>Y</v>
      </c>
      <c r="X154" s="129">
        <f t="shared" si="79"/>
        <v>1</v>
      </c>
      <c r="Y154" s="70">
        <f t="shared" si="80"/>
        <v>4.5699999999999998E-2</v>
      </c>
      <c r="Z154" s="70">
        <f t="shared" si="72"/>
        <v>6.4703999999999997</v>
      </c>
      <c r="AA154" s="70">
        <f t="shared" si="73"/>
        <v>6.4246999999999996</v>
      </c>
      <c r="AB154" s="67" t="e">
        <f>VLOOKUP(A154,Enforcements!$C$7:$J$24,8,0)</f>
        <v>#N/A</v>
      </c>
      <c r="AC154" s="63" t="e">
        <f>VLOOKUP(A154,Enforcements!$C$7:$E$24,3,0)</f>
        <v>#N/A</v>
      </c>
      <c r="AD154" s="64" t="str">
        <f t="shared" si="74"/>
        <v>0241-14</v>
      </c>
      <c r="AE154" s="104" t="str">
        <f t="shared" si="75"/>
        <v>aws s3 cp s3://rtdc.mdm.uploadarchive/RTDC4011/2016-08-14/ "%USERPROFILE%\AppData\Local\Temp\OnboardLogs"\RTDC4011\2016-08-14 --recursive &amp; "%USERPROFILE%\Documents\GitHub\mrs-test-scripts\Headless Mode &amp; Sideloading\WalkAndUnGZ.bat" "%USERPROFILE%\AppData\Local\Temp\OnboardLogs"\RTDC4011\2016-08-14 &amp; 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</v>
      </c>
      <c r="AF154" s="101" t="str">
        <f t="shared" si="76"/>
        <v>"C:\Program Files (x86)\AstroGrep\AstroGrep.exe" /spath="%USERPROFILE%\AppData\Local\Temp\OnboardLogs" /stypes="*4011*20160815*" /stext=" 06:.+((SYSTEM_STATE.+slice.+state.+changed )|(ment ac)|(system.+state.+changed )|(\|lc)|(penalty)|(\[timeout)|(PRM\|1\|D)|(kpr)|(kdp))" /e /r /s</v>
      </c>
      <c r="AG154" s="1" t="str">
        <f t="shared" si="77"/>
        <v>EC</v>
      </c>
      <c r="AH154" s="105" t="str">
        <f t="shared" si="78"/>
        <v>"%USERPROFILE%\Documents\GitHub\eaglep3\Utilities\RefineRTDCRunTimes.py" --tripid 241-14 --locoid 4011 --swversion DE.1.0.7.0 --startMP 204:457 --initTime 2016-08-14T23:53:12 --startdatetime 2016-08-14T23:54:14 --delay 1 --endMP 204:64704 --enddatetime 2016-08-15T00:17:23 --enforcementcount 0</v>
      </c>
    </row>
    <row r="155" spans="1:34" x14ac:dyDescent="0.25">
      <c r="A155" s="40" t="s">
        <v>626</v>
      </c>
      <c r="B155" s="7">
        <v>4011</v>
      </c>
      <c r="C155" s="25" t="s">
        <v>120</v>
      </c>
      <c r="D155" s="25" t="s">
        <v>628</v>
      </c>
      <c r="E155" s="16">
        <v>42597.015787037039</v>
      </c>
      <c r="F155" s="16">
        <v>42597.016759259262</v>
      </c>
      <c r="G155" s="7">
        <v>1</v>
      </c>
      <c r="H155" s="16" t="s">
        <v>629</v>
      </c>
      <c r="I155" s="16">
        <v>42597.016793981478</v>
      </c>
      <c r="J155" s="7">
        <v>0</v>
      </c>
      <c r="K155" s="143" t="str">
        <f t="shared" si="64"/>
        <v>4011/4012</v>
      </c>
      <c r="L155" s="25" t="str">
        <f>VLOOKUP(A155,'Trips&amp;Operators'!$C$1:$E$10000,3,FALSE)</f>
        <v>NEWELL</v>
      </c>
      <c r="M155" s="6">
        <f t="shared" si="65"/>
        <v>3.4722215787041932E-5</v>
      </c>
      <c r="N155" s="7"/>
      <c r="O155" s="7"/>
      <c r="P155" s="7"/>
      <c r="Q155" s="26"/>
      <c r="R155" s="26"/>
      <c r="S155" s="38"/>
      <c r="T155" s="53" t="str">
        <f t="shared" si="67"/>
        <v>NorthBound</v>
      </c>
      <c r="U155" s="13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23:22:44-0600',mode:absolute,to:'2016-08-15 01:24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55" s="55" t="str">
        <f t="shared" si="69"/>
        <v>Y</v>
      </c>
      <c r="X155" s="129">
        <f t="shared" si="79"/>
        <v>0</v>
      </c>
      <c r="Y155" s="70">
        <f t="shared" si="80"/>
        <v>6.4695999999999998</v>
      </c>
      <c r="Z155" s="70">
        <f t="shared" si="72"/>
        <v>6.4698000000000002</v>
      </c>
      <c r="AA155" s="70">
        <f t="shared" si="73"/>
        <v>2.0000000000042206E-4</v>
      </c>
      <c r="AB155" s="67" t="e">
        <f>VLOOKUP(A155,Enforcements!$C$7:$J$24,8,0)</f>
        <v>#N/A</v>
      </c>
      <c r="AC155" s="63" t="e">
        <f>VLOOKUP(A155,Enforcements!$C$7:$E$24,3,0)</f>
        <v>#N/A</v>
      </c>
      <c r="AD155" s="64" t="str">
        <f t="shared" si="74"/>
        <v>0241-14</v>
      </c>
      <c r="AE155" s="104" t="str">
        <f t="shared" si="75"/>
        <v>aws s3 cp s3://rtdc.mdm.uploadarchive/RTDC4011/2016-08-15/ "%USERPROFILE%\AppData\Local\Temp\OnboardLogs"\RTDC4011\2016-08-15 --recursive &amp; "%USERPROFILE%\Documents\GitHub\mrs-test-scripts\Headless Mode &amp; Sideloading\WalkAndUnGZ.bat" "%USERPROFILE%\AppData\Local\Temp\OnboardLogs"\RTDC4011\2016-08-15 &amp; 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</v>
      </c>
      <c r="AF155" s="101" t="str">
        <f t="shared" si="76"/>
        <v>"C:\Program Files (x86)\AstroGrep\AstroGrep.exe" /spath="%USERPROFILE%\AppData\Local\Temp\OnboardLogs" /stypes="*4011*20160815*" /stext=" 06:.+((SYSTEM_STATE.+slice.+state.+changed )|(ment ac)|(system.+state.+changed )|(\|lc)|(penalty)|(\[timeout)|(PRM\|1\|D)|(kpr)|(kdp))" /e /r /s</v>
      </c>
      <c r="AG155" s="1" t="str">
        <f t="shared" si="77"/>
        <v>EC</v>
      </c>
      <c r="AH155" s="105" t="str">
        <f t="shared" si="78"/>
        <v>"%USERPROFILE%\Documents\GitHub\eaglep3\Utilities\RefineRTDCRunTimes.py" --tripid 241-14 --locoid 4011 --swversion DE.1.0.7.0 --startMP 204:64696 --initTime 2016-08-15T00:22:44 --startdatetime 2016-08-15T00:24:08 --delay 1 --endMP 204:64698 --enddatetime 2016-08-15T00:24:11 --enforcementcount 0</v>
      </c>
    </row>
    <row r="156" spans="1:34" x14ac:dyDescent="0.25">
      <c r="A156" s="40" t="s">
        <v>630</v>
      </c>
      <c r="B156" s="7">
        <v>4025</v>
      </c>
      <c r="C156" s="25" t="s">
        <v>120</v>
      </c>
      <c r="D156" s="25" t="s">
        <v>252</v>
      </c>
      <c r="E156" s="16">
        <v>42597.016817129632</v>
      </c>
      <c r="F156" s="16">
        <v>42597.018217592595</v>
      </c>
      <c r="G156" s="7">
        <v>2</v>
      </c>
      <c r="H156" s="16" t="s">
        <v>631</v>
      </c>
      <c r="I156" s="16">
        <v>42597.037349537037</v>
      </c>
      <c r="J156" s="7">
        <v>0</v>
      </c>
      <c r="K156" s="143" t="str">
        <f t="shared" si="64"/>
        <v>4025/4026</v>
      </c>
      <c r="L156" s="25" t="str">
        <f>VLOOKUP(A156,'Trips&amp;Operators'!$C$1:$E$10000,3,FALSE)</f>
        <v>STAMBAUGH</v>
      </c>
      <c r="M156" s="6">
        <f t="shared" si="65"/>
        <v>1.9131944442051463E-2</v>
      </c>
      <c r="N156" s="7"/>
      <c r="O156" s="7"/>
      <c r="P156" s="7">
        <f t="shared" si="81"/>
        <v>27.549999996554106</v>
      </c>
      <c r="Q156" s="26"/>
      <c r="R156" s="26" t="s">
        <v>666</v>
      </c>
      <c r="S156" s="38">
        <f t="shared" si="66"/>
        <v>1</v>
      </c>
      <c r="T156" s="53" t="str">
        <f t="shared" si="67"/>
        <v>NorthBound</v>
      </c>
      <c r="U156" s="13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23:24:13-0600',mode:absolute,to:'2016-08-15 01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56" s="55" t="str">
        <f t="shared" si="69"/>
        <v>Y</v>
      </c>
      <c r="X156" s="129">
        <f t="shared" si="79"/>
        <v>2</v>
      </c>
      <c r="Y156" s="70">
        <f t="shared" si="80"/>
        <v>6.4799999999999996E-2</v>
      </c>
      <c r="Z156" s="70">
        <f t="shared" si="72"/>
        <v>12.803900000000001</v>
      </c>
      <c r="AA156" s="70">
        <f t="shared" si="73"/>
        <v>12.739100000000001</v>
      </c>
      <c r="AB156" s="67" t="e">
        <f>VLOOKUP(A156,Enforcements!$C$7:$J$24,8,0)</f>
        <v>#N/A</v>
      </c>
      <c r="AC156" s="63" t="e">
        <f>VLOOKUP(A156,Enforcements!$C$7:$E$24,3,0)</f>
        <v>#N/A</v>
      </c>
      <c r="AD156" s="64" t="str">
        <f t="shared" si="74"/>
        <v>0243-14</v>
      </c>
      <c r="AE156" s="104" t="str">
        <f t="shared" si="75"/>
        <v>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 &amp; aws s3 cp s3://rtdc.mdm.uploadarchive/RTDC4025/2016-08-16/ "%USERPROFILE%\AppData\Local\Temp\OnboardLogs"\RTDC4025\2016-08-16 --recursive &amp; "%USERPROFILE%\Documents\GitHub\mrs-test-scripts\Headless Mode &amp; Sideloading\WalkAndUnGZ.bat" "%USERPROFILE%\AppData\Local\Temp\OnboardLogs"\RTDC4025\2016-08-16</v>
      </c>
      <c r="AF156" s="101" t="str">
        <f t="shared" si="76"/>
        <v>"C:\Program Files (x86)\AstroGrep\AstroGrep.exe" /spath="%USERPROFILE%\AppData\Local\Temp\OnboardLogs" /stypes="*4025*20160815*" /stext=" 06:.+((SYSTEM_STATE.+slice.+state.+changed )|(ment ac)|(system.+state.+changed )|(\|lc)|(penalty)|(\[timeout)|(PRM\|1\|D)|(kpr)|(kdp))" /e /r /s</v>
      </c>
      <c r="AG156" s="1" t="str">
        <f t="shared" si="77"/>
        <v>EC</v>
      </c>
      <c r="AH156" s="105" t="str">
        <f t="shared" si="78"/>
        <v>"%USERPROFILE%\Documents\GitHub\eaglep3\Utilities\RefineRTDCRunTimes.py" --tripid 243-14 --locoid 4025 --swversion DE.1.0.7.0 --startMP 204:648 --initTime 2016-08-15T00:24:13 --startdatetime 2016-08-15T00:26:14 --delay 2 --endMP 204:128039 --enddatetime 2016-08-15T00:53:47 --enforcementcount 0</v>
      </c>
    </row>
    <row r="157" spans="1:34" x14ac:dyDescent="0.25">
      <c r="A157" s="40" t="s">
        <v>632</v>
      </c>
      <c r="B157" s="7">
        <v>4026</v>
      </c>
      <c r="C157" s="25" t="s">
        <v>120</v>
      </c>
      <c r="D157" s="25" t="s">
        <v>150</v>
      </c>
      <c r="E157" s="16">
        <v>42597.056319444448</v>
      </c>
      <c r="F157" s="16">
        <v>42597.057268518518</v>
      </c>
      <c r="G157" s="7">
        <v>1</v>
      </c>
      <c r="H157" s="16" t="s">
        <v>264</v>
      </c>
      <c r="I157" s="16">
        <v>42597.087164351855</v>
      </c>
      <c r="J157" s="7">
        <v>0</v>
      </c>
      <c r="K157" s="143" t="str">
        <f t="shared" si="64"/>
        <v>4025/4026</v>
      </c>
      <c r="L157" s="25" t="str">
        <f>VLOOKUP(A157,'Trips&amp;Operators'!$C$1:$E$10000,3,FALSE)</f>
        <v>STAMBAUGH</v>
      </c>
      <c r="M157" s="6">
        <f t="shared" si="65"/>
        <v>2.9895833336922806E-2</v>
      </c>
      <c r="N157" s="7">
        <f t="shared" si="81"/>
        <v>43.05000000516884</v>
      </c>
      <c r="O157" s="7"/>
      <c r="P157" s="7"/>
      <c r="Q157" s="26"/>
      <c r="R157" s="26"/>
      <c r="S157" s="38">
        <f t="shared" si="66"/>
        <v>1</v>
      </c>
      <c r="T157" s="53" t="str">
        <f t="shared" si="67"/>
        <v>Southbound</v>
      </c>
      <c r="U157" s="13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https://search-rtdc-monitor-bjffxe2xuh6vdkpspy63sjmuny.us-east-1.es.amazonaws.com/_plugin/kibana/#/discover/Steve-Slow-Train-Analysis-(2080s-and-2083s)?_g=(refreshInterval:(display:Off,section:0,value:0),time:(from:'2016-08-15 00:21:06-0600',mode:absolute,to:'2016-08-15 03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W157" s="55" t="str">
        <f t="shared" si="69"/>
        <v>N</v>
      </c>
      <c r="X157" s="129">
        <f t="shared" si="79"/>
        <v>1</v>
      </c>
      <c r="Y157" s="70">
        <f t="shared" si="80"/>
        <v>23.299600000000002</v>
      </c>
      <c r="Z157" s="70">
        <f t="shared" si="72"/>
        <v>1.52E-2</v>
      </c>
      <c r="AA157" s="70">
        <f t="shared" si="73"/>
        <v>23.284400000000002</v>
      </c>
      <c r="AB157" s="67" t="e">
        <f>VLOOKUP(A157,Enforcements!$C$7:$J$24,8,0)</f>
        <v>#N/A</v>
      </c>
      <c r="AC157" s="63" t="e">
        <f>VLOOKUP(A157,Enforcements!$C$7:$E$24,3,0)</f>
        <v>#N/A</v>
      </c>
      <c r="AD157" s="64" t="str">
        <f t="shared" si="74"/>
        <v>0244-14</v>
      </c>
      <c r="AE157" s="104" t="str">
        <f t="shared" si="75"/>
        <v>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 &amp; aws s3 cp s3://rtdc.mdm.uploadarchive/RTDC4026/2016-08-16/ "%USERPROFILE%\AppData\Local\Temp\OnboardLogs"\RTDC4026\2016-08-16 --recursive &amp; "%USERPROFILE%\Documents\GitHub\mrs-test-scripts\Headless Mode &amp; Sideloading\WalkAndUnGZ.bat" "%USERPROFILE%\AppData\Local\Temp\OnboardLogs"\RTDC4026\2016-08-16</v>
      </c>
      <c r="AF157" s="101" t="str">
        <f t="shared" si="76"/>
        <v>"C:\Program Files (x86)\AstroGrep\AstroGrep.exe" /spath="%USERPROFILE%\AppData\Local\Temp\OnboardLogs" /stypes="*4026*20160815*" /stext=" 08:.+((SYSTEM_STATE.+slice.+state.+changed )|(ment ac)|(system.+state.+changed )|(\|lc)|(penalty)|(\[timeout)|(PRM\|1\|D)|(kpr)|(kdp))" /e /r /s</v>
      </c>
      <c r="AG157" s="1" t="str">
        <f t="shared" si="77"/>
        <v>EC</v>
      </c>
      <c r="AH157" s="105" t="str">
        <f t="shared" si="78"/>
        <v>"%USERPROFILE%\Documents\GitHub\eaglep3\Utilities\RefineRTDCRunTimes.py" --tripid 244-14 --locoid 4026 --swversion DE.1.0.7.0 --startMP 204:232996 --initTime 2016-08-15T01:21:06 --startdatetime 2016-08-15T01:22:28 --delay 1 --endMP 204:152 --enddatetime 2016-08-15T02:05:31 --enforcementcount 0</v>
      </c>
    </row>
    <row r="158" spans="1:34" x14ac:dyDescent="0.25">
      <c r="A158" s="40" t="s">
        <v>432</v>
      </c>
      <c r="B158" s="7">
        <v>4019</v>
      </c>
      <c r="C158" s="25" t="s">
        <v>120</v>
      </c>
      <c r="D158" s="25" t="s">
        <v>187</v>
      </c>
      <c r="E158" s="16">
        <v>42596.236284722225</v>
      </c>
      <c r="F158" s="16">
        <v>42596.237291666665</v>
      </c>
      <c r="G158" s="7">
        <v>1</v>
      </c>
      <c r="H158" s="16" t="s">
        <v>433</v>
      </c>
      <c r="I158" s="16">
        <v>42596.247442129628</v>
      </c>
      <c r="J158" s="7">
        <v>0</v>
      </c>
      <c r="K158" s="143" t="str">
        <f t="shared" si="64"/>
        <v>4019/4020</v>
      </c>
      <c r="L158" s="25" t="str">
        <f>VLOOKUP(A158,'Trips&amp;Operators'!$C$1:$E$10000,3,FALSE)</f>
        <v>STARKS</v>
      </c>
      <c r="M158" s="6">
        <f t="shared" si="65"/>
        <v>1.0150462963792961E-2</v>
      </c>
      <c r="N158" s="7">
        <f t="shared" si="81"/>
        <v>14.616666667861864</v>
      </c>
      <c r="O158" s="7"/>
      <c r="P158" s="7"/>
      <c r="Q158" s="26"/>
      <c r="R158" s="26"/>
      <c r="S158" s="38">
        <f t="shared" si="66"/>
        <v>1</v>
      </c>
      <c r="T158" s="53" t="str">
        <f t="shared" si="67"/>
        <v>Southbound</v>
      </c>
      <c r="U158" s="13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04:40:15-0600',mode:absolute,to:'2016-08-14 06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58" s="55" t="str">
        <f t="shared" si="69"/>
        <v>N</v>
      </c>
      <c r="X158" s="129">
        <f t="shared" si="79"/>
        <v>1556</v>
      </c>
      <c r="Y158" s="70">
        <f t="shared" si="80"/>
        <v>5.8628</v>
      </c>
      <c r="Z158" s="70">
        <f t="shared" si="72"/>
        <v>7.6899999999999996E-2</v>
      </c>
      <c r="AA158" s="70">
        <f t="shared" si="73"/>
        <v>5.7858999999999998</v>
      </c>
      <c r="AB158" s="67" t="e">
        <f>VLOOKUP(A158,Enforcements!$C$7:$J$24,8,0)</f>
        <v>#N/A</v>
      </c>
      <c r="AC158" s="63" t="e">
        <f>VLOOKUP(A158,Enforcements!$C$7:$E$24,3,0)</f>
        <v>#N/A</v>
      </c>
      <c r="AD158" s="64" t="str">
        <f t="shared" si="74"/>
        <v>1800-14</v>
      </c>
      <c r="AE158" s="104" t="str">
        <f t="shared" si="75"/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AF158" s="101" t="str">
        <f t="shared" si="76"/>
        <v>"C:\Program Files (x86)\AstroGrep\AstroGrep.exe" /spath="%USERPROFILE%\AppData\Local\Temp\OnboardLogs" /stypes="*4019*20160814*" /stext=" 11:.+((SYSTEM_STATE.+slice.+state.+changed )|(ment ac)|(system.+state.+changed )|(\|lc)|(penalty)|(\[timeout)|(PRM\|1\|D)|(kpr)|(kdp))" /e /r /s</v>
      </c>
      <c r="AG158" s="1" t="str">
        <f t="shared" si="77"/>
        <v>NW</v>
      </c>
      <c r="AH158" s="105" t="str">
        <f t="shared" si="78"/>
        <v>"%USERPROFILE%\Documents\GitHub\eaglep3\Utilities\RefineRTDCRunTimes.py" --tripid 1800-14 --locoid 4019 --swversion DE.1.0.7.0 --startMP 300:58628 --initTime 2016-08-14T05:40:15 --startdatetime 2016-08-14T05:41:42 --delay 1 --endMP 204:769 --enddatetime 2016-08-14T05:56:19 --enforcementcount 0</v>
      </c>
    </row>
    <row r="159" spans="1:34" x14ac:dyDescent="0.25">
      <c r="A159" s="40" t="s">
        <v>434</v>
      </c>
      <c r="B159" s="7">
        <v>4020</v>
      </c>
      <c r="C159" s="25" t="s">
        <v>120</v>
      </c>
      <c r="D159" s="25" t="s">
        <v>435</v>
      </c>
      <c r="E159" s="16">
        <v>42596.262060185189</v>
      </c>
      <c r="F159" s="16">
        <v>42596.26284722222</v>
      </c>
      <c r="G159" s="7">
        <v>1</v>
      </c>
      <c r="H159" s="16" t="s">
        <v>272</v>
      </c>
      <c r="I159" s="16">
        <v>42596.274930555555</v>
      </c>
      <c r="J159" s="7">
        <v>0</v>
      </c>
      <c r="K159" s="143" t="str">
        <f t="shared" si="64"/>
        <v>4019/4020</v>
      </c>
      <c r="L159" s="25" t="str">
        <f>VLOOKUP(A159,'Trips&amp;Operators'!$C$1:$E$10000,3,FALSE)</f>
        <v>STARKS</v>
      </c>
      <c r="M159" s="6">
        <f t="shared" si="65"/>
        <v>1.2083333334885538E-2</v>
      </c>
      <c r="N159" s="7">
        <f t="shared" si="81"/>
        <v>17.400000002235174</v>
      </c>
      <c r="O159" s="7"/>
      <c r="P159" s="7"/>
      <c r="Q159" s="26"/>
      <c r="R159" s="26"/>
      <c r="S159" s="38">
        <f t="shared" si="66"/>
        <v>1</v>
      </c>
      <c r="T159" s="53" t="str">
        <f t="shared" si="67"/>
        <v>NorthBound</v>
      </c>
      <c r="U159" s="13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05:17:22-0600',mode:absolute,to:'2016-08-14 07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59" s="55" t="str">
        <f t="shared" si="69"/>
        <v>N</v>
      </c>
      <c r="X159" s="129">
        <f t="shared" si="79"/>
        <v>1</v>
      </c>
      <c r="Y159" s="70">
        <f t="shared" si="80"/>
        <v>0.1027</v>
      </c>
      <c r="Z159" s="70">
        <f t="shared" si="72"/>
        <v>5.8940999999999999</v>
      </c>
      <c r="AA159" s="70">
        <f t="shared" si="73"/>
        <v>5.7914000000000003</v>
      </c>
      <c r="AB159" s="67" t="e">
        <f>VLOOKUP(A159,Enforcements!$C$7:$J$24,8,0)</f>
        <v>#N/A</v>
      </c>
      <c r="AC159" s="63" t="e">
        <f>VLOOKUP(A159,Enforcements!$C$7:$E$24,3,0)</f>
        <v>#N/A</v>
      </c>
      <c r="AD159" s="64" t="str">
        <f t="shared" si="74"/>
        <v>1801-14</v>
      </c>
      <c r="AE159" s="104" t="str">
        <f t="shared" si="75"/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59" s="101" t="str">
        <f t="shared" si="76"/>
        <v>"C:\Program Files (x86)\AstroGrep\AstroGrep.exe" /spath="%USERPROFILE%\AppData\Local\Temp\OnboardLogs" /stypes="*4020*20160814*" /stext=" 12:.+((SYSTEM_STATE.+slice.+state.+changed )|(ment ac)|(system.+state.+changed )|(\|lc)|(penalty)|(\[timeout)|(PRM\|1\|D)|(kpr)|(kdp))" /e /r /s</v>
      </c>
      <c r="AG159" s="1" t="str">
        <f t="shared" si="77"/>
        <v>NW</v>
      </c>
      <c r="AH159" s="105" t="str">
        <f t="shared" si="78"/>
        <v>"%USERPROFILE%\Documents\GitHub\eaglep3\Utilities\RefineRTDCRunTimes.py" --tripid 1801-14 --locoid 4020 --swversion DE.1.0.7.0 --startMP 204:1027 --initTime 2016-08-14T06:17:22 --startdatetime 2016-08-14T06:18:30 --delay 1 --endMP 300:58941 --enddatetime 2016-08-14T06:35:54 --enforcementcount 0</v>
      </c>
    </row>
    <row r="160" spans="1:34" x14ac:dyDescent="0.25">
      <c r="A160" s="40" t="s">
        <v>436</v>
      </c>
      <c r="B160" s="7">
        <v>4019</v>
      </c>
      <c r="C160" s="25" t="s">
        <v>120</v>
      </c>
      <c r="D160" s="25" t="s">
        <v>188</v>
      </c>
      <c r="E160" s="16">
        <v>42596.275821759256</v>
      </c>
      <c r="F160" s="16">
        <v>42596.276678240742</v>
      </c>
      <c r="G160" s="7">
        <v>1</v>
      </c>
      <c r="H160" s="16" t="s">
        <v>437</v>
      </c>
      <c r="I160" s="16">
        <v>42596.288287037038</v>
      </c>
      <c r="J160" s="7">
        <v>0</v>
      </c>
      <c r="K160" s="143" t="str">
        <f t="shared" si="64"/>
        <v>4019/4020</v>
      </c>
      <c r="L160" s="25" t="str">
        <f>VLOOKUP(A160,'Trips&amp;Operators'!$C$1:$E$10000,3,FALSE)</f>
        <v>STARKS</v>
      </c>
      <c r="M160" s="6">
        <f t="shared" si="65"/>
        <v>1.1608796296059154E-2</v>
      </c>
      <c r="N160" s="7">
        <f t="shared" si="81"/>
        <v>16.716666666325182</v>
      </c>
      <c r="O160" s="7"/>
      <c r="P160" s="7"/>
      <c r="Q160" s="26"/>
      <c r="R160" s="26"/>
      <c r="S160" s="38">
        <f t="shared" si="66"/>
        <v>1</v>
      </c>
      <c r="T160" s="53" t="str">
        <f t="shared" si="67"/>
        <v>Southbound</v>
      </c>
      <c r="U160" s="13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05:37:11-0600',mode:absolute,to:'2016-08-14 07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60" s="55" t="str">
        <f t="shared" si="69"/>
        <v>N</v>
      </c>
      <c r="X160" s="129">
        <f t="shared" si="79"/>
        <v>1</v>
      </c>
      <c r="Y160" s="70">
        <f t="shared" si="80"/>
        <v>5.8619000000000003</v>
      </c>
      <c r="Z160" s="70">
        <f t="shared" si="72"/>
        <v>6.5600000000000006E-2</v>
      </c>
      <c r="AA160" s="70">
        <f t="shared" si="73"/>
        <v>5.7963000000000005</v>
      </c>
      <c r="AB160" s="67" t="e">
        <f>VLOOKUP(A160,Enforcements!$C$7:$J$24,8,0)</f>
        <v>#N/A</v>
      </c>
      <c r="AC160" s="63" t="e">
        <f>VLOOKUP(A160,Enforcements!$C$7:$E$24,3,0)</f>
        <v>#N/A</v>
      </c>
      <c r="AD160" s="64" t="str">
        <f t="shared" si="74"/>
        <v>1802-14</v>
      </c>
      <c r="AE160" s="104" t="str">
        <f t="shared" si="75"/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AF160" s="101" t="str">
        <f t="shared" si="76"/>
        <v>"C:\Program Files (x86)\AstroGrep\AstroGrep.exe" /spath="%USERPROFILE%\AppData\Local\Temp\OnboardLogs" /stypes="*4019*20160814*" /stext=" 12:.+((SYSTEM_STATE.+slice.+state.+changed )|(ment ac)|(system.+state.+changed )|(\|lc)|(penalty)|(\[timeout)|(PRM\|1\|D)|(kpr)|(kdp))" /e /r /s</v>
      </c>
      <c r="AG160" s="1" t="str">
        <f t="shared" si="77"/>
        <v>NW</v>
      </c>
      <c r="AH160" s="105" t="str">
        <f t="shared" si="78"/>
        <v>"%USERPROFILE%\Documents\GitHub\eaglep3\Utilities\RefineRTDCRunTimes.py" --tripid 1802-14 --locoid 4019 --swversion DE.1.0.7.0 --startMP 300:58619 --initTime 2016-08-14T06:37:11 --startdatetime 2016-08-14T06:38:25 --delay 1 --endMP 204:656 --enddatetime 2016-08-14T06:55:08 --enforcementcount 0</v>
      </c>
    </row>
    <row r="161" spans="1:34" x14ac:dyDescent="0.25">
      <c r="A161" s="40" t="s">
        <v>438</v>
      </c>
      <c r="B161" s="7">
        <v>4020</v>
      </c>
      <c r="C161" s="25" t="s">
        <v>120</v>
      </c>
      <c r="D161" s="25" t="s">
        <v>439</v>
      </c>
      <c r="E161" s="16">
        <v>42596.30327546296</v>
      </c>
      <c r="F161" s="16">
        <v>42596.304039351853</v>
      </c>
      <c r="G161" s="7">
        <v>1</v>
      </c>
      <c r="H161" s="16" t="s">
        <v>440</v>
      </c>
      <c r="I161" s="16">
        <v>42596.315844907411</v>
      </c>
      <c r="J161" s="7">
        <v>0</v>
      </c>
      <c r="K161" s="143" t="str">
        <f t="shared" si="64"/>
        <v>4019/4020</v>
      </c>
      <c r="L161" s="25" t="str">
        <f>VLOOKUP(A161,'Trips&amp;Operators'!$C$1:$E$10000,3,FALSE)</f>
        <v>STARKS</v>
      </c>
      <c r="M161" s="6">
        <f t="shared" si="65"/>
        <v>1.1805555557657499E-2</v>
      </c>
      <c r="N161" s="7">
        <f t="shared" si="81"/>
        <v>17.000000003026798</v>
      </c>
      <c r="O161" s="7"/>
      <c r="P161" s="7"/>
      <c r="Q161" s="26"/>
      <c r="R161" s="26"/>
      <c r="S161" s="38">
        <f t="shared" si="66"/>
        <v>1</v>
      </c>
      <c r="T161" s="53" t="str">
        <f t="shared" si="67"/>
        <v>NorthBound</v>
      </c>
      <c r="U161" s="13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06:16:43-0600',mode:absolute,to:'2016-08-14 08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61" s="55" t="str">
        <f t="shared" si="69"/>
        <v>N</v>
      </c>
      <c r="X161" s="129">
        <f t="shared" si="70"/>
        <v>1</v>
      </c>
      <c r="Y161" s="70">
        <f t="shared" si="71"/>
        <v>9.4399999999999998E-2</v>
      </c>
      <c r="Z161" s="70">
        <f t="shared" si="72"/>
        <v>5.8933</v>
      </c>
      <c r="AA161" s="70">
        <f t="shared" si="73"/>
        <v>5.7988999999999997</v>
      </c>
      <c r="AB161" s="67" t="e">
        <f>VLOOKUP(A161,Enforcements!$C$7:$J$24,8,0)</f>
        <v>#N/A</v>
      </c>
      <c r="AC161" s="63" t="e">
        <f>VLOOKUP(A161,Enforcements!$C$7:$E$24,3,0)</f>
        <v>#N/A</v>
      </c>
      <c r="AD161" s="64" t="str">
        <f t="shared" si="74"/>
        <v>1803-14</v>
      </c>
      <c r="AE161" s="104" t="str">
        <f t="shared" si="75"/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61" s="101" t="str">
        <f t="shared" si="76"/>
        <v>"C:\Program Files (x86)\AstroGrep\AstroGrep.exe" /spath="%USERPROFILE%\AppData\Local\Temp\OnboardLogs" /stypes="*4020*20160814*" /stext=" 13:.+((SYSTEM_STATE.+slice.+state.+changed )|(ment ac)|(system.+state.+changed )|(\|lc)|(penalty)|(\[timeout)|(PRM\|1\|D)|(kpr)|(kdp))" /e /r /s</v>
      </c>
      <c r="AG161" s="1" t="str">
        <f t="shared" si="77"/>
        <v>NW</v>
      </c>
      <c r="AH161" s="105" t="str">
        <f t="shared" si="78"/>
        <v>"%USERPROFILE%\Documents\GitHub\eaglep3\Utilities\RefineRTDCRunTimes.py" --tripid 1803-14 --locoid 4020 --swversion DE.1.0.7.0 --startMP 204:944 --initTime 2016-08-14T07:16:43 --startdatetime 2016-08-14T07:17:49 --delay 1 --endMP 300:58933 --enddatetime 2016-08-14T07:34:49 --enforcementcount 0</v>
      </c>
    </row>
    <row r="162" spans="1:34" x14ac:dyDescent="0.25">
      <c r="A162" s="40" t="s">
        <v>441</v>
      </c>
      <c r="B162" s="7">
        <v>4019</v>
      </c>
      <c r="C162" s="25" t="s">
        <v>120</v>
      </c>
      <c r="D162" s="25" t="s">
        <v>188</v>
      </c>
      <c r="E162" s="16">
        <v>42596.317442129628</v>
      </c>
      <c r="F162" s="16">
        <v>42596.318356481483</v>
      </c>
      <c r="G162" s="7">
        <v>1</v>
      </c>
      <c r="H162" s="16" t="s">
        <v>442</v>
      </c>
      <c r="I162" s="16">
        <v>42596.330428240741</v>
      </c>
      <c r="J162" s="7">
        <v>0</v>
      </c>
      <c r="K162" s="143" t="str">
        <f t="shared" si="64"/>
        <v>4019/4020</v>
      </c>
      <c r="L162" s="25" t="str">
        <f>VLOOKUP(A162,'Trips&amp;Operators'!$C$1:$E$10000,3,FALSE)</f>
        <v>STARKS</v>
      </c>
      <c r="M162" s="6">
        <f t="shared" si="65"/>
        <v>1.2071759258105885E-2</v>
      </c>
      <c r="N162" s="7">
        <f t="shared" si="81"/>
        <v>17.383333331672475</v>
      </c>
      <c r="O162" s="7"/>
      <c r="P162" s="7"/>
      <c r="Q162" s="26"/>
      <c r="R162" s="26"/>
      <c r="S162" s="38">
        <f t="shared" si="66"/>
        <v>1</v>
      </c>
      <c r="T162" s="53" t="str">
        <f t="shared" si="67"/>
        <v>Southbound</v>
      </c>
      <c r="U162" s="13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06:37:07-0600',mode:absolute,to:'2016-08-14 08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62" s="55" t="str">
        <f t="shared" si="69"/>
        <v>N</v>
      </c>
      <c r="X162" s="129">
        <f t="shared" si="70"/>
        <v>1</v>
      </c>
      <c r="Y162" s="70">
        <f t="shared" si="71"/>
        <v>5.8619000000000003</v>
      </c>
      <c r="Z162" s="70">
        <f t="shared" si="72"/>
        <v>6.4899999999999999E-2</v>
      </c>
      <c r="AA162" s="70">
        <f t="shared" si="73"/>
        <v>5.7970000000000006</v>
      </c>
      <c r="AB162" s="67" t="e">
        <f>VLOOKUP(A162,Enforcements!$C$7:$J$24,8,0)</f>
        <v>#N/A</v>
      </c>
      <c r="AC162" s="63" t="e">
        <f>VLOOKUP(A162,Enforcements!$C$7:$E$24,3,0)</f>
        <v>#N/A</v>
      </c>
      <c r="AD162" s="64" t="str">
        <f t="shared" si="74"/>
        <v>1804-14</v>
      </c>
      <c r="AE162" s="104" t="str">
        <f t="shared" si="75"/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AF162" s="101" t="str">
        <f t="shared" si="76"/>
        <v>"C:\Program Files (x86)\AstroGrep\AstroGrep.exe" /spath="%USERPROFILE%\AppData\Local\Temp\OnboardLogs" /stypes="*4019*20160814*" /stext=" 13:.+((SYSTEM_STATE.+slice.+state.+changed )|(ment ac)|(system.+state.+changed )|(\|lc)|(penalty)|(\[timeout)|(PRM\|1\|D)|(kpr)|(kdp))" /e /r /s</v>
      </c>
      <c r="AG162" s="1" t="str">
        <f t="shared" si="77"/>
        <v>NW</v>
      </c>
      <c r="AH162" s="105" t="str">
        <f t="shared" si="78"/>
        <v>"%USERPROFILE%\Documents\GitHub\eaglep3\Utilities\RefineRTDCRunTimes.py" --tripid 1804-14 --locoid 4019 --swversion DE.1.0.7.0 --startMP 300:58619 --initTime 2016-08-14T07:37:07 --startdatetime 2016-08-14T07:38:26 --delay 1 --endMP 204:649 --enddatetime 2016-08-14T07:55:49 --enforcementcount 0</v>
      </c>
    </row>
    <row r="163" spans="1:34" x14ac:dyDescent="0.25">
      <c r="A163" s="40" t="s">
        <v>443</v>
      </c>
      <c r="B163" s="7">
        <v>4020</v>
      </c>
      <c r="C163" s="25" t="s">
        <v>120</v>
      </c>
      <c r="D163" s="25" t="s">
        <v>444</v>
      </c>
      <c r="E163" s="16">
        <v>42596.347905092596</v>
      </c>
      <c r="F163" s="16">
        <v>42596.348715277774</v>
      </c>
      <c r="G163" s="7">
        <v>1</v>
      </c>
      <c r="H163" s="16" t="s">
        <v>267</v>
      </c>
      <c r="I163" s="16">
        <v>42596.35800925926</v>
      </c>
      <c r="J163" s="7">
        <v>0</v>
      </c>
      <c r="K163" s="143" t="str">
        <f t="shared" si="64"/>
        <v>4019/4020</v>
      </c>
      <c r="L163" s="25" t="str">
        <f>VLOOKUP(A163,'Trips&amp;Operators'!$C$1:$E$10000,3,FALSE)</f>
        <v>STARKS</v>
      </c>
      <c r="M163" s="6">
        <f t="shared" si="65"/>
        <v>9.2939814858254977E-3</v>
      </c>
      <c r="N163" s="7">
        <f t="shared" si="81"/>
        <v>13.383333339588717</v>
      </c>
      <c r="O163" s="7"/>
      <c r="P163" s="7"/>
      <c r="Q163" s="26"/>
      <c r="R163" s="26"/>
      <c r="S163" s="38">
        <f t="shared" si="66"/>
        <v>1</v>
      </c>
      <c r="T163" s="53" t="str">
        <f t="shared" si="67"/>
        <v>NorthBound</v>
      </c>
      <c r="U163" s="13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07:20:59-0600',mode:absolute,to:'2016-08-14 09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63" s="55" t="str">
        <f t="shared" si="69"/>
        <v>N</v>
      </c>
      <c r="X163" s="129">
        <f t="shared" si="70"/>
        <v>1</v>
      </c>
      <c r="Y163" s="70">
        <f t="shared" si="71"/>
        <v>9.3700000000000006E-2</v>
      </c>
      <c r="Z163" s="70">
        <f t="shared" si="72"/>
        <v>5.8936999999999999</v>
      </c>
      <c r="AA163" s="70">
        <f t="shared" si="73"/>
        <v>5.8</v>
      </c>
      <c r="AB163" s="67" t="e">
        <f>VLOOKUP(A163,Enforcements!$C$7:$J$24,8,0)</f>
        <v>#N/A</v>
      </c>
      <c r="AC163" s="63" t="e">
        <f>VLOOKUP(A163,Enforcements!$C$7:$E$24,3,0)</f>
        <v>#N/A</v>
      </c>
      <c r="AD163" s="64" t="str">
        <f t="shared" si="74"/>
        <v>1805-14</v>
      </c>
      <c r="AE163" s="104" t="str">
        <f t="shared" si="75"/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63" s="101" t="str">
        <f t="shared" si="76"/>
        <v>"C:\Program Files (x86)\AstroGrep\AstroGrep.exe" /spath="%USERPROFILE%\AppData\Local\Temp\OnboardLogs" /stypes="*4020*20160814*" /stext=" 14:.+((SYSTEM_STATE.+slice.+state.+changed )|(ment ac)|(system.+state.+changed )|(\|lc)|(penalty)|(\[timeout)|(PRM\|1\|D)|(kpr)|(kdp))" /e /r /s</v>
      </c>
      <c r="AG163" s="1" t="str">
        <f t="shared" si="77"/>
        <v>NW</v>
      </c>
      <c r="AH163" s="105" t="str">
        <f t="shared" si="78"/>
        <v>"%USERPROFILE%\Documents\GitHub\eaglep3\Utilities\RefineRTDCRunTimes.py" --tripid 1805-14 --locoid 4020 --swversion DE.1.0.7.0 --startMP 204:937 --initTime 2016-08-14T08:20:59 --startdatetime 2016-08-14T08:22:09 --delay 1 --endMP 300:58937 --enddatetime 2016-08-14T08:35:32 --enforcementcount 0</v>
      </c>
    </row>
    <row r="164" spans="1:34" x14ac:dyDescent="0.25">
      <c r="A164" s="40" t="s">
        <v>445</v>
      </c>
      <c r="B164" s="7">
        <v>4019</v>
      </c>
      <c r="C164" s="25" t="s">
        <v>120</v>
      </c>
      <c r="D164" s="25" t="s">
        <v>232</v>
      </c>
      <c r="E164" s="16">
        <v>42596.359039351853</v>
      </c>
      <c r="F164" s="16">
        <v>42596.359780092593</v>
      </c>
      <c r="G164" s="7">
        <v>1</v>
      </c>
      <c r="H164" s="16" t="s">
        <v>446</v>
      </c>
      <c r="I164" s="16">
        <v>42596.37195601852</v>
      </c>
      <c r="J164" s="7">
        <v>0</v>
      </c>
      <c r="K164" s="143" t="str">
        <f t="shared" si="64"/>
        <v>4019/4020</v>
      </c>
      <c r="L164" s="25" t="str">
        <f>VLOOKUP(A164,'Trips&amp;Operators'!$C$1:$E$10000,3,FALSE)</f>
        <v>STARKS</v>
      </c>
      <c r="M164" s="6">
        <f t="shared" si="65"/>
        <v>1.2175925927294884E-2</v>
      </c>
      <c r="N164" s="7">
        <f t="shared" si="81"/>
        <v>17.533333335304633</v>
      </c>
      <c r="O164" s="7"/>
      <c r="P164" s="7"/>
      <c r="Q164" s="26"/>
      <c r="R164" s="26"/>
      <c r="S164" s="38">
        <f t="shared" si="66"/>
        <v>1</v>
      </c>
      <c r="T164" s="53" t="str">
        <f t="shared" si="67"/>
        <v>Southbound</v>
      </c>
      <c r="U164" s="13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07:37:01-0600',mode:absolute,to:'2016-08-14 09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64" s="55" t="str">
        <f t="shared" si="69"/>
        <v>N</v>
      </c>
      <c r="X164" s="129">
        <f t="shared" si="70"/>
        <v>1</v>
      </c>
      <c r="Y164" s="70">
        <f t="shared" si="71"/>
        <v>5.8625999999999996</v>
      </c>
      <c r="Z164" s="70">
        <f t="shared" si="72"/>
        <v>6.6299999999999998E-2</v>
      </c>
      <c r="AA164" s="70">
        <f t="shared" si="73"/>
        <v>5.7962999999999996</v>
      </c>
      <c r="AB164" s="67" t="e">
        <f>VLOOKUP(A164,Enforcements!$C$7:$J$24,8,0)</f>
        <v>#N/A</v>
      </c>
      <c r="AC164" s="63" t="e">
        <f>VLOOKUP(A164,Enforcements!$C$7:$E$24,3,0)</f>
        <v>#N/A</v>
      </c>
      <c r="AD164" s="64" t="str">
        <f t="shared" si="74"/>
        <v>1806-14</v>
      </c>
      <c r="AE164" s="104" t="str">
        <f t="shared" si="75"/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AF164" s="101" t="str">
        <f t="shared" si="76"/>
        <v>"C:\Program Files (x86)\AstroGrep\AstroGrep.exe" /spath="%USERPROFILE%\AppData\Local\Temp\OnboardLogs" /stypes="*4019*20160814*" /stext=" 14:.+((SYSTEM_STATE.+slice.+state.+changed )|(ment ac)|(system.+state.+changed )|(\|lc)|(penalty)|(\[timeout)|(PRM\|1\|D)|(kpr)|(kdp))" /e /r /s</v>
      </c>
      <c r="AG164" s="1" t="str">
        <f t="shared" si="77"/>
        <v>NW</v>
      </c>
      <c r="AH164" s="105" t="str">
        <f t="shared" si="78"/>
        <v>"%USERPROFILE%\Documents\GitHub\eaglep3\Utilities\RefineRTDCRunTimes.py" --tripid 1806-14 --locoid 4019 --swversion DE.1.0.7.0 --startMP 300:58626 --initTime 2016-08-14T08:37:01 --startdatetime 2016-08-14T08:38:05 --delay 1 --endMP 204:663 --enddatetime 2016-08-14T08:55:37 --enforcementcount 0</v>
      </c>
    </row>
    <row r="165" spans="1:34" x14ac:dyDescent="0.25">
      <c r="A165" s="40" t="s">
        <v>447</v>
      </c>
      <c r="B165" s="7">
        <v>4020</v>
      </c>
      <c r="C165" s="25" t="s">
        <v>120</v>
      </c>
      <c r="D165" s="25" t="s">
        <v>448</v>
      </c>
      <c r="E165" s="16">
        <v>42596.387708333335</v>
      </c>
      <c r="F165" s="16">
        <v>42596.389421296299</v>
      </c>
      <c r="G165" s="7">
        <v>2</v>
      </c>
      <c r="H165" s="16" t="s">
        <v>269</v>
      </c>
      <c r="I165" s="16">
        <v>42596.400046296294</v>
      </c>
      <c r="J165" s="7">
        <v>0</v>
      </c>
      <c r="K165" s="143" t="str">
        <f t="shared" si="64"/>
        <v>4019/4020</v>
      </c>
      <c r="L165" s="25" t="str">
        <f>VLOOKUP(A165,'Trips&amp;Operators'!$C$1:$E$10000,3,FALSE)</f>
        <v>STARKS</v>
      </c>
      <c r="M165" s="6">
        <f t="shared" si="65"/>
        <v>1.0624999995343387E-2</v>
      </c>
      <c r="N165" s="7">
        <f t="shared" si="81"/>
        <v>15.299999993294477</v>
      </c>
      <c r="O165" s="7"/>
      <c r="P165" s="7"/>
      <c r="Q165" s="26"/>
      <c r="R165" s="26"/>
      <c r="S165" s="38">
        <f t="shared" si="66"/>
        <v>1</v>
      </c>
      <c r="T165" s="53" t="str">
        <f t="shared" si="67"/>
        <v>NorthBound</v>
      </c>
      <c r="U165" s="13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08:18:18-0600',mode:absolute,to:'2016-08-14 10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65" s="55" t="str">
        <f t="shared" si="69"/>
        <v>N</v>
      </c>
      <c r="X165" s="129">
        <f t="shared" si="70"/>
        <v>1</v>
      </c>
      <c r="Y165" s="70">
        <f t="shared" si="71"/>
        <v>9.5000000000000001E-2</v>
      </c>
      <c r="Z165" s="70">
        <f t="shared" si="72"/>
        <v>5.8939000000000004</v>
      </c>
      <c r="AA165" s="70">
        <f t="shared" si="73"/>
        <v>5.7989000000000006</v>
      </c>
      <c r="AB165" s="67" t="e">
        <f>VLOOKUP(A165,Enforcements!$C$7:$J$24,8,0)</f>
        <v>#N/A</v>
      </c>
      <c r="AC165" s="63" t="e">
        <f>VLOOKUP(A165,Enforcements!$C$7:$E$24,3,0)</f>
        <v>#N/A</v>
      </c>
      <c r="AD165" s="64" t="str">
        <f t="shared" si="74"/>
        <v>1807-14</v>
      </c>
      <c r="AE165" s="104" t="str">
        <f t="shared" si="75"/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65" s="101" t="str">
        <f t="shared" si="76"/>
        <v>"C:\Program Files (x86)\AstroGrep\AstroGrep.exe" /spath="%USERPROFILE%\AppData\Local\Temp\OnboardLogs" /stypes="*4020*20160814*" /stext=" 15:.+((SYSTEM_STATE.+slice.+state.+changed )|(ment ac)|(system.+state.+changed )|(\|lc)|(penalty)|(\[timeout)|(PRM\|1\|D)|(kpr)|(kdp))" /e /r /s</v>
      </c>
      <c r="AG165" s="1" t="str">
        <f t="shared" si="77"/>
        <v>NW</v>
      </c>
      <c r="AH165" s="105" t="str">
        <f t="shared" si="78"/>
        <v>"%USERPROFILE%\Documents\GitHub\eaglep3\Utilities\RefineRTDCRunTimes.py" --tripid 1807-14 --locoid 4020 --swversion DE.1.0.7.0 --startMP 204:950 --initTime 2016-08-14T09:18:18 --startdatetime 2016-08-14T09:20:46 --delay 2 --endMP 300:58939 --enddatetime 2016-08-14T09:36:04 --enforcementcount 0</v>
      </c>
    </row>
    <row r="166" spans="1:34" x14ac:dyDescent="0.25">
      <c r="A166" s="40" t="s">
        <v>449</v>
      </c>
      <c r="B166" s="7">
        <v>4019</v>
      </c>
      <c r="C166" s="25" t="s">
        <v>120</v>
      </c>
      <c r="D166" s="25" t="s">
        <v>450</v>
      </c>
      <c r="E166" s="16">
        <v>42596.400775462964</v>
      </c>
      <c r="F166" s="16">
        <v>42596.401585648149</v>
      </c>
      <c r="G166" s="7">
        <v>1</v>
      </c>
      <c r="H166" s="16" t="s">
        <v>451</v>
      </c>
      <c r="I166" s="16">
        <v>42596.414155092592</v>
      </c>
      <c r="J166" s="7">
        <v>0</v>
      </c>
      <c r="K166" s="143" t="str">
        <f t="shared" si="64"/>
        <v>4019/4020</v>
      </c>
      <c r="L166" s="25" t="str">
        <f>VLOOKUP(A166,'Trips&amp;Operators'!$C$1:$E$10000,3,FALSE)</f>
        <v>STARKS</v>
      </c>
      <c r="M166" s="6">
        <f t="shared" si="65"/>
        <v>1.2569444443215616E-2</v>
      </c>
      <c r="N166" s="7">
        <f t="shared" si="81"/>
        <v>18.099999998230487</v>
      </c>
      <c r="O166" s="7"/>
      <c r="P166" s="7"/>
      <c r="Q166" s="26"/>
      <c r="R166" s="26"/>
      <c r="S166" s="38">
        <f t="shared" si="66"/>
        <v>1</v>
      </c>
      <c r="T166" s="53" t="str">
        <f t="shared" si="67"/>
        <v>Southbound</v>
      </c>
      <c r="U166" s="13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08:37:07-0600',mode:absolute,to:'2016-08-14 10:56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66" s="55" t="str">
        <f t="shared" si="69"/>
        <v>N</v>
      </c>
      <c r="X166" s="129">
        <f t="shared" si="70"/>
        <v>1</v>
      </c>
      <c r="Y166" s="70">
        <f t="shared" si="71"/>
        <v>5.8613</v>
      </c>
      <c r="Z166" s="70">
        <f t="shared" si="72"/>
        <v>6.8500000000000005E-2</v>
      </c>
      <c r="AA166" s="70">
        <f t="shared" si="73"/>
        <v>5.7927999999999997</v>
      </c>
      <c r="AB166" s="67" t="e">
        <f>VLOOKUP(A166,Enforcements!$C$7:$J$24,8,0)</f>
        <v>#N/A</v>
      </c>
      <c r="AC166" s="63" t="e">
        <f>VLOOKUP(A166,Enforcements!$C$7:$E$24,3,0)</f>
        <v>#N/A</v>
      </c>
      <c r="AD166" s="64" t="str">
        <f t="shared" si="74"/>
        <v>1808-14</v>
      </c>
      <c r="AE166" s="104" t="str">
        <f t="shared" si="75"/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AF166" s="101" t="str">
        <f t="shared" si="76"/>
        <v>"C:\Program Files (x86)\AstroGrep\AstroGrep.exe" /spath="%USERPROFILE%\AppData\Local\Temp\OnboardLogs" /stypes="*4019*20160814*" /stext=" 15:.+((SYSTEM_STATE.+slice.+state.+changed )|(ment ac)|(system.+state.+changed )|(\|lc)|(penalty)|(\[timeout)|(PRM\|1\|D)|(kpr)|(kdp))" /e /r /s</v>
      </c>
      <c r="AG166" s="1" t="str">
        <f t="shared" si="77"/>
        <v>NW</v>
      </c>
      <c r="AH166" s="105" t="str">
        <f t="shared" si="78"/>
        <v>"%USERPROFILE%\Documents\GitHub\eaglep3\Utilities\RefineRTDCRunTimes.py" --tripid 1808-14 --locoid 4019 --swversion DE.1.0.7.0 --startMP 300:58613 --initTime 2016-08-14T09:37:07 --startdatetime 2016-08-14T09:38:17 --delay 1 --endMP 204:685 --enddatetime 2016-08-14T09:56:23 --enforcementcount 0</v>
      </c>
    </row>
    <row r="167" spans="1:34" x14ac:dyDescent="0.25">
      <c r="A167" s="40" t="s">
        <v>452</v>
      </c>
      <c r="B167" s="7">
        <v>4020</v>
      </c>
      <c r="C167" s="25" t="s">
        <v>120</v>
      </c>
      <c r="D167" s="25" t="s">
        <v>453</v>
      </c>
      <c r="E167" s="16">
        <v>42596.430555555555</v>
      </c>
      <c r="F167" s="16">
        <v>42596.43141203704</v>
      </c>
      <c r="G167" s="7">
        <v>1</v>
      </c>
      <c r="H167" s="16" t="s">
        <v>454</v>
      </c>
      <c r="I167" s="16">
        <v>42596.441423611112</v>
      </c>
      <c r="J167" s="7">
        <v>0</v>
      </c>
      <c r="K167" s="143" t="str">
        <f t="shared" si="64"/>
        <v>4019/4020</v>
      </c>
      <c r="L167" s="25" t="str">
        <f>VLOOKUP(A167,'Trips&amp;Operators'!$C$1:$E$10000,3,FALSE)</f>
        <v>STARKS</v>
      </c>
      <c r="M167" s="6">
        <f t="shared" si="65"/>
        <v>1.0011574071540963E-2</v>
      </c>
      <c r="N167" s="7">
        <f t="shared" si="81"/>
        <v>14.416666663018987</v>
      </c>
      <c r="O167" s="7"/>
      <c r="P167" s="7"/>
      <c r="Q167" s="26"/>
      <c r="R167" s="26"/>
      <c r="S167" s="38">
        <f t="shared" si="66"/>
        <v>1</v>
      </c>
      <c r="T167" s="53" t="str">
        <f t="shared" si="67"/>
        <v>NorthBound</v>
      </c>
      <c r="U167" s="13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09:20:00-0600',mode:absolute,to:'2016-08-14 11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67" s="55" t="str">
        <f t="shared" si="69"/>
        <v>N</v>
      </c>
      <c r="X167" s="129">
        <f t="shared" si="70"/>
        <v>1</v>
      </c>
      <c r="Y167" s="70">
        <f t="shared" si="71"/>
        <v>9.7600000000000006E-2</v>
      </c>
      <c r="Z167" s="70">
        <v>5.9</v>
      </c>
      <c r="AA167" s="70">
        <f t="shared" si="73"/>
        <v>5.8024000000000004</v>
      </c>
      <c r="AB167" s="67" t="e">
        <f>VLOOKUP(A167,Enforcements!$C$7:$J$24,8,0)</f>
        <v>#N/A</v>
      </c>
      <c r="AC167" s="63" t="e">
        <f>VLOOKUP(A167,Enforcements!$C$7:$E$24,3,0)</f>
        <v>#N/A</v>
      </c>
      <c r="AD167" s="64" t="str">
        <f t="shared" si="74"/>
        <v>1809-14</v>
      </c>
      <c r="AE167" s="104" t="str">
        <f t="shared" si="75"/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67" s="101" t="str">
        <f t="shared" si="76"/>
        <v>"C:\Program Files (x86)\AstroGrep\AstroGrep.exe" /spath="%USERPROFILE%\AppData\Local\Temp\OnboardLogs" /stypes="*4020*20160814*" /stext=" 16:.+((SYSTEM_STATE.+slice.+state.+changed )|(ment ac)|(system.+state.+changed )|(\|lc)|(penalty)|(\[timeout)|(PRM\|1\|D)|(kpr)|(kdp))" /e /r /s</v>
      </c>
      <c r="AG167" s="1" t="str">
        <f t="shared" si="77"/>
        <v>NW</v>
      </c>
      <c r="AH167" s="105" t="str">
        <f t="shared" si="78"/>
        <v>"%USERPROFILE%\Documents\GitHub\eaglep3\Utilities\RefineRTDCRunTimes.py" --tripid 1809-14 --locoid 4020 --swversion DE.1.0.7.0 --startMP 204:976 --initTime 2016-08-14T10:20:00 --startdatetime 2016-08-14T10:21:14 --delay 1 --endMP 300:31292 --enddatetime 2016-08-14T10:35:39 --enforcementcount 0</v>
      </c>
    </row>
    <row r="168" spans="1:34" x14ac:dyDescent="0.25">
      <c r="A168" s="40" t="s">
        <v>457</v>
      </c>
      <c r="B168" s="7">
        <v>4019</v>
      </c>
      <c r="C168" s="25" t="s">
        <v>120</v>
      </c>
      <c r="D168" s="25" t="s">
        <v>458</v>
      </c>
      <c r="E168" s="16">
        <v>42596.442187499997</v>
      </c>
      <c r="F168" s="16">
        <v>42596.443043981482</v>
      </c>
      <c r="G168" s="7">
        <v>1</v>
      </c>
      <c r="H168" s="16" t="s">
        <v>459</v>
      </c>
      <c r="I168" s="16">
        <v>42596.455706018518</v>
      </c>
      <c r="J168" s="7">
        <v>0</v>
      </c>
      <c r="K168" s="143" t="str">
        <f t="shared" si="64"/>
        <v>4019/4020</v>
      </c>
      <c r="L168" s="25" t="str">
        <f>VLOOKUP(A168,'Trips&amp;Operators'!$C$1:$E$10000,3,FALSE)</f>
        <v>STARKS</v>
      </c>
      <c r="M168" s="6">
        <f t="shared" si="65"/>
        <v>1.2662037035624962E-2</v>
      </c>
      <c r="N168" s="7">
        <f t="shared" si="81"/>
        <v>18.233333331299946</v>
      </c>
      <c r="O168" s="7"/>
      <c r="P168" s="7"/>
      <c r="Q168" s="26"/>
      <c r="R168" s="26"/>
      <c r="S168" s="38">
        <f t="shared" si="66"/>
        <v>1</v>
      </c>
      <c r="T168" s="53" t="str">
        <f t="shared" si="67"/>
        <v>Southbound</v>
      </c>
      <c r="U168" s="13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09:36:45-0600',mode:absolute,to:'2016-08-14 11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68" s="55" t="str">
        <f t="shared" si="69"/>
        <v>N</v>
      </c>
      <c r="X168" s="129">
        <f t="shared" si="70"/>
        <v>1</v>
      </c>
      <c r="Y168" s="70">
        <f t="shared" si="71"/>
        <v>5.8611000000000004</v>
      </c>
      <c r="Z168" s="70">
        <f t="shared" si="72"/>
        <v>6.8699999999999997E-2</v>
      </c>
      <c r="AA168" s="70">
        <f t="shared" si="73"/>
        <v>5.7924000000000007</v>
      </c>
      <c r="AB168" s="67" t="e">
        <f>VLOOKUP(A168,Enforcements!$C$7:$J$24,8,0)</f>
        <v>#N/A</v>
      </c>
      <c r="AC168" s="63" t="e">
        <f>VLOOKUP(A168,Enforcements!$C$7:$E$24,3,0)</f>
        <v>#N/A</v>
      </c>
      <c r="AD168" s="64" t="str">
        <f t="shared" si="74"/>
        <v>1810-14</v>
      </c>
      <c r="AE168" s="104" t="str">
        <f t="shared" si="75"/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AF168" s="101" t="str">
        <f t="shared" si="76"/>
        <v>"C:\Program Files (x86)\AstroGrep\AstroGrep.exe" /spath="%USERPROFILE%\AppData\Local\Temp\OnboardLogs" /stypes="*4019*20160814*" /stext=" 16:.+((SYSTEM_STATE.+slice.+state.+changed )|(ment ac)|(system.+state.+changed )|(\|lc)|(penalty)|(\[timeout)|(PRM\|1\|D)|(kpr)|(kdp))" /e /r /s</v>
      </c>
      <c r="AG168" s="1" t="str">
        <f t="shared" si="77"/>
        <v>NW</v>
      </c>
      <c r="AH168" s="105" t="str">
        <f t="shared" si="78"/>
        <v>"%USERPROFILE%\Documents\GitHub\eaglep3\Utilities\RefineRTDCRunTimes.py" --tripid 1810-14 --locoid 4019 --swversion DE.1.0.7.0 --startMP 300:58611 --initTime 2016-08-14T10:36:45 --startdatetime 2016-08-14T10:37:59 --delay 1 --endMP 204:687 --enddatetime 2016-08-14T10:56:13 --enforcementcount 0</v>
      </c>
    </row>
    <row r="169" spans="1:34" x14ac:dyDescent="0.25">
      <c r="A169" s="40" t="s">
        <v>460</v>
      </c>
      <c r="B169" s="7">
        <v>4020</v>
      </c>
      <c r="C169" s="25" t="s">
        <v>120</v>
      </c>
      <c r="D169" s="25" t="s">
        <v>461</v>
      </c>
      <c r="E169" s="16">
        <v>42596.470185185186</v>
      </c>
      <c r="F169" s="16">
        <v>42596.471145833333</v>
      </c>
      <c r="G169" s="7">
        <v>1</v>
      </c>
      <c r="H169" s="16" t="s">
        <v>462</v>
      </c>
      <c r="I169" s="16">
        <v>42596.486840277779</v>
      </c>
      <c r="J169" s="7">
        <v>0</v>
      </c>
      <c r="K169" s="143" t="str">
        <f t="shared" si="64"/>
        <v>4019/4020</v>
      </c>
      <c r="L169" s="25" t="str">
        <f>VLOOKUP(A169,'Trips&amp;Operators'!$C$1:$E$10000,3,FALSE)</f>
        <v>STARKS</v>
      </c>
      <c r="M169" s="6">
        <f t="shared" si="65"/>
        <v>1.5694444446125999E-2</v>
      </c>
      <c r="N169" s="7">
        <f t="shared" si="81"/>
        <v>22.600000002421439</v>
      </c>
      <c r="O169" s="7"/>
      <c r="P169" s="7"/>
      <c r="Q169" s="26"/>
      <c r="R169" s="26"/>
      <c r="S169" s="38">
        <f t="shared" si="66"/>
        <v>1</v>
      </c>
      <c r="T169" s="53" t="str">
        <f t="shared" si="67"/>
        <v>NorthBound</v>
      </c>
      <c r="U169" s="13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10:17:04-0600',mode:absolute,to:'2016-08-14 12:41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69" s="55" t="str">
        <f t="shared" si="69"/>
        <v>N</v>
      </c>
      <c r="X169" s="129">
        <f t="shared" si="70"/>
        <v>1</v>
      </c>
      <c r="Y169" s="70">
        <f t="shared" si="71"/>
        <v>9.64E-2</v>
      </c>
      <c r="Z169" s="70">
        <f t="shared" si="72"/>
        <v>5.8928000000000003</v>
      </c>
      <c r="AA169" s="70">
        <f t="shared" si="73"/>
        <v>5.7964000000000002</v>
      </c>
      <c r="AB169" s="67" t="e">
        <f>VLOOKUP(A169,Enforcements!$C$7:$J$24,8,0)</f>
        <v>#N/A</v>
      </c>
      <c r="AC169" s="63" t="e">
        <f>VLOOKUP(A169,Enforcements!$C$7:$E$24,3,0)</f>
        <v>#N/A</v>
      </c>
      <c r="AD169" s="64" t="str">
        <f t="shared" si="74"/>
        <v>1811-14</v>
      </c>
      <c r="AE169" s="104" t="str">
        <f t="shared" si="75"/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69" s="101" t="str">
        <f t="shared" si="76"/>
        <v>"C:\Program Files (x86)\AstroGrep\AstroGrep.exe" /spath="%USERPROFILE%\AppData\Local\Temp\OnboardLogs" /stypes="*4020*20160814*" /stext=" 17:.+((SYSTEM_STATE.+slice.+state.+changed )|(ment ac)|(system.+state.+changed )|(\|lc)|(penalty)|(\[timeout)|(PRM\|1\|D)|(kpr)|(kdp))" /e /r /s</v>
      </c>
      <c r="AG169" s="1" t="str">
        <f t="shared" si="77"/>
        <v>NW</v>
      </c>
      <c r="AH169" s="105" t="str">
        <f t="shared" si="78"/>
        <v>"%USERPROFILE%\Documents\GitHub\eaglep3\Utilities\RefineRTDCRunTimes.py" --tripid 1811-14 --locoid 4020 --swversion DE.1.0.7.0 --startMP 204:964 --initTime 2016-08-14T11:17:04 --startdatetime 2016-08-14T11:18:27 --delay 1 --endMP 300:58928 --enddatetime 2016-08-14T11:41:03 --enforcementcount 0</v>
      </c>
    </row>
    <row r="170" spans="1:34" x14ac:dyDescent="0.25">
      <c r="A170" s="40" t="s">
        <v>463</v>
      </c>
      <c r="B170" s="7">
        <v>4019</v>
      </c>
      <c r="C170" s="25" t="s">
        <v>120</v>
      </c>
      <c r="D170" s="25" t="s">
        <v>450</v>
      </c>
      <c r="E170" s="16">
        <v>42596.487581018519</v>
      </c>
      <c r="F170" s="16">
        <v>42596.488333333335</v>
      </c>
      <c r="G170" s="7">
        <v>1</v>
      </c>
      <c r="H170" s="16" t="s">
        <v>271</v>
      </c>
      <c r="I170" s="16">
        <v>42596.498680555553</v>
      </c>
      <c r="J170" s="7">
        <v>0</v>
      </c>
      <c r="K170" s="143" t="str">
        <f t="shared" si="64"/>
        <v>4019/4020</v>
      </c>
      <c r="L170" s="25" t="str">
        <f>VLOOKUP(A170,'Trips&amp;Operators'!$C$1:$E$10000,3,FALSE)</f>
        <v>STARKS</v>
      </c>
      <c r="M170" s="6">
        <f t="shared" si="65"/>
        <v>1.0347222218115348E-2</v>
      </c>
      <c r="N170" s="7">
        <f t="shared" si="81"/>
        <v>14.899999994086102</v>
      </c>
      <c r="O170" s="7"/>
      <c r="P170" s="7"/>
      <c r="Q170" s="26"/>
      <c r="R170" s="26"/>
      <c r="S170" s="38">
        <f t="shared" si="66"/>
        <v>1</v>
      </c>
      <c r="T170" s="53" t="str">
        <f t="shared" si="67"/>
        <v>Southbound</v>
      </c>
      <c r="U170" s="13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1" t="str">
        <f t="shared" si="68"/>
        <v>https://search-rtdc-monitor-bjffxe2xuh6vdkpspy63sjmuny.us-east-1.es.amazonaws.com/_plugin/kibana/#/discover/Steve-Slow-Train-Analysis-(2080s-and-2083s)?_g=(refreshInterval:(display:Off,section:0,value:0),time:(from:'2016-08-14 10:42:07-0600',mode:absolute,to:'2016-08-14 12:58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70" s="55" t="str">
        <f t="shared" si="69"/>
        <v>N</v>
      </c>
      <c r="X170" s="129">
        <f t="shared" si="70"/>
        <v>1</v>
      </c>
      <c r="Y170" s="70">
        <f t="shared" si="71"/>
        <v>5.8613</v>
      </c>
      <c r="Z170" s="70">
        <f t="shared" si="72"/>
        <v>7.4800000000000005E-2</v>
      </c>
      <c r="AA170" s="70">
        <f t="shared" si="73"/>
        <v>5.7865000000000002</v>
      </c>
      <c r="AB170" s="67" t="e">
        <f>VLOOKUP(A170,Enforcements!$C$7:$J$24,8,0)</f>
        <v>#N/A</v>
      </c>
      <c r="AC170" s="63" t="e">
        <f>VLOOKUP(A170,Enforcements!$C$7:$E$24,3,0)</f>
        <v>#N/A</v>
      </c>
      <c r="AD170" s="64" t="str">
        <f t="shared" si="74"/>
        <v>1812-14</v>
      </c>
      <c r="AE170" s="104" t="str">
        <f t="shared" si="75"/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AF170" s="101" t="str">
        <f t="shared" si="76"/>
        <v>"C:\Program Files (x86)\AstroGrep\AstroGrep.exe" /spath="%USERPROFILE%\AppData\Local\Temp\OnboardLogs" /stypes="*4019*20160814*" /stext=" 17:.+((SYSTEM_STATE.+slice.+state.+changed )|(ment ac)|(system.+state.+changed )|(\|lc)|(penalty)|(\[timeout)|(PRM\|1\|D)|(kpr)|(kdp))" /e /r /s</v>
      </c>
      <c r="AG170" s="1" t="str">
        <f t="shared" si="77"/>
        <v>NW</v>
      </c>
      <c r="AH170" s="105" t="str">
        <f t="shared" si="78"/>
        <v>"%USERPROFILE%\Documents\GitHub\eaglep3\Utilities\RefineRTDCRunTimes.py" --tripid 1812-14 --locoid 4019 --swversion DE.1.0.7.0 --startMP 300:58613 --initTime 2016-08-14T11:42:07 --startdatetime 2016-08-14T11:43:12 --delay 1 --endMP 204:748 --enddatetime 2016-08-14T11:58:06 --enforcementcount 0</v>
      </c>
    </row>
    <row r="171" spans="1:34" x14ac:dyDescent="0.25">
      <c r="A171" s="40" t="s">
        <v>464</v>
      </c>
      <c r="B171" s="7">
        <v>4020</v>
      </c>
      <c r="C171" s="25" t="s">
        <v>120</v>
      </c>
      <c r="D171" s="25" t="s">
        <v>268</v>
      </c>
      <c r="E171" s="16">
        <v>42596.511516203704</v>
      </c>
      <c r="F171" s="16">
        <v>42596.512291666666</v>
      </c>
      <c r="G171" s="7">
        <v>1</v>
      </c>
      <c r="H171" s="16" t="s">
        <v>465</v>
      </c>
      <c r="I171" s="16">
        <v>42596.530486111114</v>
      </c>
      <c r="J171" s="7">
        <v>0</v>
      </c>
      <c r="K171" s="143" t="str">
        <f t="shared" ref="K171:K201" si="82">IF(ISEVEN(B171),(B171-1)&amp;"/"&amp;B171,B171&amp;"/"&amp;(B171+1))</f>
        <v>4019/4020</v>
      </c>
      <c r="L171" s="25" t="str">
        <f>VLOOKUP(A171,'Trips&amp;Operators'!$C$1:$E$10000,3,FALSE)</f>
        <v>STARKS</v>
      </c>
      <c r="M171" s="6">
        <f t="shared" ref="M171:M201" si="83">I171-F171</f>
        <v>1.8194444448454306E-2</v>
      </c>
      <c r="N171" s="7">
        <f t="shared" si="81"/>
        <v>26.2000000057742</v>
      </c>
      <c r="O171" s="7"/>
      <c r="P171" s="7"/>
      <c r="Q171" s="26"/>
      <c r="R171" s="26"/>
      <c r="S171" s="38">
        <f t="shared" ref="S171:S201" si="84">SUM(U171:U171)/IF(AG171="EC",12,1)</f>
        <v>1</v>
      </c>
      <c r="T171" s="53" t="str">
        <f t="shared" ref="T171:T201" si="85">IF(ISEVEN(LEFT(AD171,4)),"Southbound","NorthBound")</f>
        <v>NorthBound</v>
      </c>
      <c r="U171" s="13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1" t="str">
        <f t="shared" ref="V171:V201" si="86">"https://search-rtdc-monitor-bjffxe2xuh6vdkpspy63sjmuny.us-east-1.es.amazonaws.com/_plugin/kibana/#/discover/Steve-Slow-Train-Analysis-(2080s-and-2083s)?_g=(refreshInterval:(display:Off,section:0,value:0),time:(from:'"&amp;TEXT(E171-1/24,"yyyy-MM-DD hh:mm:ss")&amp;"-0600',mode:absolute,to:'"&amp;TEXT(I171+1/24,"yyyy-MM-DD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https://search-rtdc-monitor-bjffxe2xuh6vdkpspy63sjmuny.us-east-1.es.amazonaws.com/_plugin/kibana/#/discover/Steve-Slow-Train-Analysis-(2080s-and-2083s)?_g=(refreshInterval:(display:Off,section:0,value:0),time:(from:'2016-08-14 11:16:35-0600',mode:absolute,to:'2016-08-14 13:43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71" s="55" t="str">
        <f t="shared" ref="W171:W201" si="87">IF(AA171&lt;IF(AG171="EC",23,5.65),"Y","N")</f>
        <v>N</v>
      </c>
      <c r="X171" s="129">
        <f t="shared" ref="X171:X201" si="88">VALUE(LEFT(AD171,4))-VALUE(LEFT(AD170,4))</f>
        <v>1</v>
      </c>
      <c r="Y171" s="70">
        <f t="shared" ref="Y171:Y201" si="89">RIGHT(D171,LEN(D171)-4)/10000</f>
        <v>0.1041</v>
      </c>
      <c r="Z171" s="70">
        <f t="shared" ref="Z171:Z201" si="90">RIGHT(H171,LEN(H171)-4)/10000</f>
        <v>5.8924000000000003</v>
      </c>
      <c r="AA171" s="70">
        <f t="shared" ref="AA171:AA201" si="91">ABS(Z171-Y171)</f>
        <v>5.7883000000000004</v>
      </c>
      <c r="AB171" s="67" t="e">
        <f>VLOOKUP(A171,Enforcements!$C$7:$J$24,8,0)</f>
        <v>#N/A</v>
      </c>
      <c r="AC171" s="63" t="e">
        <f>VLOOKUP(A171,Enforcements!$C$7:$E$24,3,0)</f>
        <v>#N/A</v>
      </c>
      <c r="AD171" s="64" t="str">
        <f t="shared" ref="AD171:AD201" si="92">IF(LEN(A171)=6,"0"&amp;A171,A171)</f>
        <v>1813-14</v>
      </c>
      <c r="AE171" s="104" t="str">
        <f t="shared" ref="AE171:AE201" si="93">"aws s3 cp "&amp;s3_bucket&amp;"/RTDC"&amp;B171&amp;"/"&amp;TEXT(F171,"YYYY-MM-DD")&amp;"/ "&amp;search_path&amp;"\RTDC"&amp;B171&amp;"\"&amp;TEXT(F171,"YYYY-MM-DD")&amp;" --recursive &amp; """&amp;walkandungz&amp;""" "&amp;search_path&amp;"\RTDC"&amp;B171&amp;"\"&amp;TEXT(F171,"YYYY-MM-DD")
&amp;" &amp; "&amp;"aws s3 cp "&amp;s3_bucket&amp;"/RTDC"&amp;B171&amp;"/"&amp;TEXT(F171+1,"YYYY-MM-DD")&amp;"/ "&amp;search_path&amp;"\RTDC"&amp;B171&amp;"\"&amp;TEXT(F171+1,"YYYY-MM-DD")&amp;" --recursive &amp; """&amp;walkandungz&amp;""" "&amp;search_path&amp;"\RTDC"&amp;B171&amp;"\"&amp;TEXT(F171+1,"YYYY-MM-DD")</f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71" s="101" t="str">
        <f t="shared" ref="AF171:AF201" si="94">astrogrep_path&amp;" /spath="&amp;search_path&amp;" /stypes=""*"&amp;B171&amp;"*"&amp;TEXT(I171-utc_offset/24,"YYYYMMDD")&amp;"*"" /stext="" "&amp;TEXT(I171-utc_offset/24,"HH")&amp;search_regexp&amp;""" /e /r /s"</f>
        <v>"C:\Program Files (x86)\AstroGrep\AstroGrep.exe" /spath="%USERPROFILE%\AppData\Local\Temp\OnboardLogs" /stypes="*4020*20160814*" /stext=" 18:.+((SYSTEM_STATE.+slice.+state.+changed )|(ment ac)|(system.+state.+changed )|(\|lc)|(penalty)|(\[timeout)|(PRM\|1\|D)|(kpr)|(kdp))" /e /r /s</v>
      </c>
      <c r="AG171" s="1" t="str">
        <f t="shared" ref="AG171:AG201" si="95">IF(VALUE(LEFT(AD171,2))&lt;=2,"EC",IF(OR(VALUE(LEFT(AD171,2))=8,VALUE(LEFT(AD171,2))=18),"NW","Other"))</f>
        <v>NW</v>
      </c>
      <c r="AH171" s="105" t="str">
        <f t="shared" si="78"/>
        <v>"%USERPROFILE%\Documents\GitHub\eaglep3\Utilities\RefineRTDCRunTimes.py" --tripid 1813-14 --locoid 4020 --swversion DE.1.0.7.0 --startMP 204:1041 --initTime 2016-08-14T12:16:35 --startdatetime 2016-08-14T12:17:42 --delay 1 --endMP 300:58924 --enddatetime 2016-08-14T12:43:54 --enforcementcount 0</v>
      </c>
    </row>
    <row r="172" spans="1:34" x14ac:dyDescent="0.25">
      <c r="A172" s="40" t="s">
        <v>466</v>
      </c>
      <c r="B172" s="7">
        <v>4019</v>
      </c>
      <c r="C172" s="25" t="s">
        <v>120</v>
      </c>
      <c r="D172" s="25" t="s">
        <v>265</v>
      </c>
      <c r="E172" s="16">
        <v>42596.531631944446</v>
      </c>
      <c r="F172" s="16">
        <v>42596.532465277778</v>
      </c>
      <c r="G172" s="7">
        <v>1</v>
      </c>
      <c r="H172" s="16" t="s">
        <v>467</v>
      </c>
      <c r="I172" s="16">
        <v>42596.542638888888</v>
      </c>
      <c r="J172" s="7">
        <v>0</v>
      </c>
      <c r="K172" s="143" t="str">
        <f t="shared" si="82"/>
        <v>4019/4020</v>
      </c>
      <c r="L172" s="25" t="str">
        <f>VLOOKUP(A172,'Trips&amp;Operators'!$C$1:$E$10000,3,FALSE)</f>
        <v>STARKS</v>
      </c>
      <c r="M172" s="6">
        <f t="shared" si="83"/>
        <v>1.0173611110076308E-2</v>
      </c>
      <c r="N172" s="7">
        <f t="shared" si="81"/>
        <v>14.649999998509884</v>
      </c>
      <c r="O172" s="7"/>
      <c r="P172" s="7"/>
      <c r="Q172" s="26"/>
      <c r="R172" s="26"/>
      <c r="S172" s="38">
        <f t="shared" si="84"/>
        <v>1</v>
      </c>
      <c r="T172" s="53" t="str">
        <f t="shared" si="85"/>
        <v>Southbound</v>
      </c>
      <c r="U172" s="13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11:45:33-0600',mode:absolute,to:'2016-08-14 14:01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72" s="55" t="str">
        <f t="shared" si="87"/>
        <v>N</v>
      </c>
      <c r="X172" s="129">
        <f t="shared" si="88"/>
        <v>1</v>
      </c>
      <c r="Y172" s="70">
        <f t="shared" si="89"/>
        <v>5.8623000000000003</v>
      </c>
      <c r="Z172" s="70">
        <f t="shared" si="90"/>
        <v>6.7100000000000007E-2</v>
      </c>
      <c r="AA172" s="70">
        <f t="shared" si="91"/>
        <v>5.7952000000000004</v>
      </c>
      <c r="AB172" s="67" t="e">
        <f>VLOOKUP(A172,Enforcements!$C$7:$J$24,8,0)</f>
        <v>#N/A</v>
      </c>
      <c r="AC172" s="63" t="e">
        <f>VLOOKUP(A172,Enforcements!$C$7:$E$24,3,0)</f>
        <v>#N/A</v>
      </c>
      <c r="AD172" s="64" t="str">
        <f t="shared" si="92"/>
        <v>1814-14</v>
      </c>
      <c r="AE172" s="104" t="str">
        <f t="shared" si="93"/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AF172" s="101" t="str">
        <f t="shared" si="94"/>
        <v>"C:\Program Files (x86)\AstroGrep\AstroGrep.exe" /spath="%USERPROFILE%\AppData\Local\Temp\OnboardLogs" /stypes="*4019*20160814*" /stext=" 19:.+((SYSTEM_STATE.+slice.+state.+changed )|(ment ac)|(system.+state.+changed )|(\|lc)|(penalty)|(\[timeout)|(PRM\|1\|D)|(kpr)|(kdp))" /e /r /s</v>
      </c>
      <c r="AG172" s="1" t="str">
        <f t="shared" si="95"/>
        <v>NW</v>
      </c>
      <c r="AH172" s="105" t="str">
        <f t="shared" si="78"/>
        <v>"%USERPROFILE%\Documents\GitHub\eaglep3\Utilities\RefineRTDCRunTimes.py" --tripid 1814-14 --locoid 4019 --swversion DE.1.0.7.0 --startMP 300:58623 --initTime 2016-08-14T12:45:33 --startdatetime 2016-08-14T12:46:45 --delay 1 --endMP 204:671 --enddatetime 2016-08-14T13:01:24 --enforcementcount 0</v>
      </c>
    </row>
    <row r="173" spans="1:34" x14ac:dyDescent="0.25">
      <c r="A173" s="40" t="s">
        <v>468</v>
      </c>
      <c r="B173" s="7">
        <v>4020</v>
      </c>
      <c r="C173" s="25" t="s">
        <v>120</v>
      </c>
      <c r="D173" s="25" t="s">
        <v>469</v>
      </c>
      <c r="E173" s="16">
        <v>42596.553553240738</v>
      </c>
      <c r="F173" s="16">
        <v>42596.55431712963</v>
      </c>
      <c r="G173" s="7">
        <v>1</v>
      </c>
      <c r="H173" s="16" t="s">
        <v>470</v>
      </c>
      <c r="I173" s="16">
        <v>42596.567002314812</v>
      </c>
      <c r="J173" s="7">
        <v>0</v>
      </c>
      <c r="K173" s="143" t="str">
        <f t="shared" si="82"/>
        <v>4019/4020</v>
      </c>
      <c r="L173" s="25" t="str">
        <f>VLOOKUP(A173,'Trips&amp;Operators'!$C$1:$E$10000,3,FALSE)</f>
        <v>STARKS</v>
      </c>
      <c r="M173" s="6">
        <f t="shared" si="83"/>
        <v>1.2685185181908309E-2</v>
      </c>
      <c r="N173" s="7">
        <f t="shared" si="81"/>
        <v>18.266666661947966</v>
      </c>
      <c r="O173" s="7"/>
      <c r="P173" s="7"/>
      <c r="Q173" s="26"/>
      <c r="R173" s="26"/>
      <c r="S173" s="38">
        <f t="shared" si="84"/>
        <v>1</v>
      </c>
      <c r="T173" s="53" t="str">
        <f t="shared" si="85"/>
        <v>NorthBound</v>
      </c>
      <c r="U173" s="13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12:17:07-0600',mode:absolute,to:'2016-08-14 14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73" s="55" t="str">
        <f t="shared" si="87"/>
        <v>N</v>
      </c>
      <c r="X173" s="129">
        <f t="shared" si="88"/>
        <v>1</v>
      </c>
      <c r="Y173" s="70">
        <f t="shared" si="89"/>
        <v>9.4600000000000004E-2</v>
      </c>
      <c r="Z173" s="70">
        <f t="shared" si="90"/>
        <v>5.8929</v>
      </c>
      <c r="AA173" s="70">
        <f t="shared" si="91"/>
        <v>5.7983000000000002</v>
      </c>
      <c r="AB173" s="67" t="e">
        <f>VLOOKUP(A173,Enforcements!$C$7:$J$24,8,0)</f>
        <v>#N/A</v>
      </c>
      <c r="AC173" s="63" t="e">
        <f>VLOOKUP(A173,Enforcements!$C$7:$E$24,3,0)</f>
        <v>#N/A</v>
      </c>
      <c r="AD173" s="64" t="str">
        <f t="shared" si="92"/>
        <v>1815-14</v>
      </c>
      <c r="AE173" s="104" t="str">
        <f t="shared" si="93"/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73" s="101" t="str">
        <f t="shared" si="94"/>
        <v>"C:\Program Files (x86)\AstroGrep\AstroGrep.exe" /spath="%USERPROFILE%\AppData\Local\Temp\OnboardLogs" /stypes="*4020*20160814*" /stext=" 19:.+((SYSTEM_STATE.+slice.+state.+changed )|(ment ac)|(system.+state.+changed )|(\|lc)|(penalty)|(\[timeout)|(PRM\|1\|D)|(kpr)|(kdp))" /e /r /s</v>
      </c>
      <c r="AG173" s="1" t="str">
        <f t="shared" si="95"/>
        <v>NW</v>
      </c>
      <c r="AH173" s="105" t="str">
        <f t="shared" si="78"/>
        <v>"%USERPROFILE%\Documents\GitHub\eaglep3\Utilities\RefineRTDCRunTimes.py" --tripid 1815-14 --locoid 4020 --swversion DE.1.0.7.0 --startMP 204:946 --initTime 2016-08-14T13:17:07 --startdatetime 2016-08-14T13:18:13 --delay 1 --endMP 300:58929 --enddatetime 2016-08-14T13:36:29 --enforcementcount 0</v>
      </c>
    </row>
    <row r="174" spans="1:34" s="24" customFormat="1" x14ac:dyDescent="0.25">
      <c r="A174" s="40" t="s">
        <v>655</v>
      </c>
      <c r="B174" s="7">
        <v>4019</v>
      </c>
      <c r="C174" s="25" t="s">
        <v>120</v>
      </c>
      <c r="D174" s="25" t="s">
        <v>469</v>
      </c>
      <c r="E174" s="16">
        <v>42596.553553240738</v>
      </c>
      <c r="F174" s="16">
        <v>42596.568344907406</v>
      </c>
      <c r="G174" s="7">
        <v>1</v>
      </c>
      <c r="H174" s="16" t="s">
        <v>470</v>
      </c>
      <c r="I174" s="16">
        <v>42596.57</v>
      </c>
      <c r="J174" s="7">
        <v>0</v>
      </c>
      <c r="K174" s="143" t="str">
        <f t="shared" ref="K174" si="96">IF(ISEVEN(B174),(B174-1)&amp;"/"&amp;B174,B174&amp;"/"&amp;(B174+1))</f>
        <v>4019/4020</v>
      </c>
      <c r="L174" s="25" t="str">
        <f>VLOOKUP(A174,'Trips&amp;Operators'!$C$1:$E$10000,3,FALSE)</f>
        <v>STARKS</v>
      </c>
      <c r="M174" s="6">
        <f t="shared" ref="M174" si="97">I174-F174</f>
        <v>1.6550925938645378E-3</v>
      </c>
      <c r="N174" s="7"/>
      <c r="O174" s="7"/>
      <c r="P174" s="7">
        <f t="shared" si="81"/>
        <v>2.3833333351649344</v>
      </c>
      <c r="Q174" s="26"/>
      <c r="R174" s="26" t="s">
        <v>667</v>
      </c>
      <c r="S174" s="38">
        <f t="shared" ref="S174" si="98">SUM(U174:U174)/IF(AG174="EC",12,1)</f>
        <v>0</v>
      </c>
      <c r="T174" s="53" t="str">
        <f t="shared" ref="T174" si="99">IF(ISEVEN(LEFT(AD174,4)),"Southbound","NorthBound")</f>
        <v>Southbound</v>
      </c>
      <c r="U174" s="13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0</v>
      </c>
      <c r="V174" s="111" t="str">
        <f t="shared" ref="V174" si="100">"https://search-rtdc-monitor-bjffxe2xuh6vdkpspy63sjmuny.us-east-1.es.amazonaws.com/_plugin/kibana/#/discover/Steve-Slow-Train-Analysis-(2080s-and-2083s)?_g=(refreshInterval:(display:Off,section:0,value:0),time:(from:'"&amp;TEXT(E174-1/24,"yyyy-MM-DD hh:mm:ss")&amp;"-0600',mode:absolute,to:'"&amp;TEXT(I174+1/24,"yyyy-MM-DD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https://search-rtdc-monitor-bjffxe2xuh6vdkpspy63sjmuny.us-east-1.es.amazonaws.com/_plugin/kibana/#/discover/Steve-Slow-Train-Analysis-(2080s-and-2083s)?_g=(refreshInterval:(display:Off,section:0,value:0),time:(from:'2016-08-14 12:17:07-0600',mode:absolute,to:'2016-08-14 14:40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74" s="55" t="str">
        <f t="shared" ref="W174" si="101">IF(AA174&lt;IF(AG174="EC",23,5.65),"Y","N")</f>
        <v>N</v>
      </c>
      <c r="X174" s="129">
        <f t="shared" si="88"/>
        <v>1</v>
      </c>
      <c r="Y174" s="70">
        <f t="shared" ref="Y174" si="102">RIGHT(D174,LEN(D174)-4)/10000</f>
        <v>9.4600000000000004E-2</v>
      </c>
      <c r="Z174" s="70">
        <f t="shared" ref="Z174" si="103">RIGHT(H174,LEN(H174)-4)/10000</f>
        <v>5.8929</v>
      </c>
      <c r="AA174" s="70">
        <f t="shared" ref="AA174" si="104">ABS(Z174-Y174)</f>
        <v>5.7983000000000002</v>
      </c>
      <c r="AB174" s="67" t="e">
        <f>VLOOKUP(A174,Enforcements!$C$7:$J$24,8,0)</f>
        <v>#N/A</v>
      </c>
      <c r="AC174" s="63" t="e">
        <f>VLOOKUP(A174,Enforcements!$C$7:$E$24,3,0)</f>
        <v>#N/A</v>
      </c>
      <c r="AD174" s="64" t="str">
        <f t="shared" ref="AD174" si="105">IF(LEN(A174)=6,"0"&amp;A174,A174)</f>
        <v>1816-14</v>
      </c>
      <c r="AE174" s="104" t="str">
        <f t="shared" ref="AE174" si="106">"aws s3 cp "&amp;s3_bucket&amp;"/RTDC"&amp;B174&amp;"/"&amp;TEXT(F174,"YYYY-MM-DD")&amp;"/ "&amp;search_path&amp;"\RTDC"&amp;B174&amp;"\"&amp;TEXT(F174,"YYYY-MM-DD")&amp;" --recursive &amp; """&amp;walkandungz&amp;""" "&amp;search_path&amp;"\RTDC"&amp;B174&amp;"\"&amp;TEXT(F174,"YYYY-MM-DD")
&amp;" &amp; "&amp;"aws s3 cp "&amp;s3_bucket&amp;"/RTDC"&amp;B174&amp;"/"&amp;TEXT(F174+1,"YYYY-MM-DD")&amp;"/ "&amp;search_path&amp;"\RTDC"&amp;B174&amp;"\"&amp;TEXT(F174+1,"YYYY-MM-DD")&amp;" --recursive &amp; """&amp;walkandungz&amp;""" "&amp;search_path&amp;"\RTDC"&amp;B174&amp;"\"&amp;TEXT(F174+1,"YYYY-MM-DD")</f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AF174" s="101" t="str">
        <f t="shared" ref="AF174" si="107">astrogrep_path&amp;" /spath="&amp;search_path&amp;" /stypes=""*"&amp;B174&amp;"*"&amp;TEXT(I174-utc_offset/24,"YYYYMMDD")&amp;"*"" /stext="" "&amp;TEXT(I174-utc_offset/24,"HH")&amp;search_regexp&amp;""" /e /r /s"</f>
        <v>"C:\Program Files (x86)\AstroGrep\AstroGrep.exe" /spath="%USERPROFILE%\AppData\Local\Temp\OnboardLogs" /stypes="*4019*20160814*" /stext=" 19:.+((SYSTEM_STATE.+slice.+state.+changed )|(ment ac)|(system.+state.+changed )|(\|lc)|(penalty)|(\[timeout)|(PRM\|1\|D)|(kpr)|(kdp))" /e /r /s</v>
      </c>
      <c r="AG174" s="1" t="str">
        <f t="shared" ref="AG174" si="108">IF(VALUE(LEFT(AD174,2))&lt;=2,"EC",IF(OR(VALUE(LEFT(AD174,2))=8,VALUE(LEFT(AD174,2))=18),"NW","Other"))</f>
        <v>NW</v>
      </c>
      <c r="AH174" s="105" t="str">
        <f t="shared" ref="AH174" si="109">refinertdcruntimes&amp;" --tripid "&amp;A174&amp;" --locoid "&amp;B174&amp;" --swversion "&amp;C174&amp;" --startMP "&amp;D174&amp;" --initTime "&amp;TEXT(E174,"yyyy-mm-ddTHH:MM:SS")&amp;" --startdatetime "&amp;TEXT(F174,"yyyy-mm-ddTHH:MM:SS")&amp;" --delay "&amp;G174&amp;" --endMP "&amp;H174&amp;" --enddatetime "&amp;TEXT(I174,"yyyy-mm-ddTHH:MM:SS")&amp;" --enforcementcount "&amp;J174</f>
        <v>"%USERPROFILE%\Documents\GitHub\eaglep3\Utilities\RefineRTDCRunTimes.py" --tripid 1816-14 --locoid 4019 --swversion DE.1.0.7.0 --startMP 204:946 --initTime 2016-08-14T13:17:07 --startdatetime 2016-08-14T13:38:25 --delay 1 --endMP 300:58929 --enddatetime 2016-08-14T13:40:48 --enforcementcount 0</v>
      </c>
    </row>
    <row r="175" spans="1:34" x14ac:dyDescent="0.25">
      <c r="A175" s="40" t="s">
        <v>471</v>
      </c>
      <c r="B175" s="7">
        <v>4020</v>
      </c>
      <c r="C175" s="25" t="s">
        <v>120</v>
      </c>
      <c r="D175" s="25" t="s">
        <v>444</v>
      </c>
      <c r="E175" s="16">
        <v>42596.589548611111</v>
      </c>
      <c r="F175" s="16">
        <v>42596.591099537036</v>
      </c>
      <c r="G175" s="7">
        <v>2</v>
      </c>
      <c r="H175" s="16" t="s">
        <v>472</v>
      </c>
      <c r="I175" s="16">
        <v>42596.610891203702</v>
      </c>
      <c r="J175" s="7">
        <v>0</v>
      </c>
      <c r="K175" s="143" t="str">
        <f t="shared" si="82"/>
        <v>4019/4020</v>
      </c>
      <c r="L175" s="25" t="str">
        <f>VLOOKUP(A175,'Trips&amp;Operators'!$C$1:$E$10000,3,FALSE)</f>
        <v>NATION</v>
      </c>
      <c r="M175" s="6">
        <f t="shared" si="83"/>
        <v>1.9791666665696539E-2</v>
      </c>
      <c r="N175" s="7">
        <f t="shared" si="81"/>
        <v>28.499999998603016</v>
      </c>
      <c r="O175" s="7"/>
      <c r="P175" s="7"/>
      <c r="Q175" s="26"/>
      <c r="R175" s="26"/>
      <c r="S175" s="38">
        <f t="shared" si="84"/>
        <v>1</v>
      </c>
      <c r="T175" s="53" t="str">
        <f t="shared" si="85"/>
        <v>NorthBound</v>
      </c>
      <c r="U175" s="13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13:08:57-0600',mode:absolute,to:'2016-08-14 15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75" s="55" t="str">
        <f t="shared" si="87"/>
        <v>N</v>
      </c>
      <c r="X175" s="129">
        <f t="shared" si="88"/>
        <v>1</v>
      </c>
      <c r="Y175" s="70">
        <f t="shared" si="89"/>
        <v>9.3700000000000006E-2</v>
      </c>
      <c r="Z175" s="70">
        <f t="shared" si="90"/>
        <v>5.8907999999999996</v>
      </c>
      <c r="AA175" s="70">
        <f t="shared" si="91"/>
        <v>5.7970999999999995</v>
      </c>
      <c r="AB175" s="67" t="e">
        <f>VLOOKUP(A175,Enforcements!$C$7:$J$24,8,0)</f>
        <v>#N/A</v>
      </c>
      <c r="AC175" s="63" t="e">
        <f>VLOOKUP(A175,Enforcements!$C$7:$E$24,3,0)</f>
        <v>#N/A</v>
      </c>
      <c r="AD175" s="64" t="str">
        <f t="shared" si="92"/>
        <v>1817-14</v>
      </c>
      <c r="AE175" s="104" t="str">
        <f t="shared" si="93"/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75" s="101" t="str">
        <f t="shared" si="94"/>
        <v>"C:\Program Files (x86)\AstroGrep\AstroGrep.exe" /spath="%USERPROFILE%\AppData\Local\Temp\OnboardLogs" /stypes="*4020*20160814*" /stext=" 20:.+((SYSTEM_STATE.+slice.+state.+changed )|(ment ac)|(system.+state.+changed )|(\|lc)|(penalty)|(\[timeout)|(PRM\|1\|D)|(kpr)|(kdp))" /e /r /s</v>
      </c>
      <c r="AG175" s="1" t="str">
        <f t="shared" si="95"/>
        <v>NW</v>
      </c>
      <c r="AH175" s="105" t="str">
        <f t="shared" si="78"/>
        <v>"%USERPROFILE%\Documents\GitHub\eaglep3\Utilities\RefineRTDCRunTimes.py" --tripid 1817-14 --locoid 4020 --swversion DE.1.0.7.0 --startMP 204:937 --initTime 2016-08-14T14:08:57 --startdatetime 2016-08-14T14:11:11 --delay 2 --endMP 300:58908 --enddatetime 2016-08-14T14:39:41 --enforcementcount 0</v>
      </c>
    </row>
    <row r="176" spans="1:34" s="24" customFormat="1" x14ac:dyDescent="0.25">
      <c r="A176" s="40" t="s">
        <v>657</v>
      </c>
      <c r="B176" s="7">
        <v>4019</v>
      </c>
      <c r="C176" s="25" t="s">
        <v>120</v>
      </c>
      <c r="D176" s="25" t="s">
        <v>444</v>
      </c>
      <c r="E176" s="16">
        <v>42596.589548611111</v>
      </c>
      <c r="F176" s="16">
        <v>42596.614791666667</v>
      </c>
      <c r="G176" s="7">
        <v>2</v>
      </c>
      <c r="H176" s="16" t="s">
        <v>472</v>
      </c>
      <c r="I176" s="16">
        <v>42596.626539351855</v>
      </c>
      <c r="J176" s="7">
        <v>0</v>
      </c>
      <c r="K176" s="143" t="str">
        <f t="shared" ref="K176" si="110">IF(ISEVEN(B176),(B176-1)&amp;"/"&amp;B176,B176&amp;"/"&amp;(B176+1))</f>
        <v>4019/4020</v>
      </c>
      <c r="L176" s="25" t="str">
        <f>VLOOKUP(A176,'Trips&amp;Operators'!$C$1:$E$10000,3,FALSE)</f>
        <v>NATION</v>
      </c>
      <c r="M176" s="6">
        <f t="shared" ref="M176" si="111">I176-F176</f>
        <v>1.1747685188311152E-2</v>
      </c>
      <c r="N176" s="7"/>
      <c r="O176" s="7"/>
      <c r="P176" s="7">
        <f t="shared" si="81"/>
        <v>16.916666671168059</v>
      </c>
      <c r="Q176" s="26"/>
      <c r="R176" s="26" t="s">
        <v>667</v>
      </c>
      <c r="S176" s="38">
        <f t="shared" ref="S176" si="112">SUM(U176:U176)/IF(AG176="EC",12,1)</f>
        <v>0</v>
      </c>
      <c r="T176" s="53" t="str">
        <f t="shared" ref="T176" si="113">IF(ISEVEN(LEFT(AD176,4)),"Southbound","NorthBound")</f>
        <v>Southbound</v>
      </c>
      <c r="U176" s="13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111" t="str">
        <f t="shared" ref="V176" si="114">"https://search-rtdc-monitor-bjffxe2xuh6vdkpspy63sjmuny.us-east-1.es.amazonaws.com/_plugin/kibana/#/discover/Steve-Slow-Train-Analysis-(2080s-and-2083s)?_g=(refreshInterval:(display:Off,section:0,value:0),time:(from:'"&amp;TEXT(E176-1/24,"yyyy-MM-DD hh:mm:ss")&amp;"-0600',mode:absolute,to:'"&amp;TEXT(I176+1/24,"yyyy-MM-DD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https://search-rtdc-monitor-bjffxe2xuh6vdkpspy63sjmuny.us-east-1.es.amazonaws.com/_plugin/kibana/#/discover/Steve-Slow-Train-Analysis-(2080s-and-2083s)?_g=(refreshInterval:(display:Off,section:0,value:0),time:(from:'2016-08-14 13:08:57-0600',mode:absolute,to:'2016-08-14 16:02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76" s="55" t="str">
        <f t="shared" ref="W176" si="115">IF(AA176&lt;IF(AG176="EC",23,5.65),"Y","N")</f>
        <v>N</v>
      </c>
      <c r="X176" s="129">
        <f t="shared" si="88"/>
        <v>1</v>
      </c>
      <c r="Y176" s="70">
        <f t="shared" ref="Y176" si="116">RIGHT(D176,LEN(D176)-4)/10000</f>
        <v>9.3700000000000006E-2</v>
      </c>
      <c r="Z176" s="70">
        <f t="shared" ref="Z176" si="117">RIGHT(H176,LEN(H176)-4)/10000</f>
        <v>5.8907999999999996</v>
      </c>
      <c r="AA176" s="70">
        <f t="shared" ref="AA176" si="118">ABS(Z176-Y176)</f>
        <v>5.7970999999999995</v>
      </c>
      <c r="AB176" s="67" t="e">
        <f>VLOOKUP(A176,Enforcements!$C$7:$J$24,8,0)</f>
        <v>#N/A</v>
      </c>
      <c r="AC176" s="63" t="e">
        <f>VLOOKUP(A176,Enforcements!$C$7:$E$24,3,0)</f>
        <v>#N/A</v>
      </c>
      <c r="AD176" s="64" t="str">
        <f t="shared" ref="AD176" si="119">IF(LEN(A176)=6,"0"&amp;A176,A176)</f>
        <v>1818-14</v>
      </c>
      <c r="AE176" s="104" t="str">
        <f t="shared" ref="AE176" si="120">"aws s3 cp "&amp;s3_bucket&amp;"/RTDC"&amp;B176&amp;"/"&amp;TEXT(F176,"YYYY-MM-DD")&amp;"/ "&amp;search_path&amp;"\RTDC"&amp;B176&amp;"\"&amp;TEXT(F176,"YYYY-MM-DD")&amp;" --recursive &amp; """&amp;walkandungz&amp;""" "&amp;search_path&amp;"\RTDC"&amp;B176&amp;"\"&amp;TEXT(F176,"YYYY-MM-DD")
&amp;" &amp; "&amp;"aws s3 cp "&amp;s3_bucket&amp;"/RTDC"&amp;B176&amp;"/"&amp;TEXT(F176+1,"YYYY-MM-DD")&amp;"/ "&amp;search_path&amp;"\RTDC"&amp;B176&amp;"\"&amp;TEXT(F176+1,"YYYY-MM-DD")&amp;" --recursive &amp; """&amp;walkandungz&amp;""" "&amp;search_path&amp;"\RTDC"&amp;B176&amp;"\"&amp;TEXT(F176+1,"YYYY-MM-DD")</f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AF176" s="101" t="str">
        <f t="shared" ref="AF176" si="121">astrogrep_path&amp;" /spath="&amp;search_path&amp;" /stypes=""*"&amp;B176&amp;"*"&amp;TEXT(I176-utc_offset/24,"YYYYMMDD")&amp;"*"" /stext="" "&amp;TEXT(I176-utc_offset/24,"HH")&amp;search_regexp&amp;""" /e /r /s"</f>
        <v>"C:\Program Files (x86)\AstroGrep\AstroGrep.exe" /spath="%USERPROFILE%\AppData\Local\Temp\OnboardLogs" /stypes="*4019*20160814*" /stext=" 21:.+((SYSTEM_STATE.+slice.+state.+changed )|(ment ac)|(system.+state.+changed )|(\|lc)|(penalty)|(\[timeout)|(PRM\|1\|D)|(kpr)|(kdp))" /e /r /s</v>
      </c>
      <c r="AG176" s="1" t="str">
        <f t="shared" ref="AG176" si="122">IF(VALUE(LEFT(AD176,2))&lt;=2,"EC",IF(OR(VALUE(LEFT(AD176,2))=8,VALUE(LEFT(AD176,2))=18),"NW","Other"))</f>
        <v>NW</v>
      </c>
      <c r="AH176" s="105" t="str">
        <f t="shared" ref="AH176" si="123">refinertdcruntimes&amp;" --tripid "&amp;A176&amp;" --locoid "&amp;B176&amp;" --swversion "&amp;C176&amp;" --startMP "&amp;D176&amp;" --initTime "&amp;TEXT(E176,"yyyy-mm-ddTHH:MM:SS")&amp;" --startdatetime "&amp;TEXT(F176,"yyyy-mm-ddTHH:MM:SS")&amp;" --delay "&amp;G176&amp;" --endMP "&amp;H176&amp;" --enddatetime "&amp;TEXT(I176,"yyyy-mm-ddTHH:MM:SS")&amp;" --enforcementcount "&amp;J176</f>
        <v>"%USERPROFILE%\Documents\GitHub\eaglep3\Utilities\RefineRTDCRunTimes.py" --tripid 1818-14 --locoid 4019 --swversion DE.1.0.7.0 --startMP 204:937 --initTime 2016-08-14T14:08:57 --startdatetime 2016-08-14T14:45:18 --delay 2 --endMP 300:58908 --enddatetime 2016-08-14T15:02:13 --enforcementcount 0</v>
      </c>
    </row>
    <row r="177" spans="1:34" x14ac:dyDescent="0.25">
      <c r="A177" s="40" t="s">
        <v>473</v>
      </c>
      <c r="B177" s="7">
        <v>4020</v>
      </c>
      <c r="C177" s="25" t="s">
        <v>120</v>
      </c>
      <c r="D177" s="25" t="s">
        <v>474</v>
      </c>
      <c r="E177" s="16">
        <v>42596.63013888889</v>
      </c>
      <c r="F177" s="16">
        <v>42596.630960648145</v>
      </c>
      <c r="G177" s="7">
        <v>1</v>
      </c>
      <c r="H177" s="16" t="s">
        <v>475</v>
      </c>
      <c r="I177" s="16">
        <v>42596.650625000002</v>
      </c>
      <c r="J177" s="7">
        <v>0</v>
      </c>
      <c r="K177" s="143" t="str">
        <f t="shared" si="82"/>
        <v>4019/4020</v>
      </c>
      <c r="L177" s="25" t="str">
        <f>VLOOKUP(A177,'Trips&amp;Operators'!$C$1:$E$10000,3,FALSE)</f>
        <v>NATION</v>
      </c>
      <c r="M177" s="6">
        <f t="shared" si="83"/>
        <v>1.9664351857500151E-2</v>
      </c>
      <c r="N177" s="7">
        <f t="shared" si="81"/>
        <v>28.316666674800217</v>
      </c>
      <c r="O177" s="7"/>
      <c r="P177" s="7"/>
      <c r="Q177" s="26"/>
      <c r="R177" s="26"/>
      <c r="S177" s="38">
        <f t="shared" si="84"/>
        <v>1</v>
      </c>
      <c r="T177" s="53" t="str">
        <f t="shared" si="85"/>
        <v>NorthBound</v>
      </c>
      <c r="U177" s="13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14:07:24-0600',mode:absolute,to:'2016-08-14 16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77" s="55" t="str">
        <f t="shared" si="87"/>
        <v>N</v>
      </c>
      <c r="X177" s="129">
        <f t="shared" si="88"/>
        <v>1</v>
      </c>
      <c r="Y177" s="70">
        <f t="shared" si="89"/>
        <v>0.1116</v>
      </c>
      <c r="Z177" s="70">
        <f t="shared" si="90"/>
        <v>5.8883999999999999</v>
      </c>
      <c r="AA177" s="70">
        <f t="shared" si="91"/>
        <v>5.7767999999999997</v>
      </c>
      <c r="AB177" s="67" t="e">
        <f>VLOOKUP(A177,Enforcements!$C$7:$J$24,8,0)</f>
        <v>#N/A</v>
      </c>
      <c r="AC177" s="63" t="e">
        <f>VLOOKUP(A177,Enforcements!$C$7:$E$24,3,0)</f>
        <v>#N/A</v>
      </c>
      <c r="AD177" s="64" t="str">
        <f t="shared" si="92"/>
        <v>1819-14</v>
      </c>
      <c r="AE177" s="104" t="str">
        <f t="shared" si="93"/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77" s="101" t="str">
        <f t="shared" si="94"/>
        <v>"C:\Program Files (x86)\AstroGrep\AstroGrep.exe" /spath="%USERPROFILE%\AppData\Local\Temp\OnboardLogs" /stypes="*4020*20160814*" /stext=" 21:.+((SYSTEM_STATE.+slice.+state.+changed )|(ment ac)|(system.+state.+changed )|(\|lc)|(penalty)|(\[timeout)|(PRM\|1\|D)|(kpr)|(kdp))" /e /r /s</v>
      </c>
      <c r="AG177" s="1" t="str">
        <f t="shared" si="95"/>
        <v>NW</v>
      </c>
      <c r="AH177" s="105" t="str">
        <f t="shared" si="78"/>
        <v>"%USERPROFILE%\Documents\GitHub\eaglep3\Utilities\RefineRTDCRunTimes.py" --tripid 1819-14 --locoid 4020 --swversion DE.1.0.7.0 --startMP 204:1116 --initTime 2016-08-14T15:07:24 --startdatetime 2016-08-14T15:08:35 --delay 1 --endMP 300:58884 --enddatetime 2016-08-14T15:36:54 --enforcementcount 0</v>
      </c>
    </row>
    <row r="178" spans="1:34" x14ac:dyDescent="0.25">
      <c r="A178" s="40" t="s">
        <v>479</v>
      </c>
      <c r="B178" s="7">
        <v>4019</v>
      </c>
      <c r="C178" s="25" t="s">
        <v>120</v>
      </c>
      <c r="D178" s="25" t="s">
        <v>480</v>
      </c>
      <c r="E178" s="16">
        <v>42596.652824074074</v>
      </c>
      <c r="F178" s="16">
        <v>42596.653645833336</v>
      </c>
      <c r="G178" s="7">
        <v>1</v>
      </c>
      <c r="H178" s="16" t="s">
        <v>481</v>
      </c>
      <c r="I178" s="16">
        <v>42596.657222222224</v>
      </c>
      <c r="J178" s="7">
        <v>0</v>
      </c>
      <c r="K178" s="143" t="str">
        <f t="shared" si="82"/>
        <v>4019/4020</v>
      </c>
      <c r="L178" s="25" t="str">
        <f>VLOOKUP(A178,'Trips&amp;Operators'!$C$1:$E$10000,3,FALSE)</f>
        <v>NATION</v>
      </c>
      <c r="M178" s="6">
        <f t="shared" si="83"/>
        <v>3.5763888881774619E-3</v>
      </c>
      <c r="N178" s="7"/>
      <c r="O178" s="7"/>
      <c r="P178" s="7">
        <f t="shared" si="81"/>
        <v>5.1499999989755452</v>
      </c>
      <c r="Q178" s="26"/>
      <c r="R178" s="26" t="s">
        <v>668</v>
      </c>
      <c r="S178" s="38">
        <f t="shared" si="84"/>
        <v>0</v>
      </c>
      <c r="T178" s="53" t="str">
        <f t="shared" si="85"/>
        <v>Southbound</v>
      </c>
      <c r="U178" s="13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0</v>
      </c>
      <c r="V178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14:40:04-0600',mode:absolute,to:'2016-08-14 16:46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78" s="55" t="str">
        <f t="shared" si="87"/>
        <v>Y</v>
      </c>
      <c r="X178" s="129">
        <f t="shared" si="88"/>
        <v>1</v>
      </c>
      <c r="Y178" s="70">
        <f t="shared" si="89"/>
        <v>5.7351999999999999</v>
      </c>
      <c r="Z178" s="70">
        <f t="shared" si="90"/>
        <v>5.6348000000000003</v>
      </c>
      <c r="AA178" s="70">
        <f t="shared" si="91"/>
        <v>0.1003999999999996</v>
      </c>
      <c r="AB178" s="67" t="e">
        <f>VLOOKUP(A178,Enforcements!$C$7:$J$24,8,0)</f>
        <v>#N/A</v>
      </c>
      <c r="AC178" s="63" t="e">
        <f>VLOOKUP(A178,Enforcements!$C$7:$E$24,3,0)</f>
        <v>#N/A</v>
      </c>
      <c r="AD178" s="64" t="str">
        <f t="shared" si="92"/>
        <v>1820-14</v>
      </c>
      <c r="AE178" s="104" t="str">
        <f t="shared" si="93"/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AF178" s="101" t="str">
        <f t="shared" si="94"/>
        <v>"C:\Program Files (x86)\AstroGrep\AstroGrep.exe" /spath="%USERPROFILE%\AppData\Local\Temp\OnboardLogs" /stypes="*4019*20160814*" /stext=" 21:.+((SYSTEM_STATE.+slice.+state.+changed )|(ment ac)|(system.+state.+changed )|(\|lc)|(penalty)|(\[timeout)|(PRM\|1\|D)|(kpr)|(kdp))" /e /r /s</v>
      </c>
      <c r="AG178" s="1" t="str">
        <f t="shared" si="95"/>
        <v>NW</v>
      </c>
      <c r="AH178" s="105" t="str">
        <f t="shared" si="78"/>
        <v>"%USERPROFILE%\Documents\GitHub\eaglep3\Utilities\RefineRTDCRunTimes.py" --tripid 1820-14 --locoid 4019 --swversion DE.1.0.7.0 --startMP 300:57352 --initTime 2016-08-14T15:40:04 --startdatetime 2016-08-14T15:41:15 --delay 1 --endMP 300:56348 --enddatetime 2016-08-14T15:46:24 --enforcementcount 0</v>
      </c>
    </row>
    <row r="179" spans="1:34" x14ac:dyDescent="0.25">
      <c r="A179" s="40" t="s">
        <v>482</v>
      </c>
      <c r="B179" s="7">
        <v>4020</v>
      </c>
      <c r="C179" s="25" t="s">
        <v>120</v>
      </c>
      <c r="D179" s="25" t="s">
        <v>483</v>
      </c>
      <c r="E179" s="16">
        <v>42596.671423611115</v>
      </c>
      <c r="F179" s="16">
        <v>42596.672858796293</v>
      </c>
      <c r="G179" s="7">
        <v>2</v>
      </c>
      <c r="H179" s="16" t="s">
        <v>484</v>
      </c>
      <c r="I179" s="16">
        <v>42596.691365740742</v>
      </c>
      <c r="J179" s="7">
        <v>0</v>
      </c>
      <c r="K179" s="143" t="str">
        <f t="shared" si="82"/>
        <v>4019/4020</v>
      </c>
      <c r="L179" s="25" t="str">
        <f>VLOOKUP(A179,'Trips&amp;Operators'!$C$1:$E$10000,3,FALSE)</f>
        <v>NATION</v>
      </c>
      <c r="M179" s="6">
        <f t="shared" si="83"/>
        <v>1.8506944448745344E-2</v>
      </c>
      <c r="N179" s="7">
        <f t="shared" si="81"/>
        <v>26.650000006193295</v>
      </c>
      <c r="O179" s="7"/>
      <c r="P179" s="7"/>
      <c r="Q179" s="26"/>
      <c r="R179" s="26"/>
      <c r="S179" s="38">
        <f t="shared" si="84"/>
        <v>1</v>
      </c>
      <c r="T179" s="53" t="str">
        <f t="shared" si="85"/>
        <v>NorthBound</v>
      </c>
      <c r="U179" s="13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15:06:51-0600',mode:absolute,to:'2016-08-14 17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79" s="55" t="str">
        <f t="shared" si="87"/>
        <v>N</v>
      </c>
      <c r="X179" s="129">
        <f t="shared" si="88"/>
        <v>1</v>
      </c>
      <c r="Y179" s="70">
        <f t="shared" si="89"/>
        <v>0.1114</v>
      </c>
      <c r="Z179" s="70">
        <f t="shared" si="90"/>
        <v>5.8906999999999998</v>
      </c>
      <c r="AA179" s="70">
        <f t="shared" si="91"/>
        <v>5.7793000000000001</v>
      </c>
      <c r="AB179" s="67" t="e">
        <f>VLOOKUP(A179,Enforcements!$C$7:$J$24,8,0)</f>
        <v>#N/A</v>
      </c>
      <c r="AC179" s="63" t="e">
        <f>VLOOKUP(A179,Enforcements!$C$7:$E$24,3,0)</f>
        <v>#N/A</v>
      </c>
      <c r="AD179" s="64" t="str">
        <f t="shared" si="92"/>
        <v>1821-14</v>
      </c>
      <c r="AE179" s="104" t="str">
        <f t="shared" si="93"/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79" s="101" t="str">
        <f t="shared" si="94"/>
        <v>"C:\Program Files (x86)\AstroGrep\AstroGrep.exe" /spath="%USERPROFILE%\AppData\Local\Temp\OnboardLogs" /stypes="*4020*20160814*" /stext=" 22:.+((SYSTEM_STATE.+slice.+state.+changed )|(ment ac)|(system.+state.+changed )|(\|lc)|(penalty)|(\[timeout)|(PRM\|1\|D)|(kpr)|(kdp))" /e /r /s</v>
      </c>
      <c r="AG179" s="1" t="str">
        <f t="shared" si="95"/>
        <v>NW</v>
      </c>
      <c r="AH179" s="105" t="str">
        <f t="shared" si="78"/>
        <v>"%USERPROFILE%\Documents\GitHub\eaglep3\Utilities\RefineRTDCRunTimes.py" --tripid 1821-14 --locoid 4020 --swversion DE.1.0.7.0 --startMP 204:1114 --initTime 2016-08-14T16:06:51 --startdatetime 2016-08-14T16:08:55 --delay 2 --endMP 300:58907 --enddatetime 2016-08-14T16:35:34 --enforcementcount 0</v>
      </c>
    </row>
    <row r="180" spans="1:34" x14ac:dyDescent="0.25">
      <c r="A180" s="40" t="s">
        <v>485</v>
      </c>
      <c r="B180" s="7">
        <v>4019</v>
      </c>
      <c r="C180" s="25" t="s">
        <v>120</v>
      </c>
      <c r="D180" s="25" t="s">
        <v>486</v>
      </c>
      <c r="E180" s="16">
        <v>42596.69259259259</v>
      </c>
      <c r="F180" s="16">
        <v>42596.693761574075</v>
      </c>
      <c r="G180" s="7">
        <v>1</v>
      </c>
      <c r="H180" s="16" t="s">
        <v>487</v>
      </c>
      <c r="I180" s="16">
        <v>42596.696145833332</v>
      </c>
      <c r="J180" s="7">
        <v>0</v>
      </c>
      <c r="K180" s="143" t="str">
        <f t="shared" si="82"/>
        <v>4019/4020</v>
      </c>
      <c r="L180" s="25" t="str">
        <f>VLOOKUP(A180,'Trips&amp;Operators'!$C$1:$E$10000,3,FALSE)</f>
        <v>NATION</v>
      </c>
      <c r="M180" s="6">
        <f t="shared" si="83"/>
        <v>2.3842592563596554E-3</v>
      </c>
      <c r="N180" s="7"/>
      <c r="O180" s="7"/>
      <c r="P180" s="7">
        <f t="shared" si="81"/>
        <v>3.4333333291579038</v>
      </c>
      <c r="Q180" s="26"/>
      <c r="R180" s="26" t="s">
        <v>667</v>
      </c>
      <c r="S180" s="38">
        <f t="shared" si="84"/>
        <v>0</v>
      </c>
      <c r="T180" s="53" t="str">
        <f t="shared" si="85"/>
        <v>Southbound</v>
      </c>
      <c r="U180" s="13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0</v>
      </c>
      <c r="V180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15:37:20-0600',mode:absolute,to:'2016-08-14 17:42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80" s="55" t="str">
        <f t="shared" si="87"/>
        <v>Y</v>
      </c>
      <c r="X180" s="129">
        <f t="shared" si="88"/>
        <v>1</v>
      </c>
      <c r="Y180" s="70">
        <f t="shared" si="89"/>
        <v>5.8581000000000003</v>
      </c>
      <c r="Z180" s="70">
        <f t="shared" si="90"/>
        <v>5.7781000000000002</v>
      </c>
      <c r="AA180" s="70">
        <f t="shared" si="91"/>
        <v>8.0000000000000071E-2</v>
      </c>
      <c r="AB180" s="67" t="e">
        <f>VLOOKUP(A180,Enforcements!$C$7:$J$24,8,0)</f>
        <v>#N/A</v>
      </c>
      <c r="AC180" s="63" t="e">
        <f>VLOOKUP(A180,Enforcements!$C$7:$E$24,3,0)</f>
        <v>#N/A</v>
      </c>
      <c r="AD180" s="64" t="str">
        <f t="shared" si="92"/>
        <v>1822-14</v>
      </c>
      <c r="AE180" s="104" t="str">
        <f t="shared" si="93"/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AF180" s="101" t="str">
        <f t="shared" si="94"/>
        <v>"C:\Program Files (x86)\AstroGrep\AstroGrep.exe" /spath="%USERPROFILE%\AppData\Local\Temp\OnboardLogs" /stypes="*4019*20160814*" /stext=" 22:.+((SYSTEM_STATE.+slice.+state.+changed )|(ment ac)|(system.+state.+changed )|(\|lc)|(penalty)|(\[timeout)|(PRM\|1\|D)|(kpr)|(kdp))" /e /r /s</v>
      </c>
      <c r="AG180" s="1" t="str">
        <f t="shared" si="95"/>
        <v>NW</v>
      </c>
      <c r="AH180" s="105" t="str">
        <f t="shared" si="78"/>
        <v>"%USERPROFILE%\Documents\GitHub\eaglep3\Utilities\RefineRTDCRunTimes.py" --tripid 1822-14 --locoid 4019 --swversion DE.1.0.7.0 --startMP 300:58581 --initTime 2016-08-14T16:37:20 --startdatetime 2016-08-14T16:39:01 --delay 1 --endMP 300:57781 --enddatetime 2016-08-14T16:42:27 --enforcementcount 0</v>
      </c>
    </row>
    <row r="181" spans="1:34" x14ac:dyDescent="0.25">
      <c r="A181" s="40" t="s">
        <v>488</v>
      </c>
      <c r="B181" s="7">
        <v>4020</v>
      </c>
      <c r="C181" s="25" t="s">
        <v>120</v>
      </c>
      <c r="D181" s="25" t="s">
        <v>489</v>
      </c>
      <c r="E181" s="16">
        <v>42596.7109837963</v>
      </c>
      <c r="F181" s="16">
        <v>42596.712268518517</v>
      </c>
      <c r="G181" s="7">
        <v>1</v>
      </c>
      <c r="H181" s="16" t="s">
        <v>490</v>
      </c>
      <c r="I181" s="16">
        <v>42596.733900462961</v>
      </c>
      <c r="J181" s="7">
        <v>0</v>
      </c>
      <c r="K181" s="143" t="str">
        <f t="shared" si="82"/>
        <v>4019/4020</v>
      </c>
      <c r="L181" s="25" t="str">
        <f>VLOOKUP(A181,'Trips&amp;Operators'!$C$1:$E$10000,3,FALSE)</f>
        <v>NATION</v>
      </c>
      <c r="M181" s="6">
        <f t="shared" si="83"/>
        <v>2.1631944444379769E-2</v>
      </c>
      <c r="N181" s="7">
        <f t="shared" si="81"/>
        <v>31.149999999906868</v>
      </c>
      <c r="O181" s="7"/>
      <c r="P181" s="7"/>
      <c r="Q181" s="26"/>
      <c r="R181" s="26"/>
      <c r="S181" s="38">
        <f t="shared" si="84"/>
        <v>1</v>
      </c>
      <c r="T181" s="53" t="str">
        <f t="shared" si="85"/>
        <v>NorthBound</v>
      </c>
      <c r="U181" s="13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16:03:49-0600',mode:absolute,to:'2016-08-14 18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81" s="55" t="str">
        <f t="shared" si="87"/>
        <v>N</v>
      </c>
      <c r="X181" s="129">
        <f t="shared" si="88"/>
        <v>1</v>
      </c>
      <c r="Y181" s="70">
        <f t="shared" si="89"/>
        <v>0.10349999999999999</v>
      </c>
      <c r="Z181" s="70">
        <f t="shared" si="90"/>
        <v>5.8026999999999997</v>
      </c>
      <c r="AA181" s="70">
        <f t="shared" si="91"/>
        <v>5.6991999999999994</v>
      </c>
      <c r="AB181" s="67" t="e">
        <f>VLOOKUP(A181,Enforcements!$C$7:$J$24,8,0)</f>
        <v>#N/A</v>
      </c>
      <c r="AC181" s="63" t="e">
        <f>VLOOKUP(A181,Enforcements!$C$7:$E$24,3,0)</f>
        <v>#N/A</v>
      </c>
      <c r="AD181" s="64" t="str">
        <f t="shared" si="92"/>
        <v>1823-14</v>
      </c>
      <c r="AE181" s="104" t="str">
        <f t="shared" si="93"/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81" s="101" t="str">
        <f t="shared" si="94"/>
        <v>"C:\Program Files (x86)\AstroGrep\AstroGrep.exe" /spath="%USERPROFILE%\AppData\Local\Temp\OnboardLogs" /stypes="*4020*20160814*" /stext=" 23:.+((SYSTEM_STATE.+slice.+state.+changed )|(ment ac)|(system.+state.+changed )|(\|lc)|(penalty)|(\[timeout)|(PRM\|1\|D)|(kpr)|(kdp))" /e /r /s</v>
      </c>
      <c r="AG181" s="1" t="str">
        <f t="shared" si="95"/>
        <v>NW</v>
      </c>
      <c r="AH181" s="105" t="str">
        <f t="shared" si="78"/>
        <v>"%USERPROFILE%\Documents\GitHub\eaglep3\Utilities\RefineRTDCRunTimes.py" --tripid 1823-14 --locoid 4020 --swversion DE.1.0.7.0 --startMP 204:1035 --initTime 2016-08-14T17:03:49 --startdatetime 2016-08-14T17:05:40 --delay 1 --endMP 300:58027 --enddatetime 2016-08-14T17:36:49 --enforcementcount 0</v>
      </c>
    </row>
    <row r="182" spans="1:34" x14ac:dyDescent="0.25">
      <c r="A182" s="40" t="s">
        <v>491</v>
      </c>
      <c r="B182" s="7">
        <v>4019</v>
      </c>
      <c r="C182" s="25" t="s">
        <v>120</v>
      </c>
      <c r="D182" s="25" t="s">
        <v>492</v>
      </c>
      <c r="E182" s="16">
        <v>42596.735798611109</v>
      </c>
      <c r="F182" s="16">
        <v>42596.736631944441</v>
      </c>
      <c r="G182" s="7">
        <v>1</v>
      </c>
      <c r="H182" s="16" t="s">
        <v>493</v>
      </c>
      <c r="I182" s="16">
        <v>42596.749050925922</v>
      </c>
      <c r="J182" s="7">
        <v>0</v>
      </c>
      <c r="K182" s="143" t="str">
        <f t="shared" si="82"/>
        <v>4019/4020</v>
      </c>
      <c r="L182" s="25" t="str">
        <f>VLOOKUP(A182,'Trips&amp;Operators'!$C$1:$E$10000,3,FALSE)</f>
        <v>NATION</v>
      </c>
      <c r="M182" s="6">
        <f t="shared" si="83"/>
        <v>1.2418981481459923E-2</v>
      </c>
      <c r="N182" s="7">
        <f t="shared" si="81"/>
        <v>17.883333333302289</v>
      </c>
      <c r="O182" s="7"/>
      <c r="P182" s="7"/>
      <c r="Q182" s="26"/>
      <c r="R182" s="26"/>
      <c r="S182" s="38">
        <f t="shared" si="84"/>
        <v>1</v>
      </c>
      <c r="T182" s="53" t="str">
        <f t="shared" si="85"/>
        <v>Southbound</v>
      </c>
      <c r="U182" s="13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16:39:33-0600',mode:absolute,to:'2016-08-14 18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82" s="55" t="str">
        <f t="shared" si="87"/>
        <v>N</v>
      </c>
      <c r="X182" s="129">
        <f t="shared" si="88"/>
        <v>1</v>
      </c>
      <c r="Y182" s="70">
        <f t="shared" si="89"/>
        <v>5.8593999999999999</v>
      </c>
      <c r="Z182" s="70">
        <f t="shared" si="90"/>
        <v>8.4099999999999994E-2</v>
      </c>
      <c r="AA182" s="70">
        <f t="shared" si="91"/>
        <v>5.7752999999999997</v>
      </c>
      <c r="AB182" s="67" t="e">
        <f>VLOOKUP(A182,Enforcements!$C$7:$J$24,8,0)</f>
        <v>#N/A</v>
      </c>
      <c r="AC182" s="63" t="e">
        <f>VLOOKUP(A182,Enforcements!$C$7:$E$24,3,0)</f>
        <v>#N/A</v>
      </c>
      <c r="AD182" s="64" t="str">
        <f t="shared" si="92"/>
        <v>1824-14</v>
      </c>
      <c r="AE182" s="104" t="str">
        <f t="shared" si="93"/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AF182" s="101" t="str">
        <f t="shared" si="94"/>
        <v>"C:\Program Files (x86)\AstroGrep\AstroGrep.exe" /spath="%USERPROFILE%\AppData\Local\Temp\OnboardLogs" /stypes="*4019*20160814*" /stext=" 23:.+((SYSTEM_STATE.+slice.+state.+changed )|(ment ac)|(system.+state.+changed )|(\|lc)|(penalty)|(\[timeout)|(PRM\|1\|D)|(kpr)|(kdp))" /e /r /s</v>
      </c>
      <c r="AG182" s="1" t="str">
        <f t="shared" si="95"/>
        <v>NW</v>
      </c>
      <c r="AH182" s="105" t="str">
        <f t="shared" si="78"/>
        <v>"%USERPROFILE%\Documents\GitHub\eaglep3\Utilities\RefineRTDCRunTimes.py" --tripid 1824-14 --locoid 4019 --swversion DE.1.0.7.0 --startMP 300:58594 --initTime 2016-08-14T17:39:33 --startdatetime 2016-08-14T17:40:45 --delay 1 --endMP 204:841 --enddatetime 2016-08-14T17:58:38 --enforcementcount 0</v>
      </c>
    </row>
    <row r="183" spans="1:34" x14ac:dyDescent="0.25">
      <c r="A183" s="40" t="s">
        <v>494</v>
      </c>
      <c r="B183" s="7">
        <v>4020</v>
      </c>
      <c r="C183" s="25" t="s">
        <v>120</v>
      </c>
      <c r="D183" s="25" t="s">
        <v>495</v>
      </c>
      <c r="E183" s="16">
        <v>42596.752974537034</v>
      </c>
      <c r="F183" s="16">
        <v>42596.754027777781</v>
      </c>
      <c r="G183" s="7">
        <v>1</v>
      </c>
      <c r="H183" s="16" t="s">
        <v>496</v>
      </c>
      <c r="I183" s="16">
        <v>42596.775405092594</v>
      </c>
      <c r="J183" s="7">
        <v>0</v>
      </c>
      <c r="K183" s="143" t="str">
        <f t="shared" si="82"/>
        <v>4019/4020</v>
      </c>
      <c r="L183" s="25" t="str">
        <f>VLOOKUP(A183,'Trips&amp;Operators'!$C$1:$E$10000,3,FALSE)</f>
        <v>HOMIK</v>
      </c>
      <c r="M183" s="6">
        <f t="shared" si="83"/>
        <v>2.1377314813435078E-2</v>
      </c>
      <c r="N183" s="7">
        <f t="shared" si="81"/>
        <v>30.783333331346512</v>
      </c>
      <c r="O183" s="7"/>
      <c r="P183" s="7"/>
      <c r="Q183" s="26"/>
      <c r="R183" s="26"/>
      <c r="S183" s="38">
        <f t="shared" si="84"/>
        <v>1</v>
      </c>
      <c r="T183" s="53" t="str">
        <f t="shared" si="85"/>
        <v>NorthBound</v>
      </c>
      <c r="U183" s="13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17:04:17-0600',mode:absolute,to:'2016-08-14 19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83" s="55" t="str">
        <f t="shared" si="87"/>
        <v>N</v>
      </c>
      <c r="X183" s="129">
        <f t="shared" si="88"/>
        <v>1</v>
      </c>
      <c r="Y183" s="70">
        <f t="shared" si="89"/>
        <v>0.1144</v>
      </c>
      <c r="Z183" s="70">
        <f t="shared" si="90"/>
        <v>5.8920000000000003</v>
      </c>
      <c r="AA183" s="70">
        <f t="shared" si="91"/>
        <v>5.7776000000000005</v>
      </c>
      <c r="AB183" s="67" t="e">
        <f>VLOOKUP(A183,Enforcements!$C$7:$J$24,8,0)</f>
        <v>#N/A</v>
      </c>
      <c r="AC183" s="63" t="e">
        <f>VLOOKUP(A183,Enforcements!$C$7:$E$24,3,0)</f>
        <v>#N/A</v>
      </c>
      <c r="AD183" s="64" t="str">
        <f t="shared" si="92"/>
        <v>1825-14</v>
      </c>
      <c r="AE183" s="104" t="str">
        <f t="shared" si="93"/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83" s="101" t="str">
        <f t="shared" si="94"/>
        <v>"C:\Program Files (x86)\AstroGrep\AstroGrep.exe" /spath="%USERPROFILE%\AppData\Local\Temp\OnboardLogs" /stypes="*4020*20160815*" /stext=" 00:.+((SYSTEM_STATE.+slice.+state.+changed )|(ment ac)|(system.+state.+changed )|(\|lc)|(penalty)|(\[timeout)|(PRM\|1\|D)|(kpr)|(kdp))" /e /r /s</v>
      </c>
      <c r="AG183" s="1" t="str">
        <f t="shared" si="95"/>
        <v>NW</v>
      </c>
      <c r="AH183" s="105" t="str">
        <f t="shared" si="78"/>
        <v>"%USERPROFILE%\Documents\GitHub\eaglep3\Utilities\RefineRTDCRunTimes.py" --tripid 1825-14 --locoid 4020 --swversion DE.1.0.7.0 --startMP 204:1144 --initTime 2016-08-14T18:04:17 --startdatetime 2016-08-14T18:05:48 --delay 1 --endMP 300:58920 --enddatetime 2016-08-14T18:36:35 --enforcementcount 0</v>
      </c>
    </row>
    <row r="184" spans="1:34" x14ac:dyDescent="0.25">
      <c r="A184" s="40" t="s">
        <v>497</v>
      </c>
      <c r="B184" s="7">
        <v>4019</v>
      </c>
      <c r="C184" s="25" t="s">
        <v>120</v>
      </c>
      <c r="D184" s="25" t="s">
        <v>498</v>
      </c>
      <c r="E184" s="16">
        <v>42596.77652777778</v>
      </c>
      <c r="F184" s="16">
        <v>42596.777581018519</v>
      </c>
      <c r="G184" s="7">
        <v>1</v>
      </c>
      <c r="H184" s="16" t="s">
        <v>499</v>
      </c>
      <c r="I184" s="16">
        <v>42596.788923611108</v>
      </c>
      <c r="J184" s="7">
        <v>0</v>
      </c>
      <c r="K184" s="143" t="str">
        <f t="shared" si="82"/>
        <v>4019/4020</v>
      </c>
      <c r="L184" s="25" t="str">
        <f>VLOOKUP(A184,'Trips&amp;Operators'!$C$1:$E$10000,3,FALSE)</f>
        <v>HOMIK</v>
      </c>
      <c r="M184" s="6">
        <f t="shared" si="83"/>
        <v>1.134259258833481E-2</v>
      </c>
      <c r="N184" s="7">
        <f t="shared" si="81"/>
        <v>16.333333327202126</v>
      </c>
      <c r="O184" s="7"/>
      <c r="P184" s="7"/>
      <c r="Q184" s="26"/>
      <c r="R184" s="26"/>
      <c r="S184" s="38">
        <f t="shared" si="84"/>
        <v>1</v>
      </c>
      <c r="T184" s="53" t="str">
        <f t="shared" si="85"/>
        <v>Southbound</v>
      </c>
      <c r="U184" s="13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17:38:12-0600',mode:absolute,to:'2016-08-14 19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84" s="55" t="str">
        <f t="shared" si="87"/>
        <v>N</v>
      </c>
      <c r="X184" s="129">
        <f t="shared" si="88"/>
        <v>1</v>
      </c>
      <c r="Y184" s="70">
        <f t="shared" si="89"/>
        <v>5.8596000000000004</v>
      </c>
      <c r="Z184" s="70">
        <f t="shared" si="90"/>
        <v>8.1000000000000003E-2</v>
      </c>
      <c r="AA184" s="70">
        <f t="shared" si="91"/>
        <v>5.7786</v>
      </c>
      <c r="AB184" s="67" t="e">
        <f>VLOOKUP(A184,Enforcements!$C$7:$J$24,8,0)</f>
        <v>#N/A</v>
      </c>
      <c r="AC184" s="63" t="e">
        <f>VLOOKUP(A184,Enforcements!$C$7:$E$24,3,0)</f>
        <v>#N/A</v>
      </c>
      <c r="AD184" s="64" t="str">
        <f t="shared" si="92"/>
        <v>1826-14</v>
      </c>
      <c r="AE184" s="104" t="str">
        <f t="shared" si="93"/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AF184" s="101" t="str">
        <f t="shared" si="94"/>
        <v>"C:\Program Files (x86)\AstroGrep\AstroGrep.exe" /spath="%USERPROFILE%\AppData\Local\Temp\OnboardLogs" /stypes="*4019*20160815*" /stext=" 00:.+((SYSTEM_STATE.+slice.+state.+changed )|(ment ac)|(system.+state.+changed )|(\|lc)|(penalty)|(\[timeout)|(PRM\|1\|D)|(kpr)|(kdp))" /e /r /s</v>
      </c>
      <c r="AG184" s="1" t="str">
        <f t="shared" si="95"/>
        <v>NW</v>
      </c>
      <c r="AH184" s="105" t="str">
        <f t="shared" si="78"/>
        <v>"%USERPROFILE%\Documents\GitHub\eaglep3\Utilities\RefineRTDCRunTimes.py" --tripid 1826-14 --locoid 4019 --swversion DE.1.0.7.0 --startMP 300:58596 --initTime 2016-08-14T18:38:12 --startdatetime 2016-08-14T18:39:43 --delay 1 --endMP 204:810 --enddatetime 2016-08-14T18:56:03 --enforcementcount 0</v>
      </c>
    </row>
    <row r="185" spans="1:34" x14ac:dyDescent="0.25">
      <c r="A185" s="40" t="s">
        <v>500</v>
      </c>
      <c r="B185" s="7">
        <v>4020</v>
      </c>
      <c r="C185" s="25" t="s">
        <v>120</v>
      </c>
      <c r="D185" s="25" t="s">
        <v>501</v>
      </c>
      <c r="E185" s="16">
        <v>42596.799444444441</v>
      </c>
      <c r="F185" s="16">
        <v>42596.800752314812</v>
      </c>
      <c r="G185" s="7">
        <v>1</v>
      </c>
      <c r="H185" s="16" t="s">
        <v>502</v>
      </c>
      <c r="I185" s="16">
        <v>42596.817766203705</v>
      </c>
      <c r="J185" s="7">
        <v>0</v>
      </c>
      <c r="K185" s="143" t="str">
        <f t="shared" si="82"/>
        <v>4019/4020</v>
      </c>
      <c r="L185" s="25" t="str">
        <f>VLOOKUP(A185,'Trips&amp;Operators'!$C$1:$E$10000,3,FALSE)</f>
        <v>NATION</v>
      </c>
      <c r="M185" s="6">
        <f t="shared" si="83"/>
        <v>1.7013888893416151E-2</v>
      </c>
      <c r="N185" s="7">
        <f t="shared" ref="N185:N201" si="124">24*60*SUM($M185:$M185)</f>
        <v>24.500000006519258</v>
      </c>
      <c r="O185" s="7"/>
      <c r="P185" s="7"/>
      <c r="Q185" s="26"/>
      <c r="R185" s="26"/>
      <c r="S185" s="38">
        <f t="shared" si="84"/>
        <v>1</v>
      </c>
      <c r="T185" s="53" t="str">
        <f t="shared" si="85"/>
        <v>NorthBound</v>
      </c>
      <c r="U185" s="13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18:11:12-0600',mode:absolute,to:'2016-08-14 20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85" s="55" t="str">
        <f t="shared" si="87"/>
        <v>N</v>
      </c>
      <c r="X185" s="129">
        <f t="shared" si="88"/>
        <v>1</v>
      </c>
      <c r="Y185" s="70">
        <f t="shared" si="89"/>
        <v>0.11119999999999999</v>
      </c>
      <c r="Z185" s="70">
        <f t="shared" si="90"/>
        <v>5.891</v>
      </c>
      <c r="AA185" s="70">
        <f t="shared" si="91"/>
        <v>5.7797999999999998</v>
      </c>
      <c r="AB185" s="67" t="e">
        <f>VLOOKUP(A185,Enforcements!$C$7:$J$24,8,0)</f>
        <v>#N/A</v>
      </c>
      <c r="AC185" s="63" t="e">
        <f>VLOOKUP(A185,Enforcements!$C$7:$E$24,3,0)</f>
        <v>#N/A</v>
      </c>
      <c r="AD185" s="64" t="str">
        <f t="shared" si="92"/>
        <v>1827-14</v>
      </c>
      <c r="AE185" s="104" t="str">
        <f t="shared" si="93"/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85" s="101" t="str">
        <f t="shared" si="94"/>
        <v>"C:\Program Files (x86)\AstroGrep\AstroGrep.exe" /spath="%USERPROFILE%\AppData\Local\Temp\OnboardLogs" /stypes="*4020*20160815*" /stext=" 01:.+((SYSTEM_STATE.+slice.+state.+changed )|(ment ac)|(system.+state.+changed )|(\|lc)|(penalty)|(\[timeout)|(PRM\|1\|D)|(kpr)|(kdp))" /e /r /s</v>
      </c>
      <c r="AG185" s="1" t="str">
        <f t="shared" si="95"/>
        <v>NW</v>
      </c>
      <c r="AH185" s="105" t="str">
        <f t="shared" si="78"/>
        <v>"%USERPROFILE%\Documents\GitHub\eaglep3\Utilities\RefineRTDCRunTimes.py" --tripid 1827-14 --locoid 4020 --swversion DE.1.0.7.0 --startMP 204:1112 --initTime 2016-08-14T19:11:12 --startdatetime 2016-08-14T19:13:05 --delay 1 --endMP 300:58910 --enddatetime 2016-08-14T19:37:35 --enforcementcount 0</v>
      </c>
    </row>
    <row r="186" spans="1:34" x14ac:dyDescent="0.25">
      <c r="A186" s="40" t="s">
        <v>503</v>
      </c>
      <c r="B186" s="7">
        <v>4019</v>
      </c>
      <c r="C186" s="25" t="s">
        <v>120</v>
      </c>
      <c r="D186" s="25" t="s">
        <v>504</v>
      </c>
      <c r="E186" s="16">
        <v>42596.818877314814</v>
      </c>
      <c r="F186" s="16">
        <v>42596.819930555554</v>
      </c>
      <c r="G186" s="7">
        <v>1</v>
      </c>
      <c r="H186" s="16" t="s">
        <v>505</v>
      </c>
      <c r="I186" s="16">
        <v>42596.831064814818</v>
      </c>
      <c r="J186" s="7">
        <v>0</v>
      </c>
      <c r="K186" s="143" t="str">
        <f t="shared" si="82"/>
        <v>4019/4020</v>
      </c>
      <c r="L186" s="25" t="str">
        <f>VLOOKUP(A186,'Trips&amp;Operators'!$C$1:$E$10000,3,FALSE)</f>
        <v>NATION</v>
      </c>
      <c r="M186" s="6">
        <f t="shared" si="83"/>
        <v>1.1134259264508728E-2</v>
      </c>
      <c r="N186" s="7">
        <f t="shared" si="124"/>
        <v>16.033333340892568</v>
      </c>
      <c r="O186" s="7"/>
      <c r="P186" s="7"/>
      <c r="Q186" s="26"/>
      <c r="R186" s="26"/>
      <c r="S186" s="38">
        <f t="shared" si="84"/>
        <v>1</v>
      </c>
      <c r="T186" s="53" t="str">
        <f t="shared" si="85"/>
        <v>Southbound</v>
      </c>
      <c r="U186" s="13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18:39:11-0600',mode:absolute,to:'2016-08-14 20:56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86" s="55" t="str">
        <f t="shared" si="87"/>
        <v>N</v>
      </c>
      <c r="X186" s="129">
        <f t="shared" si="88"/>
        <v>1</v>
      </c>
      <c r="Y186" s="70">
        <f t="shared" si="89"/>
        <v>5.8586999999999998</v>
      </c>
      <c r="Z186" s="70">
        <f t="shared" si="90"/>
        <v>8.3400000000000002E-2</v>
      </c>
      <c r="AA186" s="70">
        <f t="shared" si="91"/>
        <v>5.7752999999999997</v>
      </c>
      <c r="AB186" s="67" t="e">
        <f>VLOOKUP(A186,Enforcements!$C$7:$J$24,8,0)</f>
        <v>#N/A</v>
      </c>
      <c r="AC186" s="63" t="e">
        <f>VLOOKUP(A186,Enforcements!$C$7:$E$24,3,0)</f>
        <v>#N/A</v>
      </c>
      <c r="AD186" s="64" t="str">
        <f t="shared" si="92"/>
        <v>1828-14</v>
      </c>
      <c r="AE186" s="104" t="str">
        <f t="shared" si="93"/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AF186" s="101" t="str">
        <f t="shared" si="94"/>
        <v>"C:\Program Files (x86)\AstroGrep\AstroGrep.exe" /spath="%USERPROFILE%\AppData\Local\Temp\OnboardLogs" /stypes="*4019*20160815*" /stext=" 01:.+((SYSTEM_STATE.+slice.+state.+changed )|(ment ac)|(system.+state.+changed )|(\|lc)|(penalty)|(\[timeout)|(PRM\|1\|D)|(kpr)|(kdp))" /e /r /s</v>
      </c>
      <c r="AG186" s="1" t="str">
        <f t="shared" si="95"/>
        <v>NW</v>
      </c>
      <c r="AH186" s="105" t="str">
        <f t="shared" si="78"/>
        <v>"%USERPROFILE%\Documents\GitHub\eaglep3\Utilities\RefineRTDCRunTimes.py" --tripid 1828-14 --locoid 4019 --swversion DE.1.0.7.0 --startMP 300:58587 --initTime 2016-08-14T19:39:11 --startdatetime 2016-08-14T19:40:42 --delay 1 --endMP 204:834 --enddatetime 2016-08-14T19:56:44 --enforcementcount 0</v>
      </c>
    </row>
    <row r="187" spans="1:34" x14ac:dyDescent="0.25">
      <c r="A187" s="40" t="s">
        <v>506</v>
      </c>
      <c r="B187" s="7">
        <v>4020</v>
      </c>
      <c r="C187" s="25" t="s">
        <v>120</v>
      </c>
      <c r="D187" s="25" t="s">
        <v>507</v>
      </c>
      <c r="E187" s="16">
        <v>42596.839768518519</v>
      </c>
      <c r="F187" s="16">
        <v>42596.840578703705</v>
      </c>
      <c r="G187" s="7">
        <v>1</v>
      </c>
      <c r="H187" s="16" t="s">
        <v>508</v>
      </c>
      <c r="I187" s="16">
        <v>42596.859166666669</v>
      </c>
      <c r="J187" s="7">
        <v>0</v>
      </c>
      <c r="K187" s="143" t="str">
        <f t="shared" si="82"/>
        <v>4019/4020</v>
      </c>
      <c r="L187" s="25" t="str">
        <f>VLOOKUP(A187,'Trips&amp;Operators'!$C$1:$E$10000,3,FALSE)</f>
        <v>HOMIK</v>
      </c>
      <c r="M187" s="6">
        <f t="shared" si="83"/>
        <v>1.8587962964375038E-2</v>
      </c>
      <c r="N187" s="7">
        <f t="shared" si="124"/>
        <v>26.766666668700054</v>
      </c>
      <c r="O187" s="7"/>
      <c r="P187" s="7"/>
      <c r="Q187" s="26"/>
      <c r="R187" s="26"/>
      <c r="S187" s="38">
        <f t="shared" si="84"/>
        <v>1</v>
      </c>
      <c r="T187" s="53" t="str">
        <f t="shared" si="85"/>
        <v>NorthBound</v>
      </c>
      <c r="U187" s="13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19:09:16-0600',mode:absolute,to:'2016-08-14 21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87" s="55" t="str">
        <f t="shared" si="87"/>
        <v>N</v>
      </c>
      <c r="X187" s="129">
        <f t="shared" si="88"/>
        <v>1</v>
      </c>
      <c r="Y187" s="70">
        <f t="shared" si="89"/>
        <v>0.1133</v>
      </c>
      <c r="Z187" s="70">
        <f t="shared" si="90"/>
        <v>5.8916000000000004</v>
      </c>
      <c r="AA187" s="70">
        <f t="shared" si="91"/>
        <v>5.7783000000000007</v>
      </c>
      <c r="AB187" s="67" t="e">
        <f>VLOOKUP(A187,Enforcements!$C$7:$J$24,8,0)</f>
        <v>#N/A</v>
      </c>
      <c r="AC187" s="63" t="e">
        <f>VLOOKUP(A187,Enforcements!$C$7:$E$24,3,0)</f>
        <v>#N/A</v>
      </c>
      <c r="AD187" s="64" t="str">
        <f t="shared" si="92"/>
        <v>1829-14</v>
      </c>
      <c r="AE187" s="104" t="str">
        <f t="shared" si="93"/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87" s="101" t="str">
        <f t="shared" si="94"/>
        <v>"C:\Program Files (x86)\AstroGrep\AstroGrep.exe" /spath="%USERPROFILE%\AppData\Local\Temp\OnboardLogs" /stypes="*4020*20160815*" /stext=" 02:.+((SYSTEM_STATE.+slice.+state.+changed )|(ment ac)|(system.+state.+changed )|(\|lc)|(penalty)|(\[timeout)|(PRM\|1\|D)|(kpr)|(kdp))" /e /r /s</v>
      </c>
      <c r="AG187" s="1" t="str">
        <f t="shared" si="95"/>
        <v>NW</v>
      </c>
      <c r="AH187" s="105" t="str">
        <f t="shared" si="78"/>
        <v>"%USERPROFILE%\Documents\GitHub\eaglep3\Utilities\RefineRTDCRunTimes.py" --tripid 1829-14 --locoid 4020 --swversion DE.1.0.7.0 --startMP 204:1133 --initTime 2016-08-14T20:09:16 --startdatetime 2016-08-14T20:10:26 --delay 1 --endMP 300:58916 --enddatetime 2016-08-14T20:37:12 --enforcementcount 0</v>
      </c>
    </row>
    <row r="188" spans="1:34" x14ac:dyDescent="0.25">
      <c r="A188" s="40" t="s">
        <v>510</v>
      </c>
      <c r="B188" s="7">
        <v>4019</v>
      </c>
      <c r="C188" s="25" t="s">
        <v>120</v>
      </c>
      <c r="D188" s="25" t="s">
        <v>492</v>
      </c>
      <c r="E188" s="16">
        <v>42596.862083333333</v>
      </c>
      <c r="F188" s="16">
        <v>42596.864444444444</v>
      </c>
      <c r="G188" s="7">
        <v>3</v>
      </c>
      <c r="H188" s="16" t="s">
        <v>511</v>
      </c>
      <c r="I188" s="16">
        <v>42596.875138888892</v>
      </c>
      <c r="J188" s="7">
        <v>0</v>
      </c>
      <c r="K188" s="143" t="str">
        <f t="shared" si="82"/>
        <v>4019/4020</v>
      </c>
      <c r="L188" s="25" t="str">
        <f>VLOOKUP(A188,'Trips&amp;Operators'!$C$1:$E$10000,3,FALSE)</f>
        <v>HOMIK</v>
      </c>
      <c r="M188" s="6">
        <f t="shared" si="83"/>
        <v>1.0694444448745344E-2</v>
      </c>
      <c r="N188" s="7">
        <f t="shared" si="124"/>
        <v>15.400000006193295</v>
      </c>
      <c r="O188" s="7"/>
      <c r="P188" s="7"/>
      <c r="Q188" s="26"/>
      <c r="R188" s="26"/>
      <c r="S188" s="38">
        <f t="shared" si="84"/>
        <v>1</v>
      </c>
      <c r="T188" s="53" t="str">
        <f t="shared" si="85"/>
        <v>Southbound</v>
      </c>
      <c r="U188" s="13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19:41:24-0600',mode:absolute,to:'2016-08-14 22:00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88" s="55" t="str">
        <f t="shared" si="87"/>
        <v>N</v>
      </c>
      <c r="X188" s="129">
        <f t="shared" si="88"/>
        <v>1</v>
      </c>
      <c r="Y188" s="70">
        <f t="shared" si="89"/>
        <v>5.8593999999999999</v>
      </c>
      <c r="Z188" s="70">
        <f t="shared" si="90"/>
        <v>8.0299999999999996E-2</v>
      </c>
      <c r="AA188" s="70">
        <f t="shared" si="91"/>
        <v>5.7790999999999997</v>
      </c>
      <c r="AB188" s="67" t="e">
        <f>VLOOKUP(A188,Enforcements!$C$7:$J$24,8,0)</f>
        <v>#N/A</v>
      </c>
      <c r="AC188" s="63" t="e">
        <f>VLOOKUP(A188,Enforcements!$C$7:$E$24,3,0)</f>
        <v>#N/A</v>
      </c>
      <c r="AD188" s="64" t="str">
        <f t="shared" si="92"/>
        <v>1830-14</v>
      </c>
      <c r="AE188" s="104" t="str">
        <f t="shared" si="93"/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AF188" s="101" t="str">
        <f t="shared" si="94"/>
        <v>"C:\Program Files (x86)\AstroGrep\AstroGrep.exe" /spath="%USERPROFILE%\AppData\Local\Temp\OnboardLogs" /stypes="*4019*20160815*" /stext=" 03:.+((SYSTEM_STATE.+slice.+state.+changed )|(ment ac)|(system.+state.+changed )|(\|lc)|(penalty)|(\[timeout)|(PRM\|1\|D)|(kpr)|(kdp))" /e /r /s</v>
      </c>
      <c r="AG188" s="1" t="str">
        <f t="shared" si="95"/>
        <v>NW</v>
      </c>
      <c r="AH188" s="105" t="str">
        <f t="shared" si="78"/>
        <v>"%USERPROFILE%\Documents\GitHub\eaglep3\Utilities\RefineRTDCRunTimes.py" --tripid 1830-14 --locoid 4019 --swversion DE.1.0.7.0 --startMP 300:58594 --initTime 2016-08-14T20:41:24 --startdatetime 2016-08-14T20:44:48 --delay 3 --endMP 204:803 --enddatetime 2016-08-14T21:00:12 --enforcementcount 0</v>
      </c>
    </row>
    <row r="189" spans="1:34" x14ac:dyDescent="0.25">
      <c r="A189" s="40" t="s">
        <v>512</v>
      </c>
      <c r="B189" s="7">
        <v>4020</v>
      </c>
      <c r="C189" s="25" t="s">
        <v>120</v>
      </c>
      <c r="D189" s="25" t="s">
        <v>513</v>
      </c>
      <c r="E189" s="16">
        <v>42596.885578703703</v>
      </c>
      <c r="F189" s="16">
        <v>42596.887465277781</v>
      </c>
      <c r="G189" s="7">
        <v>2</v>
      </c>
      <c r="H189" s="16" t="s">
        <v>267</v>
      </c>
      <c r="I189" s="16">
        <v>42596.901446759257</v>
      </c>
      <c r="J189" s="7">
        <v>0</v>
      </c>
      <c r="K189" s="143" t="str">
        <f t="shared" si="82"/>
        <v>4019/4020</v>
      </c>
      <c r="L189" s="25" t="str">
        <f>VLOOKUP(A189,'Trips&amp;Operators'!$C$1:$E$10000,3,FALSE)</f>
        <v>ALONZO</v>
      </c>
      <c r="M189" s="6">
        <f t="shared" si="83"/>
        <v>1.3981481475639157E-2</v>
      </c>
      <c r="N189" s="7">
        <f t="shared" si="124"/>
        <v>20.133333324920386</v>
      </c>
      <c r="O189" s="7"/>
      <c r="P189" s="7"/>
      <c r="Q189" s="26"/>
      <c r="R189" s="26"/>
      <c r="S189" s="38">
        <f t="shared" si="84"/>
        <v>1</v>
      </c>
      <c r="T189" s="53" t="str">
        <f t="shared" si="85"/>
        <v>NorthBound</v>
      </c>
      <c r="U189" s="13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20:15:14-0600',mode:absolute,to:'2016-08-14 22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89" s="55" t="str">
        <f t="shared" si="87"/>
        <v>N</v>
      </c>
      <c r="X189" s="129">
        <f t="shared" si="88"/>
        <v>1</v>
      </c>
      <c r="Y189" s="70">
        <f t="shared" si="89"/>
        <v>0.10970000000000001</v>
      </c>
      <c r="Z189" s="70">
        <f t="shared" si="90"/>
        <v>5.8936999999999999</v>
      </c>
      <c r="AA189" s="70">
        <f t="shared" si="91"/>
        <v>5.7839999999999998</v>
      </c>
      <c r="AB189" s="67" t="e">
        <f>VLOOKUP(A189,Enforcements!$C$7:$J$24,8,0)</f>
        <v>#N/A</v>
      </c>
      <c r="AC189" s="63" t="e">
        <f>VLOOKUP(A189,Enforcements!$C$7:$E$24,3,0)</f>
        <v>#N/A</v>
      </c>
      <c r="AD189" s="64" t="str">
        <f t="shared" si="92"/>
        <v>1831-14</v>
      </c>
      <c r="AE189" s="104" t="str">
        <f t="shared" si="93"/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89" s="101" t="str">
        <f t="shared" si="94"/>
        <v>"C:\Program Files (x86)\AstroGrep\AstroGrep.exe" /spath="%USERPROFILE%\AppData\Local\Temp\OnboardLogs" /stypes="*4020*20160815*" /stext=" 03:.+((SYSTEM_STATE.+slice.+state.+changed )|(ment ac)|(system.+state.+changed )|(\|lc)|(penalty)|(\[timeout)|(PRM\|1\|D)|(kpr)|(kdp))" /e /r /s</v>
      </c>
      <c r="AG189" s="1" t="str">
        <f t="shared" si="95"/>
        <v>NW</v>
      </c>
      <c r="AH189" s="105" t="str">
        <f t="shared" si="78"/>
        <v>"%USERPROFILE%\Documents\GitHub\eaglep3\Utilities\RefineRTDCRunTimes.py" --tripid 1831-14 --locoid 4020 --swversion DE.1.0.7.0 --startMP 204:1097 --initTime 2016-08-14T21:15:14 --startdatetime 2016-08-14T21:17:57 --delay 2 --endMP 300:58937 --enddatetime 2016-08-14T21:38:05 --enforcementcount 0</v>
      </c>
    </row>
    <row r="190" spans="1:34" x14ac:dyDescent="0.25">
      <c r="A190" s="40" t="s">
        <v>514</v>
      </c>
      <c r="B190" s="7">
        <v>4019</v>
      </c>
      <c r="C190" s="25" t="s">
        <v>120</v>
      </c>
      <c r="D190" s="25" t="s">
        <v>515</v>
      </c>
      <c r="E190" s="16">
        <v>42596.90252314815</v>
      </c>
      <c r="F190" s="16">
        <v>42596.90357638889</v>
      </c>
      <c r="G190" s="7">
        <v>1</v>
      </c>
      <c r="H190" s="16" t="s">
        <v>516</v>
      </c>
      <c r="I190" s="16">
        <v>42596.913877314815</v>
      </c>
      <c r="J190" s="7">
        <v>0</v>
      </c>
      <c r="K190" s="143" t="str">
        <f t="shared" si="82"/>
        <v>4019/4020</v>
      </c>
      <c r="L190" s="25" t="str">
        <f>VLOOKUP(A190,'Trips&amp;Operators'!$C$1:$E$10000,3,FALSE)</f>
        <v>ALONZO</v>
      </c>
      <c r="M190" s="6">
        <f t="shared" si="83"/>
        <v>1.0300925925548654E-2</v>
      </c>
      <c r="N190" s="7">
        <f t="shared" si="124"/>
        <v>14.833333332790062</v>
      </c>
      <c r="O190" s="7"/>
      <c r="P190" s="7"/>
      <c r="Q190" s="26"/>
      <c r="R190" s="26"/>
      <c r="S190" s="38">
        <f t="shared" si="84"/>
        <v>1</v>
      </c>
      <c r="T190" s="53" t="str">
        <f t="shared" si="85"/>
        <v>Southbound</v>
      </c>
      <c r="U190" s="13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20:39:38-0600',mode:absolute,to:'2016-08-14 22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90" s="55" t="str">
        <f t="shared" si="87"/>
        <v>N</v>
      </c>
      <c r="X190" s="129">
        <f t="shared" si="88"/>
        <v>1</v>
      </c>
      <c r="Y190" s="70">
        <f t="shared" si="89"/>
        <v>5.8616999999999999</v>
      </c>
      <c r="Z190" s="70">
        <f t="shared" si="90"/>
        <v>6.6600000000000006E-2</v>
      </c>
      <c r="AA190" s="70">
        <f t="shared" si="91"/>
        <v>5.7950999999999997</v>
      </c>
      <c r="AB190" s="67" t="e">
        <f>VLOOKUP(A190,Enforcements!$C$7:$J$24,8,0)</f>
        <v>#N/A</v>
      </c>
      <c r="AC190" s="63" t="e">
        <f>VLOOKUP(A190,Enforcements!$C$7:$E$24,3,0)</f>
        <v>#N/A</v>
      </c>
      <c r="AD190" s="64" t="str">
        <f t="shared" si="92"/>
        <v>1832-14</v>
      </c>
      <c r="AE190" s="104" t="str">
        <f t="shared" si="93"/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AF190" s="101" t="str">
        <f t="shared" si="94"/>
        <v>"C:\Program Files (x86)\AstroGrep\AstroGrep.exe" /spath="%USERPROFILE%\AppData\Local\Temp\OnboardLogs" /stypes="*4019*20160815*" /stext=" 03:.+((SYSTEM_STATE.+slice.+state.+changed )|(ment ac)|(system.+state.+changed )|(\|lc)|(penalty)|(\[timeout)|(PRM\|1\|D)|(kpr)|(kdp))" /e /r /s</v>
      </c>
      <c r="AG190" s="1" t="str">
        <f t="shared" si="95"/>
        <v>NW</v>
      </c>
      <c r="AH190" s="105" t="str">
        <f t="shared" si="78"/>
        <v>"%USERPROFILE%\Documents\GitHub\eaglep3\Utilities\RefineRTDCRunTimes.py" --tripid 1832-14 --locoid 4019 --swversion DE.1.0.7.0 --startMP 300:58617 --initTime 2016-08-14T21:39:38 --startdatetime 2016-08-14T21:41:09 --delay 1 --endMP 204:666 --enddatetime 2016-08-14T21:55:59 --enforcementcount 0</v>
      </c>
    </row>
    <row r="191" spans="1:34" x14ac:dyDescent="0.25">
      <c r="A191" s="40" t="s">
        <v>517</v>
      </c>
      <c r="B191" s="7">
        <v>4020</v>
      </c>
      <c r="C191" s="25" t="s">
        <v>120</v>
      </c>
      <c r="D191" s="25" t="s">
        <v>518</v>
      </c>
      <c r="E191" s="16">
        <v>42596.926666666666</v>
      </c>
      <c r="F191" s="16">
        <v>42596.928067129629</v>
      </c>
      <c r="G191" s="7">
        <v>2</v>
      </c>
      <c r="H191" s="16" t="s">
        <v>272</v>
      </c>
      <c r="I191" s="16">
        <v>42596.944456018522</v>
      </c>
      <c r="J191" s="7">
        <v>0</v>
      </c>
      <c r="K191" s="143" t="str">
        <f t="shared" si="82"/>
        <v>4019/4020</v>
      </c>
      <c r="L191" s="25" t="str">
        <f>VLOOKUP(A191,'Trips&amp;Operators'!$C$1:$E$10000,3,FALSE)</f>
        <v>ALONZO</v>
      </c>
      <c r="M191" s="6">
        <f t="shared" si="83"/>
        <v>1.6388888892834075E-2</v>
      </c>
      <c r="N191" s="7">
        <f t="shared" si="124"/>
        <v>23.600000005681068</v>
      </c>
      <c r="O191" s="7"/>
      <c r="P191" s="7"/>
      <c r="Q191" s="26"/>
      <c r="R191" s="26"/>
      <c r="S191" s="38">
        <f t="shared" si="84"/>
        <v>1</v>
      </c>
      <c r="T191" s="53" t="str">
        <f t="shared" si="85"/>
        <v>NorthBound</v>
      </c>
      <c r="U191" s="13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21:14:24-0600',mode:absolute,to:'2016-08-14 23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91" s="55" t="str">
        <f t="shared" si="87"/>
        <v>N</v>
      </c>
      <c r="X191" s="129">
        <f t="shared" si="88"/>
        <v>1</v>
      </c>
      <c r="Y191" s="70">
        <f t="shared" si="89"/>
        <v>9.5799999999999996E-2</v>
      </c>
      <c r="Z191" s="70">
        <f t="shared" si="90"/>
        <v>5.8940999999999999</v>
      </c>
      <c r="AA191" s="70">
        <f t="shared" si="91"/>
        <v>5.7983000000000002</v>
      </c>
      <c r="AB191" s="67" t="e">
        <f>VLOOKUP(A191,Enforcements!$C$7:$J$24,8,0)</f>
        <v>#N/A</v>
      </c>
      <c r="AC191" s="63" t="e">
        <f>VLOOKUP(A191,Enforcements!$C$7:$E$24,3,0)</f>
        <v>#N/A</v>
      </c>
      <c r="AD191" s="64" t="str">
        <f t="shared" si="92"/>
        <v>1833-14</v>
      </c>
      <c r="AE191" s="104" t="str">
        <f t="shared" si="93"/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91" s="101" t="str">
        <f t="shared" si="94"/>
        <v>"C:\Program Files (x86)\AstroGrep\AstroGrep.exe" /spath="%USERPROFILE%\AppData\Local\Temp\OnboardLogs" /stypes="*4020*20160815*" /stext=" 04:.+((SYSTEM_STATE.+slice.+state.+changed )|(ment ac)|(system.+state.+changed )|(\|lc)|(penalty)|(\[timeout)|(PRM\|1\|D)|(kpr)|(kdp))" /e /r /s</v>
      </c>
      <c r="AG191" s="1" t="str">
        <f t="shared" si="95"/>
        <v>NW</v>
      </c>
      <c r="AH191" s="105" t="str">
        <f t="shared" si="78"/>
        <v>"%USERPROFILE%\Documents\GitHub\eaglep3\Utilities\RefineRTDCRunTimes.py" --tripid 1833-14 --locoid 4020 --swversion DE.1.0.7.0 --startMP 204:958 --initTime 2016-08-14T22:14:24 --startdatetime 2016-08-14T22:16:25 --delay 2 --endMP 300:58941 --enddatetime 2016-08-14T22:40:01 --enforcementcount 0</v>
      </c>
    </row>
    <row r="192" spans="1:34" x14ac:dyDescent="0.25">
      <c r="A192" s="40" t="s">
        <v>286</v>
      </c>
      <c r="B192" s="7">
        <v>4013</v>
      </c>
      <c r="C192" s="25" t="s">
        <v>120</v>
      </c>
      <c r="D192" s="25" t="s">
        <v>633</v>
      </c>
      <c r="E192" s="16">
        <v>42596.111597222225</v>
      </c>
      <c r="F192" s="16">
        <v>42596.113599537035</v>
      </c>
      <c r="G192" s="7">
        <v>2</v>
      </c>
      <c r="H192" s="16" t="s">
        <v>634</v>
      </c>
      <c r="I192" s="16">
        <v>42596.118078703701</v>
      </c>
      <c r="J192" s="7">
        <v>0</v>
      </c>
      <c r="K192" s="143" t="str">
        <f t="shared" si="82"/>
        <v>4013/4014</v>
      </c>
      <c r="L192" s="25" t="str">
        <f>VLOOKUP(A192,'Trips&amp;Operators'!$C$1:$E$10000,3,FALSE)</f>
        <v>KILLION</v>
      </c>
      <c r="M192" s="6">
        <f t="shared" si="83"/>
        <v>4.4791666659875773E-3</v>
      </c>
      <c r="N192" s="7">
        <f t="shared" si="124"/>
        <v>6.4499999990221113</v>
      </c>
      <c r="O192" s="7"/>
      <c r="P192" s="7"/>
      <c r="Q192" s="26"/>
      <c r="R192" s="26"/>
      <c r="S192" s="38">
        <f t="shared" si="84"/>
        <v>0</v>
      </c>
      <c r="T192" s="53" t="str">
        <f t="shared" si="85"/>
        <v>Southbound</v>
      </c>
      <c r="U192" s="13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01:40:42-0600',mode:absolute,to:'2016-08-14 03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92" s="55" t="str">
        <f t="shared" si="87"/>
        <v>Y</v>
      </c>
      <c r="X192" s="129">
        <f t="shared" si="88"/>
        <v>-1531</v>
      </c>
      <c r="Y192" s="70">
        <f t="shared" si="89"/>
        <v>2.5127999999999999</v>
      </c>
      <c r="Z192" s="70">
        <f t="shared" si="90"/>
        <v>2.4582000000000002</v>
      </c>
      <c r="AA192" s="70">
        <f t="shared" si="91"/>
        <v>5.459999999999976E-2</v>
      </c>
      <c r="AB192" s="67" t="e">
        <f>VLOOKUP(A192,Enforcements!$C$7:$J$24,8,0)</f>
        <v>#N/A</v>
      </c>
      <c r="AC192" s="63" t="e">
        <f>VLOOKUP(A192,Enforcements!$C$7:$E$24,3,0)</f>
        <v>#N/A</v>
      </c>
      <c r="AD192" s="64" t="str">
        <f t="shared" si="92"/>
        <v>0302-14</v>
      </c>
      <c r="AE192" s="104" t="str">
        <f t="shared" si="93"/>
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</c>
      <c r="AF192" s="101" t="str">
        <f t="shared" si="94"/>
        <v>"C:\Program Files (x86)\AstroGrep\AstroGrep.exe" /spath="%USERPROFILE%\AppData\Local\Temp\OnboardLogs" /stypes="*4013*20160814*" /stext=" 08:.+((SYSTEM_STATE.+slice.+state.+changed )|(ment ac)|(system.+state.+changed )|(\|lc)|(penalty)|(\[timeout)|(PRM\|1\|D)|(kpr)|(kdp))" /e /r /s</v>
      </c>
      <c r="AG192" s="1" t="str">
        <f t="shared" si="95"/>
        <v>Other</v>
      </c>
      <c r="AH192" s="105" t="str">
        <f t="shared" si="78"/>
        <v>"%USERPROFILE%\Documents\GitHub\eaglep3\Utilities\RefineRTDCRunTimes.py" --tripid 302-14 --locoid 4013 --swversion DE.1.0.7.0 --startMP 300:25128 --initTime 2016-08-14T02:40:42 --startdatetime 2016-08-14T02:43:35 --delay 2 --endMP 300:24582 --enddatetime 2016-08-14T02:50:02 --enforcementcount 0</v>
      </c>
    </row>
    <row r="193" spans="1:34" x14ac:dyDescent="0.25">
      <c r="A193" s="40" t="s">
        <v>635</v>
      </c>
      <c r="B193" s="7">
        <v>4027</v>
      </c>
      <c r="C193" s="25" t="s">
        <v>120</v>
      </c>
      <c r="D193" s="25" t="s">
        <v>636</v>
      </c>
      <c r="E193" s="16">
        <v>42596.778379629628</v>
      </c>
      <c r="F193" s="16">
        <v>42596.779479166667</v>
      </c>
      <c r="G193" s="7">
        <v>1</v>
      </c>
      <c r="H193" s="16" t="s">
        <v>637</v>
      </c>
      <c r="I193" s="16">
        <v>42596.785393518519</v>
      </c>
      <c r="J193" s="7">
        <v>0</v>
      </c>
      <c r="K193" s="143" t="str">
        <f t="shared" si="82"/>
        <v>4027/4028</v>
      </c>
      <c r="L193" s="25" t="str">
        <f>VLOOKUP(A193,'Trips&amp;Operators'!$C$1:$E$10000,3,FALSE)</f>
        <v>MOSES</v>
      </c>
      <c r="M193" s="6">
        <f t="shared" si="83"/>
        <v>5.914351851970423E-3</v>
      </c>
      <c r="N193" s="7">
        <f t="shared" si="124"/>
        <v>8.5166666668374091</v>
      </c>
      <c r="O193" s="7"/>
      <c r="P193" s="7"/>
      <c r="Q193" s="26"/>
      <c r="R193" s="26"/>
      <c r="S193" s="38">
        <f t="shared" si="84"/>
        <v>1</v>
      </c>
      <c r="T193" s="53" t="str">
        <f t="shared" si="85"/>
        <v>NorthBound</v>
      </c>
      <c r="U193" s="13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17:40:52-0600',mode:absolute,to:'2016-08-14 19:50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93" s="55" t="str">
        <f t="shared" si="87"/>
        <v>Y</v>
      </c>
      <c r="X193" s="129">
        <f t="shared" si="88"/>
        <v>1</v>
      </c>
      <c r="Y193" s="70">
        <f t="shared" si="89"/>
        <v>5.28E-2</v>
      </c>
      <c r="Z193" s="70">
        <f t="shared" si="90"/>
        <v>2.0939000000000001</v>
      </c>
      <c r="AA193" s="70">
        <f t="shared" si="91"/>
        <v>2.0411000000000001</v>
      </c>
      <c r="AB193" s="67" t="e">
        <f>VLOOKUP(A193,Enforcements!$C$7:$J$24,8,0)</f>
        <v>#N/A</v>
      </c>
      <c r="AC193" s="63" t="e">
        <f>VLOOKUP(A193,Enforcements!$C$7:$E$24,3,0)</f>
        <v>#N/A</v>
      </c>
      <c r="AD193" s="64" t="str">
        <f t="shared" si="92"/>
        <v>0303-14</v>
      </c>
      <c r="AE193" s="104" t="str">
        <f t="shared" si="93"/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AF193" s="101" t="str">
        <f t="shared" si="94"/>
        <v>"C:\Program Files (x86)\AstroGrep\AstroGrep.exe" /spath="%USERPROFILE%\AppData\Local\Temp\OnboardLogs" /stypes="*4027*20160815*" /stext=" 00:.+((SYSTEM_STATE.+slice.+state.+changed )|(ment ac)|(system.+state.+changed )|(\|lc)|(penalty)|(\[timeout)|(PRM\|1\|D)|(kpr)|(kdp))" /e /r /s</v>
      </c>
      <c r="AG193" s="1" t="str">
        <f t="shared" si="95"/>
        <v>Other</v>
      </c>
      <c r="AH193" s="105" t="str">
        <f t="shared" si="78"/>
        <v>"%USERPROFILE%\Documents\GitHub\eaglep3\Utilities\RefineRTDCRunTimes.py" --tripid 303-14 --locoid 4027 --swversion DE.1.0.7.0 --startMP 204:528 --initTime 2016-08-14T18:40:52 --startdatetime 2016-08-14T18:42:27 --delay 1 --endMP 300:20939 --enddatetime 2016-08-14T18:50:58 --enforcementcount 0</v>
      </c>
    </row>
    <row r="194" spans="1:34" x14ac:dyDescent="0.25">
      <c r="A194" s="40" t="s">
        <v>638</v>
      </c>
      <c r="B194" s="7">
        <v>4016</v>
      </c>
      <c r="C194" s="25" t="s">
        <v>120</v>
      </c>
      <c r="D194" s="25" t="s">
        <v>220</v>
      </c>
      <c r="E194" s="16">
        <v>42596.817627314813</v>
      </c>
      <c r="F194" s="16">
        <v>42596.818645833337</v>
      </c>
      <c r="G194" s="7">
        <v>1</v>
      </c>
      <c r="H194" s="16" t="s">
        <v>639</v>
      </c>
      <c r="I194" s="16">
        <v>42596.828402777777</v>
      </c>
      <c r="J194" s="7">
        <v>0</v>
      </c>
      <c r="K194" s="143" t="str">
        <f t="shared" si="82"/>
        <v>4015/4016</v>
      </c>
      <c r="L194" s="25" t="str">
        <f>VLOOKUP(A194,'Trips&amp;Operators'!$C$1:$E$10000,3,FALSE)</f>
        <v>SHOOK</v>
      </c>
      <c r="M194" s="6">
        <f t="shared" si="83"/>
        <v>9.7569444405962713E-3</v>
      </c>
      <c r="N194" s="7">
        <f t="shared" si="124"/>
        <v>14.049999994458631</v>
      </c>
      <c r="O194" s="7"/>
      <c r="P194" s="7"/>
      <c r="Q194" s="26"/>
      <c r="R194" s="26"/>
      <c r="S194" s="38">
        <f t="shared" si="84"/>
        <v>1</v>
      </c>
      <c r="T194" s="53" t="str">
        <f t="shared" si="85"/>
        <v>NorthBound</v>
      </c>
      <c r="U194" s="13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18:37:23-0600',mode:absolute,to:'2016-08-14 20:52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94" s="55" t="str">
        <f t="shared" si="87"/>
        <v>Y</v>
      </c>
      <c r="X194" s="129">
        <f t="shared" si="88"/>
        <v>4</v>
      </c>
      <c r="Y194" s="70">
        <f t="shared" si="89"/>
        <v>4.7800000000000002E-2</v>
      </c>
      <c r="Z194" s="70">
        <f t="shared" si="90"/>
        <v>2.2025999999999999</v>
      </c>
      <c r="AA194" s="70">
        <f t="shared" si="91"/>
        <v>2.1547999999999998</v>
      </c>
      <c r="AB194" s="67" t="e">
        <f>VLOOKUP(A194,Enforcements!$C$7:$J$24,8,0)</f>
        <v>#N/A</v>
      </c>
      <c r="AC194" s="63" t="e">
        <f>VLOOKUP(A194,Enforcements!$C$7:$E$24,3,0)</f>
        <v>#N/A</v>
      </c>
      <c r="AD194" s="64" t="str">
        <f t="shared" si="92"/>
        <v>0307-14</v>
      </c>
      <c r="AE194" s="104" t="str">
        <f t="shared" si="93"/>
        <v>aws s3 cp s3://rtdc.mdm.uploadarchive/RTDC4016/2016-08-14/ "%USERPROFILE%\AppData\Local\Temp\OnboardLogs"\RTDC4016\2016-08-14 --recursive &amp; "%USERPROFILE%\Documents\GitHub\mrs-test-scripts\Headless Mode &amp; Sideloading\WalkAndUnGZ.bat" "%USERPROFILE%\AppData\Local\Temp\OnboardLogs"\RTDC4016\2016-08-14 &amp; 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</v>
      </c>
      <c r="AF194" s="101" t="str">
        <f t="shared" si="94"/>
        <v>"C:\Program Files (x86)\AstroGrep\AstroGrep.exe" /spath="%USERPROFILE%\AppData\Local\Temp\OnboardLogs" /stypes="*4016*20160815*" /stext=" 01:.+((SYSTEM_STATE.+slice.+state.+changed )|(ment ac)|(system.+state.+changed )|(\|lc)|(penalty)|(\[timeout)|(PRM\|1\|D)|(kpr)|(kdp))" /e /r /s</v>
      </c>
      <c r="AG194" s="1" t="str">
        <f t="shared" si="95"/>
        <v>Other</v>
      </c>
      <c r="AH194" s="105" t="str">
        <f t="shared" si="78"/>
        <v>"%USERPROFILE%\Documents\GitHub\eaglep3\Utilities\RefineRTDCRunTimes.py" --tripid 307-14 --locoid 4016 --swversion DE.1.0.7.0 --startMP 204:478 --initTime 2016-08-14T19:37:23 --startdatetime 2016-08-14T19:38:51 --delay 1 --endMP 300:22026 --enddatetime 2016-08-14T19:52:54 --enforcementcount 0</v>
      </c>
    </row>
    <row r="195" spans="1:34" x14ac:dyDescent="0.25">
      <c r="A195" s="40" t="s">
        <v>640</v>
      </c>
      <c r="B195" s="7">
        <v>4029</v>
      </c>
      <c r="C195" s="25" t="s">
        <v>120</v>
      </c>
      <c r="D195" s="25" t="s">
        <v>153</v>
      </c>
      <c r="E195" s="16">
        <v>42597.05164351852</v>
      </c>
      <c r="F195" s="16">
        <v>42597.052731481483</v>
      </c>
      <c r="G195" s="7">
        <v>1</v>
      </c>
      <c r="H195" s="16" t="s">
        <v>641</v>
      </c>
      <c r="I195" s="16">
        <v>42597.063206018516</v>
      </c>
      <c r="J195" s="7">
        <v>0</v>
      </c>
      <c r="K195" s="143" t="str">
        <f t="shared" si="82"/>
        <v>4029/4030</v>
      </c>
      <c r="L195" s="25" t="str">
        <f>VLOOKUP(A195,'Trips&amp;Operators'!$C$1:$E$10000,3,FALSE)</f>
        <v>COOPER</v>
      </c>
      <c r="M195" s="6">
        <f t="shared" si="83"/>
        <v>1.0474537033587694E-2</v>
      </c>
      <c r="N195" s="7">
        <f t="shared" si="124"/>
        <v>15.08333332836628</v>
      </c>
      <c r="O195" s="7"/>
      <c r="P195" s="7"/>
      <c r="Q195" s="26"/>
      <c r="R195" s="26"/>
      <c r="S195" s="38">
        <f t="shared" si="84"/>
        <v>1</v>
      </c>
      <c r="T195" s="53" t="str">
        <f t="shared" si="85"/>
        <v>NorthBound</v>
      </c>
      <c r="U195" s="13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https://search-rtdc-monitor-bjffxe2xuh6vdkpspy63sjmuny.us-east-1.es.amazonaws.com/_plugin/kibana/#/discover/Steve-Slow-Train-Analysis-(2080s-and-2083s)?_g=(refreshInterval:(display:Off,section:0,value:0),time:(from:'2016-08-15 00:14:22-0600',mode:absolute,to:'2016-08-15 02:31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95" s="55" t="str">
        <f t="shared" si="87"/>
        <v>Y</v>
      </c>
      <c r="X195" s="129">
        <f t="shared" si="88"/>
        <v>4</v>
      </c>
      <c r="Y195" s="70">
        <f t="shared" si="89"/>
        <v>4.8800000000000003E-2</v>
      </c>
      <c r="Z195" s="70">
        <f t="shared" si="90"/>
        <v>2.3302</v>
      </c>
      <c r="AA195" s="70">
        <f t="shared" si="91"/>
        <v>2.2814000000000001</v>
      </c>
      <c r="AB195" s="67" t="e">
        <f>VLOOKUP(A195,Enforcements!$C$7:$J$24,8,0)</f>
        <v>#N/A</v>
      </c>
      <c r="AC195" s="63" t="e">
        <f>VLOOKUP(A195,Enforcements!$C$7:$E$24,3,0)</f>
        <v>#N/A</v>
      </c>
      <c r="AD195" s="64" t="str">
        <f t="shared" si="92"/>
        <v>0311-14</v>
      </c>
      <c r="AE195" s="104" t="str">
        <f t="shared" si="93"/>
        <v>aws s3 cp s3://rtdc.mdm.uploadarchive/RTDC4029/2016-08-15/ "%USERPROFILE%\AppData\Local\Temp\OnboardLogs"\RTDC4029\2016-08-15 --recursive &amp; "%USERPROFILE%\Documents\GitHub\mrs-test-scripts\Headless Mode &amp; Sideloading\WalkAndUnGZ.bat" "%USERPROFILE%\AppData\Local\Temp\OnboardLogs"\RTDC4029\2016-08-15 &amp; 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</v>
      </c>
      <c r="AF195" s="101" t="str">
        <f t="shared" si="94"/>
        <v>"C:\Program Files (x86)\AstroGrep\AstroGrep.exe" /spath="%USERPROFILE%\AppData\Local\Temp\OnboardLogs" /stypes="*4029*20160815*" /stext=" 07:.+((SYSTEM_STATE.+slice.+state.+changed )|(ment ac)|(system.+state.+changed )|(\|lc)|(penalty)|(\[timeout)|(PRM\|1\|D)|(kpr)|(kdp))" /e /r /s</v>
      </c>
      <c r="AG195" s="1" t="str">
        <f t="shared" si="95"/>
        <v>Other</v>
      </c>
      <c r="AH195" s="105" t="str">
        <f t="shared" si="78"/>
        <v>"%USERPROFILE%\Documents\GitHub\eaglep3\Utilities\RefineRTDCRunTimes.py" --tripid 311-14 --locoid 4029 --swversion DE.1.0.7.0 --startMP 204:488 --initTime 2016-08-15T01:14:22 --startdatetime 2016-08-15T01:15:56 --delay 1 --endMP 300:23302 --enddatetime 2016-08-15T01:31:01 --enforcementcount 0</v>
      </c>
    </row>
    <row r="196" spans="1:34" x14ac:dyDescent="0.25">
      <c r="A196" s="40" t="s">
        <v>290</v>
      </c>
      <c r="B196" s="7">
        <v>4007</v>
      </c>
      <c r="C196" s="25" t="s">
        <v>120</v>
      </c>
      <c r="D196" s="25" t="s">
        <v>206</v>
      </c>
      <c r="E196" s="16">
        <v>42596.088865740741</v>
      </c>
      <c r="F196" s="16">
        <v>42596.089895833335</v>
      </c>
      <c r="G196" s="7">
        <v>1</v>
      </c>
      <c r="H196" s="16" t="s">
        <v>289</v>
      </c>
      <c r="I196" s="16">
        <v>42596.096886574072</v>
      </c>
      <c r="J196" s="7">
        <v>0</v>
      </c>
      <c r="K196" s="143" t="str">
        <f t="shared" si="82"/>
        <v>4007/4008</v>
      </c>
      <c r="L196" s="25" t="str">
        <f>VLOOKUP(A196,'Trips&amp;Operators'!$C$1:$E$10000,3,FALSE)</f>
        <v>STURGEON</v>
      </c>
      <c r="M196" s="6">
        <f t="shared" si="83"/>
        <v>6.9907407378195785E-3</v>
      </c>
      <c r="N196" s="7">
        <f t="shared" si="124"/>
        <v>10.066666662460193</v>
      </c>
      <c r="O196" s="7"/>
      <c r="P196" s="7"/>
      <c r="Q196" s="26"/>
      <c r="R196" s="26"/>
      <c r="S196" s="38">
        <f t="shared" si="84"/>
        <v>1</v>
      </c>
      <c r="T196" s="53" t="str">
        <f t="shared" si="85"/>
        <v>NorthBound</v>
      </c>
      <c r="U196" s="13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01:07:58-0600',mode:absolute,to:'2016-08-14 03:19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96" s="55" t="str">
        <f t="shared" si="87"/>
        <v>Y</v>
      </c>
      <c r="X196" s="129">
        <f t="shared" si="88"/>
        <v>2</v>
      </c>
      <c r="Y196" s="70">
        <f t="shared" si="89"/>
        <v>4.7699999999999999E-2</v>
      </c>
      <c r="Z196" s="70">
        <f t="shared" si="90"/>
        <v>2.3300999999999998</v>
      </c>
      <c r="AA196" s="70">
        <f t="shared" si="91"/>
        <v>2.2824</v>
      </c>
      <c r="AB196" s="67" t="e">
        <f>VLOOKUP(A196,Enforcements!$C$7:$J$24,8,0)</f>
        <v>#N/A</v>
      </c>
      <c r="AC196" s="63" t="e">
        <f>VLOOKUP(A196,Enforcements!$C$7:$E$24,3,0)</f>
        <v>#N/A</v>
      </c>
      <c r="AD196" s="64" t="str">
        <f t="shared" si="92"/>
        <v>0313-13</v>
      </c>
      <c r="AE196" s="104" t="str">
        <f t="shared" si="93"/>
        <v>aws s3 cp s3://rtdc.mdm.uploadarchive/RTDC4007/2016-08-14/ "%USERPROFILE%\AppData\Local\Temp\OnboardLogs"\RTDC4007\2016-08-14 --recursive &amp; "%USERPROFILE%\Documents\GitHub\mrs-test-scripts\Headless Mode &amp; Sideloading\WalkAndUnGZ.bat" "%USERPROFILE%\AppData\Local\Temp\OnboardLogs"\RTDC4007\2016-08-14 &amp; aws s3 cp s3://rtdc.mdm.uploadarchive/RTDC4007/2016-08-15/ "%USERPROFILE%\AppData\Local\Temp\OnboardLogs"\RTDC4007\2016-08-15 --recursive &amp; "%USERPROFILE%\Documents\GitHub\mrs-test-scripts\Headless Mode &amp; Sideloading\WalkAndUnGZ.bat" "%USERPROFILE%\AppData\Local\Temp\OnboardLogs"\RTDC4007\2016-08-15</v>
      </c>
      <c r="AF196" s="101" t="str">
        <f t="shared" si="94"/>
        <v>"C:\Program Files (x86)\AstroGrep\AstroGrep.exe" /spath="%USERPROFILE%\AppData\Local\Temp\OnboardLogs" /stypes="*4007*20160814*" /stext=" 08:.+((SYSTEM_STATE.+slice.+state.+changed )|(ment ac)|(system.+state.+changed )|(\|lc)|(penalty)|(\[timeout)|(PRM\|1\|D)|(kpr)|(kdp))" /e /r /s</v>
      </c>
      <c r="AG196" s="1" t="str">
        <f t="shared" si="95"/>
        <v>Other</v>
      </c>
      <c r="AH196" s="105" t="str">
        <f t="shared" si="78"/>
        <v>"%USERPROFILE%\Documents\GitHub\eaglep3\Utilities\RefineRTDCRunTimes.py" --tripid 313-13 --locoid 4007 --swversion DE.1.0.7.0 --startMP 204:477 --initTime 2016-08-14T02:07:58 --startdatetime 2016-08-14T02:09:27 --delay 1 --endMP 300:23301 --enddatetime 2016-08-14T02:19:31 --enforcementcount 0</v>
      </c>
    </row>
    <row r="197" spans="1:34" x14ac:dyDescent="0.25">
      <c r="A197" s="40" t="s">
        <v>642</v>
      </c>
      <c r="B197" s="7">
        <v>4025</v>
      </c>
      <c r="C197" s="25" t="s">
        <v>120</v>
      </c>
      <c r="D197" s="25" t="s">
        <v>562</v>
      </c>
      <c r="E197" s="16">
        <v>42597.08898148148</v>
      </c>
      <c r="F197" s="16">
        <v>42597.090254629627</v>
      </c>
      <c r="G197" s="7">
        <v>1</v>
      </c>
      <c r="H197" s="16" t="s">
        <v>641</v>
      </c>
      <c r="I197" s="16">
        <v>42597.09652777778</v>
      </c>
      <c r="J197" s="7">
        <v>0</v>
      </c>
      <c r="K197" s="143" t="str">
        <f t="shared" si="82"/>
        <v>4025/4026</v>
      </c>
      <c r="L197" s="25" t="str">
        <f>VLOOKUP(A197,'Trips&amp;Operators'!$C$1:$E$10000,3,FALSE)</f>
        <v>STAMBAUGH</v>
      </c>
      <c r="M197" s="6">
        <f t="shared" si="83"/>
        <v>6.2731481521041133E-3</v>
      </c>
      <c r="N197" s="7">
        <f t="shared" si="124"/>
        <v>9.0333333390299231</v>
      </c>
      <c r="O197" s="7"/>
      <c r="P197" s="7"/>
      <c r="Q197" s="26"/>
      <c r="R197" s="26"/>
      <c r="S197" s="38">
        <f t="shared" si="84"/>
        <v>1</v>
      </c>
      <c r="T197" s="53" t="str">
        <f t="shared" si="85"/>
        <v>NorthBound</v>
      </c>
      <c r="U197" s="13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https://search-rtdc-monitor-bjffxe2xuh6vdkpspy63sjmuny.us-east-1.es.amazonaws.com/_plugin/kibana/#/discover/Steve-Slow-Train-Analysis-(2080s-and-2083s)?_g=(refreshInterval:(display:Off,section:0,value:0),time:(from:'2016-08-15 01:08:08-0600',mode:absolute,to:'2016-08-15 03:19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197" s="55" t="str">
        <f t="shared" si="87"/>
        <v>Y</v>
      </c>
      <c r="X197" s="129">
        <f t="shared" si="88"/>
        <v>2</v>
      </c>
      <c r="Y197" s="70">
        <f t="shared" si="89"/>
        <v>4.4699999999999997E-2</v>
      </c>
      <c r="Z197" s="70">
        <f t="shared" si="90"/>
        <v>2.3302</v>
      </c>
      <c r="AA197" s="70">
        <f t="shared" si="91"/>
        <v>2.2854999999999999</v>
      </c>
      <c r="AB197" s="67" t="e">
        <f>VLOOKUP(A197,Enforcements!$C$7:$J$24,8,0)</f>
        <v>#N/A</v>
      </c>
      <c r="AC197" s="63" t="e">
        <f>VLOOKUP(A197,Enforcements!$C$7:$E$24,3,0)</f>
        <v>#N/A</v>
      </c>
      <c r="AD197" s="64" t="str">
        <f t="shared" si="92"/>
        <v>0315-14</v>
      </c>
      <c r="AE197" s="104" t="str">
        <f t="shared" si="93"/>
        <v>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 &amp; aws s3 cp s3://rtdc.mdm.uploadarchive/RTDC4025/2016-08-16/ "%USERPROFILE%\AppData\Local\Temp\OnboardLogs"\RTDC4025\2016-08-16 --recursive &amp; "%USERPROFILE%\Documents\GitHub\mrs-test-scripts\Headless Mode &amp; Sideloading\WalkAndUnGZ.bat" "%USERPROFILE%\AppData\Local\Temp\OnboardLogs"\RTDC4025\2016-08-16</v>
      </c>
      <c r="AF197" s="101" t="str">
        <f t="shared" si="94"/>
        <v>"C:\Program Files (x86)\AstroGrep\AstroGrep.exe" /spath="%USERPROFILE%\AppData\Local\Temp\OnboardLogs" /stypes="*4025*20160815*" /stext=" 08:.+((SYSTEM_STATE.+slice.+state.+changed )|(ment ac)|(system.+state.+changed )|(\|lc)|(penalty)|(\[timeout)|(PRM\|1\|D)|(kpr)|(kdp))" /e /r /s</v>
      </c>
      <c r="AG197" s="1" t="str">
        <f t="shared" si="95"/>
        <v>Other</v>
      </c>
      <c r="AH197" s="105" t="str">
        <f t="shared" si="78"/>
        <v>"%USERPROFILE%\Documents\GitHub\eaglep3\Utilities\RefineRTDCRunTimes.py" --tripid 315-14 --locoid 4025 --swversion DE.1.0.7.0 --startMP 204:447 --initTime 2016-08-15T02:08:08 --startdatetime 2016-08-15T02:09:58 --delay 1 --endMP 300:23302 --enddatetime 2016-08-15T02:19:00 --enforcementcount 0</v>
      </c>
    </row>
    <row r="198" spans="1:34" x14ac:dyDescent="0.25">
      <c r="A198" s="40" t="s">
        <v>531</v>
      </c>
      <c r="B198" s="7">
        <v>4020</v>
      </c>
      <c r="C198" s="25" t="s">
        <v>120</v>
      </c>
      <c r="D198" s="25" t="s">
        <v>532</v>
      </c>
      <c r="E198" s="16">
        <v>42596.222118055557</v>
      </c>
      <c r="F198" s="16">
        <v>42596.225821759261</v>
      </c>
      <c r="G198" s="7">
        <v>5</v>
      </c>
      <c r="H198" s="16" t="s">
        <v>533</v>
      </c>
      <c r="I198" s="16">
        <v>42596.2262962963</v>
      </c>
      <c r="J198" s="7">
        <v>0</v>
      </c>
      <c r="K198" s="143" t="str">
        <f t="shared" si="82"/>
        <v>4019/4020</v>
      </c>
      <c r="L198" s="25" t="str">
        <f>VLOOKUP(A198,'Trips&amp;Operators'!$C$1:$E$10000,3,FALSE)</f>
        <v>STARKS</v>
      </c>
      <c r="M198" s="6">
        <f t="shared" si="83"/>
        <v>4.7453703882638365E-4</v>
      </c>
      <c r="N198" s="7">
        <f t="shared" si="124"/>
        <v>0.68333333590999246</v>
      </c>
      <c r="O198" s="7"/>
      <c r="P198" s="7"/>
      <c r="Q198" s="26"/>
      <c r="R198" s="26"/>
      <c r="S198" s="38">
        <f t="shared" si="84"/>
        <v>0</v>
      </c>
      <c r="T198" s="53" t="str">
        <f t="shared" si="85"/>
        <v>NorthBound</v>
      </c>
      <c r="U198" s="13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04:19:51-0600',mode:absolute,to:'2016-08-14 06:25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98" s="55" t="str">
        <f t="shared" si="87"/>
        <v>Y</v>
      </c>
      <c r="X198" s="129">
        <f t="shared" si="88"/>
        <v>1586</v>
      </c>
      <c r="Y198" s="70">
        <f t="shared" si="89"/>
        <v>2.8325999999999998</v>
      </c>
      <c r="Z198" s="70">
        <f t="shared" si="90"/>
        <v>2.8687</v>
      </c>
      <c r="AA198" s="70">
        <f t="shared" si="91"/>
        <v>3.6100000000000243E-2</v>
      </c>
      <c r="AB198" s="67" t="e">
        <f>VLOOKUP(A198,Enforcements!$C$7:$J$24,8,0)</f>
        <v>#N/A</v>
      </c>
      <c r="AC198" s="63" t="e">
        <f>VLOOKUP(A198,Enforcements!$C$7:$E$24,3,0)</f>
        <v>#N/A</v>
      </c>
      <c r="AD198" s="64" t="str">
        <f t="shared" si="92"/>
        <v>1901-14</v>
      </c>
      <c r="AE198" s="104" t="str">
        <f t="shared" si="93"/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98" s="101" t="str">
        <f t="shared" si="94"/>
        <v>"C:\Program Files (x86)\AstroGrep\AstroGrep.exe" /spath="%USERPROFILE%\AppData\Local\Temp\OnboardLogs" /stypes="*4020*20160814*" /stext=" 11:.+((SYSTEM_STATE.+slice.+state.+changed )|(ment ac)|(system.+state.+changed )|(\|lc)|(penalty)|(\[timeout)|(PRM\|1\|D)|(kpr)|(kdp))" /e /r /s</v>
      </c>
      <c r="AG198" s="1" t="str">
        <f t="shared" si="95"/>
        <v>Other</v>
      </c>
      <c r="AH198" s="105" t="str">
        <f t="shared" si="78"/>
        <v>"%USERPROFILE%\Documents\GitHub\eaglep3\Utilities\RefineRTDCRunTimes.py" --tripid 1901-14 --locoid 4020 --swversion DE.1.0.7.0 --startMP 300:28326 --initTime 2016-08-14T05:19:51 --startdatetime 2016-08-14T05:25:11 --delay 5 --endMP 300:28687 --enddatetime 2016-08-14T05:25:52 --enforcementcount 0</v>
      </c>
    </row>
    <row r="199" spans="1:34" x14ac:dyDescent="0.25">
      <c r="A199" s="40" t="s">
        <v>531</v>
      </c>
      <c r="B199" s="7">
        <v>4020</v>
      </c>
      <c r="C199" s="25" t="s">
        <v>120</v>
      </c>
      <c r="D199" s="25" t="s">
        <v>534</v>
      </c>
      <c r="E199" s="16">
        <v>42596.227442129632</v>
      </c>
      <c r="F199" s="16">
        <v>42596.228333333333</v>
      </c>
      <c r="G199" s="7">
        <v>1</v>
      </c>
      <c r="H199" s="16" t="s">
        <v>535</v>
      </c>
      <c r="I199" s="16">
        <v>42596.230821759258</v>
      </c>
      <c r="J199" s="7">
        <v>0</v>
      </c>
      <c r="K199" s="143" t="str">
        <f t="shared" si="82"/>
        <v>4019/4020</v>
      </c>
      <c r="L199" s="25" t="str">
        <f>VLOOKUP(A199,'Trips&amp;Operators'!$C$1:$E$10000,3,FALSE)</f>
        <v>STARKS</v>
      </c>
      <c r="M199" s="6">
        <f t="shared" si="83"/>
        <v>2.488425925548654E-3</v>
      </c>
      <c r="N199" s="7">
        <f t="shared" si="124"/>
        <v>3.5833333327900618</v>
      </c>
      <c r="O199" s="7"/>
      <c r="P199" s="7"/>
      <c r="Q199" s="26"/>
      <c r="R199" s="26"/>
      <c r="S199" s="38">
        <f t="shared" si="84"/>
        <v>0</v>
      </c>
      <c r="T199" s="53" t="str">
        <f t="shared" si="85"/>
        <v>NorthBound</v>
      </c>
      <c r="U199" s="13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04:27:31-0600',mode:absolute,to:'2016-08-14 06:32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99" s="55" t="str">
        <f t="shared" si="87"/>
        <v>Y</v>
      </c>
      <c r="X199" s="129">
        <f t="shared" si="88"/>
        <v>0</v>
      </c>
      <c r="Y199" s="70">
        <f t="shared" si="89"/>
        <v>2.9319000000000002</v>
      </c>
      <c r="Z199" s="70">
        <f t="shared" si="90"/>
        <v>3.3050999999999999</v>
      </c>
      <c r="AA199" s="70">
        <f t="shared" si="91"/>
        <v>0.37319999999999975</v>
      </c>
      <c r="AB199" s="67" t="e">
        <f>VLOOKUP(A199,Enforcements!$C$7:$J$24,8,0)</f>
        <v>#N/A</v>
      </c>
      <c r="AC199" s="63" t="e">
        <f>VLOOKUP(A199,Enforcements!$C$7:$E$24,3,0)</f>
        <v>#N/A</v>
      </c>
      <c r="AD199" s="64" t="str">
        <f t="shared" si="92"/>
        <v>1901-14</v>
      </c>
      <c r="AE199" s="104" t="str">
        <f t="shared" si="93"/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AF199" s="101" t="str">
        <f t="shared" si="94"/>
        <v>"C:\Program Files (x86)\AstroGrep\AstroGrep.exe" /spath="%USERPROFILE%\AppData\Local\Temp\OnboardLogs" /stypes="*4020*20160814*" /stext=" 11:.+((SYSTEM_STATE.+slice.+state.+changed )|(ment ac)|(system.+state.+changed )|(\|lc)|(penalty)|(\[timeout)|(PRM\|1\|D)|(kpr)|(kdp))" /e /r /s</v>
      </c>
      <c r="AG199" s="1" t="str">
        <f t="shared" si="95"/>
        <v>Other</v>
      </c>
      <c r="AH199" s="105" t="str">
        <f t="shared" si="78"/>
        <v>"%USERPROFILE%\Documents\GitHub\eaglep3\Utilities\RefineRTDCRunTimes.py" --tripid 1901-14 --locoid 4020 --swversion DE.1.0.7.0 --startMP 300:29319 --initTime 2016-08-14T05:27:31 --startdatetime 2016-08-14T05:28:48 --delay 1 --endMP 300:33051 --enddatetime 2016-08-14T05:32:23 --enforcementcount 0</v>
      </c>
    </row>
    <row r="200" spans="1:34" x14ac:dyDescent="0.25">
      <c r="A200" s="40" t="s">
        <v>536</v>
      </c>
      <c r="B200" s="7">
        <v>4019</v>
      </c>
      <c r="C200" s="25" t="s">
        <v>120</v>
      </c>
      <c r="D200" s="25" t="s">
        <v>270</v>
      </c>
      <c r="E200" s="16">
        <v>42596.946134259262</v>
      </c>
      <c r="F200" s="16">
        <v>42596.946909722225</v>
      </c>
      <c r="G200" s="7">
        <v>1</v>
      </c>
      <c r="H200" s="16" t="s">
        <v>537</v>
      </c>
      <c r="I200" s="16">
        <v>42596.952893518515</v>
      </c>
      <c r="J200" s="7">
        <v>0</v>
      </c>
      <c r="K200" s="143" t="str">
        <f t="shared" si="82"/>
        <v>4019/4020</v>
      </c>
      <c r="L200" s="25" t="str">
        <f>VLOOKUP(A200,'Trips&amp;Operators'!$C$1:$E$10000,3,FALSE)</f>
        <v>ALONZO</v>
      </c>
      <c r="M200" s="6">
        <f t="shared" si="83"/>
        <v>5.9837962908204645E-3</v>
      </c>
      <c r="N200" s="7">
        <f t="shared" si="124"/>
        <v>8.6166666587814689</v>
      </c>
      <c r="O200" s="7"/>
      <c r="P200" s="7"/>
      <c r="Q200" s="26"/>
      <c r="R200" s="26"/>
      <c r="S200" s="38">
        <f t="shared" si="84"/>
        <v>0</v>
      </c>
      <c r="T200" s="53" t="str">
        <f t="shared" si="85"/>
        <v>Southbound</v>
      </c>
      <c r="U200" s="13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21:42:26-0600',mode:absolute,to:'2016-08-14 23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200" s="55" t="str">
        <f t="shared" si="87"/>
        <v>Y</v>
      </c>
      <c r="X200" s="129">
        <f t="shared" si="88"/>
        <v>1</v>
      </c>
      <c r="Y200" s="70">
        <f t="shared" si="89"/>
        <v>5.8630000000000004</v>
      </c>
      <c r="Z200" s="70">
        <f t="shared" si="90"/>
        <v>2.1753</v>
      </c>
      <c r="AA200" s="70">
        <f t="shared" si="91"/>
        <v>3.6877000000000004</v>
      </c>
      <c r="AB200" s="67" t="e">
        <f>VLOOKUP(A200,Enforcements!$C$7:$J$24,8,0)</f>
        <v>#N/A</v>
      </c>
      <c r="AC200" s="63" t="e">
        <f>VLOOKUP(A200,Enforcements!$C$7:$E$24,3,0)</f>
        <v>#N/A</v>
      </c>
      <c r="AD200" s="64" t="str">
        <f t="shared" si="92"/>
        <v>1902-14</v>
      </c>
      <c r="AE200" s="104" t="str">
        <f t="shared" si="93"/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AF200" s="101" t="str">
        <f t="shared" si="94"/>
        <v>"C:\Program Files (x86)\AstroGrep\AstroGrep.exe" /spath="%USERPROFILE%\AppData\Local\Temp\OnboardLogs" /stypes="*4019*20160815*" /stext=" 04:.+((SYSTEM_STATE.+slice.+state.+changed )|(ment ac)|(system.+state.+changed )|(\|lc)|(penalty)|(\[timeout)|(PRM\|1\|D)|(kpr)|(kdp))" /e /r /s</v>
      </c>
      <c r="AG200" s="1" t="str">
        <f t="shared" si="95"/>
        <v>Other</v>
      </c>
      <c r="AH200" s="105" t="str">
        <f t="shared" si="78"/>
        <v>"%USERPROFILE%\Documents\GitHub\eaglep3\Utilities\RefineRTDCRunTimes.py" --tripid 1902-14 --locoid 4019 --swversion DE.1.0.7.0 --startMP 300:58630 --initTime 2016-08-14T22:42:26 --startdatetime 2016-08-14T22:43:33 --delay 1 --endMP 300:21753 --enddatetime 2016-08-14T22:52:10 --enforcementcount 0</v>
      </c>
    </row>
    <row r="201" spans="1:34" x14ac:dyDescent="0.25">
      <c r="A201" s="40" t="s">
        <v>643</v>
      </c>
      <c r="B201" s="7">
        <v>4017</v>
      </c>
      <c r="C201" s="25" t="s">
        <v>120</v>
      </c>
      <c r="D201" s="25" t="s">
        <v>644</v>
      </c>
      <c r="E201" s="16">
        <v>42596.733773148146</v>
      </c>
      <c r="F201" s="16">
        <v>42596.735162037039</v>
      </c>
      <c r="G201" s="7">
        <v>2</v>
      </c>
      <c r="H201" s="16" t="s">
        <v>645</v>
      </c>
      <c r="I201" s="16">
        <v>42596.741388888891</v>
      </c>
      <c r="J201" s="7">
        <v>0</v>
      </c>
      <c r="K201" s="143" t="str">
        <f t="shared" si="82"/>
        <v>4017/4018</v>
      </c>
      <c r="L201" s="25" t="str">
        <f>VLOOKUP(A201,'Trips&amp;Operators'!$C$1:$E$10000,3,FALSE)</f>
        <v>NEWELL</v>
      </c>
      <c r="M201" s="6">
        <f t="shared" si="83"/>
        <v>6.2268518522614613E-3</v>
      </c>
      <c r="N201" s="7">
        <f t="shared" si="124"/>
        <v>8.9666666672565043</v>
      </c>
      <c r="O201" s="7"/>
      <c r="P201" s="7"/>
      <c r="Q201" s="26"/>
      <c r="R201" s="26"/>
      <c r="S201" s="38">
        <f t="shared" si="84"/>
        <v>0</v>
      </c>
      <c r="T201" s="53" t="e">
        <f t="shared" si="85"/>
        <v>#VALUE!</v>
      </c>
      <c r="U201" s="13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11" t="str">
        <f t="shared" si="86"/>
        <v>https://search-rtdc-monitor-bjffxe2xuh6vdkpspy63sjmuny.us-east-1.es.amazonaws.com/_plugin/kibana/#/discover/Steve-Slow-Train-Analysis-(2080s-and-2083s)?_g=(refreshInterval:(display:Off,section:0,value:0),time:(from:'2016-08-14 16:36:38-0600',mode:absolute,to:'2016-08-14 18:47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4017%22')),sort:!(Time,asc))</v>
      </c>
      <c r="W201" s="55" t="str">
        <f t="shared" si="87"/>
        <v>Y</v>
      </c>
      <c r="X201" s="129" t="e">
        <f t="shared" si="88"/>
        <v>#VALUE!</v>
      </c>
      <c r="Y201" s="70">
        <f t="shared" si="89"/>
        <v>2.1943000000000001</v>
      </c>
      <c r="Z201" s="70">
        <f t="shared" si="90"/>
        <v>8.7800000000000003E-2</v>
      </c>
      <c r="AA201" s="70">
        <f t="shared" si="91"/>
        <v>2.1065</v>
      </c>
      <c r="AB201" s="67" t="e">
        <f>VLOOKUP(A201,Enforcements!$C$7:$J$24,8,0)</f>
        <v>#N/A</v>
      </c>
      <c r="AC201" s="63" t="e">
        <f>VLOOKUP(A201,Enforcements!$C$7:$E$24,3,0)</f>
        <v>#N/A</v>
      </c>
      <c r="AD201" s="64" t="str">
        <f t="shared" si="92"/>
        <v>56-14</v>
      </c>
      <c r="AE201" s="104" t="str">
        <f t="shared" si="93"/>
        <v>aws s3 cp s3://rtdc.mdm.uploadarchive/RTDC4017/2016-08-14/ "%USERPROFILE%\AppData\Local\Temp\OnboardLogs"\RTDC4017\2016-08-14 --recursive &amp; "%USERPROFILE%\Documents\GitHub\mrs-test-scripts\Headless Mode &amp; Sideloading\WalkAndUnGZ.bat" "%USERPROFILE%\AppData\Local\Temp\OnboardLogs"\RTDC4017\2016-08-14 &amp; aws s3 cp s3://rtdc.mdm.uploadarchive/RTDC4017/2016-08-15/ "%USERPROFILE%\AppData\Local\Temp\OnboardLogs"\RTDC4017\2016-08-15 --recursive &amp; "%USERPROFILE%\Documents\GitHub\mrs-test-scripts\Headless Mode &amp; Sideloading\WalkAndUnGZ.bat" "%USERPROFILE%\AppData\Local\Temp\OnboardLogs"\RTDC4017\2016-08-15</v>
      </c>
      <c r="AF201" s="101" t="str">
        <f t="shared" si="94"/>
        <v>"C:\Program Files (x86)\AstroGrep\AstroGrep.exe" /spath="%USERPROFILE%\AppData\Local\Temp\OnboardLogs" /stypes="*4017*20160814*" /stext=" 23:.+((SYSTEM_STATE.+slice.+state.+changed )|(ment ac)|(system.+state.+changed )|(\|lc)|(penalty)|(\[timeout)|(PRM\|1\|D)|(kpr)|(kdp))" /e /r /s</v>
      </c>
      <c r="AG201" s="1" t="str">
        <f t="shared" si="95"/>
        <v>Other</v>
      </c>
      <c r="AH201" s="105" t="str">
        <f t="shared" si="78"/>
        <v>"%USERPROFILE%\Documents\GitHub\eaglep3\Utilities\RefineRTDCRunTimes.py" --tripid 56-14 --locoid 4017 --swversion DE.1.0.7.0 --startMP 300:21943 --initTime 2016-08-14T17:36:38 --startdatetime 2016-08-14T17:38:38 --delay 2 --endMP 204:878 --enddatetime 2016-08-14T17:47:36 --enforcementcount 0</v>
      </c>
    </row>
  </sheetData>
  <autoFilter ref="A12:AG201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1" priority="201" operator="equal">
      <formula>"Y"</formula>
    </cfRule>
  </conditionalFormatting>
  <conditionalFormatting sqref="X13:X1048576">
    <cfRule type="cellIs" dxfId="10" priority="184" operator="greaterThan">
      <formula>1</formula>
    </cfRule>
  </conditionalFormatting>
  <conditionalFormatting sqref="X12:X1048576">
    <cfRule type="cellIs" dxfId="9" priority="181" operator="equal">
      <formula>0</formula>
    </cfRule>
  </conditionalFormatting>
  <conditionalFormatting sqref="A13:S13 A15:I201 J14:S201">
    <cfRule type="expression" dxfId="8" priority="177">
      <formula>$O13&gt;0</formula>
    </cfRule>
  </conditionalFormatting>
  <conditionalFormatting sqref="A13:S13 A15:I201 J14:S201">
    <cfRule type="expression" dxfId="7" priority="176">
      <formula>$P13&gt;0</formula>
    </cfRule>
  </conditionalFormatting>
  <conditionalFormatting sqref="A14:I14">
    <cfRule type="expression" dxfId="6" priority="15">
      <formula>$O14&gt;0</formula>
    </cfRule>
  </conditionalFormatting>
  <conditionalFormatting sqref="A14:I14">
    <cfRule type="expression" dxfId="5" priority="14">
      <formula>$P14&gt;0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5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A13:S13 A15:I201 J14:S201</xm:sqref>
        </x14:conditionalFormatting>
        <x14:conditionalFormatting xmlns:xm="http://schemas.microsoft.com/office/excel/2006/main">
          <x14:cfRule type="expression" priority="13" id="{31EE8063-6E04-4071-BDD6-4E6F221D72AE}">
            <xm:f>IF($AG14="EC",$N14&gt;Variables!$C$2,$N14&gt;Variables!$D$2)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A14:I14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72"/>
  <sheetViews>
    <sheetView topLeftCell="A13" workbookViewId="0">
      <selection activeCell="Q29" sqref="Q29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23" customWidth="1"/>
    <col min="14" max="14" width="24.140625" customWidth="1"/>
    <col min="15" max="15" width="5" hidden="1" customWidth="1"/>
    <col min="16" max="16" width="5.7109375" style="102" customWidth="1"/>
    <col min="17" max="17" width="5.7109375" style="116" customWidth="1"/>
    <col min="18" max="18" width="6" style="99" customWidth="1"/>
    <col min="19" max="19" width="5.28515625" customWidth="1"/>
    <col min="20" max="20" width="20" style="51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M1" s="123"/>
      <c r="P1" s="102"/>
      <c r="Q1" s="116"/>
      <c r="R1" s="99"/>
      <c r="T1" s="51"/>
    </row>
    <row r="2" spans="1:22" s="24" customFormat="1" x14ac:dyDescent="0.25">
      <c r="A2" s="8"/>
      <c r="F2" s="2"/>
      <c r="G2" s="2"/>
      <c r="H2" s="2"/>
      <c r="J2" s="2"/>
      <c r="K2" s="144" t="s">
        <v>91</v>
      </c>
      <c r="L2" s="145"/>
      <c r="M2" s="146">
        <f>COUNTIF($M$7:$M$442,"=Y")</f>
        <v>10</v>
      </c>
      <c r="N2" s="147"/>
      <c r="P2" s="102"/>
      <c r="Q2" s="116"/>
      <c r="R2" s="99"/>
      <c r="T2" s="51"/>
    </row>
    <row r="3" spans="1:22" s="24" customFormat="1" ht="15.75" thickBot="1" x14ac:dyDescent="0.3">
      <c r="A3" s="8"/>
      <c r="F3" s="2"/>
      <c r="G3" s="2"/>
      <c r="H3" s="2"/>
      <c r="J3" s="2"/>
      <c r="K3" s="148" t="s">
        <v>92</v>
      </c>
      <c r="L3" s="149"/>
      <c r="M3" s="150">
        <f>COUNTA($M$7:$M$442)-M2</f>
        <v>55</v>
      </c>
      <c r="N3" s="147"/>
      <c r="P3" s="102"/>
      <c r="Q3" s="116"/>
      <c r="R3" s="99"/>
      <c r="T3" s="51"/>
    </row>
    <row r="4" spans="1:22" s="24" customFormat="1" x14ac:dyDescent="0.25">
      <c r="A4" s="8"/>
      <c r="F4" s="2"/>
      <c r="G4" s="2"/>
      <c r="H4" s="2"/>
      <c r="J4" s="2"/>
      <c r="L4" s="31"/>
      <c r="M4" s="123"/>
      <c r="P4" s="102"/>
      <c r="Q4" s="116"/>
      <c r="R4" s="99"/>
      <c r="T4" s="51"/>
    </row>
    <row r="5" spans="1:22" s="12" customFormat="1" ht="15" customHeight="1" x14ac:dyDescent="0.25">
      <c r="A5" s="151" t="str">
        <f>"Eagle P3 Braking Events - "&amp;TEXT(Variables!$A$2,"YYYY-mm-dd")</f>
        <v>Eagle P3 Braking Events - 2016-08-14</v>
      </c>
      <c r="B5" s="151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3"/>
      <c r="P5" s="113"/>
      <c r="Q5" s="117"/>
      <c r="R5" s="120"/>
      <c r="T5" s="52"/>
    </row>
    <row r="6" spans="1:22" s="1" customFormat="1" ht="105" x14ac:dyDescent="0.25">
      <c r="A6" s="11" t="s">
        <v>38</v>
      </c>
      <c r="B6" s="73" t="s">
        <v>37</v>
      </c>
      <c r="C6" s="73" t="s">
        <v>36</v>
      </c>
      <c r="D6" s="73" t="s">
        <v>35</v>
      </c>
      <c r="E6" s="73" t="s">
        <v>34</v>
      </c>
      <c r="F6" s="74" t="s">
        <v>33</v>
      </c>
      <c r="G6" s="74" t="s">
        <v>32</v>
      </c>
      <c r="H6" s="74" t="s">
        <v>31</v>
      </c>
      <c r="I6" s="73" t="s">
        <v>30</v>
      </c>
      <c r="J6" s="74" t="s">
        <v>29</v>
      </c>
      <c r="K6" s="73" t="s">
        <v>28</v>
      </c>
      <c r="L6" s="17" t="s">
        <v>47</v>
      </c>
      <c r="M6" s="140" t="s">
        <v>27</v>
      </c>
      <c r="N6" s="73" t="s">
        <v>24</v>
      </c>
      <c r="O6" s="53"/>
      <c r="P6" s="114" t="s">
        <v>105</v>
      </c>
      <c r="Q6" s="118" t="s">
        <v>63</v>
      </c>
      <c r="R6" s="121" t="s">
        <v>104</v>
      </c>
      <c r="S6" s="73" t="s">
        <v>99</v>
      </c>
      <c r="T6" s="75" t="s">
        <v>100</v>
      </c>
      <c r="U6" s="53" t="s">
        <v>113</v>
      </c>
      <c r="V6" s="53" t="s">
        <v>116</v>
      </c>
    </row>
    <row r="7" spans="1:22" s="1" customFormat="1" x14ac:dyDescent="0.25">
      <c r="A7" s="39">
        <v>42596.870185185187</v>
      </c>
      <c r="B7" s="34" t="s">
        <v>96</v>
      </c>
      <c r="C7" s="34" t="s">
        <v>597</v>
      </c>
      <c r="D7" s="34" t="s">
        <v>49</v>
      </c>
      <c r="E7" s="34" t="s">
        <v>296</v>
      </c>
      <c r="F7" s="50">
        <v>0</v>
      </c>
      <c r="G7" s="50">
        <v>557</v>
      </c>
      <c r="H7" s="50">
        <v>45176</v>
      </c>
      <c r="I7" s="34" t="s">
        <v>297</v>
      </c>
      <c r="J7" s="50">
        <v>42961</v>
      </c>
      <c r="K7" s="34" t="s">
        <v>53</v>
      </c>
      <c r="L7" s="97" t="str">
        <f>VLOOKUP(C7,'Trips&amp;Operators'!$C$1:$E$9999,3,0)</f>
        <v>COOLAHAN</v>
      </c>
      <c r="M7" s="141" t="s">
        <v>90</v>
      </c>
      <c r="N7" s="10" t="s">
        <v>670</v>
      </c>
      <c r="O7" s="34"/>
      <c r="P7" s="115" t="str">
        <f>VLOOKUP(C7,'Train Runs'!$A$13:$AE$190,31,0)</f>
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</c>
      <c r="Q7" s="119" t="str">
        <f>VLOOKUP(C7,'Train Runs'!$A$13:$AE$190,22,0)</f>
        <v>https://search-rtdc-monitor-bjffxe2xuh6vdkpspy63sjmuny.us-east-1.es.amazonaws.com/_plugin/kibana/#/discover/Steve-Slow-Train-Analysis-(2080s-and-2083s)?_g=(refreshInterval:(display:Off,section:0,value:0),time:(from:'2016-08-14 19:20:23-0600',mode:absolute,to:'2016-08-14 22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7" s="122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/stypes="*4030*201608150*" /stext=" 02:.+((SYSTEM_STATE.+slice.+state.+changed )|(ment ac)|(system.+state.+changed )|(\|lc)|(penalty)|(\[timeout)|(PRM\|1\|D)|(kpr)|(kdp))" /e /r /s</v>
      </c>
      <c r="S7" s="9" t="str">
        <f t="shared" ref="S7:S38" si="1">MID(B7,13,4)</f>
        <v>4030</v>
      </c>
      <c r="T7" s="39">
        <f t="shared" ref="T7:T38" si="2">A7+6/24</f>
        <v>42597.120185185187</v>
      </c>
      <c r="U7" s="53" t="str">
        <f t="shared" ref="U7:U38" si="3">IF(VALUE(LEFT(IF(LEN(C7)=6,"0"&amp;C7,C7),2))&lt;=2,"EC",IF(OR(VALUE(LEFT(IF(LEN(C7)=6,"0"&amp;C7,C7),2))=8,VALUE(LEFT(IF(LEN(C7)=6,"0"&amp;C7,C7),2))=18),"NW","GL"))</f>
        <v>EC</v>
      </c>
      <c r="V7" s="53" t="str">
        <f t="shared" ref="V7:V38" si="4">IF(AND(E7="TRACK WARRANT AUTHORITY",G7&lt;10),"OMIT","KEEP")</f>
        <v>KEEP</v>
      </c>
    </row>
    <row r="8" spans="1:22" s="1" customFormat="1" x14ac:dyDescent="0.25">
      <c r="A8" s="39">
        <v>42596.517650462964</v>
      </c>
      <c r="B8" s="34" t="s">
        <v>112</v>
      </c>
      <c r="C8" s="34" t="s">
        <v>401</v>
      </c>
      <c r="D8" s="34" t="s">
        <v>49</v>
      </c>
      <c r="E8" s="34" t="s">
        <v>296</v>
      </c>
      <c r="F8" s="50">
        <v>0</v>
      </c>
      <c r="G8" s="50">
        <v>206</v>
      </c>
      <c r="H8" s="50">
        <v>59864</v>
      </c>
      <c r="I8" s="34" t="s">
        <v>297</v>
      </c>
      <c r="J8" s="50">
        <v>58904</v>
      </c>
      <c r="K8" s="34" t="s">
        <v>53</v>
      </c>
      <c r="L8" s="97" t="str">
        <f>VLOOKUP(C8,'Trips&amp;Operators'!$C$1:$E$9999,3,0)</f>
        <v>STEWART</v>
      </c>
      <c r="M8" s="141" t="s">
        <v>90</v>
      </c>
      <c r="N8" s="10" t="s">
        <v>669</v>
      </c>
      <c r="O8" s="34"/>
      <c r="P8" s="115" t="str">
        <f>VLOOKUP(C8,'Train Runs'!$A$13:$AE$190,31,0)</f>
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</c>
      <c r="Q8" s="119" t="str">
        <f>VLOOKUP(C8,'Train Runs'!$A$13:$AE$190,22,0)</f>
        <v>https://search-rtdc-monitor-bjffxe2xuh6vdkpspy63sjmuny.us-east-1.es.amazonaws.com/_plugin/kibana/#/discover/Steve-Slow-Train-Analysis-(2080s-and-2083s)?_g=(refreshInterval:(display:Off,section:0,value:0),time:(from:'2016-08-14 10:49:29-0600',mode:absolute,to:'2016-08-14 13:39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8" s="122" t="str">
        <f t="shared" si="0"/>
        <v>"C:\Program Files (x86)\AstroGrep\AstroGrep.exe" /spath="%USERPROFILE%\AppData\Local\Temp\OnboardLogs" /stypes="*4015*201608141*" /stext=" 18:.+((SYSTEM_STATE.+slice.+state.+changed )|(ment ac)|(system.+state.+changed )|(\|lc)|(penalty)|(\[timeout)|(PRM\|1\|D)|(kpr)|(kdp))" /e /r /s</v>
      </c>
      <c r="S8" s="9" t="str">
        <f t="shared" si="1"/>
        <v>4015</v>
      </c>
      <c r="T8" s="39">
        <f t="shared" si="2"/>
        <v>42596.767650462964</v>
      </c>
      <c r="U8" s="53" t="str">
        <f t="shared" si="3"/>
        <v>EC</v>
      </c>
      <c r="V8" s="53" t="str">
        <f t="shared" si="4"/>
        <v>KEEP</v>
      </c>
    </row>
    <row r="9" spans="1:22" s="1" customFormat="1" x14ac:dyDescent="0.25">
      <c r="A9" s="39">
        <v>42596.399189814816</v>
      </c>
      <c r="B9" s="34" t="s">
        <v>189</v>
      </c>
      <c r="C9" s="34" t="s">
        <v>367</v>
      </c>
      <c r="D9" s="34" t="s">
        <v>117</v>
      </c>
      <c r="E9" s="34" t="s">
        <v>56</v>
      </c>
      <c r="F9" s="50">
        <v>150</v>
      </c>
      <c r="G9" s="50">
        <v>211</v>
      </c>
      <c r="H9" s="50">
        <v>3035</v>
      </c>
      <c r="I9" s="34" t="s">
        <v>57</v>
      </c>
      <c r="J9" s="50">
        <v>4677</v>
      </c>
      <c r="K9" s="34" t="s">
        <v>53</v>
      </c>
      <c r="L9" s="97" t="str">
        <f>VLOOKUP(C9,'Trips&amp;Operators'!$C$1:$E$9999,3,0)</f>
        <v>DAVIS</v>
      </c>
      <c r="M9" s="141" t="s">
        <v>90</v>
      </c>
      <c r="N9" s="10"/>
      <c r="O9" s="34"/>
      <c r="P9" s="115" t="str">
        <f>VLOOKUP(C9,'Train Runs'!$A$13:$AE$190,31,0)</f>
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</c>
      <c r="Q9" s="119" t="str">
        <f>VLOOKUP(C9,'Train Runs'!$A$13:$AE$190,22,0)</f>
        <v>https://search-rtdc-monitor-bjffxe2xuh6vdkpspy63sjmuny.us-east-1.es.amazonaws.com/_plugin/kibana/#/discover/Steve-Slow-Train-Analysis-(2080s-and-2083s)?_g=(refreshInterval:(display:Off,section:0,value:0),time:(from:'2016-08-14 07:49:53-0600',mode:absolute,to:'2016-08-14 10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9" s="122" t="str">
        <f t="shared" si="0"/>
        <v>"C:\Program Files (x86)\AstroGrep\AstroGrep.exe" /spath="%USERPROFILE%\AppData\Local\Temp\OnboardLogs" /stypes="*4028*201608141*" /stext=" 15:.+((SYSTEM_STATE.+slice.+state.+changed )|(ment ac)|(system.+state.+changed )|(\|lc)|(penalty)|(\[timeout)|(PRM\|1\|D)|(kpr)|(kdp))" /e /r /s</v>
      </c>
      <c r="S9" s="9" t="str">
        <f t="shared" si="1"/>
        <v>4028</v>
      </c>
      <c r="T9" s="39">
        <f t="shared" si="2"/>
        <v>42596.649189814816</v>
      </c>
      <c r="U9" s="53" t="str">
        <f t="shared" si="3"/>
        <v>EC</v>
      </c>
      <c r="V9" s="53" t="str">
        <f t="shared" si="4"/>
        <v>KEEP</v>
      </c>
    </row>
    <row r="10" spans="1:22" s="1" customFormat="1" x14ac:dyDescent="0.25">
      <c r="A10" s="39">
        <v>42596.493344907409</v>
      </c>
      <c r="B10" s="34" t="s">
        <v>97</v>
      </c>
      <c r="C10" s="34" t="s">
        <v>408</v>
      </c>
      <c r="D10" s="34" t="s">
        <v>49</v>
      </c>
      <c r="E10" s="34" t="s">
        <v>56</v>
      </c>
      <c r="F10" s="50">
        <v>400</v>
      </c>
      <c r="G10" s="50">
        <v>487</v>
      </c>
      <c r="H10" s="50">
        <v>17253</v>
      </c>
      <c r="I10" s="34" t="s">
        <v>57</v>
      </c>
      <c r="J10" s="50">
        <v>17867</v>
      </c>
      <c r="K10" s="34" t="s">
        <v>52</v>
      </c>
      <c r="L10" s="97" t="str">
        <f>VLOOKUP(C10,'Trips&amp;Operators'!$C$1:$E$9999,3,0)</f>
        <v>MOSES</v>
      </c>
      <c r="M10" s="141" t="s">
        <v>90</v>
      </c>
      <c r="N10" s="10"/>
      <c r="O10" s="34"/>
      <c r="P10" s="115" t="str">
        <f>VLOOKUP(C10,'Train Runs'!$A$13:$AE$190,31,0)</f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Q10" s="119" t="str">
        <f>VLOOKUP(C10,'Train Runs'!$A$13:$AE$190,22,0)</f>
        <v>https://search-rtdc-monitor-bjffxe2xuh6vdkpspy63sjmuny.us-east-1.es.amazonaws.com/_plugin/kibana/#/discover/Steve-Slow-Train-Analysis-(2080s-and-2083s)?_g=(refreshInterval:(display:Off,section:0,value:0),time:(from:'2016-08-14 10:44:14-0600',mode:absolute,to:'2016-08-14 13:24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10" s="122" t="str">
        <f t="shared" si="0"/>
        <v>"C:\Program Files (x86)\AstroGrep\AstroGrep.exe" /spath="%USERPROFILE%\AppData\Local\Temp\OnboardLogs" /stypes="*4027*201608141*" /stext=" 17:.+((SYSTEM_STATE.+slice.+state.+changed )|(ment ac)|(system.+state.+changed )|(\|lc)|(penalty)|(\[timeout)|(PRM\|1\|D)|(kpr)|(kdp))" /e /r /s</v>
      </c>
      <c r="S10" s="9" t="str">
        <f t="shared" si="1"/>
        <v>4027</v>
      </c>
      <c r="T10" s="39">
        <f t="shared" si="2"/>
        <v>42596.743344907409</v>
      </c>
      <c r="U10" s="53" t="str">
        <f t="shared" si="3"/>
        <v>EC</v>
      </c>
      <c r="V10" s="53" t="str">
        <f t="shared" si="4"/>
        <v>KEEP</v>
      </c>
    </row>
    <row r="11" spans="1:22" s="1" customFormat="1" x14ac:dyDescent="0.25">
      <c r="A11" s="39">
        <v>42596.297511574077</v>
      </c>
      <c r="B11" s="34" t="s">
        <v>121</v>
      </c>
      <c r="C11" s="34" t="s">
        <v>351</v>
      </c>
      <c r="D11" s="34" t="s">
        <v>117</v>
      </c>
      <c r="E11" s="34" t="s">
        <v>56</v>
      </c>
      <c r="F11" s="50">
        <v>400</v>
      </c>
      <c r="G11" s="50">
        <v>454</v>
      </c>
      <c r="H11" s="50">
        <v>118671</v>
      </c>
      <c r="I11" s="34" t="s">
        <v>57</v>
      </c>
      <c r="J11" s="50">
        <v>116838</v>
      </c>
      <c r="K11" s="34" t="s">
        <v>52</v>
      </c>
      <c r="L11" s="97" t="str">
        <f>VLOOKUP(C11,'Trips&amp;Operators'!$C$1:$E$9999,3,0)</f>
        <v>STRICKLAND</v>
      </c>
      <c r="M11" s="141" t="s">
        <v>90</v>
      </c>
      <c r="N11" s="10"/>
      <c r="O11" s="34"/>
      <c r="P11" s="115" t="str">
        <f>VLOOKUP(C11,'Train Runs'!$A$13:$AE$190,31,0)</f>
        <v>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 &amp; 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</v>
      </c>
      <c r="Q11" s="119" t="str">
        <f>VLOOKUP(C11,'Train Runs'!$A$13:$AE$190,22,0)</f>
        <v>https://search-rtdc-monitor-bjffxe2xuh6vdkpspy63sjmuny.us-east-1.es.amazonaws.com/_plugin/kibana/#/discover/Steve-Slow-Train-Analysis-(2080s-and-2083s)?_g=(refreshInterval:(display:Off,section:0,value:0),time:(from:'2016-08-14 05:41:10-0600',mode:absolute,to:'2016-08-14 08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11" s="122" t="str">
        <f t="shared" si="0"/>
        <v>"C:\Program Files (x86)\AstroGrep\AstroGrep.exe" /spath="%USERPROFILE%\AppData\Local\Temp\OnboardLogs" /stypes="*4031*201608141*" /stext=" 13:.+((SYSTEM_STATE.+slice.+state.+changed )|(ment ac)|(system.+state.+changed )|(\|lc)|(penalty)|(\[timeout)|(PRM\|1\|D)|(kpr)|(kdp))" /e /r /s</v>
      </c>
      <c r="S11" s="9" t="str">
        <f t="shared" si="1"/>
        <v>4031</v>
      </c>
      <c r="T11" s="39">
        <f t="shared" si="2"/>
        <v>42596.547511574077</v>
      </c>
      <c r="U11" s="53" t="str">
        <f t="shared" si="3"/>
        <v>EC</v>
      </c>
      <c r="V11" s="53" t="str">
        <f t="shared" si="4"/>
        <v>KEEP</v>
      </c>
    </row>
    <row r="12" spans="1:22" s="1" customFormat="1" x14ac:dyDescent="0.25">
      <c r="A12" s="39">
        <v>42596.358900462961</v>
      </c>
      <c r="B12" s="34" t="s">
        <v>193</v>
      </c>
      <c r="C12" s="34" t="s">
        <v>368</v>
      </c>
      <c r="D12" s="34" t="s">
        <v>49</v>
      </c>
      <c r="E12" s="34" t="s">
        <v>56</v>
      </c>
      <c r="F12" s="50">
        <v>400</v>
      </c>
      <c r="G12" s="50">
        <v>531</v>
      </c>
      <c r="H12" s="50">
        <v>115615</v>
      </c>
      <c r="I12" s="34" t="s">
        <v>57</v>
      </c>
      <c r="J12" s="50">
        <v>116838</v>
      </c>
      <c r="K12" s="34" t="s">
        <v>52</v>
      </c>
      <c r="L12" s="97" t="str">
        <f>VLOOKUP(C12,'Trips&amp;Operators'!$C$1:$E$9999,3,0)</f>
        <v>MALAVE</v>
      </c>
      <c r="M12" s="141" t="s">
        <v>90</v>
      </c>
      <c r="N12" s="10"/>
      <c r="O12" s="34"/>
      <c r="P12" s="115" t="str">
        <f>VLOOKUP(C12,'Train Runs'!$A$13:$AE$190,31,0)</f>
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</c>
      <c r="Q12" s="119" t="str">
        <f>VLOOKUP(C12,'Train Runs'!$A$13:$AE$190,22,0)</f>
        <v>https://search-rtdc-monitor-bjffxe2xuh6vdkpspy63sjmuny.us-east-1.es.amazonaws.com/_plugin/kibana/#/discover/Steve-Slow-Train-Analysis-(2080s-and-2083s)?_g=(refreshInterval:(display:Off,section:0,value:0),time:(from:'2016-08-14 07:12:39-0600',mode:absolute,to:'2016-08-14 09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12" s="122" t="str">
        <f t="shared" si="0"/>
        <v>"C:\Program Files (x86)\AstroGrep\AstroGrep.exe" /spath="%USERPROFILE%\AppData\Local\Temp\OnboardLogs" /stypes="*4038*201608141*" /stext=" 14:.+((SYSTEM_STATE.+slice.+state.+changed )|(ment ac)|(system.+state.+changed )|(\|lc)|(penalty)|(\[timeout)|(PRM\|1\|D)|(kpr)|(kdp))" /e /r /s</v>
      </c>
      <c r="S12" s="9" t="str">
        <f t="shared" si="1"/>
        <v>4038</v>
      </c>
      <c r="T12" s="39">
        <f t="shared" si="2"/>
        <v>42596.608900462961</v>
      </c>
      <c r="U12" s="53" t="str">
        <f t="shared" si="3"/>
        <v>EC</v>
      </c>
      <c r="V12" s="53" t="str">
        <f t="shared" si="4"/>
        <v>KEEP</v>
      </c>
    </row>
    <row r="13" spans="1:22" s="1" customFormat="1" x14ac:dyDescent="0.25">
      <c r="A13" s="39">
        <v>42596.442719907405</v>
      </c>
      <c r="B13" s="34" t="s">
        <v>121</v>
      </c>
      <c r="C13" s="34" t="s">
        <v>389</v>
      </c>
      <c r="D13" s="34" t="s">
        <v>49</v>
      </c>
      <c r="E13" s="34" t="s">
        <v>56</v>
      </c>
      <c r="F13" s="50">
        <v>400</v>
      </c>
      <c r="G13" s="50">
        <v>745</v>
      </c>
      <c r="H13" s="50">
        <v>112995</v>
      </c>
      <c r="I13" s="34" t="s">
        <v>57</v>
      </c>
      <c r="J13" s="50">
        <v>116838</v>
      </c>
      <c r="K13" s="34" t="s">
        <v>52</v>
      </c>
      <c r="L13" s="97" t="str">
        <f>VLOOKUP(C13,'Trips&amp;Operators'!$C$1:$E$9999,3,0)</f>
        <v>STRICKLAND</v>
      </c>
      <c r="M13" s="141" t="s">
        <v>90</v>
      </c>
      <c r="N13" s="10"/>
      <c r="O13" s="34"/>
      <c r="P13" s="115" t="str">
        <f>VLOOKUP(C13,'Train Runs'!$A$13:$AE$190,31,0)</f>
        <v>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 &amp; 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</v>
      </c>
      <c r="Q13" s="119" t="str">
        <f>VLOOKUP(C13,'Train Runs'!$A$13:$AE$190,22,0)</f>
        <v>https://search-rtdc-monitor-bjffxe2xuh6vdkpspy63sjmuny.us-east-1.es.amazonaws.com/_plugin/kibana/#/discover/Steve-Slow-Train-Analysis-(2080s-and-2083s)?_g=(refreshInterval:(display:Off,section:0,value:0),time:(from:'2016-08-14 09:08:41-0600',mode:absolute,to:'2016-08-14 11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13" s="122" t="str">
        <f t="shared" si="0"/>
        <v>"C:\Program Files (x86)\AstroGrep\AstroGrep.exe" /spath="%USERPROFILE%\AppData\Local\Temp\OnboardLogs" /stypes="*4031*201608141*" /stext=" 16:.+((SYSTEM_STATE.+slice.+state.+changed )|(ment ac)|(system.+state.+changed )|(\|lc)|(penalty)|(\[timeout)|(PRM\|1\|D)|(kpr)|(kdp))" /e /r /s</v>
      </c>
      <c r="S13" s="9" t="str">
        <f t="shared" si="1"/>
        <v>4031</v>
      </c>
      <c r="T13" s="39">
        <f t="shared" si="2"/>
        <v>42596.692719907405</v>
      </c>
      <c r="U13" s="53" t="str">
        <f t="shared" si="3"/>
        <v>EC</v>
      </c>
      <c r="V13" s="53" t="str">
        <f t="shared" si="4"/>
        <v>KEEP</v>
      </c>
    </row>
    <row r="14" spans="1:22" s="1" customFormat="1" x14ac:dyDescent="0.25">
      <c r="A14" s="39">
        <v>42596.443773148145</v>
      </c>
      <c r="B14" s="34" t="s">
        <v>121</v>
      </c>
      <c r="C14" s="34" t="s">
        <v>389</v>
      </c>
      <c r="D14" s="34" t="s">
        <v>117</v>
      </c>
      <c r="E14" s="34" t="s">
        <v>56</v>
      </c>
      <c r="F14" s="50">
        <v>400</v>
      </c>
      <c r="G14" s="50">
        <v>452</v>
      </c>
      <c r="H14" s="50">
        <v>119489</v>
      </c>
      <c r="I14" s="34" t="s">
        <v>57</v>
      </c>
      <c r="J14" s="50">
        <v>116838</v>
      </c>
      <c r="K14" s="34" t="s">
        <v>52</v>
      </c>
      <c r="L14" s="97" t="str">
        <f>VLOOKUP(C14,'Trips&amp;Operators'!$C$1:$E$9999,3,0)</f>
        <v>STRICKLAND</v>
      </c>
      <c r="M14" s="141" t="s">
        <v>90</v>
      </c>
      <c r="N14" s="10"/>
      <c r="O14" s="34"/>
      <c r="P14" s="115" t="str">
        <f>VLOOKUP(C14,'Train Runs'!$A$13:$AE$190,31,0)</f>
        <v>aws s3 cp s3://rtdc.mdm.uploadarchive/RTDC4031/2016-08-14/ "%USERPROFILE%\AppData\Local\Temp\OnboardLogs"\RTDC4031\2016-08-14 --recursive &amp; "%USERPROFILE%\Documents\GitHub\mrs-test-scripts\Headless Mode &amp; Sideloading\WalkAndUnGZ.bat" "%USERPROFILE%\AppData\Local\Temp\OnboardLogs"\RTDC4031\2016-08-14 &amp; 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</v>
      </c>
      <c r="Q14" s="119" t="str">
        <f>VLOOKUP(C14,'Train Runs'!$A$13:$AE$190,22,0)</f>
        <v>https://search-rtdc-monitor-bjffxe2xuh6vdkpspy63sjmuny.us-east-1.es.amazonaws.com/_plugin/kibana/#/discover/Steve-Slow-Train-Analysis-(2080s-and-2083s)?_g=(refreshInterval:(display:Off,section:0,value:0),time:(from:'2016-08-14 09:08:41-0600',mode:absolute,to:'2016-08-14 11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14" s="122" t="str">
        <f t="shared" si="0"/>
        <v>"C:\Program Files (x86)\AstroGrep\AstroGrep.exe" /spath="%USERPROFILE%\AppData\Local\Temp\OnboardLogs" /stypes="*4031*201608141*" /stext=" 16:.+((SYSTEM_STATE.+slice.+state.+changed )|(ment ac)|(system.+state.+changed )|(\|lc)|(penalty)|(\[timeout)|(PRM\|1\|D)|(kpr)|(kdp))" /e /r /s</v>
      </c>
      <c r="S14" s="9" t="str">
        <f t="shared" si="1"/>
        <v>4031</v>
      </c>
      <c r="T14" s="39">
        <f t="shared" si="2"/>
        <v>42596.693773148145</v>
      </c>
      <c r="U14" s="53" t="str">
        <f t="shared" si="3"/>
        <v>EC</v>
      </c>
      <c r="V14" s="53" t="str">
        <f t="shared" si="4"/>
        <v>KEEP</v>
      </c>
    </row>
    <row r="15" spans="1:22" s="1" customFormat="1" x14ac:dyDescent="0.25">
      <c r="A15" s="39">
        <v>42596.482511574075</v>
      </c>
      <c r="B15" s="34" t="s">
        <v>122</v>
      </c>
      <c r="C15" s="34" t="s">
        <v>391</v>
      </c>
      <c r="D15" s="34" t="s">
        <v>49</v>
      </c>
      <c r="E15" s="34" t="s">
        <v>56</v>
      </c>
      <c r="F15" s="50">
        <v>400</v>
      </c>
      <c r="G15" s="50">
        <v>572</v>
      </c>
      <c r="H15" s="50">
        <v>122652</v>
      </c>
      <c r="I15" s="34" t="s">
        <v>57</v>
      </c>
      <c r="J15" s="50">
        <v>119716</v>
      </c>
      <c r="K15" s="34" t="s">
        <v>53</v>
      </c>
      <c r="L15" s="97" t="str">
        <f>VLOOKUP(C15,'Trips&amp;Operators'!$C$1:$E$9999,3,0)</f>
        <v>STRICKLAND</v>
      </c>
      <c r="M15" s="141" t="s">
        <v>90</v>
      </c>
      <c r="N15" s="10"/>
      <c r="O15" s="34"/>
      <c r="P15" s="115" t="str">
        <f>VLOOKUP(C15,'Train Runs'!$A$13:$AE$190,31,0)</f>
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</c>
      <c r="Q15" s="119" t="str">
        <f>VLOOKUP(C15,'Train Runs'!$A$13:$AE$190,22,0)</f>
        <v>https://search-rtdc-monitor-bjffxe2xuh6vdkpspy63sjmuny.us-east-1.es.amazonaws.com/_plugin/kibana/#/discover/Steve-Slow-Train-Analysis-(2080s-and-2083s)?_g=(refreshInterval:(display:Off,section:0,value:0),time:(from:'2016-08-14 10:05:53-0600',mode:absolute,to:'2016-08-14 12:59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15" s="122" t="str">
        <f t="shared" si="0"/>
        <v>"C:\Program Files (x86)\AstroGrep\AstroGrep.exe" /spath="%USERPROFILE%\AppData\Local\Temp\OnboardLogs" /stypes="*4032*201608141*" /stext=" 17:.+((SYSTEM_STATE.+slice.+state.+changed )|(ment ac)|(system.+state.+changed )|(\|lc)|(penalty)|(\[timeout)|(PRM\|1\|D)|(kpr)|(kdp))" /e /r /s</v>
      </c>
      <c r="S15" s="9" t="str">
        <f t="shared" si="1"/>
        <v>4032</v>
      </c>
      <c r="T15" s="39">
        <f t="shared" si="2"/>
        <v>42596.732511574075</v>
      </c>
      <c r="U15" s="53" t="str">
        <f t="shared" si="3"/>
        <v>EC</v>
      </c>
      <c r="V15" s="53" t="str">
        <f t="shared" si="4"/>
        <v>KEEP</v>
      </c>
    </row>
    <row r="16" spans="1:22" s="1" customFormat="1" x14ac:dyDescent="0.25">
      <c r="A16" s="39">
        <v>42596.58556712963</v>
      </c>
      <c r="B16" s="34" t="s">
        <v>97</v>
      </c>
      <c r="C16" s="34" t="s">
        <v>430</v>
      </c>
      <c r="D16" s="34" t="s">
        <v>49</v>
      </c>
      <c r="E16" s="34" t="s">
        <v>56</v>
      </c>
      <c r="F16" s="50">
        <v>600</v>
      </c>
      <c r="G16" s="50">
        <v>660</v>
      </c>
      <c r="H16" s="50">
        <v>183198</v>
      </c>
      <c r="I16" s="34" t="s">
        <v>57</v>
      </c>
      <c r="J16" s="50">
        <v>183829</v>
      </c>
      <c r="K16" s="34" t="s">
        <v>52</v>
      </c>
      <c r="L16" s="97" t="str">
        <f>VLOOKUP(C16,'Trips&amp;Operators'!$C$1:$E$9999,3,0)</f>
        <v>MOSES</v>
      </c>
      <c r="M16" s="141" t="s">
        <v>90</v>
      </c>
      <c r="N16" s="10"/>
      <c r="O16" s="34"/>
      <c r="P16" s="115" t="str">
        <f>VLOOKUP(C16,'Train Runs'!$A$13:$AE$190,31,0)</f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Q16" s="119" t="str">
        <f>VLOOKUP(C16,'Train Runs'!$A$13:$AE$190,22,0)</f>
        <v>https://search-rtdc-monitor-bjffxe2xuh6vdkpspy63sjmuny.us-east-1.es.amazonaws.com/_plugin/kibana/#/discover/Steve-Slow-Train-Analysis-(2080s-and-2083s)?_g=(refreshInterval:(display:Off,section:0,value:0),time:(from:'2016-08-14 12:27:23-0600',mode:absolute,to:'2016-08-14 15:10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16" s="122" t="str">
        <f t="shared" si="0"/>
        <v>"C:\Program Files (x86)\AstroGrep\AstroGrep.exe" /spath="%USERPROFILE%\AppData\Local\Temp\OnboardLogs" /stypes="*4027*201608142*" /stext=" 20:.+((SYSTEM_STATE.+slice.+state.+changed )|(ment ac)|(system.+state.+changed )|(\|lc)|(penalty)|(\[timeout)|(PRM\|1\|D)|(kpr)|(kdp))" /e /r /s</v>
      </c>
      <c r="S16" s="9" t="str">
        <f t="shared" si="1"/>
        <v>4027</v>
      </c>
      <c r="T16" s="39">
        <f t="shared" si="2"/>
        <v>42596.83556712963</v>
      </c>
      <c r="U16" s="53" t="str">
        <f t="shared" si="3"/>
        <v>EC</v>
      </c>
      <c r="V16" s="53" t="str">
        <f t="shared" si="4"/>
        <v>KEEP</v>
      </c>
    </row>
    <row r="17" spans="1:24" s="1" customFormat="1" x14ac:dyDescent="0.25">
      <c r="A17" s="39">
        <v>42596.4766087963</v>
      </c>
      <c r="B17" s="34" t="s">
        <v>122</v>
      </c>
      <c r="C17" s="34" t="s">
        <v>391</v>
      </c>
      <c r="D17" s="34" t="s">
        <v>117</v>
      </c>
      <c r="E17" s="34" t="s">
        <v>56</v>
      </c>
      <c r="F17" s="50">
        <v>700</v>
      </c>
      <c r="G17" s="50">
        <v>751</v>
      </c>
      <c r="H17" s="50">
        <v>180253</v>
      </c>
      <c r="I17" s="34" t="s">
        <v>57</v>
      </c>
      <c r="J17" s="50">
        <v>183829</v>
      </c>
      <c r="K17" s="34" t="s">
        <v>53</v>
      </c>
      <c r="L17" s="97" t="str">
        <f>VLOOKUP(C17,'Trips&amp;Operators'!$C$1:$E$9999,3,0)</f>
        <v>STRICKLAND</v>
      </c>
      <c r="M17" s="141" t="s">
        <v>90</v>
      </c>
      <c r="N17" s="10"/>
      <c r="O17" s="34"/>
      <c r="P17" s="115" t="str">
        <f>VLOOKUP(C17,'Train Runs'!$A$13:$AE$190,31,0)</f>
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</c>
      <c r="Q17" s="119" t="str">
        <f>VLOOKUP(C17,'Train Runs'!$A$13:$AE$190,22,0)</f>
        <v>https://search-rtdc-monitor-bjffxe2xuh6vdkpspy63sjmuny.us-east-1.es.amazonaws.com/_plugin/kibana/#/discover/Steve-Slow-Train-Analysis-(2080s-and-2083s)?_g=(refreshInterval:(display:Off,section:0,value:0),time:(from:'2016-08-14 10:05:53-0600',mode:absolute,to:'2016-08-14 12:59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17" s="122" t="str">
        <f t="shared" si="0"/>
        <v>"C:\Program Files (x86)\AstroGrep\AstroGrep.exe" /spath="%USERPROFILE%\AppData\Local\Temp\OnboardLogs" /stypes="*4032*201608141*" /stext=" 17:.+((SYSTEM_STATE.+slice.+state.+changed )|(ment ac)|(system.+state.+changed )|(\|lc)|(penalty)|(\[timeout)|(PRM\|1\|D)|(kpr)|(kdp))" /e /r /s</v>
      </c>
      <c r="S17" s="9" t="str">
        <f t="shared" si="1"/>
        <v>4032</v>
      </c>
      <c r="T17" s="39">
        <f t="shared" si="2"/>
        <v>42596.7266087963</v>
      </c>
      <c r="U17" s="53" t="str">
        <f t="shared" si="3"/>
        <v>EC</v>
      </c>
      <c r="V17" s="53" t="str">
        <f t="shared" si="4"/>
        <v>KEEP</v>
      </c>
    </row>
    <row r="18" spans="1:24" s="1" customFormat="1" x14ac:dyDescent="0.25">
      <c r="A18" s="39">
        <v>42596.378217592595</v>
      </c>
      <c r="B18" s="34" t="s">
        <v>189</v>
      </c>
      <c r="C18" s="34" t="s">
        <v>367</v>
      </c>
      <c r="D18" s="34" t="s">
        <v>117</v>
      </c>
      <c r="E18" s="34" t="s">
        <v>56</v>
      </c>
      <c r="F18" s="50">
        <v>600</v>
      </c>
      <c r="G18" s="50">
        <v>653</v>
      </c>
      <c r="H18" s="50">
        <v>184545</v>
      </c>
      <c r="I18" s="34" t="s">
        <v>57</v>
      </c>
      <c r="J18" s="50">
        <v>190834</v>
      </c>
      <c r="K18" s="34" t="s">
        <v>53</v>
      </c>
      <c r="L18" s="97" t="str">
        <f>VLOOKUP(C18,'Trips&amp;Operators'!$C$1:$E$9999,3,0)</f>
        <v>DAVIS</v>
      </c>
      <c r="M18" s="141" t="s">
        <v>90</v>
      </c>
      <c r="N18" s="10"/>
      <c r="O18" s="34"/>
      <c r="P18" s="115" t="str">
        <f>VLOOKUP(C18,'Train Runs'!$A$13:$AE$190,31,0)</f>
        <v>aws s3 cp s3://rtdc.mdm.uploadarchive/RTDC4028/2016-08-14/ "%USERPROFILE%\AppData\Local\Temp\OnboardLogs"\RTDC4028\2016-08-14 --recursive &amp; "%USERPROFILE%\Documents\GitHub\mrs-test-scripts\Headless Mode &amp; Sideloading\WalkAndUnGZ.bat" "%USERPROFILE%\AppData\Local\Temp\OnboardLogs"\RTDC4028\2016-08-14 &amp; 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</v>
      </c>
      <c r="Q18" s="119" t="str">
        <f>VLOOKUP(C18,'Train Runs'!$A$13:$AE$190,22,0)</f>
        <v>https://search-rtdc-monitor-bjffxe2xuh6vdkpspy63sjmuny.us-east-1.es.amazonaws.com/_plugin/kibana/#/discover/Steve-Slow-Train-Analysis-(2080s-and-2083s)?_g=(refreshInterval:(display:Off,section:0,value:0),time:(from:'2016-08-14 07:49:53-0600',mode:absolute,to:'2016-08-14 10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18" s="122" t="str">
        <f t="shared" si="0"/>
        <v>"C:\Program Files (x86)\AstroGrep\AstroGrep.exe" /spath="%USERPROFILE%\AppData\Local\Temp\OnboardLogs" /stypes="*4028*201608141*" /stext=" 15:.+((SYSTEM_STATE.+slice.+state.+changed )|(ment ac)|(system.+state.+changed )|(\|lc)|(penalty)|(\[timeout)|(PRM\|1\|D)|(kpr)|(kdp))" /e /r /s</v>
      </c>
      <c r="S18" s="9" t="str">
        <f t="shared" si="1"/>
        <v>4028</v>
      </c>
      <c r="T18" s="39">
        <f t="shared" si="2"/>
        <v>42596.628217592595</v>
      </c>
      <c r="U18" s="53" t="str">
        <f t="shared" si="3"/>
        <v>EC</v>
      </c>
      <c r="V18" s="53" t="str">
        <f t="shared" si="4"/>
        <v>KEEP</v>
      </c>
    </row>
    <row r="19" spans="1:24" s="1" customFormat="1" x14ac:dyDescent="0.25">
      <c r="A19" s="39">
        <v>42596.939849537041</v>
      </c>
      <c r="B19" s="34" t="s">
        <v>96</v>
      </c>
      <c r="C19" s="34" t="s">
        <v>611</v>
      </c>
      <c r="D19" s="34" t="s">
        <v>117</v>
      </c>
      <c r="E19" s="34" t="s">
        <v>56</v>
      </c>
      <c r="F19" s="50">
        <v>600</v>
      </c>
      <c r="G19" s="50">
        <v>658</v>
      </c>
      <c r="H19" s="50">
        <v>183920</v>
      </c>
      <c r="I19" s="34" t="s">
        <v>57</v>
      </c>
      <c r="J19" s="50">
        <v>190834</v>
      </c>
      <c r="K19" s="34" t="s">
        <v>53</v>
      </c>
      <c r="L19" s="97" t="str">
        <f>VLOOKUP(C19,'Trips&amp;Operators'!$C$1:$E$9999,3,0)</f>
        <v>COOLAHAN</v>
      </c>
      <c r="M19" s="141" t="s">
        <v>90</v>
      </c>
      <c r="N19" s="10"/>
      <c r="O19" s="34"/>
      <c r="P19" s="115" t="str">
        <f>VLOOKUP(C19,'Train Runs'!$A$13:$AE$190,31,0)</f>
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</c>
      <c r="Q19" s="119" t="str">
        <f>VLOOKUP(C19,'Train Runs'!$A$13:$AE$190,22,0)</f>
        <v>https://search-rtdc-monitor-bjffxe2xuh6vdkpspy63sjmuny.us-east-1.es.amazonaws.com/_plugin/kibana/#/discover/Steve-Slow-Train-Analysis-(2080s-and-2083s)?_g=(refreshInterval:(display:Off,section:0,value:0),time:(from:'2016-08-14 21:16:07-0600',mode:absolute,to:'2016-08-15 00:05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19" s="122" t="str">
        <f t="shared" si="0"/>
        <v>"C:\Program Files (x86)\AstroGrep\AstroGrep.exe" /spath="%USERPROFILE%\AppData\Local\Temp\OnboardLogs" /stypes="*4030*201608150*" /stext=" 04:.+((SYSTEM_STATE.+slice.+state.+changed )|(ment ac)|(system.+state.+changed )|(\|lc)|(penalty)|(\[timeout)|(PRM\|1\|D)|(kpr)|(kdp))" /e /r /s</v>
      </c>
      <c r="S19" s="9" t="str">
        <f t="shared" si="1"/>
        <v>4030</v>
      </c>
      <c r="T19" s="39">
        <f t="shared" si="2"/>
        <v>42597.189849537041</v>
      </c>
      <c r="U19" s="53" t="str">
        <f t="shared" si="3"/>
        <v>EC</v>
      </c>
      <c r="V19" s="53" t="str">
        <f t="shared" si="4"/>
        <v>KEEP</v>
      </c>
    </row>
    <row r="20" spans="1:24" s="1" customFormat="1" x14ac:dyDescent="0.25">
      <c r="A20" s="39">
        <v>42596.468773148146</v>
      </c>
      <c r="B20" s="34" t="s">
        <v>122</v>
      </c>
      <c r="C20" s="34" t="s">
        <v>391</v>
      </c>
      <c r="D20" s="34" t="s">
        <v>49</v>
      </c>
      <c r="E20" s="34" t="s">
        <v>56</v>
      </c>
      <c r="F20" s="50">
        <v>150</v>
      </c>
      <c r="G20" s="50">
        <v>201</v>
      </c>
      <c r="H20" s="50">
        <v>229354</v>
      </c>
      <c r="I20" s="34" t="s">
        <v>57</v>
      </c>
      <c r="J20" s="50">
        <v>229055</v>
      </c>
      <c r="K20" s="34" t="s">
        <v>53</v>
      </c>
      <c r="L20" s="97" t="str">
        <f>VLOOKUP(C20,'Trips&amp;Operators'!$C$1:$E$9999,3,0)</f>
        <v>STRICKLAND</v>
      </c>
      <c r="M20" s="141" t="s">
        <v>90</v>
      </c>
      <c r="N20" s="10"/>
      <c r="O20" s="34"/>
      <c r="P20" s="115" t="str">
        <f>VLOOKUP(C20,'Train Runs'!$A$13:$AE$190,31,0)</f>
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</c>
      <c r="Q20" s="119" t="str">
        <f>VLOOKUP(C20,'Train Runs'!$A$13:$AE$190,22,0)</f>
        <v>https://search-rtdc-monitor-bjffxe2xuh6vdkpspy63sjmuny.us-east-1.es.amazonaws.com/_plugin/kibana/#/discover/Steve-Slow-Train-Analysis-(2080s-and-2083s)?_g=(refreshInterval:(display:Off,section:0,value:0),time:(from:'2016-08-14 10:05:53-0600',mode:absolute,to:'2016-08-14 12:59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20" s="122" t="str">
        <f t="shared" si="0"/>
        <v>"C:\Program Files (x86)\AstroGrep\AstroGrep.exe" /spath="%USERPROFILE%\AppData\Local\Temp\OnboardLogs" /stypes="*4032*201608141*" /stext=" 17:.+((SYSTEM_STATE.+slice.+state.+changed )|(ment ac)|(system.+state.+changed )|(\|lc)|(penalty)|(\[timeout)|(PRM\|1\|D)|(kpr)|(kdp))" /e /r /s</v>
      </c>
      <c r="S20" s="9" t="str">
        <f t="shared" si="1"/>
        <v>4032</v>
      </c>
      <c r="T20" s="39">
        <f t="shared" si="2"/>
        <v>42596.718773148146</v>
      </c>
      <c r="U20" s="53" t="str">
        <f t="shared" si="3"/>
        <v>EC</v>
      </c>
      <c r="V20" s="53" t="str">
        <f t="shared" si="4"/>
        <v>KEEP</v>
      </c>
    </row>
    <row r="21" spans="1:24" s="1" customFormat="1" x14ac:dyDescent="0.25">
      <c r="A21" s="39">
        <v>42596.998414351852</v>
      </c>
      <c r="B21" s="34" t="s">
        <v>173</v>
      </c>
      <c r="C21" s="34" t="s">
        <v>622</v>
      </c>
      <c r="D21" s="34" t="s">
        <v>49</v>
      </c>
      <c r="E21" s="34" t="s">
        <v>56</v>
      </c>
      <c r="F21" s="50">
        <v>150</v>
      </c>
      <c r="G21" s="50">
        <v>203</v>
      </c>
      <c r="H21" s="50">
        <v>229266</v>
      </c>
      <c r="I21" s="34" t="s">
        <v>57</v>
      </c>
      <c r="J21" s="50">
        <v>229055</v>
      </c>
      <c r="K21" s="34" t="s">
        <v>53</v>
      </c>
      <c r="L21" s="97" t="str">
        <f>VLOOKUP(C21,'Trips&amp;Operators'!$C$1:$E$9999,3,0)</f>
        <v>STORY</v>
      </c>
      <c r="M21" s="141" t="s">
        <v>90</v>
      </c>
      <c r="N21" s="10"/>
      <c r="O21" s="34"/>
      <c r="P21" s="115" t="str">
        <f>VLOOKUP(C21,'Train Runs'!$A$13:$AE$190,31,0)</f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Q21" s="119" t="str">
        <f>VLOOKUP(C21,'Train Runs'!$A$13:$AE$190,22,0)</f>
        <v>https://search-rtdc-monitor-bjffxe2xuh6vdkpspy63sjmuny.us-east-1.es.amazonaws.com/_plugin/kibana/#/discover/Steve-Slow-Train-Analysis-(2080s-and-2083s)?_g=(refreshInterval:(display:Off,section:0,value:0),time:(from:'2016-08-14 22:44:37-0600',mode:absolute,to:'2016-08-15 01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21" s="122" t="str">
        <f t="shared" si="0"/>
        <v>"C:\Program Files (x86)\AstroGrep\AstroGrep.exe" /spath="%USERPROFILE%\AppData\Local\Temp\OnboardLogs" /stypes="*4037*201608150*" /stext=" 05:.+((SYSTEM_STATE.+slice.+state.+changed )|(ment ac)|(system.+state.+changed )|(\|lc)|(penalty)|(\[timeout)|(PRM\|1\|D)|(kpr)|(kdp))" /e /r /s</v>
      </c>
      <c r="S21" s="9" t="str">
        <f t="shared" si="1"/>
        <v>4037</v>
      </c>
      <c r="T21" s="39">
        <f t="shared" si="2"/>
        <v>42597.248414351852</v>
      </c>
      <c r="U21" s="53" t="str">
        <f t="shared" si="3"/>
        <v>EC</v>
      </c>
      <c r="V21" s="53" t="str">
        <f t="shared" si="4"/>
        <v>KEEP</v>
      </c>
    </row>
    <row r="22" spans="1:24" s="1" customFormat="1" x14ac:dyDescent="0.25">
      <c r="A22" s="39">
        <v>42596.608888888892</v>
      </c>
      <c r="B22" s="34" t="s">
        <v>119</v>
      </c>
      <c r="C22" s="34" t="s">
        <v>509</v>
      </c>
      <c r="D22" s="34" t="s">
        <v>49</v>
      </c>
      <c r="E22" s="34" t="s">
        <v>56</v>
      </c>
      <c r="F22" s="50">
        <v>150</v>
      </c>
      <c r="G22" s="50">
        <v>294</v>
      </c>
      <c r="H22" s="50">
        <v>229487</v>
      </c>
      <c r="I22" s="34" t="s">
        <v>57</v>
      </c>
      <c r="J22" s="50">
        <v>230436</v>
      </c>
      <c r="K22" s="34" t="s">
        <v>52</v>
      </c>
      <c r="L22" s="97" t="str">
        <f>VLOOKUP(C22,'Trips&amp;Operators'!$C$1:$E$9999,3,0)</f>
        <v>MAYBERRY</v>
      </c>
      <c r="M22" s="141" t="s">
        <v>90</v>
      </c>
      <c r="N22" s="10"/>
      <c r="O22" s="34"/>
      <c r="P22" s="115" t="str">
        <f>VLOOKUP(C22,'Train Runs'!$A$13:$AE$190,31,0)</f>
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</c>
      <c r="Q22" s="119" t="str">
        <f>VLOOKUP(C22,'Train Runs'!$A$13:$AE$190,22,0)</f>
        <v>https://search-rtdc-monitor-bjffxe2xuh6vdkpspy63sjmuny.us-east-1.es.amazonaws.com/_plugin/kibana/#/discover/Steve-Slow-Train-Analysis-(2080s-and-2083s)?_g=(refreshInterval:(display:Off,section:0,value:0),time:(from:'2016-08-14 12:55:57-0600',mode:absolute,to:'2016-08-14 15:38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22" s="122" t="str">
        <f t="shared" si="0"/>
        <v>"C:\Program Files (x86)\AstroGrep\AstroGrep.exe" /spath="%USERPROFILE%\AppData\Local\Temp\OnboardLogs" /stypes="*4014*201608142*" /stext=" 20:.+((SYSTEM_STATE.+slice.+state.+changed )|(ment ac)|(system.+state.+changed )|(\|lc)|(penalty)|(\[timeout)|(PRM\|1\|D)|(kpr)|(kdp))" /e /r /s</v>
      </c>
      <c r="S22" s="9" t="str">
        <f t="shared" si="1"/>
        <v>4014</v>
      </c>
      <c r="T22" s="39">
        <f t="shared" si="2"/>
        <v>42596.858888888892</v>
      </c>
      <c r="U22" s="53" t="str">
        <f t="shared" si="3"/>
        <v>EC</v>
      </c>
      <c r="V22" s="53" t="str">
        <f t="shared" si="4"/>
        <v>KEEP</v>
      </c>
    </row>
    <row r="23" spans="1:24" x14ac:dyDescent="0.25">
      <c r="A23" s="39">
        <v>42596.938831018517</v>
      </c>
      <c r="B23" s="34" t="s">
        <v>648</v>
      </c>
      <c r="C23" s="34" t="s">
        <v>615</v>
      </c>
      <c r="D23" s="34" t="s">
        <v>117</v>
      </c>
      <c r="E23" s="34" t="s">
        <v>54</v>
      </c>
      <c r="F23" s="50">
        <v>0</v>
      </c>
      <c r="G23" s="50">
        <v>102</v>
      </c>
      <c r="H23" s="50">
        <v>1815</v>
      </c>
      <c r="I23" s="34" t="s">
        <v>55</v>
      </c>
      <c r="J23" s="50">
        <v>1692</v>
      </c>
      <c r="K23" s="34" t="s">
        <v>52</v>
      </c>
      <c r="L23" s="97" t="str">
        <f>VLOOKUP(C23,'Trips&amp;Operators'!$C$1:$E$9999,3,0)</f>
        <v>STAMBAUGH</v>
      </c>
      <c r="M23" s="141" t="s">
        <v>90</v>
      </c>
      <c r="N23" s="10" t="s">
        <v>671</v>
      </c>
      <c r="O23" s="34"/>
      <c r="P23" s="115" t="str">
        <f>VLOOKUP(C23,'Train Runs'!$A$13:$AE$190,31,0)</f>
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</c>
      <c r="Q23" s="119" t="str">
        <f>VLOOKUP(C23,'Train Runs'!$A$13:$AE$190,22,0)</f>
        <v>https://search-rtdc-monitor-bjffxe2xuh6vdkpspy63sjmuny.us-east-1.es.amazonaws.com/_plugin/kibana/#/discover/Steve-Slow-Train-Analysis-(2080s-and-2083s)?_g=(refreshInterval:(display:Off,section:0,value:0),time:(from:'2016-08-14 21:25:52-0600',mode:absolute,to:'2016-08-14 23:33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23" s="122" t="str">
        <f t="shared" si="0"/>
        <v>"C:\Program Files (x86)\AstroGrep\AstroGrep.exe" /spath="%USERPROFILE%\AppData\Local\Temp\OnboardLogs" /stypes="*4025*201608150*" /stext=" 04:.+((SYSTEM_STATE.+slice.+state.+changed )|(ment ac)|(system.+state.+changed )|(\|lc)|(penalty)|(\[timeout)|(PRM\|1\|D)|(kpr)|(kdp))" /e /r /s</v>
      </c>
      <c r="S23" s="9" t="str">
        <f t="shared" si="1"/>
        <v>4025</v>
      </c>
      <c r="T23" s="39">
        <f t="shared" si="2"/>
        <v>42597.188831018517</v>
      </c>
      <c r="U23" s="53" t="str">
        <f t="shared" si="3"/>
        <v>EC</v>
      </c>
      <c r="V23" s="53" t="str">
        <f t="shared" si="4"/>
        <v>KEEP</v>
      </c>
    </row>
    <row r="24" spans="1:24" s="1" customFormat="1" x14ac:dyDescent="0.25">
      <c r="A24" s="39">
        <v>42596.773935185185</v>
      </c>
      <c r="B24" s="34" t="s">
        <v>173</v>
      </c>
      <c r="C24" s="34" t="s">
        <v>569</v>
      </c>
      <c r="D24" s="34" t="s">
        <v>117</v>
      </c>
      <c r="E24" s="34" t="s">
        <v>54</v>
      </c>
      <c r="F24" s="50">
        <v>200</v>
      </c>
      <c r="G24" s="50">
        <v>265</v>
      </c>
      <c r="H24" s="50">
        <v>71488</v>
      </c>
      <c r="I24" s="34" t="s">
        <v>55</v>
      </c>
      <c r="J24" s="50">
        <v>75579</v>
      </c>
      <c r="K24" s="34" t="s">
        <v>53</v>
      </c>
      <c r="L24" s="97" t="str">
        <f>VLOOKUP(C24,'Trips&amp;Operators'!$C$1:$E$9999,3,0)</f>
        <v>STORY</v>
      </c>
      <c r="M24" s="141" t="s">
        <v>90</v>
      </c>
      <c r="N24" s="10" t="s">
        <v>672</v>
      </c>
      <c r="O24" s="34"/>
      <c r="P24" s="115" t="str">
        <f>VLOOKUP(C24,'Train Runs'!$A$13:$AE$190,31,0)</f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Q24" s="119" t="str">
        <f>VLOOKUP(C24,'Train Runs'!$A$13:$AE$190,22,0)</f>
        <v>https://search-rtdc-monitor-bjffxe2xuh6vdkpspy63sjmuny.us-east-1.es.amazonaws.com/_plugin/kibana/#/discover/Steve-Slow-Train-Analysis-(2080s-and-2083s)?_g=(refreshInterval:(display:Off,section:0,value:0),time:(from:'2016-08-14 17:00:03-0600',mode:absolute,to:'2016-08-14 19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24" s="122" t="str">
        <f t="shared" si="0"/>
        <v>"C:\Program Files (x86)\AstroGrep\AstroGrep.exe" /spath="%USERPROFILE%\AppData\Local\Temp\OnboardLogs" /stypes="*4037*201608150*" /stext=" 00:.+((SYSTEM_STATE.+slice.+state.+changed )|(ment ac)|(system.+state.+changed )|(\|lc)|(penalty)|(\[timeout)|(PRM\|1\|D)|(kpr)|(kdp))" /e /r /s</v>
      </c>
      <c r="S24" s="9" t="str">
        <f t="shared" si="1"/>
        <v>4037</v>
      </c>
      <c r="T24" s="39">
        <f t="shared" si="2"/>
        <v>42597.023935185185</v>
      </c>
      <c r="U24" s="53" t="str">
        <f t="shared" si="3"/>
        <v>EC</v>
      </c>
      <c r="V24" s="53" t="str">
        <f t="shared" si="4"/>
        <v>KEEP</v>
      </c>
    </row>
    <row r="25" spans="1:24" x14ac:dyDescent="0.25">
      <c r="A25" s="39">
        <v>42597.037245370368</v>
      </c>
      <c r="B25" s="34" t="s">
        <v>648</v>
      </c>
      <c r="C25" s="34" t="s">
        <v>630</v>
      </c>
      <c r="D25" s="34" t="s">
        <v>117</v>
      </c>
      <c r="E25" s="34" t="s">
        <v>54</v>
      </c>
      <c r="F25" s="50">
        <v>0</v>
      </c>
      <c r="G25" s="50">
        <v>469</v>
      </c>
      <c r="H25" s="50">
        <v>126593</v>
      </c>
      <c r="I25" s="34" t="s">
        <v>55</v>
      </c>
      <c r="J25" s="50">
        <v>126585</v>
      </c>
      <c r="K25" s="34" t="s">
        <v>52</v>
      </c>
      <c r="L25" s="97" t="str">
        <f>VLOOKUP(C25,'Trips&amp;Operators'!$C$1:$E$9999,3,0)</f>
        <v>STAMBAUGH</v>
      </c>
      <c r="M25" s="141" t="s">
        <v>89</v>
      </c>
      <c r="N25" s="10" t="s">
        <v>666</v>
      </c>
      <c r="O25" s="34"/>
      <c r="P25" s="115" t="str">
        <f>VLOOKUP(C25,'Train Runs'!$A$13:$AE$190,31,0)</f>
        <v>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 &amp; aws s3 cp s3://rtdc.mdm.uploadarchive/RTDC4025/2016-08-16/ "%USERPROFILE%\AppData\Local\Temp\OnboardLogs"\RTDC4025\2016-08-16 --recursive &amp; "%USERPROFILE%\Documents\GitHub\mrs-test-scripts\Headless Mode &amp; Sideloading\WalkAndUnGZ.bat" "%USERPROFILE%\AppData\Local\Temp\OnboardLogs"\RTDC4025\2016-08-16</v>
      </c>
      <c r="Q25" s="119" t="str">
        <f>VLOOKUP(C25,'Train Runs'!$A$13:$AE$190,22,0)</f>
        <v>https://search-rtdc-monitor-bjffxe2xuh6vdkpspy63sjmuny.us-east-1.es.amazonaws.com/_plugin/kibana/#/discover/Steve-Slow-Train-Analysis-(2080s-and-2083s)?_g=(refreshInterval:(display:Off,section:0,value:0),time:(from:'2016-08-14 23:24:13-0600',mode:absolute,to:'2016-08-15 01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25" s="122" t="str">
        <f t="shared" si="0"/>
        <v>"C:\Program Files (x86)\AstroGrep\AstroGrep.exe" /spath="%USERPROFILE%\AppData\Local\Temp\OnboardLogs" /stypes="*4025*201608150*" /stext=" 06:.+((SYSTEM_STATE.+slice.+state.+changed )|(ment ac)|(system.+state.+changed )|(\|lc)|(penalty)|(\[timeout)|(PRM\|1\|D)|(kpr)|(kdp))" /e /r /s</v>
      </c>
      <c r="S25" s="9" t="str">
        <f t="shared" si="1"/>
        <v>4025</v>
      </c>
      <c r="T25" s="39">
        <f t="shared" si="2"/>
        <v>42597.287245370368</v>
      </c>
      <c r="U25" s="53" t="str">
        <f t="shared" si="3"/>
        <v>EC</v>
      </c>
      <c r="V25" s="53" t="str">
        <f t="shared" si="4"/>
        <v>KEEP</v>
      </c>
    </row>
    <row r="26" spans="1:24" x14ac:dyDescent="0.25">
      <c r="A26" s="39">
        <v>42596.487337962964</v>
      </c>
      <c r="B26" s="34" t="s">
        <v>94</v>
      </c>
      <c r="C26" s="34" t="s">
        <v>394</v>
      </c>
      <c r="D26" s="34" t="s">
        <v>49</v>
      </c>
      <c r="E26" s="34" t="s">
        <v>54</v>
      </c>
      <c r="F26" s="50">
        <v>0</v>
      </c>
      <c r="G26" s="50">
        <v>664</v>
      </c>
      <c r="H26" s="50">
        <v>132682</v>
      </c>
      <c r="I26" s="34" t="s">
        <v>55</v>
      </c>
      <c r="J26" s="50">
        <v>127587</v>
      </c>
      <c r="K26" s="34" t="s">
        <v>53</v>
      </c>
      <c r="L26" s="97" t="str">
        <f>VLOOKUP(C26,'Trips&amp;Operators'!$C$1:$E$9999,3,0)</f>
        <v>MAYBERRY</v>
      </c>
      <c r="M26" s="141" t="s">
        <v>90</v>
      </c>
      <c r="N26" s="10" t="s">
        <v>673</v>
      </c>
      <c r="O26" s="34"/>
      <c r="P26" s="115" t="str">
        <f>VLOOKUP(C26,'Train Runs'!$A$13:$AE$190,31,0)</f>
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</c>
      <c r="Q26" s="119" t="str">
        <f>VLOOKUP(C26,'Train Runs'!$A$13:$AE$190,22,0)</f>
        <v>https://search-rtdc-monitor-bjffxe2xuh6vdkpspy63sjmuny.us-east-1.es.amazonaws.com/_plugin/kibana/#/discover/Steve-Slow-Train-Analysis-(2080s-and-2083s)?_g=(refreshInterval:(display:Off,section:0,value:0),time:(from:'2016-08-14 10:23:13-0600',mode:absolute,to:'2016-08-14 13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26" s="122" t="str">
        <f t="shared" si="0"/>
        <v>"C:\Program Files (x86)\AstroGrep\AstroGrep.exe" /spath="%USERPROFILE%\AppData\Local\Temp\OnboardLogs" /stypes="*4013*201608141*" /stext=" 17:.+((SYSTEM_STATE.+slice.+state.+changed )|(ment ac)|(system.+state.+changed )|(\|lc)|(penalty)|(\[timeout)|(PRM\|1\|D)|(kpr)|(kdp))" /e /r /s</v>
      </c>
      <c r="S26" s="9" t="str">
        <f t="shared" si="1"/>
        <v>4013</v>
      </c>
      <c r="T26" s="39">
        <f t="shared" si="2"/>
        <v>42596.737337962964</v>
      </c>
      <c r="U26" s="53" t="str">
        <f t="shared" si="3"/>
        <v>EC</v>
      </c>
      <c r="V26" s="53" t="str">
        <f t="shared" si="4"/>
        <v>KEEP</v>
      </c>
    </row>
    <row r="27" spans="1:24" x14ac:dyDescent="0.25">
      <c r="A27" s="39">
        <v>42596.657962962963</v>
      </c>
      <c r="B27" s="34" t="s">
        <v>97</v>
      </c>
      <c r="C27" s="34" t="s">
        <v>541</v>
      </c>
      <c r="D27" s="34" t="s">
        <v>49</v>
      </c>
      <c r="E27" s="34" t="s">
        <v>54</v>
      </c>
      <c r="F27" s="50">
        <v>0</v>
      </c>
      <c r="G27" s="50">
        <v>569</v>
      </c>
      <c r="H27" s="50">
        <v>158610</v>
      </c>
      <c r="I27" s="34" t="s">
        <v>55</v>
      </c>
      <c r="J27" s="50">
        <v>162254</v>
      </c>
      <c r="K27" s="34" t="s">
        <v>52</v>
      </c>
      <c r="L27" s="97" t="str">
        <f>VLOOKUP(C27,'Trips&amp;Operators'!$C$1:$E$9999,3,0)</f>
        <v>MOSES</v>
      </c>
      <c r="M27" s="141" t="s">
        <v>89</v>
      </c>
      <c r="N27" s="10" t="s">
        <v>678</v>
      </c>
      <c r="O27" s="34"/>
      <c r="P27" s="115" t="str">
        <f>VLOOKUP(C27,'Train Runs'!$A$13:$AE$190,31,0)</f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Q27" s="119" t="str">
        <f>VLOOKUP(C27,'Train Runs'!$A$13:$AE$190,22,0)</f>
        <v>https://search-rtdc-monitor-bjffxe2xuh6vdkpspy63sjmuny.us-east-1.es.amazonaws.com/_plugin/kibana/#/discover/Steve-Slow-Train-Analysis-(2080s-and-2083s)?_g=(refreshInterval:(display:Off,section:0,value:0),time:(from:'2016-08-14 14:11:30-0600',mode:absolute,to:'2016-08-14 16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27" s="122" t="str">
        <f t="shared" si="0"/>
        <v>"C:\Program Files (x86)\AstroGrep\AstroGrep.exe" /spath="%USERPROFILE%\AppData\Local\Temp\OnboardLogs" /stypes="*4027*201608142*" /stext=" 21:.+((SYSTEM_STATE.+slice.+state.+changed )|(ment ac)|(system.+state.+changed )|(\|lc)|(penalty)|(\[timeout)|(PRM\|1\|D)|(kpr)|(kdp))" /e /r /s</v>
      </c>
      <c r="S27" s="9" t="str">
        <f t="shared" si="1"/>
        <v>4027</v>
      </c>
      <c r="T27" s="39">
        <f t="shared" si="2"/>
        <v>42596.907962962963</v>
      </c>
      <c r="U27" s="53" t="str">
        <f t="shared" si="3"/>
        <v>EC</v>
      </c>
      <c r="V27" s="53" t="str">
        <f t="shared" si="4"/>
        <v>KEEP</v>
      </c>
      <c r="W27" s="24"/>
    </row>
    <row r="28" spans="1:24" x14ac:dyDescent="0.25">
      <c r="A28" s="39">
        <v>42596.660370370373</v>
      </c>
      <c r="B28" s="34" t="s">
        <v>97</v>
      </c>
      <c r="C28" s="34" t="s">
        <v>541</v>
      </c>
      <c r="D28" s="34" t="s">
        <v>49</v>
      </c>
      <c r="E28" s="34" t="s">
        <v>54</v>
      </c>
      <c r="F28" s="50">
        <v>0</v>
      </c>
      <c r="G28" s="50">
        <v>115</v>
      </c>
      <c r="H28" s="50">
        <v>167582</v>
      </c>
      <c r="I28" s="34" t="s">
        <v>55</v>
      </c>
      <c r="J28" s="50">
        <v>168003</v>
      </c>
      <c r="K28" s="34" t="s">
        <v>52</v>
      </c>
      <c r="L28" s="97" t="str">
        <f>VLOOKUP(C28,'Trips&amp;Operators'!$C$1:$E$9999,3,0)</f>
        <v>MOSES</v>
      </c>
      <c r="M28" s="141" t="s">
        <v>89</v>
      </c>
      <c r="N28" s="10" t="s">
        <v>678</v>
      </c>
      <c r="O28" s="34"/>
      <c r="P28" s="115" t="str">
        <f>VLOOKUP(C28,'Train Runs'!$A$13:$AE$190,31,0)</f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Q28" s="119" t="str">
        <f>VLOOKUP(C28,'Train Runs'!$A$13:$AE$190,22,0)</f>
        <v>https://search-rtdc-monitor-bjffxe2xuh6vdkpspy63sjmuny.us-east-1.es.amazonaws.com/_plugin/kibana/#/discover/Steve-Slow-Train-Analysis-(2080s-and-2083s)?_g=(refreshInterval:(display:Off,section:0,value:0),time:(from:'2016-08-14 14:11:30-0600',mode:absolute,to:'2016-08-14 16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28" s="122" t="str">
        <f t="shared" si="0"/>
        <v>"C:\Program Files (x86)\AstroGrep\AstroGrep.exe" /spath="%USERPROFILE%\AppData\Local\Temp\OnboardLogs" /stypes="*4027*201608142*" /stext=" 21:.+((SYSTEM_STATE.+slice.+state.+changed )|(ment ac)|(system.+state.+changed )|(\|lc)|(penalty)|(\[timeout)|(PRM\|1\|D)|(kpr)|(kdp))" /e /r /s</v>
      </c>
      <c r="S28" s="9" t="str">
        <f t="shared" si="1"/>
        <v>4027</v>
      </c>
      <c r="T28" s="39">
        <f t="shared" si="2"/>
        <v>42596.910370370373</v>
      </c>
      <c r="U28" s="53" t="str">
        <f t="shared" si="3"/>
        <v>EC</v>
      </c>
      <c r="V28" s="53" t="str">
        <f t="shared" si="4"/>
        <v>KEEP</v>
      </c>
      <c r="W28" s="24"/>
    </row>
    <row r="29" spans="1:24" x14ac:dyDescent="0.25">
      <c r="A29" s="39">
        <v>42596.292696759258</v>
      </c>
      <c r="B29" s="34" t="s">
        <v>294</v>
      </c>
      <c r="C29" s="34" t="s">
        <v>344</v>
      </c>
      <c r="D29" s="34" t="s">
        <v>49</v>
      </c>
      <c r="E29" s="34" t="s">
        <v>54</v>
      </c>
      <c r="F29" s="50">
        <v>0</v>
      </c>
      <c r="G29" s="50">
        <v>724</v>
      </c>
      <c r="H29" s="50">
        <v>197769</v>
      </c>
      <c r="I29" s="34" t="s">
        <v>55</v>
      </c>
      <c r="J29" s="50">
        <v>191723</v>
      </c>
      <c r="K29" s="34" t="s">
        <v>53</v>
      </c>
      <c r="L29" s="97" t="str">
        <f>VLOOKUP(C29,'Trips&amp;Operators'!$C$1:$E$9999,3,0)</f>
        <v>MAELZER</v>
      </c>
      <c r="M29" s="141" t="s">
        <v>90</v>
      </c>
      <c r="N29" s="10" t="s">
        <v>674</v>
      </c>
      <c r="O29" s="34"/>
      <c r="P29" s="115" t="str">
        <f>VLOOKUP(C29,'Train Runs'!$A$13:$AE$190,31,0)</f>
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</c>
      <c r="Q29" s="119" t="str">
        <f>VLOOKUP(C29,'Train Runs'!$A$13:$AE$190,22,0)</f>
        <v>https://search-rtdc-monitor-bjffxe2xuh6vdkpspy63sjmuny.us-east-1.es.amazonaws.com/_plugin/kibana/#/discover/Steve-Slow-Train-Analysis-(2080s-and-2083s)?_g=(refreshInterval:(display:Off,section:0,value:0),time:(from:'2016-08-14 05:47:03-0600',mode:absolute,to:'2016-08-14 08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29" s="122" t="str">
        <f t="shared" si="0"/>
        <v>"C:\Program Files (x86)\AstroGrep\AstroGrep.exe" /spath="%USERPROFILE%\AppData\Local\Temp\OnboardLogs" /stypes="*4012*201608141*" /stext=" 13:.+((SYSTEM_STATE.+slice.+state.+changed )|(ment ac)|(system.+state.+changed )|(\|lc)|(penalty)|(\[timeout)|(PRM\|1\|D)|(kpr)|(kdp))" /e /r /s</v>
      </c>
      <c r="S29" s="9" t="str">
        <f t="shared" si="1"/>
        <v>4012</v>
      </c>
      <c r="T29" s="39">
        <f t="shared" si="2"/>
        <v>42596.542696759258</v>
      </c>
      <c r="U29" s="53" t="str">
        <f t="shared" si="3"/>
        <v>EC</v>
      </c>
      <c r="V29" s="53" t="str">
        <f t="shared" si="4"/>
        <v>KEEP</v>
      </c>
      <c r="W29" s="24"/>
      <c r="X29" s="24"/>
    </row>
    <row r="30" spans="1:24" x14ac:dyDescent="0.25">
      <c r="A30" s="39">
        <v>42596.472071759257</v>
      </c>
      <c r="B30" s="34" t="s">
        <v>122</v>
      </c>
      <c r="C30" s="34" t="s">
        <v>391</v>
      </c>
      <c r="D30" s="34" t="s">
        <v>49</v>
      </c>
      <c r="E30" s="34" t="s">
        <v>54</v>
      </c>
      <c r="F30" s="50">
        <v>0</v>
      </c>
      <c r="G30" s="50">
        <v>477</v>
      </c>
      <c r="H30" s="50">
        <v>195296</v>
      </c>
      <c r="I30" s="34" t="s">
        <v>55</v>
      </c>
      <c r="J30" s="50">
        <v>191723</v>
      </c>
      <c r="K30" s="34" t="s">
        <v>53</v>
      </c>
      <c r="L30" s="97" t="str">
        <f>VLOOKUP(C30,'Trips&amp;Operators'!$C$1:$E$9999,3,0)</f>
        <v>STRICKLAND</v>
      </c>
      <c r="M30" s="141" t="s">
        <v>90</v>
      </c>
      <c r="N30" s="10" t="s">
        <v>674</v>
      </c>
      <c r="O30" s="34"/>
      <c r="P30" s="115" t="str">
        <f>VLOOKUP(C30,'Train Runs'!$A$13:$AE$190,31,0)</f>
        <v>aws s3 cp s3://rtdc.mdm.uploadarchive/RTDC4032/2016-08-14/ "%USERPROFILE%\AppData\Local\Temp\OnboardLogs"\RTDC4032\2016-08-14 --recursive &amp; "%USERPROFILE%\Documents\GitHub\mrs-test-scripts\Headless Mode &amp; Sideloading\WalkAndUnGZ.bat" "%USERPROFILE%\AppData\Local\Temp\OnboardLogs"\RTDC4032\2016-08-14 &amp; 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</v>
      </c>
      <c r="Q30" s="119" t="str">
        <f>VLOOKUP(C30,'Train Runs'!$A$13:$AE$190,22,0)</f>
        <v>https://search-rtdc-monitor-bjffxe2xuh6vdkpspy63sjmuny.us-east-1.es.amazonaws.com/_plugin/kibana/#/discover/Steve-Slow-Train-Analysis-(2080s-and-2083s)?_g=(refreshInterval:(display:Off,section:0,value:0),time:(from:'2016-08-14 10:05:53-0600',mode:absolute,to:'2016-08-14 12:59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30" s="122" t="str">
        <f t="shared" si="0"/>
        <v>"C:\Program Files (x86)\AstroGrep\AstroGrep.exe" /spath="%USERPROFILE%\AppData\Local\Temp\OnboardLogs" /stypes="*4032*201608141*" /stext=" 17:.+((SYSTEM_STATE.+slice.+state.+changed )|(ment ac)|(system.+state.+changed )|(\|lc)|(penalty)|(\[timeout)|(PRM\|1\|D)|(kpr)|(kdp))" /e /r /s</v>
      </c>
      <c r="S30" s="9" t="str">
        <f t="shared" si="1"/>
        <v>4032</v>
      </c>
      <c r="T30" s="39">
        <f t="shared" si="2"/>
        <v>42596.722071759257</v>
      </c>
      <c r="U30" s="53" t="str">
        <f t="shared" si="3"/>
        <v>EC</v>
      </c>
      <c r="V30" s="53" t="str">
        <f t="shared" si="4"/>
        <v>KEEP</v>
      </c>
      <c r="W30" s="24"/>
      <c r="X30" s="24"/>
    </row>
    <row r="31" spans="1:24" x14ac:dyDescent="0.25">
      <c r="A31" s="39">
        <v>42596.554247685184</v>
      </c>
      <c r="B31" s="34" t="s">
        <v>94</v>
      </c>
      <c r="C31" s="34" t="s">
        <v>417</v>
      </c>
      <c r="D31" s="34" t="s">
        <v>49</v>
      </c>
      <c r="E31" s="34" t="s">
        <v>54</v>
      </c>
      <c r="F31" s="50">
        <v>0</v>
      </c>
      <c r="G31" s="50">
        <v>550</v>
      </c>
      <c r="H31" s="50">
        <v>195796</v>
      </c>
      <c r="I31" s="34" t="s">
        <v>55</v>
      </c>
      <c r="J31" s="50">
        <v>191723</v>
      </c>
      <c r="K31" s="34" t="s">
        <v>53</v>
      </c>
      <c r="L31" s="97" t="str">
        <f>VLOOKUP(C31,'Trips&amp;Operators'!$C$1:$E$9999,3,0)</f>
        <v>MAYBERRY</v>
      </c>
      <c r="M31" s="141" t="s">
        <v>90</v>
      </c>
      <c r="N31" s="10" t="s">
        <v>674</v>
      </c>
      <c r="O31" s="34"/>
      <c r="P31" s="115" t="str">
        <f>VLOOKUP(C31,'Train Runs'!$A$13:$AE$190,31,0)</f>
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</c>
      <c r="Q31" s="119" t="str">
        <f>VLOOKUP(C31,'Train Runs'!$A$13:$AE$190,22,0)</f>
        <v>https://search-rtdc-monitor-bjffxe2xuh6vdkpspy63sjmuny.us-east-1.es.amazonaws.com/_plugin/kibana/#/discover/Steve-Slow-Train-Analysis-(2080s-and-2083s)?_g=(refreshInterval:(display:Off,section:0,value:0),time:(from:'2016-08-14 12:03:23-0600',mode:absolute,to:'2016-08-14 14:53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31" s="122" t="str">
        <f t="shared" si="0"/>
        <v>"C:\Program Files (x86)\AstroGrep\AstroGrep.exe" /spath="%USERPROFILE%\AppData\Local\Temp\OnboardLogs" /stypes="*4013*201608141*" /stext=" 19:.+((SYSTEM_STATE.+slice.+state.+changed )|(ment ac)|(system.+state.+changed )|(\|lc)|(penalty)|(\[timeout)|(PRM\|1\|D)|(kpr)|(kdp))" /e /r /s</v>
      </c>
      <c r="S31" s="9" t="str">
        <f t="shared" si="1"/>
        <v>4013</v>
      </c>
      <c r="T31" s="39">
        <f t="shared" si="2"/>
        <v>42596.804247685184</v>
      </c>
      <c r="U31" s="53" t="str">
        <f t="shared" si="3"/>
        <v>EC</v>
      </c>
      <c r="V31" s="53" t="str">
        <f t="shared" si="4"/>
        <v>KEEP</v>
      </c>
    </row>
    <row r="32" spans="1:24" ht="15" customHeight="1" x14ac:dyDescent="0.25">
      <c r="A32" s="39">
        <v>42596.456064814818</v>
      </c>
      <c r="B32" s="34" t="s">
        <v>173</v>
      </c>
      <c r="C32" s="34" t="s">
        <v>388</v>
      </c>
      <c r="D32" s="34" t="s">
        <v>49</v>
      </c>
      <c r="E32" s="34" t="s">
        <v>54</v>
      </c>
      <c r="F32" s="50">
        <v>0</v>
      </c>
      <c r="G32" s="50">
        <v>146</v>
      </c>
      <c r="H32" s="50">
        <v>232368</v>
      </c>
      <c r="I32" s="34" t="s">
        <v>55</v>
      </c>
      <c r="J32" s="50">
        <v>231650</v>
      </c>
      <c r="K32" s="34" t="s">
        <v>53</v>
      </c>
      <c r="L32" s="97" t="str">
        <f>VLOOKUP(C32,'Trips&amp;Operators'!$C$1:$E$9999,3,0)</f>
        <v>MALAVE</v>
      </c>
      <c r="M32" s="141" t="s">
        <v>90</v>
      </c>
      <c r="N32" s="10" t="s">
        <v>676</v>
      </c>
      <c r="O32" s="34"/>
      <c r="P32" s="115" t="str">
        <f>VLOOKUP(C32,'Train Runs'!$A$13:$AE$190,31,0)</f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Q32" s="119" t="str">
        <f>VLOOKUP(C32,'Train Runs'!$A$13:$AE$190,22,0)</f>
        <v>https://search-rtdc-monitor-bjffxe2xuh6vdkpspy63sjmuny.us-east-1.es.amazonaws.com/_plugin/kibana/#/discover/Steve-Slow-Train-Analysis-(2080s-and-2083s)?_g=(refreshInterval:(display:Off,section:0,value:0),time:(from:'2016-08-14 09:53:59-0600',mode:absolute,to:'2016-08-14 12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32" s="122" t="str">
        <f t="shared" si="0"/>
        <v>"C:\Program Files (x86)\AstroGrep\AstroGrep.exe" /spath="%USERPROFILE%\AppData\Local\Temp\OnboardLogs" /stypes="*4037*201608141*" /stext=" 16:.+((SYSTEM_STATE.+slice.+state.+changed )|(ment ac)|(system.+state.+changed )|(\|lc)|(penalty)|(\[timeout)|(PRM\|1\|D)|(kpr)|(kdp))" /e /r /s</v>
      </c>
      <c r="S32" s="9" t="str">
        <f t="shared" si="1"/>
        <v>4037</v>
      </c>
      <c r="T32" s="39">
        <f t="shared" si="2"/>
        <v>42596.706064814818</v>
      </c>
      <c r="U32" s="53" t="str">
        <f t="shared" si="3"/>
        <v>EC</v>
      </c>
      <c r="V32" s="53" t="str">
        <f t="shared" si="4"/>
        <v>KEEP</v>
      </c>
    </row>
    <row r="33" spans="1:22" x14ac:dyDescent="0.25">
      <c r="A33" s="39">
        <v>42596.723553240743</v>
      </c>
      <c r="B33" s="34" t="s">
        <v>94</v>
      </c>
      <c r="C33" s="34" t="s">
        <v>550</v>
      </c>
      <c r="D33" s="34" t="s">
        <v>117</v>
      </c>
      <c r="E33" s="34" t="s">
        <v>238</v>
      </c>
      <c r="F33" s="50">
        <v>0</v>
      </c>
      <c r="G33" s="50">
        <v>152</v>
      </c>
      <c r="H33" s="50">
        <v>3450</v>
      </c>
      <c r="I33" s="34" t="s">
        <v>239</v>
      </c>
      <c r="J33" s="50">
        <v>3549</v>
      </c>
      <c r="K33" s="34" t="s">
        <v>53</v>
      </c>
      <c r="L33" s="97" t="str">
        <f>VLOOKUP(C33,'Trips&amp;Operators'!$C$1:$E$9999,3,0)</f>
        <v>MAYBERRY</v>
      </c>
      <c r="M33" s="141" t="s">
        <v>89</v>
      </c>
      <c r="N33" s="10" t="s">
        <v>675</v>
      </c>
      <c r="O33" s="34"/>
      <c r="P33" s="115" t="str">
        <f>VLOOKUP(C33,'Train Runs'!$A$13:$AE$190,31,0)</f>
        <v>aws s3 cp s3://rtdc.mdm.uploadarchive/RTDC4013/2016-08-14/ "%USERPROFILE%\AppData\Local\Temp\OnboardLogs"\RTDC4013\2016-08-14 --recursive &amp; "%USERPROFILE%\Documents\GitHub\mrs-test-scripts\Headless Mode &amp; Sideloading\WalkAndUnGZ.bat" "%USERPROFILE%\AppData\Local\Temp\OnboardLogs"\RTDC4013\2016-08-14 &amp; 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</v>
      </c>
      <c r="Q33" s="119" t="str">
        <f>VLOOKUP(C33,'Train Runs'!$A$13:$AE$190,22,0)</f>
        <v>https://search-rtdc-monitor-bjffxe2xuh6vdkpspy63sjmuny.us-east-1.es.amazonaws.com/_plugin/kibana/#/discover/Steve-Slow-Train-Analysis-(2080s-and-2083s)?_g=(refreshInterval:(display:Off,section:0,value:0),time:(from:'2016-08-14 15:37:45-0600',mode:absolute,to:'2016-08-14 18:24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33" s="122" t="str">
        <f t="shared" si="0"/>
        <v>"C:\Program Files (x86)\AstroGrep\AstroGrep.exe" /spath="%USERPROFILE%\AppData\Local\Temp\OnboardLogs" /stypes="*4013*201608142*" /stext=" 23:.+((SYSTEM_STATE.+slice.+state.+changed )|(ment ac)|(system.+state.+changed )|(\|lc)|(penalty)|(\[timeout)|(PRM\|1\|D)|(kpr)|(kdp))" /e /r /s</v>
      </c>
      <c r="S33" s="9" t="str">
        <f t="shared" si="1"/>
        <v>4013</v>
      </c>
      <c r="T33" s="39">
        <f t="shared" si="2"/>
        <v>42596.973553240743</v>
      </c>
      <c r="U33" s="53" t="str">
        <f t="shared" si="3"/>
        <v>EC</v>
      </c>
      <c r="V33" s="53" t="str">
        <f t="shared" si="4"/>
        <v>KEEP</v>
      </c>
    </row>
    <row r="34" spans="1:22" x14ac:dyDescent="0.25">
      <c r="A34" s="39">
        <v>42596.773240740738</v>
      </c>
      <c r="B34" s="34" t="s">
        <v>173</v>
      </c>
      <c r="C34" s="34" t="s">
        <v>569</v>
      </c>
      <c r="D34" s="34" t="s">
        <v>49</v>
      </c>
      <c r="E34" s="34" t="s">
        <v>238</v>
      </c>
      <c r="F34" s="50">
        <v>0</v>
      </c>
      <c r="G34" s="50">
        <v>726</v>
      </c>
      <c r="H34" s="50">
        <v>75714</v>
      </c>
      <c r="I34" s="34" t="s">
        <v>239</v>
      </c>
      <c r="J34" s="50">
        <v>69363</v>
      </c>
      <c r="K34" s="34" t="s">
        <v>53</v>
      </c>
      <c r="L34" s="97" t="str">
        <f>VLOOKUP(C34,'Trips&amp;Operators'!$C$1:$E$9999,3,0)</f>
        <v>STORY</v>
      </c>
      <c r="M34" s="141" t="s">
        <v>89</v>
      </c>
      <c r="N34" s="10" t="s">
        <v>675</v>
      </c>
      <c r="O34" s="34"/>
      <c r="P34" s="115" t="str">
        <f>VLOOKUP(C34,'Train Runs'!$A$13:$AE$190,31,0)</f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Q34" s="119" t="str">
        <f>VLOOKUP(C34,'Train Runs'!$A$13:$AE$190,22,0)</f>
        <v>https://search-rtdc-monitor-bjffxe2xuh6vdkpspy63sjmuny.us-east-1.es.amazonaws.com/_plugin/kibana/#/discover/Steve-Slow-Train-Analysis-(2080s-and-2083s)?_g=(refreshInterval:(display:Off,section:0,value:0),time:(from:'2016-08-14 17:00:03-0600',mode:absolute,to:'2016-08-14 19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34" s="122" t="str">
        <f t="shared" si="0"/>
        <v>"C:\Program Files (x86)\AstroGrep\AstroGrep.exe" /spath="%USERPROFILE%\AppData\Local\Temp\OnboardLogs" /stypes="*4037*201608150*" /stext=" 00:.+((SYSTEM_STATE.+slice.+state.+changed )|(ment ac)|(system.+state.+changed )|(\|lc)|(penalty)|(\[timeout)|(PRM\|1\|D)|(kpr)|(kdp))" /e /r /s</v>
      </c>
      <c r="S34" s="9" t="str">
        <f t="shared" si="1"/>
        <v>4037</v>
      </c>
      <c r="T34" s="39">
        <f t="shared" si="2"/>
        <v>42597.023240740738</v>
      </c>
      <c r="U34" s="53" t="str">
        <f t="shared" si="3"/>
        <v>EC</v>
      </c>
      <c r="V34" s="53" t="str">
        <f t="shared" si="4"/>
        <v>KEEP</v>
      </c>
    </row>
    <row r="35" spans="1:22" x14ac:dyDescent="0.25">
      <c r="A35" s="39">
        <v>42596.378263888888</v>
      </c>
      <c r="B35" s="34" t="s">
        <v>112</v>
      </c>
      <c r="C35" s="34" t="s">
        <v>363</v>
      </c>
      <c r="D35" s="34" t="s">
        <v>49</v>
      </c>
      <c r="E35" s="34" t="s">
        <v>50</v>
      </c>
      <c r="F35" s="50">
        <v>0</v>
      </c>
      <c r="G35" s="50">
        <v>56</v>
      </c>
      <c r="H35" s="50">
        <v>181</v>
      </c>
      <c r="I35" s="34" t="s">
        <v>51</v>
      </c>
      <c r="J35" s="50">
        <v>1</v>
      </c>
      <c r="K35" s="34" t="s">
        <v>53</v>
      </c>
      <c r="L35" s="97" t="str">
        <f>VLOOKUP(C35,'Trips&amp;Operators'!$C$1:$E$9999,3,0)</f>
        <v>ACKERMAN</v>
      </c>
      <c r="M35" s="141" t="s">
        <v>90</v>
      </c>
      <c r="N35" s="10"/>
      <c r="O35" s="34"/>
      <c r="P35" s="115" t="str">
        <f>VLOOKUP(C35,'Train Runs'!$A$13:$AE$190,31,0)</f>
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</c>
      <c r="Q35" s="119" t="str">
        <f>VLOOKUP(C35,'Train Runs'!$A$13:$AE$190,22,0)</f>
        <v>https://search-rtdc-monitor-bjffxe2xuh6vdkpspy63sjmuny.us-east-1.es.amazonaws.com/_plugin/kibana/#/discover/Steve-Slow-Train-Analysis-(2080s-and-2083s)?_g=(refreshInterval:(display:Off,section:0,value:0),time:(from:'2016-08-14 07:17:58-0600',mode:absolute,to:'2016-08-14 10:05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35" s="122" t="str">
        <f t="shared" si="0"/>
        <v>"C:\Program Files (x86)\AstroGrep\AstroGrep.exe" /spath="%USERPROFILE%\AppData\Local\Temp\OnboardLogs" /stypes="*4015*201608141*" /stext=" 15:.+((SYSTEM_STATE.+slice.+state.+changed )|(ment ac)|(system.+state.+changed )|(\|lc)|(penalty)|(\[timeout)|(PRM\|1\|D)|(kpr)|(kdp))" /e /r /s</v>
      </c>
      <c r="S35" s="9" t="str">
        <f t="shared" si="1"/>
        <v>4015</v>
      </c>
      <c r="T35" s="39">
        <f t="shared" si="2"/>
        <v>42596.628263888888</v>
      </c>
      <c r="U35" s="53" t="str">
        <f t="shared" si="3"/>
        <v>EC</v>
      </c>
      <c r="V35" s="53" t="str">
        <f t="shared" si="4"/>
        <v>KEEP</v>
      </c>
    </row>
    <row r="36" spans="1:22" x14ac:dyDescent="0.25">
      <c r="A36" s="39">
        <v>42596.454594907409</v>
      </c>
      <c r="B36" s="34" t="s">
        <v>112</v>
      </c>
      <c r="C36" s="34" t="s">
        <v>381</v>
      </c>
      <c r="D36" s="34" t="s">
        <v>49</v>
      </c>
      <c r="E36" s="34" t="s">
        <v>50</v>
      </c>
      <c r="F36" s="50">
        <v>0</v>
      </c>
      <c r="G36" s="50">
        <v>54</v>
      </c>
      <c r="H36" s="50">
        <v>180</v>
      </c>
      <c r="I36" s="34" t="s">
        <v>51</v>
      </c>
      <c r="J36" s="50">
        <v>1</v>
      </c>
      <c r="K36" s="34" t="s">
        <v>53</v>
      </c>
      <c r="L36" s="97" t="str">
        <f>VLOOKUP(C36,'Trips&amp;Operators'!$C$1:$E$9999,3,0)</f>
        <v>ACKERMAN</v>
      </c>
      <c r="M36" s="141" t="s">
        <v>90</v>
      </c>
      <c r="N36" s="10"/>
      <c r="O36" s="34"/>
      <c r="P36" s="115" t="str">
        <f>VLOOKUP(C36,'Train Runs'!$A$13:$AE$190,31,0)</f>
        <v>aws s3 cp s3://rtdc.mdm.uploadarchive/RTDC4015/2016-08-14/ "%USERPROFILE%\AppData\Local\Temp\OnboardLogs"\RTDC4015\2016-08-14 --recursive &amp; "%USERPROFILE%\Documents\GitHub\mrs-test-scripts\Headless Mode &amp; Sideloading\WalkAndUnGZ.bat" "%USERPROFILE%\AppData\Local\Temp\OnboardLogs"\RTDC4015\2016-08-14 &amp; 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</v>
      </c>
      <c r="Q36" s="119" t="str">
        <f>VLOOKUP(C36,'Train Runs'!$A$13:$AE$190,22,0)</f>
        <v>https://search-rtdc-monitor-bjffxe2xuh6vdkpspy63sjmuny.us-east-1.es.amazonaws.com/_plugin/kibana/#/discover/Steve-Slow-Train-Analysis-(2080s-and-2083s)?_g=(refreshInterval:(display:Off,section:0,value:0),time:(from:'2016-08-14 09:01:40-0600',mode:absolute,to:'2016-08-14 11:54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36" s="122" t="str">
        <f t="shared" si="0"/>
        <v>"C:\Program Files (x86)\AstroGrep\AstroGrep.exe" /spath="%USERPROFILE%\AppData\Local\Temp\OnboardLogs" /stypes="*4015*201608141*" /stext=" 16:.+((SYSTEM_STATE.+slice.+state.+changed )|(ment ac)|(system.+state.+changed )|(\|lc)|(penalty)|(\[timeout)|(PRM\|1\|D)|(kpr)|(kdp))" /e /r /s</v>
      </c>
      <c r="S36" s="9" t="str">
        <f t="shared" si="1"/>
        <v>4015</v>
      </c>
      <c r="T36" s="39">
        <f t="shared" si="2"/>
        <v>42596.704594907409</v>
      </c>
      <c r="U36" s="53" t="str">
        <f t="shared" si="3"/>
        <v>EC</v>
      </c>
      <c r="V36" s="53" t="str">
        <f t="shared" si="4"/>
        <v>KEEP</v>
      </c>
    </row>
    <row r="37" spans="1:22" x14ac:dyDescent="0.25">
      <c r="A37" s="39">
        <v>42596.538252314815</v>
      </c>
      <c r="B37" s="34" t="s">
        <v>294</v>
      </c>
      <c r="C37" s="34" t="s">
        <v>404</v>
      </c>
      <c r="D37" s="34" t="s">
        <v>49</v>
      </c>
      <c r="E37" s="34" t="s">
        <v>50</v>
      </c>
      <c r="F37" s="50">
        <v>0</v>
      </c>
      <c r="G37" s="50">
        <v>67</v>
      </c>
      <c r="H37" s="50">
        <v>223</v>
      </c>
      <c r="I37" s="34" t="s">
        <v>51</v>
      </c>
      <c r="J37" s="50">
        <v>1</v>
      </c>
      <c r="K37" s="34" t="s">
        <v>53</v>
      </c>
      <c r="L37" s="97" t="str">
        <f>VLOOKUP(C37,'Trips&amp;Operators'!$C$1:$E$9999,3,0)</f>
        <v>BARTLETT</v>
      </c>
      <c r="M37" s="141" t="s">
        <v>90</v>
      </c>
      <c r="N37" s="10"/>
      <c r="O37" s="34"/>
      <c r="P37" s="115" t="str">
        <f>VLOOKUP(C37,'Train Runs'!$A$13:$AE$190,31,0)</f>
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</c>
      <c r="Q37" s="119" t="str">
        <f>VLOOKUP(C37,'Train Runs'!$A$13:$AE$190,22,0)</f>
        <v>https://search-rtdc-monitor-bjffxe2xuh6vdkpspy63sjmuny.us-east-1.es.amazonaws.com/_plugin/kibana/#/discover/Steve-Slow-Train-Analysis-(2080s-and-2083s)?_g=(refreshInterval:(display:Off,section:0,value:0),time:(from:'2016-08-14 11:06:55-0600',mode:absolute,to:'2016-08-14 13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37" s="122" t="str">
        <f t="shared" si="0"/>
        <v>"C:\Program Files (x86)\AstroGrep\AstroGrep.exe" /spath="%USERPROFILE%\AppData\Local\Temp\OnboardLogs" /stypes="*4012*201608141*" /stext=" 18:.+((SYSTEM_STATE.+slice.+state.+changed )|(ment ac)|(system.+state.+changed )|(\|lc)|(penalty)|(\[timeout)|(PRM\|1\|D)|(kpr)|(kdp))" /e /r /s</v>
      </c>
      <c r="S37" s="9" t="str">
        <f t="shared" si="1"/>
        <v>4012</v>
      </c>
      <c r="T37" s="39">
        <f t="shared" si="2"/>
        <v>42596.788252314815</v>
      </c>
      <c r="U37" s="53" t="str">
        <f t="shared" si="3"/>
        <v>EC</v>
      </c>
      <c r="V37" s="53" t="str">
        <f t="shared" si="4"/>
        <v>KEEP</v>
      </c>
    </row>
    <row r="38" spans="1:22" x14ac:dyDescent="0.25">
      <c r="A38" s="39">
        <v>42596.569050925929</v>
      </c>
      <c r="B38" s="34" t="s">
        <v>173</v>
      </c>
      <c r="C38" s="34" t="s">
        <v>414</v>
      </c>
      <c r="D38" s="34" t="s">
        <v>49</v>
      </c>
      <c r="E38" s="34" t="s">
        <v>50</v>
      </c>
      <c r="F38" s="50">
        <v>0</v>
      </c>
      <c r="G38" s="50">
        <v>71</v>
      </c>
      <c r="H38" s="50">
        <v>252</v>
      </c>
      <c r="I38" s="34" t="s">
        <v>51</v>
      </c>
      <c r="J38" s="50">
        <v>1</v>
      </c>
      <c r="K38" s="34" t="s">
        <v>53</v>
      </c>
      <c r="L38" s="97" t="str">
        <f>VLOOKUP(C38,'Trips&amp;Operators'!$C$1:$E$9999,3,0)</f>
        <v>YOUNG</v>
      </c>
      <c r="M38" s="141" t="s">
        <v>90</v>
      </c>
      <c r="N38" s="10"/>
      <c r="O38" s="34"/>
      <c r="P38" s="115" t="str">
        <f>VLOOKUP(C38,'Train Runs'!$A$13:$AE$190,31,0)</f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Q38" s="119" t="str">
        <f>VLOOKUP(C38,'Train Runs'!$A$13:$AE$190,22,0)</f>
        <v>https://search-rtdc-monitor-bjffxe2xuh6vdkpspy63sjmuny.us-east-1.es.amazonaws.com/_plugin/kibana/#/discover/Steve-Slow-Train-Analysis-(2080s-and-2083s)?_g=(refreshInterval:(display:Off,section:0,value:0),time:(from:'2016-08-14 11:44:32-0600',mode:absolute,to:'2016-08-14 14:39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38" s="122" t="str">
        <f t="shared" si="0"/>
        <v>"C:\Program Files (x86)\AstroGrep\AstroGrep.exe" /spath="%USERPROFILE%\AppData\Local\Temp\OnboardLogs" /stypes="*4037*201608141*" /stext=" 19:.+((SYSTEM_STATE.+slice.+state.+changed )|(ment ac)|(system.+state.+changed )|(\|lc)|(penalty)|(\[timeout)|(PRM\|1\|D)|(kpr)|(kdp))" /e /r /s</v>
      </c>
      <c r="S38" s="9" t="str">
        <f t="shared" si="1"/>
        <v>4037</v>
      </c>
      <c r="T38" s="39">
        <f t="shared" si="2"/>
        <v>42596.819050925929</v>
      </c>
      <c r="U38" s="53" t="str">
        <f t="shared" si="3"/>
        <v>EC</v>
      </c>
      <c r="V38" s="53" t="str">
        <f t="shared" si="4"/>
        <v>KEEP</v>
      </c>
    </row>
    <row r="39" spans="1:22" x14ac:dyDescent="0.25">
      <c r="A39" s="39">
        <v>42596.641099537039</v>
      </c>
      <c r="B39" s="34" t="s">
        <v>173</v>
      </c>
      <c r="C39" s="34" t="s">
        <v>476</v>
      </c>
      <c r="D39" s="34" t="s">
        <v>49</v>
      </c>
      <c r="E39" s="34" t="s">
        <v>50</v>
      </c>
      <c r="F39" s="50">
        <v>0</v>
      </c>
      <c r="G39" s="50">
        <v>50</v>
      </c>
      <c r="H39" s="50">
        <v>185</v>
      </c>
      <c r="I39" s="34" t="s">
        <v>51</v>
      </c>
      <c r="J39" s="50">
        <v>1</v>
      </c>
      <c r="K39" s="34" t="s">
        <v>53</v>
      </c>
      <c r="L39" s="97" t="str">
        <f>VLOOKUP(C39,'Trips&amp;Operators'!$C$1:$E$9999,3,0)</f>
        <v>YOUNG</v>
      </c>
      <c r="M39" s="141" t="s">
        <v>90</v>
      </c>
      <c r="N39" s="10"/>
      <c r="O39" s="34"/>
      <c r="P39" s="115" t="str">
        <f>VLOOKUP(C39,'Train Runs'!$A$13:$AE$190,31,0)</f>
        <v>aws s3 cp s3://rtdc.mdm.uploadarchive/RTDC4037/2016-08-14/ "%USERPROFILE%\AppData\Local\Temp\OnboardLogs"\RTDC4037\2016-08-14 --recursive &amp; "%USERPROFILE%\Documents\GitHub\mrs-test-scripts\Headless Mode &amp; Sideloading\WalkAndUnGZ.bat" "%USERPROFILE%\AppData\Local\Temp\OnboardLogs"\RTDC4037\2016-08-14 &amp; 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</v>
      </c>
      <c r="Q39" s="119" t="str">
        <f>VLOOKUP(C39,'Train Runs'!$A$13:$AE$190,22,0)</f>
        <v>https://search-rtdc-monitor-bjffxe2xuh6vdkpspy63sjmuny.us-east-1.es.amazonaws.com/_plugin/kibana/#/discover/Steve-Slow-Train-Analysis-(2080s-and-2083s)?_g=(refreshInterval:(display:Off,section:0,value:0),time:(from:'2016-08-14 13:33:36-0600',mode:absolute,to:'2016-08-14 16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39" s="122" t="str">
        <f t="shared" ref="R39:R70" si="5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/stypes="*4037*201608142*" /stext=" 21:.+((SYSTEM_STATE.+slice.+state.+changed )|(ment ac)|(system.+state.+changed )|(\|lc)|(penalty)|(\[timeout)|(PRM\|1\|D)|(kpr)|(kdp))" /e /r /s</v>
      </c>
      <c r="S39" s="9" t="str">
        <f t="shared" ref="S39:S71" si="6">MID(B39,13,4)</f>
        <v>4037</v>
      </c>
      <c r="T39" s="39">
        <f t="shared" ref="T39:T71" si="7">A39+6/24</f>
        <v>42596.891099537039</v>
      </c>
      <c r="U39" s="53" t="str">
        <f t="shared" ref="U39:U71" si="8">IF(VALUE(LEFT(IF(LEN(C39)=6,"0"&amp;C39,C39),2))&lt;=2,"EC",IF(OR(VALUE(LEFT(IF(LEN(C39)=6,"0"&amp;C39,C39),2))=8,VALUE(LEFT(IF(LEN(C39)=6,"0"&amp;C39,C39),2))=18),"NW","GL"))</f>
        <v>EC</v>
      </c>
      <c r="V39" s="53" t="str">
        <f t="shared" ref="V39:V71" si="9">IF(AND(E39="TRACK WARRANT AUTHORITY",G39&lt;10),"OMIT","KEEP")</f>
        <v>KEEP</v>
      </c>
    </row>
    <row r="40" spans="1:22" x14ac:dyDescent="0.25">
      <c r="A40" s="39">
        <v>42596.755289351851</v>
      </c>
      <c r="B40" s="34" t="s">
        <v>294</v>
      </c>
      <c r="C40" s="34" t="s">
        <v>559</v>
      </c>
      <c r="D40" s="34" t="s">
        <v>49</v>
      </c>
      <c r="E40" s="34" t="s">
        <v>50</v>
      </c>
      <c r="F40" s="50">
        <v>0</v>
      </c>
      <c r="G40" s="50">
        <v>66</v>
      </c>
      <c r="H40" s="50">
        <v>229</v>
      </c>
      <c r="I40" s="34" t="s">
        <v>51</v>
      </c>
      <c r="J40" s="50">
        <v>1</v>
      </c>
      <c r="K40" s="34" t="s">
        <v>53</v>
      </c>
      <c r="L40" s="97" t="str">
        <f>VLOOKUP(C40,'Trips&amp;Operators'!$C$1:$E$9999,3,0)</f>
        <v>BARTLETT</v>
      </c>
      <c r="M40" s="141" t="s">
        <v>90</v>
      </c>
      <c r="N40" s="10"/>
      <c r="O40" s="34"/>
      <c r="P40" s="115" t="str">
        <f>VLOOKUP(C40,'Train Runs'!$A$13:$AE$190,31,0)</f>
        <v>aws s3 cp s3://rtdc.mdm.uploadarchive/RTDC4012/2016-08-14/ "%USERPROFILE%\AppData\Local\Temp\OnboardLogs"\RTDC4012\2016-08-14 --recursive &amp; "%USERPROFILE%\Documents\GitHub\mrs-test-scripts\Headless Mode &amp; Sideloading\WalkAndUnGZ.bat" "%USERPROFILE%\AppData\Local\Temp\OnboardLogs"\RTDC4012\2016-08-14 &amp; aws s3 cp s3://rtdc.mdm.uploadarchive/RTDC4012/2016-08-15/ "%USERPROFILE%\AppData\Local\Temp\OnboardLogs"\RTDC4012\2016-08-15 --recursive &amp; "%USERPROFILE%\Documents\GitHub\mrs-test-scripts\Headless Mode &amp; Sideloading\WalkAndUnGZ.bat" "%USERPROFILE%\AppData\Local\Temp\OnboardLogs"\RTDC4012\2016-08-15</v>
      </c>
      <c r="Q40" s="119" t="str">
        <f>VLOOKUP(C40,'Train Runs'!$A$13:$AE$190,22,0)</f>
        <v>https://search-rtdc-monitor-bjffxe2xuh6vdkpspy63sjmuny.us-east-1.es.amazonaws.com/_plugin/kibana/#/discover/Steve-Slow-Train-Analysis-(2080s-and-2083s)?_g=(refreshInterval:(display:Off,section:0,value:0),time:(from:'2016-08-14 16:22:44-0600',mode:absolute,to:'2016-08-14 19:07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40" s="122" t="str">
        <f t="shared" si="5"/>
        <v>"C:\Program Files (x86)\AstroGrep\AstroGrep.exe" /spath="%USERPROFILE%\AppData\Local\Temp\OnboardLogs" /stypes="*4012*201608150*" /stext=" 00:.+((SYSTEM_STATE.+slice.+state.+changed )|(ment ac)|(system.+state.+changed )|(\|lc)|(penalty)|(\[timeout)|(PRM\|1\|D)|(kpr)|(kdp))" /e /r /s</v>
      </c>
      <c r="S40" s="9" t="str">
        <f t="shared" si="6"/>
        <v>4012</v>
      </c>
      <c r="T40" s="39">
        <f t="shared" si="7"/>
        <v>42597.005289351851</v>
      </c>
      <c r="U40" s="53" t="str">
        <f t="shared" si="8"/>
        <v>EC</v>
      </c>
      <c r="V40" s="53" t="str">
        <f t="shared" si="9"/>
        <v>KEEP</v>
      </c>
    </row>
    <row r="41" spans="1:22" x14ac:dyDescent="0.25">
      <c r="A41" s="39">
        <v>42596.8049537037</v>
      </c>
      <c r="B41" s="34" t="s">
        <v>96</v>
      </c>
      <c r="C41" s="34" t="s">
        <v>578</v>
      </c>
      <c r="D41" s="34" t="s">
        <v>49</v>
      </c>
      <c r="E41" s="34" t="s">
        <v>50</v>
      </c>
      <c r="F41" s="50">
        <v>0</v>
      </c>
      <c r="G41" s="50">
        <v>60</v>
      </c>
      <c r="H41" s="50">
        <v>212</v>
      </c>
      <c r="I41" s="34" t="s">
        <v>51</v>
      </c>
      <c r="J41" s="50">
        <v>1</v>
      </c>
      <c r="K41" s="34" t="s">
        <v>53</v>
      </c>
      <c r="L41" s="97" t="str">
        <f>VLOOKUP(C41,'Trips&amp;Operators'!$C$1:$E$9999,3,0)</f>
        <v>COOLAHAN</v>
      </c>
      <c r="M41" s="141" t="s">
        <v>90</v>
      </c>
      <c r="N41" s="10"/>
      <c r="O41" s="34"/>
      <c r="P41" s="115" t="str">
        <f>VLOOKUP(C41,'Train Runs'!$A$13:$AE$190,31,0)</f>
        <v>aws s3 cp s3://rtdc.mdm.uploadarchive/RTDC4030/2016-08-14/ "%USERPROFILE%\AppData\Local\Temp\OnboardLogs"\RTDC4030\2016-08-14 --recursive &amp; "%USERPROFILE%\Documents\GitHub\mrs-test-scripts\Headless Mode &amp; Sideloading\WalkAndUnGZ.bat" "%USERPROFILE%\AppData\Local\Temp\OnboardLogs"\RTDC4030\2016-08-14 &amp; aws s3 cp s3://rtdc.mdm.uploadarchive/RTDC4030/2016-08-15/ "%USERPROFILE%\AppData\Local\Temp\OnboardLogs"\RTDC4030\2016-08-15 --recursive &amp; "%USERPROFILE%\Documents\GitHub\mrs-test-scripts\Headless Mode &amp; Sideloading\WalkAndUnGZ.bat" "%USERPROFILE%\AppData\Local\Temp\OnboardLogs"\RTDC4030\2016-08-15</v>
      </c>
      <c r="Q41" s="119" t="str">
        <f>VLOOKUP(C41,'Train Runs'!$A$13:$AE$190,22,0)</f>
        <v>https://search-rtdc-monitor-bjffxe2xuh6vdkpspy63sjmuny.us-east-1.es.amazonaws.com/_plugin/kibana/#/discover/Steve-Slow-Train-Analysis-(2080s-and-2083s)?_g=(refreshInterval:(display:Off,section:0,value:0),time:(from:'2016-08-14 17:33:31-0600',mode:absolute,to:'2016-08-14 20:19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41" s="122" t="str">
        <f t="shared" si="5"/>
        <v>"C:\Program Files (x86)\AstroGrep\AstroGrep.exe" /spath="%USERPROFILE%\AppData\Local\Temp\OnboardLogs" /stypes="*4030*201608150*" /stext=" 01:.+((SYSTEM_STATE.+slice.+state.+changed )|(ment ac)|(system.+state.+changed )|(\|lc)|(penalty)|(\[timeout)|(PRM\|1\|D)|(kpr)|(kdp))" /e /r /s</v>
      </c>
      <c r="S41" s="9" t="str">
        <f t="shared" si="6"/>
        <v>4030</v>
      </c>
      <c r="T41" s="39">
        <f t="shared" si="7"/>
        <v>42597.0549537037</v>
      </c>
      <c r="U41" s="53" t="str">
        <f t="shared" si="8"/>
        <v>EC</v>
      </c>
      <c r="V41" s="53" t="str">
        <f t="shared" si="9"/>
        <v>KEEP</v>
      </c>
    </row>
    <row r="42" spans="1:22" ht="15" customHeight="1" x14ac:dyDescent="0.25">
      <c r="A42" s="39">
        <v>42597.003842592596</v>
      </c>
      <c r="B42" s="34" t="s">
        <v>650</v>
      </c>
      <c r="C42" s="34" t="s">
        <v>619</v>
      </c>
      <c r="D42" s="34" t="s">
        <v>49</v>
      </c>
      <c r="E42" s="34" t="s">
        <v>50</v>
      </c>
      <c r="F42" s="50">
        <v>0</v>
      </c>
      <c r="G42" s="50">
        <v>109</v>
      </c>
      <c r="H42" s="50">
        <v>437</v>
      </c>
      <c r="I42" s="34" t="s">
        <v>51</v>
      </c>
      <c r="J42" s="50">
        <v>1</v>
      </c>
      <c r="K42" s="34" t="s">
        <v>53</v>
      </c>
      <c r="L42" s="97" t="str">
        <f>VLOOKUP(C42,'Trips&amp;Operators'!$C$1:$E$9999,3,0)</f>
        <v>STAMBAUGH</v>
      </c>
      <c r="M42" s="141" t="s">
        <v>90</v>
      </c>
      <c r="N42" s="10"/>
      <c r="O42" s="34"/>
      <c r="P42" s="115" t="str">
        <f>VLOOKUP(C42,'Train Runs'!$A$13:$AE$190,31,0)</f>
        <v>aws s3 cp s3://rtdc.mdm.uploadarchive/RTDC4026/2016-08-14/ "%USERPROFILE%\AppData\Local\Temp\OnboardLogs"\RTDC4026\2016-08-14 --recursive &amp; "%USERPROFILE%\Documents\GitHub\mrs-test-scripts\Headless Mode &amp; Sideloading\WalkAndUnGZ.bat" "%USERPROFILE%\AppData\Local\Temp\OnboardLogs"\RTDC4026\2016-08-14 &amp; aws s3 cp s3://rtdc.mdm.uploadarchive/RTDC4026/2016-08-15/ "%USERPROFILE%\AppData\Local\Temp\OnboardLogs"\RTDC4026\2016-08-15 --recursive &amp; "%USERPROFILE%\Documents\GitHub\mrs-test-scripts\Headless Mode &amp; Sideloading\WalkAndUnGZ.bat" "%USERPROFILE%\AppData\Local\Temp\OnboardLogs"\RTDC4026\2016-08-15</v>
      </c>
      <c r="Q42" s="119" t="str">
        <f>VLOOKUP(C42,'Train Runs'!$A$13:$AE$190,22,0)</f>
        <v>https://search-rtdc-monitor-bjffxe2xuh6vdkpspy63sjmuny.us-east-1.es.amazonaws.com/_plugin/kibana/#/discover/Steve-Slow-Train-Analysis-(2080s-and-2083s)?_g=(refreshInterval:(display:Off,section:0,value:0),time:(from:'2016-08-14 22:21:04-0600',mode:absolute,to:'2016-08-15 01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</c>
      <c r="R42" s="122" t="str">
        <f t="shared" si="5"/>
        <v>"C:\Program Files (x86)\AstroGrep\AstroGrep.exe" /spath="%USERPROFILE%\AppData\Local\Temp\OnboardLogs" /stypes="*4026*201608150*" /stext=" 06:.+((SYSTEM_STATE.+slice.+state.+changed )|(ment ac)|(system.+state.+changed )|(\|lc)|(penalty)|(\[timeout)|(PRM\|1\|D)|(kpr)|(kdp))" /e /r /s</v>
      </c>
      <c r="S42" s="9" t="str">
        <f t="shared" si="6"/>
        <v>4026</v>
      </c>
      <c r="T42" s="39">
        <f t="shared" si="7"/>
        <v>42597.253842592596</v>
      </c>
      <c r="U42" s="53" t="str">
        <f t="shared" si="8"/>
        <v>EC</v>
      </c>
      <c r="V42" s="53" t="str">
        <f t="shared" si="9"/>
        <v>KEEP</v>
      </c>
    </row>
    <row r="43" spans="1:22" x14ac:dyDescent="0.25">
      <c r="A43" s="39">
        <v>42596.243842592594</v>
      </c>
      <c r="B43" s="34" t="s">
        <v>119</v>
      </c>
      <c r="C43" s="34" t="s">
        <v>331</v>
      </c>
      <c r="D43" s="34" t="s">
        <v>49</v>
      </c>
      <c r="E43" s="34" t="s">
        <v>50</v>
      </c>
      <c r="F43" s="50">
        <v>0</v>
      </c>
      <c r="G43" s="50">
        <v>101</v>
      </c>
      <c r="H43" s="50">
        <v>233113</v>
      </c>
      <c r="I43" s="34" t="s">
        <v>51</v>
      </c>
      <c r="J43" s="50">
        <v>233491</v>
      </c>
      <c r="K43" s="34" t="s">
        <v>52</v>
      </c>
      <c r="L43" s="97" t="str">
        <f>VLOOKUP(C43,'Trips&amp;Operators'!$C$1:$E$9999,3,0)</f>
        <v>KILLION</v>
      </c>
      <c r="M43" s="141" t="s">
        <v>90</v>
      </c>
      <c r="N43" s="10"/>
      <c r="O43" s="34"/>
      <c r="P43" s="115" t="str">
        <f>VLOOKUP(C43,'Train Runs'!$A$13:$AE$190,31,0)</f>
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</c>
      <c r="Q43" s="119" t="str">
        <f>VLOOKUP(C43,'Train Runs'!$A$13:$AE$190,22,0)</f>
        <v>https://search-rtdc-monitor-bjffxe2xuh6vdkpspy63sjmuny.us-east-1.es.amazonaws.com/_plugin/kibana/#/discover/Steve-Slow-Train-Analysis-(2080s-and-2083s)?_g=(refreshInterval:(display:Off,section:0,value:0),time:(from:'2016-08-14 04:02:18-0600',mode:absolute,to:'2016-08-14 06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43" s="122" t="str">
        <f t="shared" si="5"/>
        <v>"C:\Program Files (x86)\AstroGrep\AstroGrep.exe" /spath="%USERPROFILE%\AppData\Local\Temp\OnboardLogs" /stypes="*4014*201608141*" /stext=" 11:.+((SYSTEM_STATE.+slice.+state.+changed )|(ment ac)|(system.+state.+changed )|(\|lc)|(penalty)|(\[timeout)|(PRM\|1\|D)|(kpr)|(kdp))" /e /r /s</v>
      </c>
      <c r="S43" s="9" t="str">
        <f t="shared" si="6"/>
        <v>4014</v>
      </c>
      <c r="T43" s="39">
        <f t="shared" si="7"/>
        <v>42596.493842592594</v>
      </c>
      <c r="U43" s="53" t="str">
        <f t="shared" si="8"/>
        <v>EC</v>
      </c>
      <c r="V43" s="53" t="str">
        <f t="shared" si="9"/>
        <v>KEEP</v>
      </c>
    </row>
    <row r="44" spans="1:22" ht="15" customHeight="1" x14ac:dyDescent="0.25">
      <c r="A44" s="39">
        <v>42596.316921296297</v>
      </c>
      <c r="B44" s="34" t="s">
        <v>119</v>
      </c>
      <c r="C44" s="34" t="s">
        <v>355</v>
      </c>
      <c r="D44" s="34" t="s">
        <v>49</v>
      </c>
      <c r="E44" s="34" t="s">
        <v>50</v>
      </c>
      <c r="F44" s="50">
        <v>0</v>
      </c>
      <c r="G44" s="50">
        <v>97</v>
      </c>
      <c r="H44" s="50">
        <v>233104</v>
      </c>
      <c r="I44" s="34" t="s">
        <v>51</v>
      </c>
      <c r="J44" s="50">
        <v>233491</v>
      </c>
      <c r="K44" s="34" t="s">
        <v>52</v>
      </c>
      <c r="L44" s="97" t="str">
        <f>VLOOKUP(C44,'Trips&amp;Operators'!$C$1:$E$9999,3,0)</f>
        <v>KILLION</v>
      </c>
      <c r="M44" s="141" t="s">
        <v>90</v>
      </c>
      <c r="N44" s="10"/>
      <c r="O44" s="34"/>
      <c r="P44" s="115" t="str">
        <f>VLOOKUP(C44,'Train Runs'!$A$13:$AE$190,31,0)</f>
        <v>aws s3 cp s3://rtdc.mdm.uploadarchive/RTDC4014/2016-08-14/ "%USERPROFILE%\AppData\Local\Temp\OnboardLogs"\RTDC4014\2016-08-14 --recursive &amp; "%USERPROFILE%\Documents\GitHub\mrs-test-scripts\Headless Mode &amp; Sideloading\WalkAndUnGZ.bat" "%USERPROFILE%\AppData\Local\Temp\OnboardLogs"\RTDC4014\2016-08-14 &amp; 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</v>
      </c>
      <c r="Q44" s="119" t="str">
        <f>VLOOKUP(C44,'Train Runs'!$A$13:$AE$190,22,0)</f>
        <v>https://search-rtdc-monitor-bjffxe2xuh6vdkpspy63sjmuny.us-east-1.es.amazonaws.com/_plugin/kibana/#/discover/Steve-Slow-Train-Analysis-(2080s-and-2083s)?_g=(refreshInterval:(display:Off,section:0,value:0),time:(from:'2016-08-14 05:54:18-0600',mode:absolute,to:'2016-08-14 08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44" s="122" t="str">
        <f t="shared" si="5"/>
        <v>"C:\Program Files (x86)\AstroGrep\AstroGrep.exe" /spath="%USERPROFILE%\AppData\Local\Temp\OnboardLogs" /stypes="*4014*201608141*" /stext=" 13:.+((SYSTEM_STATE.+slice.+state.+changed )|(ment ac)|(system.+state.+changed )|(\|lc)|(penalty)|(\[timeout)|(PRM\|1\|D)|(kpr)|(kdp))" /e /r /s</v>
      </c>
      <c r="S44" s="9" t="str">
        <f t="shared" si="6"/>
        <v>4014</v>
      </c>
      <c r="T44" s="39">
        <f t="shared" si="7"/>
        <v>42596.566921296297</v>
      </c>
      <c r="U44" s="53" t="str">
        <f t="shared" si="8"/>
        <v>EC</v>
      </c>
      <c r="V44" s="53" t="str">
        <f t="shared" si="9"/>
        <v>KEEP</v>
      </c>
    </row>
    <row r="45" spans="1:22" x14ac:dyDescent="0.25">
      <c r="A45" s="39">
        <v>42596.590856481482</v>
      </c>
      <c r="B45" s="34" t="s">
        <v>97</v>
      </c>
      <c r="C45" s="34" t="s">
        <v>430</v>
      </c>
      <c r="D45" s="34" t="s">
        <v>49</v>
      </c>
      <c r="E45" s="34" t="s">
        <v>50</v>
      </c>
      <c r="F45" s="50">
        <v>0</v>
      </c>
      <c r="G45" s="50">
        <v>86</v>
      </c>
      <c r="H45" s="50">
        <v>233179</v>
      </c>
      <c r="I45" s="34" t="s">
        <v>51</v>
      </c>
      <c r="J45" s="50">
        <v>233491</v>
      </c>
      <c r="K45" s="34" t="s">
        <v>52</v>
      </c>
      <c r="L45" s="97" t="str">
        <f>VLOOKUP(C45,'Trips&amp;Operators'!$C$1:$E$9999,3,0)</f>
        <v>MOSES</v>
      </c>
      <c r="M45" s="141" t="s">
        <v>90</v>
      </c>
      <c r="N45" s="10"/>
      <c r="O45" s="34"/>
      <c r="P45" s="115" t="str">
        <f>VLOOKUP(C45,'Train Runs'!$A$13:$AE$190,31,0)</f>
        <v>aws s3 cp s3://rtdc.mdm.uploadarchive/RTDC4027/2016-08-14/ "%USERPROFILE%\AppData\Local\Temp\OnboardLogs"\RTDC4027\2016-08-14 --recursive &amp; "%USERPROFILE%\Documents\GitHub\mrs-test-scripts\Headless Mode &amp; Sideloading\WalkAndUnGZ.bat" "%USERPROFILE%\AppData\Local\Temp\OnboardLogs"\RTDC4027\2016-08-14 &amp; 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</v>
      </c>
      <c r="Q45" s="119" t="str">
        <f>VLOOKUP(C45,'Train Runs'!$A$13:$AE$190,22,0)</f>
        <v>https://search-rtdc-monitor-bjffxe2xuh6vdkpspy63sjmuny.us-east-1.es.amazonaws.com/_plugin/kibana/#/discover/Steve-Slow-Train-Analysis-(2080s-and-2083s)?_g=(refreshInterval:(display:Off,section:0,value:0),time:(from:'2016-08-14 12:27:23-0600',mode:absolute,to:'2016-08-14 15:10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45" s="122" t="str">
        <f t="shared" si="5"/>
        <v>"C:\Program Files (x86)\AstroGrep\AstroGrep.exe" /spath="%USERPROFILE%\AppData\Local\Temp\OnboardLogs" /stypes="*4027*201608142*" /stext=" 20:.+((SYSTEM_STATE.+slice.+state.+changed )|(ment ac)|(system.+state.+changed )|(\|lc)|(penalty)|(\[timeout)|(PRM\|1\|D)|(kpr)|(kdp))" /e /r /s</v>
      </c>
      <c r="S45" s="9" t="str">
        <f t="shared" si="6"/>
        <v>4027</v>
      </c>
      <c r="T45" s="39">
        <f t="shared" si="7"/>
        <v>42596.840856481482</v>
      </c>
      <c r="U45" s="53" t="str">
        <f t="shared" si="8"/>
        <v>EC</v>
      </c>
      <c r="V45" s="53" t="str">
        <f t="shared" si="9"/>
        <v>KEEP</v>
      </c>
    </row>
    <row r="46" spans="1:22" x14ac:dyDescent="0.25">
      <c r="A46" s="39">
        <v>42596.743692129632</v>
      </c>
      <c r="B46" s="34" t="s">
        <v>193</v>
      </c>
      <c r="C46" s="34" t="s">
        <v>567</v>
      </c>
      <c r="D46" s="34" t="s">
        <v>49</v>
      </c>
      <c r="E46" s="34" t="s">
        <v>50</v>
      </c>
      <c r="F46" s="50">
        <v>0</v>
      </c>
      <c r="G46" s="50">
        <v>32</v>
      </c>
      <c r="H46" s="50">
        <v>233385</v>
      </c>
      <c r="I46" s="34" t="s">
        <v>51</v>
      </c>
      <c r="J46" s="50">
        <v>233491</v>
      </c>
      <c r="K46" s="34" t="s">
        <v>52</v>
      </c>
      <c r="L46" s="97" t="str">
        <f>VLOOKUP(C46,'Trips&amp;Operators'!$C$1:$E$9999,3,0)</f>
        <v>STORY</v>
      </c>
      <c r="M46" s="141" t="s">
        <v>90</v>
      </c>
      <c r="N46" s="10"/>
      <c r="O46" s="34"/>
      <c r="P46" s="115" t="str">
        <f>VLOOKUP(C46,'Train Runs'!$A$13:$AE$190,31,0)</f>
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</c>
      <c r="Q46" s="119" t="str">
        <f>VLOOKUP(C46,'Train Runs'!$A$13:$AE$190,22,0)</f>
        <v>https://search-rtdc-monitor-bjffxe2xuh6vdkpspy63sjmuny.us-east-1.es.amazonaws.com/_plugin/kibana/#/discover/Steve-Slow-Train-Analysis-(2080s-and-2083s)?_g=(refreshInterval:(display:Off,section:0,value:0),time:(from:'2016-08-14 16:11:01-0600',mode:absolute,to:'2016-08-14 18:51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46" s="122" t="str">
        <f t="shared" si="5"/>
        <v>"C:\Program Files (x86)\AstroGrep\AstroGrep.exe" /spath="%USERPROFILE%\AppData\Local\Temp\OnboardLogs" /stypes="*4038*201608142*" /stext=" 23:.+((SYSTEM_STATE.+slice.+state.+changed )|(ment ac)|(system.+state.+changed )|(\|lc)|(penalty)|(\[timeout)|(PRM\|1\|D)|(kpr)|(kdp))" /e /r /s</v>
      </c>
      <c r="S46" s="9" t="str">
        <f t="shared" si="6"/>
        <v>4038</v>
      </c>
      <c r="T46" s="39">
        <f t="shared" si="7"/>
        <v>42596.993692129632</v>
      </c>
      <c r="U46" s="53" t="str">
        <f t="shared" si="8"/>
        <v>EC</v>
      </c>
      <c r="V46" s="53" t="str">
        <f t="shared" si="9"/>
        <v>KEEP</v>
      </c>
    </row>
    <row r="47" spans="1:22" x14ac:dyDescent="0.25">
      <c r="A47" s="39">
        <v>42596.796041666668</v>
      </c>
      <c r="B47" s="34" t="s">
        <v>648</v>
      </c>
      <c r="C47" s="34" t="s">
        <v>587</v>
      </c>
      <c r="D47" s="34" t="s">
        <v>49</v>
      </c>
      <c r="E47" s="34" t="s">
        <v>50</v>
      </c>
      <c r="F47" s="50">
        <v>0</v>
      </c>
      <c r="G47" s="50">
        <v>92</v>
      </c>
      <c r="H47" s="50">
        <v>233142</v>
      </c>
      <c r="I47" s="34" t="s">
        <v>51</v>
      </c>
      <c r="J47" s="50">
        <v>233491</v>
      </c>
      <c r="K47" s="34" t="s">
        <v>52</v>
      </c>
      <c r="L47" s="97" t="str">
        <f>VLOOKUP(C47,'Trips&amp;Operators'!$C$1:$E$9999,3,0)</f>
        <v>STAMBAUGH</v>
      </c>
      <c r="M47" s="141" t="s">
        <v>90</v>
      </c>
      <c r="N47" s="10"/>
      <c r="O47" s="34"/>
      <c r="P47" s="115" t="str">
        <f>VLOOKUP(C47,'Train Runs'!$A$13:$AE$190,31,0)</f>
        <v>aws s3 cp s3://rtdc.mdm.uploadarchive/RTDC4025/2016-08-14/ "%USERPROFILE%\AppData\Local\Temp\OnboardLogs"\RTDC4025\2016-08-14 --recursive &amp; "%USERPROFILE%\Documents\GitHub\mrs-test-scripts\Headless Mode &amp; Sideloading\WalkAndUnGZ.bat" "%USERPROFILE%\AppData\Local\Temp\OnboardLogs"\RTDC4025\2016-08-14 &amp; 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</v>
      </c>
      <c r="Q47" s="119" t="str">
        <f>VLOOKUP(C47,'Train Runs'!$A$13:$AE$190,22,0)</f>
        <v>https://search-rtdc-monitor-bjffxe2xuh6vdkpspy63sjmuny.us-east-1.es.amazonaws.com/_plugin/kibana/#/discover/Steve-Slow-Train-Analysis-(2080s-and-2083s)?_g=(refreshInterval:(display:Off,section:0,value:0),time:(from:'2016-08-14 17:24:51-0600',mode:absolute,to:'2016-08-14 20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R47" s="122" t="str">
        <f t="shared" si="5"/>
        <v>"C:\Program Files (x86)\AstroGrep\AstroGrep.exe" /spath="%USERPROFILE%\AppData\Local\Temp\OnboardLogs" /stypes="*4025*201608150*" /stext=" 01:.+((SYSTEM_STATE.+slice.+state.+changed )|(ment ac)|(system.+state.+changed )|(\|lc)|(penalty)|(\[timeout)|(PRM\|1\|D)|(kpr)|(kdp))" /e /r /s</v>
      </c>
      <c r="S47" s="9" t="str">
        <f t="shared" si="6"/>
        <v>4025</v>
      </c>
      <c r="T47" s="39">
        <f t="shared" si="7"/>
        <v>42597.046041666668</v>
      </c>
      <c r="U47" s="53" t="str">
        <f t="shared" si="8"/>
        <v>EC</v>
      </c>
      <c r="V47" s="53" t="str">
        <f t="shared" si="9"/>
        <v>KEEP</v>
      </c>
    </row>
    <row r="48" spans="1:22" ht="15" customHeight="1" x14ac:dyDescent="0.25">
      <c r="A48" s="39">
        <v>42596.816145833334</v>
      </c>
      <c r="B48" s="34" t="s">
        <v>193</v>
      </c>
      <c r="C48" s="34" t="s">
        <v>591</v>
      </c>
      <c r="D48" s="34" t="s">
        <v>49</v>
      </c>
      <c r="E48" s="34" t="s">
        <v>50</v>
      </c>
      <c r="F48" s="50">
        <v>0</v>
      </c>
      <c r="G48" s="50">
        <v>45</v>
      </c>
      <c r="H48" s="50">
        <v>233347</v>
      </c>
      <c r="I48" s="34" t="s">
        <v>51</v>
      </c>
      <c r="J48" s="50">
        <v>233491</v>
      </c>
      <c r="K48" s="34" t="s">
        <v>52</v>
      </c>
      <c r="L48" s="97" t="str">
        <f>VLOOKUP(C48,'Trips&amp;Operators'!$C$1:$E$9999,3,0)</f>
        <v>STORY</v>
      </c>
      <c r="M48" s="141" t="s">
        <v>90</v>
      </c>
      <c r="N48" s="10"/>
      <c r="O48" s="34"/>
      <c r="P48" s="115" t="str">
        <f>VLOOKUP(C48,'Train Runs'!$A$13:$AE$190,31,0)</f>
        <v>aws s3 cp s3://rtdc.mdm.uploadarchive/RTDC4038/2016-08-14/ "%USERPROFILE%\AppData\Local\Temp\OnboardLogs"\RTDC4038\2016-08-14 --recursive &amp; "%USERPROFILE%\Documents\GitHub\mrs-test-scripts\Headless Mode &amp; Sideloading\WalkAndUnGZ.bat" "%USERPROFILE%\AppData\Local\Temp\OnboardLogs"\RTDC4038\2016-08-14 &amp; 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</v>
      </c>
      <c r="Q48" s="119" t="str">
        <f>VLOOKUP(C48,'Train Runs'!$A$13:$AE$190,22,0)</f>
        <v>https://search-rtdc-monitor-bjffxe2xuh6vdkpspy63sjmuny.us-east-1.es.amazonaws.com/_plugin/kibana/#/discover/Steve-Slow-Train-Analysis-(2080s-and-2083s)?_g=(refreshInterval:(display:Off,section:0,value:0),time:(from:'2016-08-14 17:53:30-0600',mode:absolute,to:'2016-08-14 20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48" s="122" t="str">
        <f t="shared" si="5"/>
        <v>"C:\Program Files (x86)\AstroGrep\AstroGrep.exe" /spath="%USERPROFILE%\AppData\Local\Temp\OnboardLogs" /stypes="*4038*201608150*" /stext=" 01:.+((SYSTEM_STATE.+slice.+state.+changed )|(ment ac)|(system.+state.+changed )|(\|lc)|(penalty)|(\[timeout)|(PRM\|1\|D)|(kpr)|(kdp))" /e /r /s</v>
      </c>
      <c r="S48" s="9" t="str">
        <f t="shared" si="6"/>
        <v>4038</v>
      </c>
      <c r="T48" s="39">
        <f t="shared" si="7"/>
        <v>42597.066145833334</v>
      </c>
      <c r="U48" s="53" t="str">
        <f t="shared" si="8"/>
        <v>EC</v>
      </c>
      <c r="V48" s="53" t="str">
        <f t="shared" si="9"/>
        <v>KEEP</v>
      </c>
    </row>
    <row r="49" spans="1:22" x14ac:dyDescent="0.25">
      <c r="A49" s="39">
        <v>42596.239710648151</v>
      </c>
      <c r="B49" s="34" t="s">
        <v>240</v>
      </c>
      <c r="C49" s="34" t="s">
        <v>432</v>
      </c>
      <c r="D49" s="34" t="s">
        <v>49</v>
      </c>
      <c r="E49" s="34" t="s">
        <v>56</v>
      </c>
      <c r="F49" s="50">
        <v>400</v>
      </c>
      <c r="G49" s="50">
        <v>503</v>
      </c>
      <c r="H49" s="50">
        <v>51351</v>
      </c>
      <c r="I49" s="34" t="s">
        <v>57</v>
      </c>
      <c r="J49" s="50">
        <v>49775</v>
      </c>
      <c r="K49" s="34" t="s">
        <v>53</v>
      </c>
      <c r="L49" s="97" t="str">
        <f>VLOOKUP(C49,'Trips&amp;Operators'!$C$1:$E$9999,3,0)</f>
        <v>STARKS</v>
      </c>
      <c r="M49" s="141" t="s">
        <v>90</v>
      </c>
      <c r="N49" s="10"/>
      <c r="O49" s="34"/>
      <c r="P49" s="115" t="str">
        <f>VLOOKUP(C49,'Train Runs'!$A$13:$AE$190,31,0)</f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Q49" s="119" t="str">
        <f>VLOOKUP(C49,'Train Runs'!$A$13:$AE$190,22,0)</f>
        <v>https://search-rtdc-monitor-bjffxe2xuh6vdkpspy63sjmuny.us-east-1.es.amazonaws.com/_plugin/kibana/#/discover/Steve-Slow-Train-Analysis-(2080s-and-2083s)?_g=(refreshInterval:(display:Off,section:0,value:0),time:(from:'2016-08-14 04:40:15-0600',mode:absolute,to:'2016-08-14 06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49" s="122" t="str">
        <f t="shared" si="5"/>
        <v>"C:\Program Files (x86)\AstroGrep\AstroGrep.exe" /spath="%USERPROFILE%\AppData\Local\Temp\OnboardLogs" /stypes="*4019*201608141*" /stext=" 11:.+((SYSTEM_STATE.+slice.+state.+changed )|(ment ac)|(system.+state.+changed )|(\|lc)|(penalty)|(\[timeout)|(PRM\|1\|D)|(kpr)|(kdp))" /e /r /s</v>
      </c>
      <c r="S49" s="9" t="str">
        <f t="shared" si="6"/>
        <v>4019</v>
      </c>
      <c r="T49" s="39">
        <f t="shared" si="7"/>
        <v>42596.489710648151</v>
      </c>
      <c r="U49" s="53" t="str">
        <f t="shared" si="8"/>
        <v>NW</v>
      </c>
      <c r="V49" s="53" t="str">
        <f t="shared" si="9"/>
        <v>KEEP</v>
      </c>
    </row>
    <row r="50" spans="1:22" x14ac:dyDescent="0.25">
      <c r="A50" s="39">
        <v>42596.732164351852</v>
      </c>
      <c r="B50" s="34" t="s">
        <v>237</v>
      </c>
      <c r="C50" s="34" t="s">
        <v>488</v>
      </c>
      <c r="D50" s="34" t="s">
        <v>49</v>
      </c>
      <c r="E50" s="34" t="s">
        <v>56</v>
      </c>
      <c r="F50" s="50">
        <v>150</v>
      </c>
      <c r="G50" s="50">
        <v>290</v>
      </c>
      <c r="H50" s="50">
        <v>55879</v>
      </c>
      <c r="I50" s="34" t="s">
        <v>57</v>
      </c>
      <c r="J50" s="50">
        <v>57008</v>
      </c>
      <c r="K50" s="34" t="s">
        <v>52</v>
      </c>
      <c r="L50" s="97" t="str">
        <f>VLOOKUP(C50,'Trips&amp;Operators'!$C$1:$E$9999,3,0)</f>
        <v>NATION</v>
      </c>
      <c r="M50" s="141" t="s">
        <v>90</v>
      </c>
      <c r="N50" s="10"/>
      <c r="O50" s="34"/>
      <c r="P50" s="115" t="str">
        <f>VLOOKUP(C50,'Train Runs'!$A$13:$AE$190,31,0)</f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Q50" s="119" t="str">
        <f>VLOOKUP(C50,'Train Runs'!$A$13:$AE$190,22,0)</f>
        <v>https://search-rtdc-monitor-bjffxe2xuh6vdkpspy63sjmuny.us-east-1.es.amazonaws.com/_plugin/kibana/#/discover/Steve-Slow-Train-Analysis-(2080s-and-2083s)?_g=(refreshInterval:(display:Off,section:0,value:0),time:(from:'2016-08-14 16:03:49-0600',mode:absolute,to:'2016-08-14 18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50" s="122" t="str">
        <f t="shared" si="5"/>
        <v>"C:\Program Files (x86)\AstroGrep\AstroGrep.exe" /spath="%USERPROFILE%\AppData\Local\Temp\OnboardLogs" /stypes="*4020*201608142*" /stext=" 23:.+((SYSTEM_STATE.+slice.+state.+changed )|(ment ac)|(system.+state.+changed )|(\|lc)|(penalty)|(\[timeout)|(PRM\|1\|D)|(kpr)|(kdp))" /e /r /s</v>
      </c>
      <c r="S50" s="9" t="str">
        <f t="shared" si="6"/>
        <v>4020</v>
      </c>
      <c r="T50" s="39">
        <f t="shared" si="7"/>
        <v>42596.982164351852</v>
      </c>
      <c r="U50" s="53" t="str">
        <f t="shared" si="8"/>
        <v>NW</v>
      </c>
      <c r="V50" s="53" t="str">
        <f t="shared" si="9"/>
        <v>KEEP</v>
      </c>
    </row>
    <row r="51" spans="1:22" x14ac:dyDescent="0.25">
      <c r="A51" s="39">
        <v>42596.655289351853</v>
      </c>
      <c r="B51" s="34" t="s">
        <v>240</v>
      </c>
      <c r="C51" s="34" t="s">
        <v>479</v>
      </c>
      <c r="D51" s="34" t="s">
        <v>117</v>
      </c>
      <c r="E51" s="34" t="s">
        <v>56</v>
      </c>
      <c r="F51" s="50">
        <v>150</v>
      </c>
      <c r="G51" s="50">
        <v>231</v>
      </c>
      <c r="H51" s="50">
        <v>56726</v>
      </c>
      <c r="I51" s="34" t="s">
        <v>57</v>
      </c>
      <c r="J51" s="50">
        <v>59050</v>
      </c>
      <c r="K51" s="34" t="s">
        <v>53</v>
      </c>
      <c r="L51" s="97" t="str">
        <f>VLOOKUP(C51,'Trips&amp;Operators'!$C$1:$E$9999,3,0)</f>
        <v>NATION</v>
      </c>
      <c r="M51" s="141" t="s">
        <v>90</v>
      </c>
      <c r="N51" s="10"/>
      <c r="O51" s="34"/>
      <c r="P51" s="115" t="str">
        <f>VLOOKUP(C51,'Train Runs'!$A$13:$AE$190,31,0)</f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Q51" s="119" t="str">
        <f>VLOOKUP(C51,'Train Runs'!$A$13:$AE$190,22,0)</f>
        <v>https://search-rtdc-monitor-bjffxe2xuh6vdkpspy63sjmuny.us-east-1.es.amazonaws.com/_plugin/kibana/#/discover/Steve-Slow-Train-Analysis-(2080s-and-2083s)?_g=(refreshInterval:(display:Off,section:0,value:0),time:(from:'2016-08-14 14:40:04-0600',mode:absolute,to:'2016-08-14 16:46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51" s="122" t="str">
        <f t="shared" si="5"/>
        <v>"C:\Program Files (x86)\AstroGrep\AstroGrep.exe" /spath="%USERPROFILE%\AppData\Local\Temp\OnboardLogs" /stypes="*4019*201608142*" /stext=" 21:.+((SYSTEM_STATE.+slice.+state.+changed )|(ment ac)|(system.+state.+changed )|(\|lc)|(penalty)|(\[timeout)|(PRM\|1\|D)|(kpr)|(kdp))" /e /r /s</v>
      </c>
      <c r="S51" s="9" t="str">
        <f t="shared" si="6"/>
        <v>4019</v>
      </c>
      <c r="T51" s="39">
        <f t="shared" si="7"/>
        <v>42596.905289351853</v>
      </c>
      <c r="U51" s="53" t="str">
        <f t="shared" si="8"/>
        <v>NW</v>
      </c>
      <c r="V51" s="53" t="str">
        <f t="shared" si="9"/>
        <v>KEEP</v>
      </c>
    </row>
    <row r="52" spans="1:22" x14ac:dyDescent="0.25">
      <c r="A52" s="39">
        <v>42596.520405092589</v>
      </c>
      <c r="B52" s="34" t="s">
        <v>237</v>
      </c>
      <c r="C52" s="34" t="s">
        <v>464</v>
      </c>
      <c r="D52" s="34" t="s">
        <v>49</v>
      </c>
      <c r="E52" s="34" t="s">
        <v>54</v>
      </c>
      <c r="F52" s="50">
        <v>0</v>
      </c>
      <c r="G52" s="50">
        <v>598</v>
      </c>
      <c r="H52" s="50">
        <v>30407</v>
      </c>
      <c r="I52" s="34" t="s">
        <v>55</v>
      </c>
      <c r="J52" s="50">
        <v>33252</v>
      </c>
      <c r="K52" s="34" t="s">
        <v>52</v>
      </c>
      <c r="L52" s="97" t="str">
        <f>VLOOKUP(C52,'Trips&amp;Operators'!$C$1:$E$9999,3,0)</f>
        <v>STARKS</v>
      </c>
      <c r="M52" s="141" t="s">
        <v>89</v>
      </c>
      <c r="N52" s="10" t="s">
        <v>677</v>
      </c>
      <c r="O52" s="34"/>
      <c r="P52" s="115" t="str">
        <f>VLOOKUP(C52,'Train Runs'!$A$13:$AE$190,31,0)</f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Q52" s="119" t="str">
        <f>VLOOKUP(C52,'Train Runs'!$A$13:$AE$190,22,0)</f>
        <v>https://search-rtdc-monitor-bjffxe2xuh6vdkpspy63sjmuny.us-east-1.es.amazonaws.com/_plugin/kibana/#/discover/Steve-Slow-Train-Analysis-(2080s-and-2083s)?_g=(refreshInterval:(display:Off,section:0,value:0),time:(from:'2016-08-14 11:16:35-0600',mode:absolute,to:'2016-08-14 13:43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52" s="122" t="str">
        <f t="shared" si="5"/>
        <v>"C:\Program Files (x86)\AstroGrep\AstroGrep.exe" /spath="%USERPROFILE%\AppData\Local\Temp\OnboardLogs" /stypes="*4020*201608141*" /stext=" 18:.+((SYSTEM_STATE.+slice.+state.+changed )|(ment ac)|(system.+state.+changed )|(\|lc)|(penalty)|(\[timeout)|(PRM\|1\|D)|(kpr)|(kdp))" /e /r /s</v>
      </c>
      <c r="S52" s="9" t="str">
        <f t="shared" si="6"/>
        <v>4020</v>
      </c>
      <c r="T52" s="39">
        <f t="shared" si="7"/>
        <v>42596.770405092589</v>
      </c>
      <c r="U52" s="53" t="str">
        <f t="shared" si="8"/>
        <v>NW</v>
      </c>
      <c r="V52" s="53" t="str">
        <f t="shared" si="9"/>
        <v>KEEP</v>
      </c>
    </row>
    <row r="53" spans="1:22" x14ac:dyDescent="0.25">
      <c r="A53" s="39">
        <v>42596.522638888891</v>
      </c>
      <c r="B53" s="34" t="s">
        <v>237</v>
      </c>
      <c r="C53" s="34" t="s">
        <v>464</v>
      </c>
      <c r="D53" s="34" t="s">
        <v>49</v>
      </c>
      <c r="E53" s="34" t="s">
        <v>54</v>
      </c>
      <c r="F53" s="50">
        <v>0</v>
      </c>
      <c r="G53" s="50">
        <v>130</v>
      </c>
      <c r="H53" s="50">
        <v>37021</v>
      </c>
      <c r="I53" s="34" t="s">
        <v>55</v>
      </c>
      <c r="J53" s="50">
        <v>37602</v>
      </c>
      <c r="K53" s="34" t="s">
        <v>52</v>
      </c>
      <c r="L53" s="97" t="str">
        <f>VLOOKUP(C53,'Trips&amp;Operators'!$C$1:$E$9999,3,0)</f>
        <v>STARKS</v>
      </c>
      <c r="M53" s="141" t="s">
        <v>89</v>
      </c>
      <c r="N53" s="10" t="s">
        <v>677</v>
      </c>
      <c r="O53" s="34"/>
      <c r="P53" s="115" t="str">
        <f>VLOOKUP(C53,'Train Runs'!$A$13:$AE$190,31,0)</f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Q53" s="119" t="str">
        <f>VLOOKUP(C53,'Train Runs'!$A$13:$AE$190,22,0)</f>
        <v>https://search-rtdc-monitor-bjffxe2xuh6vdkpspy63sjmuny.us-east-1.es.amazonaws.com/_plugin/kibana/#/discover/Steve-Slow-Train-Analysis-(2080s-and-2083s)?_g=(refreshInterval:(display:Off,section:0,value:0),time:(from:'2016-08-14 11:16:35-0600',mode:absolute,to:'2016-08-14 13:43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53" s="122" t="str">
        <f t="shared" si="5"/>
        <v>"C:\Program Files (x86)\AstroGrep\AstroGrep.exe" /spath="%USERPROFILE%\AppData\Local\Temp\OnboardLogs" /stypes="*4020*201608141*" /stext=" 18:.+((SYSTEM_STATE.+slice.+state.+changed )|(ment ac)|(system.+state.+changed )|(\|lc)|(penalty)|(\[timeout)|(PRM\|1\|D)|(kpr)|(kdp))" /e /r /s</v>
      </c>
      <c r="S53" s="9" t="str">
        <f t="shared" si="6"/>
        <v>4020</v>
      </c>
      <c r="T53" s="39">
        <f t="shared" si="7"/>
        <v>42596.772638888891</v>
      </c>
      <c r="U53" s="53" t="str">
        <f t="shared" si="8"/>
        <v>NW</v>
      </c>
      <c r="V53" s="53" t="str">
        <f t="shared" si="9"/>
        <v>KEEP</v>
      </c>
    </row>
    <row r="54" spans="1:22" x14ac:dyDescent="0.25">
      <c r="A54" s="39">
        <v>42596.896284722221</v>
      </c>
      <c r="B54" s="34" t="s">
        <v>237</v>
      </c>
      <c r="C54" s="34" t="s">
        <v>512</v>
      </c>
      <c r="D54" s="34" t="s">
        <v>49</v>
      </c>
      <c r="E54" s="34" t="s">
        <v>54</v>
      </c>
      <c r="F54" s="50">
        <v>0</v>
      </c>
      <c r="G54" s="50">
        <v>400</v>
      </c>
      <c r="H54" s="50">
        <v>37216</v>
      </c>
      <c r="I54" s="34" t="s">
        <v>55</v>
      </c>
      <c r="J54" s="50">
        <v>37602</v>
      </c>
      <c r="K54" s="34" t="s">
        <v>52</v>
      </c>
      <c r="L54" s="97" t="str">
        <f>VLOOKUP(C54,'Trips&amp;Operators'!$C$1:$E$9999,3,0)</f>
        <v>ALONZO</v>
      </c>
      <c r="M54" s="141" t="s">
        <v>89</v>
      </c>
      <c r="N54" s="10" t="s">
        <v>675</v>
      </c>
      <c r="O54" s="34"/>
      <c r="P54" s="115" t="str">
        <f>VLOOKUP(C54,'Train Runs'!$A$13:$AE$190,31,0)</f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Q54" s="119" t="str">
        <f>VLOOKUP(C54,'Train Runs'!$A$13:$AE$190,22,0)</f>
        <v>https://search-rtdc-monitor-bjffxe2xuh6vdkpspy63sjmuny.us-east-1.es.amazonaws.com/_plugin/kibana/#/discover/Steve-Slow-Train-Analysis-(2080s-and-2083s)?_g=(refreshInterval:(display:Off,section:0,value:0),time:(from:'2016-08-14 20:15:14-0600',mode:absolute,to:'2016-08-14 22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54" s="122" t="str">
        <f t="shared" si="5"/>
        <v>"C:\Program Files (x86)\AstroGrep\AstroGrep.exe" /spath="%USERPROFILE%\AppData\Local\Temp\OnboardLogs" /stypes="*4020*201608150*" /stext=" 03:.+((SYSTEM_STATE.+slice.+state.+changed )|(ment ac)|(system.+state.+changed )|(\|lc)|(penalty)|(\[timeout)|(PRM\|1\|D)|(kpr)|(kdp))" /e /r /s</v>
      </c>
      <c r="S54" s="9" t="str">
        <f t="shared" si="6"/>
        <v>4020</v>
      </c>
      <c r="T54" s="39">
        <f t="shared" si="7"/>
        <v>42597.146284722221</v>
      </c>
      <c r="U54" s="53" t="str">
        <f t="shared" si="8"/>
        <v>NW</v>
      </c>
      <c r="V54" s="53" t="str">
        <f t="shared" si="9"/>
        <v>KEEP</v>
      </c>
    </row>
    <row r="55" spans="1:22" x14ac:dyDescent="0.25">
      <c r="A55" s="39">
        <v>42596.695381944446</v>
      </c>
      <c r="B55" s="34" t="s">
        <v>240</v>
      </c>
      <c r="C55" s="34" t="s">
        <v>485</v>
      </c>
      <c r="D55" s="34" t="s">
        <v>117</v>
      </c>
      <c r="E55" s="34" t="s">
        <v>54</v>
      </c>
      <c r="F55" s="50">
        <v>0</v>
      </c>
      <c r="G55" s="50">
        <v>85</v>
      </c>
      <c r="H55" s="50">
        <v>58002</v>
      </c>
      <c r="I55" s="34" t="s">
        <v>55</v>
      </c>
      <c r="J55" s="50">
        <v>48761</v>
      </c>
      <c r="K55" s="34" t="s">
        <v>52</v>
      </c>
      <c r="L55" s="97" t="str">
        <f>VLOOKUP(C55,'Trips&amp;Operators'!$C$1:$E$9999,3,0)</f>
        <v>NATION</v>
      </c>
      <c r="M55" s="141" t="s">
        <v>89</v>
      </c>
      <c r="N55" s="10" t="s">
        <v>667</v>
      </c>
      <c r="O55" s="34"/>
      <c r="P55" s="115" t="str">
        <f>VLOOKUP(C55,'Train Runs'!$A$13:$AE$190,31,0)</f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Q55" s="119" t="str">
        <f>VLOOKUP(C55,'Train Runs'!$A$13:$AE$190,22,0)</f>
        <v>https://search-rtdc-monitor-bjffxe2xuh6vdkpspy63sjmuny.us-east-1.es.amazonaws.com/_plugin/kibana/#/discover/Steve-Slow-Train-Analysis-(2080s-and-2083s)?_g=(refreshInterval:(display:Off,section:0,value:0),time:(from:'2016-08-14 15:37:20-0600',mode:absolute,to:'2016-08-14 17:42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55" s="122" t="str">
        <f t="shared" si="5"/>
        <v>"C:\Program Files (x86)\AstroGrep\AstroGrep.exe" /spath="%USERPROFILE%\AppData\Local\Temp\OnboardLogs" /stypes="*4019*201608142*" /stext=" 22:.+((SYSTEM_STATE.+slice.+state.+changed )|(ment ac)|(system.+state.+changed )|(\|lc)|(penalty)|(\[timeout)|(PRM\|1\|D)|(kpr)|(kdp))" /e /r /s</v>
      </c>
      <c r="S55" s="9" t="str">
        <f t="shared" si="6"/>
        <v>4019</v>
      </c>
      <c r="T55" s="39">
        <f t="shared" si="7"/>
        <v>42596.945381944446</v>
      </c>
      <c r="U55" s="53" t="str">
        <f t="shared" si="8"/>
        <v>NW</v>
      </c>
      <c r="V55" s="53" t="str">
        <f t="shared" si="9"/>
        <v>KEEP</v>
      </c>
    </row>
    <row r="56" spans="1:22" x14ac:dyDescent="0.25">
      <c r="A56" s="39">
        <v>42596.411817129629</v>
      </c>
      <c r="B56" s="34" t="s">
        <v>240</v>
      </c>
      <c r="C56" s="34" t="s">
        <v>449</v>
      </c>
      <c r="D56" s="34" t="s">
        <v>49</v>
      </c>
      <c r="E56" s="34" t="s">
        <v>238</v>
      </c>
      <c r="F56" s="50">
        <v>0</v>
      </c>
      <c r="G56" s="50">
        <v>163</v>
      </c>
      <c r="H56" s="50">
        <v>5125</v>
      </c>
      <c r="I56" s="34" t="s">
        <v>239</v>
      </c>
      <c r="J56" s="50">
        <v>4498</v>
      </c>
      <c r="K56" s="34" t="s">
        <v>53</v>
      </c>
      <c r="L56" s="97" t="str">
        <f>VLOOKUP(C56,'Trips&amp;Operators'!$C$1:$E$9999,3,0)</f>
        <v>STARKS</v>
      </c>
      <c r="M56" s="141" t="s">
        <v>89</v>
      </c>
      <c r="N56" s="10" t="s">
        <v>675</v>
      </c>
      <c r="O56" s="34"/>
      <c r="P56" s="115" t="str">
        <f>VLOOKUP(C56,'Train Runs'!$A$13:$AE$190,31,0)</f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Q56" s="119" t="str">
        <f>VLOOKUP(C56,'Train Runs'!$A$13:$AE$190,22,0)</f>
        <v>https://search-rtdc-monitor-bjffxe2xuh6vdkpspy63sjmuny.us-east-1.es.amazonaws.com/_plugin/kibana/#/discover/Steve-Slow-Train-Analysis-(2080s-and-2083s)?_g=(refreshInterval:(display:Off,section:0,value:0),time:(from:'2016-08-14 08:37:07-0600',mode:absolute,to:'2016-08-14 10:56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56" s="122" t="str">
        <f t="shared" si="5"/>
        <v>"C:\Program Files (x86)\AstroGrep\AstroGrep.exe" /spath="%USERPROFILE%\AppData\Local\Temp\OnboardLogs" /stypes="*4019*201608141*" /stext=" 15:.+((SYSTEM_STATE.+slice.+state.+changed )|(ment ac)|(system.+state.+changed )|(\|lc)|(penalty)|(\[timeout)|(PRM\|1\|D)|(kpr)|(kdp))" /e /r /s</v>
      </c>
      <c r="S56" s="9" t="str">
        <f t="shared" si="6"/>
        <v>4019</v>
      </c>
      <c r="T56" s="39">
        <f t="shared" si="7"/>
        <v>42596.661817129629</v>
      </c>
      <c r="U56" s="53" t="str">
        <f t="shared" si="8"/>
        <v>NW</v>
      </c>
      <c r="V56" s="53" t="str">
        <f t="shared" si="9"/>
        <v>KEEP</v>
      </c>
    </row>
    <row r="57" spans="1:22" x14ac:dyDescent="0.25">
      <c r="A57" s="39">
        <v>42596.326689814814</v>
      </c>
      <c r="B57" s="34" t="s">
        <v>240</v>
      </c>
      <c r="C57" s="34" t="s">
        <v>441</v>
      </c>
      <c r="D57" s="34" t="s">
        <v>49</v>
      </c>
      <c r="E57" s="34" t="s">
        <v>298</v>
      </c>
      <c r="F57" s="50">
        <v>100</v>
      </c>
      <c r="G57" s="50">
        <v>255</v>
      </c>
      <c r="H57" s="50">
        <v>12630</v>
      </c>
      <c r="I57" s="34" t="s">
        <v>297</v>
      </c>
      <c r="J57" s="50">
        <v>11000</v>
      </c>
      <c r="K57" s="34" t="s">
        <v>53</v>
      </c>
      <c r="L57" s="97" t="str">
        <f>VLOOKUP(C57,'Trips&amp;Operators'!$C$1:$E$9999,3,0)</f>
        <v>STARKS</v>
      </c>
      <c r="M57" s="141" t="s">
        <v>90</v>
      </c>
      <c r="N57" s="10"/>
      <c r="O57" s="34"/>
      <c r="P57" s="115" t="str">
        <f>VLOOKUP(C57,'Train Runs'!$A$13:$AE$190,31,0)</f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Q57" s="119" t="str">
        <f>VLOOKUP(C57,'Train Runs'!$A$13:$AE$190,22,0)</f>
        <v>https://search-rtdc-monitor-bjffxe2xuh6vdkpspy63sjmuny.us-east-1.es.amazonaws.com/_plugin/kibana/#/discover/Steve-Slow-Train-Analysis-(2080s-and-2083s)?_g=(refreshInterval:(display:Off,section:0,value:0),time:(from:'2016-08-14 06:37:07-0600',mode:absolute,to:'2016-08-14 08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57" s="122" t="str">
        <f t="shared" si="5"/>
        <v>"C:\Program Files (x86)\AstroGrep\AstroGrep.exe" /spath="%USERPROFILE%\AppData\Local\Temp\OnboardLogs" /stypes="*4019*201608141*" /stext=" 13:.+((SYSTEM_STATE.+slice.+state.+changed )|(ment ac)|(system.+state.+changed )|(\|lc)|(penalty)|(\[timeout)|(PRM\|1\|D)|(kpr)|(kdp))" /e /r /s</v>
      </c>
      <c r="S57" s="9" t="str">
        <f t="shared" si="6"/>
        <v>4019</v>
      </c>
      <c r="T57" s="39">
        <f t="shared" si="7"/>
        <v>42596.576689814814</v>
      </c>
      <c r="U57" s="53" t="str">
        <f t="shared" si="8"/>
        <v>NW</v>
      </c>
      <c r="V57" s="53" t="str">
        <f t="shared" si="9"/>
        <v>KEEP</v>
      </c>
    </row>
    <row r="58" spans="1:22" x14ac:dyDescent="0.25">
      <c r="A58" s="39">
        <v>42596.495428240742</v>
      </c>
      <c r="B58" s="34" t="s">
        <v>240</v>
      </c>
      <c r="C58" s="34" t="s">
        <v>463</v>
      </c>
      <c r="D58" s="34" t="s">
        <v>117</v>
      </c>
      <c r="E58" s="34" t="s">
        <v>298</v>
      </c>
      <c r="F58" s="50">
        <v>100</v>
      </c>
      <c r="G58" s="50">
        <v>153</v>
      </c>
      <c r="H58" s="50">
        <v>10680</v>
      </c>
      <c r="I58" s="34" t="s">
        <v>297</v>
      </c>
      <c r="J58" s="50">
        <v>11000</v>
      </c>
      <c r="K58" s="34" t="s">
        <v>53</v>
      </c>
      <c r="L58" s="97" t="str">
        <f>VLOOKUP(C58,'Trips&amp;Operators'!$C$1:$E$9999,3,0)</f>
        <v>STARKS</v>
      </c>
      <c r="M58" s="141" t="s">
        <v>90</v>
      </c>
      <c r="N58" s="10"/>
      <c r="O58" s="34"/>
      <c r="P58" s="115" t="str">
        <f>VLOOKUP(C58,'Train Runs'!$A$13:$AE$190,31,0)</f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Q58" s="119" t="str">
        <f>VLOOKUP(C58,'Train Runs'!$A$13:$AE$190,22,0)</f>
        <v>https://search-rtdc-monitor-bjffxe2xuh6vdkpspy63sjmuny.us-east-1.es.amazonaws.com/_plugin/kibana/#/discover/Steve-Slow-Train-Analysis-(2080s-and-2083s)?_g=(refreshInterval:(display:Off,section:0,value:0),time:(from:'2016-08-14 10:42:07-0600',mode:absolute,to:'2016-08-14 12:58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58" s="122" t="str">
        <f t="shared" si="5"/>
        <v>"C:\Program Files (x86)\AstroGrep\AstroGrep.exe" /spath="%USERPROFILE%\AppData\Local\Temp\OnboardLogs" /stypes="*4019*201608141*" /stext=" 17:.+((SYSTEM_STATE.+slice.+state.+changed )|(ment ac)|(system.+state.+changed )|(\|lc)|(penalty)|(\[timeout)|(PRM\|1\|D)|(kpr)|(kdp))" /e /r /s</v>
      </c>
      <c r="S58" s="9" t="str">
        <f t="shared" si="6"/>
        <v>4019</v>
      </c>
      <c r="T58" s="39">
        <f t="shared" si="7"/>
        <v>42596.745428240742</v>
      </c>
      <c r="U58" s="53" t="str">
        <f t="shared" si="8"/>
        <v>NW</v>
      </c>
      <c r="V58" s="53" t="str">
        <f t="shared" si="9"/>
        <v>KEEP</v>
      </c>
    </row>
    <row r="59" spans="1:22" x14ac:dyDescent="0.25">
      <c r="A59" s="39">
        <v>42596.498483796298</v>
      </c>
      <c r="B59" s="34" t="s">
        <v>240</v>
      </c>
      <c r="C59" s="34" t="s">
        <v>463</v>
      </c>
      <c r="D59" s="34" t="s">
        <v>49</v>
      </c>
      <c r="E59" s="34" t="s">
        <v>50</v>
      </c>
      <c r="F59" s="50">
        <v>0</v>
      </c>
      <c r="G59" s="50">
        <v>61</v>
      </c>
      <c r="H59" s="50">
        <v>757</v>
      </c>
      <c r="I59" s="34" t="s">
        <v>51</v>
      </c>
      <c r="J59" s="50">
        <v>575</v>
      </c>
      <c r="K59" s="34" t="s">
        <v>53</v>
      </c>
      <c r="L59" s="97" t="str">
        <f>VLOOKUP(C59,'Trips&amp;Operators'!$C$1:$E$9999,3,0)</f>
        <v>STARKS</v>
      </c>
      <c r="M59" s="141" t="s">
        <v>90</v>
      </c>
      <c r="N59" s="10"/>
      <c r="O59" s="34"/>
      <c r="P59" s="115" t="str">
        <f>VLOOKUP(C59,'Train Runs'!$A$13:$AE$190,31,0)</f>
        <v>aws s3 cp s3://rtdc.mdm.uploadarchive/RTDC4019/2016-08-14/ "%USERPROFILE%\AppData\Local\Temp\OnboardLogs"\RTDC4019\2016-08-14 --recursive &amp; "%USERPROFILE%\Documents\GitHub\mrs-test-scripts\Headless Mode &amp; Sideloading\WalkAndUnGZ.bat" "%USERPROFILE%\AppData\Local\Temp\OnboardLogs"\RTDC4019\2016-08-14 &amp; 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</v>
      </c>
      <c r="Q59" s="119" t="str">
        <f>VLOOKUP(C59,'Train Runs'!$A$13:$AE$190,22,0)</f>
        <v>https://search-rtdc-monitor-bjffxe2xuh6vdkpspy63sjmuny.us-east-1.es.amazonaws.com/_plugin/kibana/#/discover/Steve-Slow-Train-Analysis-(2080s-and-2083s)?_g=(refreshInterval:(display:Off,section:0,value:0),time:(from:'2016-08-14 10:42:07-0600',mode:absolute,to:'2016-08-14 12:58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59" s="122" t="str">
        <f t="shared" si="5"/>
        <v>"C:\Program Files (x86)\AstroGrep\AstroGrep.exe" /spath="%USERPROFILE%\AppData\Local\Temp\OnboardLogs" /stypes="*4019*201608141*" /stext=" 17:.+((SYSTEM_STATE.+slice.+state.+changed )|(ment ac)|(system.+state.+changed )|(\|lc)|(penalty)|(\[timeout)|(PRM\|1\|D)|(kpr)|(kdp))" /e /r /s</v>
      </c>
      <c r="S59" s="9" t="str">
        <f t="shared" si="6"/>
        <v>4019</v>
      </c>
      <c r="T59" s="39">
        <f t="shared" si="7"/>
        <v>42596.748483796298</v>
      </c>
      <c r="U59" s="53" t="str">
        <f t="shared" si="8"/>
        <v>NW</v>
      </c>
      <c r="V59" s="53" t="str">
        <f t="shared" si="9"/>
        <v>KEEP</v>
      </c>
    </row>
    <row r="60" spans="1:22" x14ac:dyDescent="0.25">
      <c r="A60" s="39">
        <v>42596.35796296296</v>
      </c>
      <c r="B60" s="34" t="s">
        <v>237</v>
      </c>
      <c r="C60" s="34" t="s">
        <v>443</v>
      </c>
      <c r="D60" s="34" t="s">
        <v>49</v>
      </c>
      <c r="E60" s="34" t="s">
        <v>50</v>
      </c>
      <c r="F60" s="50">
        <v>0</v>
      </c>
      <c r="G60" s="50">
        <v>29</v>
      </c>
      <c r="H60" s="50">
        <v>58943</v>
      </c>
      <c r="I60" s="34" t="s">
        <v>51</v>
      </c>
      <c r="J60" s="50">
        <v>59048</v>
      </c>
      <c r="K60" s="34" t="s">
        <v>52</v>
      </c>
      <c r="L60" s="97" t="str">
        <f>VLOOKUP(C60,'Trips&amp;Operators'!$C$1:$E$9999,3,0)</f>
        <v>STARKS</v>
      </c>
      <c r="M60" s="141" t="s">
        <v>90</v>
      </c>
      <c r="N60" s="10"/>
      <c r="O60" s="34"/>
      <c r="P60" s="115" t="str">
        <f>VLOOKUP(C60,'Train Runs'!$A$13:$AE$190,31,0)</f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Q60" s="119" t="str">
        <f>VLOOKUP(C60,'Train Runs'!$A$13:$AE$190,22,0)</f>
        <v>https://search-rtdc-monitor-bjffxe2xuh6vdkpspy63sjmuny.us-east-1.es.amazonaws.com/_plugin/kibana/#/discover/Steve-Slow-Train-Analysis-(2080s-and-2083s)?_g=(refreshInterval:(display:Off,section:0,value:0),time:(from:'2016-08-14 07:20:59-0600',mode:absolute,to:'2016-08-14 09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60" s="122" t="str">
        <f t="shared" si="5"/>
        <v>"C:\Program Files (x86)\AstroGrep\AstroGrep.exe" /spath="%USERPROFILE%\AppData\Local\Temp\OnboardLogs" /stypes="*4020*201608141*" /stext=" 14:.+((SYSTEM_STATE.+slice.+state.+changed )|(ment ac)|(system.+state.+changed )|(\|lc)|(penalty)|(\[timeout)|(PRM\|1\|D)|(kpr)|(kdp))" /e /r /s</v>
      </c>
      <c r="S60" s="9" t="str">
        <f t="shared" si="6"/>
        <v>4020</v>
      </c>
      <c r="T60" s="39">
        <f t="shared" si="7"/>
        <v>42596.60796296296</v>
      </c>
      <c r="U60" s="53" t="str">
        <f t="shared" si="8"/>
        <v>NW</v>
      </c>
      <c r="V60" s="53" t="str">
        <f t="shared" si="9"/>
        <v>KEEP</v>
      </c>
    </row>
    <row r="61" spans="1:22" x14ac:dyDescent="0.25">
      <c r="A61" s="39">
        <v>42596.399444444447</v>
      </c>
      <c r="B61" s="34" t="s">
        <v>237</v>
      </c>
      <c r="C61" s="34" t="s">
        <v>447</v>
      </c>
      <c r="D61" s="34" t="s">
        <v>49</v>
      </c>
      <c r="E61" s="34" t="s">
        <v>50</v>
      </c>
      <c r="F61" s="50">
        <v>0</v>
      </c>
      <c r="G61" s="50">
        <v>95</v>
      </c>
      <c r="H61" s="50">
        <v>58677</v>
      </c>
      <c r="I61" s="34" t="s">
        <v>51</v>
      </c>
      <c r="J61" s="50">
        <v>59048</v>
      </c>
      <c r="K61" s="34" t="s">
        <v>52</v>
      </c>
      <c r="L61" s="97" t="str">
        <f>VLOOKUP(C61,'Trips&amp;Operators'!$C$1:$E$9999,3,0)</f>
        <v>STARKS</v>
      </c>
      <c r="M61" s="141" t="s">
        <v>90</v>
      </c>
      <c r="N61" s="10"/>
      <c r="O61" s="34"/>
      <c r="P61" s="115" t="str">
        <f>VLOOKUP(C61,'Train Runs'!$A$13:$AE$190,31,0)</f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Q61" s="119" t="str">
        <f>VLOOKUP(C61,'Train Runs'!$A$13:$AE$190,22,0)</f>
        <v>https://search-rtdc-monitor-bjffxe2xuh6vdkpspy63sjmuny.us-east-1.es.amazonaws.com/_plugin/kibana/#/discover/Steve-Slow-Train-Analysis-(2080s-and-2083s)?_g=(refreshInterval:(display:Off,section:0,value:0),time:(from:'2016-08-14 08:18:18-0600',mode:absolute,to:'2016-08-14 10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61" s="122" t="str">
        <f t="shared" si="5"/>
        <v>"C:\Program Files (x86)\AstroGrep\AstroGrep.exe" /spath="%USERPROFILE%\AppData\Local\Temp\OnboardLogs" /stypes="*4020*201608141*" /stext=" 15:.+((SYSTEM_STATE.+slice.+state.+changed )|(ment ac)|(system.+state.+changed )|(\|lc)|(penalty)|(\[timeout)|(PRM\|1\|D)|(kpr)|(kdp))" /e /r /s</v>
      </c>
      <c r="S61" s="9" t="str">
        <f t="shared" si="6"/>
        <v>4020</v>
      </c>
      <c r="T61" s="39">
        <f t="shared" si="7"/>
        <v>42596.649444444447</v>
      </c>
      <c r="U61" s="53" t="str">
        <f t="shared" si="8"/>
        <v>NW</v>
      </c>
      <c r="V61" s="53" t="str">
        <f t="shared" si="9"/>
        <v>KEEP</v>
      </c>
    </row>
    <row r="62" spans="1:22" x14ac:dyDescent="0.25">
      <c r="A62" s="39">
        <v>42596.610763888886</v>
      </c>
      <c r="B62" s="34" t="s">
        <v>237</v>
      </c>
      <c r="C62" s="34" t="s">
        <v>471</v>
      </c>
      <c r="D62" s="34" t="s">
        <v>49</v>
      </c>
      <c r="E62" s="34" t="s">
        <v>50</v>
      </c>
      <c r="F62" s="50">
        <v>0</v>
      </c>
      <c r="G62" s="50">
        <v>38</v>
      </c>
      <c r="H62" s="50">
        <v>58924</v>
      </c>
      <c r="I62" s="34" t="s">
        <v>51</v>
      </c>
      <c r="J62" s="50">
        <v>59058</v>
      </c>
      <c r="K62" s="34" t="s">
        <v>52</v>
      </c>
      <c r="L62" s="97" t="str">
        <f>VLOOKUP(C62,'Trips&amp;Operators'!$C$1:$E$9999,3,0)</f>
        <v>NATION</v>
      </c>
      <c r="M62" s="141" t="s">
        <v>90</v>
      </c>
      <c r="N62" s="10"/>
      <c r="O62" s="34"/>
      <c r="P62" s="115" t="str">
        <f>VLOOKUP(C62,'Train Runs'!$A$13:$AE$190,31,0)</f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Q62" s="119" t="str">
        <f>VLOOKUP(C62,'Train Runs'!$A$13:$AE$190,22,0)</f>
        <v>https://search-rtdc-monitor-bjffxe2xuh6vdkpspy63sjmuny.us-east-1.es.amazonaws.com/_plugin/kibana/#/discover/Steve-Slow-Train-Analysis-(2080s-and-2083s)?_g=(refreshInterval:(display:Off,section:0,value:0),time:(from:'2016-08-14 13:08:57-0600',mode:absolute,to:'2016-08-14 15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62" s="122" t="str">
        <f t="shared" si="5"/>
        <v>"C:\Program Files (x86)\AstroGrep\AstroGrep.exe" /spath="%USERPROFILE%\AppData\Local\Temp\OnboardLogs" /stypes="*4020*201608142*" /stext=" 20:.+((SYSTEM_STATE.+slice.+state.+changed )|(ment ac)|(system.+state.+changed )|(\|lc)|(penalty)|(\[timeout)|(PRM\|1\|D)|(kpr)|(kdp))" /e /r /s</v>
      </c>
      <c r="S62" s="9" t="str">
        <f t="shared" si="6"/>
        <v>4020</v>
      </c>
      <c r="T62" s="39">
        <f t="shared" si="7"/>
        <v>42596.860763888886</v>
      </c>
      <c r="U62" s="53" t="str">
        <f t="shared" si="8"/>
        <v>NW</v>
      </c>
      <c r="V62" s="53" t="str">
        <f t="shared" si="9"/>
        <v>KEEP</v>
      </c>
    </row>
    <row r="63" spans="1:22" x14ac:dyDescent="0.25">
      <c r="A63" s="39">
        <v>42596.733796296299</v>
      </c>
      <c r="B63" s="34" t="s">
        <v>237</v>
      </c>
      <c r="C63" s="34" t="s">
        <v>488</v>
      </c>
      <c r="D63" s="34" t="s">
        <v>49</v>
      </c>
      <c r="E63" s="34" t="s">
        <v>50</v>
      </c>
      <c r="F63" s="50">
        <v>0</v>
      </c>
      <c r="G63" s="50">
        <v>143</v>
      </c>
      <c r="H63" s="50">
        <v>57895</v>
      </c>
      <c r="I63" s="34" t="s">
        <v>51</v>
      </c>
      <c r="J63" s="50">
        <v>59058</v>
      </c>
      <c r="K63" s="34" t="s">
        <v>52</v>
      </c>
      <c r="L63" s="97" t="str">
        <f>VLOOKUP(C63,'Trips&amp;Operators'!$C$1:$E$9999,3,0)</f>
        <v>NATION</v>
      </c>
      <c r="M63" s="141" t="s">
        <v>90</v>
      </c>
      <c r="N63" s="10"/>
      <c r="O63" s="34"/>
      <c r="P63" s="115" t="str">
        <f>VLOOKUP(C63,'Train Runs'!$A$13:$AE$190,31,0)</f>
        <v>aws s3 cp s3://rtdc.mdm.uploadarchive/RTDC4020/2016-08-14/ "%USERPROFILE%\AppData\Local\Temp\OnboardLogs"\RTDC4020\2016-08-14 --recursive &amp; "%USERPROFILE%\Documents\GitHub\mrs-test-scripts\Headless Mode &amp; Sideloading\WalkAndUnGZ.bat" "%USERPROFILE%\AppData\Local\Temp\OnboardLogs"\RTDC4020\2016-08-14 &amp; 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</v>
      </c>
      <c r="Q63" s="119" t="str">
        <f>VLOOKUP(C63,'Train Runs'!$A$13:$AE$190,22,0)</f>
        <v>https://search-rtdc-monitor-bjffxe2xuh6vdkpspy63sjmuny.us-east-1.es.amazonaws.com/_plugin/kibana/#/discover/Steve-Slow-Train-Analysis-(2080s-and-2083s)?_g=(refreshInterval:(display:Off,section:0,value:0),time:(from:'2016-08-14 16:03:49-0600',mode:absolute,to:'2016-08-14 18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63" s="122" t="str">
        <f t="shared" si="5"/>
        <v>"C:\Program Files (x86)\AstroGrep\AstroGrep.exe" /spath="%USERPROFILE%\AppData\Local\Temp\OnboardLogs" /stypes="*4020*201608142*" /stext=" 23:.+((SYSTEM_STATE.+slice.+state.+changed )|(ment ac)|(system.+state.+changed )|(\|lc)|(penalty)|(\[timeout)|(PRM\|1\|D)|(kpr)|(kdp))" /e /r /s</v>
      </c>
      <c r="S63" s="9" t="str">
        <f t="shared" si="6"/>
        <v>4020</v>
      </c>
      <c r="T63" s="39">
        <f t="shared" si="7"/>
        <v>42596.983796296299</v>
      </c>
      <c r="U63" s="53" t="str">
        <f t="shared" si="8"/>
        <v>NW</v>
      </c>
      <c r="V63" s="53" t="str">
        <f t="shared" si="9"/>
        <v>KEEP</v>
      </c>
    </row>
    <row r="64" spans="1:22" ht="15" customHeight="1" x14ac:dyDescent="0.25">
      <c r="A64" s="39">
        <v>42596.827939814815</v>
      </c>
      <c r="B64" s="34" t="s">
        <v>649</v>
      </c>
      <c r="C64" s="34" t="s">
        <v>638</v>
      </c>
      <c r="D64" s="34" t="s">
        <v>49</v>
      </c>
      <c r="E64" s="34" t="s">
        <v>54</v>
      </c>
      <c r="F64" s="50">
        <v>0</v>
      </c>
      <c r="G64" s="50">
        <v>34</v>
      </c>
      <c r="H64" s="50">
        <v>21998</v>
      </c>
      <c r="I64" s="34" t="s">
        <v>55</v>
      </c>
      <c r="J64" s="50">
        <v>22314</v>
      </c>
      <c r="K64" s="34" t="s">
        <v>52</v>
      </c>
      <c r="L64" s="97" t="str">
        <f>VLOOKUP(C64,'Trips&amp;Operators'!$C$1:$E$9999,3,0)</f>
        <v>SHOOK</v>
      </c>
      <c r="M64" s="141" t="s">
        <v>90</v>
      </c>
      <c r="N64" s="10"/>
      <c r="O64" s="34"/>
      <c r="P64" s="115" t="e">
        <f>VLOOKUP(C64,'Train Runs'!$A$13:$AE$190,31,0)</f>
        <v>#N/A</v>
      </c>
      <c r="Q64" s="119" t="e">
        <f>VLOOKUP(C64,'Train Runs'!$A$13:$AE$190,22,0)</f>
        <v>#N/A</v>
      </c>
      <c r="R64" s="122" t="str">
        <f t="shared" si="5"/>
        <v>"C:\Program Files (x86)\AstroGrep\AstroGrep.exe" /spath="%USERPROFILE%\AppData\Local\Temp\OnboardLogs" /stypes="*4016*201608150*" /stext=" 01:.+((SYSTEM_STATE.+slice.+state.+changed )|(ment ac)|(system.+state.+changed )|(\|lc)|(penalty)|(\[timeout)|(PRM\|1\|D)|(kpr)|(kdp))" /e /r /s</v>
      </c>
      <c r="S64" s="9" t="str">
        <f t="shared" si="6"/>
        <v>4016</v>
      </c>
      <c r="T64" s="39">
        <f t="shared" si="7"/>
        <v>42597.077939814815</v>
      </c>
      <c r="U64" s="53" t="str">
        <f t="shared" si="8"/>
        <v>GL</v>
      </c>
      <c r="V64" s="53" t="str">
        <f t="shared" si="9"/>
        <v>KEEP</v>
      </c>
    </row>
    <row r="65" spans="1:22" x14ac:dyDescent="0.25">
      <c r="A65" s="39">
        <v>42596.117465277777</v>
      </c>
      <c r="B65" s="34" t="s">
        <v>94</v>
      </c>
      <c r="C65" s="34" t="s">
        <v>286</v>
      </c>
      <c r="D65" s="34" t="s">
        <v>49</v>
      </c>
      <c r="E65" s="34" t="s">
        <v>54</v>
      </c>
      <c r="F65" s="50">
        <v>0</v>
      </c>
      <c r="G65" s="50">
        <v>54</v>
      </c>
      <c r="H65" s="50">
        <v>24612</v>
      </c>
      <c r="I65" s="34" t="s">
        <v>55</v>
      </c>
      <c r="J65" s="50">
        <v>24199</v>
      </c>
      <c r="K65" s="34" t="s">
        <v>53</v>
      </c>
      <c r="L65" s="97" t="str">
        <f>VLOOKUP(C65,'Trips&amp;Operators'!$C$1:$E$9999,3,0)</f>
        <v>KILLION</v>
      </c>
      <c r="M65" s="141" t="s">
        <v>90</v>
      </c>
      <c r="N65" s="10"/>
      <c r="O65" s="34"/>
      <c r="P65" s="115" t="e">
        <f>VLOOKUP(C65,'Train Runs'!$A$13:$AE$190,31,0)</f>
        <v>#N/A</v>
      </c>
      <c r="Q65" s="119" t="e">
        <f>VLOOKUP(C65,'Train Runs'!$A$13:$AE$190,22,0)</f>
        <v>#N/A</v>
      </c>
      <c r="R65" s="122" t="str">
        <f t="shared" si="5"/>
        <v>"C:\Program Files (x86)\AstroGrep\AstroGrep.exe" /spath="%USERPROFILE%\AppData\Local\Temp\OnboardLogs" /stypes="*4013*201608140*" /stext=" 08:.+((SYSTEM_STATE.+slice.+state.+changed )|(ment ac)|(system.+state.+changed )|(\|lc)|(penalty)|(\[timeout)|(PRM\|1\|D)|(kpr)|(kdp))" /e /r /s</v>
      </c>
      <c r="S65" s="9" t="str">
        <f t="shared" si="6"/>
        <v>4013</v>
      </c>
      <c r="T65" s="39">
        <f t="shared" si="7"/>
        <v>42596.367465277777</v>
      </c>
      <c r="U65" s="53" t="str">
        <f t="shared" si="8"/>
        <v>GL</v>
      </c>
      <c r="V65" s="53" t="str">
        <f t="shared" si="9"/>
        <v>KEEP</v>
      </c>
    </row>
    <row r="66" spans="1:22" x14ac:dyDescent="0.25">
      <c r="A66" s="39">
        <v>42596.22619212963</v>
      </c>
      <c r="B66" s="34" t="s">
        <v>237</v>
      </c>
      <c r="C66" s="34" t="s">
        <v>531</v>
      </c>
      <c r="D66" s="34" t="s">
        <v>49</v>
      </c>
      <c r="E66" s="34" t="s">
        <v>54</v>
      </c>
      <c r="F66" s="50">
        <v>0</v>
      </c>
      <c r="G66" s="50">
        <v>80</v>
      </c>
      <c r="H66" s="50">
        <v>28625</v>
      </c>
      <c r="I66" s="34" t="s">
        <v>55</v>
      </c>
      <c r="J66" s="50">
        <v>28990</v>
      </c>
      <c r="K66" s="34" t="s">
        <v>52</v>
      </c>
      <c r="L66" s="97" t="str">
        <f>VLOOKUP(C66,'Trips&amp;Operators'!$C$1:$E$9999,3,0)</f>
        <v>STARKS</v>
      </c>
      <c r="M66" s="141" t="s">
        <v>90</v>
      </c>
      <c r="N66" s="10"/>
      <c r="O66" s="34"/>
      <c r="P66" s="115" t="e">
        <f>VLOOKUP(C66,'Train Runs'!$A$13:$AE$190,31,0)</f>
        <v>#N/A</v>
      </c>
      <c r="Q66" s="119" t="e">
        <f>VLOOKUP(C66,'Train Runs'!$A$13:$AE$190,22,0)</f>
        <v>#N/A</v>
      </c>
      <c r="R66" s="122" t="str">
        <f t="shared" si="5"/>
        <v>"C:\Program Files (x86)\AstroGrep\AstroGrep.exe" /spath="%USERPROFILE%\AppData\Local\Temp\OnboardLogs" /stypes="*4020*201608141*" /stext=" 11:.+((SYSTEM_STATE.+slice.+state.+changed )|(ment ac)|(system.+state.+changed )|(\|lc)|(penalty)|(\[timeout)|(PRM\|1\|D)|(kpr)|(kdp))" /e /r /s</v>
      </c>
      <c r="S66" s="9" t="str">
        <f t="shared" si="6"/>
        <v>4020</v>
      </c>
      <c r="T66" s="39">
        <f t="shared" si="7"/>
        <v>42596.47619212963</v>
      </c>
      <c r="U66" s="53" t="str">
        <f t="shared" si="8"/>
        <v>GL</v>
      </c>
      <c r="V66" s="53" t="str">
        <f t="shared" si="9"/>
        <v>KEEP</v>
      </c>
    </row>
    <row r="67" spans="1:22" x14ac:dyDescent="0.25">
      <c r="A67" s="39">
        <v>42596.229513888888</v>
      </c>
      <c r="B67" s="34" t="s">
        <v>237</v>
      </c>
      <c r="C67" s="34" t="s">
        <v>531</v>
      </c>
      <c r="D67" s="34" t="s">
        <v>49</v>
      </c>
      <c r="E67" s="34" t="s">
        <v>54</v>
      </c>
      <c r="F67" s="50">
        <v>0</v>
      </c>
      <c r="G67" s="50">
        <v>100</v>
      </c>
      <c r="H67" s="50">
        <v>32832</v>
      </c>
      <c r="I67" s="34" t="s">
        <v>55</v>
      </c>
      <c r="J67" s="50">
        <v>33252</v>
      </c>
      <c r="K67" s="34" t="s">
        <v>52</v>
      </c>
      <c r="L67" s="97" t="str">
        <f>VLOOKUP(C67,'Trips&amp;Operators'!$C$1:$E$9999,3,0)</f>
        <v>STARKS</v>
      </c>
      <c r="M67" s="141" t="s">
        <v>90</v>
      </c>
      <c r="N67" s="10"/>
      <c r="O67" s="34"/>
      <c r="P67" s="115" t="e">
        <f>VLOOKUP(C67,'Train Runs'!$A$13:$AE$190,31,0)</f>
        <v>#N/A</v>
      </c>
      <c r="Q67" s="119" t="e">
        <f>VLOOKUP(C67,'Train Runs'!$A$13:$AE$190,22,0)</f>
        <v>#N/A</v>
      </c>
      <c r="R67" s="122" t="str">
        <f t="shared" si="5"/>
        <v>"C:\Program Files (x86)\AstroGrep\AstroGrep.exe" /spath="%USERPROFILE%\AppData\Local\Temp\OnboardLogs" /stypes="*4020*201608141*" /stext=" 11:.+((SYSTEM_STATE.+slice.+state.+changed )|(ment ac)|(system.+state.+changed )|(\|lc)|(penalty)|(\[timeout)|(PRM\|1\|D)|(kpr)|(kdp))" /e /r /s</v>
      </c>
      <c r="S67" s="9" t="str">
        <f t="shared" si="6"/>
        <v>4020</v>
      </c>
      <c r="T67" s="39">
        <f t="shared" si="7"/>
        <v>42596.479513888888</v>
      </c>
      <c r="U67" s="53" t="str">
        <f t="shared" si="8"/>
        <v>GL</v>
      </c>
      <c r="V67" s="53" t="str">
        <f t="shared" si="9"/>
        <v>KEEP</v>
      </c>
    </row>
    <row r="68" spans="1:22" x14ac:dyDescent="0.25">
      <c r="A68" s="39">
        <v>42596.230706018519</v>
      </c>
      <c r="B68" s="34" t="s">
        <v>237</v>
      </c>
      <c r="C68" s="34" t="s">
        <v>531</v>
      </c>
      <c r="D68" s="34" t="s">
        <v>49</v>
      </c>
      <c r="E68" s="34" t="s">
        <v>54</v>
      </c>
      <c r="F68" s="50">
        <v>0</v>
      </c>
      <c r="G68" s="50">
        <v>57</v>
      </c>
      <c r="H68" s="50">
        <v>33010</v>
      </c>
      <c r="I68" s="34" t="s">
        <v>55</v>
      </c>
      <c r="J68" s="50">
        <v>33252</v>
      </c>
      <c r="K68" s="34" t="s">
        <v>52</v>
      </c>
      <c r="L68" s="97" t="str">
        <f>VLOOKUP(C68,'Trips&amp;Operators'!$C$1:$E$9999,3,0)</f>
        <v>STARKS</v>
      </c>
      <c r="M68" s="141" t="s">
        <v>90</v>
      </c>
      <c r="N68" s="10"/>
      <c r="O68" s="34"/>
      <c r="P68" s="115" t="e">
        <f>VLOOKUP(C68,'Train Runs'!$A$13:$AE$190,31,0)</f>
        <v>#N/A</v>
      </c>
      <c r="Q68" s="119" t="e">
        <f>VLOOKUP(C68,'Train Runs'!$A$13:$AE$190,22,0)</f>
        <v>#N/A</v>
      </c>
      <c r="R68" s="122" t="str">
        <f t="shared" si="5"/>
        <v>"C:\Program Files (x86)\AstroGrep\AstroGrep.exe" /spath="%USERPROFILE%\AppData\Local\Temp\OnboardLogs" /stypes="*4020*201608141*" /stext=" 11:.+((SYSTEM_STATE.+slice.+state.+changed )|(ment ac)|(system.+state.+changed )|(\|lc)|(penalty)|(\[timeout)|(PRM\|1\|D)|(kpr)|(kdp))" /e /r /s</v>
      </c>
      <c r="S68" s="9" t="str">
        <f t="shared" si="6"/>
        <v>4020</v>
      </c>
      <c r="T68" s="39">
        <f t="shared" si="7"/>
        <v>42596.480706018519</v>
      </c>
      <c r="U68" s="53" t="str">
        <f t="shared" si="8"/>
        <v>GL</v>
      </c>
      <c r="V68" s="53" t="str">
        <f t="shared" si="9"/>
        <v>KEEP</v>
      </c>
    </row>
    <row r="69" spans="1:22" x14ac:dyDescent="0.25">
      <c r="A69" s="39">
        <v>42596.740624999999</v>
      </c>
      <c r="B69" s="34" t="s">
        <v>64</v>
      </c>
      <c r="C69" s="34" t="s">
        <v>643</v>
      </c>
      <c r="D69" s="34" t="s">
        <v>49</v>
      </c>
      <c r="E69" s="34" t="s">
        <v>50</v>
      </c>
      <c r="F69" s="50">
        <v>0</v>
      </c>
      <c r="G69" s="50">
        <v>92</v>
      </c>
      <c r="H69" s="50">
        <v>1168</v>
      </c>
      <c r="I69" s="34" t="s">
        <v>51</v>
      </c>
      <c r="J69" s="50">
        <v>826</v>
      </c>
      <c r="K69" s="34" t="s">
        <v>53</v>
      </c>
      <c r="L69" s="97" t="str">
        <f>VLOOKUP(C69,'Trips&amp;Operators'!$C$1:$E$9999,3,0)</f>
        <v>NEWELL</v>
      </c>
      <c r="M69" s="141" t="s">
        <v>90</v>
      </c>
      <c r="N69" s="10"/>
      <c r="O69" s="34"/>
      <c r="P69" s="115" t="e">
        <f>VLOOKUP(C69,'Train Runs'!$A$13:$AE$190,31,0)</f>
        <v>#N/A</v>
      </c>
      <c r="Q69" s="119" t="e">
        <f>VLOOKUP(C69,'Train Runs'!$A$13:$AE$190,22,0)</f>
        <v>#N/A</v>
      </c>
      <c r="R69" s="122" t="str">
        <f t="shared" si="5"/>
        <v>"C:\Program Files (x86)\AstroGrep\AstroGrep.exe" /spath="%USERPROFILE%\AppData\Local\Temp\OnboardLogs" /stypes="*4017*201608142*" /stext=" 23:.+((SYSTEM_STATE.+slice.+state.+changed )|(ment ac)|(system.+state.+changed )|(\|lc)|(penalty)|(\[timeout)|(PRM\|1\|D)|(kpr)|(kdp))" /e /r /s</v>
      </c>
      <c r="S69" s="9" t="str">
        <f t="shared" si="6"/>
        <v>4017</v>
      </c>
      <c r="T69" s="39">
        <f t="shared" si="7"/>
        <v>42596.990624999999</v>
      </c>
      <c r="U69" s="53" t="str">
        <f t="shared" si="8"/>
        <v>GL</v>
      </c>
      <c r="V69" s="53" t="str">
        <f t="shared" si="9"/>
        <v>KEEP</v>
      </c>
    </row>
    <row r="70" spans="1:22" x14ac:dyDescent="0.25">
      <c r="A70" s="39">
        <v>42596.741284722222</v>
      </c>
      <c r="B70" s="34" t="s">
        <v>64</v>
      </c>
      <c r="C70" s="34" t="s">
        <v>643</v>
      </c>
      <c r="D70" s="34" t="s">
        <v>49</v>
      </c>
      <c r="E70" s="34" t="s">
        <v>50</v>
      </c>
      <c r="F70" s="50">
        <v>0</v>
      </c>
      <c r="G70" s="50">
        <v>21</v>
      </c>
      <c r="H70" s="50">
        <v>858</v>
      </c>
      <c r="I70" s="34" t="s">
        <v>51</v>
      </c>
      <c r="J70" s="50">
        <v>826</v>
      </c>
      <c r="K70" s="34" t="s">
        <v>53</v>
      </c>
      <c r="L70" s="97" t="str">
        <f>VLOOKUP(C70,'Trips&amp;Operators'!$C$1:$E$9999,3,0)</f>
        <v>NEWELL</v>
      </c>
      <c r="M70" s="141" t="s">
        <v>90</v>
      </c>
      <c r="N70" s="10"/>
      <c r="O70" s="34"/>
      <c r="P70" s="115" t="e">
        <f>VLOOKUP(C70,'Train Runs'!$A$13:$AE$190,31,0)</f>
        <v>#N/A</v>
      </c>
      <c r="Q70" s="119" t="e">
        <f>VLOOKUP(C70,'Train Runs'!$A$13:$AE$190,22,0)</f>
        <v>#N/A</v>
      </c>
      <c r="R70" s="122" t="str">
        <f t="shared" si="5"/>
        <v>"C:\Program Files (x86)\AstroGrep\AstroGrep.exe" /spath="%USERPROFILE%\AppData\Local\Temp\OnboardLogs" /stypes="*4017*201608142*" /stext=" 23:.+((SYSTEM_STATE.+slice.+state.+changed )|(ment ac)|(system.+state.+changed )|(\|lc)|(penalty)|(\[timeout)|(PRM\|1\|D)|(kpr)|(kdp))" /e /r /s</v>
      </c>
      <c r="S70" s="9" t="str">
        <f t="shared" si="6"/>
        <v>4017</v>
      </c>
      <c r="T70" s="39">
        <f t="shared" si="7"/>
        <v>42596.991284722222</v>
      </c>
      <c r="U70" s="53" t="str">
        <f t="shared" si="8"/>
        <v>GL</v>
      </c>
      <c r="V70" s="53" t="str">
        <f t="shared" si="9"/>
        <v>KEEP</v>
      </c>
    </row>
    <row r="71" spans="1:22" x14ac:dyDescent="0.25">
      <c r="A71" s="39">
        <v>42596.558865740742</v>
      </c>
      <c r="B71" s="34" t="s">
        <v>647</v>
      </c>
      <c r="C71" s="34" t="s">
        <v>646</v>
      </c>
      <c r="D71" s="34" t="s">
        <v>117</v>
      </c>
      <c r="E71" s="34" t="s">
        <v>54</v>
      </c>
      <c r="F71" s="50">
        <v>0</v>
      </c>
      <c r="G71" s="50">
        <v>31</v>
      </c>
      <c r="H71" s="50">
        <v>26999</v>
      </c>
      <c r="I71" s="34" t="s">
        <v>55</v>
      </c>
      <c r="J71" s="50">
        <v>26941</v>
      </c>
      <c r="K71" s="34" t="s">
        <v>52</v>
      </c>
      <c r="L71" s="97" t="str">
        <f>VLOOKUP(C71,'Trips&amp;Operators'!$C$1:$E$9999,3,0)</f>
        <v>BALTHROP</v>
      </c>
      <c r="M71" s="141" t="s">
        <v>90</v>
      </c>
      <c r="N71" s="10"/>
      <c r="O71" s="34"/>
      <c r="P71" s="115" t="e">
        <f>VLOOKUP(C71,'Train Runs'!$A$13:$AE$190,31,0)</f>
        <v>#N/A</v>
      </c>
      <c r="Q71" s="119" t="e">
        <f>VLOOKUP(C71,'Train Runs'!$A$13:$AE$190,22,0)</f>
        <v>#N/A</v>
      </c>
      <c r="R71" s="122" t="str">
        <f t="shared" ref="R71" si="10">astrogrep_path&amp;" /spath="&amp;search_path&amp;" /stypes=""*"&amp;S71&amp;"*"&amp;TEXT(A71-utc_offset/24,"YYYYMMDD")&amp;LEFT(TEXT(A71-utc_offset/24,"HH"),1)&amp;"*"" /stext="" "&amp;TEXT(A71-utc_offset/24,"HH")&amp;search_regexp&amp;""" /e /r /s"</f>
        <v>"C:\Program Files (x86)\AstroGrep\AstroGrep.exe" /spath="%USERPROFILE%\AppData\Local\Temp\OnboardLogs" /stypes="*4006*201608141*" /stext=" 19:.+((SYSTEM_STATE.+slice.+state.+changed )|(ment ac)|(system.+state.+changed )|(\|lc)|(penalty)|(\[timeout)|(PRM\|1\|D)|(kpr)|(kdp))" /e /r /s</v>
      </c>
      <c r="S71" s="9" t="str">
        <f t="shared" si="6"/>
        <v>4006</v>
      </c>
      <c r="T71" s="39">
        <f t="shared" si="7"/>
        <v>42596.808865740742</v>
      </c>
      <c r="U71" s="53" t="e">
        <f t="shared" si="8"/>
        <v>#VALUE!</v>
      </c>
      <c r="V71" s="53" t="str">
        <f t="shared" si="9"/>
        <v>KEEP</v>
      </c>
    </row>
    <row r="72" spans="1:22" x14ac:dyDescent="0.25">
      <c r="B72" s="24"/>
      <c r="C72" s="24"/>
      <c r="D72" s="24"/>
      <c r="E72" s="24"/>
      <c r="I72" s="24"/>
      <c r="K72" s="24"/>
    </row>
  </sheetData>
  <autoFilter ref="A6:V71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71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7"/>
  <sheetViews>
    <sheetView workbookViewId="0">
      <selection activeCell="D3" sqref="D3"/>
    </sheetView>
  </sheetViews>
  <sheetFormatPr defaultRowHeight="15" x14ac:dyDescent="0.25"/>
  <cols>
    <col min="1" max="1" width="9.140625" style="71" customWidth="1"/>
    <col min="2" max="2" width="8" style="139" bestFit="1" customWidth="1"/>
    <col min="3" max="3" width="9.85546875" style="130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2" t="str">
        <f>"Trips that did not appear in PTC Data "&amp;TEXT(Variables!$A$2,"YYYY-mm-dd")</f>
        <v>Trips that did not appear in PTC Data 2016-08-14</v>
      </c>
      <c r="B1" s="152"/>
      <c r="C1" s="152"/>
      <c r="D1" s="152"/>
      <c r="E1" s="152"/>
    </row>
    <row r="2" spans="1:10" s="27" customFormat="1" ht="45" x14ac:dyDescent="0.25">
      <c r="A2" s="112" t="s">
        <v>67</v>
      </c>
      <c r="B2" s="136" t="s">
        <v>68</v>
      </c>
      <c r="C2" s="137" t="s">
        <v>69</v>
      </c>
      <c r="D2" s="27" t="s">
        <v>65</v>
      </c>
      <c r="E2" s="27" t="s">
        <v>66</v>
      </c>
      <c r="F2" s="27" t="s">
        <v>70</v>
      </c>
      <c r="G2" s="32" t="s">
        <v>71</v>
      </c>
      <c r="H2" s="32" t="s">
        <v>129</v>
      </c>
    </row>
    <row r="3" spans="1:10" x14ac:dyDescent="0.25">
      <c r="A3" s="77" t="s">
        <v>665</v>
      </c>
      <c r="B3" s="138"/>
      <c r="C3" s="138"/>
      <c r="D3" s="53" t="s">
        <v>680</v>
      </c>
      <c r="E3" s="25" t="e">
        <f>VLOOKUP(A3,'Trips&amp;Operators'!$C$2:$E$10000,3,FALSE)</f>
        <v>#N/A</v>
      </c>
      <c r="F3" s="25" t="e">
        <f>VLOOKUP(A3,'Trips&amp;Operators'!$C$1:$F$10000,4,FALSE)</f>
        <v>#N/A</v>
      </c>
      <c r="G3" s="33" t="e">
        <f>VLOOKUP(A3,'Trips&amp;Operators'!$C$1:$H$10000,5,FALSE)</f>
        <v>#N/A</v>
      </c>
      <c r="H3" s="32" t="str">
        <f t="shared" ref="H3:H8" si="0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22242-14%22)),sort:!(Time,asc))</v>
      </c>
      <c r="I3" s="24"/>
      <c r="J3" s="24"/>
    </row>
    <row r="4" spans="1:10" x14ac:dyDescent="0.25">
      <c r="A4" s="77"/>
      <c r="B4" s="138"/>
      <c r="C4" s="138"/>
      <c r="D4" s="53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77"/>
      <c r="B5" s="138"/>
      <c r="C5" s="138"/>
      <c r="D5" s="53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77"/>
      <c r="B6" s="138"/>
      <c r="C6" s="138"/>
      <c r="D6" s="53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A7" s="77"/>
      <c r="B7" s="138"/>
      <c r="C7" s="138"/>
      <c r="D7" s="53"/>
      <c r="E7" s="25" t="e">
        <f>VLOOKUP(A7,'Trips&amp;Operators'!$C$2:$E$10000,3,FALSE)</f>
        <v>#N/A</v>
      </c>
      <c r="F7" s="25" t="e">
        <f>VLOOKUP(A7,'Trips&amp;Operators'!$C$1:$F$10000,4,FALSE)</f>
        <v>#N/A</v>
      </c>
      <c r="G7" s="33" t="e">
        <f>VLOOKUP(A7,'Trips&amp;Operators'!$C$1:$H$10000,5,FALSE)</f>
        <v>#N/A</v>
      </c>
      <c r="H7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7" s="24"/>
      <c r="J7" s="24"/>
    </row>
    <row r="8" spans="1:10" x14ac:dyDescent="0.25">
      <c r="A8" s="77"/>
      <c r="B8" s="138"/>
      <c r="C8" s="138"/>
      <c r="D8" s="53"/>
      <c r="E8" s="25" t="e">
        <f>VLOOKUP(A8,'Trips&amp;Operators'!$C$2:$E$10000,3,FALSE)</f>
        <v>#N/A</v>
      </c>
      <c r="F8" s="25" t="e">
        <f>VLOOKUP(A8,'Trips&amp;Operators'!$C$1:$F$10000,4,FALSE)</f>
        <v>#N/A</v>
      </c>
      <c r="G8" s="33" t="e">
        <f>VLOOKUP(A8,'Trips&amp;Operators'!$C$1:$H$10000,5,FALSE)</f>
        <v>#N/A</v>
      </c>
      <c r="H8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8" s="24"/>
      <c r="J8" s="24"/>
    </row>
    <row r="9" spans="1:10" x14ac:dyDescent="0.25">
      <c r="B9" s="123"/>
      <c r="C9" s="123"/>
      <c r="H9" s="24"/>
      <c r="I9" s="24"/>
      <c r="J9" s="24"/>
    </row>
    <row r="10" spans="1:10" x14ac:dyDescent="0.25">
      <c r="B10" s="123"/>
      <c r="C10" s="123"/>
      <c r="H10" s="24"/>
      <c r="I10" s="24"/>
      <c r="J10" s="24"/>
    </row>
    <row r="11" spans="1:10" x14ac:dyDescent="0.25">
      <c r="B11" s="123"/>
      <c r="C11" s="123"/>
      <c r="H11" s="24"/>
      <c r="I11" s="24"/>
      <c r="J11" s="24"/>
    </row>
    <row r="12" spans="1:10" x14ac:dyDescent="0.25">
      <c r="B12" s="123"/>
      <c r="C12" s="123"/>
      <c r="H12" s="24"/>
      <c r="I12" s="24"/>
      <c r="J12" s="24"/>
    </row>
    <row r="13" spans="1:10" x14ac:dyDescent="0.25">
      <c r="B13" s="123"/>
      <c r="C13" s="123"/>
      <c r="H13" s="24"/>
      <c r="I13" s="24"/>
      <c r="J13" s="24"/>
    </row>
    <row r="14" spans="1:10" x14ac:dyDescent="0.25">
      <c r="B14" s="123"/>
      <c r="C14" s="123"/>
      <c r="H14" s="24"/>
      <c r="I14" s="24"/>
      <c r="J14" s="24"/>
    </row>
    <row r="15" spans="1:10" x14ac:dyDescent="0.25">
      <c r="B15" s="123"/>
      <c r="C15" s="123"/>
      <c r="H15" s="24"/>
      <c r="I15" s="24"/>
      <c r="J15" s="24"/>
    </row>
    <row r="16" spans="1:10" x14ac:dyDescent="0.25">
      <c r="B16" s="123"/>
      <c r="C16" s="123"/>
      <c r="H16" s="24"/>
      <c r="I16" s="24"/>
      <c r="J16" s="24"/>
    </row>
    <row r="17" spans="2:10" x14ac:dyDescent="0.25">
      <c r="B17" s="123"/>
      <c r="C17" s="123"/>
      <c r="H17" s="24"/>
      <c r="I17" s="24"/>
      <c r="J17" s="24"/>
    </row>
    <row r="18" spans="2:10" x14ac:dyDescent="0.25">
      <c r="B18" s="123"/>
      <c r="C18" s="123"/>
      <c r="H18" s="24"/>
      <c r="I18" s="24"/>
      <c r="J18" s="24"/>
    </row>
    <row r="19" spans="2:10" x14ac:dyDescent="0.25">
      <c r="B19" s="123"/>
      <c r="C19" s="123"/>
      <c r="H19" s="24"/>
      <c r="I19" s="24"/>
      <c r="J19" s="24"/>
    </row>
    <row r="20" spans="2:10" x14ac:dyDescent="0.25">
      <c r="B20" s="123"/>
      <c r="C20" s="123"/>
      <c r="H20" s="24"/>
      <c r="I20" s="24"/>
      <c r="J20" s="24"/>
    </row>
    <row r="21" spans="2:10" x14ac:dyDescent="0.25">
      <c r="B21" s="123"/>
      <c r="C21" s="123"/>
      <c r="H21" s="24"/>
      <c r="I21" s="24"/>
      <c r="J21" s="24"/>
    </row>
    <row r="22" spans="2:10" x14ac:dyDescent="0.25">
      <c r="B22" s="123"/>
      <c r="C22" s="123"/>
      <c r="H22" s="24"/>
      <c r="I22" s="24"/>
      <c r="J22" s="24"/>
    </row>
    <row r="23" spans="2:10" x14ac:dyDescent="0.25">
      <c r="B23" s="123"/>
      <c r="C23" s="123"/>
      <c r="H23" s="24"/>
      <c r="I23" s="24"/>
      <c r="J23" s="24"/>
    </row>
    <row r="24" spans="2:10" x14ac:dyDescent="0.25">
      <c r="B24" s="123"/>
      <c r="C24" s="123"/>
      <c r="H24" s="24"/>
      <c r="I24" s="24"/>
      <c r="J24" s="24"/>
    </row>
    <row r="25" spans="2:10" x14ac:dyDescent="0.25">
      <c r="B25" s="123"/>
      <c r="C25" s="123"/>
      <c r="H25" s="24"/>
      <c r="I25" s="24"/>
      <c r="J25" s="24"/>
    </row>
    <row r="26" spans="2:10" x14ac:dyDescent="0.25">
      <c r="B26" s="123"/>
      <c r="C26" s="123"/>
      <c r="H26" s="24"/>
      <c r="I26" s="24"/>
      <c r="J26" s="24"/>
    </row>
    <row r="27" spans="2:10" x14ac:dyDescent="0.25">
      <c r="B27" s="123"/>
      <c r="C27" s="123"/>
      <c r="H27" s="24"/>
      <c r="I27" s="24"/>
      <c r="J27" s="24"/>
    </row>
    <row r="28" spans="2:10" x14ac:dyDescent="0.25">
      <c r="B28" s="123"/>
      <c r="C28" s="123"/>
      <c r="H28" s="24"/>
      <c r="I28" s="24"/>
      <c r="J28" s="24"/>
    </row>
    <row r="29" spans="2:10" x14ac:dyDescent="0.25">
      <c r="B29" s="123"/>
      <c r="C29" s="123"/>
      <c r="H29" s="24"/>
      <c r="I29" s="24"/>
      <c r="J29" s="24"/>
    </row>
    <row r="30" spans="2:10" x14ac:dyDescent="0.25">
      <c r="B30" s="123"/>
      <c r="C30" s="123"/>
      <c r="H30" s="24"/>
      <c r="I30" s="24"/>
      <c r="J30" s="24"/>
    </row>
    <row r="31" spans="2:10" x14ac:dyDescent="0.25">
      <c r="B31" s="123"/>
      <c r="C31" s="123"/>
      <c r="H31" s="24"/>
      <c r="I31" s="24"/>
      <c r="J31" s="24"/>
    </row>
    <row r="32" spans="2:10" x14ac:dyDescent="0.25">
      <c r="B32" s="123"/>
      <c r="C32" s="123"/>
      <c r="H32" s="24"/>
      <c r="I32" s="24"/>
      <c r="J32" s="24"/>
    </row>
    <row r="33" spans="2:10" x14ac:dyDescent="0.25">
      <c r="B33" s="123"/>
      <c r="C33" s="123"/>
      <c r="H33" s="24"/>
      <c r="I33" s="24"/>
      <c r="J33" s="24"/>
    </row>
    <row r="34" spans="2:10" x14ac:dyDescent="0.25">
      <c r="B34" s="123"/>
      <c r="C34" s="123"/>
      <c r="H34" s="24"/>
      <c r="I34" s="24"/>
      <c r="J34" s="24"/>
    </row>
    <row r="35" spans="2:10" x14ac:dyDescent="0.25">
      <c r="B35" s="123"/>
      <c r="C35" s="123"/>
      <c r="H35" s="24"/>
      <c r="I35" s="24"/>
      <c r="J35" s="24"/>
    </row>
    <row r="36" spans="2:10" x14ac:dyDescent="0.25">
      <c r="B36" s="123"/>
      <c r="C36" s="123"/>
      <c r="H36" s="24"/>
      <c r="I36" s="24"/>
      <c r="J36" s="24"/>
    </row>
    <row r="37" spans="2:10" x14ac:dyDescent="0.25">
      <c r="B37" s="123"/>
      <c r="C37" s="123"/>
      <c r="H37" s="24"/>
      <c r="I37" s="24"/>
      <c r="J37" s="24"/>
    </row>
    <row r="38" spans="2:10" x14ac:dyDescent="0.25">
      <c r="B38" s="123"/>
      <c r="C38" s="123"/>
      <c r="H38" s="24"/>
      <c r="I38" s="24"/>
      <c r="J38" s="24"/>
    </row>
    <row r="39" spans="2:10" x14ac:dyDescent="0.25">
      <c r="B39" s="123"/>
      <c r="C39" s="123"/>
      <c r="H39" s="24"/>
      <c r="I39" s="24"/>
      <c r="J39" s="24"/>
    </row>
    <row r="40" spans="2:10" x14ac:dyDescent="0.25">
      <c r="B40" s="123"/>
      <c r="C40" s="123"/>
      <c r="H40" s="24"/>
      <c r="I40" s="24"/>
      <c r="J40" s="24"/>
    </row>
    <row r="41" spans="2:10" x14ac:dyDescent="0.25">
      <c r="B41" s="123"/>
      <c r="C41" s="123"/>
      <c r="H41" s="24"/>
      <c r="I41" s="24"/>
      <c r="J41" s="24"/>
    </row>
    <row r="42" spans="2:10" x14ac:dyDescent="0.25">
      <c r="B42" s="123"/>
      <c r="C42" s="123"/>
      <c r="H42" s="24"/>
      <c r="I42" s="24"/>
      <c r="J42" s="24"/>
    </row>
    <row r="43" spans="2:10" x14ac:dyDescent="0.25">
      <c r="B43" s="123"/>
      <c r="C43" s="123"/>
      <c r="H43" s="24"/>
      <c r="I43" s="24"/>
      <c r="J43" s="24"/>
    </row>
    <row r="44" spans="2:10" x14ac:dyDescent="0.25">
      <c r="B44" s="123"/>
      <c r="C44" s="123"/>
      <c r="H44" s="24"/>
      <c r="I44" s="24"/>
      <c r="J44" s="24"/>
    </row>
    <row r="45" spans="2:10" x14ac:dyDescent="0.25">
      <c r="B45" s="123"/>
      <c r="C45" s="123"/>
      <c r="H45" s="24"/>
      <c r="I45" s="24"/>
      <c r="J45" s="24"/>
    </row>
    <row r="46" spans="2:10" x14ac:dyDescent="0.25">
      <c r="B46" s="123"/>
      <c r="C46" s="123"/>
      <c r="H46" s="24"/>
      <c r="I46" s="24"/>
      <c r="J46" s="24"/>
    </row>
    <row r="47" spans="2:10" x14ac:dyDescent="0.25">
      <c r="B47" s="123"/>
      <c r="C47" s="123"/>
      <c r="H47" s="24"/>
      <c r="I47" s="24"/>
      <c r="J47" s="24"/>
    </row>
    <row r="48" spans="2:10" x14ac:dyDescent="0.25">
      <c r="B48" s="123"/>
      <c r="C48" s="123"/>
      <c r="H48" s="24"/>
      <c r="I48" s="24"/>
      <c r="J48" s="24"/>
    </row>
    <row r="49" spans="2:10" x14ac:dyDescent="0.25">
      <c r="B49" s="123"/>
      <c r="C49" s="123"/>
      <c r="H49" s="24"/>
      <c r="I49" s="24"/>
      <c r="J49" s="24"/>
    </row>
    <row r="50" spans="2:10" x14ac:dyDescent="0.25">
      <c r="B50" s="123"/>
      <c r="C50" s="123"/>
      <c r="H50" s="24"/>
      <c r="I50" s="24"/>
      <c r="J50" s="24"/>
    </row>
    <row r="51" spans="2:10" x14ac:dyDescent="0.25">
      <c r="B51" s="123"/>
      <c r="C51" s="123"/>
      <c r="H51" s="24"/>
      <c r="I51" s="24"/>
      <c r="J51" s="24"/>
    </row>
    <row r="52" spans="2:10" x14ac:dyDescent="0.25">
      <c r="B52" s="123"/>
      <c r="C52" s="123"/>
      <c r="H52" s="24"/>
      <c r="I52" s="24"/>
      <c r="J52" s="24"/>
    </row>
    <row r="53" spans="2:10" x14ac:dyDescent="0.25">
      <c r="B53" s="123"/>
      <c r="C53" s="123"/>
      <c r="H53" s="24"/>
      <c r="I53" s="24"/>
      <c r="J53" s="24"/>
    </row>
    <row r="54" spans="2:10" x14ac:dyDescent="0.25">
      <c r="B54" s="123"/>
      <c r="C54" s="123"/>
      <c r="H54" s="24"/>
      <c r="I54" s="24"/>
      <c r="J54" s="24"/>
    </row>
    <row r="55" spans="2:10" x14ac:dyDescent="0.25">
      <c r="B55" s="123"/>
      <c r="C55" s="123"/>
      <c r="H55" s="24"/>
      <c r="I55" s="24"/>
      <c r="J55" s="24"/>
    </row>
    <row r="56" spans="2:10" x14ac:dyDescent="0.25">
      <c r="B56" s="123"/>
      <c r="C56" s="123"/>
      <c r="H56" s="24"/>
      <c r="I56" s="24"/>
      <c r="J56" s="24"/>
    </row>
    <row r="57" spans="2:10" x14ac:dyDescent="0.25">
      <c r="B57" s="123"/>
      <c r="C57" s="123"/>
      <c r="H57" s="24"/>
      <c r="I57" s="24"/>
      <c r="J57" s="24"/>
    </row>
    <row r="58" spans="2:10" x14ac:dyDescent="0.25">
      <c r="B58" s="123"/>
      <c r="C58" s="123"/>
      <c r="H58" s="24"/>
      <c r="I58" s="24"/>
      <c r="J58" s="24"/>
    </row>
    <row r="59" spans="2:10" x14ac:dyDescent="0.25">
      <c r="B59" s="123"/>
      <c r="C59" s="123"/>
      <c r="H59" s="24"/>
      <c r="I59" s="24"/>
      <c r="J59" s="24"/>
    </row>
    <row r="60" spans="2:10" x14ac:dyDescent="0.25">
      <c r="B60" s="123"/>
      <c r="C60" s="123"/>
      <c r="H60" s="24"/>
      <c r="I60" s="24"/>
      <c r="J60" s="24"/>
    </row>
    <row r="61" spans="2:10" x14ac:dyDescent="0.25">
      <c r="B61" s="123"/>
      <c r="C61" s="123"/>
      <c r="H61" s="24"/>
      <c r="I61" s="24"/>
      <c r="J61" s="24"/>
    </row>
    <row r="62" spans="2:10" x14ac:dyDescent="0.25">
      <c r="B62" s="123"/>
      <c r="C62" s="123"/>
      <c r="H62" s="24"/>
      <c r="I62" s="24"/>
      <c r="J62" s="24"/>
    </row>
    <row r="63" spans="2:10" x14ac:dyDescent="0.25">
      <c r="B63" s="123"/>
      <c r="C63" s="123"/>
      <c r="H63" s="24"/>
      <c r="I63" s="24"/>
      <c r="J63" s="24"/>
    </row>
    <row r="64" spans="2:10" x14ac:dyDescent="0.25">
      <c r="B64" s="123"/>
      <c r="C64" s="123"/>
      <c r="H64" s="24"/>
      <c r="I64" s="24"/>
      <c r="J64" s="24"/>
    </row>
    <row r="65" spans="2:10" x14ac:dyDescent="0.25">
      <c r="B65" s="123"/>
      <c r="C65" s="123"/>
      <c r="H65" s="24"/>
      <c r="I65" s="24"/>
      <c r="J65" s="24"/>
    </row>
    <row r="66" spans="2:10" x14ac:dyDescent="0.25">
      <c r="B66" s="123"/>
      <c r="C66" s="123"/>
      <c r="H66" s="24"/>
      <c r="I66" s="24"/>
      <c r="J66" s="24"/>
    </row>
    <row r="67" spans="2:10" x14ac:dyDescent="0.25">
      <c r="B67" s="123"/>
      <c r="C67" s="123"/>
      <c r="H67" s="24"/>
      <c r="I67" s="24"/>
      <c r="J67" s="24"/>
    </row>
    <row r="68" spans="2:10" x14ac:dyDescent="0.25">
      <c r="B68" s="123"/>
      <c r="C68" s="123"/>
      <c r="H68" s="24"/>
      <c r="I68" s="24"/>
      <c r="J68" s="24"/>
    </row>
    <row r="69" spans="2:10" x14ac:dyDescent="0.25">
      <c r="B69" s="123"/>
      <c r="C69" s="123"/>
      <c r="H69" s="24"/>
      <c r="I69" s="24"/>
      <c r="J69" s="24"/>
    </row>
    <row r="70" spans="2:10" x14ac:dyDescent="0.25">
      <c r="B70" s="123"/>
      <c r="C70" s="123"/>
      <c r="H70" s="24"/>
      <c r="I70" s="24"/>
      <c r="J70" s="24"/>
    </row>
    <row r="71" spans="2:10" x14ac:dyDescent="0.25">
      <c r="B71" s="123"/>
      <c r="C71" s="123"/>
      <c r="H71" s="24"/>
      <c r="I71" s="24"/>
      <c r="J71" s="24"/>
    </row>
    <row r="72" spans="2:10" x14ac:dyDescent="0.25">
      <c r="B72" s="123"/>
      <c r="C72" s="123"/>
      <c r="H72" s="24"/>
      <c r="I72" s="24"/>
      <c r="J72" s="24"/>
    </row>
    <row r="73" spans="2:10" x14ac:dyDescent="0.25">
      <c r="B73" s="123"/>
      <c r="C73" s="123"/>
      <c r="H73" s="24"/>
      <c r="I73" s="24"/>
      <c r="J73" s="24"/>
    </row>
    <row r="74" spans="2:10" x14ac:dyDescent="0.25">
      <c r="B74" s="123"/>
      <c r="C74" s="123"/>
      <c r="H74" s="24"/>
      <c r="I74" s="24"/>
      <c r="J74" s="24"/>
    </row>
    <row r="75" spans="2:10" x14ac:dyDescent="0.25">
      <c r="B75" s="123"/>
      <c r="C75" s="123"/>
      <c r="H75" s="24"/>
      <c r="I75" s="24"/>
      <c r="J75" s="24"/>
    </row>
    <row r="76" spans="2:10" x14ac:dyDescent="0.25">
      <c r="B76" s="123"/>
      <c r="C76" s="123"/>
      <c r="H76" s="24"/>
      <c r="I76" s="24"/>
      <c r="J76" s="24"/>
    </row>
    <row r="77" spans="2:10" x14ac:dyDescent="0.25">
      <c r="B77" s="123"/>
      <c r="C77" s="123"/>
      <c r="H77" s="24"/>
      <c r="I77" s="24"/>
      <c r="J77" s="24"/>
    </row>
    <row r="78" spans="2:10" x14ac:dyDescent="0.25">
      <c r="B78" s="123"/>
      <c r="C78" s="123"/>
      <c r="H78" s="24"/>
      <c r="I78" s="24"/>
      <c r="J78" s="24"/>
    </row>
    <row r="79" spans="2:10" x14ac:dyDescent="0.25">
      <c r="B79" s="123"/>
      <c r="C79" s="123"/>
      <c r="H79" s="24"/>
      <c r="I79" s="24"/>
      <c r="J79" s="24"/>
    </row>
    <row r="80" spans="2:10" x14ac:dyDescent="0.25">
      <c r="B80" s="123"/>
      <c r="C80" s="123"/>
      <c r="H80" s="24"/>
      <c r="I80" s="24"/>
      <c r="J80" s="24"/>
    </row>
    <row r="81" spans="2:10" x14ac:dyDescent="0.25">
      <c r="B81" s="123"/>
      <c r="C81" s="123"/>
      <c r="H81" s="24"/>
      <c r="I81" s="24"/>
      <c r="J81" s="24"/>
    </row>
    <row r="82" spans="2:10" x14ac:dyDescent="0.25">
      <c r="B82" s="123"/>
      <c r="C82" s="123"/>
      <c r="H82" s="24"/>
      <c r="I82" s="24"/>
      <c r="J82" s="24"/>
    </row>
    <row r="83" spans="2:10" x14ac:dyDescent="0.25">
      <c r="B83" s="123"/>
      <c r="C83" s="123"/>
      <c r="H83" s="24"/>
      <c r="I83" s="24"/>
      <c r="J83" s="24"/>
    </row>
    <row r="84" spans="2:10" x14ac:dyDescent="0.25">
      <c r="B84" s="123"/>
      <c r="C84" s="123"/>
      <c r="H84" s="24"/>
      <c r="I84" s="24"/>
      <c r="J84" s="24"/>
    </row>
    <row r="85" spans="2:10" x14ac:dyDescent="0.25">
      <c r="B85" s="123"/>
      <c r="C85" s="123"/>
      <c r="H85" s="24"/>
      <c r="I85" s="24"/>
      <c r="J85" s="24"/>
    </row>
    <row r="86" spans="2:10" x14ac:dyDescent="0.25">
      <c r="B86" s="123"/>
      <c r="C86" s="123"/>
      <c r="H86" s="24"/>
      <c r="I86" s="24"/>
      <c r="J86" s="24"/>
    </row>
    <row r="87" spans="2:10" x14ac:dyDescent="0.25">
      <c r="B87" s="123"/>
      <c r="C87" s="123"/>
      <c r="H87" s="24"/>
      <c r="I87" s="24"/>
      <c r="J87" s="24"/>
    </row>
    <row r="88" spans="2:10" x14ac:dyDescent="0.25">
      <c r="B88" s="123"/>
      <c r="C88" s="123"/>
      <c r="H88" s="24"/>
      <c r="I88" s="24"/>
      <c r="J88" s="24"/>
    </row>
    <row r="89" spans="2:10" x14ac:dyDescent="0.25">
      <c r="B89" s="123"/>
      <c r="C89" s="123"/>
      <c r="H89" s="24"/>
      <c r="I89" s="24"/>
      <c r="J89" s="24"/>
    </row>
    <row r="90" spans="2:10" x14ac:dyDescent="0.25">
      <c r="B90" s="123"/>
      <c r="C90" s="123"/>
      <c r="H90" s="24"/>
      <c r="I90" s="24"/>
      <c r="J90" s="24"/>
    </row>
    <row r="91" spans="2:10" x14ac:dyDescent="0.25">
      <c r="B91" s="123"/>
      <c r="C91" s="123"/>
      <c r="H91" s="24"/>
      <c r="I91" s="24"/>
      <c r="J91" s="24"/>
    </row>
    <row r="92" spans="2:10" x14ac:dyDescent="0.25">
      <c r="B92" s="123"/>
      <c r="C92" s="123"/>
      <c r="H92" s="24"/>
      <c r="I92" s="24"/>
      <c r="J92" s="24"/>
    </row>
    <row r="93" spans="2:10" x14ac:dyDescent="0.25">
      <c r="B93" s="123"/>
      <c r="C93" s="123"/>
      <c r="H93" s="24"/>
      <c r="I93" s="24"/>
      <c r="J93" s="24"/>
    </row>
    <row r="94" spans="2:10" x14ac:dyDescent="0.25">
      <c r="B94" s="123"/>
      <c r="C94" s="123"/>
      <c r="H94" s="24"/>
      <c r="I94" s="24"/>
      <c r="J94" s="24"/>
    </row>
    <row r="95" spans="2:10" x14ac:dyDescent="0.25">
      <c r="B95" s="123"/>
      <c r="C95" s="123"/>
      <c r="H95" s="24"/>
      <c r="I95" s="24"/>
      <c r="J95" s="24"/>
    </row>
    <row r="96" spans="2:10" x14ac:dyDescent="0.25">
      <c r="B96" s="123"/>
      <c r="C96" s="123"/>
      <c r="H96" s="24"/>
      <c r="I96" s="24"/>
      <c r="J96" s="24"/>
    </row>
    <row r="97" spans="2:10" x14ac:dyDescent="0.25">
      <c r="B97" s="123"/>
      <c r="C97" s="123"/>
      <c r="H97" s="24"/>
      <c r="I97" s="24"/>
      <c r="J97" s="24"/>
    </row>
    <row r="98" spans="2:10" x14ac:dyDescent="0.25">
      <c r="B98" s="123"/>
      <c r="C98" s="123"/>
      <c r="H98" s="24"/>
      <c r="I98" s="24"/>
      <c r="J98" s="24"/>
    </row>
    <row r="99" spans="2:10" x14ac:dyDescent="0.25">
      <c r="B99" s="123"/>
      <c r="C99" s="123"/>
      <c r="H99" s="24"/>
      <c r="I99" s="24"/>
      <c r="J99" s="24"/>
    </row>
    <row r="100" spans="2:10" x14ac:dyDescent="0.25">
      <c r="B100" s="123"/>
      <c r="C100" s="123"/>
      <c r="H100" s="24"/>
      <c r="I100" s="24"/>
      <c r="J100" s="24"/>
    </row>
    <row r="101" spans="2:10" x14ac:dyDescent="0.25">
      <c r="B101" s="123"/>
      <c r="C101" s="123"/>
      <c r="H101" s="24"/>
      <c r="I101" s="24"/>
      <c r="J101" s="24"/>
    </row>
    <row r="102" spans="2:10" x14ac:dyDescent="0.25">
      <c r="B102" s="123"/>
      <c r="C102" s="123"/>
      <c r="H102" s="24"/>
      <c r="I102" s="24"/>
      <c r="J102" s="24"/>
    </row>
    <row r="103" spans="2:10" x14ac:dyDescent="0.25">
      <c r="B103" s="123"/>
      <c r="C103" s="123"/>
      <c r="H103" s="24"/>
      <c r="I103" s="24"/>
      <c r="J103" s="24"/>
    </row>
    <row r="104" spans="2:10" x14ac:dyDescent="0.25">
      <c r="B104" s="123"/>
      <c r="C104" s="123"/>
      <c r="H104" s="24"/>
      <c r="I104" s="24"/>
      <c r="J104" s="24"/>
    </row>
    <row r="105" spans="2:10" x14ac:dyDescent="0.25">
      <c r="B105" s="123"/>
      <c r="C105" s="123"/>
      <c r="H105" s="24"/>
      <c r="I105" s="24"/>
      <c r="J105" s="24"/>
    </row>
    <row r="106" spans="2:10" x14ac:dyDescent="0.25">
      <c r="B106" s="123"/>
      <c r="C106" s="123"/>
      <c r="H106" s="24"/>
      <c r="I106" s="24"/>
      <c r="J106" s="24"/>
    </row>
    <row r="107" spans="2:10" x14ac:dyDescent="0.25">
      <c r="H107" s="24"/>
      <c r="I107" s="24"/>
      <c r="J107" s="24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42596.036747685182</v>
      </c>
      <c r="B1" s="24" t="s">
        <v>292</v>
      </c>
      <c r="C1" s="24" t="s">
        <v>284</v>
      </c>
      <c r="D1" s="24">
        <v>1300000</v>
      </c>
      <c r="E1" s="24" t="s">
        <v>163</v>
      </c>
      <c r="F1" s="24" t="str">
        <f>B1</f>
        <v>rtdc.l.rtdc.4044:itc</v>
      </c>
      <c r="G1" s="8">
        <f>A1</f>
        <v>42596.036747685182</v>
      </c>
    </row>
    <row r="2" spans="1:7" x14ac:dyDescent="0.25">
      <c r="A2" s="8">
        <v>42596.039386574077</v>
      </c>
      <c r="B2" s="24" t="s">
        <v>303</v>
      </c>
      <c r="C2" s="24" t="s">
        <v>282</v>
      </c>
      <c r="D2" s="24">
        <v>2000000</v>
      </c>
      <c r="E2" s="24" t="s">
        <v>172</v>
      </c>
      <c r="F2" s="24" t="str">
        <f t="shared" ref="F2:F65" si="0">B2</f>
        <v>rtdc.l.rtdc.4010:itc</v>
      </c>
      <c r="G2" s="8">
        <f t="shared" ref="G2:G65" si="1">A2</f>
        <v>42596.039386574077</v>
      </c>
    </row>
    <row r="3" spans="1:7" x14ac:dyDescent="0.25">
      <c r="A3" s="8">
        <v>42596.047199074077</v>
      </c>
      <c r="B3" s="24" t="s">
        <v>242</v>
      </c>
      <c r="C3" s="24" t="s">
        <v>288</v>
      </c>
      <c r="D3" s="24">
        <v>1810000</v>
      </c>
      <c r="E3" s="24" t="s">
        <v>306</v>
      </c>
      <c r="F3" s="24" t="str">
        <f t="shared" si="0"/>
        <v>rtdc.l.rtdc.4018:itc</v>
      </c>
      <c r="G3" s="8">
        <f t="shared" si="1"/>
        <v>42596.047199074077</v>
      </c>
    </row>
    <row r="4" spans="1:7" x14ac:dyDescent="0.25">
      <c r="A4" s="8">
        <v>42596.057719907411</v>
      </c>
      <c r="B4" s="24" t="s">
        <v>236</v>
      </c>
      <c r="C4" s="24" t="s">
        <v>283</v>
      </c>
      <c r="D4" s="24">
        <v>1480000</v>
      </c>
      <c r="E4" s="24" t="s">
        <v>154</v>
      </c>
      <c r="F4" s="24" t="str">
        <f t="shared" si="0"/>
        <v>rtdc.l.rtdc.4008:itc</v>
      </c>
      <c r="G4" s="8">
        <f t="shared" si="1"/>
        <v>42596.057719907411</v>
      </c>
    </row>
    <row r="5" spans="1:7" x14ac:dyDescent="0.25">
      <c r="A5" s="8">
        <v>42596.069363425922</v>
      </c>
      <c r="B5" s="24" t="s">
        <v>299</v>
      </c>
      <c r="C5" s="24" t="s">
        <v>307</v>
      </c>
      <c r="D5" s="24">
        <v>2000000</v>
      </c>
      <c r="E5" s="24" t="s">
        <v>172</v>
      </c>
      <c r="F5" s="24" t="str">
        <f t="shared" si="0"/>
        <v>rtdc.l.rtdc.4009:itc</v>
      </c>
      <c r="G5" s="8">
        <f t="shared" si="1"/>
        <v>42596.069363425922</v>
      </c>
    </row>
    <row r="6" spans="1:7" x14ac:dyDescent="0.25">
      <c r="A6" s="8">
        <v>42596.078310185185</v>
      </c>
      <c r="B6" s="24" t="s">
        <v>295</v>
      </c>
      <c r="C6" s="24" t="s">
        <v>285</v>
      </c>
      <c r="D6" s="24">
        <v>1300000</v>
      </c>
      <c r="E6" s="24" t="s">
        <v>163</v>
      </c>
      <c r="F6" s="24" t="str">
        <f t="shared" si="0"/>
        <v>rtdc.l.rtdc.4043:itc</v>
      </c>
      <c r="G6" s="8">
        <f t="shared" si="1"/>
        <v>42596.078310185185</v>
      </c>
    </row>
    <row r="7" spans="1:7" x14ac:dyDescent="0.25">
      <c r="A7" s="8">
        <v>42596.089317129627</v>
      </c>
      <c r="B7" s="24" t="s">
        <v>241</v>
      </c>
      <c r="C7" s="24" t="s">
        <v>290</v>
      </c>
      <c r="D7" s="24">
        <v>1480000</v>
      </c>
      <c r="E7" s="24" t="s">
        <v>154</v>
      </c>
      <c r="F7" s="24" t="str">
        <f t="shared" si="0"/>
        <v>rtdc.l.rtdc.4007:itc</v>
      </c>
      <c r="G7" s="8">
        <f t="shared" si="1"/>
        <v>42596.089317129627</v>
      </c>
    </row>
    <row r="8" spans="1:7" x14ac:dyDescent="0.25">
      <c r="A8" s="8">
        <v>42596.109247685185</v>
      </c>
      <c r="B8" s="24" t="s">
        <v>292</v>
      </c>
      <c r="C8" s="24" t="s">
        <v>308</v>
      </c>
      <c r="D8" s="24">
        <v>1300000</v>
      </c>
      <c r="E8" s="24" t="s">
        <v>163</v>
      </c>
      <c r="F8" s="24" t="str">
        <f t="shared" si="0"/>
        <v>rtdc.l.rtdc.4044:itc</v>
      </c>
      <c r="G8" s="8">
        <f t="shared" si="1"/>
        <v>42596.109247685185</v>
      </c>
    </row>
    <row r="9" spans="1:7" ht="15.75" thickBot="1" x14ac:dyDescent="0.3">
      <c r="A9" s="28">
        <v>42596.11215277778</v>
      </c>
      <c r="B9" s="24" t="s">
        <v>94</v>
      </c>
      <c r="C9" s="24" t="s">
        <v>286</v>
      </c>
      <c r="D9" s="24">
        <v>2030000</v>
      </c>
      <c r="E9" s="24" t="s">
        <v>301</v>
      </c>
      <c r="F9" s="24" t="str">
        <f t="shared" si="0"/>
        <v>rtdc.l.rtdc.4013:itc</v>
      </c>
      <c r="G9" s="8">
        <f t="shared" si="1"/>
        <v>42596.11215277778</v>
      </c>
    </row>
    <row r="10" spans="1:7" x14ac:dyDescent="0.25">
      <c r="A10" s="8">
        <v>42596.127430555556</v>
      </c>
      <c r="B10" s="24" t="s">
        <v>648</v>
      </c>
      <c r="C10" s="24" t="s">
        <v>309</v>
      </c>
      <c r="D10" s="24">
        <v>2030000</v>
      </c>
      <c r="E10" s="24" t="s">
        <v>301</v>
      </c>
      <c r="F10" s="24" t="str">
        <f t="shared" si="0"/>
        <v>rtdc.l.rtdc.4025:itc</v>
      </c>
      <c r="G10" s="8">
        <f t="shared" si="1"/>
        <v>42596.127430555556</v>
      </c>
    </row>
    <row r="11" spans="1:7" x14ac:dyDescent="0.25">
      <c r="A11" s="8">
        <v>42596.152013888888</v>
      </c>
      <c r="B11" s="24" t="s">
        <v>95</v>
      </c>
      <c r="C11" s="24" t="s">
        <v>312</v>
      </c>
      <c r="D11" s="24">
        <v>1260000</v>
      </c>
      <c r="E11" s="24" t="s">
        <v>300</v>
      </c>
      <c r="F11" s="24" t="str">
        <f t="shared" si="0"/>
        <v>rtdc.l.rtdc.4029:itc</v>
      </c>
      <c r="G11" s="8">
        <f t="shared" si="1"/>
        <v>42596.152013888888</v>
      </c>
    </row>
    <row r="12" spans="1:7" x14ac:dyDescent="0.25">
      <c r="A12" s="8">
        <v>42596.167650462965</v>
      </c>
      <c r="B12" s="24" t="s">
        <v>94</v>
      </c>
      <c r="C12" s="24" t="s">
        <v>310</v>
      </c>
      <c r="D12" s="24">
        <v>2030000</v>
      </c>
      <c r="E12" s="24" t="s">
        <v>301</v>
      </c>
      <c r="F12" s="24" t="str">
        <f t="shared" si="0"/>
        <v>rtdc.l.rtdc.4013:itc</v>
      </c>
      <c r="G12" s="8">
        <f t="shared" si="1"/>
        <v>42596.167650462965</v>
      </c>
    </row>
    <row r="13" spans="1:7" x14ac:dyDescent="0.25">
      <c r="A13" s="8">
        <v>42596.172094907408</v>
      </c>
      <c r="B13" s="24" t="s">
        <v>293</v>
      </c>
      <c r="C13" s="24" t="s">
        <v>317</v>
      </c>
      <c r="D13" s="24">
        <v>2010000</v>
      </c>
      <c r="E13" s="24" t="s">
        <v>171</v>
      </c>
      <c r="F13" s="24" t="str">
        <f t="shared" si="0"/>
        <v>rtdc.l.rtdc.4011:itc</v>
      </c>
      <c r="G13" s="8">
        <f t="shared" si="1"/>
        <v>42596.172094907408</v>
      </c>
    </row>
    <row r="14" spans="1:7" x14ac:dyDescent="0.25">
      <c r="A14" s="8">
        <v>42596.18204861111</v>
      </c>
      <c r="B14" s="24" t="s">
        <v>97</v>
      </c>
      <c r="C14" s="24" t="s">
        <v>322</v>
      </c>
      <c r="D14" s="24">
        <v>1990000</v>
      </c>
      <c r="E14" s="24" t="s">
        <v>243</v>
      </c>
      <c r="F14" s="24" t="str">
        <f t="shared" si="0"/>
        <v>rtdc.l.rtdc.4027:itc</v>
      </c>
      <c r="G14" s="8">
        <f t="shared" si="1"/>
        <v>42596.18204861111</v>
      </c>
    </row>
    <row r="15" spans="1:7" x14ac:dyDescent="0.25">
      <c r="A15" s="8">
        <v>42596.189780092594</v>
      </c>
      <c r="B15" s="24" t="s">
        <v>112</v>
      </c>
      <c r="C15" s="24" t="s">
        <v>314</v>
      </c>
      <c r="D15" s="24">
        <v>1260000</v>
      </c>
      <c r="E15" s="24" t="s">
        <v>300</v>
      </c>
      <c r="F15" s="24" t="str">
        <f t="shared" si="0"/>
        <v>rtdc.l.rtdc.4015:itc</v>
      </c>
      <c r="G15" s="8">
        <f t="shared" si="1"/>
        <v>42596.189780092594</v>
      </c>
    </row>
    <row r="16" spans="1:7" x14ac:dyDescent="0.25">
      <c r="A16" s="8">
        <v>42596.196689814817</v>
      </c>
      <c r="B16" s="24" t="s">
        <v>193</v>
      </c>
      <c r="C16" s="24" t="s">
        <v>324</v>
      </c>
      <c r="D16" s="24">
        <v>1310000</v>
      </c>
      <c r="E16" s="24" t="s">
        <v>191</v>
      </c>
      <c r="F16" s="24" t="str">
        <f t="shared" si="0"/>
        <v>rtdc.l.rtdc.4038:itc</v>
      </c>
      <c r="G16" s="8">
        <f t="shared" si="1"/>
        <v>42596.196689814817</v>
      </c>
    </row>
    <row r="17" spans="1:7" x14ac:dyDescent="0.25">
      <c r="A17" s="8">
        <v>42596.207037037035</v>
      </c>
      <c r="B17" s="24" t="s">
        <v>648</v>
      </c>
      <c r="C17" s="24" t="s">
        <v>327</v>
      </c>
      <c r="D17" s="24">
        <v>1760000</v>
      </c>
      <c r="E17" s="24" t="s">
        <v>651</v>
      </c>
      <c r="F17" s="24" t="str">
        <f t="shared" si="0"/>
        <v>rtdc.l.rtdc.4025:itc</v>
      </c>
      <c r="G17" s="8">
        <f t="shared" si="1"/>
        <v>42596.207037037035</v>
      </c>
    </row>
    <row r="18" spans="1:7" x14ac:dyDescent="0.25">
      <c r="A18" s="8">
        <v>42596.210555555554</v>
      </c>
      <c r="B18" s="24" t="s">
        <v>119</v>
      </c>
      <c r="C18" s="24" t="s">
        <v>331</v>
      </c>
      <c r="D18" s="24">
        <v>2030000</v>
      </c>
      <c r="E18" s="24" t="s">
        <v>301</v>
      </c>
      <c r="F18" s="24" t="str">
        <f t="shared" si="0"/>
        <v>rtdc.l.rtdc.4014:itc</v>
      </c>
      <c r="G18" s="8">
        <f t="shared" si="1"/>
        <v>42596.210555555554</v>
      </c>
    </row>
    <row r="19" spans="1:7" x14ac:dyDescent="0.25">
      <c r="A19" s="8">
        <v>42596.212754629632</v>
      </c>
      <c r="B19" s="24" t="s">
        <v>122</v>
      </c>
      <c r="C19" s="24" t="s">
        <v>319</v>
      </c>
      <c r="D19" s="24">
        <v>2010000</v>
      </c>
      <c r="E19" s="24" t="s">
        <v>171</v>
      </c>
      <c r="F19" s="24" t="str">
        <f t="shared" si="0"/>
        <v>rtdc.l.rtdc.4032:itc</v>
      </c>
      <c r="G19" s="8">
        <f t="shared" si="1"/>
        <v>42596.212754629632</v>
      </c>
    </row>
    <row r="20" spans="1:7" x14ac:dyDescent="0.25">
      <c r="A20" s="8">
        <v>42596.218252314815</v>
      </c>
      <c r="B20" s="24" t="s">
        <v>189</v>
      </c>
      <c r="C20" s="24" t="s">
        <v>323</v>
      </c>
      <c r="D20" s="24">
        <v>1990000</v>
      </c>
      <c r="E20" s="24" t="s">
        <v>243</v>
      </c>
      <c r="F20" s="24" t="str">
        <f t="shared" si="0"/>
        <v>rtdc.l.rtdc.4028:itc</v>
      </c>
      <c r="G20" s="8">
        <f t="shared" si="1"/>
        <v>42596.218252314815</v>
      </c>
    </row>
    <row r="21" spans="1:7" x14ac:dyDescent="0.25">
      <c r="A21" s="8">
        <v>42596.222812499997</v>
      </c>
      <c r="B21" s="24" t="s">
        <v>237</v>
      </c>
      <c r="C21" s="24" t="s">
        <v>531</v>
      </c>
      <c r="D21" s="24">
        <v>1110000</v>
      </c>
      <c r="E21" s="24" t="s">
        <v>652</v>
      </c>
      <c r="F21" s="24" t="str">
        <f t="shared" si="0"/>
        <v>rtdc.l.rtdc.4020:itc</v>
      </c>
      <c r="G21" s="8">
        <f t="shared" si="1"/>
        <v>42596.222812499997</v>
      </c>
    </row>
    <row r="22" spans="1:7" x14ac:dyDescent="0.25">
      <c r="A22" s="30">
        <v>42596.227037037039</v>
      </c>
      <c r="B22" s="24" t="s">
        <v>237</v>
      </c>
      <c r="C22" s="24" t="s">
        <v>531</v>
      </c>
      <c r="D22" s="24">
        <v>1110000</v>
      </c>
      <c r="E22" s="24" t="s">
        <v>652</v>
      </c>
      <c r="F22" s="24" t="str">
        <f t="shared" si="0"/>
        <v>rtdc.l.rtdc.4020:itc</v>
      </c>
      <c r="G22" s="8">
        <f t="shared" si="1"/>
        <v>42596.227037037039</v>
      </c>
    </row>
    <row r="23" spans="1:7" x14ac:dyDescent="0.25">
      <c r="A23" s="8">
        <v>42596.227754629632</v>
      </c>
      <c r="B23" s="24" t="s">
        <v>237</v>
      </c>
      <c r="C23" s="24" t="s">
        <v>531</v>
      </c>
      <c r="D23" s="24">
        <v>1110000</v>
      </c>
      <c r="E23" s="24" t="s">
        <v>652</v>
      </c>
      <c r="F23" s="24" t="str">
        <f t="shared" si="0"/>
        <v>rtdc.l.rtdc.4020:itc</v>
      </c>
      <c r="G23" s="8">
        <f t="shared" si="1"/>
        <v>42596.227754629632</v>
      </c>
    </row>
    <row r="24" spans="1:7" x14ac:dyDescent="0.25">
      <c r="A24" s="8">
        <v>42596.229548611111</v>
      </c>
      <c r="B24" s="24" t="s">
        <v>95</v>
      </c>
      <c r="C24" s="24" t="s">
        <v>335</v>
      </c>
      <c r="D24" s="24">
        <v>1830000</v>
      </c>
      <c r="E24" s="24" t="s">
        <v>192</v>
      </c>
      <c r="F24" s="24" t="str">
        <f t="shared" si="0"/>
        <v>rtdc.l.rtdc.4029:itc</v>
      </c>
      <c r="G24" s="8">
        <f t="shared" si="1"/>
        <v>42596.229548611111</v>
      </c>
    </row>
    <row r="25" spans="1:7" x14ac:dyDescent="0.25">
      <c r="A25" s="8">
        <v>42596.230208333334</v>
      </c>
      <c r="B25" s="24" t="s">
        <v>95</v>
      </c>
      <c r="C25" s="24" t="s">
        <v>335</v>
      </c>
      <c r="D25" s="24">
        <v>1830000</v>
      </c>
      <c r="E25" s="24" t="s">
        <v>192</v>
      </c>
      <c r="F25" s="24" t="str">
        <f t="shared" si="0"/>
        <v>rtdc.l.rtdc.4029:itc</v>
      </c>
      <c r="G25" s="8">
        <f t="shared" si="1"/>
        <v>42596.230208333334</v>
      </c>
    </row>
    <row r="26" spans="1:7" x14ac:dyDescent="0.25">
      <c r="A26" s="8">
        <v>42596.234537037039</v>
      </c>
      <c r="B26" s="24" t="s">
        <v>173</v>
      </c>
      <c r="C26" s="24" t="s">
        <v>325</v>
      </c>
      <c r="D26" s="24">
        <v>1310000</v>
      </c>
      <c r="E26" s="24" t="s">
        <v>191</v>
      </c>
      <c r="F26" s="24" t="str">
        <f t="shared" si="0"/>
        <v>rtdc.l.rtdc.4037:itc</v>
      </c>
      <c r="G26" s="8">
        <f t="shared" si="1"/>
        <v>42596.234537037039</v>
      </c>
    </row>
    <row r="27" spans="1:7" x14ac:dyDescent="0.25">
      <c r="A27" s="8">
        <v>42596.23574074074</v>
      </c>
      <c r="B27" s="24" t="s">
        <v>649</v>
      </c>
      <c r="C27" s="24" t="s">
        <v>340</v>
      </c>
      <c r="D27" s="24">
        <v>1260000</v>
      </c>
      <c r="E27" s="24" t="s">
        <v>300</v>
      </c>
      <c r="F27" s="24" t="str">
        <f t="shared" si="0"/>
        <v>rtdc.l.rtdc.4016:itc</v>
      </c>
      <c r="G27" s="8">
        <f t="shared" si="1"/>
        <v>42596.23574074074</v>
      </c>
    </row>
    <row r="28" spans="1:7" x14ac:dyDescent="0.25">
      <c r="A28" s="8">
        <v>42596.236840277779</v>
      </c>
      <c r="B28" s="24" t="s">
        <v>240</v>
      </c>
      <c r="C28" s="24" t="s">
        <v>432</v>
      </c>
      <c r="D28" s="24">
        <v>1110000</v>
      </c>
      <c r="E28" s="24" t="s">
        <v>652</v>
      </c>
      <c r="F28" s="24" t="str">
        <f t="shared" si="0"/>
        <v>rtdc.l.rtdc.4019:itc</v>
      </c>
      <c r="G28" s="8">
        <f t="shared" si="1"/>
        <v>42596.236840277779</v>
      </c>
    </row>
    <row r="29" spans="1:7" x14ac:dyDescent="0.25">
      <c r="A29" s="8">
        <v>42596.243379629632</v>
      </c>
      <c r="B29" s="24" t="s">
        <v>650</v>
      </c>
      <c r="C29" s="24" t="s">
        <v>328</v>
      </c>
      <c r="D29" s="24">
        <v>1760000</v>
      </c>
      <c r="E29" s="24" t="s">
        <v>651</v>
      </c>
      <c r="F29" s="24" t="str">
        <f t="shared" si="0"/>
        <v>rtdc.l.rtdc.4026:itc</v>
      </c>
      <c r="G29" s="8">
        <f t="shared" si="1"/>
        <v>42596.243379629632</v>
      </c>
    </row>
    <row r="30" spans="1:7" x14ac:dyDescent="0.25">
      <c r="A30" s="8">
        <v>42596.247824074075</v>
      </c>
      <c r="B30" s="24" t="s">
        <v>293</v>
      </c>
      <c r="C30" s="24" t="s">
        <v>343</v>
      </c>
      <c r="D30" s="24">
        <v>2010000</v>
      </c>
      <c r="E30" s="24" t="s">
        <v>171</v>
      </c>
      <c r="F30" s="24" t="str">
        <f t="shared" si="0"/>
        <v>rtdc.l.rtdc.4011:itc</v>
      </c>
      <c r="G30" s="8">
        <f t="shared" si="1"/>
        <v>42596.247824074075</v>
      </c>
    </row>
    <row r="31" spans="1:7" x14ac:dyDescent="0.25">
      <c r="A31" s="8">
        <v>42596.254756944443</v>
      </c>
      <c r="B31" s="24" t="s">
        <v>94</v>
      </c>
      <c r="C31" s="24" t="s">
        <v>333</v>
      </c>
      <c r="D31" s="24">
        <v>2030000</v>
      </c>
      <c r="E31" s="24" t="s">
        <v>301</v>
      </c>
      <c r="F31" s="24" t="str">
        <f t="shared" si="0"/>
        <v>rtdc.l.rtdc.4013:itc</v>
      </c>
      <c r="G31" s="8">
        <f t="shared" si="1"/>
        <v>42596.254756944443</v>
      </c>
    </row>
    <row r="32" spans="1:7" x14ac:dyDescent="0.25">
      <c r="A32" s="8">
        <v>42596.255798611113</v>
      </c>
      <c r="B32" s="24" t="s">
        <v>96</v>
      </c>
      <c r="C32" s="24" t="s">
        <v>337</v>
      </c>
      <c r="D32" s="24">
        <v>1830000</v>
      </c>
      <c r="E32" s="24" t="s">
        <v>192</v>
      </c>
      <c r="F32" s="24" t="str">
        <f t="shared" si="0"/>
        <v>rtdc.l.rtdc.4030:itc</v>
      </c>
      <c r="G32" s="8">
        <f t="shared" si="1"/>
        <v>42596.255798611113</v>
      </c>
    </row>
    <row r="33" spans="1:7" x14ac:dyDescent="0.25">
      <c r="A33" s="8">
        <v>42596.255879629629</v>
      </c>
      <c r="B33" s="24" t="s">
        <v>650</v>
      </c>
      <c r="C33" s="24" t="s">
        <v>328</v>
      </c>
      <c r="D33" s="24">
        <v>1760000</v>
      </c>
      <c r="E33" s="24" t="s">
        <v>651</v>
      </c>
      <c r="F33" s="24" t="str">
        <f t="shared" si="0"/>
        <v>rtdc.l.rtdc.4026:itc</v>
      </c>
      <c r="G33" s="8">
        <f t="shared" si="1"/>
        <v>42596.255879629629</v>
      </c>
    </row>
    <row r="34" spans="1:7" x14ac:dyDescent="0.25">
      <c r="A34" s="8">
        <v>42596.256678240738</v>
      </c>
      <c r="B34" s="24" t="s">
        <v>97</v>
      </c>
      <c r="C34" s="24" t="s">
        <v>346</v>
      </c>
      <c r="D34" s="24">
        <v>1990000</v>
      </c>
      <c r="E34" s="24" t="s">
        <v>243</v>
      </c>
      <c r="F34" s="24" t="str">
        <f t="shared" si="0"/>
        <v>rtdc.l.rtdc.4027:itc</v>
      </c>
      <c r="G34" s="8">
        <f t="shared" si="1"/>
        <v>42596.256678240738</v>
      </c>
    </row>
    <row r="35" spans="1:7" x14ac:dyDescent="0.25">
      <c r="A35" s="8">
        <v>42596.262395833335</v>
      </c>
      <c r="B35" s="24" t="s">
        <v>237</v>
      </c>
      <c r="C35" s="24" t="s">
        <v>434</v>
      </c>
      <c r="D35" s="24">
        <v>1110000</v>
      </c>
      <c r="E35" s="24" t="s">
        <v>652</v>
      </c>
      <c r="F35" s="24" t="str">
        <f t="shared" si="0"/>
        <v>rtdc.l.rtdc.4020:itc</v>
      </c>
      <c r="G35" s="8">
        <f t="shared" si="1"/>
        <v>42596.262395833335</v>
      </c>
    </row>
    <row r="36" spans="1:7" x14ac:dyDescent="0.25">
      <c r="A36" s="8">
        <v>42596.269803240742</v>
      </c>
      <c r="B36" s="24" t="s">
        <v>193</v>
      </c>
      <c r="C36" s="24" t="s">
        <v>348</v>
      </c>
      <c r="D36" s="24">
        <v>1310000</v>
      </c>
      <c r="E36" s="24" t="s">
        <v>191</v>
      </c>
      <c r="F36" s="24" t="str">
        <f t="shared" si="0"/>
        <v>rtdc.l.rtdc.4038:itc</v>
      </c>
      <c r="G36" s="8">
        <f t="shared" si="1"/>
        <v>42596.269803240742</v>
      </c>
    </row>
    <row r="37" spans="1:7" x14ac:dyDescent="0.25">
      <c r="A37" s="8">
        <v>42596.272465277776</v>
      </c>
      <c r="B37" s="24" t="s">
        <v>112</v>
      </c>
      <c r="C37" s="24" t="s">
        <v>342</v>
      </c>
      <c r="D37" s="24">
        <v>1260000</v>
      </c>
      <c r="E37" s="24" t="s">
        <v>300</v>
      </c>
      <c r="F37" s="24" t="str">
        <f t="shared" si="0"/>
        <v>rtdc.l.rtdc.4015:itc</v>
      </c>
      <c r="G37" s="8">
        <f t="shared" si="1"/>
        <v>42596.272465277776</v>
      </c>
    </row>
    <row r="38" spans="1:7" x14ac:dyDescent="0.25">
      <c r="A38" s="8">
        <v>42596.276226851849</v>
      </c>
      <c r="B38" s="24" t="s">
        <v>240</v>
      </c>
      <c r="C38" s="24" t="s">
        <v>436</v>
      </c>
      <c r="D38" s="24">
        <v>1110000</v>
      </c>
      <c r="E38" s="24" t="s">
        <v>652</v>
      </c>
      <c r="F38" s="24" t="str">
        <f t="shared" si="0"/>
        <v>rtdc.l.rtdc.4019:itc</v>
      </c>
      <c r="G38" s="8">
        <f t="shared" si="1"/>
        <v>42596.276226851849</v>
      </c>
    </row>
    <row r="39" spans="1:7" x14ac:dyDescent="0.25">
      <c r="A39" s="8">
        <v>42596.279247685183</v>
      </c>
      <c r="B39" s="24" t="s">
        <v>121</v>
      </c>
      <c r="C39" s="24" t="s">
        <v>351</v>
      </c>
      <c r="D39" s="24">
        <v>1760000</v>
      </c>
      <c r="E39" s="24" t="s">
        <v>651</v>
      </c>
      <c r="F39" s="24" t="str">
        <f t="shared" si="0"/>
        <v>rtdc.l.rtdc.4031:itc</v>
      </c>
      <c r="G39" s="8">
        <f t="shared" si="1"/>
        <v>42596.279247685183</v>
      </c>
    </row>
    <row r="40" spans="1:7" x14ac:dyDescent="0.25">
      <c r="A40" s="8">
        <v>42596.283125000002</v>
      </c>
      <c r="B40" s="29" t="s">
        <v>294</v>
      </c>
      <c r="C40" s="24" t="s">
        <v>344</v>
      </c>
      <c r="D40" s="24">
        <v>2010000</v>
      </c>
      <c r="E40" s="24" t="s">
        <v>171</v>
      </c>
      <c r="F40" s="24" t="str">
        <f t="shared" si="0"/>
        <v>rtdc.l.rtdc.4012:itc</v>
      </c>
      <c r="G40" s="8">
        <f t="shared" si="1"/>
        <v>42596.283125000002</v>
      </c>
    </row>
    <row r="41" spans="1:7" x14ac:dyDescent="0.25">
      <c r="A41" s="8">
        <v>42596.288113425922</v>
      </c>
      <c r="B41" s="24" t="s">
        <v>119</v>
      </c>
      <c r="C41" s="24" t="s">
        <v>355</v>
      </c>
      <c r="D41" s="24">
        <v>2030000</v>
      </c>
      <c r="E41" s="24" t="s">
        <v>301</v>
      </c>
      <c r="F41" s="24" t="str">
        <f t="shared" si="0"/>
        <v>rtdc.l.rtdc.4014:itc</v>
      </c>
      <c r="G41" s="8">
        <f t="shared" si="1"/>
        <v>42596.288113425922</v>
      </c>
    </row>
    <row r="42" spans="1:7" x14ac:dyDescent="0.25">
      <c r="A42" s="8">
        <v>42596.293391203704</v>
      </c>
      <c r="B42" s="24" t="s">
        <v>189</v>
      </c>
      <c r="C42" s="24" t="s">
        <v>347</v>
      </c>
      <c r="D42" s="24">
        <v>1990000</v>
      </c>
      <c r="E42" s="24" t="s">
        <v>243</v>
      </c>
      <c r="F42" s="24" t="str">
        <f t="shared" si="0"/>
        <v>rtdc.l.rtdc.4028:itc</v>
      </c>
      <c r="G42" s="8">
        <f t="shared" si="1"/>
        <v>42596.293391203704</v>
      </c>
    </row>
    <row r="43" spans="1:7" x14ac:dyDescent="0.25">
      <c r="A43" s="8">
        <v>42596.295405092591</v>
      </c>
      <c r="B43" s="24" t="s">
        <v>95</v>
      </c>
      <c r="C43" s="24" t="s">
        <v>360</v>
      </c>
      <c r="D43" s="24">
        <v>1830000</v>
      </c>
      <c r="E43" s="24" t="s">
        <v>192</v>
      </c>
      <c r="F43" s="24" t="str">
        <f t="shared" si="0"/>
        <v>rtdc.l.rtdc.4029:itc</v>
      </c>
      <c r="G43" s="8">
        <f t="shared" si="1"/>
        <v>42596.295405092591</v>
      </c>
    </row>
    <row r="44" spans="1:7" x14ac:dyDescent="0.25">
      <c r="A44" s="8">
        <v>42596.30364583333</v>
      </c>
      <c r="B44" s="24" t="s">
        <v>237</v>
      </c>
      <c r="C44" s="24" t="s">
        <v>438</v>
      </c>
      <c r="D44" s="24">
        <v>1110000</v>
      </c>
      <c r="E44" s="24" t="s">
        <v>652</v>
      </c>
      <c r="F44" s="24" t="str">
        <f t="shared" si="0"/>
        <v>rtdc.l.rtdc.4020:itc</v>
      </c>
      <c r="G44" s="8">
        <f t="shared" si="1"/>
        <v>42596.30364583333</v>
      </c>
    </row>
    <row r="45" spans="1:7" x14ac:dyDescent="0.25">
      <c r="A45" s="8">
        <v>42596.308240740742</v>
      </c>
      <c r="B45" s="24" t="s">
        <v>173</v>
      </c>
      <c r="C45" s="24" t="s">
        <v>350</v>
      </c>
      <c r="D45" s="24">
        <v>1310000</v>
      </c>
      <c r="E45" s="24" t="s">
        <v>191</v>
      </c>
      <c r="F45" s="24" t="str">
        <f t="shared" si="0"/>
        <v>rtdc.l.rtdc.4037:itc</v>
      </c>
      <c r="G45" s="8">
        <f t="shared" si="1"/>
        <v>42596.308240740742</v>
      </c>
    </row>
    <row r="46" spans="1:7" x14ac:dyDescent="0.25">
      <c r="A46" s="8">
        <v>42596.308483796296</v>
      </c>
      <c r="B46" s="24" t="s">
        <v>649</v>
      </c>
      <c r="C46" s="24" t="s">
        <v>362</v>
      </c>
      <c r="D46" s="24">
        <v>1260000</v>
      </c>
      <c r="E46" s="24" t="s">
        <v>300</v>
      </c>
      <c r="F46" s="24" t="str">
        <f t="shared" si="0"/>
        <v>rtdc.l.rtdc.4016:itc</v>
      </c>
      <c r="G46" s="8">
        <f t="shared" si="1"/>
        <v>42596.308483796296</v>
      </c>
    </row>
    <row r="47" spans="1:7" x14ac:dyDescent="0.25">
      <c r="A47" s="8">
        <v>42596.317013888889</v>
      </c>
      <c r="B47" s="24" t="s">
        <v>122</v>
      </c>
      <c r="C47" s="24" t="s">
        <v>353</v>
      </c>
      <c r="D47" s="24">
        <v>1760000</v>
      </c>
      <c r="E47" s="24" t="s">
        <v>651</v>
      </c>
      <c r="F47" s="24" t="str">
        <f t="shared" si="0"/>
        <v>rtdc.l.rtdc.4032:itc</v>
      </c>
      <c r="G47" s="8">
        <f t="shared" si="1"/>
        <v>42596.317013888889</v>
      </c>
    </row>
    <row r="48" spans="1:7" x14ac:dyDescent="0.25">
      <c r="A48" s="8">
        <v>42596.317037037035</v>
      </c>
      <c r="B48" s="24" t="s">
        <v>240</v>
      </c>
      <c r="C48" s="24" t="s">
        <v>438</v>
      </c>
      <c r="D48" s="24">
        <v>1110000</v>
      </c>
      <c r="E48" s="24" t="s">
        <v>652</v>
      </c>
      <c r="F48" s="24" t="str">
        <f t="shared" si="0"/>
        <v>rtdc.l.rtdc.4019:itc</v>
      </c>
      <c r="G48" s="8">
        <f t="shared" si="1"/>
        <v>42596.317037037035</v>
      </c>
    </row>
    <row r="49" spans="1:7" x14ac:dyDescent="0.25">
      <c r="A49" s="8">
        <v>42596.317870370367</v>
      </c>
      <c r="B49" s="24" t="s">
        <v>240</v>
      </c>
      <c r="C49" s="24" t="s">
        <v>441</v>
      </c>
      <c r="D49" s="24">
        <v>1110000</v>
      </c>
      <c r="E49" s="24" t="s">
        <v>652</v>
      </c>
      <c r="F49" s="24" t="str">
        <f t="shared" si="0"/>
        <v>rtdc.l.rtdc.4019:itc</v>
      </c>
      <c r="G49" s="8">
        <f t="shared" si="1"/>
        <v>42596.317870370367</v>
      </c>
    </row>
    <row r="50" spans="1:7" x14ac:dyDescent="0.25">
      <c r="A50" s="8">
        <v>42596.321168981478</v>
      </c>
      <c r="B50" s="24" t="s">
        <v>293</v>
      </c>
      <c r="C50" s="24" t="s">
        <v>364</v>
      </c>
      <c r="D50" s="24">
        <v>2010000</v>
      </c>
      <c r="E50" s="24" t="s">
        <v>171</v>
      </c>
      <c r="F50" s="24" t="str">
        <f t="shared" si="0"/>
        <v>rtdc.l.rtdc.4011:itc</v>
      </c>
      <c r="G50" s="8">
        <f t="shared" si="1"/>
        <v>42596.321168981478</v>
      </c>
    </row>
    <row r="51" spans="1:7" x14ac:dyDescent="0.25">
      <c r="A51" s="8">
        <v>42596.323877314811</v>
      </c>
      <c r="B51" s="24" t="s">
        <v>94</v>
      </c>
      <c r="C51" s="24" t="s">
        <v>358</v>
      </c>
      <c r="D51" s="24">
        <v>2030000</v>
      </c>
      <c r="E51" s="24" t="s">
        <v>301</v>
      </c>
      <c r="F51" s="24" t="str">
        <f t="shared" si="0"/>
        <v>rtdc.l.rtdc.4013:itc</v>
      </c>
      <c r="G51" s="8">
        <f t="shared" si="1"/>
        <v>42596.323877314811</v>
      </c>
    </row>
    <row r="52" spans="1:7" x14ac:dyDescent="0.25">
      <c r="A52" s="8">
        <v>42596.328067129631</v>
      </c>
      <c r="B52" s="24" t="s">
        <v>96</v>
      </c>
      <c r="C52" s="24" t="s">
        <v>361</v>
      </c>
      <c r="D52" s="24">
        <v>1830000</v>
      </c>
      <c r="E52" s="24" t="s">
        <v>192</v>
      </c>
      <c r="F52" s="24" t="str">
        <f t="shared" si="0"/>
        <v>rtdc.l.rtdc.4030:itc</v>
      </c>
      <c r="G52" s="8">
        <f t="shared" si="1"/>
        <v>42596.328067129631</v>
      </c>
    </row>
    <row r="53" spans="1:7" x14ac:dyDescent="0.25">
      <c r="A53" s="8">
        <v>42596.330335648148</v>
      </c>
      <c r="B53" s="24" t="s">
        <v>97</v>
      </c>
      <c r="C53" s="24" t="s">
        <v>366</v>
      </c>
      <c r="D53" s="24">
        <v>1990000</v>
      </c>
      <c r="E53" s="24" t="s">
        <v>243</v>
      </c>
      <c r="F53" s="24" t="str">
        <f t="shared" si="0"/>
        <v>rtdc.l.rtdc.4027:itc</v>
      </c>
      <c r="G53" s="8">
        <f t="shared" si="1"/>
        <v>42596.330335648148</v>
      </c>
    </row>
    <row r="54" spans="1:7" x14ac:dyDescent="0.25">
      <c r="A54" s="8">
        <v>42596.342418981483</v>
      </c>
      <c r="B54" s="24" t="s">
        <v>193</v>
      </c>
      <c r="C54" s="24" t="s">
        <v>368</v>
      </c>
      <c r="D54" s="24">
        <v>1310000</v>
      </c>
      <c r="E54" s="24" t="s">
        <v>191</v>
      </c>
      <c r="F54" s="24" t="str">
        <f t="shared" si="0"/>
        <v>rtdc.l.rtdc.4038:itc</v>
      </c>
      <c r="G54" s="8">
        <f t="shared" si="1"/>
        <v>42596.342418981483</v>
      </c>
    </row>
    <row r="55" spans="1:7" x14ac:dyDescent="0.25">
      <c r="A55" s="8">
        <v>42596.346435185187</v>
      </c>
      <c r="B55" s="24" t="s">
        <v>112</v>
      </c>
      <c r="C55" s="24" t="s">
        <v>363</v>
      </c>
      <c r="D55" s="24">
        <v>1260000</v>
      </c>
      <c r="E55" s="24" t="s">
        <v>300</v>
      </c>
      <c r="F55" s="24" t="str">
        <f t="shared" si="0"/>
        <v>rtdc.l.rtdc.4015:itc</v>
      </c>
      <c r="G55" s="8">
        <f t="shared" si="1"/>
        <v>42596.346435185187</v>
      </c>
    </row>
    <row r="56" spans="1:7" x14ac:dyDescent="0.25">
      <c r="A56" s="8">
        <v>42596.348368055558</v>
      </c>
      <c r="B56" s="24" t="s">
        <v>237</v>
      </c>
      <c r="C56" s="24" t="s">
        <v>443</v>
      </c>
      <c r="D56" s="24">
        <v>1110000</v>
      </c>
      <c r="E56" s="24" t="s">
        <v>652</v>
      </c>
      <c r="F56" s="24" t="str">
        <f t="shared" si="0"/>
        <v>rtdc.l.rtdc.4020:itc</v>
      </c>
      <c r="G56" s="8">
        <f t="shared" si="1"/>
        <v>42596.348368055558</v>
      </c>
    </row>
    <row r="57" spans="1:7" x14ac:dyDescent="0.25">
      <c r="A57" s="8">
        <v>42596.350324074076</v>
      </c>
      <c r="B57" s="24" t="s">
        <v>121</v>
      </c>
      <c r="C57" s="24" t="s">
        <v>372</v>
      </c>
      <c r="D57" s="24">
        <v>1760000</v>
      </c>
      <c r="E57" s="24" t="s">
        <v>651</v>
      </c>
      <c r="F57" s="24" t="str">
        <f t="shared" si="0"/>
        <v>rtdc.l.rtdc.4031:itc</v>
      </c>
      <c r="G57" s="8">
        <f t="shared" si="1"/>
        <v>42596.350324074076</v>
      </c>
    </row>
    <row r="58" spans="1:7" x14ac:dyDescent="0.25">
      <c r="A58" s="8">
        <v>42596.355671296296</v>
      </c>
      <c r="B58" s="24" t="s">
        <v>294</v>
      </c>
      <c r="C58" s="24" t="s">
        <v>365</v>
      </c>
      <c r="D58" s="24">
        <v>2010000</v>
      </c>
      <c r="E58" s="24" t="s">
        <v>171</v>
      </c>
      <c r="F58" s="24" t="str">
        <f t="shared" si="0"/>
        <v>rtdc.l.rtdc.4012:itc</v>
      </c>
      <c r="G58" s="8">
        <f t="shared" si="1"/>
        <v>42596.355671296296</v>
      </c>
    </row>
    <row r="59" spans="1:7" x14ac:dyDescent="0.25">
      <c r="A59" s="8">
        <v>42596.359178240738</v>
      </c>
      <c r="B59" s="24" t="s">
        <v>119</v>
      </c>
      <c r="C59" s="24" t="s">
        <v>375</v>
      </c>
      <c r="D59" s="24">
        <v>2030000</v>
      </c>
      <c r="E59" s="24" t="s">
        <v>301</v>
      </c>
      <c r="F59" s="24" t="str">
        <f t="shared" si="0"/>
        <v>rtdc.l.rtdc.4014:itc</v>
      </c>
      <c r="G59" s="8">
        <f t="shared" si="1"/>
        <v>42596.359178240738</v>
      </c>
    </row>
    <row r="60" spans="1:7" x14ac:dyDescent="0.25">
      <c r="A60" s="8">
        <v>42596.359409722223</v>
      </c>
      <c r="B60" s="24" t="s">
        <v>240</v>
      </c>
      <c r="C60" s="24" t="s">
        <v>445</v>
      </c>
      <c r="D60" s="24">
        <v>1110000</v>
      </c>
      <c r="E60" s="24" t="s">
        <v>652</v>
      </c>
      <c r="F60" s="24" t="str">
        <f t="shared" si="0"/>
        <v>rtdc.l.rtdc.4019:itc</v>
      </c>
      <c r="G60" s="8">
        <f t="shared" si="1"/>
        <v>42596.359409722223</v>
      </c>
    </row>
    <row r="61" spans="1:7" x14ac:dyDescent="0.25">
      <c r="A61" s="8">
        <v>42596.368449074071</v>
      </c>
      <c r="B61" s="24" t="s">
        <v>189</v>
      </c>
      <c r="C61" s="24" t="s">
        <v>367</v>
      </c>
      <c r="D61" s="24">
        <v>1990000</v>
      </c>
      <c r="E61" s="24" t="s">
        <v>243</v>
      </c>
      <c r="F61" s="24" t="str">
        <f t="shared" si="0"/>
        <v>rtdc.l.rtdc.4028:itc</v>
      </c>
      <c r="G61" s="8">
        <f t="shared" si="1"/>
        <v>42596.368449074071</v>
      </c>
    </row>
    <row r="62" spans="1:7" x14ac:dyDescent="0.25">
      <c r="A62" s="8">
        <v>42596.368587962963</v>
      </c>
      <c r="B62" s="24" t="s">
        <v>95</v>
      </c>
      <c r="C62" s="24" t="s">
        <v>377</v>
      </c>
      <c r="D62" s="24">
        <v>1830000</v>
      </c>
      <c r="E62" s="24" t="s">
        <v>192</v>
      </c>
      <c r="F62" s="24" t="str">
        <f t="shared" si="0"/>
        <v>rtdc.l.rtdc.4029:itc</v>
      </c>
      <c r="G62" s="8">
        <f t="shared" si="1"/>
        <v>42596.368587962963</v>
      </c>
    </row>
    <row r="63" spans="1:7" x14ac:dyDescent="0.25">
      <c r="A63" s="8">
        <v>42596.381157407406</v>
      </c>
      <c r="B63" s="24" t="s">
        <v>649</v>
      </c>
      <c r="C63" s="24" t="s">
        <v>380</v>
      </c>
      <c r="D63" s="24">
        <v>1260000</v>
      </c>
      <c r="E63" s="24" t="s">
        <v>300</v>
      </c>
      <c r="F63" s="24" t="str">
        <f t="shared" si="0"/>
        <v>rtdc.l.rtdc.4016:itc</v>
      </c>
      <c r="G63" s="8">
        <f t="shared" si="1"/>
        <v>42596.381157407406</v>
      </c>
    </row>
    <row r="64" spans="1:7" x14ac:dyDescent="0.25">
      <c r="A64" s="30">
        <v>42596.383090277777</v>
      </c>
      <c r="B64" s="24" t="s">
        <v>173</v>
      </c>
      <c r="C64" s="24" t="s">
        <v>370</v>
      </c>
      <c r="D64" s="24">
        <v>1310000</v>
      </c>
      <c r="E64" s="24" t="s">
        <v>191</v>
      </c>
      <c r="F64" s="24" t="str">
        <f t="shared" si="0"/>
        <v>rtdc.l.rtdc.4037:itc</v>
      </c>
      <c r="G64" s="8">
        <f t="shared" si="1"/>
        <v>42596.383090277777</v>
      </c>
    </row>
    <row r="65" spans="1:7" x14ac:dyDescent="0.25">
      <c r="A65" s="8">
        <v>42596.389050925929</v>
      </c>
      <c r="B65" s="24" t="s">
        <v>237</v>
      </c>
      <c r="C65" s="24" t="s">
        <v>447</v>
      </c>
      <c r="D65" s="24">
        <v>1110000</v>
      </c>
      <c r="E65" s="24" t="s">
        <v>652</v>
      </c>
      <c r="F65" s="24" t="str">
        <f t="shared" si="0"/>
        <v>rtdc.l.rtdc.4020:itc</v>
      </c>
      <c r="G65" s="8">
        <f t="shared" si="1"/>
        <v>42596.389050925929</v>
      </c>
    </row>
    <row r="66" spans="1:7" x14ac:dyDescent="0.25">
      <c r="A66" s="8">
        <v>42596.390347222223</v>
      </c>
      <c r="B66" s="24" t="s">
        <v>122</v>
      </c>
      <c r="C66" s="24" t="s">
        <v>373</v>
      </c>
      <c r="D66" s="24">
        <v>1760000</v>
      </c>
      <c r="E66" s="24" t="s">
        <v>651</v>
      </c>
      <c r="F66" s="24" t="str">
        <f t="shared" ref="F66:F129" si="2">B66</f>
        <v>rtdc.l.rtdc.4032:itc</v>
      </c>
      <c r="G66" s="8">
        <f t="shared" ref="G66:G129" si="3">A66</f>
        <v>42596.390347222223</v>
      </c>
    </row>
    <row r="67" spans="1:7" x14ac:dyDescent="0.25">
      <c r="A67" s="8">
        <v>42596.391087962962</v>
      </c>
      <c r="B67" s="24" t="s">
        <v>293</v>
      </c>
      <c r="C67" s="24" t="s">
        <v>383</v>
      </c>
      <c r="D67" s="24">
        <v>2010000</v>
      </c>
      <c r="E67" s="24" t="s">
        <v>171</v>
      </c>
      <c r="F67" s="24" t="str">
        <f t="shared" si="2"/>
        <v>rtdc.l.rtdc.4011:itc</v>
      </c>
      <c r="G67" s="8">
        <f t="shared" si="3"/>
        <v>42596.391087962962</v>
      </c>
    </row>
    <row r="68" spans="1:7" x14ac:dyDescent="0.25">
      <c r="A68" s="8">
        <v>42596.39738425926</v>
      </c>
      <c r="B68" s="24" t="s">
        <v>94</v>
      </c>
      <c r="C68" s="24" t="s">
        <v>376</v>
      </c>
      <c r="D68" s="24">
        <v>2030000</v>
      </c>
      <c r="E68" s="24" t="s">
        <v>301</v>
      </c>
      <c r="F68" s="24" t="str">
        <f t="shared" si="2"/>
        <v>rtdc.l.rtdc.4013:itc</v>
      </c>
      <c r="G68" s="8">
        <f t="shared" si="3"/>
        <v>42596.39738425926</v>
      </c>
    </row>
    <row r="69" spans="1:7" x14ac:dyDescent="0.25">
      <c r="A69" s="8">
        <v>42596.40115740741</v>
      </c>
      <c r="B69" s="24" t="s">
        <v>240</v>
      </c>
      <c r="C69" s="24" t="s">
        <v>449</v>
      </c>
      <c r="D69" s="24">
        <v>1110000</v>
      </c>
      <c r="E69" s="24" t="s">
        <v>652</v>
      </c>
      <c r="F69" s="24" t="str">
        <f t="shared" si="2"/>
        <v>rtdc.l.rtdc.4019:itc</v>
      </c>
      <c r="G69" s="8">
        <f t="shared" si="3"/>
        <v>42596.40115740741</v>
      </c>
    </row>
    <row r="70" spans="1:7" x14ac:dyDescent="0.25">
      <c r="A70" s="8">
        <v>42596.401759259257</v>
      </c>
      <c r="B70" s="24" t="s">
        <v>96</v>
      </c>
      <c r="C70" s="24" t="s">
        <v>378</v>
      </c>
      <c r="D70" s="24">
        <v>1830000</v>
      </c>
      <c r="E70" s="24" t="s">
        <v>192</v>
      </c>
      <c r="F70" s="24" t="str">
        <f t="shared" si="2"/>
        <v>rtdc.l.rtdc.4030:itc</v>
      </c>
      <c r="G70" s="8">
        <f t="shared" si="3"/>
        <v>42596.401759259257</v>
      </c>
    </row>
    <row r="71" spans="1:7" x14ac:dyDescent="0.25">
      <c r="A71" s="8">
        <v>42596.403240740743</v>
      </c>
      <c r="B71" s="24" t="s">
        <v>97</v>
      </c>
      <c r="C71" s="24" t="s">
        <v>385</v>
      </c>
      <c r="D71" s="24">
        <v>1990000</v>
      </c>
      <c r="E71" s="24" t="s">
        <v>243</v>
      </c>
      <c r="F71" s="24" t="str">
        <f t="shared" si="2"/>
        <v>rtdc.l.rtdc.4027:itc</v>
      </c>
      <c r="G71" s="8">
        <f t="shared" si="3"/>
        <v>42596.403240740743</v>
      </c>
    </row>
    <row r="72" spans="1:7" x14ac:dyDescent="0.25">
      <c r="A72" s="8">
        <v>42596.415763888886</v>
      </c>
      <c r="B72" s="24" t="s">
        <v>193</v>
      </c>
      <c r="C72" s="24" t="s">
        <v>387</v>
      </c>
      <c r="D72" s="24">
        <v>1310000</v>
      </c>
      <c r="E72" s="24" t="s">
        <v>191</v>
      </c>
      <c r="F72" s="24" t="str">
        <f t="shared" si="2"/>
        <v>rtdc.l.rtdc.4038:itc</v>
      </c>
      <c r="G72" s="8">
        <f t="shared" si="3"/>
        <v>42596.415763888886</v>
      </c>
    </row>
    <row r="73" spans="1:7" x14ac:dyDescent="0.25">
      <c r="A73" s="8">
        <v>42596.418414351851</v>
      </c>
      <c r="B73" s="24" t="s">
        <v>112</v>
      </c>
      <c r="C73" s="24" t="s">
        <v>381</v>
      </c>
      <c r="D73" s="24">
        <v>1260000</v>
      </c>
      <c r="E73" s="24" t="s">
        <v>300</v>
      </c>
      <c r="F73" s="24" t="str">
        <f t="shared" si="2"/>
        <v>rtdc.l.rtdc.4015:itc</v>
      </c>
      <c r="G73" s="8">
        <f t="shared" si="3"/>
        <v>42596.418414351851</v>
      </c>
    </row>
    <row r="74" spans="1:7" x14ac:dyDescent="0.25">
      <c r="A74" s="8">
        <v>42596.423900462964</v>
      </c>
      <c r="B74" s="24" t="s">
        <v>121</v>
      </c>
      <c r="C74" s="24" t="s">
        <v>389</v>
      </c>
      <c r="D74" s="24">
        <v>1760000</v>
      </c>
      <c r="E74" s="24" t="s">
        <v>651</v>
      </c>
      <c r="F74" s="24" t="str">
        <f t="shared" si="2"/>
        <v>rtdc.l.rtdc.4031:itc</v>
      </c>
      <c r="G74" s="8">
        <f t="shared" si="3"/>
        <v>42596.423900462964</v>
      </c>
    </row>
    <row r="75" spans="1:7" x14ac:dyDescent="0.25">
      <c r="A75" s="8">
        <v>42596.430138888885</v>
      </c>
      <c r="B75" s="24" t="s">
        <v>237</v>
      </c>
      <c r="C75" s="24" t="s">
        <v>457</v>
      </c>
      <c r="D75" s="24">
        <v>1110000</v>
      </c>
      <c r="E75" s="24" t="s">
        <v>652</v>
      </c>
      <c r="F75" s="24" t="str">
        <f t="shared" si="2"/>
        <v>rtdc.l.rtdc.4020:itc</v>
      </c>
      <c r="G75" s="8">
        <f t="shared" si="3"/>
        <v>42596.430138888885</v>
      </c>
    </row>
    <row r="76" spans="1:7" x14ac:dyDescent="0.25">
      <c r="A76" s="8">
        <v>42596.430891203701</v>
      </c>
      <c r="B76" s="24" t="s">
        <v>294</v>
      </c>
      <c r="C76" s="24" t="s">
        <v>384</v>
      </c>
      <c r="D76" s="24">
        <v>2010000</v>
      </c>
      <c r="E76" s="24" t="s">
        <v>171</v>
      </c>
      <c r="F76" s="24" t="str">
        <f t="shared" si="2"/>
        <v>rtdc.l.rtdc.4012:itc</v>
      </c>
      <c r="G76" s="8">
        <f t="shared" si="3"/>
        <v>42596.430891203701</v>
      </c>
    </row>
    <row r="77" spans="1:7" x14ac:dyDescent="0.25">
      <c r="A77" s="8">
        <v>42596.430972222224</v>
      </c>
      <c r="B77" s="24" t="s">
        <v>237</v>
      </c>
      <c r="C77" s="24" t="s">
        <v>452</v>
      </c>
      <c r="D77" s="24">
        <v>1110000</v>
      </c>
      <c r="E77" s="24" t="s">
        <v>652</v>
      </c>
      <c r="F77" s="24" t="str">
        <f t="shared" si="2"/>
        <v>rtdc.l.rtdc.4020:itc</v>
      </c>
      <c r="G77" s="8">
        <f t="shared" si="3"/>
        <v>42596.430972222224</v>
      </c>
    </row>
    <row r="78" spans="1:7" x14ac:dyDescent="0.25">
      <c r="A78" s="8">
        <v>42596.43478009259</v>
      </c>
      <c r="B78" s="24" t="s">
        <v>119</v>
      </c>
      <c r="C78" s="24" t="s">
        <v>392</v>
      </c>
      <c r="D78" s="24">
        <v>1520000</v>
      </c>
      <c r="E78" s="24" t="s">
        <v>245</v>
      </c>
      <c r="F78" s="24" t="str">
        <f t="shared" si="2"/>
        <v>rtdc.l.rtdc.4014:itc</v>
      </c>
      <c r="G78" s="8">
        <f t="shared" si="3"/>
        <v>42596.43478009259</v>
      </c>
    </row>
    <row r="79" spans="1:7" x14ac:dyDescent="0.25">
      <c r="A79" s="8">
        <v>42596.438993055555</v>
      </c>
      <c r="B79" s="24" t="s">
        <v>189</v>
      </c>
      <c r="C79" s="24" t="s">
        <v>386</v>
      </c>
      <c r="D79" s="24">
        <v>1990000</v>
      </c>
      <c r="E79" s="24" t="s">
        <v>243</v>
      </c>
      <c r="F79" s="24" t="str">
        <f t="shared" si="2"/>
        <v>rtdc.l.rtdc.4028:itc</v>
      </c>
      <c r="G79" s="8">
        <f t="shared" si="3"/>
        <v>42596.438993055555</v>
      </c>
    </row>
    <row r="80" spans="1:7" x14ac:dyDescent="0.25">
      <c r="A80" s="8">
        <v>42596.441342592596</v>
      </c>
      <c r="B80" s="24" t="s">
        <v>95</v>
      </c>
      <c r="C80" s="24" t="s">
        <v>396</v>
      </c>
      <c r="D80" s="24">
        <v>1830000</v>
      </c>
      <c r="E80" s="24" t="s">
        <v>192</v>
      </c>
      <c r="F80" s="24" t="str">
        <f t="shared" si="2"/>
        <v>rtdc.l.rtdc.4029:itc</v>
      </c>
      <c r="G80" s="8">
        <f t="shared" si="3"/>
        <v>42596.441342592596</v>
      </c>
    </row>
    <row r="81" spans="1:7" x14ac:dyDescent="0.25">
      <c r="A81" s="8">
        <v>42596.442604166667</v>
      </c>
      <c r="B81" s="24" t="s">
        <v>240</v>
      </c>
      <c r="C81" s="24" t="s">
        <v>457</v>
      </c>
      <c r="D81" s="24">
        <v>1110000</v>
      </c>
      <c r="E81" s="24" t="s">
        <v>652</v>
      </c>
      <c r="F81" s="24" t="str">
        <f t="shared" si="2"/>
        <v>rtdc.l.rtdc.4019:itc</v>
      </c>
      <c r="G81" s="8">
        <f t="shared" si="3"/>
        <v>42596.442604166667</v>
      </c>
    </row>
    <row r="82" spans="1:7" x14ac:dyDescent="0.25">
      <c r="A82" s="8">
        <v>42596.454444444447</v>
      </c>
      <c r="B82" s="24" t="s">
        <v>173</v>
      </c>
      <c r="C82" s="24" t="s">
        <v>388</v>
      </c>
      <c r="D82" s="24">
        <v>1310000</v>
      </c>
      <c r="E82" s="24" t="s">
        <v>191</v>
      </c>
      <c r="F82" s="24" t="str">
        <f t="shared" si="2"/>
        <v>rtdc.l.rtdc.4037:itc</v>
      </c>
      <c r="G82" s="8">
        <f t="shared" si="3"/>
        <v>42596.454444444447</v>
      </c>
    </row>
    <row r="83" spans="1:7" x14ac:dyDescent="0.25">
      <c r="A83" s="8">
        <v>42596.457615740743</v>
      </c>
      <c r="B83" s="24" t="s">
        <v>649</v>
      </c>
      <c r="C83" s="24" t="s">
        <v>399</v>
      </c>
      <c r="D83" s="24">
        <v>880000</v>
      </c>
      <c r="E83" s="24" t="s">
        <v>244</v>
      </c>
      <c r="F83" s="24" t="str">
        <f t="shared" si="2"/>
        <v>rtdc.l.rtdc.4016:itc</v>
      </c>
      <c r="G83" s="8">
        <f t="shared" si="3"/>
        <v>42596.457615740743</v>
      </c>
    </row>
    <row r="84" spans="1:7" x14ac:dyDescent="0.25">
      <c r="A84" s="8">
        <v>42596.462835648148</v>
      </c>
      <c r="B84" s="24" t="s">
        <v>122</v>
      </c>
      <c r="C84" s="24" t="s">
        <v>391</v>
      </c>
      <c r="D84" s="24">
        <v>1760000</v>
      </c>
      <c r="E84" s="24" t="s">
        <v>651</v>
      </c>
      <c r="F84" s="24" t="str">
        <f t="shared" si="2"/>
        <v>rtdc.l.rtdc.4032:itc</v>
      </c>
      <c r="G84" s="8">
        <f t="shared" si="3"/>
        <v>42596.462835648148</v>
      </c>
    </row>
    <row r="85" spans="1:7" x14ac:dyDescent="0.25">
      <c r="A85" s="8">
        <v>42596.467962962961</v>
      </c>
      <c r="B85" s="24" t="s">
        <v>293</v>
      </c>
      <c r="C85" s="24" t="s">
        <v>403</v>
      </c>
      <c r="D85" s="24">
        <v>1280000</v>
      </c>
      <c r="E85" s="24" t="s">
        <v>304</v>
      </c>
      <c r="F85" s="24" t="str">
        <f t="shared" si="2"/>
        <v>rtdc.l.rtdc.4011:itc</v>
      </c>
      <c r="G85" s="8">
        <f t="shared" si="3"/>
        <v>42596.467962962961</v>
      </c>
    </row>
    <row r="86" spans="1:7" x14ac:dyDescent="0.25">
      <c r="A86" s="8">
        <v>42596.470625000002</v>
      </c>
      <c r="B86" s="24" t="s">
        <v>237</v>
      </c>
      <c r="C86" s="24" t="s">
        <v>460</v>
      </c>
      <c r="D86" s="24">
        <v>1110000</v>
      </c>
      <c r="E86" s="24" t="s">
        <v>652</v>
      </c>
      <c r="F86" s="24" t="str">
        <f t="shared" si="2"/>
        <v>rtdc.l.rtdc.4020:itc</v>
      </c>
      <c r="G86" s="8">
        <f t="shared" si="3"/>
        <v>42596.470625000002</v>
      </c>
    </row>
    <row r="87" spans="1:7" x14ac:dyDescent="0.25">
      <c r="A87" s="8">
        <v>42596.476006944446</v>
      </c>
      <c r="B87" s="24" t="s">
        <v>94</v>
      </c>
      <c r="C87" s="24" t="s">
        <v>394</v>
      </c>
      <c r="D87" s="24">
        <v>1520000</v>
      </c>
      <c r="E87" s="24" t="s">
        <v>245</v>
      </c>
      <c r="F87" s="24" t="str">
        <f t="shared" si="2"/>
        <v>rtdc.l.rtdc.4013:itc</v>
      </c>
      <c r="G87" s="8">
        <f t="shared" si="3"/>
        <v>42596.476006944446</v>
      </c>
    </row>
    <row r="88" spans="1:7" x14ac:dyDescent="0.25">
      <c r="A88" s="8">
        <v>42596.478055555555</v>
      </c>
      <c r="B88" s="24" t="s">
        <v>648</v>
      </c>
      <c r="C88" s="24" t="s">
        <v>406</v>
      </c>
      <c r="D88" s="24">
        <v>1770000</v>
      </c>
      <c r="E88" s="24" t="s">
        <v>305</v>
      </c>
      <c r="F88" s="24" t="str">
        <f t="shared" si="2"/>
        <v>rtdc.l.rtdc.4025:itc</v>
      </c>
      <c r="G88" s="8">
        <f t="shared" si="3"/>
        <v>42596.478055555555</v>
      </c>
    </row>
    <row r="89" spans="1:7" x14ac:dyDescent="0.25">
      <c r="A89" s="8">
        <v>42596.483310185184</v>
      </c>
      <c r="B89" s="24" t="s">
        <v>96</v>
      </c>
      <c r="C89" s="24" t="s">
        <v>398</v>
      </c>
      <c r="D89" s="24">
        <v>1830000</v>
      </c>
      <c r="E89" s="24" t="s">
        <v>192</v>
      </c>
      <c r="F89" s="24" t="str">
        <f t="shared" si="2"/>
        <v>rtdc.l.rtdc.4030:itc</v>
      </c>
      <c r="G89" s="8">
        <f t="shared" si="3"/>
        <v>42596.483310185184</v>
      </c>
    </row>
    <row r="90" spans="1:7" x14ac:dyDescent="0.25">
      <c r="A90" s="8">
        <v>42596.487974537034</v>
      </c>
      <c r="B90" s="24" t="s">
        <v>240</v>
      </c>
      <c r="C90" s="24" t="s">
        <v>463</v>
      </c>
      <c r="D90" s="24">
        <v>1110000</v>
      </c>
      <c r="E90" s="24" t="s">
        <v>652</v>
      </c>
      <c r="F90" s="24" t="str">
        <f t="shared" si="2"/>
        <v>rtdc.l.rtdc.4019:itc</v>
      </c>
      <c r="G90" s="8">
        <f t="shared" si="3"/>
        <v>42596.487974537034</v>
      </c>
    </row>
    <row r="91" spans="1:7" x14ac:dyDescent="0.25">
      <c r="A91" s="8">
        <v>42596.488726851851</v>
      </c>
      <c r="B91" s="24" t="s">
        <v>97</v>
      </c>
      <c r="C91" s="24" t="s">
        <v>408</v>
      </c>
      <c r="D91" s="24">
        <v>2040000</v>
      </c>
      <c r="E91" s="24" t="s">
        <v>174</v>
      </c>
      <c r="F91" s="24" t="str">
        <f t="shared" si="2"/>
        <v>rtdc.l.rtdc.4027:itc</v>
      </c>
      <c r="G91" s="8">
        <f t="shared" si="3"/>
        <v>42596.488726851851</v>
      </c>
    </row>
    <row r="92" spans="1:7" x14ac:dyDescent="0.25">
      <c r="A92" s="8">
        <v>42596.489432870374</v>
      </c>
      <c r="B92" s="24" t="s">
        <v>97</v>
      </c>
      <c r="C92" s="24" t="s">
        <v>408</v>
      </c>
      <c r="D92" s="24">
        <v>2040000</v>
      </c>
      <c r="E92" s="24" t="s">
        <v>174</v>
      </c>
      <c r="F92" s="24" t="str">
        <f t="shared" si="2"/>
        <v>rtdc.l.rtdc.4027:itc</v>
      </c>
      <c r="G92" s="8">
        <f t="shared" si="3"/>
        <v>42596.489432870374</v>
      </c>
    </row>
    <row r="93" spans="1:7" x14ac:dyDescent="0.25">
      <c r="A93" s="8">
        <v>42596.493287037039</v>
      </c>
      <c r="B93" s="24" t="s">
        <v>112</v>
      </c>
      <c r="C93" s="24" t="s">
        <v>401</v>
      </c>
      <c r="D93" s="24">
        <v>880000</v>
      </c>
      <c r="E93" s="24" t="s">
        <v>244</v>
      </c>
      <c r="F93" s="24" t="str">
        <f t="shared" si="2"/>
        <v>rtdc.l.rtdc.4015:itc</v>
      </c>
      <c r="G93" s="8">
        <f t="shared" si="3"/>
        <v>42596.493287037039</v>
      </c>
    </row>
    <row r="94" spans="1:7" x14ac:dyDescent="0.25">
      <c r="A94" s="8">
        <v>42596.497129629628</v>
      </c>
      <c r="B94" s="24" t="s">
        <v>193</v>
      </c>
      <c r="C94" s="24" t="s">
        <v>412</v>
      </c>
      <c r="D94" s="24">
        <v>1140000</v>
      </c>
      <c r="E94" s="24" t="s">
        <v>653</v>
      </c>
      <c r="F94" s="24" t="str">
        <f t="shared" si="2"/>
        <v>rtdc.l.rtdc.4038:itc</v>
      </c>
      <c r="G94" s="8">
        <f t="shared" si="3"/>
        <v>42596.497129629628</v>
      </c>
    </row>
    <row r="95" spans="1:7" x14ac:dyDescent="0.25">
      <c r="A95" s="8">
        <v>42596.505462962959</v>
      </c>
      <c r="B95" s="24" t="s">
        <v>294</v>
      </c>
      <c r="C95" s="24" t="s">
        <v>404</v>
      </c>
      <c r="D95" s="24">
        <v>1280000</v>
      </c>
      <c r="E95" s="24" t="s">
        <v>304</v>
      </c>
      <c r="F95" s="24" t="str">
        <f t="shared" si="2"/>
        <v>rtdc.l.rtdc.4012:itc</v>
      </c>
      <c r="G95" s="8">
        <f t="shared" si="3"/>
        <v>42596.505462962959</v>
      </c>
    </row>
    <row r="96" spans="1:7" x14ac:dyDescent="0.25">
      <c r="A96" s="8">
        <v>42596.507106481484</v>
      </c>
      <c r="B96" s="24" t="s">
        <v>119</v>
      </c>
      <c r="C96" s="24" t="s">
        <v>416</v>
      </c>
      <c r="D96" s="24">
        <v>1520000</v>
      </c>
      <c r="E96" s="24" t="s">
        <v>245</v>
      </c>
      <c r="F96" s="24" t="str">
        <f t="shared" si="2"/>
        <v>rtdc.l.rtdc.4014:itc</v>
      </c>
      <c r="G96" s="8">
        <f t="shared" si="3"/>
        <v>42596.507106481484</v>
      </c>
    </row>
    <row r="97" spans="1:7" x14ac:dyDescent="0.25">
      <c r="A97" s="8">
        <v>42596.50917824074</v>
      </c>
      <c r="B97" s="24" t="s">
        <v>650</v>
      </c>
      <c r="C97" s="24" t="s">
        <v>407</v>
      </c>
      <c r="D97" s="24">
        <v>1770000</v>
      </c>
      <c r="E97" s="24" t="s">
        <v>305</v>
      </c>
      <c r="F97" s="24" t="str">
        <f t="shared" si="2"/>
        <v>rtdc.l.rtdc.4026:itc</v>
      </c>
      <c r="G97" s="8">
        <f t="shared" si="3"/>
        <v>42596.50917824074</v>
      </c>
    </row>
    <row r="98" spans="1:7" x14ac:dyDescent="0.25">
      <c r="A98" s="8">
        <v>42596.51190972222</v>
      </c>
      <c r="B98" s="24" t="s">
        <v>237</v>
      </c>
      <c r="C98" s="24" t="s">
        <v>464</v>
      </c>
      <c r="D98" s="24">
        <v>1110000</v>
      </c>
      <c r="E98" s="24" t="s">
        <v>652</v>
      </c>
      <c r="F98" s="24" t="str">
        <f t="shared" si="2"/>
        <v>rtdc.l.rtdc.4020:itc</v>
      </c>
      <c r="G98" s="8">
        <f t="shared" si="3"/>
        <v>42596.51190972222</v>
      </c>
    </row>
    <row r="99" spans="1:7" x14ac:dyDescent="0.25">
      <c r="A99" s="8">
        <v>42596.516898148147</v>
      </c>
      <c r="B99" s="24" t="s">
        <v>95</v>
      </c>
      <c r="C99" s="24" t="s">
        <v>419</v>
      </c>
      <c r="D99" s="24">
        <v>2020000</v>
      </c>
      <c r="E99" s="24" t="s">
        <v>194</v>
      </c>
      <c r="F99" s="24" t="str">
        <f t="shared" si="2"/>
        <v>rtdc.l.rtdc.4029:itc</v>
      </c>
      <c r="G99" s="8">
        <f t="shared" si="3"/>
        <v>42596.516898148147</v>
      </c>
    </row>
    <row r="100" spans="1:7" x14ac:dyDescent="0.25">
      <c r="A100" s="8">
        <v>42596.51803240741</v>
      </c>
      <c r="B100" s="24" t="s">
        <v>95</v>
      </c>
      <c r="C100" s="24" t="s">
        <v>419</v>
      </c>
      <c r="D100" s="24">
        <v>2020000</v>
      </c>
      <c r="E100" s="24" t="s">
        <v>194</v>
      </c>
      <c r="F100" s="24" t="str">
        <f t="shared" si="2"/>
        <v>rtdc.l.rtdc.4029:itc</v>
      </c>
      <c r="G100" s="8">
        <f t="shared" si="3"/>
        <v>42596.51803240741</v>
      </c>
    </row>
    <row r="101" spans="1:7" x14ac:dyDescent="0.25">
      <c r="A101" s="8">
        <v>42596.526319444441</v>
      </c>
      <c r="B101" s="24" t="s">
        <v>189</v>
      </c>
      <c r="C101" s="24" t="s">
        <v>409</v>
      </c>
      <c r="D101" s="24">
        <v>2040000</v>
      </c>
      <c r="E101" s="24" t="s">
        <v>174</v>
      </c>
      <c r="F101" s="24" t="str">
        <f t="shared" si="2"/>
        <v>rtdc.l.rtdc.4028:itc</v>
      </c>
      <c r="G101" s="8">
        <f t="shared" si="3"/>
        <v>42596.526319444441</v>
      </c>
    </row>
    <row r="102" spans="1:7" x14ac:dyDescent="0.25">
      <c r="A102" s="8">
        <v>42596.5309375</v>
      </c>
      <c r="B102" s="24" t="s">
        <v>649</v>
      </c>
      <c r="C102" s="24" t="s">
        <v>423</v>
      </c>
      <c r="D102" s="24">
        <v>880000</v>
      </c>
      <c r="E102" s="24" t="s">
        <v>244</v>
      </c>
      <c r="F102" s="24" t="str">
        <f t="shared" si="2"/>
        <v>rtdc.l.rtdc.4016:itc</v>
      </c>
      <c r="G102" s="8">
        <f t="shared" si="3"/>
        <v>42596.5309375</v>
      </c>
    </row>
    <row r="103" spans="1:7" x14ac:dyDescent="0.25">
      <c r="A103" s="8">
        <v>42596.531469907408</v>
      </c>
      <c r="B103" s="24" t="s">
        <v>173</v>
      </c>
      <c r="C103" s="24" t="s">
        <v>414</v>
      </c>
      <c r="D103" s="24">
        <v>1140000</v>
      </c>
      <c r="E103" s="24" t="s">
        <v>653</v>
      </c>
      <c r="F103" s="24" t="str">
        <f t="shared" si="2"/>
        <v>rtdc.l.rtdc.4037:itc</v>
      </c>
      <c r="G103" s="8">
        <f t="shared" si="3"/>
        <v>42596.531469907408</v>
      </c>
    </row>
    <row r="104" spans="1:7" x14ac:dyDescent="0.25">
      <c r="A104" s="8">
        <v>42596.531990740739</v>
      </c>
      <c r="B104" s="24" t="s">
        <v>240</v>
      </c>
      <c r="C104" s="24" t="s">
        <v>466</v>
      </c>
      <c r="D104" s="24">
        <v>1110000</v>
      </c>
      <c r="E104" s="24" t="s">
        <v>652</v>
      </c>
      <c r="F104" s="24" t="str">
        <f t="shared" si="2"/>
        <v>rtdc.l.rtdc.4019:itc</v>
      </c>
      <c r="G104" s="8">
        <f t="shared" si="3"/>
        <v>42596.531990740739</v>
      </c>
    </row>
    <row r="105" spans="1:7" x14ac:dyDescent="0.25">
      <c r="A105" s="8">
        <v>42596.539849537039</v>
      </c>
      <c r="B105" s="24" t="s">
        <v>293</v>
      </c>
      <c r="C105" s="24" t="s">
        <v>425</v>
      </c>
      <c r="D105" s="24">
        <v>1280000</v>
      </c>
      <c r="E105" s="24" t="s">
        <v>304</v>
      </c>
      <c r="F105" s="24" t="str">
        <f t="shared" si="2"/>
        <v>rtdc.l.rtdc.4011:itc</v>
      </c>
      <c r="G105" s="8">
        <f t="shared" si="3"/>
        <v>42596.539849537039</v>
      </c>
    </row>
    <row r="106" spans="1:7" x14ac:dyDescent="0.25">
      <c r="A106" s="8">
        <v>42596.544606481482</v>
      </c>
      <c r="B106" s="24" t="s">
        <v>94</v>
      </c>
      <c r="C106" s="24" t="s">
        <v>417</v>
      </c>
      <c r="D106" s="24">
        <v>1520000</v>
      </c>
      <c r="E106" s="24" t="s">
        <v>245</v>
      </c>
      <c r="F106" s="24" t="str">
        <f t="shared" si="2"/>
        <v>rtdc.l.rtdc.4013:itc</v>
      </c>
      <c r="G106" s="8">
        <f t="shared" si="3"/>
        <v>42596.544606481482</v>
      </c>
    </row>
    <row r="107" spans="1:7" x14ac:dyDescent="0.25">
      <c r="A107" s="8">
        <v>42596.55059027778</v>
      </c>
      <c r="B107" s="24" t="s">
        <v>648</v>
      </c>
      <c r="C107" s="24" t="s">
        <v>427</v>
      </c>
      <c r="D107" s="24">
        <v>1770000</v>
      </c>
      <c r="E107" s="24" t="s">
        <v>305</v>
      </c>
      <c r="F107" s="24" t="str">
        <f t="shared" si="2"/>
        <v>rtdc.l.rtdc.4025:itc</v>
      </c>
      <c r="G107" s="8">
        <f t="shared" si="3"/>
        <v>42596.55059027778</v>
      </c>
    </row>
    <row r="108" spans="1:7" x14ac:dyDescent="0.25">
      <c r="A108" s="8">
        <v>42596.553993055553</v>
      </c>
      <c r="B108" s="24" t="s">
        <v>237</v>
      </c>
      <c r="C108" s="24" t="s">
        <v>468</v>
      </c>
      <c r="D108" s="24">
        <v>1110000</v>
      </c>
      <c r="E108" s="24" t="s">
        <v>652</v>
      </c>
      <c r="F108" s="24" t="str">
        <f t="shared" si="2"/>
        <v>rtdc.l.rtdc.4020:itc</v>
      </c>
      <c r="G108" s="8">
        <f t="shared" si="3"/>
        <v>42596.553993055553</v>
      </c>
    </row>
    <row r="109" spans="1:7" x14ac:dyDescent="0.25">
      <c r="A109" s="8">
        <v>42596.555844907409</v>
      </c>
      <c r="B109" s="24" t="s">
        <v>96</v>
      </c>
      <c r="C109" s="24" t="s">
        <v>421</v>
      </c>
      <c r="D109" s="24">
        <v>2020000</v>
      </c>
      <c r="E109" s="24" t="s">
        <v>194</v>
      </c>
      <c r="F109" s="24" t="str">
        <f t="shared" si="2"/>
        <v>rtdc.l.rtdc.4030:itc</v>
      </c>
      <c r="G109" s="8">
        <f t="shared" si="3"/>
        <v>42596.555844907409</v>
      </c>
    </row>
    <row r="110" spans="1:7" x14ac:dyDescent="0.25">
      <c r="A110" s="8">
        <v>42596.557511574072</v>
      </c>
      <c r="B110" s="24" t="s">
        <v>647</v>
      </c>
      <c r="C110" s="24" t="s">
        <v>646</v>
      </c>
      <c r="D110" s="24">
        <v>470000</v>
      </c>
      <c r="E110" s="24" t="s">
        <v>654</v>
      </c>
      <c r="F110" s="24" t="str">
        <f t="shared" si="2"/>
        <v>rtdc.l.rtdc.4006:itc</v>
      </c>
      <c r="G110" s="8">
        <f t="shared" si="3"/>
        <v>42596.557511574072</v>
      </c>
    </row>
    <row r="111" spans="1:7" x14ac:dyDescent="0.25">
      <c r="A111" s="8">
        <v>42596.560300925928</v>
      </c>
      <c r="B111" s="24" t="s">
        <v>647</v>
      </c>
      <c r="C111" s="24" t="s">
        <v>646</v>
      </c>
      <c r="D111" s="24">
        <v>470000</v>
      </c>
      <c r="E111" s="24" t="s">
        <v>654</v>
      </c>
      <c r="F111" s="24" t="str">
        <f t="shared" si="2"/>
        <v>rtdc.l.rtdc.4006:itc</v>
      </c>
      <c r="G111" s="8">
        <f t="shared" si="3"/>
        <v>42596.560300925928</v>
      </c>
    </row>
    <row r="112" spans="1:7" x14ac:dyDescent="0.25">
      <c r="A112" s="8">
        <v>42596.561284722222</v>
      </c>
      <c r="B112" s="24" t="s">
        <v>97</v>
      </c>
      <c r="C112" s="24" t="s">
        <v>430</v>
      </c>
      <c r="D112" s="24">
        <v>2040000</v>
      </c>
      <c r="E112" s="24" t="s">
        <v>174</v>
      </c>
      <c r="F112" s="24" t="str">
        <f t="shared" si="2"/>
        <v>rtdc.l.rtdc.4027:itc</v>
      </c>
      <c r="G112" s="8">
        <f t="shared" si="3"/>
        <v>42596.561284722222</v>
      </c>
    </row>
    <row r="113" spans="1:7" x14ac:dyDescent="0.25">
      <c r="A113" s="8">
        <v>42596.568379629629</v>
      </c>
      <c r="B113" s="24" t="s">
        <v>240</v>
      </c>
      <c r="C113" s="24" t="s">
        <v>655</v>
      </c>
      <c r="D113" s="24">
        <v>1110000</v>
      </c>
      <c r="E113" s="24" t="s">
        <v>652</v>
      </c>
      <c r="F113" s="24" t="str">
        <f t="shared" si="2"/>
        <v>rtdc.l.rtdc.4019:itc</v>
      </c>
      <c r="G113" s="8">
        <f t="shared" si="3"/>
        <v>42596.568379629629</v>
      </c>
    </row>
    <row r="114" spans="1:7" x14ac:dyDescent="0.25">
      <c r="A114" s="8">
        <v>42596.569421296299</v>
      </c>
      <c r="B114" s="24" t="s">
        <v>112</v>
      </c>
      <c r="C114" s="24" t="s">
        <v>424</v>
      </c>
      <c r="D114" s="24">
        <v>880000</v>
      </c>
      <c r="E114" s="24" t="s">
        <v>244</v>
      </c>
      <c r="F114" s="24" t="str">
        <f t="shared" si="2"/>
        <v>rtdc.l.rtdc.4015:itc</v>
      </c>
      <c r="G114" s="8">
        <f t="shared" si="3"/>
        <v>42596.569421296299</v>
      </c>
    </row>
    <row r="115" spans="1:7" x14ac:dyDescent="0.25">
      <c r="A115" s="8">
        <v>42596.571006944447</v>
      </c>
      <c r="B115" s="24" t="s">
        <v>193</v>
      </c>
      <c r="C115" s="24" t="s">
        <v>455</v>
      </c>
      <c r="D115" s="24">
        <v>1140000</v>
      </c>
      <c r="E115" s="24" t="s">
        <v>653</v>
      </c>
      <c r="F115" s="24" t="str">
        <f t="shared" si="2"/>
        <v>rtdc.l.rtdc.4038:itc</v>
      </c>
      <c r="G115" s="8">
        <f t="shared" si="3"/>
        <v>42596.571006944447</v>
      </c>
    </row>
    <row r="116" spans="1:7" x14ac:dyDescent="0.25">
      <c r="A116" s="8">
        <v>42596.575138888889</v>
      </c>
      <c r="B116" s="24" t="s">
        <v>294</v>
      </c>
      <c r="C116" s="24" t="s">
        <v>426</v>
      </c>
      <c r="D116" s="24">
        <v>1280000</v>
      </c>
      <c r="E116" s="24" t="s">
        <v>304</v>
      </c>
      <c r="F116" s="24" t="str">
        <f t="shared" si="2"/>
        <v>rtdc.l.rtdc.4012:itc</v>
      </c>
      <c r="G116" s="8">
        <f t="shared" si="3"/>
        <v>42596.575138888889</v>
      </c>
    </row>
    <row r="117" spans="1:7" x14ac:dyDescent="0.25">
      <c r="A117" s="8">
        <v>42596.580914351849</v>
      </c>
      <c r="B117" s="24" t="s">
        <v>119</v>
      </c>
      <c r="C117" s="24" t="s">
        <v>509</v>
      </c>
      <c r="D117" s="24">
        <v>1520000</v>
      </c>
      <c r="E117" s="24" t="s">
        <v>245</v>
      </c>
      <c r="F117" s="24" t="str">
        <f t="shared" si="2"/>
        <v>rtdc.l.rtdc.4014:itc</v>
      </c>
      <c r="G117" s="8">
        <f t="shared" si="3"/>
        <v>42596.580914351849</v>
      </c>
    </row>
    <row r="118" spans="1:7" x14ac:dyDescent="0.25">
      <c r="A118" s="8">
        <v>42596.585856481484</v>
      </c>
      <c r="B118" s="24" t="s">
        <v>650</v>
      </c>
      <c r="C118" s="24" t="s">
        <v>429</v>
      </c>
      <c r="D118" s="24">
        <v>1770000</v>
      </c>
      <c r="E118" s="24" t="s">
        <v>305</v>
      </c>
      <c r="F118" s="24" t="str">
        <f t="shared" si="2"/>
        <v>rtdc.l.rtdc.4026:itc</v>
      </c>
      <c r="G118" s="8">
        <f t="shared" si="3"/>
        <v>42596.585856481484</v>
      </c>
    </row>
    <row r="119" spans="1:7" x14ac:dyDescent="0.25">
      <c r="A119" s="8">
        <v>42596.59039351852</v>
      </c>
      <c r="B119" s="24" t="s">
        <v>237</v>
      </c>
      <c r="C119" s="24" t="s">
        <v>471</v>
      </c>
      <c r="D119" s="24">
        <v>750000</v>
      </c>
      <c r="E119" s="24" t="s">
        <v>656</v>
      </c>
      <c r="F119" s="24" t="str">
        <f t="shared" si="2"/>
        <v>rtdc.l.rtdc.4020:itc</v>
      </c>
      <c r="G119" s="8">
        <f t="shared" si="3"/>
        <v>42596.59039351852</v>
      </c>
    </row>
    <row r="120" spans="1:7" x14ac:dyDescent="0.25">
      <c r="A120" s="8">
        <v>42596.590590277781</v>
      </c>
      <c r="B120" s="24" t="s">
        <v>95</v>
      </c>
      <c r="C120" s="24" t="s">
        <v>520</v>
      </c>
      <c r="D120" s="24">
        <v>2020000</v>
      </c>
      <c r="E120" s="24" t="s">
        <v>194</v>
      </c>
      <c r="F120" s="24" t="str">
        <f t="shared" si="2"/>
        <v>rtdc.l.rtdc.4029:itc</v>
      </c>
      <c r="G120" s="8">
        <f t="shared" si="3"/>
        <v>42596.590590277781</v>
      </c>
    </row>
    <row r="121" spans="1:7" x14ac:dyDescent="0.25">
      <c r="A121" s="8">
        <v>42596.599548611113</v>
      </c>
      <c r="B121" s="24" t="s">
        <v>189</v>
      </c>
      <c r="C121" s="24" t="s">
        <v>431</v>
      </c>
      <c r="D121" s="24">
        <v>2040000</v>
      </c>
      <c r="E121" s="24" t="s">
        <v>174</v>
      </c>
      <c r="F121" s="24" t="str">
        <f t="shared" si="2"/>
        <v>rtdc.l.rtdc.4028:itc</v>
      </c>
      <c r="G121" s="8">
        <f t="shared" si="3"/>
        <v>42596.599548611113</v>
      </c>
    </row>
    <row r="122" spans="1:7" x14ac:dyDescent="0.25">
      <c r="A122" s="8">
        <v>42596.601388888892</v>
      </c>
      <c r="B122" s="29" t="s">
        <v>649</v>
      </c>
      <c r="C122" s="24" t="s">
        <v>525</v>
      </c>
      <c r="D122" s="24">
        <v>880000</v>
      </c>
      <c r="E122" s="24" t="s">
        <v>244</v>
      </c>
      <c r="F122" s="24" t="str">
        <f t="shared" si="2"/>
        <v>rtdc.l.rtdc.4016:itc</v>
      </c>
      <c r="G122" s="8">
        <f t="shared" si="3"/>
        <v>42596.601388888892</v>
      </c>
    </row>
    <row r="123" spans="1:7" x14ac:dyDescent="0.25">
      <c r="A123" s="8">
        <v>42596.607291666667</v>
      </c>
      <c r="B123" s="24" t="s">
        <v>173</v>
      </c>
      <c r="C123" s="24" t="s">
        <v>476</v>
      </c>
      <c r="D123" s="24">
        <v>1140000</v>
      </c>
      <c r="E123" s="24" t="s">
        <v>653</v>
      </c>
      <c r="F123" s="24" t="str">
        <f t="shared" si="2"/>
        <v>rtdc.l.rtdc.4037:itc</v>
      </c>
      <c r="G123" s="8">
        <f t="shared" si="3"/>
        <v>42596.607291666667</v>
      </c>
    </row>
    <row r="124" spans="1:7" x14ac:dyDescent="0.25">
      <c r="A124" s="8">
        <v>42596.612280092595</v>
      </c>
      <c r="B124" s="24" t="s">
        <v>293</v>
      </c>
      <c r="C124" s="24" t="s">
        <v>528</v>
      </c>
      <c r="D124" s="24">
        <v>1280000</v>
      </c>
      <c r="E124" s="24" t="s">
        <v>304</v>
      </c>
      <c r="F124" s="24" t="str">
        <f t="shared" si="2"/>
        <v>rtdc.l.rtdc.4011:itc</v>
      </c>
      <c r="G124" s="8">
        <f t="shared" si="3"/>
        <v>42596.612280092595</v>
      </c>
    </row>
    <row r="125" spans="1:7" x14ac:dyDescent="0.25">
      <c r="A125" s="8">
        <v>42596.614918981482</v>
      </c>
      <c r="B125" s="24" t="s">
        <v>240</v>
      </c>
      <c r="C125" s="24" t="s">
        <v>657</v>
      </c>
      <c r="D125" s="24">
        <v>750000</v>
      </c>
      <c r="E125" s="24" t="s">
        <v>656</v>
      </c>
      <c r="F125" s="24" t="str">
        <f t="shared" si="2"/>
        <v>rtdc.l.rtdc.4019:itc</v>
      </c>
      <c r="G125" s="8">
        <f t="shared" si="3"/>
        <v>42596.614918981482</v>
      </c>
    </row>
    <row r="126" spans="1:7" x14ac:dyDescent="0.25">
      <c r="A126" s="8">
        <v>42596.615474537037</v>
      </c>
      <c r="B126" s="24" t="s">
        <v>94</v>
      </c>
      <c r="C126" s="24" t="s">
        <v>519</v>
      </c>
      <c r="D126" s="24">
        <v>1520000</v>
      </c>
      <c r="E126" s="24" t="s">
        <v>245</v>
      </c>
      <c r="F126" s="24" t="str">
        <f t="shared" si="2"/>
        <v>rtdc.l.rtdc.4013:itc</v>
      </c>
      <c r="G126" s="8">
        <f t="shared" si="3"/>
        <v>42596.615474537037</v>
      </c>
    </row>
    <row r="127" spans="1:7" x14ac:dyDescent="0.25">
      <c r="A127" s="8">
        <v>42596.616597222222</v>
      </c>
      <c r="B127" s="24" t="s">
        <v>240</v>
      </c>
      <c r="C127" s="24" t="s">
        <v>657</v>
      </c>
      <c r="D127" s="24">
        <v>750000</v>
      </c>
      <c r="E127" s="24" t="s">
        <v>656</v>
      </c>
      <c r="F127" s="24" t="str">
        <f t="shared" si="2"/>
        <v>rtdc.l.rtdc.4019:itc</v>
      </c>
      <c r="G127" s="8">
        <f t="shared" si="3"/>
        <v>42596.616597222222</v>
      </c>
    </row>
    <row r="128" spans="1:7" x14ac:dyDescent="0.25">
      <c r="A128" s="8">
        <v>42596.620821759258</v>
      </c>
      <c r="B128" s="24" t="s">
        <v>648</v>
      </c>
      <c r="C128" s="24" t="s">
        <v>538</v>
      </c>
      <c r="D128" s="24">
        <v>1770000</v>
      </c>
      <c r="E128" s="24" t="s">
        <v>305</v>
      </c>
      <c r="F128" s="24" t="str">
        <f t="shared" si="2"/>
        <v>rtdc.l.rtdc.4025:itc</v>
      </c>
      <c r="G128" s="8">
        <f t="shared" si="3"/>
        <v>42596.620821759258</v>
      </c>
    </row>
    <row r="129" spans="1:7" x14ac:dyDescent="0.25">
      <c r="A129" s="8">
        <v>42596.627060185187</v>
      </c>
      <c r="B129" s="24" t="s">
        <v>96</v>
      </c>
      <c r="C129" s="24" t="s">
        <v>523</v>
      </c>
      <c r="D129" s="24">
        <v>2020000</v>
      </c>
      <c r="E129" s="24" t="s">
        <v>194</v>
      </c>
      <c r="F129" s="24" t="str">
        <f t="shared" si="2"/>
        <v>rtdc.l.rtdc.4030:itc</v>
      </c>
      <c r="G129" s="8">
        <f t="shared" si="3"/>
        <v>42596.627060185187</v>
      </c>
    </row>
    <row r="130" spans="1:7" x14ac:dyDescent="0.25">
      <c r="A130" s="8">
        <v>42596.630532407406</v>
      </c>
      <c r="B130" s="24" t="s">
        <v>237</v>
      </c>
      <c r="C130" s="24" t="s">
        <v>473</v>
      </c>
      <c r="D130" s="24">
        <v>750000</v>
      </c>
      <c r="E130" s="24" t="s">
        <v>656</v>
      </c>
      <c r="F130" s="24" t="str">
        <f t="shared" ref="F130:F193" si="4">B130</f>
        <v>rtdc.l.rtdc.4020:itc</v>
      </c>
      <c r="G130" s="8">
        <f t="shared" ref="G130:G193" si="5">A130</f>
        <v>42596.630532407406</v>
      </c>
    </row>
    <row r="131" spans="1:7" x14ac:dyDescent="0.25">
      <c r="A131" s="8">
        <v>42596.633738425924</v>
      </c>
      <c r="B131" s="24" t="s">
        <v>97</v>
      </c>
      <c r="C131" s="24" t="s">
        <v>541</v>
      </c>
      <c r="D131" s="24">
        <v>2040000</v>
      </c>
      <c r="E131" s="24" t="s">
        <v>174</v>
      </c>
      <c r="F131" s="24" t="str">
        <f t="shared" si="4"/>
        <v>rtdc.l.rtdc.4027:itc</v>
      </c>
      <c r="G131" s="8">
        <f t="shared" si="5"/>
        <v>42596.633738425924</v>
      </c>
    </row>
    <row r="132" spans="1:7" x14ac:dyDescent="0.25">
      <c r="A132" s="8">
        <v>42596.64203703704</v>
      </c>
      <c r="B132" s="24" t="s">
        <v>112</v>
      </c>
      <c r="C132" s="24" t="s">
        <v>526</v>
      </c>
      <c r="D132" s="24">
        <v>880000</v>
      </c>
      <c r="E132" s="24" t="s">
        <v>244</v>
      </c>
      <c r="F132" s="24" t="str">
        <f t="shared" si="4"/>
        <v>rtdc.l.rtdc.4015:itc</v>
      </c>
      <c r="G132" s="8">
        <f t="shared" si="5"/>
        <v>42596.64203703704</v>
      </c>
    </row>
    <row r="133" spans="1:7" x14ac:dyDescent="0.25">
      <c r="A133" s="8">
        <v>42596.642939814818</v>
      </c>
      <c r="B133" s="24" t="s">
        <v>193</v>
      </c>
      <c r="C133" s="24" t="s">
        <v>544</v>
      </c>
      <c r="D133" s="24">
        <v>1140000</v>
      </c>
      <c r="E133" s="24" t="s">
        <v>653</v>
      </c>
      <c r="F133" s="24" t="str">
        <f t="shared" si="4"/>
        <v>rtdc.l.rtdc.4038:itc</v>
      </c>
      <c r="G133" s="8">
        <f t="shared" si="5"/>
        <v>42596.642939814818</v>
      </c>
    </row>
    <row r="134" spans="1:7" x14ac:dyDescent="0.25">
      <c r="A134" s="8">
        <v>42596.643229166664</v>
      </c>
      <c r="B134" s="24" t="s">
        <v>294</v>
      </c>
      <c r="C134" s="24" t="s">
        <v>530</v>
      </c>
      <c r="D134" s="24">
        <v>1280000</v>
      </c>
      <c r="E134" s="24" t="s">
        <v>304</v>
      </c>
      <c r="F134" s="24" t="str">
        <f t="shared" si="4"/>
        <v>rtdc.l.rtdc.4012:itc</v>
      </c>
      <c r="G134" s="8">
        <f t="shared" si="5"/>
        <v>42596.643229166664</v>
      </c>
    </row>
    <row r="135" spans="1:7" x14ac:dyDescent="0.25">
      <c r="A135" s="8">
        <v>42596.650960648149</v>
      </c>
      <c r="B135" s="24" t="s">
        <v>119</v>
      </c>
      <c r="C135" s="24" t="s">
        <v>549</v>
      </c>
      <c r="D135" s="24">
        <v>1520000</v>
      </c>
      <c r="E135" s="24" t="s">
        <v>245</v>
      </c>
      <c r="F135" s="24" t="str">
        <f t="shared" si="4"/>
        <v>rtdc.l.rtdc.4014:itc</v>
      </c>
      <c r="G135" s="8">
        <f t="shared" si="5"/>
        <v>42596.650960648149</v>
      </c>
    </row>
    <row r="136" spans="1:7" x14ac:dyDescent="0.25">
      <c r="A136" s="8">
        <v>42596.653287037036</v>
      </c>
      <c r="B136" s="24" t="s">
        <v>240</v>
      </c>
      <c r="C136" s="24" t="s">
        <v>479</v>
      </c>
      <c r="D136" s="24">
        <v>750000</v>
      </c>
      <c r="E136" s="24" t="s">
        <v>656</v>
      </c>
      <c r="F136" s="24" t="str">
        <f t="shared" si="4"/>
        <v>rtdc.l.rtdc.4019:itc</v>
      </c>
      <c r="G136" s="8">
        <f t="shared" si="5"/>
        <v>42596.653287037036</v>
      </c>
    </row>
    <row r="137" spans="1:7" x14ac:dyDescent="0.25">
      <c r="A137" s="8">
        <v>42596.657002314816</v>
      </c>
      <c r="B137" s="24" t="s">
        <v>650</v>
      </c>
      <c r="C137" s="24" t="s">
        <v>540</v>
      </c>
      <c r="D137" s="24">
        <v>1770000</v>
      </c>
      <c r="E137" s="24" t="s">
        <v>305</v>
      </c>
      <c r="F137" s="24" t="str">
        <f t="shared" si="4"/>
        <v>rtdc.l.rtdc.4026:itc</v>
      </c>
      <c r="G137" s="8">
        <f t="shared" si="5"/>
        <v>42596.657002314816</v>
      </c>
    </row>
    <row r="138" spans="1:7" x14ac:dyDescent="0.25">
      <c r="A138" s="8">
        <v>42596.661041666666</v>
      </c>
      <c r="B138" s="24" t="s">
        <v>95</v>
      </c>
      <c r="C138" s="24" t="s">
        <v>551</v>
      </c>
      <c r="D138" s="24">
        <v>2020000</v>
      </c>
      <c r="E138" s="24" t="s">
        <v>194</v>
      </c>
      <c r="F138" s="24" t="str">
        <f t="shared" si="4"/>
        <v>rtdc.l.rtdc.4029:itc</v>
      </c>
      <c r="G138" s="8">
        <f t="shared" si="5"/>
        <v>42596.661041666666</v>
      </c>
    </row>
    <row r="139" spans="1:7" x14ac:dyDescent="0.25">
      <c r="A139" s="8">
        <v>42596.672291666669</v>
      </c>
      <c r="B139" s="24" t="s">
        <v>237</v>
      </c>
      <c r="C139" s="24" t="s">
        <v>482</v>
      </c>
      <c r="D139" s="24">
        <v>750000</v>
      </c>
      <c r="E139" s="24" t="s">
        <v>656</v>
      </c>
      <c r="F139" s="24" t="str">
        <f t="shared" si="4"/>
        <v>rtdc.l.rtdc.4020:itc</v>
      </c>
      <c r="G139" s="8">
        <f t="shared" si="5"/>
        <v>42596.672291666669</v>
      </c>
    </row>
    <row r="140" spans="1:7" x14ac:dyDescent="0.25">
      <c r="A140" s="8">
        <v>42596.675775462965</v>
      </c>
      <c r="B140" s="24" t="s">
        <v>189</v>
      </c>
      <c r="C140" s="24" t="s">
        <v>543</v>
      </c>
      <c r="D140" s="24">
        <v>2040000</v>
      </c>
      <c r="E140" s="24" t="s">
        <v>174</v>
      </c>
      <c r="F140" s="24" t="str">
        <f t="shared" si="4"/>
        <v>rtdc.l.rtdc.4028:itc</v>
      </c>
      <c r="G140" s="8">
        <f t="shared" si="5"/>
        <v>42596.675775462965</v>
      </c>
    </row>
    <row r="141" spans="1:7" x14ac:dyDescent="0.25">
      <c r="A141" s="8">
        <v>42596.676319444443</v>
      </c>
      <c r="B141" s="24" t="s">
        <v>649</v>
      </c>
      <c r="C141" s="24" t="s">
        <v>555</v>
      </c>
      <c r="D141" s="24">
        <v>880000</v>
      </c>
      <c r="E141" s="24" t="s">
        <v>244</v>
      </c>
      <c r="F141" s="24" t="str">
        <f t="shared" si="4"/>
        <v>rtdc.l.rtdc.4016:itc</v>
      </c>
      <c r="G141" s="8">
        <f t="shared" si="5"/>
        <v>42596.676319444443</v>
      </c>
    </row>
    <row r="142" spans="1:7" x14ac:dyDescent="0.25">
      <c r="A142" s="8">
        <v>42596.68068287037</v>
      </c>
      <c r="B142" s="24" t="s">
        <v>173</v>
      </c>
      <c r="C142" s="24" t="s">
        <v>546</v>
      </c>
      <c r="D142" s="24">
        <v>1140000</v>
      </c>
      <c r="E142" s="24" t="s">
        <v>653</v>
      </c>
      <c r="F142" s="24" t="str">
        <f t="shared" si="4"/>
        <v>rtdc.l.rtdc.4037:itc</v>
      </c>
      <c r="G142" s="8">
        <f t="shared" si="5"/>
        <v>42596.68068287037</v>
      </c>
    </row>
    <row r="143" spans="1:7" x14ac:dyDescent="0.25">
      <c r="A143" s="8">
        <v>42596.693252314813</v>
      </c>
      <c r="B143" s="24" t="s">
        <v>240</v>
      </c>
      <c r="C143" s="24" t="s">
        <v>485</v>
      </c>
      <c r="D143" s="24">
        <v>750000</v>
      </c>
      <c r="E143" s="24" t="s">
        <v>656</v>
      </c>
      <c r="F143" s="24" t="str">
        <f t="shared" si="4"/>
        <v>rtdc.l.rtdc.4019:itc</v>
      </c>
      <c r="G143" s="8">
        <f t="shared" si="5"/>
        <v>42596.693252314813</v>
      </c>
    </row>
    <row r="144" spans="1:7" x14ac:dyDescent="0.25">
      <c r="A144" s="8">
        <v>42596.693298611113</v>
      </c>
      <c r="B144" s="24" t="s">
        <v>94</v>
      </c>
      <c r="C144" s="24" t="s">
        <v>550</v>
      </c>
      <c r="D144" s="24">
        <v>1520000</v>
      </c>
      <c r="E144" s="24" t="s">
        <v>245</v>
      </c>
      <c r="F144" s="24" t="str">
        <f t="shared" si="4"/>
        <v>rtdc.l.rtdc.4013:itc</v>
      </c>
      <c r="G144" s="8">
        <f t="shared" si="5"/>
        <v>42596.693298611113</v>
      </c>
    </row>
    <row r="145" spans="1:7" x14ac:dyDescent="0.25">
      <c r="A145" s="8">
        <v>42596.694189814814</v>
      </c>
      <c r="B145" s="24" t="s">
        <v>293</v>
      </c>
      <c r="C145" s="24" t="s">
        <v>558</v>
      </c>
      <c r="D145" s="24">
        <v>1280000</v>
      </c>
      <c r="E145" s="24" t="s">
        <v>304</v>
      </c>
      <c r="F145" s="24" t="str">
        <f t="shared" si="4"/>
        <v>rtdc.l.rtdc.4011:itc</v>
      </c>
      <c r="G145" s="8">
        <f t="shared" si="5"/>
        <v>42596.694189814814</v>
      </c>
    </row>
    <row r="146" spans="1:7" x14ac:dyDescent="0.25">
      <c r="A146" s="8">
        <v>42596.700509259259</v>
      </c>
      <c r="B146" s="24" t="s">
        <v>648</v>
      </c>
      <c r="C146" s="24" t="s">
        <v>561</v>
      </c>
      <c r="D146" s="24">
        <v>1770000</v>
      </c>
      <c r="E146" s="24" t="s">
        <v>305</v>
      </c>
      <c r="F146" s="24" t="str">
        <f t="shared" si="4"/>
        <v>rtdc.l.rtdc.4025:itc</v>
      </c>
      <c r="G146" s="8">
        <f t="shared" si="5"/>
        <v>42596.700509259259</v>
      </c>
    </row>
    <row r="147" spans="1:7" x14ac:dyDescent="0.25">
      <c r="A147" s="8">
        <v>42596.700902777775</v>
      </c>
      <c r="B147" s="24" t="s">
        <v>96</v>
      </c>
      <c r="C147" s="24" t="s">
        <v>553</v>
      </c>
      <c r="D147" s="24">
        <v>2020000</v>
      </c>
      <c r="E147" s="24" t="s">
        <v>194</v>
      </c>
      <c r="F147" s="24" t="str">
        <f t="shared" si="4"/>
        <v>rtdc.l.rtdc.4030:itc</v>
      </c>
      <c r="G147" s="8">
        <f t="shared" si="5"/>
        <v>42596.700902777775</v>
      </c>
    </row>
    <row r="148" spans="1:7" x14ac:dyDescent="0.25">
      <c r="A148" s="8">
        <v>42596.708344907405</v>
      </c>
      <c r="B148" s="24" t="s">
        <v>97</v>
      </c>
      <c r="C148" s="24" t="s">
        <v>564</v>
      </c>
      <c r="D148" s="24">
        <v>2040000</v>
      </c>
      <c r="E148" s="24" t="s">
        <v>174</v>
      </c>
      <c r="F148" s="24" t="str">
        <f t="shared" si="4"/>
        <v>rtdc.l.rtdc.4027:itc</v>
      </c>
      <c r="G148" s="8">
        <f t="shared" si="5"/>
        <v>42596.708344907405</v>
      </c>
    </row>
    <row r="149" spans="1:7" x14ac:dyDescent="0.25">
      <c r="A149" s="8">
        <v>42596.711782407408</v>
      </c>
      <c r="B149" s="24" t="s">
        <v>237</v>
      </c>
      <c r="C149" s="24" t="s">
        <v>488</v>
      </c>
      <c r="D149" s="24">
        <v>750000</v>
      </c>
      <c r="E149" s="24" t="s">
        <v>656</v>
      </c>
      <c r="F149" s="24" t="str">
        <f t="shared" si="4"/>
        <v>rtdc.l.rtdc.4020:itc</v>
      </c>
      <c r="G149" s="8">
        <f t="shared" si="5"/>
        <v>42596.711782407408</v>
      </c>
    </row>
    <row r="150" spans="1:7" x14ac:dyDescent="0.25">
      <c r="A150" s="8">
        <v>42596.715416666666</v>
      </c>
      <c r="B150" s="24" t="s">
        <v>112</v>
      </c>
      <c r="C150" s="24" t="s">
        <v>556</v>
      </c>
      <c r="D150" s="24">
        <v>880000</v>
      </c>
      <c r="E150" s="24" t="s">
        <v>244</v>
      </c>
      <c r="F150" s="24" t="str">
        <f t="shared" si="4"/>
        <v>rtdc.l.rtdc.4015:itc</v>
      </c>
      <c r="G150" s="8">
        <f t="shared" si="5"/>
        <v>42596.715416666666</v>
      </c>
    </row>
    <row r="151" spans="1:7" x14ac:dyDescent="0.25">
      <c r="A151" s="8">
        <v>42596.71665509259</v>
      </c>
      <c r="B151" s="24" t="s">
        <v>193</v>
      </c>
      <c r="C151" s="24" t="s">
        <v>567</v>
      </c>
      <c r="D151" s="24">
        <v>1740000</v>
      </c>
      <c r="E151" s="24" t="s">
        <v>302</v>
      </c>
      <c r="F151" s="24" t="str">
        <f t="shared" si="4"/>
        <v>rtdc.l.rtdc.4038:itc</v>
      </c>
      <c r="G151" s="8">
        <f t="shared" si="5"/>
        <v>42596.71665509259</v>
      </c>
    </row>
    <row r="152" spans="1:7" x14ac:dyDescent="0.25">
      <c r="A152" s="8">
        <v>42596.72452546296</v>
      </c>
      <c r="B152" s="24" t="s">
        <v>294</v>
      </c>
      <c r="C152" s="24" t="s">
        <v>559</v>
      </c>
      <c r="D152" s="24">
        <v>1280000</v>
      </c>
      <c r="E152" s="24" t="s">
        <v>304</v>
      </c>
      <c r="F152" s="24" t="str">
        <f t="shared" si="4"/>
        <v>rtdc.l.rtdc.4012:itc</v>
      </c>
      <c r="G152" s="8">
        <f t="shared" si="5"/>
        <v>42596.72452546296</v>
      </c>
    </row>
    <row r="153" spans="1:7" x14ac:dyDescent="0.25">
      <c r="A153" s="8">
        <v>42596.728506944448</v>
      </c>
      <c r="B153" s="24" t="s">
        <v>119</v>
      </c>
      <c r="C153" s="24" t="s">
        <v>571</v>
      </c>
      <c r="D153" s="24">
        <v>1140000</v>
      </c>
      <c r="E153" s="24" t="s">
        <v>653</v>
      </c>
      <c r="F153" s="24" t="str">
        <f t="shared" si="4"/>
        <v>rtdc.l.rtdc.4014:itc</v>
      </c>
      <c r="G153" s="8">
        <f t="shared" si="5"/>
        <v>42596.728506944448</v>
      </c>
    </row>
    <row r="154" spans="1:7" x14ac:dyDescent="0.25">
      <c r="A154" s="8">
        <v>42596.731226851851</v>
      </c>
      <c r="B154" s="24" t="s">
        <v>650</v>
      </c>
      <c r="C154" s="24" t="s">
        <v>563</v>
      </c>
      <c r="D154" s="24">
        <v>1770000</v>
      </c>
      <c r="E154" s="24" t="s">
        <v>305</v>
      </c>
      <c r="F154" s="24" t="str">
        <f t="shared" si="4"/>
        <v>rtdc.l.rtdc.4026:itc</v>
      </c>
      <c r="G154" s="8">
        <f t="shared" si="5"/>
        <v>42596.731226851851</v>
      </c>
    </row>
    <row r="155" spans="1:7" x14ac:dyDescent="0.25">
      <c r="A155" s="8">
        <v>42596.734513888892</v>
      </c>
      <c r="B155" s="24" t="s">
        <v>64</v>
      </c>
      <c r="C155" s="24" t="s">
        <v>643</v>
      </c>
      <c r="D155" s="24">
        <v>1810000</v>
      </c>
      <c r="E155" s="24" t="s">
        <v>306</v>
      </c>
      <c r="F155" s="24" t="str">
        <f t="shared" si="4"/>
        <v>rtdc.l.rtdc.4017:itc</v>
      </c>
      <c r="G155" s="8">
        <f t="shared" si="5"/>
        <v>42596.734513888892</v>
      </c>
    </row>
    <row r="156" spans="1:7" x14ac:dyDescent="0.25">
      <c r="A156" s="8">
        <v>42596.736273148148</v>
      </c>
      <c r="B156" s="24" t="s">
        <v>240</v>
      </c>
      <c r="C156" s="24" t="s">
        <v>491</v>
      </c>
      <c r="D156" s="24">
        <v>750000</v>
      </c>
      <c r="E156" s="24" t="s">
        <v>656</v>
      </c>
      <c r="F156" s="24" t="str">
        <f t="shared" si="4"/>
        <v>rtdc.l.rtdc.4019:itc</v>
      </c>
      <c r="G156" s="8">
        <f t="shared" si="5"/>
        <v>42596.736273148148</v>
      </c>
    </row>
    <row r="157" spans="1:7" x14ac:dyDescent="0.25">
      <c r="A157" s="8">
        <v>42596.73678240741</v>
      </c>
      <c r="B157" s="24" t="s">
        <v>95</v>
      </c>
      <c r="C157" s="24" t="s">
        <v>576</v>
      </c>
      <c r="D157" s="24">
        <v>1290000</v>
      </c>
      <c r="E157" s="24" t="s">
        <v>658</v>
      </c>
      <c r="F157" s="24" t="str">
        <f t="shared" si="4"/>
        <v>rtdc.l.rtdc.4029:itc</v>
      </c>
      <c r="G157" s="8">
        <f t="shared" si="5"/>
        <v>42596.73678240741</v>
      </c>
    </row>
    <row r="158" spans="1:7" x14ac:dyDescent="0.25">
      <c r="A158" s="8">
        <v>42596.744108796294</v>
      </c>
      <c r="B158" s="24" t="s">
        <v>189</v>
      </c>
      <c r="C158" s="24" t="s">
        <v>565</v>
      </c>
      <c r="D158" s="24">
        <v>2040000</v>
      </c>
      <c r="E158" s="24" t="s">
        <v>174</v>
      </c>
      <c r="F158" s="24" t="str">
        <f t="shared" si="4"/>
        <v>rtdc.l.rtdc.4028:itc</v>
      </c>
      <c r="G158" s="8">
        <f t="shared" si="5"/>
        <v>42596.744108796294</v>
      </c>
    </row>
    <row r="159" spans="1:7" x14ac:dyDescent="0.25">
      <c r="A159" s="8">
        <v>42596.747627314813</v>
      </c>
      <c r="B159" s="24" t="s">
        <v>649</v>
      </c>
      <c r="C159" s="24" t="s">
        <v>581</v>
      </c>
      <c r="D159" s="24">
        <v>2020000</v>
      </c>
      <c r="E159" s="24" t="s">
        <v>194</v>
      </c>
      <c r="F159" s="24" t="str">
        <f t="shared" si="4"/>
        <v>rtdc.l.rtdc.4016:itc</v>
      </c>
      <c r="G159" s="8">
        <f t="shared" si="5"/>
        <v>42596.747627314813</v>
      </c>
    </row>
    <row r="160" spans="1:7" x14ac:dyDescent="0.25">
      <c r="A160" s="8">
        <v>42596.750706018516</v>
      </c>
      <c r="B160" s="24" t="s">
        <v>173</v>
      </c>
      <c r="C160" s="24" t="s">
        <v>569</v>
      </c>
      <c r="D160" s="24">
        <v>1740000</v>
      </c>
      <c r="E160" s="24" t="s">
        <v>302</v>
      </c>
      <c r="F160" s="24" t="str">
        <f t="shared" si="4"/>
        <v>rtdc.l.rtdc.4037:itc</v>
      </c>
      <c r="G160" s="8">
        <f t="shared" si="5"/>
        <v>42596.750706018516</v>
      </c>
    </row>
    <row r="161" spans="1:7" x14ac:dyDescent="0.25">
      <c r="A161" s="8">
        <v>42596.753530092596</v>
      </c>
      <c r="B161" s="24" t="s">
        <v>237</v>
      </c>
      <c r="C161" s="24" t="s">
        <v>494</v>
      </c>
      <c r="D161" s="24">
        <v>730000</v>
      </c>
      <c r="E161" s="24" t="s">
        <v>249</v>
      </c>
      <c r="F161" s="24" t="str">
        <f t="shared" si="4"/>
        <v>rtdc.l.rtdc.4020:itc</v>
      </c>
      <c r="G161" s="8">
        <f t="shared" si="5"/>
        <v>42596.753530092596</v>
      </c>
    </row>
    <row r="162" spans="1:7" x14ac:dyDescent="0.25">
      <c r="A162" s="8">
        <v>42596.758310185185</v>
      </c>
      <c r="B162" s="24" t="s">
        <v>293</v>
      </c>
      <c r="C162" s="24" t="s">
        <v>584</v>
      </c>
      <c r="D162" s="24">
        <v>1810000</v>
      </c>
      <c r="E162" s="24" t="s">
        <v>306</v>
      </c>
      <c r="F162" s="24" t="str">
        <f t="shared" si="4"/>
        <v>rtdc.l.rtdc.4011:itc</v>
      </c>
      <c r="G162" s="8">
        <f t="shared" si="5"/>
        <v>42596.758310185185</v>
      </c>
    </row>
    <row r="163" spans="1:7" x14ac:dyDescent="0.25">
      <c r="A163" s="8">
        <v>42596.758784722224</v>
      </c>
      <c r="B163" s="24" t="s">
        <v>94</v>
      </c>
      <c r="C163" s="24" t="s">
        <v>574</v>
      </c>
      <c r="D163" s="24">
        <v>1140000</v>
      </c>
      <c r="E163" s="24" t="s">
        <v>653</v>
      </c>
      <c r="F163" s="24" t="str">
        <f t="shared" si="4"/>
        <v>rtdc.l.rtdc.4013:itc</v>
      </c>
      <c r="G163" s="8">
        <f t="shared" si="5"/>
        <v>42596.758784722224</v>
      </c>
    </row>
    <row r="164" spans="1:7" x14ac:dyDescent="0.25">
      <c r="A164" s="8">
        <v>42596.767847222225</v>
      </c>
      <c r="B164" s="24" t="s">
        <v>648</v>
      </c>
      <c r="C164" s="24" t="s">
        <v>587</v>
      </c>
      <c r="D164" s="24">
        <v>2000000</v>
      </c>
      <c r="E164" s="24" t="s">
        <v>172</v>
      </c>
      <c r="F164" s="24" t="str">
        <f t="shared" si="4"/>
        <v>rtdc.l.rtdc.4025:itc</v>
      </c>
      <c r="G164" s="8">
        <f t="shared" si="5"/>
        <v>42596.767847222225</v>
      </c>
    </row>
    <row r="165" spans="1:7" x14ac:dyDescent="0.25">
      <c r="A165" s="8">
        <v>42596.773773148147</v>
      </c>
      <c r="B165" s="24" t="s">
        <v>96</v>
      </c>
      <c r="C165" s="24" t="s">
        <v>578</v>
      </c>
      <c r="D165" s="24">
        <v>1290000</v>
      </c>
      <c r="E165" s="24" t="s">
        <v>658</v>
      </c>
      <c r="F165" s="24" t="str">
        <f t="shared" si="4"/>
        <v>rtdc.l.rtdc.4030:itc</v>
      </c>
      <c r="G165" s="8">
        <f t="shared" si="5"/>
        <v>42596.773773148147</v>
      </c>
    </row>
    <row r="166" spans="1:7" x14ac:dyDescent="0.25">
      <c r="A166" s="8">
        <v>42596.777118055557</v>
      </c>
      <c r="B166" s="24" t="s">
        <v>240</v>
      </c>
      <c r="C166" s="24" t="s">
        <v>497</v>
      </c>
      <c r="D166" s="24">
        <v>730000</v>
      </c>
      <c r="E166" s="24" t="s">
        <v>249</v>
      </c>
      <c r="F166" s="24" t="str">
        <f t="shared" si="4"/>
        <v>rtdc.l.rtdc.4019:itc</v>
      </c>
      <c r="G166" s="8">
        <f t="shared" si="5"/>
        <v>42596.777118055557</v>
      </c>
    </row>
    <row r="167" spans="1:7" x14ac:dyDescent="0.25">
      <c r="A167" s="8">
        <v>42596.778900462959</v>
      </c>
      <c r="B167" s="24" t="s">
        <v>97</v>
      </c>
      <c r="C167" s="24" t="s">
        <v>635</v>
      </c>
      <c r="D167" s="24">
        <v>2040000</v>
      </c>
      <c r="E167" s="24" t="s">
        <v>174</v>
      </c>
      <c r="F167" s="24" t="str">
        <f t="shared" si="4"/>
        <v>rtdc.l.rtdc.4027:itc</v>
      </c>
      <c r="G167" s="8">
        <f t="shared" si="5"/>
        <v>42596.778900462959</v>
      </c>
    </row>
    <row r="168" spans="1:7" x14ac:dyDescent="0.25">
      <c r="A168" s="8">
        <v>42596.783541666664</v>
      </c>
      <c r="B168" s="24" t="s">
        <v>112</v>
      </c>
      <c r="C168" s="24" t="s">
        <v>583</v>
      </c>
      <c r="D168" s="24">
        <v>2020000</v>
      </c>
      <c r="E168" s="24" t="s">
        <v>194</v>
      </c>
      <c r="F168" s="24" t="str">
        <f t="shared" si="4"/>
        <v>rtdc.l.rtdc.4015:itc</v>
      </c>
      <c r="G168" s="8">
        <f t="shared" si="5"/>
        <v>42596.783541666664</v>
      </c>
    </row>
    <row r="169" spans="1:7" x14ac:dyDescent="0.25">
      <c r="A169" s="8">
        <v>42596.787638888891</v>
      </c>
      <c r="B169" s="24" t="s">
        <v>193</v>
      </c>
      <c r="C169" s="24" t="s">
        <v>591</v>
      </c>
      <c r="D169" s="24">
        <v>1740000</v>
      </c>
      <c r="E169" s="24" t="s">
        <v>302</v>
      </c>
      <c r="F169" s="24" t="str">
        <f t="shared" si="4"/>
        <v>rtdc.l.rtdc.4038:itc</v>
      </c>
      <c r="G169" s="8">
        <f t="shared" si="5"/>
        <v>42596.787638888891</v>
      </c>
    </row>
    <row r="170" spans="1:7" x14ac:dyDescent="0.25">
      <c r="A170" s="8">
        <v>42596.791446759256</v>
      </c>
      <c r="B170" s="24" t="s">
        <v>294</v>
      </c>
      <c r="C170" s="24" t="s">
        <v>586</v>
      </c>
      <c r="D170" s="24">
        <v>1810000</v>
      </c>
      <c r="E170" s="24" t="s">
        <v>306</v>
      </c>
      <c r="F170" s="24" t="str">
        <f t="shared" si="4"/>
        <v>rtdc.l.rtdc.4012:itc</v>
      </c>
      <c r="G170" s="8">
        <f t="shared" si="5"/>
        <v>42596.791446759256</v>
      </c>
    </row>
    <row r="171" spans="1:7" x14ac:dyDescent="0.25">
      <c r="A171" s="8">
        <v>42596.80028935185</v>
      </c>
      <c r="B171" s="24" t="s">
        <v>237</v>
      </c>
      <c r="C171" s="24" t="s">
        <v>500</v>
      </c>
      <c r="D171" s="24">
        <v>750000</v>
      </c>
      <c r="E171" s="24" t="s">
        <v>656</v>
      </c>
      <c r="F171" s="24" t="str">
        <f t="shared" si="4"/>
        <v>rtdc.l.rtdc.4020:itc</v>
      </c>
      <c r="G171" s="8">
        <f t="shared" si="5"/>
        <v>42596.80028935185</v>
      </c>
    </row>
    <row r="172" spans="1:7" x14ac:dyDescent="0.25">
      <c r="A172" s="8">
        <v>42596.807905092595</v>
      </c>
      <c r="B172" s="24" t="s">
        <v>95</v>
      </c>
      <c r="C172" s="24" t="s">
        <v>595</v>
      </c>
      <c r="D172" s="24">
        <v>1290000</v>
      </c>
      <c r="E172" s="24" t="s">
        <v>658</v>
      </c>
      <c r="F172" s="24" t="str">
        <f t="shared" si="4"/>
        <v>rtdc.l.rtdc.4029:itc</v>
      </c>
      <c r="G172" s="8">
        <f t="shared" si="5"/>
        <v>42596.807905092595</v>
      </c>
    </row>
    <row r="173" spans="1:7" x14ac:dyDescent="0.25">
      <c r="A173" s="8">
        <v>42596.809120370373</v>
      </c>
      <c r="B173" s="24" t="s">
        <v>650</v>
      </c>
      <c r="C173" s="24" t="s">
        <v>589</v>
      </c>
      <c r="D173" s="24">
        <v>2000000</v>
      </c>
      <c r="E173" s="24" t="s">
        <v>172</v>
      </c>
      <c r="F173" s="24" t="str">
        <f t="shared" si="4"/>
        <v>rtdc.l.rtdc.4026:itc</v>
      </c>
      <c r="G173" s="8">
        <f t="shared" si="5"/>
        <v>42596.809120370373</v>
      </c>
    </row>
    <row r="174" spans="1:7" x14ac:dyDescent="0.25">
      <c r="A174" s="8">
        <v>42596.818067129629</v>
      </c>
      <c r="B174" s="24" t="s">
        <v>649</v>
      </c>
      <c r="C174" s="24" t="s">
        <v>638</v>
      </c>
      <c r="D174" s="24">
        <v>2020000</v>
      </c>
      <c r="E174" s="24" t="s">
        <v>194</v>
      </c>
      <c r="F174" s="24" t="str">
        <f t="shared" si="4"/>
        <v>rtdc.l.rtdc.4016:itc</v>
      </c>
      <c r="G174" s="8">
        <f t="shared" si="5"/>
        <v>42596.818067129629</v>
      </c>
    </row>
    <row r="175" spans="1:7" x14ac:dyDescent="0.25">
      <c r="A175" s="8">
        <v>42596.819560185184</v>
      </c>
      <c r="B175" s="24" t="s">
        <v>240</v>
      </c>
      <c r="C175" s="24" t="s">
        <v>503</v>
      </c>
      <c r="D175" s="24">
        <v>750000</v>
      </c>
      <c r="E175" s="24" t="s">
        <v>656</v>
      </c>
      <c r="F175" s="24" t="str">
        <f t="shared" si="4"/>
        <v>rtdc.l.rtdc.4019:itc</v>
      </c>
      <c r="G175" s="8">
        <f t="shared" si="5"/>
        <v>42596.819560185184</v>
      </c>
    </row>
    <row r="176" spans="1:7" x14ac:dyDescent="0.25">
      <c r="A176" s="8">
        <v>42596.821747685186</v>
      </c>
      <c r="B176" s="24" t="s">
        <v>173</v>
      </c>
      <c r="C176" s="24" t="s">
        <v>592</v>
      </c>
      <c r="D176" s="24">
        <v>1740000</v>
      </c>
      <c r="E176" s="24" t="s">
        <v>302</v>
      </c>
      <c r="F176" s="24" t="str">
        <f t="shared" si="4"/>
        <v>rtdc.l.rtdc.4037:itc</v>
      </c>
      <c r="G176" s="8">
        <f t="shared" si="5"/>
        <v>42596.821747685186</v>
      </c>
    </row>
    <row r="177" spans="1:7" x14ac:dyDescent="0.25">
      <c r="A177" s="8">
        <v>42596.828425925924</v>
      </c>
      <c r="B177" s="24" t="s">
        <v>293</v>
      </c>
      <c r="C177" s="24" t="s">
        <v>598</v>
      </c>
      <c r="D177" s="24">
        <v>1810000</v>
      </c>
      <c r="E177" s="24" t="s">
        <v>306</v>
      </c>
      <c r="F177" s="24" t="str">
        <f t="shared" si="4"/>
        <v>rtdc.l.rtdc.4011:itc</v>
      </c>
      <c r="G177" s="8">
        <f t="shared" si="5"/>
        <v>42596.828425925924</v>
      </c>
    </row>
    <row r="178" spans="1:7" x14ac:dyDescent="0.25">
      <c r="A178" s="8">
        <v>42596.838692129626</v>
      </c>
      <c r="B178" s="24" t="s">
        <v>237</v>
      </c>
      <c r="C178" s="24" t="s">
        <v>510</v>
      </c>
      <c r="D178" s="24">
        <v>730000</v>
      </c>
      <c r="E178" s="24" t="s">
        <v>249</v>
      </c>
      <c r="F178" s="24" t="str">
        <f t="shared" si="4"/>
        <v>rtdc.l.rtdc.4020:itc</v>
      </c>
      <c r="G178" s="8">
        <f t="shared" si="5"/>
        <v>42596.838692129626</v>
      </c>
    </row>
    <row r="179" spans="1:7" x14ac:dyDescent="0.25">
      <c r="A179" s="8">
        <v>42596.839745370373</v>
      </c>
      <c r="B179" s="24" t="s">
        <v>648</v>
      </c>
      <c r="C179" s="24" t="s">
        <v>602</v>
      </c>
      <c r="D179" s="24">
        <v>2000000</v>
      </c>
      <c r="E179" s="24" t="s">
        <v>172</v>
      </c>
      <c r="F179" s="24" t="str">
        <f t="shared" si="4"/>
        <v>rtdc.l.rtdc.4025:itc</v>
      </c>
      <c r="G179" s="8">
        <f t="shared" si="5"/>
        <v>42596.839745370373</v>
      </c>
    </row>
    <row r="180" spans="1:7" x14ac:dyDescent="0.25">
      <c r="A180" s="8">
        <v>42596.840196759258</v>
      </c>
      <c r="B180" s="24" t="s">
        <v>237</v>
      </c>
      <c r="C180" s="24" t="s">
        <v>506</v>
      </c>
      <c r="D180" s="24">
        <v>730000</v>
      </c>
      <c r="E180" s="24" t="s">
        <v>249</v>
      </c>
      <c r="F180" s="24" t="str">
        <f t="shared" si="4"/>
        <v>rtdc.l.rtdc.4020:itc</v>
      </c>
      <c r="G180" s="8">
        <f t="shared" si="5"/>
        <v>42596.840196759258</v>
      </c>
    </row>
    <row r="181" spans="1:7" x14ac:dyDescent="0.25">
      <c r="A181" s="8">
        <v>42596.848773148151</v>
      </c>
      <c r="B181" s="24" t="s">
        <v>96</v>
      </c>
      <c r="C181" s="24" t="s">
        <v>597</v>
      </c>
      <c r="D181" s="24">
        <v>1290000</v>
      </c>
      <c r="E181" s="24" t="s">
        <v>658</v>
      </c>
      <c r="F181" s="24" t="str">
        <f t="shared" si="4"/>
        <v>rtdc.l.rtdc.4030:itc</v>
      </c>
      <c r="G181" s="8">
        <f t="shared" si="5"/>
        <v>42596.848773148151</v>
      </c>
    </row>
    <row r="182" spans="1:7" x14ac:dyDescent="0.25">
      <c r="A182" s="8">
        <v>42596.860289351855</v>
      </c>
      <c r="B182" s="24" t="s">
        <v>294</v>
      </c>
      <c r="C182" s="24" t="s">
        <v>600</v>
      </c>
      <c r="D182" s="24">
        <v>1810000</v>
      </c>
      <c r="E182" s="24" t="s">
        <v>306</v>
      </c>
      <c r="F182" s="24" t="str">
        <f t="shared" si="4"/>
        <v>rtdc.l.rtdc.4012:itc</v>
      </c>
      <c r="G182" s="8">
        <f t="shared" si="5"/>
        <v>42596.860289351855</v>
      </c>
    </row>
    <row r="183" spans="1:7" x14ac:dyDescent="0.25">
      <c r="A183" s="8">
        <v>42596.863900462966</v>
      </c>
      <c r="B183" s="24" t="s">
        <v>240</v>
      </c>
      <c r="C183" s="24" t="s">
        <v>510</v>
      </c>
      <c r="D183" s="24">
        <v>730000</v>
      </c>
      <c r="E183" s="24" t="s">
        <v>249</v>
      </c>
      <c r="F183" s="24" t="str">
        <f t="shared" si="4"/>
        <v>rtdc.l.rtdc.4019:itc</v>
      </c>
      <c r="G183" s="8">
        <f t="shared" si="5"/>
        <v>42596.863900462966</v>
      </c>
    </row>
    <row r="184" spans="1:7" x14ac:dyDescent="0.25">
      <c r="A184" s="8">
        <v>42596.867997685185</v>
      </c>
      <c r="B184" s="24" t="s">
        <v>193</v>
      </c>
      <c r="C184" s="24" t="s">
        <v>604</v>
      </c>
      <c r="D184" s="24">
        <v>1740000</v>
      </c>
      <c r="E184" s="24" t="s">
        <v>302</v>
      </c>
      <c r="F184" s="24" t="str">
        <f t="shared" si="4"/>
        <v>rtdc.l.rtdc.4038:itc</v>
      </c>
      <c r="G184" s="8">
        <f t="shared" si="5"/>
        <v>42596.867997685185</v>
      </c>
    </row>
    <row r="185" spans="1:7" x14ac:dyDescent="0.25">
      <c r="A185" s="8">
        <v>42596.886284722219</v>
      </c>
      <c r="B185" s="24" t="s">
        <v>237</v>
      </c>
      <c r="C185" s="24" t="s">
        <v>512</v>
      </c>
      <c r="D185" s="24">
        <v>740000</v>
      </c>
      <c r="E185" s="24" t="s">
        <v>659</v>
      </c>
      <c r="F185" s="24" t="str">
        <f t="shared" si="4"/>
        <v>rtdc.l.rtdc.4020:itc</v>
      </c>
      <c r="G185" s="8">
        <f t="shared" si="5"/>
        <v>42596.886284722219</v>
      </c>
    </row>
    <row r="186" spans="1:7" x14ac:dyDescent="0.25">
      <c r="A186" s="8">
        <v>42596.890393518515</v>
      </c>
      <c r="B186" s="24" t="s">
        <v>650</v>
      </c>
      <c r="C186" s="24" t="s">
        <v>603</v>
      </c>
      <c r="D186" s="24">
        <v>2000000</v>
      </c>
      <c r="E186" s="24" t="s">
        <v>172</v>
      </c>
      <c r="F186" s="24" t="str">
        <f t="shared" si="4"/>
        <v>rtdc.l.rtdc.4026:itc</v>
      </c>
      <c r="G186" s="8">
        <f t="shared" si="5"/>
        <v>42596.890393518515</v>
      </c>
    </row>
    <row r="187" spans="1:7" x14ac:dyDescent="0.25">
      <c r="A187" s="8">
        <v>42596.893113425926</v>
      </c>
      <c r="B187" s="24" t="s">
        <v>95</v>
      </c>
      <c r="C187" s="24" t="s">
        <v>609</v>
      </c>
      <c r="D187" s="24">
        <v>1290000</v>
      </c>
      <c r="E187" s="24" t="s">
        <v>658</v>
      </c>
      <c r="F187" s="24" t="str">
        <f t="shared" si="4"/>
        <v>rtdc.l.rtdc.4029:itc</v>
      </c>
      <c r="G187" s="8">
        <f t="shared" si="5"/>
        <v>42596.893113425926</v>
      </c>
    </row>
    <row r="188" spans="1:7" x14ac:dyDescent="0.25">
      <c r="A188" s="8">
        <v>42596.903171296297</v>
      </c>
      <c r="B188" s="24" t="s">
        <v>240</v>
      </c>
      <c r="C188" s="24" t="s">
        <v>514</v>
      </c>
      <c r="D188" s="24">
        <v>740000</v>
      </c>
      <c r="E188" s="24" t="s">
        <v>659</v>
      </c>
      <c r="F188" s="24" t="str">
        <f t="shared" si="4"/>
        <v>rtdc.l.rtdc.4019:itc</v>
      </c>
      <c r="G188" s="8">
        <f t="shared" si="5"/>
        <v>42596.903171296297</v>
      </c>
    </row>
    <row r="189" spans="1:7" x14ac:dyDescent="0.25">
      <c r="A189" s="8">
        <v>42596.904907407406</v>
      </c>
      <c r="B189" s="24" t="s">
        <v>173</v>
      </c>
      <c r="C189" s="24" t="s">
        <v>607</v>
      </c>
      <c r="D189" s="24">
        <v>1740000</v>
      </c>
      <c r="E189" s="24" t="s">
        <v>302</v>
      </c>
      <c r="F189" s="24" t="str">
        <f t="shared" si="4"/>
        <v>rtdc.l.rtdc.4037:itc</v>
      </c>
      <c r="G189" s="8">
        <f t="shared" si="5"/>
        <v>42596.904907407406</v>
      </c>
    </row>
    <row r="190" spans="1:7" x14ac:dyDescent="0.25">
      <c r="A190" s="8">
        <v>42596.909212962964</v>
      </c>
      <c r="B190" s="24" t="s">
        <v>293</v>
      </c>
      <c r="C190" s="24" t="s">
        <v>612</v>
      </c>
      <c r="D190" s="24">
        <v>1810000</v>
      </c>
      <c r="E190" s="24" t="s">
        <v>306</v>
      </c>
      <c r="F190" s="24" t="str">
        <f t="shared" si="4"/>
        <v>rtdc.l.rtdc.4011:itc</v>
      </c>
      <c r="G190" s="8">
        <f t="shared" si="5"/>
        <v>42596.909212962964</v>
      </c>
    </row>
    <row r="191" spans="1:7" x14ac:dyDescent="0.25">
      <c r="A191" s="8">
        <v>42596.927395833336</v>
      </c>
      <c r="B191" s="24" t="s">
        <v>237</v>
      </c>
      <c r="C191" s="24" t="s">
        <v>517</v>
      </c>
      <c r="D191" s="24">
        <v>740000</v>
      </c>
      <c r="E191" s="24" t="s">
        <v>659</v>
      </c>
      <c r="F191" s="24" t="str">
        <f t="shared" si="4"/>
        <v>rtdc.l.rtdc.4020:itc</v>
      </c>
      <c r="G191" s="8">
        <f t="shared" si="5"/>
        <v>42596.927395833336</v>
      </c>
    </row>
    <row r="192" spans="1:7" x14ac:dyDescent="0.25">
      <c r="A192" s="8">
        <v>42596.928402777776</v>
      </c>
      <c r="B192" s="24" t="s">
        <v>96</v>
      </c>
      <c r="C192" s="24" t="s">
        <v>611</v>
      </c>
      <c r="D192" s="24">
        <v>1290000</v>
      </c>
      <c r="E192" s="24" t="s">
        <v>658</v>
      </c>
      <c r="F192" s="24" t="str">
        <f t="shared" si="4"/>
        <v>rtdc.l.rtdc.4030:itc</v>
      </c>
      <c r="G192" s="8">
        <f t="shared" si="5"/>
        <v>42596.928402777776</v>
      </c>
    </row>
    <row r="193" spans="1:7" x14ac:dyDescent="0.25">
      <c r="A193" s="8">
        <v>42596.932395833333</v>
      </c>
      <c r="B193" s="24" t="s">
        <v>648</v>
      </c>
      <c r="C193" s="24" t="s">
        <v>615</v>
      </c>
      <c r="D193" s="24">
        <v>2000000</v>
      </c>
      <c r="E193" s="24" t="s">
        <v>172</v>
      </c>
      <c r="F193" s="24" t="str">
        <f t="shared" si="4"/>
        <v>rtdc.l.rtdc.4025:itc</v>
      </c>
      <c r="G193" s="8">
        <f t="shared" si="5"/>
        <v>42596.932395833333</v>
      </c>
    </row>
    <row r="194" spans="1:7" x14ac:dyDescent="0.25">
      <c r="A194" s="8">
        <v>42596.934942129628</v>
      </c>
      <c r="B194" s="24" t="s">
        <v>648</v>
      </c>
      <c r="C194" s="24" t="s">
        <v>615</v>
      </c>
      <c r="D194" s="24">
        <v>2000000</v>
      </c>
      <c r="E194" s="24" t="s">
        <v>172</v>
      </c>
      <c r="F194" s="24" t="str">
        <f t="shared" ref="F194:F235" si="6">B194</f>
        <v>rtdc.l.rtdc.4025:itc</v>
      </c>
      <c r="G194" s="8">
        <f t="shared" ref="G194:G235" si="7">A194</f>
        <v>42596.934942129628</v>
      </c>
    </row>
    <row r="195" spans="1:7" x14ac:dyDescent="0.25">
      <c r="A195" s="8">
        <v>42596.942812499998</v>
      </c>
      <c r="B195" s="24" t="s">
        <v>648</v>
      </c>
      <c r="C195" s="24" t="s">
        <v>615</v>
      </c>
      <c r="D195" s="24">
        <v>2000000</v>
      </c>
      <c r="E195" s="24" t="s">
        <v>172</v>
      </c>
      <c r="F195" s="24" t="str">
        <f t="shared" si="6"/>
        <v>rtdc.l.rtdc.4025:itc</v>
      </c>
      <c r="G195" s="8">
        <f t="shared" si="7"/>
        <v>42596.942812499998</v>
      </c>
    </row>
    <row r="196" spans="1:7" x14ac:dyDescent="0.25">
      <c r="A196" s="8">
        <v>42596.946597222224</v>
      </c>
      <c r="B196" s="24" t="s">
        <v>240</v>
      </c>
      <c r="C196" s="24" t="s">
        <v>536</v>
      </c>
      <c r="D196" s="24">
        <v>740000</v>
      </c>
      <c r="E196" s="24" t="s">
        <v>659</v>
      </c>
      <c r="F196" s="24" t="str">
        <f t="shared" si="6"/>
        <v>rtdc.l.rtdc.4019:itc</v>
      </c>
      <c r="G196" s="8">
        <f t="shared" si="7"/>
        <v>42596.946597222224</v>
      </c>
    </row>
    <row r="197" spans="1:7" x14ac:dyDescent="0.25">
      <c r="A197" s="8">
        <v>42596.953194444446</v>
      </c>
      <c r="B197" s="24" t="s">
        <v>294</v>
      </c>
      <c r="C197" s="24" t="s">
        <v>614</v>
      </c>
      <c r="D197" s="24">
        <v>1810000</v>
      </c>
      <c r="E197" s="24" t="s">
        <v>306</v>
      </c>
      <c r="F197" s="24" t="str">
        <f t="shared" si="6"/>
        <v>rtdc.l.rtdc.4012:itc</v>
      </c>
      <c r="G197" s="8">
        <f t="shared" si="7"/>
        <v>42596.953194444446</v>
      </c>
    </row>
    <row r="198" spans="1:7" x14ac:dyDescent="0.25">
      <c r="A198" s="8">
        <v>42596.954050925924</v>
      </c>
      <c r="B198" s="24" t="s">
        <v>193</v>
      </c>
      <c r="C198" s="24" t="s">
        <v>607</v>
      </c>
      <c r="D198" s="24">
        <v>1740000</v>
      </c>
      <c r="E198" s="24" t="s">
        <v>302</v>
      </c>
      <c r="F198" s="24" t="str">
        <f t="shared" si="6"/>
        <v>rtdc.l.rtdc.4038:itc</v>
      </c>
      <c r="G198" s="8">
        <f t="shared" si="7"/>
        <v>42596.954050925924</v>
      </c>
    </row>
    <row r="199" spans="1:7" x14ac:dyDescent="0.25">
      <c r="A199" s="8">
        <v>42596.954699074071</v>
      </c>
      <c r="B199" s="24" t="s">
        <v>193</v>
      </c>
      <c r="C199" s="24" t="s">
        <v>621</v>
      </c>
      <c r="D199" s="24">
        <v>1740000</v>
      </c>
      <c r="E199" s="24" t="s">
        <v>302</v>
      </c>
      <c r="F199" s="24" t="str">
        <f t="shared" si="6"/>
        <v>rtdc.l.rtdc.4038:itc</v>
      </c>
      <c r="G199" s="8">
        <f t="shared" si="7"/>
        <v>42596.954699074071</v>
      </c>
    </row>
    <row r="200" spans="1:7" x14ac:dyDescent="0.25">
      <c r="A200" s="8">
        <v>42596.972326388888</v>
      </c>
      <c r="B200" s="24" t="s">
        <v>95</v>
      </c>
      <c r="C200" s="24" t="s">
        <v>623</v>
      </c>
      <c r="D200" s="24">
        <v>1170000</v>
      </c>
      <c r="E200" s="24" t="s">
        <v>660</v>
      </c>
      <c r="F200" s="24" t="str">
        <f t="shared" si="6"/>
        <v>rtdc.l.rtdc.4029:itc</v>
      </c>
      <c r="G200" s="8">
        <f t="shared" si="7"/>
        <v>42596.972326388888</v>
      </c>
    </row>
    <row r="201" spans="1:7" x14ac:dyDescent="0.25">
      <c r="A201" s="8">
        <v>42596.97347222222</v>
      </c>
      <c r="B201" s="24" t="s">
        <v>650</v>
      </c>
      <c r="C201" s="24" t="s">
        <v>619</v>
      </c>
      <c r="D201" s="24">
        <v>2000000</v>
      </c>
      <c r="E201" s="24" t="s">
        <v>172</v>
      </c>
      <c r="F201" s="24" t="str">
        <f t="shared" si="6"/>
        <v>rtdc.l.rtdc.4026:itc</v>
      </c>
      <c r="G201" s="8">
        <f t="shared" si="7"/>
        <v>42596.97347222222</v>
      </c>
    </row>
    <row r="202" spans="1:7" x14ac:dyDescent="0.25">
      <c r="A202" s="30">
        <v>42596.98982638889</v>
      </c>
      <c r="B202" s="24" t="s">
        <v>173</v>
      </c>
      <c r="C202" s="24" t="s">
        <v>622</v>
      </c>
      <c r="D202" s="24">
        <v>1740000</v>
      </c>
      <c r="E202" s="24" t="s">
        <v>302</v>
      </c>
      <c r="F202" s="24" t="str">
        <f t="shared" si="6"/>
        <v>rtdc.l.rtdc.4037:itc</v>
      </c>
      <c r="G202" s="8">
        <f t="shared" si="7"/>
        <v>42596.98982638889</v>
      </c>
    </row>
    <row r="203" spans="1:7" x14ac:dyDescent="0.25">
      <c r="A203" s="8">
        <v>42596.99560185185</v>
      </c>
      <c r="B203" s="24" t="s">
        <v>293</v>
      </c>
      <c r="C203" s="24" t="s">
        <v>626</v>
      </c>
      <c r="D203" s="24">
        <v>1810000</v>
      </c>
      <c r="E203" s="24" t="s">
        <v>306</v>
      </c>
      <c r="F203" s="24" t="str">
        <f t="shared" si="6"/>
        <v>rtdc.l.rtdc.4011:itc</v>
      </c>
      <c r="G203" s="8">
        <f t="shared" si="7"/>
        <v>42596.99560185185</v>
      </c>
    </row>
    <row r="204" spans="1:7" x14ac:dyDescent="0.25">
      <c r="A204" s="8">
        <v>42597.012488425928</v>
      </c>
      <c r="B204" s="24" t="s">
        <v>96</v>
      </c>
      <c r="C204" s="24" t="s">
        <v>625</v>
      </c>
      <c r="D204" s="24">
        <v>1170000</v>
      </c>
      <c r="E204" s="24" t="s">
        <v>660</v>
      </c>
      <c r="F204" s="24" t="str">
        <f t="shared" si="6"/>
        <v>rtdc.l.rtdc.4030:itc</v>
      </c>
      <c r="G204" s="8">
        <f t="shared" si="7"/>
        <v>42597.012488425928</v>
      </c>
    </row>
    <row r="205" spans="1:7" x14ac:dyDescent="0.25">
      <c r="A205" s="8">
        <v>42597.016168981485</v>
      </c>
      <c r="B205" s="24" t="s">
        <v>293</v>
      </c>
      <c r="C205" s="24" t="s">
        <v>626</v>
      </c>
      <c r="D205" s="24">
        <v>1810000</v>
      </c>
      <c r="E205" s="24" t="s">
        <v>306</v>
      </c>
      <c r="F205" s="24" t="str">
        <f t="shared" si="6"/>
        <v>rtdc.l.rtdc.4011:itc</v>
      </c>
      <c r="G205" s="8">
        <f t="shared" si="7"/>
        <v>42597.016168981485</v>
      </c>
    </row>
    <row r="206" spans="1:7" x14ac:dyDescent="0.25">
      <c r="A206" s="8">
        <v>42597.017789351848</v>
      </c>
      <c r="B206" s="24" t="s">
        <v>648</v>
      </c>
      <c r="C206" s="24" t="s">
        <v>630</v>
      </c>
      <c r="D206" s="24">
        <v>2000000</v>
      </c>
      <c r="E206" s="24" t="s">
        <v>172</v>
      </c>
      <c r="F206" s="24" t="str">
        <f t="shared" si="6"/>
        <v>rtdc.l.rtdc.4025:itc</v>
      </c>
      <c r="G206" s="8">
        <f t="shared" si="7"/>
        <v>42597.017789351848</v>
      </c>
    </row>
    <row r="207" spans="1:7" x14ac:dyDescent="0.25">
      <c r="A207" s="8">
        <v>42597.030023148145</v>
      </c>
      <c r="B207" s="24" t="s">
        <v>193</v>
      </c>
      <c r="C207" s="24" t="s">
        <v>661</v>
      </c>
      <c r="D207" s="24">
        <v>1740000</v>
      </c>
      <c r="E207" s="24" t="s">
        <v>302</v>
      </c>
      <c r="F207" s="24" t="str">
        <f t="shared" si="6"/>
        <v>rtdc.l.rtdc.4038:itc</v>
      </c>
      <c r="G207" s="8">
        <f t="shared" si="7"/>
        <v>42597.030023148145</v>
      </c>
    </row>
    <row r="208" spans="1:7" x14ac:dyDescent="0.25">
      <c r="A208" s="8">
        <v>42597.052141203705</v>
      </c>
      <c r="B208" s="24" t="s">
        <v>95</v>
      </c>
      <c r="C208" s="24" t="s">
        <v>640</v>
      </c>
      <c r="D208" s="24">
        <v>1170000</v>
      </c>
      <c r="E208" s="24" t="s">
        <v>660</v>
      </c>
      <c r="F208" s="24" t="str">
        <f t="shared" si="6"/>
        <v>rtdc.l.rtdc.4029:itc</v>
      </c>
      <c r="G208" s="8">
        <f t="shared" si="7"/>
        <v>42597.052141203705</v>
      </c>
    </row>
    <row r="209" spans="1:7" x14ac:dyDescent="0.25">
      <c r="A209" s="8">
        <v>42597.056898148148</v>
      </c>
      <c r="B209" s="24" t="s">
        <v>650</v>
      </c>
      <c r="C209" s="24" t="s">
        <v>632</v>
      </c>
      <c r="D209" s="24">
        <v>2000000</v>
      </c>
      <c r="E209" s="24" t="s">
        <v>172</v>
      </c>
      <c r="F209" s="24" t="str">
        <f t="shared" si="6"/>
        <v>rtdc.l.rtdc.4026:itc</v>
      </c>
      <c r="G209" s="8">
        <f t="shared" si="7"/>
        <v>42597.056898148148</v>
      </c>
    </row>
    <row r="210" spans="1:7" x14ac:dyDescent="0.25">
      <c r="A210" s="8">
        <v>42597.061377314814</v>
      </c>
      <c r="B210" s="24" t="s">
        <v>293</v>
      </c>
      <c r="C210" s="24" t="s">
        <v>662</v>
      </c>
      <c r="D210" s="24">
        <v>1810000</v>
      </c>
      <c r="E210" s="24" t="s">
        <v>306</v>
      </c>
      <c r="F210" s="24" t="str">
        <f t="shared" si="6"/>
        <v>rtdc.l.rtdc.4011:itc</v>
      </c>
      <c r="G210" s="8">
        <f t="shared" si="7"/>
        <v>42597.061377314814</v>
      </c>
    </row>
    <row r="211" spans="1:7" x14ac:dyDescent="0.25">
      <c r="A211" s="8">
        <v>42597.089606481481</v>
      </c>
      <c r="B211" s="24" t="s">
        <v>648</v>
      </c>
      <c r="C211" s="24" t="s">
        <v>642</v>
      </c>
      <c r="D211" s="24">
        <v>2000000</v>
      </c>
      <c r="E211" s="24" t="s">
        <v>172</v>
      </c>
      <c r="F211" s="24" t="str">
        <f t="shared" si="6"/>
        <v>rtdc.l.rtdc.4025:itc</v>
      </c>
      <c r="G211" s="8">
        <f t="shared" si="7"/>
        <v>42597.089606481481</v>
      </c>
    </row>
    <row r="212" spans="1:7" x14ac:dyDescent="0.25">
      <c r="B212" s="24"/>
      <c r="C212" s="24"/>
      <c r="D212" s="24"/>
      <c r="E212" s="24"/>
      <c r="F212" s="24">
        <f t="shared" si="6"/>
        <v>0</v>
      </c>
      <c r="G212" s="8">
        <f t="shared" si="7"/>
        <v>0</v>
      </c>
    </row>
    <row r="213" spans="1:7" x14ac:dyDescent="0.25">
      <c r="A213" s="8">
        <v>42596.069363425922</v>
      </c>
      <c r="B213" s="24" t="s">
        <v>299</v>
      </c>
      <c r="C213" s="24" t="s">
        <v>307</v>
      </c>
      <c r="D213" s="24">
        <v>2000000</v>
      </c>
      <c r="E213" s="24" t="s">
        <v>172</v>
      </c>
      <c r="F213" s="24" t="str">
        <f t="shared" si="6"/>
        <v>rtdc.l.rtdc.4009:itc</v>
      </c>
      <c r="G213" s="8">
        <f t="shared" si="7"/>
        <v>42596.069363425922</v>
      </c>
    </row>
    <row r="214" spans="1:7" x14ac:dyDescent="0.25">
      <c r="A214" s="8">
        <v>42596.078310185185</v>
      </c>
      <c r="B214" s="24" t="s">
        <v>295</v>
      </c>
      <c r="C214" s="24" t="s">
        <v>285</v>
      </c>
      <c r="D214" s="24">
        <v>1300000</v>
      </c>
      <c r="E214" s="24" t="s">
        <v>163</v>
      </c>
      <c r="F214" s="24" t="str">
        <f t="shared" si="6"/>
        <v>rtdc.l.rtdc.4043:itc</v>
      </c>
      <c r="G214" s="8">
        <f t="shared" si="7"/>
        <v>42596.078310185185</v>
      </c>
    </row>
    <row r="215" spans="1:7" x14ac:dyDescent="0.25">
      <c r="A215" s="8">
        <v>42596.089317129627</v>
      </c>
      <c r="B215" s="24" t="s">
        <v>241</v>
      </c>
      <c r="C215" s="24" t="s">
        <v>290</v>
      </c>
      <c r="D215" s="24">
        <v>1480000</v>
      </c>
      <c r="E215" s="24" t="s">
        <v>154</v>
      </c>
      <c r="F215" s="24" t="str">
        <f t="shared" si="6"/>
        <v>rtdc.l.rtdc.4007:itc</v>
      </c>
      <c r="G215" s="8">
        <f t="shared" si="7"/>
        <v>42596.089317129627</v>
      </c>
    </row>
    <row r="216" spans="1:7" x14ac:dyDescent="0.25">
      <c r="A216" s="8">
        <v>42596.109247685185</v>
      </c>
      <c r="B216" s="24" t="s">
        <v>292</v>
      </c>
      <c r="C216" s="24" t="s">
        <v>308</v>
      </c>
      <c r="D216" s="24">
        <v>1300000</v>
      </c>
      <c r="E216" s="24" t="s">
        <v>163</v>
      </c>
      <c r="F216" s="24" t="str">
        <f t="shared" si="6"/>
        <v>rtdc.l.rtdc.4044:itc</v>
      </c>
      <c r="G216" s="8">
        <f t="shared" si="7"/>
        <v>42596.109247685185</v>
      </c>
    </row>
    <row r="217" spans="1:7" x14ac:dyDescent="0.25">
      <c r="A217" s="8">
        <v>42596.11215277778</v>
      </c>
      <c r="B217" s="24" t="s">
        <v>94</v>
      </c>
      <c r="C217" s="24" t="s">
        <v>286</v>
      </c>
      <c r="D217" s="24">
        <v>2030000</v>
      </c>
      <c r="E217" s="24" t="s">
        <v>301</v>
      </c>
      <c r="F217" s="24" t="str">
        <f t="shared" si="6"/>
        <v>rtdc.l.rtdc.4013:itc</v>
      </c>
      <c r="G217" s="8">
        <f t="shared" si="7"/>
        <v>42596.11215277778</v>
      </c>
    </row>
    <row r="218" spans="1:7" x14ac:dyDescent="0.25">
      <c r="B218" s="24"/>
      <c r="C218" s="24"/>
      <c r="D218" s="24"/>
      <c r="E218" s="24"/>
      <c r="F218" s="24">
        <f t="shared" si="6"/>
        <v>0</v>
      </c>
      <c r="G218" s="8">
        <f t="shared" si="7"/>
        <v>0</v>
      </c>
    </row>
    <row r="219" spans="1:7" x14ac:dyDescent="0.25">
      <c r="A219" s="8">
        <v>42594.890902777777</v>
      </c>
      <c r="B219" s="24" t="s">
        <v>190</v>
      </c>
      <c r="C219" s="24" t="s">
        <v>231</v>
      </c>
      <c r="D219" s="24">
        <v>730000</v>
      </c>
      <c r="E219" s="24" t="s">
        <v>249</v>
      </c>
      <c r="F219" s="24" t="str">
        <f t="shared" si="6"/>
        <v>rtdc.l.rtdc.4021:itc</v>
      </c>
      <c r="G219" s="8">
        <f t="shared" si="7"/>
        <v>42594.890902777777</v>
      </c>
    </row>
    <row r="220" spans="1:7" x14ac:dyDescent="0.25">
      <c r="A220" s="8">
        <v>42594.893506944441</v>
      </c>
      <c r="B220" s="24" t="s">
        <v>95</v>
      </c>
      <c r="C220" s="24" t="s">
        <v>211</v>
      </c>
      <c r="D220" s="24">
        <v>1230000</v>
      </c>
      <c r="E220" s="24" t="s">
        <v>247</v>
      </c>
      <c r="F220" s="24" t="str">
        <f t="shared" si="6"/>
        <v>rtdc.l.rtdc.4029:itc</v>
      </c>
      <c r="G220" s="8">
        <f t="shared" si="7"/>
        <v>42594.893506944441</v>
      </c>
    </row>
    <row r="221" spans="1:7" x14ac:dyDescent="0.25">
      <c r="A221" s="8">
        <v>42594.894189814811</v>
      </c>
      <c r="B221" s="24" t="s">
        <v>190</v>
      </c>
      <c r="C221" s="24" t="s">
        <v>231</v>
      </c>
      <c r="D221" s="24">
        <v>730000</v>
      </c>
      <c r="E221" s="24" t="s">
        <v>249</v>
      </c>
      <c r="F221" s="24" t="str">
        <f t="shared" si="6"/>
        <v>rtdc.l.rtdc.4021:itc</v>
      </c>
      <c r="G221" s="8">
        <f t="shared" si="7"/>
        <v>42594.894189814811</v>
      </c>
    </row>
    <row r="222" spans="1:7" x14ac:dyDescent="0.25">
      <c r="A222" s="8">
        <v>42594.894953703704</v>
      </c>
      <c r="B222" s="24" t="s">
        <v>190</v>
      </c>
      <c r="C222" s="24" t="s">
        <v>231</v>
      </c>
      <c r="D222" s="24">
        <v>730000</v>
      </c>
      <c r="E222" s="24" t="s">
        <v>249</v>
      </c>
      <c r="F222" s="24" t="str">
        <f t="shared" si="6"/>
        <v>rtdc.l.rtdc.4021:itc</v>
      </c>
      <c r="G222" s="8">
        <f t="shared" si="7"/>
        <v>42594.894953703704</v>
      </c>
    </row>
    <row r="223" spans="1:7" x14ac:dyDescent="0.25">
      <c r="A223" s="8">
        <v>42594.904768518521</v>
      </c>
      <c r="B223" s="24" t="s">
        <v>236</v>
      </c>
      <c r="C223" s="24" t="s">
        <v>233</v>
      </c>
      <c r="D223" s="24">
        <v>1460000</v>
      </c>
      <c r="E223" s="24" t="s">
        <v>246</v>
      </c>
      <c r="F223" s="24" t="str">
        <f t="shared" si="6"/>
        <v>rtdc.l.rtdc.4008:itc</v>
      </c>
      <c r="G223" s="8">
        <f t="shared" si="7"/>
        <v>42594.904768518521</v>
      </c>
    </row>
    <row r="224" spans="1:7" x14ac:dyDescent="0.25">
      <c r="A224" s="8">
        <v>42594.906770833331</v>
      </c>
      <c r="B224" t="s">
        <v>248</v>
      </c>
      <c r="C224" t="s">
        <v>231</v>
      </c>
      <c r="D224">
        <v>730000</v>
      </c>
      <c r="E224" t="s">
        <v>249</v>
      </c>
      <c r="F224" s="24" t="str">
        <f t="shared" si="6"/>
        <v>rtdc.l.rtdc.4022:itc</v>
      </c>
      <c r="G224" s="8">
        <f t="shared" si="7"/>
        <v>42594.906770833331</v>
      </c>
    </row>
    <row r="225" spans="1:7" x14ac:dyDescent="0.25">
      <c r="A225" s="8">
        <v>42594.908587962964</v>
      </c>
      <c r="B225" t="s">
        <v>173</v>
      </c>
      <c r="C225" t="s">
        <v>210</v>
      </c>
      <c r="D225">
        <v>1300000</v>
      </c>
      <c r="E225" t="s">
        <v>163</v>
      </c>
      <c r="F225" s="24" t="str">
        <f t="shared" si="6"/>
        <v>rtdc.l.rtdc.4037:itc</v>
      </c>
      <c r="G225" s="8">
        <f t="shared" si="7"/>
        <v>42594.908587962964</v>
      </c>
    </row>
    <row r="226" spans="1:7" x14ac:dyDescent="0.25">
      <c r="A226" s="8">
        <v>42594.912685185183</v>
      </c>
      <c r="B226" t="s">
        <v>121</v>
      </c>
      <c r="C226" t="s">
        <v>213</v>
      </c>
      <c r="D226">
        <v>2000000</v>
      </c>
      <c r="E226" t="s">
        <v>172</v>
      </c>
      <c r="F226" s="24" t="str">
        <f t="shared" si="6"/>
        <v>rtdc.l.rtdc.4031:itc</v>
      </c>
      <c r="G226" s="8">
        <f t="shared" si="7"/>
        <v>42594.912685185183</v>
      </c>
    </row>
    <row r="227" spans="1:7" x14ac:dyDescent="0.25">
      <c r="A227" s="8">
        <v>42594.917442129627</v>
      </c>
      <c r="B227" t="s">
        <v>190</v>
      </c>
      <c r="C227" t="s">
        <v>231</v>
      </c>
      <c r="D227">
        <v>730000</v>
      </c>
      <c r="E227" t="s">
        <v>249</v>
      </c>
      <c r="F227" s="24" t="str">
        <f t="shared" si="6"/>
        <v>rtdc.l.rtdc.4021:itc</v>
      </c>
      <c r="G227" s="8">
        <f t="shared" si="7"/>
        <v>42594.917442129627</v>
      </c>
    </row>
    <row r="228" spans="1:7" x14ac:dyDescent="0.25">
      <c r="A228" s="8">
        <v>42594.917800925927</v>
      </c>
      <c r="B228" t="s">
        <v>241</v>
      </c>
      <c r="C228" t="s">
        <v>234</v>
      </c>
      <c r="D228">
        <v>1460000</v>
      </c>
      <c r="E228" t="s">
        <v>246</v>
      </c>
      <c r="F228" s="24" t="str">
        <f t="shared" si="6"/>
        <v>rtdc.l.rtdc.4007:itc</v>
      </c>
      <c r="G228" s="8">
        <f t="shared" si="7"/>
        <v>42594.917800925927</v>
      </c>
    </row>
    <row r="229" spans="1:7" x14ac:dyDescent="0.25">
      <c r="A229" s="8">
        <v>42594.931990740741</v>
      </c>
      <c r="B229" t="s">
        <v>96</v>
      </c>
      <c r="C229" t="s">
        <v>212</v>
      </c>
      <c r="D229">
        <v>1230000</v>
      </c>
      <c r="E229" t="s">
        <v>247</v>
      </c>
      <c r="F229" s="24" t="str">
        <f t="shared" si="6"/>
        <v>rtdc.l.rtdc.4030:itc</v>
      </c>
      <c r="G229" s="8">
        <f t="shared" si="7"/>
        <v>42594.931990740741</v>
      </c>
    </row>
    <row r="230" spans="1:7" x14ac:dyDescent="0.25">
      <c r="A230" s="8">
        <v>42594.933078703703</v>
      </c>
      <c r="B230" t="s">
        <v>119</v>
      </c>
      <c r="C230" t="s">
        <v>215</v>
      </c>
      <c r="D230">
        <v>2100000</v>
      </c>
      <c r="E230" t="s">
        <v>155</v>
      </c>
      <c r="F230" s="24" t="str">
        <f t="shared" si="6"/>
        <v>rtdc.l.rtdc.4014:itc</v>
      </c>
      <c r="G230" s="8">
        <f t="shared" si="7"/>
        <v>42594.933078703703</v>
      </c>
    </row>
    <row r="231" spans="1:7" x14ac:dyDescent="0.25">
      <c r="A231" s="8">
        <v>42594.933275462965</v>
      </c>
      <c r="B231" t="s">
        <v>173</v>
      </c>
      <c r="C231" t="s">
        <v>210</v>
      </c>
      <c r="D231">
        <v>1300000</v>
      </c>
      <c r="E231" t="s">
        <v>163</v>
      </c>
      <c r="F231" s="24" t="str">
        <f t="shared" si="6"/>
        <v>rtdc.l.rtdc.4037:itc</v>
      </c>
      <c r="G231" s="8">
        <f t="shared" si="7"/>
        <v>42594.933275462965</v>
      </c>
    </row>
    <row r="232" spans="1:7" x14ac:dyDescent="0.25">
      <c r="A232" s="8">
        <v>42594.933877314812</v>
      </c>
      <c r="B232" t="s">
        <v>248</v>
      </c>
      <c r="C232" t="s">
        <v>231</v>
      </c>
      <c r="D232">
        <v>730000</v>
      </c>
      <c r="E232" t="s">
        <v>249</v>
      </c>
      <c r="F232" s="24" t="str">
        <f t="shared" si="6"/>
        <v>rtdc.l.rtdc.4022:itc</v>
      </c>
      <c r="G232" s="8">
        <f t="shared" si="7"/>
        <v>42594.933877314812</v>
      </c>
    </row>
    <row r="233" spans="1:7" x14ac:dyDescent="0.25">
      <c r="A233" s="8">
        <v>42594.934988425928</v>
      </c>
      <c r="B233" t="s">
        <v>248</v>
      </c>
      <c r="C233" t="s">
        <v>231</v>
      </c>
      <c r="D233">
        <v>730000</v>
      </c>
      <c r="E233" t="s">
        <v>249</v>
      </c>
      <c r="F233" s="24" t="str">
        <f t="shared" si="6"/>
        <v>rtdc.l.rtdc.4022:itc</v>
      </c>
      <c r="G233" s="8">
        <f t="shared" si="7"/>
        <v>42594.934988425928</v>
      </c>
    </row>
    <row r="234" spans="1:7" x14ac:dyDescent="0.25">
      <c r="A234" s="8">
        <v>42594.944837962961</v>
      </c>
      <c r="B234" t="s">
        <v>236</v>
      </c>
      <c r="C234" t="s">
        <v>235</v>
      </c>
      <c r="D234">
        <v>1460000</v>
      </c>
      <c r="E234" t="s">
        <v>246</v>
      </c>
      <c r="F234" s="24" t="str">
        <f t="shared" si="6"/>
        <v>rtdc.l.rtdc.4008:itc</v>
      </c>
      <c r="G234" s="8">
        <f t="shared" si="7"/>
        <v>42594.944837962961</v>
      </c>
    </row>
    <row r="235" spans="1:7" x14ac:dyDescent="0.25">
      <c r="A235" s="8">
        <v>42594.945891203701</v>
      </c>
      <c r="B235" t="s">
        <v>236</v>
      </c>
      <c r="C235" t="s">
        <v>235</v>
      </c>
      <c r="D235">
        <v>1460000</v>
      </c>
      <c r="E235" t="s">
        <v>246</v>
      </c>
      <c r="F235" s="24" t="str">
        <f t="shared" si="6"/>
        <v>rtdc.l.rtdc.4008:itc</v>
      </c>
      <c r="G235" s="8">
        <f t="shared" si="7"/>
        <v>42594.945891203701</v>
      </c>
    </row>
    <row r="236" spans="1:7" x14ac:dyDescent="0.25">
      <c r="A236" s="8">
        <v>42594.953692129631</v>
      </c>
      <c r="B236" t="s">
        <v>122</v>
      </c>
      <c r="C236" t="s">
        <v>214</v>
      </c>
      <c r="D236">
        <v>2000000</v>
      </c>
      <c r="E236" t="s">
        <v>172</v>
      </c>
      <c r="F236" s="24" t="str">
        <f t="shared" ref="F236:F265" si="8">B236</f>
        <v>rtdc.l.rtdc.4032:itc</v>
      </c>
      <c r="G236" s="8">
        <f t="shared" ref="G236:G265" si="9">A236</f>
        <v>42594.953692129631</v>
      </c>
    </row>
    <row r="237" spans="1:7" x14ac:dyDescent="0.25">
      <c r="A237" s="8">
        <v>42594.956423611111</v>
      </c>
      <c r="B237" t="s">
        <v>193</v>
      </c>
      <c r="C237" t="s">
        <v>217</v>
      </c>
      <c r="D237">
        <v>1300000</v>
      </c>
      <c r="E237" t="s">
        <v>163</v>
      </c>
      <c r="F237" s="24" t="str">
        <f t="shared" si="8"/>
        <v>rtdc.l.rtdc.4038:itc</v>
      </c>
      <c r="G237" s="8">
        <f t="shared" si="9"/>
        <v>42594.956423611111</v>
      </c>
    </row>
    <row r="238" spans="1:7" x14ac:dyDescent="0.25">
      <c r="A238" s="8">
        <v>42594.963194444441</v>
      </c>
      <c r="B238" t="s">
        <v>95</v>
      </c>
      <c r="C238" t="s">
        <v>219</v>
      </c>
      <c r="D238">
        <v>1230000</v>
      </c>
      <c r="E238" t="s">
        <v>247</v>
      </c>
      <c r="F238" s="24" t="str">
        <f t="shared" si="8"/>
        <v>rtdc.l.rtdc.4029:itc</v>
      </c>
      <c r="G238" s="8">
        <f t="shared" si="9"/>
        <v>42594.963194444441</v>
      </c>
    </row>
    <row r="239" spans="1:7" x14ac:dyDescent="0.25">
      <c r="A239" s="8">
        <v>42594.971458333333</v>
      </c>
      <c r="B239" t="s">
        <v>94</v>
      </c>
      <c r="C239" t="s">
        <v>216</v>
      </c>
      <c r="D239">
        <v>2100000</v>
      </c>
      <c r="E239" t="s">
        <v>155</v>
      </c>
      <c r="F239" s="24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173</v>
      </c>
      <c r="C240" t="s">
        <v>218</v>
      </c>
      <c r="D240">
        <v>1300000</v>
      </c>
      <c r="E240" t="s">
        <v>163</v>
      </c>
      <c r="F240" s="24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121</v>
      </c>
      <c r="C241" t="s">
        <v>222</v>
      </c>
      <c r="D241">
        <v>2000000</v>
      </c>
      <c r="E241" t="s">
        <v>172</v>
      </c>
      <c r="F241" s="24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96</v>
      </c>
      <c r="C242" t="s">
        <v>221</v>
      </c>
      <c r="D242">
        <v>1230000</v>
      </c>
      <c r="E242" t="s">
        <v>247</v>
      </c>
      <c r="F242" s="24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119</v>
      </c>
      <c r="C243" t="s">
        <v>224</v>
      </c>
      <c r="D243">
        <v>2100000</v>
      </c>
      <c r="E243" t="s">
        <v>155</v>
      </c>
      <c r="F243" s="24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193</v>
      </c>
      <c r="C244" t="s">
        <v>226</v>
      </c>
      <c r="D244">
        <v>1300000</v>
      </c>
      <c r="E244" t="s">
        <v>163</v>
      </c>
      <c r="F244" s="24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122</v>
      </c>
      <c r="C245" t="s">
        <v>223</v>
      </c>
      <c r="D245">
        <v>2000000</v>
      </c>
      <c r="E245" t="s">
        <v>172</v>
      </c>
      <c r="F245" s="24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95</v>
      </c>
      <c r="C246" t="s">
        <v>228</v>
      </c>
      <c r="D246">
        <v>1230000</v>
      </c>
      <c r="E246" t="s">
        <v>247</v>
      </c>
      <c r="F246" s="24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94</v>
      </c>
      <c r="C247" t="s">
        <v>225</v>
      </c>
      <c r="D247">
        <v>2100000</v>
      </c>
      <c r="E247" t="s">
        <v>155</v>
      </c>
      <c r="F247" s="24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121</v>
      </c>
      <c r="C248" t="s">
        <v>229</v>
      </c>
      <c r="D248">
        <v>2000000</v>
      </c>
      <c r="E248" t="s">
        <v>172</v>
      </c>
      <c r="F248" s="24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173</v>
      </c>
      <c r="C249" t="s">
        <v>227</v>
      </c>
      <c r="D249">
        <v>1300000</v>
      </c>
      <c r="E249" t="s">
        <v>163</v>
      </c>
      <c r="F249" s="24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119</v>
      </c>
      <c r="C250" t="s">
        <v>250</v>
      </c>
      <c r="D250">
        <v>2100000</v>
      </c>
      <c r="E250" t="s">
        <v>155</v>
      </c>
      <c r="F250" s="24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193</v>
      </c>
      <c r="C251" t="s">
        <v>230</v>
      </c>
      <c r="D251">
        <v>1300000</v>
      </c>
      <c r="E251" t="s">
        <v>163</v>
      </c>
      <c r="F251" s="24" t="str">
        <f t="shared" si="8"/>
        <v>rtdc.l.rtdc.4038:itc</v>
      </c>
      <c r="G251" s="8">
        <f t="shared" si="9"/>
        <v>42595.110555555555</v>
      </c>
    </row>
    <row r="252" spans="1:7" x14ac:dyDescent="0.25">
      <c r="F252" s="24">
        <f t="shared" si="8"/>
        <v>0</v>
      </c>
      <c r="G252" s="8">
        <f t="shared" si="9"/>
        <v>0</v>
      </c>
    </row>
    <row r="253" spans="1:7" x14ac:dyDescent="0.25">
      <c r="F253" s="24">
        <f t="shared" si="8"/>
        <v>0</v>
      </c>
      <c r="G253" s="8">
        <f t="shared" si="9"/>
        <v>0</v>
      </c>
    </row>
    <row r="254" spans="1:7" x14ac:dyDescent="0.25">
      <c r="F254" s="24">
        <f t="shared" si="8"/>
        <v>0</v>
      </c>
      <c r="G254" s="8">
        <f t="shared" si="9"/>
        <v>0</v>
      </c>
    </row>
    <row r="255" spans="1:7" x14ac:dyDescent="0.25">
      <c r="F255" s="24">
        <f t="shared" si="8"/>
        <v>0</v>
      </c>
      <c r="G255" s="8">
        <f t="shared" si="9"/>
        <v>0</v>
      </c>
    </row>
    <row r="256" spans="1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1" bestFit="1" customWidth="1"/>
  </cols>
  <sheetData>
    <row r="1" spans="1:16" ht="45.75" x14ac:dyDescent="0.3">
      <c r="A1" s="14" t="s">
        <v>25</v>
      </c>
      <c r="C1" s="78" t="s">
        <v>124</v>
      </c>
      <c r="D1" s="79" t="s">
        <v>125</v>
      </c>
      <c r="J1" s="35" t="s">
        <v>126</v>
      </c>
      <c r="K1" s="35" t="s">
        <v>75</v>
      </c>
      <c r="L1" s="35" t="s">
        <v>76</v>
      </c>
      <c r="O1" s="82" t="s">
        <v>127</v>
      </c>
    </row>
    <row r="2" spans="1:16" ht="15.75" thickBot="1" x14ac:dyDescent="0.3">
      <c r="A2" s="15">
        <v>42596</v>
      </c>
      <c r="B2" s="4"/>
      <c r="C2" s="80">
        <v>50</v>
      </c>
      <c r="D2" s="81">
        <v>25</v>
      </c>
      <c r="F2" t="s">
        <v>175</v>
      </c>
      <c r="J2" s="35"/>
      <c r="K2" s="35" t="s">
        <v>75</v>
      </c>
      <c r="L2" s="35" t="s">
        <v>76</v>
      </c>
    </row>
    <row r="3" spans="1:16" x14ac:dyDescent="0.25">
      <c r="F3" t="s">
        <v>58</v>
      </c>
      <c r="J3" s="36" t="s">
        <v>77</v>
      </c>
      <c r="K3" s="37">
        <v>2.7052</v>
      </c>
      <c r="L3" s="37">
        <v>2.7349999999999999</v>
      </c>
      <c r="M3" s="71">
        <f t="shared" ref="M3:M14" si="0">AVERAGE(K3:L3)</f>
        <v>2.7201</v>
      </c>
      <c r="O3" t="s">
        <v>128</v>
      </c>
      <c r="P3" s="71">
        <f>AVERAGE(1.0714,1.1016)</f>
        <v>1.0865</v>
      </c>
    </row>
    <row r="4" spans="1:16" x14ac:dyDescent="0.25">
      <c r="F4" t="s">
        <v>59</v>
      </c>
      <c r="J4" s="36" t="s">
        <v>78</v>
      </c>
      <c r="K4" s="37">
        <v>3.0830000000000002</v>
      </c>
      <c r="L4" s="37">
        <v>3.097</v>
      </c>
      <c r="M4" s="71">
        <f t="shared" si="0"/>
        <v>3.09</v>
      </c>
    </row>
    <row r="5" spans="1:16" x14ac:dyDescent="0.25">
      <c r="J5" s="36" t="s">
        <v>79</v>
      </c>
      <c r="K5" s="37">
        <v>3.3136000000000001</v>
      </c>
      <c r="L5" s="37">
        <v>3.3256999999999999</v>
      </c>
      <c r="M5" s="71">
        <f t="shared" si="0"/>
        <v>3.3196500000000002</v>
      </c>
    </row>
    <row r="6" spans="1:16" x14ac:dyDescent="0.25">
      <c r="F6" t="s">
        <v>176</v>
      </c>
      <c r="J6" s="36" t="s">
        <v>80</v>
      </c>
      <c r="K6" s="37">
        <v>4.2778999999999998</v>
      </c>
      <c r="L6" s="37">
        <v>4.2961</v>
      </c>
      <c r="M6" s="71">
        <f t="shared" si="0"/>
        <v>4.2869999999999999</v>
      </c>
    </row>
    <row r="7" spans="1:16" x14ac:dyDescent="0.25">
      <c r="F7" t="s">
        <v>177</v>
      </c>
      <c r="J7" s="36" t="s">
        <v>81</v>
      </c>
      <c r="K7" s="37">
        <v>4.7865000000000002</v>
      </c>
      <c r="L7" s="37">
        <v>4.8048000000000002</v>
      </c>
      <c r="M7" s="71">
        <f t="shared" si="0"/>
        <v>4.7956500000000002</v>
      </c>
    </row>
    <row r="8" spans="1:16" x14ac:dyDescent="0.25">
      <c r="F8" t="s">
        <v>178</v>
      </c>
      <c r="J8" s="36" t="s">
        <v>82</v>
      </c>
      <c r="K8" s="37">
        <v>5.3155000000000001</v>
      </c>
      <c r="L8" s="37">
        <v>5.3277000000000001</v>
      </c>
      <c r="M8" s="71">
        <f t="shared" si="0"/>
        <v>5.3216000000000001</v>
      </c>
    </row>
    <row r="9" spans="1:16" x14ac:dyDescent="0.25">
      <c r="J9" s="36" t="s">
        <v>83</v>
      </c>
      <c r="K9" s="37">
        <v>5.8117000000000001</v>
      </c>
      <c r="L9" s="37">
        <v>5.8300999999999998</v>
      </c>
      <c r="M9" s="71">
        <f t="shared" si="0"/>
        <v>5.8209</v>
      </c>
    </row>
    <row r="10" spans="1:16" x14ac:dyDescent="0.25">
      <c r="J10" s="36" t="s">
        <v>84</v>
      </c>
      <c r="K10" s="37">
        <v>5.8783000000000003</v>
      </c>
      <c r="L10" s="37">
        <v>5.8903999999999996</v>
      </c>
      <c r="M10" s="71">
        <f t="shared" si="0"/>
        <v>5.8843499999999995</v>
      </c>
    </row>
    <row r="11" spans="1:16" x14ac:dyDescent="0.25">
      <c r="J11" s="36" t="s">
        <v>85</v>
      </c>
      <c r="K11" s="37">
        <v>6.3068</v>
      </c>
      <c r="L11" s="37">
        <v>6.3308999999999997</v>
      </c>
      <c r="M11" s="71">
        <f t="shared" si="0"/>
        <v>6.3188499999999994</v>
      </c>
    </row>
    <row r="12" spans="1:16" x14ac:dyDescent="0.25">
      <c r="J12" s="36" t="s">
        <v>86</v>
      </c>
      <c r="K12" s="37">
        <v>7.8349000000000002</v>
      </c>
      <c r="L12" s="37">
        <v>7.8468999999999998</v>
      </c>
      <c r="M12" s="71">
        <f t="shared" si="0"/>
        <v>7.8408999999999995</v>
      </c>
    </row>
    <row r="13" spans="1:16" x14ac:dyDescent="0.25">
      <c r="J13" s="36" t="s">
        <v>87</v>
      </c>
      <c r="K13" s="37">
        <v>10.373799999999999</v>
      </c>
      <c r="L13" s="37">
        <v>10.38</v>
      </c>
      <c r="M13" s="71">
        <f t="shared" si="0"/>
        <v>10.376899999999999</v>
      </c>
    </row>
    <row r="14" spans="1:16" x14ac:dyDescent="0.25">
      <c r="J14" s="36" t="s">
        <v>88</v>
      </c>
      <c r="K14" s="37">
        <v>10.8954</v>
      </c>
      <c r="L14" s="37">
        <v>10.913500000000001</v>
      </c>
      <c r="M14" s="71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101</v>
      </c>
      <c r="K18" s="37"/>
      <c r="L18" s="37"/>
      <c r="M18" s="71" t="str">
        <f>"""C:\Program Files (x86)\AstroGrep\AstroGrep.exe"""</f>
        <v>"C:\Program Files (x86)\AstroGrep\AstroGrep.exe"</v>
      </c>
    </row>
    <row r="19" spans="10:13" x14ac:dyDescent="0.25">
      <c r="J19" s="36" t="s">
        <v>102</v>
      </c>
      <c r="K19" s="37"/>
      <c r="L19" s="37"/>
      <c r="M19" s="71" t="s">
        <v>140</v>
      </c>
    </row>
    <row r="20" spans="10:13" x14ac:dyDescent="0.25">
      <c r="J20" t="s">
        <v>103</v>
      </c>
      <c r="M20" s="71" t="s">
        <v>135</v>
      </c>
    </row>
    <row r="21" spans="10:13" x14ac:dyDescent="0.25">
      <c r="J21" s="24" t="s">
        <v>106</v>
      </c>
      <c r="K21" s="24" t="s">
        <v>107</v>
      </c>
      <c r="M21" s="71" t="s">
        <v>107</v>
      </c>
    </row>
    <row r="22" spans="10:13" x14ac:dyDescent="0.25">
      <c r="J22" s="24" t="s">
        <v>108</v>
      </c>
      <c r="K22" s="24" t="s">
        <v>109</v>
      </c>
      <c r="M22" s="71" t="s">
        <v>139</v>
      </c>
    </row>
    <row r="23" spans="10:13" x14ac:dyDescent="0.25">
      <c r="J23" s="32" t="s">
        <v>111</v>
      </c>
      <c r="K23" s="24"/>
      <c r="M23" s="71">
        <v>-6</v>
      </c>
    </row>
    <row r="24" spans="10:13" x14ac:dyDescent="0.25">
      <c r="J24" s="24" t="s">
        <v>136</v>
      </c>
      <c r="K24" s="24"/>
      <c r="M24" s="71" t="s">
        <v>138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2016-08-16T16:44:56Z</dcterms:modified>
</cp:coreProperties>
</file>